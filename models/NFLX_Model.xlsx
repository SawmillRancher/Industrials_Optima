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7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4" fontId="46" fillId="0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7" fontId="46" fillId="0" borderId="0" pivotButton="0" quotePrefix="0" xfId="0"/>
    <xf numFmtId="166" fontId="46" fillId="0" borderId="0" pivotButton="0" quotePrefix="0" xfId="0"/>
    <xf numFmtId="186" fontId="46" fillId="0" borderId="0" applyAlignment="1" pivotButton="0" quotePrefix="0" xfId="0">
      <alignment horizontal="right"/>
    </xf>
    <xf numFmtId="173" fontId="46" fillId="0" borderId="0" pivotButton="0" quotePrefix="0" xfId="0"/>
    <xf numFmtId="164" fontId="46" fillId="0" borderId="0" pivotButton="0" quotePrefix="0" xfId="0"/>
    <xf numFmtId="186" fontId="46" fillId="0" borderId="0" pivotButton="0" quotePrefix="0" xfId="0"/>
    <xf numFmtId="176" fontId="17" fillId="0" borderId="0" pivotButton="0" quotePrefix="0" xfId="0"/>
    <xf numFmtId="164" fontId="45" fillId="0" borderId="0" applyAlignment="1" pivotButton="0" quotePrefix="0" xfId="0">
      <alignment horizontal="right"/>
    </xf>
    <xf numFmtId="186" fontId="45" fillId="0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73" fontId="15" fillId="0" borderId="0" pivotButton="0" quotePrefix="0" xfId="0"/>
    <xf numFmtId="173" fontId="17" fillId="0" borderId="0" pivotButton="0" quotePrefix="0" xfId="0"/>
    <xf numFmtId="164" fontId="48" fillId="6" borderId="2" applyAlignment="1" pivotButton="0" quotePrefix="0" xfId="0">
      <alignment horizontal="right"/>
    </xf>
    <xf numFmtId="164" fontId="41" fillId="2" borderId="0" pivotButton="0" quotePrefix="0" xfId="0"/>
    <xf numFmtId="166" fontId="41" fillId="2" borderId="0" pivotButton="0" quotePrefix="0" xfId="0"/>
    <xf numFmtId="166" fontId="51" fillId="2" borderId="0" applyAlignment="1" pivotButton="0" quotePrefix="0" xfId="0">
      <alignment horizontal="right"/>
    </xf>
    <xf numFmtId="166" fontId="48" fillId="2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64" fontId="51" fillId="6" borderId="2" applyAlignment="1" pivotButton="0" quotePrefix="0" xfId="0">
      <alignment horizontal="right"/>
    </xf>
    <xf numFmtId="164" fontId="48" fillId="0" borderId="2" applyAlignment="1" pivotButton="0" quotePrefix="0" xfId="0">
      <alignment horizontal="right"/>
    </xf>
    <xf numFmtId="164" fontId="48" fillId="2" borderId="2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0" fontId="56" fillId="0" borderId="0" pivotButton="0" quotePrefix="0" xfId="0"/>
    <xf numFmtId="164" fontId="51" fillId="0" borderId="2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Growth: UCAN vs. International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NFLX model</author>
  </authors>
  <commentList>
    <comment ref="CG2" authorId="0" shapeId="0">
      <text>
        <t>Scenario toggle. Choose Bull / Base / Bear. Drives: the FY26 revenue guidance end-point (high / mid / low), 2027E–2031E regional revenue growth, operating margin, content amortization growth, the cash content spend / amortization ratio, M&amp;A spend and the target cash balance for buybacks (scenario table CO:CS).</t>
      </text>
    </comment>
    <comment ref="B11" authorId="0" shapeId="0">
      <text>
        <t>Source: Netflix Forms 10-Q / 10-K (SEC EDGAR, CIK 1065280) — revenue by region (revenue note / MD&amp;A): FY2017–19 from the FY2019 10-K; Q1–Q3 2019 from the 2020 10-Q prior-year columns (latest filing presenting the period); Q4 = fiscal year (10-K) − nine months (Q3 10-Q). Paid memberships at period end; ARM from the MD&amp;A (Q4 from the Q4 letter regional table).</t>
      </text>
    </comment>
    <comment ref="AH11" authorId="0" shapeId="0">
      <text>
        <t>FY2017–18 from the FY2019 10-K regional tables (first regional disclosure).</t>
      </text>
    </comment>
    <comment ref="AN11" authorId="0" shapeId="0">
      <text>
        <t>From the 2020 Form 10-Q prior-year column (regional disclosure began with the FY2019 10-K).</t>
      </text>
    </comment>
    <comment ref="AO11" authorId="0" shapeId="0">
      <text>
        <t>From the 2020 Form 10-Q prior-year column (regional disclosure began with the FY2019 10-K).</t>
      </text>
    </comment>
    <comment ref="AP11" authorId="0" shapeId="0">
      <text>
        <t>From the 2020 Form 10-Q prior-year column (regional disclosure began with the FY2019 10-K).</t>
      </text>
    </comment>
    <comment ref="B51" authorId="0" shapeId="0">
      <text>
        <t>Source: Netflix Forms 10-Q / 10-K (SEC EDGAR, CIK 1065280) — segment note 2011–2019 (Domestic streaming, International streaming, Domestic DVD; revenue, cost of revenues, marketing, contribution profit, memberships). Q4 = FY − 9M.</t>
      </text>
    </comment>
    <comment ref="H51" authorId="0" shapeId="0">
      <text>
        <t>FY2011: segment reporting began in Q4-2011 (Qwikster separation of streaming and DVD); the FY2011 10-K presents segments for the fourth quarter only, so the annual column is left blank. Memberships are in the 10-K segment tables for FY2015–17 only.</t>
      </text>
    </comment>
    <comment ref="B67" authorId="0" shapeId="0">
      <text>
        <t>March 2026: business combination for ~$587m cash (Q2-26 10-Q Note 6; purchase-price allocation not disclosed; $585.7m in the cash-flow statement). Earlier acquisitions (2021-2023 cash-flow line 'Acquisitions'): animation, VFX and games studios; no revenue contribution disclosed.</t>
      </text>
    </comment>
    <comment ref="B96" authorId="0" shapeId="0">
      <text>
        <t>Source: Netflix Forms 10-Q / 10-K (SEC EDGAR, CIK 1065280) — cash-flow statements (amortization of streaming content assets + amortization of DVD content assets; year to date, discrete quarters derived).</t>
      </text>
    </comment>
    <comment ref="B115" authorId="0" shapeId="0">
      <text>
        <t>Q2-22 letter (8-K 19-Jul-2022): 'approximately $70 million of severance costs and an $80m non-cash impairment of certain real estate leases'; Q3-22 letter: 'excluding the $150m of restructuring costs in Q2'.</t>
      </text>
    </comment>
    <comment ref="BD115" authorId="0" shapeId="0">
      <text>
        <t>Q2-22 letter (8-K 19-Jul-2022): 'approximately $70 million of severance costs and an $80m non-cash impairment of certain real estate leases'; Q3-22 letter: 'excluding the $150m of restructuring costs in Q2'.</t>
      </text>
    </comment>
    <comment ref="BT116" authorId="0" shapeId="0">
      <text>
        <t>Q3-25 letter (8-K 21-Oct-2025): 'an expense in Q3'25 of approximately $619 million related to an ongoing dispute with Brazilian tax authorities regarding certain non-income tax assessments' (in cost of revenues); operating margin 28% vs 31.5% guidance.</t>
      </text>
    </comment>
    <comment ref="B117" authorId="0" shapeId="0">
      <text>
        <t>WBD transaction: definitive agreement 4-Dec-2025 (8-K 5-Dec-2025) to acquire Warner Bros. Discovery's streaming and studios businesses, amended 19-Jan-2026 (8-K 20-Jan-2026); terminated by WBD on 27-Feb-2026 (8-K Item 1.02) to merge with Paramount Skydance, which paid Netflix a $2.8bn termination fee, recorded in interest and other income (expense) in Q1-26 (Q2-26 10-Q Note 6). Bridge / term-loan commitments for the deal (8-K 22-Dec-2025) lapsed with the termination.</t>
      </text>
    </comment>
    <comment ref="BW117" authorId="0" shapeId="0">
      <text>
        <t>Q2-26 10-Q Note 6: $2.8bn termination fee received in Q1-26, recorded in interest and other income (expense).</t>
      </text>
    </comment>
    <comment ref="B121" authorId="0" shapeId="0">
      <text>
        <t>Source: Netflix Forms 10-Q / 10-K (SEC EDGAR, CIK 1065280) — consolidated statements of operations, as originally reported (Q1–Q3 = the 10-Q three-month column; Q4 = FY − nine months, tied to the Q4 letter). 2018 quarters from the 2019 10-Q comparatives (Q4-2018 cost reclassification).</t>
      </text>
    </comment>
    <comment ref="C121" authorId="0" shapeId="0">
      <text>
        <t>FY2006 10-K: columns presented oldest first (2004, 2005, 2006); the 2006 column is used.</t>
      </text>
    </comment>
    <comment ref="AI122" authorId="0" shapeId="0">
      <text>
        <t>Recast: Q1-Q3 2018 from the 2019 Form 10-Q prior-year columns: personnel costs reclassified effective Q4-2018 (8-K 3-Jan-2019, Ex. 99.1: content / marketing personnel from G&amp;A to cost of revenues and marketing; streaming-delivery personnel from technology &amp; development to cost of revenues), as presented in the FY2018 10-K; operating income unchanged. Q4 = FY2018 (10-K) - recast nine months. Originally reported cost of revenues $2,196.1m, marketing $479.2m, T&amp;D $300.7m, G&amp;A $278.3m.</t>
      </text>
    </comment>
    <comment ref="AJ122" authorId="0" shapeId="0">
      <text>
        <t>Recast: Q1-Q3 2018 from the 2019 Form 10-Q prior-year columns: personnel costs reclassified effective Q4-2018 (8-K 3-Jan-2019, Ex. 99.1: content / marketing personnel from G&amp;A to cost of revenues and marketing; streaming-delivery personnel from technology &amp; development to cost of revenues), as presented in the FY2018 10-K; operating income unchanged. Q4 = FY2018 (10-K) - recast nine months. Originally reported cost of revenues $2,289.9m, marketing $526.8m, T&amp;D $317.2m, G&amp;A $311.2m.</t>
      </text>
    </comment>
    <comment ref="AK122" authorId="0" shapeId="0">
      <text>
        <t>Recast: Q1-Q3 2018 from the 2019 Form 10-Q prior-year columns: personnel costs reclassified effective Q4-2018 (8-K 3-Jan-2019, Ex. 99.1: content / marketing personnel from G&amp;A to cost of revenues and marketing; streaming-delivery personnel from technology &amp; development to cost of revenues), as presented in the FY2018 10-K; operating income unchanged. Q4 = FY2018 (10-K) - recast nine months. Originally reported cost of revenues $2,412.3m, marketing $435.3m, T&amp;D $327.0m, G&amp;A $344.1m.</t>
      </text>
    </comment>
    <comment ref="B147" authorId="0" shapeId="0">
      <text>
        <t>Source: Netflix Forms 10-Q / 10-K (SEC EDGAR, CIK 1065280) — weighted-average shares; split-adjusted by the filing date of each source (7-for-1 effective 14-Jul-2015; 10-for-1 effective 14-Nov-2025).</t>
      </text>
    </comment>
    <comment ref="BD163" authorId="0" shapeId="0">
      <text>
        <t>Q2-22 letter (8-K 19-Jul-2022): 'approximately $70 million of severance costs and an $80m non-cash impairment of certain real estate leases'; Q3-22 letter: 'excluding the $150m of restructuring costs in Q2'.</t>
      </text>
    </comment>
    <comment ref="BT163" authorId="0" shapeId="0">
      <text>
        <t>Q3-25 letter (8-K 21-Oct-2025): 'an expense in Q3'25 of approximately $619 million related to an ongoing dispute with Brazilian tax authorities regarding certain non-income tax assessments' (in cost of revenues); operating margin 28% vs 31.5% guidance.</t>
      </text>
    </comment>
    <comment ref="B177" authorId="0" shapeId="0">
      <text>
        <t>Source: Netflix shareholder letters / earnings releases (Form 8-K Item 2.02, Ex. 99.1) — "Non-GAAP Adjusted EBITDA reconciliation" (letters Q2-15 – Q1-23; each quarter takes the first published value, matched on GAAP net income).</t>
      </text>
    </comment>
    <comment ref="P179" authorId="0" shapeId="0">
      <text>
        <t>Each quarter takes its first published value; the definition is unchanged across the letters.</t>
      </text>
    </comment>
    <comment ref="B199" authorId="0" shapeId="0">
      <text>
        <t>Source: Netflix shareholder letters / earnings releases (Form 8-K Item 2.02, Ex. 99.1) — "Non-GAAP net income reconciliation" (2006 – Q2-10 excl. stock-based compensation; Q1-13 debt extinguishment; Q4-14 / Q4-15 tax-accrual releases; Q1-15 F/X impact).</t>
      </text>
    </comment>
    <comment ref="R199" authorId="0" shapeId="0">
      <text>
        <t>Q4-14 non-GAAP net income: the Q4-14 letter prints the release of tax accrual as +38,612 but deducts it (83,371 - 38,612 = 44,759); later letters print '(38,612)'. The model deducts it.</t>
      </text>
    </comment>
    <comment ref="C205" authorId="0" shapeId="0">
      <text>
        <t>Published in the Q4 releases 2006–2009 (and quarterly to Q2-10).</t>
      </text>
    </comment>
    <comment ref="R205" authorId="0" shapeId="0">
      <text>
        <t>Q4-14 non-GAAP net income: the Q4-14 letter prints the release of tax accrual as +38,612 but deducts it (83,371 - 38,612 = 44,759); later letters print '(38,612)'. The model deducts it.</t>
      </text>
    </comment>
    <comment ref="B226" authorId="0" shapeId="0">
      <text>
        <t>Source: Netflix Forms 10-Q / 10-K (SEC EDGAR, CIK 1065280) — cash-flow statements (year to date; discrete quarters derived, Q4 = FY − 9M). "Working capital &amp; other" = CFO − the named lines.</t>
      </text>
    </comment>
    <comment ref="C260" authorId="0" shapeId="0">
      <text>
        <t>Company items (2006): Acquisition of intangible asset -0.6; Acquisitions of DVD library -169.5; Proceeds from sale of DVDs 12.9; Proceeds from disposal of property and equipment 0.0; Deposits and other assets -1.3</t>
      </text>
    </comment>
    <comment ref="E260" authorId="0" shapeId="0">
      <text>
        <t>Company items (2008): Acquisition of intangible asset -1.1; Acquisitions of content library -162.8; Proceeds from sale of DVDs 18.4; Other assets -0.0</t>
      </text>
    </comment>
    <comment ref="F260" authorId="0" shapeId="0">
      <text>
        <t>Company items (2009): Acquisitions of intangible asset -0.2; Acquisitions of content library -193.0; Proceeds from sale of DVDs 11.2; Other assets 0.1</t>
      </text>
    </comment>
    <comment ref="G260" authorId="0" shapeId="0">
      <text>
        <t>Company items (2010): Acquisitions of DVD content library -123.9; Acquisitions of intangible assets -0.5; Proceeds from sale of DVDs 12.9; Other assets -0.1</t>
      </text>
    </comment>
    <comment ref="H260" authorId="0" shapeId="0">
      <text>
        <t>Company items (2011): Acquisitions of DVD content library -85.2; Other assets 3.7</t>
      </text>
    </comment>
    <comment ref="I260" authorId="0" shapeId="0">
      <text>
        <t>Company items (2012): Acquisitions of DVD content library -48.3; Other assets 8.8</t>
      </text>
    </comment>
    <comment ref="J260" authorId="0" shapeId="0">
      <text>
        <t>Company items (Q1-13): Acquisitions of DVD content library -21.2; Other assets 4.0</t>
      </text>
    </comment>
    <comment ref="K260" authorId="0" shapeId="0">
      <text>
        <t>Company items (Q2-13): Acquisitions of DVD content library -14.0; Other assets 1.1</t>
      </text>
    </comment>
    <comment ref="L260" authorId="0" shapeId="0">
      <text>
        <t>Company items (Q3-13): Acquisitions of DVD content library -15.5; Other assets -1.3</t>
      </text>
    </comment>
    <comment ref="M260" authorId="0" shapeId="0">
      <text>
        <t>Company items (Q4-13): Acquisitions of DVD content library -15.2; Other assets 2.1</t>
      </text>
    </comment>
    <comment ref="N260" authorId="0" shapeId="0">
      <text>
        <t>Company items (2013): Acquisitions of DVD content library -65.9; Other assets 5.9</t>
      </text>
    </comment>
    <comment ref="O260" authorId="0" shapeId="0">
      <text>
        <t>Company items (Q1-14): Acquisition of DVD content library -14.9; Other assets 0.3</t>
      </text>
    </comment>
    <comment ref="P260" authorId="0" shapeId="0">
      <text>
        <t>Company items (Q2-14): Acquisition of DVD content library -21.0; Other assets 1.1</t>
      </text>
    </comment>
    <comment ref="Q260" authorId="0" shapeId="0">
      <text>
        <t>Company items (Q3-14): Acquisition of DVD content library -15.5; Other assets 0.3</t>
      </text>
    </comment>
    <comment ref="R260" authorId="0" shapeId="0">
      <text>
        <t>Company items (Q4-14): Acquisition of DVD content library -23.4; Other assets -0.4</t>
      </text>
    </comment>
    <comment ref="S260" authorId="0" shapeId="0">
      <text>
        <t>Company items (2014): Acquisition of DVD content library -74.8; Other assets 1.3</t>
      </text>
    </comment>
    <comment ref="T260" authorId="0" shapeId="0">
      <text>
        <t>Company items (Q1-15): Acquisition of DVD content library -22.9; Other assets 0.2</t>
      </text>
    </comment>
    <comment ref="U260" authorId="0" shapeId="0">
      <text>
        <t>Company items (Q2-15): Acquisition of DVD content library -19.8; Other assets -0.6</t>
      </text>
    </comment>
    <comment ref="V260" authorId="0" shapeId="0">
      <text>
        <t>Company items (Q3-15): Acquisition of DVD content library -14.5; Other assets -3.8</t>
      </text>
    </comment>
    <comment ref="W260" authorId="0" shapeId="0">
      <text>
        <t>Company items (Q4-15): Acquisition of DVD content assets -20.8; Other assets 2.3</t>
      </text>
    </comment>
    <comment ref="X260" authorId="0" shapeId="0">
      <text>
        <t>Company items (2015): Acquisition of DVD content assets -78.0; Other assets -1.9</t>
      </text>
    </comment>
    <comment ref="Y260" authorId="0" shapeId="0">
      <text>
        <t>Company items (Q1-16): Acquisition of DVD content assets -23.2; Change in other assets -0.4</t>
      </text>
    </comment>
    <comment ref="Z260" authorId="0" shapeId="0">
      <text>
        <t>Company items (Q2-16): Acquisition of DVD content assets -17.9; Change in other assets 0.9</t>
      </text>
    </comment>
    <comment ref="AA260" authorId="0" shapeId="0">
      <text>
        <t>Company items (Q3-16): Acquisition of DVD content assets -17.2; Change in other assets 0.1</t>
      </text>
    </comment>
    <comment ref="AB260" authorId="0" shapeId="0">
      <text>
        <t>Company items (Q4-16): Acquisition of DVD content assets -18.8; Change in other assets -1.6</t>
      </text>
    </comment>
    <comment ref="AC260" authorId="0" shapeId="0">
      <text>
        <t>Company items (2016): Acquisition of DVD content assets -77.2; Change in other assets -0.9</t>
      </text>
    </comment>
    <comment ref="AD260" authorId="0" shapeId="0">
      <text>
        <t>Company items (Q1-17): Acquisition of DVD content assets -25.4; Change in other assets -0.8</t>
      </text>
    </comment>
    <comment ref="AE260" authorId="0" shapeId="0">
      <text>
        <t>Company items (Q2-17): Acquisition of DVD content assets -7.6; Change in other assets -1.1</t>
      </text>
    </comment>
    <comment ref="AF260" authorId="0" shapeId="0">
      <text>
        <t>Company items (Q3-17): Acquisitions of DVD content assets -10.2; Change in other assets -1.1</t>
      </text>
    </comment>
    <comment ref="AG260" authorId="0" shapeId="0">
      <text>
        <t>Company items (Q4-17): Acquisitions of DVD content assets -10.5; Change in other assets -3.7</t>
      </text>
    </comment>
    <comment ref="AH260" authorId="0" shapeId="0">
      <text>
        <t>Company items (2017): Acquisitions of DVD content assets -53.7; Change in other assets -6.7</t>
      </text>
    </comment>
    <comment ref="AI260" authorId="0" shapeId="0">
      <text>
        <t>Company items (Q1-18): Acquisition of DVD content assets -10.8; Change in other assets -1.8</t>
      </text>
    </comment>
    <comment ref="AJ260" authorId="0" shapeId="0">
      <text>
        <t>Company items (Q2-18): Acquisition of DVD content assets -12.6; Change in other assets -0.4</t>
      </text>
    </comment>
    <comment ref="AK260" authorId="0" shapeId="0">
      <text>
        <t>Company items (Q3-18): Acquisition of DVD content assets -7.7; Change in other assets -121.6</t>
      </text>
    </comment>
    <comment ref="AL260" authorId="0" shapeId="0">
      <text>
        <t>Company items (Q4-18): Acquisition of DVD content assets -7.5; Change in other assets -2.7</t>
      </text>
    </comment>
    <comment ref="AM260" authorId="0" shapeId="0">
      <text>
        <t>Company items (2018): Acquisition of DVD content assets -38.6; Change in other assets -126.6</t>
      </text>
    </comment>
    <comment ref="AN260" authorId="0" shapeId="0">
      <text>
        <t>Company items (Q1-19): Acquisition of DVD content assets -9.2; Change in other assets -10.6</t>
      </text>
    </comment>
    <comment ref="AO260" authorId="0" shapeId="0">
      <text>
        <t>Company items (Q2-19): Acquisition of DVD content assets -7.8; Change in other assets -2.7</t>
      </text>
    </comment>
    <comment ref="AP260" authorId="0" shapeId="0">
      <text>
        <t>Company items (Q3-19): Acquisition of DVD content assets -4.6; Change in other assets 0.6</t>
      </text>
    </comment>
    <comment ref="AQ260" authorId="0" shapeId="0">
      <text>
        <t>Company items (Q4-19): Change in other assets -99.8</t>
      </text>
    </comment>
    <comment ref="AR260" authorId="0" shapeId="0">
      <text>
        <t>Company items (2019): Change in other assets -134.0</t>
      </text>
    </comment>
    <comment ref="AS260" authorId="0" shapeId="0">
      <text>
        <t>Company items (Q1-20): Net cash used in investing activities -98.3</t>
      </text>
    </comment>
    <comment ref="AT260" authorId="0" shapeId="0">
      <text>
        <t>Company items (Q2-20): Net cash used in investing activities -142.0</t>
      </text>
    </comment>
    <comment ref="AU260" authorId="0" shapeId="0">
      <text>
        <t>Company items (Q3-20): Net cash used in investing activities -118.7</t>
      </text>
    </comment>
    <comment ref="AV260" authorId="0" shapeId="0">
      <text>
        <t>Company items (Q4-20): Change in other assets 2.0</t>
      </text>
    </comment>
    <comment ref="AW260" authorId="0" shapeId="0">
      <text>
        <t>Company items (2020): Change in other assets -7.4</t>
      </text>
    </comment>
    <comment ref="AX260" authorId="0" shapeId="0">
      <text>
        <t>Company items (Q1-21): Change in other assets -4.6</t>
      </text>
    </comment>
    <comment ref="AY260" authorId="0" shapeId="0">
      <text>
        <t>Company items (Q2-21): Change in other assets -1.0</t>
      </text>
    </comment>
    <comment ref="AZ260" authorId="0" shapeId="0">
      <text>
        <t>Company items (Q3-21): Change in other assets -21.3</t>
      </text>
    </comment>
    <comment ref="BB260" authorId="0" shapeId="0">
      <text>
        <t>Company items (2021): Change in other assets -26.9</t>
      </text>
    </comment>
    <comment ref="B261" authorId="0" shapeId="0">
      <text>
        <t>Source: Netflix shareholder letters / earnings releases (Form 8-K Item 2.02, Ex. 99.1) — "Non-GAAP free cash flow reconciliation" (column matched on net cash from operating activities).</t>
      </text>
    </comment>
    <comment ref="D261" authorId="0" shapeId="0">
      <text>
        <t>FY2007: the FY2007 10-K cash flow (CFO $291.8m) differs from the Q4-07 release ($290.1m) used for published FCF ($45.5m); FCF check left n/p for FY2007.</t>
      </text>
    </comment>
    <comment ref="K261" authorId="0" shapeId="0">
      <text>
        <t>Q2-13 letter shows Q2 CFO $33.9m after restating Q1-13; the 10-Q year-to-date figures give $33.9m (H1 − Q1 as first filed, $0.1m different). Published FCF matched within $0.1m.</t>
      </text>
    </comment>
    <comment ref="B285" authorId="0" shapeId="0">
      <text>
        <t>Source: Netflix Forms 10-Q / 10-K (SEC EDGAR, CIK 1065280) — consolidated balance sheets (period ends); shares outstanding from XBRL (CommonStockSharesOutstanding, as first filed, split-adjusted).</t>
      </text>
    </comment>
    <comment ref="B334" authorId="0" shapeId="0">
      <text>
        <t>Source: Q2-26 10-Q Note 7 (debt); 8-K 22-Jul-2026 (Item 8.01: $1bn 5.250% notes due 2036); $3bn revolving credit agreement (Apr-2024).</t>
      </text>
    </comment>
  </commentList>
</comments>
</file>

<file path=xl/comments/comment2.xml><?xml version="1.0" encoding="utf-8"?>
<comments xmlns="http://schemas.openxmlformats.org/spreadsheetml/2006/main">
  <authors>
    <author>NFLX model</author>
  </authors>
  <commentList>
    <comment ref="N26" authorId="0" shapeId="0">
      <text>
        <t>P/E on adjusted EPS (model: GAAP + company-quantified items; = GAAP in the forecast). NFLX at $70.00 trades at ~23x 2026E adjusted EPS ($3.03, excl. the WBD termination fee; ~20x GAAP) and ~19x 2027E. Exit multiples are assumptions: Base 22x, Bull 28x, Bear 16x applied to 2030E–31E (2029E–31E for Bear) — a modest premium to the market for high-teens EPS growth in Base, compressing as growth matures.</t>
      </text>
    </comment>
    <comment ref="P40" authorId="0" shapeId="0">
      <text>
        <t>Snapshot (values) of Model rows 275, 274 and 276 (Share Buyback Schedule) with Model!CG2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S403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width="13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width="13" customWidth="1" style="251" min="19" max="19"/>
    <col hidden="1" outlineLevel="1" width="9.5703125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width="13" customWidth="1" style="251" min="24" max="24"/>
    <col hidden="1" outlineLevel="1" width="9.5703125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width="13" customWidth="1" style="251" min="29" max="29"/>
    <col hidden="1" outlineLevel="1" width="9.5703125" customWidth="1" style="251" min="30" max="30"/>
    <col hidden="1" outlineLevel="1" width="9.5703125" customWidth="1" style="251" min="31" max="31"/>
    <col hidden="1" outlineLevel="1" width="9.5703125" customWidth="1" style="251" min="32" max="32"/>
    <col hidden="1" outlineLevel="1" width="9.5703125" customWidth="1" style="251" min="33" max="33"/>
    <col width="13" customWidth="1" style="251" min="34" max="34"/>
    <col hidden="1" outlineLevel="1" width="9.5703125" customWidth="1" style="251" min="35" max="35"/>
    <col hidden="1" outlineLevel="1" width="9.5703125" customWidth="1" style="251" min="36" max="36"/>
    <col hidden="1" outlineLevel="1" width="9.5703125" customWidth="1" style="251" min="37" max="37"/>
    <col hidden="1" outlineLevel="1" width="9.5703125" customWidth="1" style="251" min="38" max="38"/>
    <col width="13" customWidth="1" style="251" min="39" max="39"/>
    <col hidden="1" outlineLevel="1" width="9.5703125" customWidth="1" style="251" min="40" max="40"/>
    <col hidden="1" outlineLevel="1" width="9.5703125" customWidth="1" style="251" min="41" max="41"/>
    <col hidden="1" outlineLevel="1" width="9.5703125" customWidth="1" style="251" min="42" max="42"/>
    <col hidden="1" outlineLevel="1" width="9.5703125" customWidth="1" style="251" min="43" max="43"/>
    <col width="13" customWidth="1" style="251" min="44" max="44"/>
    <col hidden="1" outlineLevel="1" width="9.5703125" customWidth="1" style="251" min="45" max="45"/>
    <col hidden="1" outlineLevel="1" width="9.5703125" customWidth="1" style="251" min="46" max="46"/>
    <col hidden="1" outlineLevel="1" width="9.5703125" customWidth="1" style="251" min="47" max="47"/>
    <col hidden="1" outlineLevel="1" width="9.5703125" customWidth="1" style="251" min="48" max="48"/>
    <col width="13" customWidth="1" style="251" min="49" max="49"/>
    <col hidden="1" outlineLevel="1" width="9.5703125" customWidth="1" style="251" min="50" max="50"/>
    <col hidden="1" outlineLevel="1" width="9.5703125" customWidth="1" style="251" min="51" max="51"/>
    <col hidden="1" outlineLevel="1" width="9.5703125" customWidth="1" style="251" min="52" max="52"/>
    <col hidden="1" outlineLevel="1" width="9.5703125" customWidth="1" style="251" min="53" max="53"/>
    <col width="13" customWidth="1" style="251" min="54" max="54"/>
    <col hidden="1" outlineLevel="1" width="9.5703125" customWidth="1" style="251" min="55" max="55"/>
    <col hidden="1" outlineLevel="1" width="9.5703125" customWidth="1" style="251" min="56" max="56"/>
    <col hidden="1" outlineLevel="1" width="9.5703125" customWidth="1" style="251" min="57" max="57"/>
    <col hidden="1" outlineLevel="1" width="9.5703125" customWidth="1" style="251" min="58" max="58"/>
    <col width="13" customWidth="1" style="251" min="59" max="59"/>
    <col hidden="1" outlineLevel="1" width="9.5703125" customWidth="1" style="251" min="60" max="60"/>
    <col hidden="1" outlineLevel="1" width="9.5703125" customWidth="1" style="251" min="61" max="61"/>
    <col hidden="1" outlineLevel="1" width="9.5703125" customWidth="1" style="251" min="62" max="62"/>
    <col hidden="1" outlineLevel="1" width="9.5703125" customWidth="1" style="251" min="63" max="63"/>
    <col width="13" customWidth="1" style="251" min="64" max="64"/>
    <col hidden="1" outlineLevel="1" width="9.5703125" customWidth="1" style="251" min="65" max="65"/>
    <col hidden="1" outlineLevel="1" width="9.5703125" customWidth="1" style="251" min="66" max="66"/>
    <col hidden="1" outlineLevel="1" width="9.5703125" customWidth="1" style="251" min="67" max="67"/>
    <col hidden="1" outlineLevel="1" width="9.5703125" customWidth="1" style="251" min="68" max="68"/>
    <col width="13" customWidth="1" style="251" min="69" max="69"/>
    <col hidden="1" outlineLevel="1" width="9.5703125" customWidth="1" style="251" min="70" max="70"/>
    <col hidden="1" outlineLevel="1" width="9.5703125" customWidth="1" style="251" min="71" max="71"/>
    <col hidden="1" outlineLevel="1" width="9.5703125" customWidth="1" style="251" min="72" max="72"/>
    <col hidden="1" outlineLevel="1" width="9.5703125" customWidth="1" style="251" min="73" max="73"/>
    <col width="13" customWidth="1" style="251" min="74" max="74"/>
    <col hidden="1" outlineLevel="1" width="9.5703125" customWidth="1" style="251" min="75" max="75"/>
    <col hidden="1" outlineLevel="1" width="9.5703125" customWidth="1" style="251" min="76" max="76"/>
    <col hidden="1" outlineLevel="1" width="11.42578125" customWidth="1" style="251" min="77" max="77"/>
    <col hidden="1" outlineLevel="1" width="11.42578125" customWidth="1" style="251" min="78" max="78"/>
    <col width="14.140625" customWidth="1" style="251" min="79" max="79"/>
    <col width="13" customWidth="1" style="251" min="80" max="80"/>
    <col width="13" customWidth="1" style="251" min="81" max="81"/>
    <col width="13" customWidth="1" style="251" min="82" max="82"/>
    <col width="13" customWidth="1" style="251" min="83" max="83"/>
    <col width="13" customWidth="1" style="251" min="84" max="84"/>
    <col width="86.85546875" customWidth="1" style="251" min="85" max="85"/>
    <col width="2" customWidth="1" style="251" min="86" max="86"/>
    <col width="14.140625" customWidth="1" style="251" min="87" max="87"/>
    <col width="12.42578125" customWidth="1" style="251" min="88" max="88"/>
    <col width="13.42578125" customWidth="1" style="251" min="89" max="89"/>
    <col width="13" customWidth="1" style="251" min="90" max="90"/>
    <col width="2" customWidth="1" style="251" min="91" max="91"/>
    <col width="6" customWidth="1" style="251" min="92" max="92"/>
    <col width="46" customWidth="1" style="251" min="93" max="93"/>
    <col width="11.5703125" customWidth="1" style="251" min="94" max="94"/>
    <col width="13" customWidth="1" style="251" min="95" max="95"/>
    <col width="13" customWidth="1" style="251" min="96" max="96"/>
    <col width="60" customWidth="1" style="251" min="97" max="97"/>
  </cols>
  <sheetData>
    <row r="1" ht="15" customHeight="1" s="251">
      <c r="CG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Netflix, Inc. (NASDAQ: NFLX) — 3-Statement Financial Model</t>
        </is>
      </c>
      <c r="CG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millions, split-adjusted) · Fiscal years ended 31 December · Source: Netflix Forms 10-K / 10-Q, Form 8-K shareholder letters (Ex. 99.1) and financing / deal 8-Ks, SEC EDGAR (CIK 1065280); XBRL company facts for cross-checks and shares outstanding; the investor-relations site (ir.netflix.net) is not used — its letters are the same documents as filed on EDGAR</t>
        </is>
      </c>
    </row>
    <row r="4" ht="15" customHeight="1" s="251">
      <c r="B4" s="5" t="inlineStr">
        <is>
          <t>Basis notes: as originally reported (2018 quarters recast for the Q4-2018 cost reclassification). Splits 7-for-1 (Jul-2015) and 10-for-1 (Nov-2025) applied by filing date. Segments: Domestic / International streaming + Domestic DVD (2011–19, memo); regions UCAN / EMEA / LATAM / APAC (2017+). DVD service closed Sep-2023. WBD merger agreed Dec-2025, terminated 27-Feb-2026 ($2.8bn fee received Q1-26). Q3/Q4-26E calibrated to the Q3-26 and FY26 guidance (16-Jul-2026).</t>
        </is>
      </c>
    </row>
    <row r="5" ht="15" customHeight="1" s="251">
      <c r="BY5" s="153" t="n"/>
      <c r="BZ5" s="153" t="n"/>
      <c r="CA5" s="153" t="n"/>
      <c r="CB5" s="153" t="n"/>
      <c r="CC5" s="153" t="n"/>
      <c r="CD5" s="153" t="n"/>
      <c r="CE5" s="153" t="n"/>
      <c r="CF5" s="153" t="n"/>
      <c r="CI5" s="6" t="inlineStr">
        <is>
          <t>Forecast</t>
        </is>
      </c>
      <c r="CJ5" s="6" t="inlineStr">
        <is>
          <t>Historical</t>
        </is>
      </c>
      <c r="CK5" s="6" t="inlineStr">
        <is>
          <t>Historical</t>
        </is>
      </c>
      <c r="CL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2006</v>
      </c>
      <c r="D6" s="8" t="n">
        <v>2007</v>
      </c>
      <c r="E6" s="8" t="n">
        <v>2008</v>
      </c>
      <c r="F6" s="8" t="n">
        <v>2009</v>
      </c>
      <c r="G6" s="8" t="n">
        <v>2010</v>
      </c>
      <c r="H6" s="8" t="n">
        <v>2011</v>
      </c>
      <c r="I6" s="8" t="n">
        <v>2012</v>
      </c>
      <c r="J6" s="8" t="inlineStr">
        <is>
          <t>Q1/13</t>
        </is>
      </c>
      <c r="K6" s="8" t="inlineStr">
        <is>
          <t>Q2/13</t>
        </is>
      </c>
      <c r="L6" s="8" t="inlineStr">
        <is>
          <t>Q3/13</t>
        </is>
      </c>
      <c r="M6" s="8" t="inlineStr">
        <is>
          <t>Q4/13</t>
        </is>
      </c>
      <c r="N6" s="8" t="n">
        <v>2013</v>
      </c>
      <c r="O6" s="8" t="inlineStr">
        <is>
          <t>Q1/14</t>
        </is>
      </c>
      <c r="P6" s="8" t="inlineStr">
        <is>
          <t>Q2/14</t>
        </is>
      </c>
      <c r="Q6" s="8" t="inlineStr">
        <is>
          <t>Q3/14</t>
        </is>
      </c>
      <c r="R6" s="8" t="inlineStr">
        <is>
          <t>Q4/14</t>
        </is>
      </c>
      <c r="S6" s="8" t="n">
        <v>2014</v>
      </c>
      <c r="T6" s="8" t="inlineStr">
        <is>
          <t>Q1/15</t>
        </is>
      </c>
      <c r="U6" s="8" t="inlineStr">
        <is>
          <t>Q2/15</t>
        </is>
      </c>
      <c r="V6" s="8" t="inlineStr">
        <is>
          <t>Q3/15</t>
        </is>
      </c>
      <c r="W6" s="8" t="inlineStr">
        <is>
          <t>Q4/15</t>
        </is>
      </c>
      <c r="X6" s="8" t="n">
        <v>2015</v>
      </c>
      <c r="Y6" s="8" t="inlineStr">
        <is>
          <t>Q1/16</t>
        </is>
      </c>
      <c r="Z6" s="8" t="inlineStr">
        <is>
          <t>Q2/16</t>
        </is>
      </c>
      <c r="AA6" s="8" t="inlineStr">
        <is>
          <t>Q3/16</t>
        </is>
      </c>
      <c r="AB6" s="8" t="inlineStr">
        <is>
          <t>Q4/16</t>
        </is>
      </c>
      <c r="AC6" s="8" t="n">
        <v>2016</v>
      </c>
      <c r="AD6" s="8" t="inlineStr">
        <is>
          <t>Q1/17</t>
        </is>
      </c>
      <c r="AE6" s="8" t="inlineStr">
        <is>
          <t>Q2/17</t>
        </is>
      </c>
      <c r="AF6" s="8" t="inlineStr">
        <is>
          <t>Q3/17</t>
        </is>
      </c>
      <c r="AG6" s="8" t="inlineStr">
        <is>
          <t>Q4/17</t>
        </is>
      </c>
      <c r="AH6" s="8" t="n">
        <v>2017</v>
      </c>
      <c r="AI6" s="8" t="inlineStr">
        <is>
          <t>Q1/18</t>
        </is>
      </c>
      <c r="AJ6" s="8" t="inlineStr">
        <is>
          <t>Q2/18</t>
        </is>
      </c>
      <c r="AK6" s="8" t="inlineStr">
        <is>
          <t>Q3/18</t>
        </is>
      </c>
      <c r="AL6" s="8" t="inlineStr">
        <is>
          <t>Q4/18</t>
        </is>
      </c>
      <c r="AM6" s="8" t="n">
        <v>2018</v>
      </c>
      <c r="AN6" s="8" t="inlineStr">
        <is>
          <t>Q1/19</t>
        </is>
      </c>
      <c r="AO6" s="8" t="inlineStr">
        <is>
          <t>Q2/19</t>
        </is>
      </c>
      <c r="AP6" s="8" t="inlineStr">
        <is>
          <t>Q3/19</t>
        </is>
      </c>
      <c r="AQ6" s="8" t="inlineStr">
        <is>
          <t>Q4/19</t>
        </is>
      </c>
      <c r="AR6" s="8" t="n">
        <v>2019</v>
      </c>
      <c r="AS6" s="8" t="inlineStr">
        <is>
          <t>Q1/20</t>
        </is>
      </c>
      <c r="AT6" s="8" t="inlineStr">
        <is>
          <t>Q2/20</t>
        </is>
      </c>
      <c r="AU6" s="8" t="inlineStr">
        <is>
          <t>Q3/20</t>
        </is>
      </c>
      <c r="AV6" s="8" t="inlineStr">
        <is>
          <t>Q4/20</t>
        </is>
      </c>
      <c r="AW6" s="8" t="n">
        <v>2020</v>
      </c>
      <c r="AX6" s="8" t="inlineStr">
        <is>
          <t>Q1/21</t>
        </is>
      </c>
      <c r="AY6" s="8" t="inlineStr">
        <is>
          <t>Q2/21</t>
        </is>
      </c>
      <c r="AZ6" s="8" t="inlineStr">
        <is>
          <t>Q3/21</t>
        </is>
      </c>
      <c r="BA6" s="8" t="inlineStr">
        <is>
          <t>Q4/21</t>
        </is>
      </c>
      <c r="BB6" s="8" t="n">
        <v>2021</v>
      </c>
      <c r="BC6" s="8" t="inlineStr">
        <is>
          <t>Q1/22</t>
        </is>
      </c>
      <c r="BD6" s="8" t="inlineStr">
        <is>
          <t>Q2/22</t>
        </is>
      </c>
      <c r="BE6" s="8" t="inlineStr">
        <is>
          <t>Q3/22</t>
        </is>
      </c>
      <c r="BF6" s="8" t="inlineStr">
        <is>
          <t>Q4/22</t>
        </is>
      </c>
      <c r="BG6" s="8" t="n">
        <v>2022</v>
      </c>
      <c r="BH6" s="8" t="inlineStr">
        <is>
          <t>Q1/23</t>
        </is>
      </c>
      <c r="BI6" s="8" t="inlineStr">
        <is>
          <t>Q2/23</t>
        </is>
      </c>
      <c r="BJ6" s="8" t="inlineStr">
        <is>
          <t>Q3/23</t>
        </is>
      </c>
      <c r="BK6" s="8" t="inlineStr">
        <is>
          <t>Q4/23</t>
        </is>
      </c>
      <c r="BL6" s="8" t="n">
        <v>2023</v>
      </c>
      <c r="BM6" s="8" t="inlineStr">
        <is>
          <t>Q1/24</t>
        </is>
      </c>
      <c r="BN6" s="8" t="inlineStr">
        <is>
          <t>Q2/24</t>
        </is>
      </c>
      <c r="BO6" s="8" t="inlineStr">
        <is>
          <t>Q3/24</t>
        </is>
      </c>
      <c r="BP6" s="8" t="inlineStr">
        <is>
          <t>Q4/24</t>
        </is>
      </c>
      <c r="BQ6" s="8" t="n">
        <v>2024</v>
      </c>
      <c r="BR6" s="8" t="inlineStr">
        <is>
          <t>Q1/25</t>
        </is>
      </c>
      <c r="BS6" s="8" t="inlineStr">
        <is>
          <t>Q2/25</t>
        </is>
      </c>
      <c r="BT6" s="8" t="inlineStr">
        <is>
          <t>Q3/25</t>
        </is>
      </c>
      <c r="BU6" s="8" t="inlineStr">
        <is>
          <t>Q4/25</t>
        </is>
      </c>
      <c r="BV6" s="8" t="n">
        <v>2025</v>
      </c>
      <c r="BW6" s="8" t="inlineStr">
        <is>
          <t>Q1/26</t>
        </is>
      </c>
      <c r="BX6" s="8" t="inlineStr">
        <is>
          <t>Q2/26</t>
        </is>
      </c>
      <c r="BY6" s="8" t="inlineStr">
        <is>
          <t>Q3/26E</t>
        </is>
      </c>
      <c r="BZ6" s="8" t="inlineStr">
        <is>
          <t>Q4/26E</t>
        </is>
      </c>
      <c r="CA6" s="8" t="inlineStr">
        <is>
          <t>2026E</t>
        </is>
      </c>
      <c r="CB6" s="8" t="inlineStr">
        <is>
          <t>2027E</t>
        </is>
      </c>
      <c r="CC6" s="8" t="inlineStr">
        <is>
          <t>2028E</t>
        </is>
      </c>
      <c r="CD6" s="8" t="inlineStr">
        <is>
          <t>2029E</t>
        </is>
      </c>
      <c r="CE6" s="8" t="inlineStr">
        <is>
          <t>2030E</t>
        </is>
      </c>
      <c r="CF6" s="8" t="inlineStr">
        <is>
          <t>2031E</t>
        </is>
      </c>
      <c r="CG6" s="8" t="inlineStr">
        <is>
          <t>Modelling Notes</t>
        </is>
      </c>
      <c r="CI6" s="6" t="inlineStr">
        <is>
          <t>5Y CAGR</t>
        </is>
      </c>
      <c r="CJ6" s="6" t="inlineStr">
        <is>
          <t>5Y CAGR</t>
        </is>
      </c>
      <c r="CK6" s="6" t="inlineStr">
        <is>
          <t>10Y CAGR</t>
        </is>
      </c>
      <c r="CL6" s="6" t="inlineStr">
        <is>
          <t>19Y CAGR</t>
        </is>
      </c>
    </row>
    <row r="7" ht="15" customHeight="1" s="251">
      <c r="CI7" s="9" t="inlineStr">
        <is>
          <t>26-'31</t>
        </is>
      </c>
      <c r="CJ7" s="9" t="inlineStr">
        <is>
          <t>20-'25</t>
        </is>
      </c>
      <c r="CK7" s="9" t="inlineStr">
        <is>
          <t>15-'25</t>
        </is>
      </c>
      <c r="CL7" s="9" t="inlineStr">
        <is>
          <t>06-'25</t>
        </is>
      </c>
    </row>
    <row r="8" ht="15" customHeight="1" s="251">
      <c r="B8" s="10" t="inlineStr">
        <is>
          <t>REVENUE BUILD — STREAMING REVENUE BY REGION (UCAN · EMEA · LATAM · APAC; paid memberships × ARM as history KPIs)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inlineStr">
        <is>
          <t>REVENUE BUILD — modelling logic (regional revenue → consolidated revenue; Q3/Q4-26E calibrated to the Q3-26 and FY26 revenue guidance; 2027E+ regional growth levers)</t>
        </is>
      </c>
    </row>
    <row r="9" ht="15" customHeight="1" s="251">
      <c r="CO9" s="11" t="inlineStr">
        <is>
          <t>SCENARIO INPUT TABLE — driver assumptions per Bull / Base / Bear</t>
        </is>
      </c>
      <c r="CP9" s="12" t="inlineStr">
        <is>
          <t>Bull</t>
        </is>
      </c>
      <c r="CQ9" s="12" t="inlineStr">
        <is>
          <t>Base</t>
        </is>
      </c>
      <c r="CR9" s="12" t="inlineStr">
        <is>
          <t>Bear</t>
        </is>
      </c>
      <c r="CS9" s="13" t="inlineStr">
        <is>
          <t>Bull / Bear = Base + Δ (Δ inputs on each block header). Outlook block = high / mid / low end of the FY26 guidance ranges (point guidance = all cases).</t>
        </is>
      </c>
    </row>
    <row r="10" ht="15" customHeight="1" s="251">
      <c r="B10" s="14" t="inlineStr">
        <is>
          <t>United States and Canada (UCAN)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5" t="inlineStr">
        <is>
          <t>UCAN — modelling logic</t>
        </is>
      </c>
    </row>
    <row r="11" ht="15" customHeight="1" s="251">
      <c r="B11" s="25" t="inlineStr">
        <is>
          <t xml:space="preserve">  UCAN streaming revenue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253" t="n">
        <v>6660.859</v>
      </c>
      <c r="AI11" s="34" t="n"/>
      <c r="AJ11" s="34" t="n"/>
      <c r="AK11" s="34" t="n"/>
      <c r="AL11" s="34" t="n"/>
      <c r="AM11" s="253" t="n">
        <v>8281.531999999999</v>
      </c>
      <c r="AN11" s="253" t="n">
        <v>2256.851</v>
      </c>
      <c r="AO11" s="253" t="n">
        <v>2501.199</v>
      </c>
      <c r="AP11" s="253" t="n">
        <v>2621.25</v>
      </c>
      <c r="AQ11" s="253" t="n">
        <v>2671.908</v>
      </c>
      <c r="AR11" s="253" t="n">
        <v>10051.208</v>
      </c>
      <c r="AS11" s="253" t="n">
        <v>2702.776</v>
      </c>
      <c r="AT11" s="253" t="n">
        <v>2839.67</v>
      </c>
      <c r="AU11" s="253" t="n">
        <v>2933.445</v>
      </c>
      <c r="AV11" s="253" t="n">
        <v>2979.505</v>
      </c>
      <c r="AW11" s="253" t="n">
        <v>11455.396</v>
      </c>
      <c r="AX11" s="253" t="n">
        <v>3170.972</v>
      </c>
      <c r="AY11" s="253" t="n">
        <v>3234.643</v>
      </c>
      <c r="AZ11" s="253" t="n">
        <v>3257.697</v>
      </c>
      <c r="BA11" s="253" t="n">
        <v>3308.788</v>
      </c>
      <c r="BB11" s="253" t="n">
        <v>12972.1</v>
      </c>
      <c r="BC11" s="253" t="n">
        <v>3350.424</v>
      </c>
      <c r="BD11" s="253" t="n">
        <v>3537.863</v>
      </c>
      <c r="BE11" s="253" t="n">
        <v>3601.565</v>
      </c>
      <c r="BF11" s="253" t="n">
        <v>3594.791</v>
      </c>
      <c r="BG11" s="253" t="n">
        <v>14084.643</v>
      </c>
      <c r="BH11" s="253" t="n">
        <v>3608.645</v>
      </c>
      <c r="BI11" s="253" t="n">
        <v>3599.448</v>
      </c>
      <c r="BJ11" s="253" t="n">
        <v>3735.133</v>
      </c>
      <c r="BK11" s="253" t="n">
        <v>3930.557</v>
      </c>
      <c r="BL11" s="253" t="n">
        <v>14873.783</v>
      </c>
      <c r="BM11" s="253" t="n">
        <v>4224.315</v>
      </c>
      <c r="BN11" s="253" t="n">
        <v>4295.56</v>
      </c>
      <c r="BO11" s="253" t="n">
        <v>4322.476</v>
      </c>
      <c r="BP11" s="253" t="n">
        <v>4517.018</v>
      </c>
      <c r="BQ11" s="253" t="n">
        <v>17359.369</v>
      </c>
      <c r="BR11" s="253" t="n">
        <v>4617.098</v>
      </c>
      <c r="BS11" s="253" t="n">
        <v>4929.003</v>
      </c>
      <c r="BT11" s="253" t="n">
        <v>5071.781</v>
      </c>
      <c r="BU11" s="253" t="n">
        <v>5339.27</v>
      </c>
      <c r="BV11" s="253" t="n">
        <v>19957.152</v>
      </c>
      <c r="BW11" s="253" t="n">
        <v>5245.298</v>
      </c>
      <c r="BX11" s="253" t="n">
        <v>5431.667</v>
      </c>
      <c r="BY11" s="254">
        <f>BT11*(1+BY12)</f>
        <v>5519.31645533703</v>
      </c>
      <c r="BZ11" s="254">
        <f>BU11*(1+BZ12)</f>
        <v>5840.79949793937</v>
      </c>
      <c r="CA11" s="254">
        <f>SUM(BW11:BZ11)</f>
        <v>22037.0809532764</v>
      </c>
      <c r="CB11" s="254">
        <f>CA11*(1+CB12)</f>
        <v>24020.4182390713</v>
      </c>
      <c r="CC11" s="254">
        <f>CB11*(1+CC12)</f>
        <v>25942.051698197</v>
      </c>
      <c r="CD11" s="254">
        <f>CC11*(1+CD12)</f>
        <v>27757.9953170708</v>
      </c>
      <c r="CE11" s="254">
        <f>CD11*(1+CE12)</f>
        <v>29562.2650126804</v>
      </c>
      <c r="CF11" s="254">
        <f>CE11*(1+CF12)</f>
        <v>31336.0009134412</v>
      </c>
      <c r="CG11" s="19" t="inlineStr">
        <is>
          <t>Revenue by region (10-Q / 10-K revenue note; FY2017–19 from the FY2019 10-K and the 2019 quarters from the 2020 10-Q comparatives; Q4 = FY − 9M). Q3/Q4-26E: prior-year quarter × (1 + growth); 2027E+: prior year × (1 + scenario lever).</t>
        </is>
      </c>
      <c r="CI11" s="20">
        <f>IFERROR((CF11/CA11)^(1/5)-1,"n/m")</f>
        <v>0.0729460884465614</v>
      </c>
      <c r="CJ11" s="20">
        <f>IFERROR((BV11/AW11)^(1/5)-1,"n/m")</f>
        <v>0.117423219758013</v>
      </c>
      <c r="CK11" s="20" t="str">
        <f>IFERROR((BV11/X11)^(1/10)-1,"n/m")</f>
        <v>n/m</v>
      </c>
      <c r="CL11" s="20" t="str">
        <f>IFERROR((BV11/C11)^(1/19)-1,"n/m")</f>
        <v>n/m</v>
      </c>
      <c r="CO11" s="15" t="inlineStr">
        <is>
          <t>FY26 outlook — Q2-26 shareholder letter (16-Jul-2026)</t>
        </is>
      </c>
      <c r="CP11" s="21" t="inlineStr">
        <is>
          <t>High</t>
        </is>
      </c>
      <c r="CQ11" s="21" t="inlineStr">
        <is>
          <t>Mid</t>
        </is>
      </c>
      <c r="CR11" s="21" t="inlineStr">
        <is>
          <t>Low</t>
        </is>
      </c>
      <c r="CS11" s="13" t="inlineStr">
        <is>
          <t>Q3-26 forecast: revenue $12,860m, operating margin 33.2%, net income $3,452m, diluted EPS $0.82. FY26: revenue $51.0–51.4bn (narrowed from $50.7–51.7bn), operating margin 31.5%, content amortization ~+10%, cash content spend ~1.1x amortization, FCF ~$12.5bn (raised from ~$11bn in April), ads revenue ~$3bn. All from the 8-K Ex. 99.1 letters on EDGAR; point guidance applies to all cases.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</c>
      <c r="F12" s="255">
        <f>IF(AND(ISNUMBER(F11),ISNUMBER(E11)),IFERROR(F11/E11-1,""),"")</f>
      </c>
      <c r="G12" s="255">
        <f>IF(AND(ISNUMBER(G11),ISNUMBER(F11)),IFERROR(G11/F11-1,""),"")</f>
      </c>
      <c r="H12" s="255">
        <f>IF(AND(ISNUMBER(H11),ISNUMBER(G11)),IFERROR(H11/G11-1,""),"")</f>
      </c>
      <c r="I12" s="255">
        <f>IF(AND(ISNUMBER(I11),ISNUMBER(H11)),IFERROR(I11/H11-1,""),"")</f>
      </c>
      <c r="J12" s="23" t="n"/>
      <c r="K12" s="23" t="n"/>
      <c r="L12" s="23" t="n"/>
      <c r="M12" s="23" t="n"/>
      <c r="N12" s="255">
        <f>IF(AND(ISNUMBER(N11),ISNUMBER(I11)),IFERROR(N11/I11-1,""),"")</f>
      </c>
      <c r="O12" s="255">
        <f>IF(AND(ISNUMBER(O11),ISNUMBER(J11)),IFERROR(O11/J11-1,""),"")</f>
      </c>
      <c r="P12" s="255">
        <f>IF(AND(ISNUMBER(P11),ISNUMBER(K11)),IFERROR(P11/K11-1,""),"")</f>
      </c>
      <c r="Q12" s="255">
        <f>IF(AND(ISNUMBER(Q11),ISNUMBER(L11)),IFERROR(Q11/L11-1,""),"")</f>
      </c>
      <c r="R12" s="255">
        <f>IF(AND(ISNUMBER(R11),ISNUMBER(M11)),IFERROR(R11/M11-1,""),"")</f>
      </c>
      <c r="S12" s="255">
        <f>IF(AND(ISNUMBER(S11),ISNUMBER(N11)),IFERROR(S11/N11-1,""),"")</f>
      </c>
      <c r="T12" s="255">
        <f>IF(AND(ISNUMBER(T11),ISNUMBER(O11)),IFERROR(T11/O11-1,""),"")</f>
      </c>
      <c r="U12" s="255">
        <f>IF(AND(ISNUMBER(U11),ISNUMBER(P11)),IFERROR(U11/P11-1,""),"")</f>
      </c>
      <c r="V12" s="255">
        <f>IF(AND(ISNUMBER(V11),ISNUMBER(Q11)),IFERROR(V11/Q11-1,""),"")</f>
      </c>
      <c r="W12" s="255">
        <f>IF(AND(ISNUMBER(W11),ISNUMBER(R11)),IFERROR(W11/R11-1,""),"")</f>
      </c>
      <c r="X12" s="255">
        <f>IF(AND(ISNUMBER(X11),ISNUMBER(S11)),IFERROR(X11/S11-1,""),"")</f>
      </c>
      <c r="Y12" s="255">
        <f>IF(AND(ISNUMBER(Y11),ISNUMBER(T11)),IFERROR(Y11/T11-1,""),"")</f>
      </c>
      <c r="Z12" s="255">
        <f>IF(AND(ISNUMBER(Z11),ISNUMBER(U11)),IFERROR(Z11/U11-1,""),"")</f>
      </c>
      <c r="AA12" s="255">
        <f>IF(AND(ISNUMBER(AA11),ISNUMBER(V11)),IFERROR(AA11/V11-1,""),"")</f>
      </c>
      <c r="AB12" s="255">
        <f>IF(AND(ISNUMBER(AB11),ISNUMBER(W11)),IFERROR(AB11/W11-1,""),"")</f>
      </c>
      <c r="AC12" s="255">
        <f>IF(AND(ISNUMBER(AC11),ISNUMBER(X11)),IFERROR(AC11/X11-1,""),"")</f>
      </c>
      <c r="AD12" s="255">
        <f>IF(AND(ISNUMBER(AD11),ISNUMBER(Y11)),IFERROR(AD11/Y11-1,""),"")</f>
      </c>
      <c r="AE12" s="255">
        <f>IF(AND(ISNUMBER(AE11),ISNUMBER(Z11)),IFERROR(AE11/Z11-1,""),"")</f>
      </c>
      <c r="AF12" s="255">
        <f>IF(AND(ISNUMBER(AF11),ISNUMBER(AA11)),IFERROR(AF11/AA11-1,""),"")</f>
      </c>
      <c r="AG12" s="255">
        <f>IF(AND(ISNUMBER(AG11),ISNUMBER(AB11)),IFERROR(AG11/AB11-1,""),"")</f>
      </c>
      <c r="AH12" s="255">
        <f>IF(AND(ISNUMBER(AH11),ISNUMBER(AC11)),IFERROR(AH11/AC11-1,""),"")</f>
      </c>
      <c r="AI12" s="255">
        <f>IF(AND(ISNUMBER(AI11),ISNUMBER(AD11)),IFERROR(AI11/AD11-1,""),"")</f>
      </c>
      <c r="AJ12" s="255">
        <f>IF(AND(ISNUMBER(AJ11),ISNUMBER(AE11)),IFERROR(AJ11/AE11-1,""),"")</f>
      </c>
      <c r="AK12" s="255">
        <f>IF(AND(ISNUMBER(AK11),ISNUMBER(AF11)),IFERROR(AK11/AF11-1,""),"")</f>
      </c>
      <c r="AL12" s="255">
        <f>IF(AND(ISNUMBER(AL11),ISNUMBER(AG11)),IFERROR(AL11/AG11-1,""),"")</f>
      </c>
      <c r="AM12" s="255">
        <f>IF(AND(ISNUMBER(AM11),ISNUMBER(AH11)),IFERROR(AM11/AH11-1,""),"")</f>
        <v>0.243312912043326</v>
      </c>
      <c r="AN12" s="255">
        <f>IF(AND(ISNUMBER(AN11),ISNUMBER(AI11)),IFERROR(AN11/AI11-1,""),"")</f>
      </c>
      <c r="AO12" s="255">
        <f>IF(AND(ISNUMBER(AO11),ISNUMBER(AJ11)),IFERROR(AO11/AJ11-1,""),"")</f>
      </c>
      <c r="AP12" s="255">
        <f>IF(AND(ISNUMBER(AP11),ISNUMBER(AK11)),IFERROR(AP11/AK11-1,""),"")</f>
      </c>
      <c r="AQ12" s="255">
        <f>IF(AND(ISNUMBER(AQ11),ISNUMBER(AL11)),IFERROR(AQ11/AL11-1,""),"")</f>
      </c>
      <c r="AR12" s="255">
        <f>IF(AND(ISNUMBER(AR11),ISNUMBER(AM11)),IFERROR(AR11/AM11-1,""),"")</f>
        <v>0.213689447797823</v>
      </c>
      <c r="AS12" s="255">
        <f>IF(AND(ISNUMBER(AS11),ISNUMBER(AN11)),IFERROR(AS11/AN11-1,""),"")</f>
        <v>0.197587257643504</v>
      </c>
      <c r="AT12" s="255">
        <f>IF(AND(ISNUMBER(AT11),ISNUMBER(AO11)),IFERROR(AT11/AO11-1,""),"")</f>
        <v>0.135323498849952</v>
      </c>
      <c r="AU12" s="255">
        <f>IF(AND(ISNUMBER(AU11),ISNUMBER(AP11)),IFERROR(AU11/AP11-1,""),"")</f>
        <v>0.119101573676681</v>
      </c>
      <c r="AV12" s="255">
        <f>IF(AND(ISNUMBER(AV11),ISNUMBER(AQ11)),IFERROR(AV11/AQ11-1,""),"")</f>
        <v>0.115122601526699</v>
      </c>
      <c r="AW12" s="255">
        <f>IF(AND(ISNUMBER(AW11),ISNUMBER(AR11)),IFERROR(AW11/AR11-1,""),"")</f>
        <v>0.139703406794487</v>
      </c>
      <c r="AX12" s="255">
        <f>IF(AND(ISNUMBER(AX11),ISNUMBER(AS11)),IFERROR(AX11/AS11-1,""),"")</f>
        <v>0.173227822061466</v>
      </c>
      <c r="AY12" s="255">
        <f>IF(AND(ISNUMBER(AY11),ISNUMBER(AT11)),IFERROR(AY11/AT11-1,""),"")</f>
        <v>0.139091162001219</v>
      </c>
      <c r="AZ12" s="255">
        <f>IF(AND(ISNUMBER(AZ11),ISNUMBER(AU11)),IFERROR(AZ11/AU11-1,""),"")</f>
        <v>0.11053624663152</v>
      </c>
      <c r="BA12" s="255">
        <f>IF(AND(ISNUMBER(BA11),ISNUMBER(AV11)),IFERROR(BA11/AV11-1,""),"")</f>
        <v>0.110516008531618</v>
      </c>
      <c r="BB12" s="255">
        <f>IF(AND(ISNUMBER(BB11),ISNUMBER(AW11)),IFERROR(BB11/AW11-1,""),"")</f>
        <v>0.13240083537924</v>
      </c>
      <c r="BC12" s="255">
        <f>IF(AND(ISNUMBER(BC11),ISNUMBER(AX11)),IFERROR(BC11/AX11-1,""),"")</f>
        <v>0.0565921111886196</v>
      </c>
      <c r="BD12" s="255">
        <f>IF(AND(ISNUMBER(BD11),ISNUMBER(AY11)),IFERROR(BD11/AY11-1,""),"")</f>
        <v>0.0937414113396748</v>
      </c>
      <c r="BE12" s="255">
        <f>IF(AND(ISNUMBER(BE11),ISNUMBER(AZ11)),IFERROR(BE11/AZ11-1,""),"")</f>
        <v>0.105555550439467</v>
      </c>
      <c r="BF12" s="255">
        <f>IF(AND(ISNUMBER(BF11),ISNUMBER(BA11)),IFERROR(BF11/BA11-1,""),"")</f>
        <v>0.0864373903677118</v>
      </c>
      <c r="BG12" s="255">
        <f>IF(AND(ISNUMBER(BG11),ISNUMBER(BB11)),IFERROR(BG11/BB11-1,""),"")</f>
        <v>0.0857642941389598</v>
      </c>
      <c r="BH12" s="255">
        <f>IF(AND(ISNUMBER(BH11),ISNUMBER(BC11)),IFERROR(BH11/BC11-1,""),"")</f>
        <v>0.0770711408466511</v>
      </c>
      <c r="BI12" s="255">
        <f>IF(AND(ISNUMBER(BI11),ISNUMBER(BD11)),IFERROR(BI11/BD11-1,""),"")</f>
        <v>0.0174074010214642</v>
      </c>
      <c r="BJ12" s="255">
        <f>IF(AND(ISNUMBER(BJ11),ISNUMBER(BE11)),IFERROR(BJ11/BE11-1,""),"")</f>
        <v>0.0370861000703859</v>
      </c>
      <c r="BK12" s="255">
        <f>IF(AND(ISNUMBER(BK11),ISNUMBER(BF11)),IFERROR(BK11/BF11-1,""),"")</f>
        <v>0.0934034829841288</v>
      </c>
      <c r="BL12" s="255">
        <f>IF(AND(ISNUMBER(BL11),ISNUMBER(BG11)),IFERROR(BL11/BG11-1,""),"")</f>
        <v>0.056028399157863</v>
      </c>
      <c r="BM12" s="255">
        <f>IF(AND(ISNUMBER(BM11),ISNUMBER(BH11)),IFERROR(BM11/BH11-1,""),"")</f>
        <v>0.170609744100625</v>
      </c>
      <c r="BN12" s="255">
        <f>IF(AND(ISNUMBER(BN11),ISNUMBER(BI11)),IFERROR(BN11/BI11-1,""),"")</f>
        <v>0.193394098206169</v>
      </c>
      <c r="BO12" s="255">
        <f>IF(AND(ISNUMBER(BO11),ISNUMBER(BJ11)),IFERROR(BO11/BJ11-1,""),"")</f>
        <v>0.157248215793119</v>
      </c>
      <c r="BP12" s="255">
        <f>IF(AND(ISNUMBER(BP11),ISNUMBER(BK11)),IFERROR(BP11/BK11-1,""),"")</f>
        <v>0.149205570609967</v>
      </c>
      <c r="BQ12" s="255">
        <f>IF(AND(ISNUMBER(BQ11),ISNUMBER(BL11)),IFERROR(BQ11/BL11-1,""),"")</f>
        <v>0.167111890767803</v>
      </c>
      <c r="BR12" s="255">
        <f>IF(AND(ISNUMBER(BR11),ISNUMBER(BM11)),IFERROR(BR11/BM11-1,""),"")</f>
        <v>0.0929814656340733</v>
      </c>
      <c r="BS12" s="255">
        <f>IF(AND(ISNUMBER(BS11),ISNUMBER(BN11)),IFERROR(BS11/BN11-1,""),"")</f>
        <v>0.147464591345482</v>
      </c>
      <c r="BT12" s="255">
        <f>IF(AND(ISNUMBER(BT11),ISNUMBER(BO11)),IFERROR(BT11/BO11-1,""),"")</f>
        <v>0.173350875748067</v>
      </c>
      <c r="BU12" s="255">
        <f>IF(AND(ISNUMBER(BU11),ISNUMBER(BP11)),IFERROR(BU11/BP11-1,""),"")</f>
        <v>0.182034253571715</v>
      </c>
      <c r="BV12" s="255">
        <f>IF(AND(ISNUMBER(BV11),ISNUMBER(BQ11)),IFERROR(BV11/BQ11-1,""),"")</f>
        <v>0.149647317249838</v>
      </c>
      <c r="BW12" s="255">
        <f>IF(AND(ISNUMBER(BW11),ISNUMBER(BR11)),IFERROR(BW11/BR11-1,""),"")</f>
        <v>0.136059490181928</v>
      </c>
      <c r="BX12" s="255">
        <f>IF(AND(ISNUMBER(BX11),ISNUMBER(BS11)),IFERROR(BX11/BS11-1,""),"")</f>
        <v>0.10198086712465</v>
      </c>
      <c r="BY12" s="256">
        <f>BY13+BY79</f>
        <v>0.0882402957337929</v>
      </c>
      <c r="BZ12" s="256">
        <f>BZ13+BZ79</f>
        <v>0.0939322225583968</v>
      </c>
      <c r="CA12" s="256">
        <f>IF(AND(ISNUMBER(CA11),ISNUMBER(BV11)),IFERROR(CA11/BV11-1,""),"")</f>
        <v>0.104219728009107</v>
      </c>
      <c r="CB12" s="256">
        <f>CHOOSE(MATCH($CG$2,{"Bull","Base","Bear"},0),$CP$31,$CQ$31,$CR$31)</f>
        <v>0.09</v>
      </c>
      <c r="CC12" s="256">
        <f>CHOOSE(MATCH($CG$2,{"Bull","Base","Bear"},0),$CP$32,$CQ$32,$CR$32)</f>
        <v>0.08</v>
      </c>
      <c r="CD12" s="256">
        <f>CHOOSE(MATCH($CG$2,{"Bull","Base","Bear"},0),$CP$33,$CQ$33,$CR$33)</f>
        <v>0.07</v>
      </c>
      <c r="CE12" s="256">
        <f>CHOOSE(MATCH($CG$2,{"Bull","Base","Bear"},0),$CP$34,$CQ$34,$CR$34)</f>
        <v>0.065</v>
      </c>
      <c r="CF12" s="256">
        <f>CHOOSE(MATCH($CG$2,{"Bull","Base","Bear"},0),$CP$35,$CQ$35,$CR$35)</f>
        <v>0.06</v>
      </c>
      <c r="CG12" s="153" t="inlineStr">
        <is>
          <t>Q3/Q4-26E: 1H-26 y/y growth of the region + revenue-guidance calibration Δ of that quarter (Group block). 2027E–2031E: scenario lever (table →).</t>
        </is>
      </c>
      <c r="CO12" s="25" t="inlineStr">
        <is>
          <t xml:space="preserve">  FY26 revenue ($m)</t>
        </is>
      </c>
      <c r="CP12" s="257" t="n">
        <v>51400</v>
      </c>
      <c r="CQ12" s="257" t="n">
        <v>51200</v>
      </c>
      <c r="CR12" s="257" t="n">
        <v>51000</v>
      </c>
      <c r="CS12" s="13" t="inlineStr">
        <is>
          <t>FY26 revenue $51.0-51.4bn (13-14% growth, ~12% F/X neutral), narrowed from $50.7-51.7bn (Q4-25 letter 20-Jan-2026; unchanged in the Q1-26 letter 16-Apr-2026). Drives the Q4-26E revenue calibration.</t>
        </is>
      </c>
    </row>
    <row r="13" ht="15" customHeight="1" s="251">
      <c r="B13" s="25" t="inlineStr">
        <is>
          <t xml:space="preserve">    Q3/Q4-26E growth before calibration (1H-26 y/y)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256">
        <f>IFERROR(SUM(BW11:BX11)/SUM(BR11:BS11)-1,0)</f>
        <v>0.118463443870959</v>
      </c>
      <c r="BZ13" s="256">
        <f>IFERROR(SUM(BW11:BX11)/SUM(BR11:BS11)-1,0)</f>
        <v>0.118463443870959</v>
      </c>
      <c r="CA13" s="24" t="n"/>
      <c r="CB13" s="46" t="n"/>
      <c r="CC13" s="46" t="n"/>
      <c r="CD13" s="46" t="n"/>
      <c r="CE13" s="46" t="n"/>
      <c r="CF13" s="46" t="n"/>
      <c r="CG13" s="19" t="n"/>
      <c r="CO13" s="25" t="inlineStr">
        <is>
          <t xml:space="preserve">  Q3-26 revenue ($m)</t>
        </is>
      </c>
      <c r="CP13" s="257" t="n">
        <v>12860</v>
      </c>
      <c r="CQ13" s="257" t="n">
        <v>12860</v>
      </c>
      <c r="CR13" s="257" t="n">
        <v>12860</v>
      </c>
      <c r="CS13" s="13" t="inlineStr">
        <is>
          <t>Q3-26 forecast $12,860m (+11.7% y/y). Drives the Q3-26E revenue calibration (point guidance).</t>
        </is>
      </c>
    </row>
    <row r="14" ht="15" customHeight="1" s="251">
      <c r="B14" s="25" t="inlineStr">
        <is>
          <t xml:space="preserve">    % of revenue</t>
        </is>
      </c>
      <c r="C14" s="215">
        <f>IF(AND(ISNUMBER(C11),ISNUMBER(C121)),IFERROR(C11/C121,""),"")</f>
      </c>
      <c r="D14" s="215">
        <f>IF(AND(ISNUMBER(D11),ISNUMBER(D121)),IFERROR(D11/D121,""),"")</f>
      </c>
      <c r="E14" s="215">
        <f>IF(AND(ISNUMBER(E11),ISNUMBER(E121)),IFERROR(E11/E121,""),"")</f>
      </c>
      <c r="F14" s="215">
        <f>IF(AND(ISNUMBER(F11),ISNUMBER(F121)),IFERROR(F11/F121,""),"")</f>
      </c>
      <c r="G14" s="215">
        <f>IF(AND(ISNUMBER(G11),ISNUMBER(G121)),IFERROR(G11/G121,""),"")</f>
      </c>
      <c r="H14" s="215">
        <f>IF(AND(ISNUMBER(H11),ISNUMBER(H121)),IFERROR(H11/H121,""),"")</f>
      </c>
      <c r="I14" s="215">
        <f>IF(AND(ISNUMBER(I11),ISNUMBER(I121)),IFERROR(I11/I121,""),"")</f>
      </c>
      <c r="J14" s="215">
        <f>IF(AND(ISNUMBER(J11),ISNUMBER(J121)),IFERROR(J11/J121,""),"")</f>
      </c>
      <c r="K14" s="215">
        <f>IF(AND(ISNUMBER(K11),ISNUMBER(K121)),IFERROR(K11/K121,""),"")</f>
      </c>
      <c r="L14" s="215">
        <f>IF(AND(ISNUMBER(L11),ISNUMBER(L121)),IFERROR(L11/L121,""),"")</f>
      </c>
      <c r="M14" s="215">
        <f>IF(AND(ISNUMBER(M11),ISNUMBER(M121)),IFERROR(M11/M121,""),"")</f>
      </c>
      <c r="N14" s="215">
        <f>IF(AND(ISNUMBER(N11),ISNUMBER(N121)),IFERROR(N11/N121,""),"")</f>
      </c>
      <c r="O14" s="215">
        <f>IF(AND(ISNUMBER(O11),ISNUMBER(O121)),IFERROR(O11/O121,""),"")</f>
      </c>
      <c r="P14" s="215">
        <f>IF(AND(ISNUMBER(P11),ISNUMBER(P121)),IFERROR(P11/P121,""),"")</f>
      </c>
      <c r="Q14" s="215">
        <f>IF(AND(ISNUMBER(Q11),ISNUMBER(Q121)),IFERROR(Q11/Q121,""),"")</f>
      </c>
      <c r="R14" s="215">
        <f>IF(AND(ISNUMBER(R11),ISNUMBER(R121)),IFERROR(R11/R121,""),"")</f>
      </c>
      <c r="S14" s="215">
        <f>IF(AND(ISNUMBER(S11),ISNUMBER(S121)),IFERROR(S11/S121,""),"")</f>
      </c>
      <c r="T14" s="215">
        <f>IF(AND(ISNUMBER(T11),ISNUMBER(T121)),IFERROR(T11/T121,""),"")</f>
      </c>
      <c r="U14" s="215">
        <f>IF(AND(ISNUMBER(U11),ISNUMBER(U121)),IFERROR(U11/U121,""),"")</f>
      </c>
      <c r="V14" s="215">
        <f>IF(AND(ISNUMBER(V11),ISNUMBER(V121)),IFERROR(V11/V121,""),"")</f>
      </c>
      <c r="W14" s="215">
        <f>IF(AND(ISNUMBER(W11),ISNUMBER(W121)),IFERROR(W11/W121,""),"")</f>
      </c>
      <c r="X14" s="215">
        <f>IF(AND(ISNUMBER(X11),ISNUMBER(X121)),IFERROR(X11/X121,""),"")</f>
      </c>
      <c r="Y14" s="215">
        <f>IF(AND(ISNUMBER(Y11),ISNUMBER(Y121)),IFERROR(Y11/Y121,""),"")</f>
      </c>
      <c r="Z14" s="215">
        <f>IF(AND(ISNUMBER(Z11),ISNUMBER(Z121)),IFERROR(Z11/Z121,""),"")</f>
      </c>
      <c r="AA14" s="215">
        <f>IF(AND(ISNUMBER(AA11),ISNUMBER(AA121)),IFERROR(AA11/AA121,""),"")</f>
      </c>
      <c r="AB14" s="215">
        <f>IF(AND(ISNUMBER(AB11),ISNUMBER(AB121)),IFERROR(AB11/AB121,""),"")</f>
      </c>
      <c r="AC14" s="215">
        <f>IF(AND(ISNUMBER(AC11),ISNUMBER(AC121)),IFERROR(AC11/AC121,""),"")</f>
      </c>
      <c r="AD14" s="215">
        <f>IF(AND(ISNUMBER(AD11),ISNUMBER(AD121)),IFERROR(AD11/AD121,""),"")</f>
      </c>
      <c r="AE14" s="215">
        <f>IF(AND(ISNUMBER(AE11),ISNUMBER(AE121)),IFERROR(AE11/AE121,""),"")</f>
      </c>
      <c r="AF14" s="215">
        <f>IF(AND(ISNUMBER(AF11),ISNUMBER(AF121)),IFERROR(AF11/AF121,""),"")</f>
      </c>
      <c r="AG14" s="215">
        <f>IF(AND(ISNUMBER(AG11),ISNUMBER(AG121)),IFERROR(AG11/AG121,""),"")</f>
      </c>
      <c r="AH14" s="215">
        <f>IF(AND(ISNUMBER(AH11),ISNUMBER(AH121)),IFERROR(AH11/AH121,""),"")</f>
        <v>0.569658983334321</v>
      </c>
      <c r="AI14" s="215">
        <f>IF(AND(ISNUMBER(AI11),ISNUMBER(AI121)),IFERROR(AI11/AI121,""),"")</f>
      </c>
      <c r="AJ14" s="215">
        <f>IF(AND(ISNUMBER(AJ11),ISNUMBER(AJ121)),IFERROR(AJ11/AJ121,""),"")</f>
      </c>
      <c r="AK14" s="215">
        <f>IF(AND(ISNUMBER(AK11),ISNUMBER(AK121)),IFERROR(AK11/AK121,""),"")</f>
      </c>
      <c r="AL14" s="215">
        <f>IF(AND(ISNUMBER(AL11),ISNUMBER(AL121)),IFERROR(AL11/AL121,""),"")</f>
      </c>
      <c r="AM14" s="215">
        <f>IF(AND(ISNUMBER(AM11),ISNUMBER(AM121)),IFERROR(AM11/AM121,""),"")</f>
        <v>0.524335393290546</v>
      </c>
      <c r="AN14" s="215">
        <f>IF(AND(ISNUMBER(AN11),ISNUMBER(AN121)),IFERROR(AN11/AN121,""),"")</f>
        <v>0.499193761015282</v>
      </c>
      <c r="AO14" s="215">
        <f>IF(AND(ISNUMBER(AO11),ISNUMBER(AO121)),IFERROR(AO11/AO121,""),"")</f>
        <v>0.508052014212137</v>
      </c>
      <c r="AP14" s="215">
        <f>IF(AND(ISNUMBER(AP11),ISNUMBER(AP121)),IFERROR(AP11/AP121,""),"")</f>
        <v>0.49977072987976</v>
      </c>
      <c r="AQ14" s="215">
        <f>IF(AND(ISNUMBER(AQ11),ISNUMBER(AQ121)),IFERROR(AQ11/AQ121,""),"")</f>
        <v>0.488695062436968</v>
      </c>
      <c r="AR14" s="215">
        <f>IF(AND(ISNUMBER(AR11),ISNUMBER(AR121)),IFERROR(AR11/AR121,""),"")</f>
        <v>0.498659709223555</v>
      </c>
      <c r="AS14" s="215">
        <f>IF(AND(ISNUMBER(AS11),ISNUMBER(AS121)),IFERROR(AS11/AS121,""),"")</f>
        <v>0.468606241215072</v>
      </c>
      <c r="AT14" s="215">
        <f>IF(AND(ISNUMBER(AT11),ISNUMBER(AT121)),IFERROR(AT11/AT121,""),"")</f>
        <v>0.461863680381817</v>
      </c>
      <c r="AU14" s="215">
        <f>IF(AND(ISNUMBER(AU11),ISNUMBER(AU121)),IFERROR(AU11/AU121,""),"")</f>
        <v>0.455812688005865</v>
      </c>
      <c r="AV14" s="215">
        <f>IF(AND(ISNUMBER(AV11),ISNUMBER(AV121)),IFERROR(AV11/AV121,""),"")</f>
        <v>0.44842064992064</v>
      </c>
      <c r="AW14" s="215">
        <f>IF(AND(ISNUMBER(AW11),ISNUMBER(AW121)),IFERROR(AW11/AW121,""),"")</f>
        <v>0.458288139536893</v>
      </c>
      <c r="AX14" s="215">
        <f>IF(AND(ISNUMBER(AX11),ISNUMBER(AX121)),IFERROR(AX11/AX121,""),"")</f>
        <v>0.44267027320717</v>
      </c>
      <c r="AY14" s="215">
        <f>IF(AND(ISNUMBER(AY11),ISNUMBER(AY121)),IFERROR(AY11/AY121,""),"")</f>
        <v>0.440580393547775</v>
      </c>
      <c r="AZ14" s="215">
        <f>IF(AND(ISNUMBER(AZ11),ISNUMBER(AZ121)),IFERROR(AZ11/AZ121,""),"")</f>
        <v>0.435319217683461</v>
      </c>
      <c r="BA14" s="215">
        <f>IF(AND(ISNUMBER(BA11),ISNUMBER(BA121)),IFERROR(BA11/BA121,""),"")</f>
        <v>0.429193347582756</v>
      </c>
      <c r="BB14" s="215">
        <f>IF(AND(ISNUMBER(BB11),ISNUMBER(BB121)),IFERROR(BB11/BB121,""),"")</f>
        <v>0.436802752415293</v>
      </c>
      <c r="BC14" s="215">
        <f>IF(AND(ISNUMBER(BC11),ISNUMBER(BC121)),IFERROR(BC11/BC121,""),"")</f>
        <v>0.425841792213725</v>
      </c>
      <c r="BD14" s="215">
        <f>IF(AND(ISNUMBER(BD11),ISNUMBER(BD121)),IFERROR(BD11/BD121,""),"")</f>
        <v>0.443889637586085</v>
      </c>
      <c r="BE14" s="215">
        <f>IF(AND(ISNUMBER(BE11),ISNUMBER(BE121)),IFERROR(BE11/BE121,""),"")</f>
        <v>0.454422377945664</v>
      </c>
      <c r="BF14" s="215">
        <f>IF(AND(ISNUMBER(BF11),ISNUMBER(BF121)),IFERROR(BF11/BF121,""),"")</f>
        <v>0.457815427379311</v>
      </c>
      <c r="BG14" s="215">
        <f>IF(AND(ISNUMBER(BG11),ISNUMBER(BG121)),IFERROR(BG11/BG121,""),"")</f>
        <v>0.44549732647384</v>
      </c>
      <c r="BH14" s="215">
        <f>IF(AND(ISNUMBER(BH11),ISNUMBER(BH121)),IFERROR(BH11/BH121,""),"")</f>
        <v>0.442154465911487</v>
      </c>
      <c r="BI14" s="215">
        <f>IF(AND(ISNUMBER(BI11),ISNUMBER(BI121)),IFERROR(BI11/BI121,""),"")</f>
        <v>0.439637922191941</v>
      </c>
      <c r="BJ14" s="215">
        <f>IF(AND(ISNUMBER(BJ11),ISNUMBER(BJ121)),IFERROR(BJ11/BJ121,""),"")</f>
        <v>0.4372837951557</v>
      </c>
      <c r="BK14" s="215">
        <f>IF(AND(ISNUMBER(BK11),ISNUMBER(BK121)),IFERROR(BK11/BK121,""),"")</f>
        <v>0.444994325145126</v>
      </c>
      <c r="BL14" s="215">
        <f>IF(AND(ISNUMBER(BL11),ISNUMBER(BL121)),IFERROR(BL11/BL121,""),"")</f>
        <v>0.441053643123921</v>
      </c>
      <c r="BM14" s="215">
        <f>IF(AND(ISNUMBER(BM11),ISNUMBER(BM121)),IFERROR(BM11/BM121,""),"")</f>
        <v>0.450812875382586</v>
      </c>
      <c r="BN14" s="215">
        <f>IF(AND(ISNUMBER(BN11),ISNUMBER(BN121)),IFERROR(BN11/BN121,""),"")</f>
        <v>0.449358792632523</v>
      </c>
      <c r="BO14" s="215">
        <f>IF(AND(ISNUMBER(BO11),ISNUMBER(BO121)),IFERROR(BO11/BO121,""),"")</f>
        <v>0.439959966219844</v>
      </c>
      <c r="BP14" s="215">
        <f>IF(AND(ISNUMBER(BP11),ISNUMBER(BP121)),IFERROR(BP11/BP121,""),"")</f>
        <v>0.440834652725273</v>
      </c>
      <c r="BQ14" s="215">
        <f>IF(AND(ISNUMBER(BQ11),ISNUMBER(BQ121)),IFERROR(BQ11/BQ121,""),"")</f>
        <v>0.44510100083162</v>
      </c>
      <c r="BR14" s="215">
        <f>IF(AND(ISNUMBER(BR11),ISNUMBER(BR121)),IFERROR(BR11/BR121,""),"")</f>
        <v>0.437938456772541</v>
      </c>
      <c r="BS14" s="215">
        <f>IF(AND(ISNUMBER(BS11),ISNUMBER(BS121)),IFERROR(BS11/BS121,""),"")</f>
        <v>0.444889353584918</v>
      </c>
      <c r="BT14" s="215">
        <f>IF(AND(ISNUMBER(BT11),ISNUMBER(BT121)),IFERROR(BT11/BT121,""),"")</f>
        <v>0.440629515789631</v>
      </c>
      <c r="BU14" s="215">
        <f>IF(AND(ISNUMBER(BU11),ISNUMBER(BU121)),IFERROR(BU11/BU121,""),"")</f>
        <v>0.443064928176326</v>
      </c>
      <c r="BV14" s="215">
        <f>IF(AND(ISNUMBER(BV11),ISNUMBER(BV121)),IFERROR(BV11/BV121,""),"")</f>
        <v>0.441695684194395</v>
      </c>
      <c r="BW14" s="215">
        <f>IF(AND(ISNUMBER(BW11),ISNUMBER(BW121)),IFERROR(BW11/BW121,""),"")</f>
        <v>0.428196085848887</v>
      </c>
      <c r="BX14" s="215">
        <f>IF(AND(ISNUMBER(BX11),ISNUMBER(BX121)),IFERROR(BX11/BX121,""),"")</f>
        <v>0.432459698447556</v>
      </c>
      <c r="BY14" s="256">
        <f>IF(AND(ISNUMBER(BY11),ISNUMBER(BY121)),IFERROR(BY11/BY121,""),"")</f>
        <v>0.429184794349691</v>
      </c>
      <c r="BZ14" s="256">
        <f>IF(AND(ISNUMBER(BZ11),ISNUMBER(BZ121)),IFERROR(BZ11/BZ121,""),"")</f>
        <v>0.431682766791981</v>
      </c>
      <c r="CA14" s="256">
        <f>IF(AND(ISNUMBER(CA11),ISNUMBER(CA121)),IFERROR(CA11/CA121,""),"")</f>
        <v>0.43041173736868</v>
      </c>
      <c r="CB14" s="256">
        <f>IF(AND(ISNUMBER(CB11),ISNUMBER(CB121)),IFERROR(CB11/CB121,""),"")</f>
        <v>0.424544151430743</v>
      </c>
      <c r="CC14" s="256">
        <f>IF(AND(ISNUMBER(CC11),ISNUMBER(CC121)),IFERROR(CC11/CC121,""),"")</f>
        <v>0.418631448226447</v>
      </c>
      <c r="CD14" s="256">
        <f>IF(AND(ISNUMBER(CD11),ISNUMBER(CD121)),IFERROR(CD11/CD121,""),"")</f>
        <v>0.41267459403679</v>
      </c>
      <c r="CE14" s="256">
        <f>IF(AND(ISNUMBER(CE11),ISNUMBER(CE121)),IFERROR(CE11/CE121,""),"")</f>
        <v>0.407810611952456</v>
      </c>
      <c r="CF14" s="256">
        <f>IF(AND(ISNUMBER(CF11),ISNUMBER(CF121)),IFERROR(CF11/CF121,""),"")</f>
        <v>0.40404352090257</v>
      </c>
      <c r="CG14" s="153" t="n"/>
      <c r="CI14" s="37">
        <f>IFERROR(AVERAGE(CB14,CC14,CD14,CE14,CF14),"n/m")</f>
        <v>0.413540865309801</v>
      </c>
      <c r="CJ14" s="37">
        <f>IFERROR(AVERAGE(BB14,BG14,BL14,BQ14,BV14),"n/m")</f>
        <v>0.442030081407814</v>
      </c>
      <c r="CK14" s="37">
        <f>IFERROR(AVERAGE(AC14,AH14,AM14,AR14,AW14,BB14,BG14,BL14,BQ14,BV14),"n/m")</f>
        <v>0.473454736936043</v>
      </c>
      <c r="CL14" s="37">
        <f>IFERROR(AVERAGE(C14,D14,E14,F14,G14,H14,I14,N14,S14,X14,AC14,AH14,AM14,AR14,AW14,BB14,BG14,BL14,BQ14,BV14),"n/m")</f>
        <v>0.473454736936043</v>
      </c>
      <c r="CO14" s="25" t="inlineStr">
        <is>
          <t xml:space="preserve">  FY26 operating margin</t>
        </is>
      </c>
      <c r="CP14" s="258" t="n">
        <v>0.315</v>
      </c>
      <c r="CQ14" s="258" t="n">
        <v>0.315</v>
      </c>
      <c r="CR14" s="258" t="n">
        <v>0.315</v>
      </c>
      <c r="CS14" s="13" t="inlineStr">
        <is>
          <t>FY26 operating margin 31.5% on a reported basis and at F/X rates of 1-Jan-2026 (unchanged since the Q4-25 letter); implies 20%+ operating income growth. Drives the Q4-26E cost calibration.</t>
        </is>
      </c>
    </row>
    <row r="15" ht="15" customHeight="1" s="251">
      <c r="B15" s="156" t="inlineStr">
        <is>
          <t xml:space="preserve">    Memo: UCAN paid memberships at period end (m)</t>
        </is>
      </c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253" t="n">
        <v>58.422</v>
      </c>
      <c r="AI15" s="34" t="n"/>
      <c r="AJ15" s="34" t="n"/>
      <c r="AK15" s="34" t="n"/>
      <c r="AL15" s="34" t="n"/>
      <c r="AM15" s="253" t="n">
        <v>64.75700000000001</v>
      </c>
      <c r="AN15" s="253" t="n">
        <v>66.633</v>
      </c>
      <c r="AO15" s="253" t="n">
        <v>66.501</v>
      </c>
      <c r="AP15" s="253" t="n">
        <v>67.114</v>
      </c>
      <c r="AQ15" s="253" t="n">
        <v>67.66200000000001</v>
      </c>
      <c r="AR15" s="253" t="n">
        <v>67.66200000000001</v>
      </c>
      <c r="AS15" s="253" t="n">
        <v>69.96899999999999</v>
      </c>
      <c r="AT15" s="253" t="n">
        <v>72.904</v>
      </c>
      <c r="AU15" s="253" t="n">
        <v>73.081</v>
      </c>
      <c r="AV15" s="253" t="n">
        <v>73.93600000000001</v>
      </c>
      <c r="AW15" s="253" t="n">
        <v>73.93600000000001</v>
      </c>
      <c r="AX15" s="253" t="n">
        <v>74.384</v>
      </c>
      <c r="AY15" s="253" t="n">
        <v>73.95099999999999</v>
      </c>
      <c r="AZ15" s="253" t="n">
        <v>74.024</v>
      </c>
      <c r="BA15" s="253" t="n">
        <v>75.215</v>
      </c>
      <c r="BB15" s="253" t="n">
        <v>75.215</v>
      </c>
      <c r="BC15" s="253" t="n">
        <v>74.57899999999999</v>
      </c>
      <c r="BD15" s="253" t="n">
        <v>73.283</v>
      </c>
      <c r="BE15" s="253" t="n">
        <v>73.387</v>
      </c>
      <c r="BF15" s="253" t="n">
        <v>74.29600000000001</v>
      </c>
      <c r="BG15" s="253" t="n">
        <v>74.29600000000001</v>
      </c>
      <c r="BH15" s="253" t="n">
        <v>74.398</v>
      </c>
      <c r="BI15" s="253" t="n">
        <v>75.571</v>
      </c>
      <c r="BJ15" s="253" t="n">
        <v>77.321</v>
      </c>
      <c r="BK15" s="253" t="n">
        <v>80.128</v>
      </c>
      <c r="BL15" s="253" t="n">
        <v>80.128</v>
      </c>
      <c r="BM15" s="253" t="n">
        <v>82.658</v>
      </c>
      <c r="BN15" s="253" t="n">
        <v>84.10899999999999</v>
      </c>
      <c r="BO15" s="253" t="n">
        <v>84.803</v>
      </c>
      <c r="BP15" s="253" t="n">
        <v>89.625</v>
      </c>
      <c r="BQ15" s="253" t="n">
        <v>89.625</v>
      </c>
      <c r="BR15" s="34" t="n"/>
      <c r="BS15" s="34" t="n"/>
      <c r="BT15" s="34" t="n"/>
      <c r="BU15" s="34" t="n"/>
      <c r="BV15" s="34" t="n"/>
      <c r="BW15" s="34" t="n"/>
      <c r="BX15" s="34" t="n"/>
      <c r="BY15" s="153" t="n"/>
      <c r="BZ15" s="153" t="n"/>
      <c r="CA15" s="153" t="n"/>
      <c r="CB15" s="153" t="n"/>
      <c r="CC15" s="153" t="n"/>
      <c r="CD15" s="153" t="n"/>
      <c r="CE15" s="153" t="n"/>
      <c r="CF15" s="153" t="n"/>
      <c r="CG15" s="153" t="inlineStr">
        <is>
          <t>Paid memberships and ARM were published to Q4-2024; from 2025 Netflix reports revenue by region only.</t>
        </is>
      </c>
      <c r="CO15" s="25" t="inlineStr">
        <is>
          <t xml:space="preserve">  Q3-26 operating margin</t>
        </is>
      </c>
      <c r="CP15" s="258" t="n">
        <v>0.332</v>
      </c>
      <c r="CQ15" s="258" t="n">
        <v>0.332</v>
      </c>
      <c r="CR15" s="258" t="n">
        <v>0.332</v>
      </c>
      <c r="CS15" s="13" t="inlineStr">
        <is>
          <t>Q3-26 forecast 33.2% (operating income $4,268m). Drives the Q3-26E cost calibration.</t>
        </is>
      </c>
    </row>
    <row r="16" ht="15" customHeight="1" s="251">
      <c r="B16" s="156" t="inlineStr">
        <is>
          <t xml:space="preserve">    Memo: UCAN average monthly revenue per paying membership ($)</t>
        </is>
      </c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259" t="n">
        <v>9.970000000000001</v>
      </c>
      <c r="AI16" s="34" t="n"/>
      <c r="AJ16" s="34" t="n"/>
      <c r="AK16" s="34" t="n"/>
      <c r="AL16" s="34" t="n"/>
      <c r="AM16" s="259" t="n">
        <v>11.16</v>
      </c>
      <c r="AN16" s="259" t="n">
        <v>11.45</v>
      </c>
      <c r="AO16" s="259" t="n">
        <v>12.52</v>
      </c>
      <c r="AP16" s="259" t="n">
        <v>13.08</v>
      </c>
      <c r="AQ16" s="259" t="n">
        <v>13.22</v>
      </c>
      <c r="AR16" s="259" t="n">
        <v>12.57</v>
      </c>
      <c r="AS16" s="259" t="n">
        <v>13.09</v>
      </c>
      <c r="AT16" s="259" t="n">
        <v>13.25</v>
      </c>
      <c r="AU16" s="259" t="n">
        <v>13.4</v>
      </c>
      <c r="AV16" s="259" t="n">
        <v>13.51</v>
      </c>
      <c r="AW16" s="259" t="n">
        <v>13.32</v>
      </c>
      <c r="AX16" s="259" t="n">
        <v>14.25</v>
      </c>
      <c r="AY16" s="259" t="n">
        <v>14.54</v>
      </c>
      <c r="AZ16" s="259" t="n">
        <v>14.68</v>
      </c>
      <c r="BA16" s="259" t="n">
        <v>14.78</v>
      </c>
      <c r="BB16" s="259" t="n">
        <v>14.56</v>
      </c>
      <c r="BC16" s="259" t="n">
        <v>14.91</v>
      </c>
      <c r="BD16" s="259" t="n">
        <v>15.95</v>
      </c>
      <c r="BE16" s="259" t="n">
        <v>16.37</v>
      </c>
      <c r="BF16" s="259" t="n">
        <v>16.23</v>
      </c>
      <c r="BG16" s="259" t="n">
        <v>15.86</v>
      </c>
      <c r="BH16" s="259" t="n">
        <v>16.18</v>
      </c>
      <c r="BI16" s="259" t="n">
        <v>16</v>
      </c>
      <c r="BJ16" s="259" t="n">
        <v>16.29</v>
      </c>
      <c r="BK16" s="259" t="n">
        <v>16.64</v>
      </c>
      <c r="BL16" s="259" t="n">
        <v>16.28</v>
      </c>
      <c r="BM16" s="259" t="n">
        <v>17.3</v>
      </c>
      <c r="BN16" s="259" t="n">
        <v>17.17</v>
      </c>
      <c r="BO16" s="259" t="n">
        <v>17.06</v>
      </c>
      <c r="BP16" s="259" t="n">
        <v>17.26</v>
      </c>
      <c r="BQ16" s="259" t="n">
        <v>17.2</v>
      </c>
      <c r="BR16" s="34" t="n"/>
      <c r="BS16" s="34" t="n"/>
      <c r="BT16" s="34" t="n"/>
      <c r="BU16" s="34" t="n"/>
      <c r="BV16" s="34" t="n"/>
      <c r="BW16" s="34" t="n"/>
      <c r="BX16" s="34" t="n"/>
      <c r="BY16" s="153" t="n"/>
      <c r="BZ16" s="153" t="n"/>
      <c r="CA16" s="153" t="n"/>
      <c r="CB16" s="153" t="n"/>
      <c r="CC16" s="153" t="n"/>
      <c r="CD16" s="153" t="n"/>
      <c r="CE16" s="153" t="n"/>
      <c r="CF16" s="153" t="n"/>
      <c r="CG16" s="153" t="n"/>
      <c r="CO16" s="25" t="inlineStr">
        <is>
          <t xml:space="preserve">  FY26 free cash flow ($m)</t>
        </is>
      </c>
      <c r="CP16" s="257" t="n">
        <v>12500</v>
      </c>
      <c r="CQ16" s="257" t="n">
        <v>12500</v>
      </c>
      <c r="CR16" s="257" t="n">
        <v>12500</v>
      </c>
      <c r="CS16" s="13" t="inlineStr">
        <is>
          <t>FCF ~$12.5bn (raised from ~$11bn in the Q1-26 letter; reiterated 16-Jul-2026); includes the $2.8bn WBD termination fee, cash taxes on it and an expected ~$700m Brazil tax deposit (Q4-25 letter). Solved through 2H working capital.</t>
        </is>
      </c>
    </row>
    <row r="17" ht="15" customHeight="1" s="251">
      <c r="CO17" s="11" t="n"/>
      <c r="CP17" s="12" t="n"/>
      <c r="CQ17" s="12" t="n"/>
      <c r="CR17" s="12" t="n"/>
      <c r="CS17" s="13" t="n"/>
    </row>
    <row r="18" ht="15" customHeight="1" s="251">
      <c r="B18" s="14" t="inlineStr">
        <is>
          <t>Europe, Middle East and Africa (EMEA)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5" t="n"/>
      <c r="CO18" s="15" t="inlineStr">
        <is>
          <t>Q3-26E / Q4-26E and FY26 point estimates (all cases)</t>
        </is>
      </c>
      <c r="CP18" s="21" t="n"/>
      <c r="CQ18" s="21" t="n"/>
      <c r="CR18" s="21" t="n"/>
    </row>
    <row r="19" ht="15" customHeight="1" s="251">
      <c r="B19" s="25" t="inlineStr">
        <is>
          <t xml:space="preserve">  EMEA streaming revenue</t>
        </is>
      </c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253" t="n">
        <v>2362.813</v>
      </c>
      <c r="AI19" s="34" t="n"/>
      <c r="AJ19" s="34" t="n"/>
      <c r="AK19" s="34" t="n"/>
      <c r="AL19" s="34" t="n"/>
      <c r="AM19" s="253" t="n">
        <v>3963.707</v>
      </c>
      <c r="AN19" s="253" t="n">
        <v>1233.379</v>
      </c>
      <c r="AO19" s="253" t="n">
        <v>1319.087</v>
      </c>
      <c r="AP19" s="253" t="n">
        <v>1428.04</v>
      </c>
      <c r="AQ19" s="253" t="n">
        <v>1562.561</v>
      </c>
      <c r="AR19" s="253" t="n">
        <v>5543.067</v>
      </c>
      <c r="AS19" s="253" t="n">
        <v>1723.474</v>
      </c>
      <c r="AT19" s="253" t="n">
        <v>1892.537</v>
      </c>
      <c r="AU19" s="253" t="n">
        <v>2019.083</v>
      </c>
      <c r="AV19" s="253" t="n">
        <v>2137.158</v>
      </c>
      <c r="AW19" s="253" t="n">
        <v>7772.252</v>
      </c>
      <c r="AX19" s="253" t="n">
        <v>2343.674</v>
      </c>
      <c r="AY19" s="253" t="n">
        <v>2400.48</v>
      </c>
      <c r="AZ19" s="253" t="n">
        <v>2432.239</v>
      </c>
      <c r="BA19" s="253" t="n">
        <v>2523.426</v>
      </c>
      <c r="BB19" s="253" t="n">
        <v>9699.819</v>
      </c>
      <c r="BC19" s="253" t="n">
        <v>2561.831</v>
      </c>
      <c r="BD19" s="253" t="n">
        <v>2457.235</v>
      </c>
      <c r="BE19" s="253" t="n">
        <v>2375.814</v>
      </c>
      <c r="BF19" s="253" t="n">
        <v>2350.135</v>
      </c>
      <c r="BG19" s="253" t="n">
        <v>9745.014999999999</v>
      </c>
      <c r="BH19" s="253" t="n">
        <v>2517.641</v>
      </c>
      <c r="BI19" s="253" t="n">
        <v>2562.17</v>
      </c>
      <c r="BJ19" s="253" t="n">
        <v>2693.146</v>
      </c>
      <c r="BK19" s="253" t="n">
        <v>2783.53</v>
      </c>
      <c r="BL19" s="253" t="n">
        <v>10556.487</v>
      </c>
      <c r="BM19" s="253" t="n">
        <v>2958.193</v>
      </c>
      <c r="BN19" s="253" t="n">
        <v>3007.772</v>
      </c>
      <c r="BO19" s="253" t="n">
        <v>3133.466</v>
      </c>
      <c r="BP19" s="253" t="n">
        <v>3287.604</v>
      </c>
      <c r="BQ19" s="253" t="n">
        <v>12387.035</v>
      </c>
      <c r="BR19" s="253" t="n">
        <v>3404.676</v>
      </c>
      <c r="BS19" s="253" t="n">
        <v>3538.175</v>
      </c>
      <c r="BT19" s="253" t="n">
        <v>3699.052</v>
      </c>
      <c r="BU19" s="253" t="n">
        <v>3872.743</v>
      </c>
      <c r="BV19" s="253" t="n">
        <v>14514.646</v>
      </c>
      <c r="BW19" s="253" t="n">
        <v>3998.419</v>
      </c>
      <c r="BX19" s="253" t="n">
        <v>4033.515</v>
      </c>
      <c r="BY19" s="254">
        <f>BT19*(1+BY20)</f>
        <v>4167.50289429847</v>
      </c>
      <c r="BZ19" s="254">
        <f>BU19*(1+BZ20)</f>
        <v>4385.23363077773</v>
      </c>
      <c r="CA19" s="254">
        <f>SUM(BW19:BZ19)</f>
        <v>16584.6705250762</v>
      </c>
      <c r="CB19" s="254">
        <f>CA19*(1+CB20)</f>
        <v>18408.9842828346</v>
      </c>
      <c r="CC19" s="254">
        <f>CB19*(1+CC20)</f>
        <v>20249.882711118</v>
      </c>
      <c r="CD19" s="254">
        <f>CC19*(1+CD20)</f>
        <v>22072.3721551187</v>
      </c>
      <c r="CE19" s="254">
        <f>CD19*(1+CE20)</f>
        <v>23838.1619275282</v>
      </c>
      <c r="CF19" s="254">
        <f>CE19*(1+CF20)</f>
        <v>25506.8332624551</v>
      </c>
      <c r="CG19" s="19" t="n"/>
      <c r="CI19" s="20">
        <f>IFERROR((CF19/CA19)^(1/5)-1,"n/m")</f>
        <v>0.089908247612712</v>
      </c>
      <c r="CJ19" s="20">
        <f>IFERROR((BV19/AW19)^(1/5)-1,"n/m")</f>
        <v>0.133057409048516</v>
      </c>
      <c r="CK19" s="20" t="str">
        <f>IFERROR((BV19/X19)^(1/10)-1,"n/m")</f>
        <v>n/m</v>
      </c>
      <c r="CL19" s="20" t="str">
        <f>IFERROR((BV19/C19)^(1/19)-1,"n/m")</f>
        <v>n/m</v>
      </c>
      <c r="CO19" s="25" t="inlineStr">
        <is>
          <t xml:space="preserve">  FY26 content amortization growth</t>
        </is>
      </c>
      <c r="CQ19" s="258" t="n">
        <v>0.1</v>
      </c>
      <c r="CS19" s="13" t="inlineStr">
        <is>
          <t>Content amortization to grow ~10% in 2026, faster in the first half (Q4-25, Q1-26 and Q2-26 letters).</t>
        </is>
      </c>
    </row>
    <row r="20" ht="15" customHeight="1" s="251">
      <c r="B20" s="22" t="inlineStr">
        <is>
          <t xml:space="preserve">    y/y %</t>
        </is>
      </c>
      <c r="C20" s="23" t="n"/>
      <c r="D20" s="255">
        <f>IF(AND(ISNUMBER(D19),ISNUMBER(C19)),IFERROR(D19/C19-1,""),"")</f>
      </c>
      <c r="E20" s="255">
        <f>IF(AND(ISNUMBER(E19),ISNUMBER(D19)),IFERROR(E19/D19-1,""),"")</f>
      </c>
      <c r="F20" s="255">
        <f>IF(AND(ISNUMBER(F19),ISNUMBER(E19)),IFERROR(F19/E19-1,""),"")</f>
      </c>
      <c r="G20" s="255">
        <f>IF(AND(ISNUMBER(G19),ISNUMBER(F19)),IFERROR(G19/F19-1,""),"")</f>
      </c>
      <c r="H20" s="255">
        <f>IF(AND(ISNUMBER(H19),ISNUMBER(G19)),IFERROR(H19/G19-1,""),"")</f>
      </c>
      <c r="I20" s="255">
        <f>IF(AND(ISNUMBER(I19),ISNUMBER(H19)),IFERROR(I19/H19-1,""),"")</f>
      </c>
      <c r="J20" s="23" t="n"/>
      <c r="K20" s="23" t="n"/>
      <c r="L20" s="23" t="n"/>
      <c r="M20" s="23" t="n"/>
      <c r="N20" s="255">
        <f>IF(AND(ISNUMBER(N19),ISNUMBER(I19)),IFERROR(N19/I19-1,""),"")</f>
      </c>
      <c r="O20" s="255">
        <f>IF(AND(ISNUMBER(O19),ISNUMBER(J19)),IFERROR(O19/J19-1,""),"")</f>
      </c>
      <c r="P20" s="255">
        <f>IF(AND(ISNUMBER(P19),ISNUMBER(K19)),IFERROR(P19/K19-1,""),"")</f>
      </c>
      <c r="Q20" s="255">
        <f>IF(AND(ISNUMBER(Q19),ISNUMBER(L19)),IFERROR(Q19/L19-1,""),"")</f>
      </c>
      <c r="R20" s="255">
        <f>IF(AND(ISNUMBER(R19),ISNUMBER(M19)),IFERROR(R19/M19-1,""),"")</f>
      </c>
      <c r="S20" s="255">
        <f>IF(AND(ISNUMBER(S19),ISNUMBER(N19)),IFERROR(S19/N19-1,""),"")</f>
      </c>
      <c r="T20" s="255">
        <f>IF(AND(ISNUMBER(T19),ISNUMBER(O19)),IFERROR(T19/O19-1,""),"")</f>
      </c>
      <c r="U20" s="255">
        <f>IF(AND(ISNUMBER(U19),ISNUMBER(P19)),IFERROR(U19/P19-1,""),"")</f>
      </c>
      <c r="V20" s="255">
        <f>IF(AND(ISNUMBER(V19),ISNUMBER(Q19)),IFERROR(V19/Q19-1,""),"")</f>
      </c>
      <c r="W20" s="255">
        <f>IF(AND(ISNUMBER(W19),ISNUMBER(R19)),IFERROR(W19/R19-1,""),"")</f>
      </c>
      <c r="X20" s="255">
        <f>IF(AND(ISNUMBER(X19),ISNUMBER(S19)),IFERROR(X19/S19-1,""),"")</f>
      </c>
      <c r="Y20" s="255">
        <f>IF(AND(ISNUMBER(Y19),ISNUMBER(T19)),IFERROR(Y19/T19-1,""),"")</f>
      </c>
      <c r="Z20" s="255">
        <f>IF(AND(ISNUMBER(Z19),ISNUMBER(U19)),IFERROR(Z19/U19-1,""),"")</f>
      </c>
      <c r="AA20" s="255">
        <f>IF(AND(ISNUMBER(AA19),ISNUMBER(V19)),IFERROR(AA19/V19-1,""),"")</f>
      </c>
      <c r="AB20" s="255">
        <f>IF(AND(ISNUMBER(AB19),ISNUMBER(W19)),IFERROR(AB19/W19-1,""),"")</f>
      </c>
      <c r="AC20" s="255">
        <f>IF(AND(ISNUMBER(AC19),ISNUMBER(X19)),IFERROR(AC19/X19-1,""),"")</f>
      </c>
      <c r="AD20" s="255">
        <f>IF(AND(ISNUMBER(AD19),ISNUMBER(Y19)),IFERROR(AD19/Y19-1,""),"")</f>
      </c>
      <c r="AE20" s="255">
        <f>IF(AND(ISNUMBER(AE19),ISNUMBER(Z19)),IFERROR(AE19/Z19-1,""),"")</f>
      </c>
      <c r="AF20" s="255">
        <f>IF(AND(ISNUMBER(AF19),ISNUMBER(AA19)),IFERROR(AF19/AA19-1,""),"")</f>
      </c>
      <c r="AG20" s="255">
        <f>IF(AND(ISNUMBER(AG19),ISNUMBER(AB19)),IFERROR(AG19/AB19-1,""),"")</f>
      </c>
      <c r="AH20" s="255">
        <f>IF(AND(ISNUMBER(AH19),ISNUMBER(AC19)),IFERROR(AH19/AC19-1,""),"")</f>
      </c>
      <c r="AI20" s="255">
        <f>IF(AND(ISNUMBER(AI19),ISNUMBER(AD19)),IFERROR(AI19/AD19-1,""),"")</f>
      </c>
      <c r="AJ20" s="255">
        <f>IF(AND(ISNUMBER(AJ19),ISNUMBER(AE19)),IFERROR(AJ19/AE19-1,""),"")</f>
      </c>
      <c r="AK20" s="255">
        <f>IF(AND(ISNUMBER(AK19),ISNUMBER(AF19)),IFERROR(AK19/AF19-1,""),"")</f>
      </c>
      <c r="AL20" s="255">
        <f>IF(AND(ISNUMBER(AL19),ISNUMBER(AG19)),IFERROR(AL19/AG19-1,""),"")</f>
      </c>
      <c r="AM20" s="255">
        <f>IF(AND(ISNUMBER(AM19),ISNUMBER(AH19)),IFERROR(AM19/AH19-1,""),"")</f>
        <v>0.677537325213633</v>
      </c>
      <c r="AN20" s="255">
        <f>IF(AND(ISNUMBER(AN19),ISNUMBER(AI19)),IFERROR(AN19/AI19-1,""),"")</f>
      </c>
      <c r="AO20" s="255">
        <f>IF(AND(ISNUMBER(AO19),ISNUMBER(AJ19)),IFERROR(AO19/AJ19-1,""),"")</f>
      </c>
      <c r="AP20" s="255">
        <f>IF(AND(ISNUMBER(AP19),ISNUMBER(AK19)),IFERROR(AP19/AK19-1,""),"")</f>
      </c>
      <c r="AQ20" s="255">
        <f>IF(AND(ISNUMBER(AQ19),ISNUMBER(AL19)),IFERROR(AQ19/AL19-1,""),"")</f>
      </c>
      <c r="AR20" s="255">
        <f>IF(AND(ISNUMBER(AR19),ISNUMBER(AM19)),IFERROR(AR19/AM19-1,""),"")</f>
        <v>0.398455284409266</v>
      </c>
      <c r="AS20" s="255">
        <f>IF(AND(ISNUMBER(AS19),ISNUMBER(AN19)),IFERROR(AS19/AN19-1,""),"")</f>
        <v>0.397359611279258</v>
      </c>
      <c r="AT20" s="255">
        <f>IF(AND(ISNUMBER(AT19),ISNUMBER(AO19)),IFERROR(AT19/AO19-1,""),"")</f>
        <v>0.434732508166634</v>
      </c>
      <c r="AU20" s="255">
        <f>IF(AND(ISNUMBER(AU19),ISNUMBER(AP19)),IFERROR(AU19/AP19-1,""),"")</f>
        <v>0.413884064872133</v>
      </c>
      <c r="AV20" s="255">
        <f>IF(AND(ISNUMBER(AV19),ISNUMBER(AQ19)),IFERROR(AV19/AQ19-1,""),"")</f>
        <v>0.367727723909659</v>
      </c>
      <c r="AW20" s="255">
        <f>IF(AND(ISNUMBER(AW19),ISNUMBER(AR19)),IFERROR(AW19/AR19-1,""),"")</f>
        <v>0.402157325538371</v>
      </c>
      <c r="AX20" s="255">
        <f>IF(AND(ISNUMBER(AX19),ISNUMBER(AS19)),IFERROR(AX19/AS19-1,""),"")</f>
        <v>0.359854572798894</v>
      </c>
      <c r="AY20" s="255">
        <f>IF(AND(ISNUMBER(AY19),ISNUMBER(AT19)),IFERROR(AY19/AT19-1,""),"")</f>
        <v>0.268392639087109</v>
      </c>
      <c r="AZ20" s="255">
        <f>IF(AND(ISNUMBER(AZ19),ISNUMBER(AU19)),IFERROR(AZ19/AU19-1,""),"")</f>
        <v>0.204625565169931</v>
      </c>
      <c r="BA20" s="255">
        <f>IF(AND(ISNUMBER(BA19),ISNUMBER(AV19)),IFERROR(BA19/AV19-1,""),"")</f>
        <v>0.180739093693588</v>
      </c>
      <c r="BB20" s="255">
        <f>IF(AND(ISNUMBER(BB19),ISNUMBER(AW19)),IFERROR(BB19/AW19-1,""),"")</f>
        <v>0.248006240662294</v>
      </c>
      <c r="BC20" s="255">
        <f>IF(AND(ISNUMBER(BC19),ISNUMBER(AX19)),IFERROR(BC19/AX19-1,""),"")</f>
        <v>0.0930833383823859</v>
      </c>
      <c r="BD20" s="255">
        <f>IF(AND(ISNUMBER(BD19),ISNUMBER(AY19)),IFERROR(BD19/AY19-1,""),"")</f>
        <v>0.0236431880290608</v>
      </c>
      <c r="BE20" s="255">
        <f>IF(AND(ISNUMBER(BE19),ISNUMBER(AZ19)),IFERROR(BE19/AZ19-1,""),"")</f>
        <v>-0.0231987892637197</v>
      </c>
      <c r="BF20" s="255">
        <f>IF(AND(ISNUMBER(BF19),ISNUMBER(BA19)),IFERROR(BF19/BA19-1,""),"")</f>
        <v>-0.0686729073886057</v>
      </c>
      <c r="BG20" s="255">
        <f>IF(AND(ISNUMBER(BG19),ISNUMBER(BB19)),IFERROR(BG19/BB19-1,""),"")</f>
        <v>0.00465946838801834</v>
      </c>
      <c r="BH20" s="255">
        <f>IF(AND(ISNUMBER(BH19),ISNUMBER(BC19)),IFERROR(BH19/BC19-1,""),"")</f>
        <v>-0.0172493813994756</v>
      </c>
      <c r="BI20" s="255">
        <f>IF(AND(ISNUMBER(BI19),ISNUMBER(BD19)),IFERROR(BI19/BD19-1,""),"")</f>
        <v>0.0427045032322915</v>
      </c>
      <c r="BJ20" s="255">
        <f>IF(AND(ISNUMBER(BJ19),ISNUMBER(BE19)),IFERROR(BJ19/BE19-1,""),"")</f>
        <v>0.13356769511418</v>
      </c>
      <c r="BK20" s="255">
        <f>IF(AND(ISNUMBER(BK19),ISNUMBER(BF19)),IFERROR(BK19/BF19-1,""),"")</f>
        <v>0.184412810327917</v>
      </c>
      <c r="BL20" s="255">
        <f>IF(AND(ISNUMBER(BL19),ISNUMBER(BG19)),IFERROR(BL19/BG19-1,""),"")</f>
        <v>0.0832704721337012</v>
      </c>
      <c r="BM20" s="255">
        <f>IF(AND(ISNUMBER(BM19),ISNUMBER(BH19)),IFERROR(BM19/BH19-1,""),"")</f>
        <v>0.174986028587873</v>
      </c>
      <c r="BN20" s="255">
        <f>IF(AND(ISNUMBER(BN19),ISNUMBER(BI19)),IFERROR(BN19/BI19-1,""),"")</f>
        <v>0.173915860383971</v>
      </c>
      <c r="BO20" s="255">
        <f>IF(AND(ISNUMBER(BO19),ISNUMBER(BJ19)),IFERROR(BO19/BJ19-1,""),"")</f>
        <v>0.163496520426297</v>
      </c>
      <c r="BP20" s="255">
        <f>IF(AND(ISNUMBER(BP19),ISNUMBER(BK19)),IFERROR(BP19/BK19-1,""),"")</f>
        <v>0.181091635441328</v>
      </c>
      <c r="BQ20" s="255">
        <f>IF(AND(ISNUMBER(BQ19),ISNUMBER(BL19)),IFERROR(BQ19/BL19-1,""),"")</f>
        <v>0.173405035216735</v>
      </c>
      <c r="BR20" s="255">
        <f>IF(AND(ISNUMBER(BR19),ISNUMBER(BM19)),IFERROR(BR19/BM19-1,""),"")</f>
        <v>0.150930990641922</v>
      </c>
      <c r="BS20" s="255">
        <f>IF(AND(ISNUMBER(BS19),ISNUMBER(BN19)),IFERROR(BS19/BN19-1,""),"")</f>
        <v>0.17634415108592</v>
      </c>
      <c r="BT20" s="255">
        <f>IF(AND(ISNUMBER(BT19),ISNUMBER(BO19)),IFERROR(BT19/BO19-1,""),"")</f>
        <v>0.18049852782829</v>
      </c>
      <c r="BU20" s="255">
        <f>IF(AND(ISNUMBER(BU19),ISNUMBER(BP19)),IFERROR(BU19/BP19-1,""),"")</f>
        <v>0.177983418927584</v>
      </c>
      <c r="BV20" s="255">
        <f>IF(AND(ISNUMBER(BV19),ISNUMBER(BQ19)),IFERROR(BV19/BQ19-1,""),"")</f>
        <v>0.171761119589958</v>
      </c>
      <c r="BW20" s="255">
        <f>IF(AND(ISNUMBER(BW19),ISNUMBER(BR19)),IFERROR(BW19/BR19-1,""),"")</f>
        <v>0.174390455949406</v>
      </c>
      <c r="BX20" s="255">
        <f>IF(AND(ISNUMBER(BX19),ISNUMBER(BS19)),IFERROR(BX19/BS19-1,""),"")</f>
        <v>0.139998728157878</v>
      </c>
      <c r="BY20" s="256">
        <f>BY21+BY79</f>
        <v>0.126640797236284</v>
      </c>
      <c r="BZ20" s="256">
        <f>BZ21+BZ79</f>
        <v>0.132332724060888</v>
      </c>
      <c r="CA20" s="256">
        <f>IF(AND(ISNUMBER(CA19),ISNUMBER(BV19)),IFERROR(CA19/BV19-1,""),"")</f>
        <v>0.142616259816202</v>
      </c>
      <c r="CB20" s="256">
        <f>CHOOSE(MATCH($CG$2,{"Bull","Base","Bear"},0),$CP$37,$CQ$37,$CR$37)</f>
        <v>0.11</v>
      </c>
      <c r="CC20" s="256">
        <f>CHOOSE(MATCH($CG$2,{"Bull","Base","Bear"},0),$CP$38,$CQ$38,$CR$38)</f>
        <v>0.1</v>
      </c>
      <c r="CD20" s="256">
        <f>CHOOSE(MATCH($CG$2,{"Bull","Base","Bear"},0),$CP$39,$CQ$39,$CR$39)</f>
        <v>0.09</v>
      </c>
      <c r="CE20" s="256">
        <f>CHOOSE(MATCH($CG$2,{"Bull","Base","Bear"},0),$CP$40,$CQ$40,$CR$40)</f>
        <v>0.08</v>
      </c>
      <c r="CF20" s="256">
        <f>CHOOSE(MATCH($CG$2,{"Bull","Base","Bear"},0),$CP$41,$CQ$41,$CR$41)</f>
        <v>0.07</v>
      </c>
      <c r="CG20" s="153" t="n"/>
      <c r="CO20" s="25" t="inlineStr">
        <is>
          <t xml:space="preserve">  FY26 cash content spend / content amortization (x)</t>
        </is>
      </c>
      <c r="CQ20" s="260" t="n">
        <v>1.1</v>
      </c>
      <c r="CS20" s="13" t="inlineStr">
        <is>
          <t>Annual cash content spend to content amortization ratio ~1.1x (Q4-25, Q1-26, Q2-26 letters).</t>
        </is>
      </c>
    </row>
    <row r="21" ht="15" customHeight="1" s="251">
      <c r="B21" s="25" t="inlineStr">
        <is>
          <t xml:space="preserve">    Q3/Q4-26E growth before calibration (1H-26 y/y)</t>
        </is>
      </c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  <c r="AU21" s="36" t="n"/>
      <c r="AV21" s="36" t="n"/>
      <c r="AW21" s="36" t="n"/>
      <c r="AX21" s="36" t="n"/>
      <c r="AY21" s="36" t="n"/>
      <c r="AZ21" s="36" t="n"/>
      <c r="BA21" s="36" t="n"/>
      <c r="BB21" s="36" t="n"/>
      <c r="BC21" s="36" t="n"/>
      <c r="BD21" s="36" t="n"/>
      <c r="BE21" s="36" t="n"/>
      <c r="BF21" s="36" t="n"/>
      <c r="BG21" s="36" t="n"/>
      <c r="BH21" s="36" t="n"/>
      <c r="BI21" s="36" t="n"/>
      <c r="BJ21" s="36" t="n"/>
      <c r="BK21" s="36" t="n"/>
      <c r="BL21" s="36" t="n"/>
      <c r="BM21" s="36" t="n"/>
      <c r="BN21" s="36" t="n"/>
      <c r="BO21" s="36" t="n"/>
      <c r="BP21" s="36" t="n"/>
      <c r="BQ21" s="36" t="n"/>
      <c r="BR21" s="36" t="n"/>
      <c r="BS21" s="36" t="n"/>
      <c r="BT21" s="36" t="n"/>
      <c r="BU21" s="36" t="n"/>
      <c r="BV21" s="36" t="n"/>
      <c r="BW21" s="36" t="n"/>
      <c r="BX21" s="36" t="n"/>
      <c r="BY21" s="256">
        <f>IFERROR(SUM(BW19:BX19)/SUM(BR19:BS19)-1,0)</f>
        <v>0.15686394537345</v>
      </c>
      <c r="BZ21" s="256">
        <f>IFERROR(SUM(BW19:BX19)/SUM(BR19:BS19)-1,0)</f>
        <v>0.15686394537345</v>
      </c>
      <c r="CA21" s="24" t="n"/>
      <c r="CB21" s="46" t="n"/>
      <c r="CC21" s="46" t="n"/>
      <c r="CD21" s="46" t="n"/>
      <c r="CE21" s="46" t="n"/>
      <c r="CF21" s="46" t="n"/>
      <c r="CG21" s="19" t="n"/>
      <c r="CO21" s="25" t="inlineStr">
        <is>
          <t xml:space="preserve">  Q3/Q4-26E interest expense ($m, each)</t>
        </is>
      </c>
      <c r="CQ21" s="261" t="n">
        <v>185</v>
      </c>
      <c r="CS21" s="13" t="inlineStr">
        <is>
          <t>Not guided; Q2-26 $175.7m plus the $1bn 5.250% notes issued 22-Jul-2026, less the $1bn 4.375% notes due Nov-2026 (assumption).</t>
        </is>
      </c>
    </row>
    <row r="22" ht="15" customHeight="1" s="251">
      <c r="B22" s="25" t="inlineStr">
        <is>
          <t xml:space="preserve">    % of revenue</t>
        </is>
      </c>
      <c r="C22" s="215">
        <f>IF(AND(ISNUMBER(C19),ISNUMBER(C121)),IFERROR(C19/C121,""),"")</f>
      </c>
      <c r="D22" s="215">
        <f>IF(AND(ISNUMBER(D19),ISNUMBER(D121)),IFERROR(D19/D121,""),"")</f>
      </c>
      <c r="E22" s="215">
        <f>IF(AND(ISNUMBER(E19),ISNUMBER(E121)),IFERROR(E19/E121,""),"")</f>
      </c>
      <c r="F22" s="215">
        <f>IF(AND(ISNUMBER(F19),ISNUMBER(F121)),IFERROR(F19/F121,""),"")</f>
      </c>
      <c r="G22" s="215">
        <f>IF(AND(ISNUMBER(G19),ISNUMBER(G121)),IFERROR(G19/G121,""),"")</f>
      </c>
      <c r="H22" s="215">
        <f>IF(AND(ISNUMBER(H19),ISNUMBER(H121)),IFERROR(H19/H121,""),"")</f>
      </c>
      <c r="I22" s="215">
        <f>IF(AND(ISNUMBER(I19),ISNUMBER(I121)),IFERROR(I19/I121,""),"")</f>
      </c>
      <c r="J22" s="215">
        <f>IF(AND(ISNUMBER(J19),ISNUMBER(J121)),IFERROR(J19/J121,""),"")</f>
      </c>
      <c r="K22" s="215">
        <f>IF(AND(ISNUMBER(K19),ISNUMBER(K121)),IFERROR(K19/K121,""),"")</f>
      </c>
      <c r="L22" s="215">
        <f>IF(AND(ISNUMBER(L19),ISNUMBER(L121)),IFERROR(L19/L121,""),"")</f>
      </c>
      <c r="M22" s="215">
        <f>IF(AND(ISNUMBER(M19),ISNUMBER(M121)),IFERROR(M19/M121,""),"")</f>
      </c>
      <c r="N22" s="215">
        <f>IF(AND(ISNUMBER(N19),ISNUMBER(N121)),IFERROR(N19/N121,""),"")</f>
      </c>
      <c r="O22" s="215">
        <f>IF(AND(ISNUMBER(O19),ISNUMBER(O121)),IFERROR(O19/O121,""),"")</f>
      </c>
      <c r="P22" s="215">
        <f>IF(AND(ISNUMBER(P19),ISNUMBER(P121)),IFERROR(P19/P121,""),"")</f>
      </c>
      <c r="Q22" s="215">
        <f>IF(AND(ISNUMBER(Q19),ISNUMBER(Q121)),IFERROR(Q19/Q121,""),"")</f>
      </c>
      <c r="R22" s="215">
        <f>IF(AND(ISNUMBER(R19),ISNUMBER(R121)),IFERROR(R19/R121,""),"")</f>
      </c>
      <c r="S22" s="215">
        <f>IF(AND(ISNUMBER(S19),ISNUMBER(S121)),IFERROR(S19/S121,""),"")</f>
      </c>
      <c r="T22" s="215">
        <f>IF(AND(ISNUMBER(T19),ISNUMBER(T121)),IFERROR(T19/T121,""),"")</f>
      </c>
      <c r="U22" s="215">
        <f>IF(AND(ISNUMBER(U19),ISNUMBER(U121)),IFERROR(U19/U121,""),"")</f>
      </c>
      <c r="V22" s="215">
        <f>IF(AND(ISNUMBER(V19),ISNUMBER(V121)),IFERROR(V19/V121,""),"")</f>
      </c>
      <c r="W22" s="215">
        <f>IF(AND(ISNUMBER(W19),ISNUMBER(W121)),IFERROR(W19/W121,""),"")</f>
      </c>
      <c r="X22" s="215">
        <f>IF(AND(ISNUMBER(X19),ISNUMBER(X121)),IFERROR(X19/X121,""),"")</f>
      </c>
      <c r="Y22" s="215">
        <f>IF(AND(ISNUMBER(Y19),ISNUMBER(Y121)),IFERROR(Y19/Y121,""),"")</f>
      </c>
      <c r="Z22" s="215">
        <f>IF(AND(ISNUMBER(Z19),ISNUMBER(Z121)),IFERROR(Z19/Z121,""),"")</f>
      </c>
      <c r="AA22" s="215">
        <f>IF(AND(ISNUMBER(AA19),ISNUMBER(AA121)),IFERROR(AA19/AA121,""),"")</f>
      </c>
      <c r="AB22" s="215">
        <f>IF(AND(ISNUMBER(AB19),ISNUMBER(AB121)),IFERROR(AB19/AB121,""),"")</f>
      </c>
      <c r="AC22" s="215">
        <f>IF(AND(ISNUMBER(AC19),ISNUMBER(AC121)),IFERROR(AC19/AC121,""),"")</f>
      </c>
      <c r="AD22" s="215">
        <f>IF(AND(ISNUMBER(AD19),ISNUMBER(AD121)),IFERROR(AD19/AD121,""),"")</f>
      </c>
      <c r="AE22" s="215">
        <f>IF(AND(ISNUMBER(AE19),ISNUMBER(AE121)),IFERROR(AE19/AE121,""),"")</f>
      </c>
      <c r="AF22" s="215">
        <f>IF(AND(ISNUMBER(AF19),ISNUMBER(AF121)),IFERROR(AF19/AF121,""),"")</f>
      </c>
      <c r="AG22" s="215">
        <f>IF(AND(ISNUMBER(AG19),ISNUMBER(AG121)),IFERROR(AG19/AG121,""),"")</f>
      </c>
      <c r="AH22" s="215">
        <f>IF(AND(ISNUMBER(AH19),ISNUMBER(AH121)),IFERROR(AH19/AH121,""),"")</f>
        <v>0.202075685942176</v>
      </c>
      <c r="AI22" s="215">
        <f>IF(AND(ISNUMBER(AI19),ISNUMBER(AI121)),IFERROR(AI19/AI121,""),"")</f>
      </c>
      <c r="AJ22" s="215">
        <f>IF(AND(ISNUMBER(AJ19),ISNUMBER(AJ121)),IFERROR(AJ19/AJ121,""),"")</f>
      </c>
      <c r="AK22" s="215">
        <f>IF(AND(ISNUMBER(AK19),ISNUMBER(AK121)),IFERROR(AK19/AK121,""),"")</f>
      </c>
      <c r="AL22" s="215">
        <f>IF(AND(ISNUMBER(AL19),ISNUMBER(AL121)),IFERROR(AL19/AL121,""),"")</f>
      </c>
      <c r="AM22" s="215">
        <f>IF(AND(ISNUMBER(AM19),ISNUMBER(AM121)),IFERROR(AM19/AM121,""),"")</f>
        <v>0.250957415697179</v>
      </c>
      <c r="AN22" s="215">
        <f>IF(AND(ISNUMBER(AN19),ISNUMBER(AN121)),IFERROR(AN19/AN121,""),"")</f>
        <v>0.272811586483674</v>
      </c>
      <c r="AO22" s="215">
        <f>IF(AND(ISNUMBER(AO19),ISNUMBER(AO121)),IFERROR(AO19/AO121,""),"")</f>
        <v>0.267937420121728</v>
      </c>
      <c r="AP22" s="215">
        <f>IF(AND(ISNUMBER(AP19),ISNUMBER(AP121)),IFERROR(AP19/AP121,""),"")</f>
        <v>0.272271852397708</v>
      </c>
      <c r="AQ22" s="215">
        <f>IF(AND(ISNUMBER(AQ19),ISNUMBER(AQ121)),IFERROR(AQ19/AQ121,""),"")</f>
        <v>0.285794213519541</v>
      </c>
      <c r="AR22" s="215">
        <f>IF(AND(ISNUMBER(AR19),ISNUMBER(AR121)),IFERROR(AR19/AR121,""),"")</f>
        <v>0.275002186645295</v>
      </c>
      <c r="AS22" s="215">
        <f>IF(AND(ISNUMBER(AS19),ISNUMBER(AS121)),IFERROR(AS19/AS121,""),"")</f>
        <v>0.298815245130157</v>
      </c>
      <c r="AT22" s="215">
        <f>IF(AND(ISNUMBER(AT19),ISNUMBER(AT121)),IFERROR(AT19/AT121,""),"")</f>
        <v>0.307815381392473</v>
      </c>
      <c r="AU22" s="215">
        <f>IF(AND(ISNUMBER(AU19),ISNUMBER(AU121)),IFERROR(AU19/AU121,""),"")</f>
        <v>0.313734755394066</v>
      </c>
      <c r="AV22" s="215">
        <f>IF(AND(ISNUMBER(AV19),ISNUMBER(AV121)),IFERROR(AV19/AV121,""),"")</f>
        <v>0.321645971174103</v>
      </c>
      <c r="AW22" s="215">
        <f>IF(AND(ISNUMBER(AW19),ISNUMBER(AW121)),IFERROR(AW19/AW121,""),"")</f>
        <v>0.310939133757742</v>
      </c>
      <c r="AX22" s="215">
        <f>IF(AND(ISNUMBER(AX19),ISNUMBER(AX121)),IFERROR(AX19/AX121,""),"")</f>
        <v>0.327178798768497</v>
      </c>
      <c r="AY22" s="215">
        <f>IF(AND(ISNUMBER(AY19),ISNUMBER(AY121)),IFERROR(AY19/AY121,""),"")</f>
        <v>0.326961715127005</v>
      </c>
      <c r="AZ22" s="215">
        <f>IF(AND(ISNUMBER(AZ19),ISNUMBER(AZ121)),IFERROR(AZ19/AZ121,""),"")</f>
        <v>0.325014996391379</v>
      </c>
      <c r="BA22" s="215">
        <f>IF(AND(ISNUMBER(BA19),ISNUMBER(BA121)),IFERROR(BA19/BA121,""),"")</f>
        <v>0.327321560739873</v>
      </c>
      <c r="BB22" s="215">
        <f>IF(AND(ISNUMBER(BB19),ISNUMBER(BB121)),IFERROR(BB19/BB121,""),"")</f>
        <v>0.326616942293858</v>
      </c>
      <c r="BC22" s="215">
        <f>IF(AND(ISNUMBER(BC19),ISNUMBER(BC121)),IFERROR(BC19/BC121,""),"")</f>
        <v>0.325610938910621</v>
      </c>
      <c r="BD22" s="215">
        <f>IF(AND(ISNUMBER(BD19),ISNUMBER(BD121)),IFERROR(BD19/BD121,""),"")</f>
        <v>0.308305085192345</v>
      </c>
      <c r="BE22" s="215">
        <f>IF(AND(ISNUMBER(BE19),ISNUMBER(BE121)),IFERROR(BE19/BE121,""),"")</f>
        <v>0.299764976457901</v>
      </c>
      <c r="BF22" s="215">
        <f>IF(AND(ISNUMBER(BF19),ISNUMBER(BF121)),IFERROR(BF19/BF121,""),"")</f>
        <v>0.299301978730913</v>
      </c>
      <c r="BG22" s="215">
        <f>IF(AND(ISNUMBER(BG19),ISNUMBER(BG121)),IFERROR(BG19/BG121,""),"")</f>
        <v>0.308234871764053</v>
      </c>
      <c r="BH22" s="215">
        <f>IF(AND(ISNUMBER(BH19),ISNUMBER(BH121)),IFERROR(BH19/BH121,""),"")</f>
        <v>0.308477617419243</v>
      </c>
      <c r="BI22" s="215">
        <f>IF(AND(ISNUMBER(BI19),ISNUMBER(BI121)),IFERROR(BI19/BI121,""),"")</f>
        <v>0.312944400114275</v>
      </c>
      <c r="BJ22" s="215">
        <f>IF(AND(ISNUMBER(BJ19),ISNUMBER(BJ121)),IFERROR(BJ19/BJ121,""),"")</f>
        <v>0.31529509224662</v>
      </c>
      <c r="BK22" s="215">
        <f>IF(AND(ISNUMBER(BK19),ISNUMBER(BK121)),IFERROR(BK19/BK121,""),"")</f>
        <v>0.315134738885917</v>
      </c>
      <c r="BL22" s="215">
        <f>IF(AND(ISNUMBER(BL19),ISNUMBER(BL121)),IFERROR(BL19/BL121,""),"")</f>
        <v>0.313032471291286</v>
      </c>
      <c r="BM22" s="215">
        <f>IF(AND(ISNUMBER(BM19),ISNUMBER(BM121)),IFERROR(BM19/BM121,""),"")</f>
        <v>0.315694140296507</v>
      </c>
      <c r="BN22" s="215">
        <f>IF(AND(ISNUMBER(BN19),ISNUMBER(BN121)),IFERROR(BN19/BN121,""),"")</f>
        <v>0.314643211696242</v>
      </c>
      <c r="BO22" s="215">
        <f>IF(AND(ISNUMBER(BO19),ISNUMBER(BO121)),IFERROR(BO19/BO121,""),"")</f>
        <v>0.318937478313594</v>
      </c>
      <c r="BP22" s="215">
        <f>IF(AND(ISNUMBER(BP19),ISNUMBER(BP121)),IFERROR(BP19/BP121,""),"")</f>
        <v>0.320851005605517</v>
      </c>
      <c r="BQ22" s="215">
        <f>IF(AND(ISNUMBER(BQ19),ISNUMBER(BQ121)),IFERROR(BQ19/BQ121,""),"")</f>
        <v>0.317608415135153</v>
      </c>
      <c r="BR22" s="215">
        <f>IF(AND(ISNUMBER(BR19),ISNUMBER(BR121)),IFERROR(BR19/BR121,""),"")</f>
        <v>0.322938467680458</v>
      </c>
      <c r="BS22" s="215">
        <f>IF(AND(ISNUMBER(BS19),ISNUMBER(BS121)),IFERROR(BS19/BS121,""),"")</f>
        <v>0.319353911657249</v>
      </c>
      <c r="BT22" s="215">
        <f>IF(AND(ISNUMBER(BT19),ISNUMBER(BT121)),IFERROR(BT19/BT121,""),"")</f>
        <v>0.321368665492589</v>
      </c>
      <c r="BU22" s="215">
        <f>IF(AND(ISNUMBER(BU19),ISNUMBER(BU121)),IFERROR(BU19/BU121,""),"")</f>
        <v>0.321369138316731</v>
      </c>
      <c r="BV22" s="215">
        <f>IF(AND(ISNUMBER(BV19),ISNUMBER(BV121)),IFERROR(BV19/BV121,""),"")</f>
        <v>0.321241051619462</v>
      </c>
      <c r="BW22" s="215">
        <f>IF(AND(ISNUMBER(BW19),ISNUMBER(BW121)),IFERROR(BW19/BW121,""),"")</f>
        <v>0.32640802588982</v>
      </c>
      <c r="BX22" s="215">
        <f>IF(AND(ISNUMBER(BX19),ISNUMBER(BX121)),IFERROR(BX19/BX121,""),"")</f>
        <v>0.321141314551075</v>
      </c>
      <c r="BY22" s="256">
        <f>IF(AND(ISNUMBER(BY19),ISNUMBER(BY121)),IFERROR(BY19/BY121,""),"")</f>
        <v>0.324067099090083</v>
      </c>
      <c r="BZ22" s="256">
        <f>IF(AND(ISNUMBER(BZ19),ISNUMBER(BZ121)),IFERROR(BZ19/BZ121,""),"")</f>
        <v>0.324104566066895</v>
      </c>
      <c r="CA22" s="256">
        <f>IF(AND(ISNUMBER(CA19),ISNUMBER(CA121)),IFERROR(CA19/CA121,""),"")</f>
        <v>0.323919346192895</v>
      </c>
      <c r="CB22" s="256">
        <f>IF(AND(ISNUMBER(CB19),ISNUMBER(CB121)),IFERROR(CB19/CB121,""),"")</f>
        <v>0.325365967123147</v>
      </c>
      <c r="CC22" s="256">
        <f>IF(AND(ISNUMBER(CC19),ISNUMBER(CC121)),IFERROR(CC19/CC121,""),"")</f>
        <v>0.326775916739084</v>
      </c>
      <c r="CD22" s="256">
        <f>IF(AND(ISNUMBER(CD19),ISNUMBER(CD121)),IFERROR(CD19/CD121,""),"")</f>
        <v>0.328147155963414</v>
      </c>
      <c r="CE22" s="256">
        <f>IF(AND(ISNUMBER(CE19),ISNUMBER(CE121)),IFERROR(CE19/CE121,""),"")</f>
        <v>0.328846771359268</v>
      </c>
      <c r="CF22" s="256">
        <f>IF(AND(ISNUMBER(CF19),ISNUMBER(CF121)),IFERROR(CF19/CF121,""),"")</f>
        <v>0.328882767999173</v>
      </c>
      <c r="CG22" s="153" t="n"/>
      <c r="CI22" s="37">
        <f>IFERROR(AVERAGE(CB22,CC22,CD22,CE22,CF22),"n/m")</f>
        <v>0.327603715836817</v>
      </c>
      <c r="CJ22" s="37">
        <f>IFERROR(AVERAGE(BB22,BG22,BL22,BQ22,BV22),"n/m")</f>
        <v>0.317346750420762</v>
      </c>
      <c r="CK22" s="37">
        <f>IFERROR(AVERAGE(AC22,AH22,AM22,AR22,AW22,BB22,BG22,BL22,BQ22,BV22),"n/m")</f>
        <v>0.291745352682912</v>
      </c>
      <c r="CL22" s="37">
        <f>IFERROR(AVERAGE(C22,D22,E22,F22,G22,H22,I22,N22,S22,X22,AC22,AH22,AM22,AR22,AW22,BB22,BG22,BL22,BQ22,BV22),"n/m")</f>
        <v>0.291745352682912</v>
      </c>
      <c r="CO22" s="25" t="inlineStr">
        <is>
          <t xml:space="preserve">  Q3/Q4-26E interest and other income ($m, each)</t>
        </is>
      </c>
      <c r="CQ22" s="261" t="n">
        <v>50</v>
      </c>
      <c r="CS22" s="13" t="inlineStr">
        <is>
          <t>Not guided; Q2-26 $51.7m (interest income $82m less F/X and hedging); Q3/Q4-25 $36m / $45m (assumption).</t>
        </is>
      </c>
    </row>
    <row r="23" ht="15" customHeight="1" s="251">
      <c r="B23" s="156" t="inlineStr">
        <is>
          <t xml:space="preserve">    Memo: EMEA paid memberships at period end (m)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253" t="n">
        <v>26.004</v>
      </c>
      <c r="AI23" s="34" t="n"/>
      <c r="AJ23" s="34" t="n"/>
      <c r="AK23" s="34" t="n"/>
      <c r="AL23" s="34" t="n"/>
      <c r="AM23" s="253" t="n">
        <v>37.818</v>
      </c>
      <c r="AN23" s="253" t="n">
        <v>42.542</v>
      </c>
      <c r="AO23" s="253" t="n">
        <v>44.229</v>
      </c>
      <c r="AP23" s="253" t="n">
        <v>47.355</v>
      </c>
      <c r="AQ23" s="253" t="n">
        <v>51.778</v>
      </c>
      <c r="AR23" s="253" t="n">
        <v>51.778</v>
      </c>
      <c r="AS23" s="253" t="n">
        <v>58.734</v>
      </c>
      <c r="AT23" s="253" t="n">
        <v>61.483</v>
      </c>
      <c r="AU23" s="253" t="n">
        <v>62.242</v>
      </c>
      <c r="AV23" s="253" t="n">
        <v>66.69799999999999</v>
      </c>
      <c r="AW23" s="253" t="n">
        <v>66.69799999999999</v>
      </c>
      <c r="AX23" s="253" t="n">
        <v>68.508</v>
      </c>
      <c r="AY23" s="253" t="n">
        <v>68.696</v>
      </c>
      <c r="AZ23" s="253" t="n">
        <v>70.5</v>
      </c>
      <c r="BA23" s="253" t="n">
        <v>74.036</v>
      </c>
      <c r="BB23" s="253" t="n">
        <v>74.036</v>
      </c>
      <c r="BC23" s="253" t="n">
        <v>73.733</v>
      </c>
      <c r="BD23" s="253" t="n">
        <v>72.96599999999999</v>
      </c>
      <c r="BE23" s="253" t="n">
        <v>73.53400000000001</v>
      </c>
      <c r="BF23" s="253" t="n">
        <v>76.729</v>
      </c>
      <c r="BG23" s="253" t="n">
        <v>76.729</v>
      </c>
      <c r="BH23" s="253" t="n">
        <v>77.373</v>
      </c>
      <c r="BI23" s="253" t="n">
        <v>79.807</v>
      </c>
      <c r="BJ23" s="253" t="n">
        <v>83.76000000000001</v>
      </c>
      <c r="BK23" s="253" t="n">
        <v>88.813</v>
      </c>
      <c r="BL23" s="253" t="n">
        <v>88.813</v>
      </c>
      <c r="BM23" s="253" t="n">
        <v>91.729</v>
      </c>
      <c r="BN23" s="253" t="n">
        <v>93.964</v>
      </c>
      <c r="BO23" s="253" t="n">
        <v>96.131</v>
      </c>
      <c r="BP23" s="253" t="n">
        <v>101.133</v>
      </c>
      <c r="BQ23" s="253" t="n">
        <v>101.133</v>
      </c>
      <c r="BR23" s="34" t="n"/>
      <c r="BS23" s="34" t="n"/>
      <c r="BT23" s="34" t="n"/>
      <c r="BU23" s="34" t="n"/>
      <c r="BV23" s="34" t="n"/>
      <c r="BW23" s="34" t="n"/>
      <c r="BX23" s="34" t="n"/>
      <c r="BY23" s="153" t="n"/>
      <c r="BZ23" s="153" t="n"/>
      <c r="CA23" s="153" t="n"/>
      <c r="CB23" s="153" t="n"/>
      <c r="CC23" s="153" t="n"/>
      <c r="CD23" s="153" t="n"/>
      <c r="CE23" s="153" t="n"/>
      <c r="CF23" s="153" t="n"/>
      <c r="CG23" s="153" t="n"/>
      <c r="CO23" s="25" t="inlineStr">
        <is>
          <t xml:space="preserve">  Q3/Q4-26E effective tax rate</t>
        </is>
      </c>
      <c r="CQ23" s="258" t="n">
        <v>0.165</v>
      </c>
      <c r="CS23" s="13" t="inlineStr">
        <is>
          <t>Implied by the Q3-26 guide: net income $3,452m on operating income $4,268m less ~$135m net interest → ~16.5% (1H-26 excl. the termination fee ~16–17%).</t>
        </is>
      </c>
    </row>
    <row r="24" ht="15" customHeight="1" s="251">
      <c r="B24" s="156" t="inlineStr">
        <is>
          <t xml:space="preserve">    Memo: EMEA average monthly revenue per paying membership ($)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259" t="n">
        <v>9.17</v>
      </c>
      <c r="AI24" s="34" t="n"/>
      <c r="AJ24" s="34" t="n"/>
      <c r="AK24" s="34" t="n"/>
      <c r="AL24" s="34" t="n"/>
      <c r="AM24" s="259" t="n">
        <v>10.45</v>
      </c>
      <c r="AN24" s="259" t="n">
        <v>10.23</v>
      </c>
      <c r="AO24" s="259" t="n">
        <v>10.13</v>
      </c>
      <c r="AP24" s="259" t="n">
        <v>10.4</v>
      </c>
      <c r="AQ24" s="259" t="n">
        <v>10.51</v>
      </c>
      <c r="AR24" s="259" t="n">
        <v>10.33</v>
      </c>
      <c r="AS24" s="259" t="n">
        <v>10.4</v>
      </c>
      <c r="AT24" s="259" t="n">
        <v>10.5</v>
      </c>
      <c r="AU24" s="259" t="n">
        <v>10.88</v>
      </c>
      <c r="AV24" s="259" t="n">
        <v>11.05</v>
      </c>
      <c r="AW24" s="259" t="n">
        <v>10.72</v>
      </c>
      <c r="AX24" s="259" t="n">
        <v>11.56</v>
      </c>
      <c r="AY24" s="259" t="n">
        <v>11.66</v>
      </c>
      <c r="AZ24" s="259" t="n">
        <v>11.65</v>
      </c>
      <c r="BA24" s="259" t="n">
        <v>11.64</v>
      </c>
      <c r="BB24" s="259" t="n">
        <v>11.63</v>
      </c>
      <c r="BC24" s="259" t="n">
        <v>11.56</v>
      </c>
      <c r="BD24" s="259" t="n">
        <v>11.17</v>
      </c>
      <c r="BE24" s="259" t="n">
        <v>10.81</v>
      </c>
      <c r="BF24" s="259" t="n">
        <v>10.43</v>
      </c>
      <c r="BG24" s="259" t="n">
        <v>10.99</v>
      </c>
      <c r="BH24" s="259" t="n">
        <v>10.89</v>
      </c>
      <c r="BI24" s="259" t="n">
        <v>10.87</v>
      </c>
      <c r="BJ24" s="259" t="n">
        <v>10.98</v>
      </c>
      <c r="BK24" s="259" t="n">
        <v>10.75</v>
      </c>
      <c r="BL24" s="259" t="n">
        <v>10.87</v>
      </c>
      <c r="BM24" s="259" t="n">
        <v>10.92</v>
      </c>
      <c r="BN24" s="259" t="n">
        <v>10.8</v>
      </c>
      <c r="BO24" s="259" t="n">
        <v>10.99</v>
      </c>
      <c r="BP24" s="259" t="n">
        <v>11.11</v>
      </c>
      <c r="BQ24" s="259" t="n">
        <v>10.96</v>
      </c>
      <c r="BR24" s="34" t="n"/>
      <c r="BS24" s="34" t="n"/>
      <c r="BT24" s="34" t="n"/>
      <c r="BU24" s="34" t="n"/>
      <c r="BV24" s="34" t="n"/>
      <c r="BW24" s="34" t="n"/>
      <c r="BX24" s="34" t="n"/>
      <c r="BY24" s="153" t="n"/>
      <c r="BZ24" s="153" t="n"/>
      <c r="CA24" s="153" t="n"/>
      <c r="CB24" s="153" t="n"/>
      <c r="CC24" s="153" t="n"/>
      <c r="CD24" s="153" t="n"/>
      <c r="CE24" s="153" t="n"/>
      <c r="CF24" s="153" t="n"/>
      <c r="CG24" s="153" t="n"/>
      <c r="CO24" s="25" t="inlineStr">
        <is>
          <t xml:space="preserve">  2H-26 capex % of revenue</t>
        </is>
      </c>
      <c r="CQ24" s="258" t="n">
        <v>0.017</v>
      </c>
      <c r="CS24" s="13" t="inlineStr">
        <is>
          <t>1H-26 1.7% of revenue ($414.8m); not guided (assumption).</t>
        </is>
      </c>
    </row>
    <row r="25" ht="15" customHeight="1" s="251">
      <c r="CO25" s="25" t="inlineStr">
        <is>
          <t xml:space="preserve">  Q3-26 net income guidance ($m) — information</t>
        </is>
      </c>
      <c r="CQ25" s="261" t="n">
        <v>3452</v>
      </c>
      <c r="CS25" s="13" t="inlineStr">
        <is>
          <t>Information row: model Q3-26E net income is compared, not forced.</t>
        </is>
      </c>
    </row>
    <row r="26" ht="15" customHeight="1" s="251">
      <c r="B26" s="14" t="inlineStr">
        <is>
          <t>Latin America (LATAM)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5" t="n"/>
      <c r="CO26" s="25" t="inlineStr">
        <is>
          <t xml:space="preserve">  Q3-26 diluted EPS guidance ($) — information</t>
        </is>
      </c>
      <c r="CQ26" s="262" t="n">
        <v>0.82</v>
      </c>
      <c r="CS26" s="13" t="inlineStr">
        <is>
          <t>Information row ($0.82).</t>
        </is>
      </c>
    </row>
    <row r="27" ht="15" customHeight="1" s="251">
      <c r="B27" s="25" t="inlineStr">
        <is>
          <t xml:space="preserve">  LATAM streaming revenue</t>
        </is>
      </c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253" t="n">
        <v>1642.616</v>
      </c>
      <c r="AI27" s="34" t="n"/>
      <c r="AJ27" s="34" t="n"/>
      <c r="AK27" s="34" t="n"/>
      <c r="AL27" s="34" t="n"/>
      <c r="AM27" s="253" t="n">
        <v>2237.697</v>
      </c>
      <c r="AN27" s="253" t="n">
        <v>630.472</v>
      </c>
      <c r="AO27" s="253" t="n">
        <v>677.136</v>
      </c>
      <c r="AP27" s="253" t="n">
        <v>741.434</v>
      </c>
      <c r="AQ27" s="253" t="n">
        <v>746.3920000000001</v>
      </c>
      <c r="AR27" s="253" t="n">
        <v>2795.434</v>
      </c>
      <c r="AS27" s="253" t="n">
        <v>793.453</v>
      </c>
      <c r="AT27" s="253" t="n">
        <v>785.3680000000001</v>
      </c>
      <c r="AU27" s="253" t="n">
        <v>789.384</v>
      </c>
      <c r="AV27" s="253" t="n">
        <v>788.522</v>
      </c>
      <c r="AW27" s="253" t="n">
        <v>3156.727</v>
      </c>
      <c r="AX27" s="253" t="n">
        <v>836.647</v>
      </c>
      <c r="AY27" s="253" t="n">
        <v>860.8819999999999</v>
      </c>
      <c r="AZ27" s="253" t="n">
        <v>915.297</v>
      </c>
      <c r="BA27" s="253" t="n">
        <v>964.15</v>
      </c>
      <c r="BB27" s="253" t="n">
        <v>3576.976</v>
      </c>
      <c r="BC27" s="253" t="n">
        <v>998.948</v>
      </c>
      <c r="BD27" s="253" t="n">
        <v>1030.234</v>
      </c>
      <c r="BE27" s="253" t="n">
        <v>1023.945</v>
      </c>
      <c r="BF27" s="253" t="n">
        <v>1016.846</v>
      </c>
      <c r="BG27" s="253" t="n">
        <v>4069.973</v>
      </c>
      <c r="BH27" s="253" t="n">
        <v>1070.192</v>
      </c>
      <c r="BI27" s="253" t="n">
        <v>1077.435</v>
      </c>
      <c r="BJ27" s="253" t="n">
        <v>1142.811</v>
      </c>
      <c r="BK27" s="253" t="n">
        <v>1156.023</v>
      </c>
      <c r="BL27" s="253" t="n">
        <v>4446.461</v>
      </c>
      <c r="BM27" s="253" t="n">
        <v>1165.008</v>
      </c>
      <c r="BN27" s="253" t="n">
        <v>1204.145</v>
      </c>
      <c r="BO27" s="253" t="n">
        <v>1240.892</v>
      </c>
      <c r="BP27" s="253" t="n">
        <v>1229.771</v>
      </c>
      <c r="BQ27" s="253" t="n">
        <v>4839.816</v>
      </c>
      <c r="BR27" s="253" t="n">
        <v>1261.934</v>
      </c>
      <c r="BS27" s="253" t="n">
        <v>1306.735</v>
      </c>
      <c r="BT27" s="253" t="n">
        <v>1370.913</v>
      </c>
      <c r="BU27" s="253" t="n">
        <v>1417.939</v>
      </c>
      <c r="BV27" s="253" t="n">
        <v>5357.521</v>
      </c>
      <c r="BW27" s="253" t="n">
        <v>1497.058</v>
      </c>
      <c r="BX27" s="253" t="n">
        <v>1584.29</v>
      </c>
      <c r="BY27" s="254">
        <f>BT27*(1+BY28)</f>
        <v>1603.09934066321</v>
      </c>
      <c r="BZ27" s="254">
        <f>BU27*(1+BZ28)</f>
        <v>1666.16076113977</v>
      </c>
      <c r="CA27" s="254">
        <f>SUM(BW27:BZ27)</f>
        <v>6350.60810180298</v>
      </c>
      <c r="CB27" s="254">
        <f>CA27*(1+CB28)</f>
        <v>7112.68107401934</v>
      </c>
      <c r="CC27" s="254">
        <f>CB27*(1+CC28)</f>
        <v>7895.07599216146</v>
      </c>
      <c r="CD27" s="254">
        <f>CC27*(1+CD28)</f>
        <v>8684.58359137761</v>
      </c>
      <c r="CE27" s="254">
        <f>CD27*(1+CE28)</f>
        <v>9466.1961146016</v>
      </c>
      <c r="CF27" s="254">
        <f>CE27*(1+CF28)</f>
        <v>10223.4918037697</v>
      </c>
      <c r="CG27" s="19" t="n"/>
      <c r="CI27" s="20">
        <f>IFERROR((CF27/CA27)^(1/5)-1,"n/m")</f>
        <v>0.0999090818915744</v>
      </c>
      <c r="CJ27" s="20">
        <f>IFERROR((BV27/AW27)^(1/5)-1,"n/m")</f>
        <v>0.11159189476034</v>
      </c>
      <c r="CK27" s="20" t="str">
        <f>IFERROR((BV27/X27)^(1/10)-1,"n/m")</f>
        <v>n/m</v>
      </c>
      <c r="CL27" s="20" t="str">
        <f>IFERROR((BV27/C27)^(1/19)-1,"n/m")</f>
        <v>n/m</v>
      </c>
    </row>
    <row r="28" ht="15" customHeight="1" s="251">
      <c r="B28" s="22" t="inlineStr">
        <is>
          <t xml:space="preserve">    y/y %</t>
        </is>
      </c>
      <c r="C28" s="23" t="n"/>
      <c r="D28" s="255">
        <f>IF(AND(ISNUMBER(D27),ISNUMBER(C27)),IFERROR(D27/C27-1,""),"")</f>
      </c>
      <c r="E28" s="255">
        <f>IF(AND(ISNUMBER(E27),ISNUMBER(D27)),IFERROR(E27/D27-1,""),"")</f>
      </c>
      <c r="F28" s="255">
        <f>IF(AND(ISNUMBER(F27),ISNUMBER(E27)),IFERROR(F27/E27-1,""),"")</f>
      </c>
      <c r="G28" s="255">
        <f>IF(AND(ISNUMBER(G27),ISNUMBER(F27)),IFERROR(G27/F27-1,""),"")</f>
      </c>
      <c r="H28" s="255">
        <f>IF(AND(ISNUMBER(H27),ISNUMBER(G27)),IFERROR(H27/G27-1,""),"")</f>
      </c>
      <c r="I28" s="255">
        <f>IF(AND(ISNUMBER(I27),ISNUMBER(H27)),IFERROR(I27/H27-1,""),"")</f>
      </c>
      <c r="J28" s="23" t="n"/>
      <c r="K28" s="23" t="n"/>
      <c r="L28" s="23" t="n"/>
      <c r="M28" s="23" t="n"/>
      <c r="N28" s="255">
        <f>IF(AND(ISNUMBER(N27),ISNUMBER(I27)),IFERROR(N27/I27-1,""),"")</f>
      </c>
      <c r="O28" s="255">
        <f>IF(AND(ISNUMBER(O27),ISNUMBER(J27)),IFERROR(O27/J27-1,""),"")</f>
      </c>
      <c r="P28" s="255">
        <f>IF(AND(ISNUMBER(P27),ISNUMBER(K27)),IFERROR(P27/K27-1,""),"")</f>
      </c>
      <c r="Q28" s="255">
        <f>IF(AND(ISNUMBER(Q27),ISNUMBER(L27)),IFERROR(Q27/L27-1,""),"")</f>
      </c>
      <c r="R28" s="255">
        <f>IF(AND(ISNUMBER(R27),ISNUMBER(M27)),IFERROR(R27/M27-1,""),"")</f>
      </c>
      <c r="S28" s="255">
        <f>IF(AND(ISNUMBER(S27),ISNUMBER(N27)),IFERROR(S27/N27-1,""),"")</f>
      </c>
      <c r="T28" s="255">
        <f>IF(AND(ISNUMBER(T27),ISNUMBER(O27)),IFERROR(T27/O27-1,""),"")</f>
      </c>
      <c r="U28" s="255">
        <f>IF(AND(ISNUMBER(U27),ISNUMBER(P27)),IFERROR(U27/P27-1,""),"")</f>
      </c>
      <c r="V28" s="255">
        <f>IF(AND(ISNUMBER(V27),ISNUMBER(Q27)),IFERROR(V27/Q27-1,""),"")</f>
      </c>
      <c r="W28" s="255">
        <f>IF(AND(ISNUMBER(W27),ISNUMBER(R27)),IFERROR(W27/R27-1,""),"")</f>
      </c>
      <c r="X28" s="255">
        <f>IF(AND(ISNUMBER(X27),ISNUMBER(S27)),IFERROR(X27/S27-1,""),"")</f>
      </c>
      <c r="Y28" s="255">
        <f>IF(AND(ISNUMBER(Y27),ISNUMBER(T27)),IFERROR(Y27/T27-1,""),"")</f>
      </c>
      <c r="Z28" s="255">
        <f>IF(AND(ISNUMBER(Z27),ISNUMBER(U27)),IFERROR(Z27/U27-1,""),"")</f>
      </c>
      <c r="AA28" s="255">
        <f>IF(AND(ISNUMBER(AA27),ISNUMBER(V27)),IFERROR(AA27/V27-1,""),"")</f>
      </c>
      <c r="AB28" s="255">
        <f>IF(AND(ISNUMBER(AB27),ISNUMBER(W27)),IFERROR(AB27/W27-1,""),"")</f>
      </c>
      <c r="AC28" s="255">
        <f>IF(AND(ISNUMBER(AC27),ISNUMBER(X27)),IFERROR(AC27/X27-1,""),"")</f>
      </c>
      <c r="AD28" s="255">
        <f>IF(AND(ISNUMBER(AD27),ISNUMBER(Y27)),IFERROR(AD27/Y27-1,""),"")</f>
      </c>
      <c r="AE28" s="255">
        <f>IF(AND(ISNUMBER(AE27),ISNUMBER(Z27)),IFERROR(AE27/Z27-1,""),"")</f>
      </c>
      <c r="AF28" s="255">
        <f>IF(AND(ISNUMBER(AF27),ISNUMBER(AA27)),IFERROR(AF27/AA27-1,""),"")</f>
      </c>
      <c r="AG28" s="255">
        <f>IF(AND(ISNUMBER(AG27),ISNUMBER(AB27)),IFERROR(AG27/AB27-1,""),"")</f>
      </c>
      <c r="AH28" s="255">
        <f>IF(AND(ISNUMBER(AH27),ISNUMBER(AC27)),IFERROR(AH27/AC27-1,""),"")</f>
      </c>
      <c r="AI28" s="255">
        <f>IF(AND(ISNUMBER(AI27),ISNUMBER(AD27)),IFERROR(AI27/AD27-1,""),"")</f>
      </c>
      <c r="AJ28" s="255">
        <f>IF(AND(ISNUMBER(AJ27),ISNUMBER(AE27)),IFERROR(AJ27/AE27-1,""),"")</f>
      </c>
      <c r="AK28" s="255">
        <f>IF(AND(ISNUMBER(AK27),ISNUMBER(AF27)),IFERROR(AK27/AF27-1,""),"")</f>
      </c>
      <c r="AL28" s="255">
        <f>IF(AND(ISNUMBER(AL27),ISNUMBER(AG27)),IFERROR(AL27/AG27-1,""),"")</f>
      </c>
      <c r="AM28" s="255">
        <f>IF(AND(ISNUMBER(AM27),ISNUMBER(AH27)),IFERROR(AM27/AH27-1,""),"")</f>
        <v>0.362276393265377</v>
      </c>
      <c r="AN28" s="255">
        <f>IF(AND(ISNUMBER(AN27),ISNUMBER(AI27)),IFERROR(AN27/AI27-1,""),"")</f>
      </c>
      <c r="AO28" s="255">
        <f>IF(AND(ISNUMBER(AO27),ISNUMBER(AJ27)),IFERROR(AO27/AJ27-1,""),"")</f>
      </c>
      <c r="AP28" s="255">
        <f>IF(AND(ISNUMBER(AP27),ISNUMBER(AK27)),IFERROR(AP27/AK27-1,""),"")</f>
      </c>
      <c r="AQ28" s="255">
        <f>IF(AND(ISNUMBER(AQ27),ISNUMBER(AL27)),IFERROR(AQ27/AL27-1,""),"")</f>
      </c>
      <c r="AR28" s="255">
        <f>IF(AND(ISNUMBER(AR27),ISNUMBER(AM27)),IFERROR(AR27/AM27-1,""),"")</f>
        <v>0.249245988174449</v>
      </c>
      <c r="AS28" s="255">
        <f>IF(AND(ISNUMBER(AS27),ISNUMBER(AN27)),IFERROR(AS27/AN27-1,""),"")</f>
        <v>0.258506325419686</v>
      </c>
      <c r="AT28" s="255">
        <f>IF(AND(ISNUMBER(AT27),ISNUMBER(AO27)),IFERROR(AT27/AO27-1,""),"")</f>
        <v>0.159837905531533</v>
      </c>
      <c r="AU28" s="255">
        <f>IF(AND(ISNUMBER(AU27),ISNUMBER(AP27)),IFERROR(AU27/AP27-1,""),"")</f>
        <v>0.0646719735000014</v>
      </c>
      <c r="AV28" s="255">
        <f>IF(AND(ISNUMBER(AV27),ISNUMBER(AQ27)),IFERROR(AV27/AQ27-1,""),"")</f>
        <v>0.0564448707917555</v>
      </c>
      <c r="AW28" s="255">
        <f>IF(AND(ISNUMBER(AW27),ISNUMBER(AR27)),IFERROR(AW27/AR27-1,""),"")</f>
        <v>0.129243974280917</v>
      </c>
      <c r="AX28" s="255">
        <f>IF(AND(ISNUMBER(AX27),ISNUMBER(AS27)),IFERROR(AX27/AS27-1,""),"")</f>
        <v>0.0544380070401147</v>
      </c>
      <c r="AY28" s="255">
        <f>IF(AND(ISNUMBER(AY27),ISNUMBER(AT27)),IFERROR(AY27/AT27-1,""),"")</f>
        <v>0.0961511036864247</v>
      </c>
      <c r="AZ28" s="255">
        <f>IF(AND(ISNUMBER(AZ27),ISNUMBER(AU27)),IFERROR(AZ27/AU27-1,""),"")</f>
        <v>0.159507920099723</v>
      </c>
      <c r="BA28" s="255">
        <f>IF(AND(ISNUMBER(BA27),ISNUMBER(AV27)),IFERROR(BA27/AV27-1,""),"")</f>
        <v>0.222730627680648</v>
      </c>
      <c r="BB28" s="255">
        <f>IF(AND(ISNUMBER(BB27),ISNUMBER(AW27)),IFERROR(BB27/AW27-1,""),"")</f>
        <v>0.133128078544644</v>
      </c>
      <c r="BC28" s="255">
        <f>IF(AND(ISNUMBER(BC27),ISNUMBER(AX27)),IFERROR(BC27/AX27-1,""),"")</f>
        <v>0.193989818884189</v>
      </c>
      <c r="BD28" s="255">
        <f>IF(AND(ISNUMBER(BD27),ISNUMBER(AY27)),IFERROR(BD27/AY27-1,""),"")</f>
        <v>0.196719178702772</v>
      </c>
      <c r="BE28" s="255">
        <f>IF(AND(ISNUMBER(BE27),ISNUMBER(AZ27)),IFERROR(BE27/AZ27-1,""),"")</f>
        <v>0.118702453957568</v>
      </c>
      <c r="BF28" s="255">
        <f>IF(AND(ISNUMBER(BF27),ISNUMBER(BA27)),IFERROR(BF27/BA27-1,""),"")</f>
        <v>0.0546553959446146</v>
      </c>
      <c r="BG28" s="255">
        <f>IF(AND(ISNUMBER(BG27),ISNUMBER(BB27)),IFERROR(BG27/BB27-1,""),"")</f>
        <v>0.137825079061196</v>
      </c>
      <c r="BH28" s="255">
        <f>IF(AND(ISNUMBER(BH27),ISNUMBER(BC27)),IFERROR(BH27/BC27-1,""),"")</f>
        <v>0.0713190276170532</v>
      </c>
      <c r="BI28" s="255">
        <f>IF(AND(ISNUMBER(BI27),ISNUMBER(BD27)),IFERROR(BI27/BD27-1,""),"")</f>
        <v>0.0458158049530495</v>
      </c>
      <c r="BJ28" s="255">
        <f>IF(AND(ISNUMBER(BJ27),ISNUMBER(BE27)),IFERROR(BJ27/BE27-1,""),"")</f>
        <v>0.116086313229714</v>
      </c>
      <c r="BK28" s="255">
        <f>IF(AND(ISNUMBER(BK27),ISNUMBER(BF27)),IFERROR(BK27/BF27-1,""),"")</f>
        <v>0.136871266642146</v>
      </c>
      <c r="BL28" s="255">
        <f>IF(AND(ISNUMBER(BL27),ISNUMBER(BG27)),IFERROR(BL27/BG27-1,""),"")</f>
        <v>0.0925038077648182</v>
      </c>
      <c r="BM28" s="255">
        <f>IF(AND(ISNUMBER(BM27),ISNUMBER(BH27)),IFERROR(BM27/BH27-1,""),"")</f>
        <v>0.0885971862992809</v>
      </c>
      <c r="BN28" s="255">
        <f>IF(AND(ISNUMBER(BN27),ISNUMBER(BI27)),IFERROR(BN27/BI27-1,""),"")</f>
        <v>0.117603382106577</v>
      </c>
      <c r="BO28" s="255">
        <f>IF(AND(ISNUMBER(BO27),ISNUMBER(BJ27)),IFERROR(BO27/BJ27-1,""),"")</f>
        <v>0.0858243401577339</v>
      </c>
      <c r="BP28" s="255">
        <f>IF(AND(ISNUMBER(BP27),ISNUMBER(BK27)),IFERROR(BP27/BK27-1,""),"")</f>
        <v>0.0637945784815701</v>
      </c>
      <c r="BQ28" s="255">
        <f>IF(AND(ISNUMBER(BQ27),ISNUMBER(BL27)),IFERROR(BQ27/BL27-1,""),"")</f>
        <v>0.0884647363375051</v>
      </c>
      <c r="BR28" s="255">
        <f>IF(AND(ISNUMBER(BR27),ISNUMBER(BM27)),IFERROR(BR27/BM27-1,""),"")</f>
        <v>0.0831977119470424</v>
      </c>
      <c r="BS28" s="255">
        <f>IF(AND(ISNUMBER(BS27),ISNUMBER(BN27)),IFERROR(BS27/BN27-1,""),"")</f>
        <v>0.0851973807141166</v>
      </c>
      <c r="BT28" s="255">
        <f>IF(AND(ISNUMBER(BT27),ISNUMBER(BO27)),IFERROR(BT27/BO27-1,""),"")</f>
        <v>0.104780270966369</v>
      </c>
      <c r="BU28" s="255">
        <f>IF(AND(ISNUMBER(BU27),ISNUMBER(BP27)),IFERROR(BU27/BP27-1,""),"")</f>
        <v>0.153010601160704</v>
      </c>
      <c r="BV28" s="255">
        <f>IF(AND(ISNUMBER(BV27),ISNUMBER(BQ27)),IFERROR(BV27/BQ27-1,""),"")</f>
        <v>0.106967909523833</v>
      </c>
      <c r="BW28" s="255">
        <f>IF(AND(ISNUMBER(BW27),ISNUMBER(BR27)),IFERROR(BW27/BR27-1,""),"")</f>
        <v>0.186320362237645</v>
      </c>
      <c r="BX28" s="255">
        <f>IF(AND(ISNUMBER(BX27),ISNUMBER(BS27)),IFERROR(BX27/BS27-1,""),"")</f>
        <v>0.212403432983734</v>
      </c>
      <c r="BY28" s="256">
        <f>BY29+BY79</f>
        <v>0.169366211176938</v>
      </c>
      <c r="BZ28" s="256">
        <f>BZ29+BZ79</f>
        <v>0.175058138001542</v>
      </c>
      <c r="CA28" s="256">
        <f>IF(AND(ISNUMBER(CA27),ISNUMBER(BV27)),IFERROR(CA27/BV27-1,""),"")</f>
        <v>0.185363174834588</v>
      </c>
      <c r="CB28" s="256">
        <f>CHOOSE(MATCH($CG$2,{"Bull","Base","Bear"},0),$CP$43,$CQ$43,$CR$43)</f>
        <v>0.12</v>
      </c>
      <c r="CC28" s="256">
        <f>CHOOSE(MATCH($CG$2,{"Bull","Base","Bear"},0),$CP$44,$CQ$44,$CR$44)</f>
        <v>0.11</v>
      </c>
      <c r="CD28" s="256">
        <f>CHOOSE(MATCH($CG$2,{"Bull","Base","Bear"},0),$CP$45,$CQ$45,$CR$45)</f>
        <v>0.1</v>
      </c>
      <c r="CE28" s="256">
        <f>CHOOSE(MATCH($CG$2,{"Bull","Base","Bear"},0),$CP$46,$CQ$46,$CR$46)</f>
        <v>0.09</v>
      </c>
      <c r="CF28" s="256">
        <f>CHOOSE(MATCH($CG$2,{"Bull","Base","Bear"},0),$CP$47,$CQ$47,$CR$47)</f>
        <v>0.08</v>
      </c>
      <c r="CG28" s="153" t="n"/>
      <c r="CO28" s="25" t="inlineStr">
        <is>
          <t xml:space="preserve">  Target year-end cash (months of revenue) — buybacks return cash above it (2026E–2031E)</t>
        </is>
      </c>
      <c r="CP28" s="263" t="n">
        <v>1.75</v>
      </c>
      <c r="CQ28" s="263" t="n">
        <v>2</v>
      </c>
      <c r="CR28" s="263" t="n">
        <v>2.5</v>
      </c>
      <c r="CS28" s="13" t="inlineStr">
        <is>
          <t>Netflix dropped its former anchors ("$10–15bn gross debt and minimum cash equivalent to two months of revenue", Q1-24 letter) for policies consistent with a solid investment-grade rating and returns excess cash via buybacks. Year-end cash was 2.4 months of revenue at YE2025 and 30-Jun-2026 cash $9.1bn. Base keeps two months; Bull runs leaner (more buybacks); Bear holds more cash.</t>
        </is>
      </c>
    </row>
    <row r="29" ht="15" customHeight="1" s="251">
      <c r="B29" s="25" t="inlineStr">
        <is>
          <t xml:space="preserve">    Q3/Q4-26E growth before calibration (1H-26 y/y)</t>
        </is>
      </c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  <c r="AU29" s="36" t="n"/>
      <c r="AV29" s="36" t="n"/>
      <c r="AW29" s="36" t="n"/>
      <c r="AX29" s="36" t="n"/>
      <c r="AY29" s="36" t="n"/>
      <c r="AZ29" s="36" t="n"/>
      <c r="BA29" s="36" t="n"/>
      <c r="BB29" s="36" t="n"/>
      <c r="BC29" s="36" t="n"/>
      <c r="BD29" s="36" t="n"/>
      <c r="BE29" s="36" t="n"/>
      <c r="BF29" s="36" t="n"/>
      <c r="BG29" s="36" t="n"/>
      <c r="BH29" s="36" t="n"/>
      <c r="BI29" s="36" t="n"/>
      <c r="BJ29" s="36" t="n"/>
      <c r="BK29" s="36" t="n"/>
      <c r="BL29" s="36" t="n"/>
      <c r="BM29" s="36" t="n"/>
      <c r="BN29" s="36" t="n"/>
      <c r="BO29" s="36" t="n"/>
      <c r="BP29" s="36" t="n"/>
      <c r="BQ29" s="36" t="n"/>
      <c r="BR29" s="36" t="n"/>
      <c r="BS29" s="36" t="n"/>
      <c r="BT29" s="36" t="n"/>
      <c r="BU29" s="36" t="n"/>
      <c r="BV29" s="36" t="n"/>
      <c r="BW29" s="36" t="n"/>
      <c r="BX29" s="36" t="n"/>
      <c r="BY29" s="256">
        <f>IFERROR(SUM(BW27:BX27)/SUM(BR27:BS27)-1,0)</f>
        <v>0.199589359314104</v>
      </c>
      <c r="BZ29" s="256">
        <f>IFERROR(SUM(BW27:BX27)/SUM(BR27:BS27)-1,0)</f>
        <v>0.199589359314104</v>
      </c>
      <c r="CA29" s="24" t="n"/>
      <c r="CB29" s="46" t="n"/>
      <c r="CC29" s="46" t="n"/>
      <c r="CD29" s="46" t="n"/>
      <c r="CE29" s="46" t="n"/>
      <c r="CF29" s="46" t="n"/>
      <c r="CG29" s="19" t="n"/>
    </row>
    <row r="30" ht="15" customHeight="1" s="251">
      <c r="B30" s="25" t="inlineStr">
        <is>
          <t xml:space="preserve">    % of revenue</t>
        </is>
      </c>
      <c r="C30" s="215">
        <f>IF(AND(ISNUMBER(C27),ISNUMBER(C121)),IFERROR(C27/C121,""),"")</f>
      </c>
      <c r="D30" s="215">
        <f>IF(AND(ISNUMBER(D27),ISNUMBER(D121)),IFERROR(D27/D121,""),"")</f>
      </c>
      <c r="E30" s="215">
        <f>IF(AND(ISNUMBER(E27),ISNUMBER(E121)),IFERROR(E27/E121,""),"")</f>
      </c>
      <c r="F30" s="215">
        <f>IF(AND(ISNUMBER(F27),ISNUMBER(F121)),IFERROR(F27/F121,""),"")</f>
      </c>
      <c r="G30" s="215">
        <f>IF(AND(ISNUMBER(G27),ISNUMBER(G121)),IFERROR(G27/G121,""),"")</f>
      </c>
      <c r="H30" s="215">
        <f>IF(AND(ISNUMBER(H27),ISNUMBER(H121)),IFERROR(H27/H121,""),"")</f>
      </c>
      <c r="I30" s="215">
        <f>IF(AND(ISNUMBER(I27),ISNUMBER(I121)),IFERROR(I27/I121,""),"")</f>
      </c>
      <c r="J30" s="215">
        <f>IF(AND(ISNUMBER(J27),ISNUMBER(J121)),IFERROR(J27/J121,""),"")</f>
      </c>
      <c r="K30" s="215">
        <f>IF(AND(ISNUMBER(K27),ISNUMBER(K121)),IFERROR(K27/K121,""),"")</f>
      </c>
      <c r="L30" s="215">
        <f>IF(AND(ISNUMBER(L27),ISNUMBER(L121)),IFERROR(L27/L121,""),"")</f>
      </c>
      <c r="M30" s="215">
        <f>IF(AND(ISNUMBER(M27),ISNUMBER(M121)),IFERROR(M27/M121,""),"")</f>
      </c>
      <c r="N30" s="215">
        <f>IF(AND(ISNUMBER(N27),ISNUMBER(N121)),IFERROR(N27/N121,""),"")</f>
      </c>
      <c r="O30" s="215">
        <f>IF(AND(ISNUMBER(O27),ISNUMBER(O121)),IFERROR(O27/O121,""),"")</f>
      </c>
      <c r="P30" s="215">
        <f>IF(AND(ISNUMBER(P27),ISNUMBER(P121)),IFERROR(P27/P121,""),"")</f>
      </c>
      <c r="Q30" s="215">
        <f>IF(AND(ISNUMBER(Q27),ISNUMBER(Q121)),IFERROR(Q27/Q121,""),"")</f>
      </c>
      <c r="R30" s="215">
        <f>IF(AND(ISNUMBER(R27),ISNUMBER(R121)),IFERROR(R27/R121,""),"")</f>
      </c>
      <c r="S30" s="215">
        <f>IF(AND(ISNUMBER(S27),ISNUMBER(S121)),IFERROR(S27/S121,""),"")</f>
      </c>
      <c r="T30" s="215">
        <f>IF(AND(ISNUMBER(T27),ISNUMBER(T121)),IFERROR(T27/T121,""),"")</f>
      </c>
      <c r="U30" s="215">
        <f>IF(AND(ISNUMBER(U27),ISNUMBER(U121)),IFERROR(U27/U121,""),"")</f>
      </c>
      <c r="V30" s="215">
        <f>IF(AND(ISNUMBER(V27),ISNUMBER(V121)),IFERROR(V27/V121,""),"")</f>
      </c>
      <c r="W30" s="215">
        <f>IF(AND(ISNUMBER(W27),ISNUMBER(W121)),IFERROR(W27/W121,""),"")</f>
      </c>
      <c r="X30" s="215">
        <f>IF(AND(ISNUMBER(X27),ISNUMBER(X121)),IFERROR(X27/X121,""),"")</f>
      </c>
      <c r="Y30" s="215">
        <f>IF(AND(ISNUMBER(Y27),ISNUMBER(Y121)),IFERROR(Y27/Y121,""),"")</f>
      </c>
      <c r="Z30" s="215">
        <f>IF(AND(ISNUMBER(Z27),ISNUMBER(Z121)),IFERROR(Z27/Z121,""),"")</f>
      </c>
      <c r="AA30" s="215">
        <f>IF(AND(ISNUMBER(AA27),ISNUMBER(AA121)),IFERROR(AA27/AA121,""),"")</f>
      </c>
      <c r="AB30" s="215">
        <f>IF(AND(ISNUMBER(AB27),ISNUMBER(AB121)),IFERROR(AB27/AB121,""),"")</f>
      </c>
      <c r="AC30" s="215">
        <f>IF(AND(ISNUMBER(AC27),ISNUMBER(AC121)),IFERROR(AC27/AC121,""),"")</f>
      </c>
      <c r="AD30" s="215">
        <f>IF(AND(ISNUMBER(AD27),ISNUMBER(AD121)),IFERROR(AD27/AD121,""),"")</f>
      </c>
      <c r="AE30" s="215">
        <f>IF(AND(ISNUMBER(AE27),ISNUMBER(AE121)),IFERROR(AE27/AE121,""),"")</f>
      </c>
      <c r="AF30" s="215">
        <f>IF(AND(ISNUMBER(AF27),ISNUMBER(AF121)),IFERROR(AF27/AF121,""),"")</f>
      </c>
      <c r="AG30" s="215">
        <f>IF(AND(ISNUMBER(AG27),ISNUMBER(AG121)),IFERROR(AG27/AG121,""),"")</f>
      </c>
      <c r="AH30" s="215">
        <f>IF(AND(ISNUMBER(AH27),ISNUMBER(AH121)),IFERROR(AH27/AH121,""),"")</f>
        <v>0.140482025001383</v>
      </c>
      <c r="AI30" s="215">
        <f>IF(AND(ISNUMBER(AI27),ISNUMBER(AI121)),IFERROR(AI27/AI121,""),"")</f>
      </c>
      <c r="AJ30" s="215">
        <f>IF(AND(ISNUMBER(AJ27),ISNUMBER(AJ121)),IFERROR(AJ27/AJ121,""),"")</f>
      </c>
      <c r="AK30" s="215">
        <f>IF(AND(ISNUMBER(AK27),ISNUMBER(AK121)),IFERROR(AK27/AK121,""),"")</f>
      </c>
      <c r="AL30" s="215">
        <f>IF(AND(ISNUMBER(AL27),ISNUMBER(AL121)),IFERROR(AL27/AL121,""),"")</f>
      </c>
      <c r="AM30" s="215">
        <f>IF(AND(ISNUMBER(AM27),ISNUMBER(AM121)),IFERROR(AM27/AM121,""),"")</f>
        <v>0.141677136133758</v>
      </c>
      <c r="AN30" s="215">
        <f>IF(AND(ISNUMBER(AN27),ISNUMBER(AN121)),IFERROR(AN27/AN121,""),"")</f>
        <v>0.139454349841805</v>
      </c>
      <c r="AO30" s="215">
        <f>IF(AND(ISNUMBER(AO27),ISNUMBER(AO121)),IFERROR(AO27/AO121,""),"")</f>
        <v>0.137542158259119</v>
      </c>
      <c r="AP30" s="215">
        <f>IF(AND(ISNUMBER(AP27),ISNUMBER(AP121)),IFERROR(AP27/AP121,""),"")</f>
        <v>0.141362712956669</v>
      </c>
      <c r="AQ30" s="215">
        <f>IF(AND(ISNUMBER(AQ27),ISNUMBER(AQ121)),IFERROR(AQ27/AQ121,""),"")</f>
        <v>0.136515959771988</v>
      </c>
      <c r="AR30" s="215">
        <f>IF(AND(ISNUMBER(AR27),ISNUMBER(AR121)),IFERROR(AR27/AR121,""),"")</f>
        <v>0.138686842973863</v>
      </c>
      <c r="AS30" s="215">
        <f>IF(AND(ISNUMBER(AS27),ISNUMBER(AS121)),IFERROR(AS27/AS121,""),"")</f>
        <v>0.1375685694674</v>
      </c>
      <c r="AT30" s="215">
        <f>IF(AND(ISNUMBER(AT27),ISNUMBER(AT121)),IFERROR(AT27/AT121,""),"")</f>
        <v>0.127737714218239</v>
      </c>
      <c r="AU30" s="215">
        <f>IF(AND(ISNUMBER(AU27),ISNUMBER(AU121)),IFERROR(AU27/AU121,""),"")</f>
        <v>0.122658254342189</v>
      </c>
      <c r="AV30" s="215">
        <f>IF(AND(ISNUMBER(AV27),ISNUMBER(AV121)),IFERROR(AV27/AV121,""),"")</f>
        <v>0.118673923257965</v>
      </c>
      <c r="AW30" s="215">
        <f>IF(AND(ISNUMBER(AW27),ISNUMBER(AW121)),IFERROR(AW27/AW121,""),"")</f>
        <v>0.126289003353169</v>
      </c>
      <c r="AX30" s="215">
        <f>IF(AND(ISNUMBER(AX27),ISNUMBER(AX121)),IFERROR(AX27/AX121,""),"")</f>
        <v>0.116796602451223</v>
      </c>
      <c r="AY30" s="215">
        <f>IF(AND(ISNUMBER(AY27),ISNUMBER(AY121)),IFERROR(AY27/AY121,""),"")</f>
        <v>0.117257988086535</v>
      </c>
      <c r="AZ30" s="215">
        <f>IF(AND(ISNUMBER(AZ27),ISNUMBER(AZ121)),IFERROR(AZ27/AZ121,""),"")</f>
        <v>0.122309218441132</v>
      </c>
      <c r="BA30" s="215">
        <f>IF(AND(ISNUMBER(BA27),ISNUMBER(BA121)),IFERROR(BA27/BA121,""),"")</f>
        <v>0.125062943310939</v>
      </c>
      <c r="BB30" s="215">
        <f>IF(AND(ISNUMBER(BB27),ISNUMBER(BB121)),IFERROR(BB27/BB121,""),"")</f>
        <v>0.120445645818599</v>
      </c>
      <c r="BC30" s="215">
        <f>IF(AND(ISNUMBER(BC27),ISNUMBER(BC121)),IFERROR(BC27/BC121,""),"")</f>
        <v>0.126967155992291</v>
      </c>
      <c r="BD30" s="215">
        <f>IF(AND(ISNUMBER(BD27),ISNUMBER(BD121)),IFERROR(BD27/BD121,""),"")</f>
        <v>0.129261703149292</v>
      </c>
      <c r="BE30" s="215">
        <f>IF(AND(ISNUMBER(BE27),ISNUMBER(BE121)),IFERROR(BE27/BE121,""),"")</f>
        <v>0.129194814416947</v>
      </c>
      <c r="BF30" s="215">
        <f>IF(AND(ISNUMBER(BF27),ISNUMBER(BF121)),IFERROR(BF27/BF121,""),"")</f>
        <v>0.129500654160129</v>
      </c>
      <c r="BG30" s="215">
        <f>IF(AND(ISNUMBER(BG27),ISNUMBER(BG121)),IFERROR(BG27/BG121,""),"")</f>
        <v>0.128733265750556</v>
      </c>
      <c r="BH30" s="215">
        <f>IF(AND(ISNUMBER(BH27),ISNUMBER(BH121)),IFERROR(BH27/BH121,""),"")</f>
        <v>0.131126827987443</v>
      </c>
      <c r="BI30" s="215">
        <f>IF(AND(ISNUMBER(BI27),ISNUMBER(BI121)),IFERROR(BI27/BI121,""),"")</f>
        <v>0.131598313046021</v>
      </c>
      <c r="BJ30" s="215">
        <f>IF(AND(ISNUMBER(BJ27),ISNUMBER(BJ121)),IFERROR(BJ27/BJ121,""),"")</f>
        <v>0.133792486432392</v>
      </c>
      <c r="BK30" s="215">
        <f>IF(AND(ISNUMBER(BK27),ISNUMBER(BK121)),IFERROR(BK27/BK121,""),"")</f>
        <v>0.130878059963828</v>
      </c>
      <c r="BL30" s="215">
        <f>IF(AND(ISNUMBER(BL27),ISNUMBER(BL121)),IFERROR(BL27/BL121,""),"")</f>
        <v>0.131851313351717</v>
      </c>
      <c r="BM30" s="215">
        <f>IF(AND(ISNUMBER(BM27),ISNUMBER(BM121)),IFERROR(BM27/BM121,""),"")</f>
        <v>0.124327993135861</v>
      </c>
      <c r="BN30" s="215">
        <f>IF(AND(ISNUMBER(BN27),ISNUMBER(BN121)),IFERROR(BN27/BN121,""),"")</f>
        <v>0.125965681623464</v>
      </c>
      <c r="BO30" s="215">
        <f>IF(AND(ISNUMBER(BO27),ISNUMBER(BO121)),IFERROR(BO27/BO121,""),"")</f>
        <v>0.126303258225719</v>
      </c>
      <c r="BP30" s="215">
        <f>IF(AND(ISNUMBER(BP27),ISNUMBER(BP121)),IFERROR(BP27/BP121,""),"")</f>
        <v>0.120018488240829</v>
      </c>
      <c r="BQ30" s="215">
        <f>IF(AND(ISNUMBER(BQ27),ISNUMBER(BQ121)),IFERROR(BQ27/BQ121,""),"")</f>
        <v>0.124094772421791</v>
      </c>
      <c r="BR30" s="215">
        <f>IF(AND(ISNUMBER(BR27),ISNUMBER(BR121)),IFERROR(BR27/BR121,""),"")</f>
        <v>0.119696274263358</v>
      </c>
      <c r="BS30" s="215">
        <f>IF(AND(ISNUMBER(BS27),ISNUMBER(BS121)),IFERROR(BS27/BS121,""),"")</f>
        <v>0.117945249669515</v>
      </c>
      <c r="BT30" s="215">
        <f>IF(AND(ISNUMBER(BT27),ISNUMBER(BT121)),IFERROR(BT27/BT121,""),"")</f>
        <v>0.119103078658111</v>
      </c>
      <c r="BU30" s="215">
        <f>IF(AND(ISNUMBER(BU27),ISNUMBER(BU121)),IFERROR(BU27/BU121,""),"")</f>
        <v>0.117663845655569</v>
      </c>
      <c r="BV30" s="215">
        <f>IF(AND(ISNUMBER(BV27),ISNUMBER(BV121)),IFERROR(BV27/BV121,""),"")</f>
        <v>0.118573727537919</v>
      </c>
      <c r="BW30" s="215">
        <f>IF(AND(ISNUMBER(BW27),ISNUMBER(BW121)),IFERROR(BW27/BW121,""),"")</f>
        <v>0.122211240598487</v>
      </c>
      <c r="BX30" s="215">
        <f>IF(AND(ISNUMBER(BX27),ISNUMBER(BX121)),IFERROR(BX27/BX121,""),"")</f>
        <v>0.12613836151102</v>
      </c>
      <c r="BY30" s="256">
        <f>IF(AND(ISNUMBER(BY27),ISNUMBER(BY121)),IFERROR(BY27/BY121,""),"")</f>
        <v>0.124657802539907</v>
      </c>
      <c r="BZ30" s="256">
        <f>IF(AND(ISNUMBER(BZ27),ISNUMBER(BZ121)),IFERROR(BZ27/BZ121,""),"")</f>
        <v>0.12314288267262</v>
      </c>
      <c r="CA30" s="256">
        <f>IF(AND(ISNUMBER(CA27),ISNUMBER(CA121)),IFERROR(CA27/CA121,""),"")</f>
        <v>0.124035314488339</v>
      </c>
      <c r="CB30" s="256">
        <f>IF(AND(ISNUMBER(CB27),ISNUMBER(CB121)),IFERROR(CB27/CB121,""),"")</f>
        <v>0.125711680825579</v>
      </c>
      <c r="CC30" s="256">
        <f>IF(AND(ISNUMBER(CC27),ISNUMBER(CC121)),IFERROR(CC27/CC121,""),"")</f>
        <v>0.12740422904508</v>
      </c>
      <c r="CD30" s="256">
        <f>IF(AND(ISNUMBER(CD27),ISNUMBER(CD121)),IFERROR(CD27/CD121,""),"")</f>
        <v>0.129112602225503</v>
      </c>
      <c r="CE30" s="256">
        <f>IF(AND(ISNUMBER(CE27),ISNUMBER(CE121)),IFERROR(CE27/CE121,""),"")</f>
        <v>0.130585908376836</v>
      </c>
      <c r="CF30" s="256">
        <f>IF(AND(ISNUMBER(CF27),ISNUMBER(CF121)),IFERROR(CF27/CF121,""),"")</f>
        <v>0.13182076537858</v>
      </c>
      <c r="CG30" s="153" t="n"/>
      <c r="CI30" s="37">
        <f>IFERROR(AVERAGE(CB30,CC30,CD30,CE30,CF30),"n/m")</f>
        <v>0.128927037170316</v>
      </c>
      <c r="CJ30" s="37">
        <f>IFERROR(AVERAGE(BB30,BG30,BL30,BQ30,BV30),"n/m")</f>
        <v>0.124739744976116</v>
      </c>
      <c r="CK30" s="37">
        <f>IFERROR(AVERAGE(AC30,AH30,AM30,AR30,AW30,BB30,BG30,BL30,BQ30,BV30),"n/m")</f>
        <v>0.130092636926973</v>
      </c>
      <c r="CL30" s="37">
        <f>IFERROR(AVERAGE(C30,D30,E30,F30,G30,H30,I30,N30,S30,X30,AC30,AH30,AM30,AR30,AW30,BB30,BG30,BL30,BQ30,BV30),"n/m")</f>
        <v>0.130092636926973</v>
      </c>
      <c r="CO30" s="15" t="inlineStr">
        <is>
          <t>UCAN_G (UCAN revenue y/y)</t>
        </is>
      </c>
      <c r="CP30" s="41" t="n">
        <v>0.02</v>
      </c>
      <c r="CQ30" s="21" t="inlineStr">
        <is>
          <t>Δ →</t>
        </is>
      </c>
      <c r="CR30" s="41" t="n">
        <v>-0.03</v>
      </c>
      <c r="CS30" s="13" t="inlineStr">
        <is>
          <t>FY25 +15%, 1H-26 +12% (price change partly in Q2-26, ads, paid sharing anniversaried); mature penetration → price- and ads-led high-single-digit growth.</t>
        </is>
      </c>
    </row>
    <row r="31" ht="15" customHeight="1" s="251">
      <c r="B31" s="156" t="inlineStr">
        <is>
          <t xml:space="preserve">    Memo: LATAM paid memberships at period end (m)</t>
        </is>
      </c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253" t="n">
        <v>19.717</v>
      </c>
      <c r="AI31" s="34" t="n"/>
      <c r="AJ31" s="34" t="n"/>
      <c r="AK31" s="34" t="n"/>
      <c r="AL31" s="34" t="n"/>
      <c r="AM31" s="253" t="n">
        <v>26.077</v>
      </c>
      <c r="AN31" s="253" t="n">
        <v>27.547</v>
      </c>
      <c r="AO31" s="253" t="n">
        <v>27.89</v>
      </c>
      <c r="AP31" s="253" t="n">
        <v>29.38</v>
      </c>
      <c r="AQ31" s="253" t="n">
        <v>31.417</v>
      </c>
      <c r="AR31" s="253" t="n">
        <v>31.417</v>
      </c>
      <c r="AS31" s="253" t="n">
        <v>34.318</v>
      </c>
      <c r="AT31" s="253" t="n">
        <v>36.068</v>
      </c>
      <c r="AU31" s="253" t="n">
        <v>36.324</v>
      </c>
      <c r="AV31" s="253" t="n">
        <v>37.537</v>
      </c>
      <c r="AW31" s="253" t="n">
        <v>37.537</v>
      </c>
      <c r="AX31" s="253" t="n">
        <v>37.894</v>
      </c>
      <c r="AY31" s="253" t="n">
        <v>38.658</v>
      </c>
      <c r="AZ31" s="253" t="n">
        <v>38.988</v>
      </c>
      <c r="BA31" s="253" t="n">
        <v>39.961</v>
      </c>
      <c r="BB31" s="253" t="n">
        <v>39.961</v>
      </c>
      <c r="BC31" s="253" t="n">
        <v>39.61</v>
      </c>
      <c r="BD31" s="253" t="n">
        <v>39.624</v>
      </c>
      <c r="BE31" s="253" t="n">
        <v>39.936</v>
      </c>
      <c r="BF31" s="253" t="n">
        <v>41.699</v>
      </c>
      <c r="BG31" s="253" t="n">
        <v>41.699</v>
      </c>
      <c r="BH31" s="253" t="n">
        <v>41.249</v>
      </c>
      <c r="BI31" s="253" t="n">
        <v>42.466</v>
      </c>
      <c r="BJ31" s="253" t="n">
        <v>43.645</v>
      </c>
      <c r="BK31" s="253" t="n">
        <v>45.997</v>
      </c>
      <c r="BL31" s="253" t="n">
        <v>45.997</v>
      </c>
      <c r="BM31" s="253" t="n">
        <v>47.72</v>
      </c>
      <c r="BN31" s="253" t="n">
        <v>49.25</v>
      </c>
      <c r="BO31" s="253" t="n">
        <v>49.182</v>
      </c>
      <c r="BP31" s="253" t="n">
        <v>53.327</v>
      </c>
      <c r="BQ31" s="253" t="n">
        <v>53.327</v>
      </c>
      <c r="BR31" s="34" t="n"/>
      <c r="BS31" s="34" t="n"/>
      <c r="BT31" s="34" t="n"/>
      <c r="BU31" s="34" t="n"/>
      <c r="BV31" s="34" t="n"/>
      <c r="BW31" s="34" t="n"/>
      <c r="BX31" s="34" t="n"/>
      <c r="BY31" s="153" t="n"/>
      <c r="BZ31" s="153" t="n"/>
      <c r="CA31" s="153" t="n"/>
      <c r="CB31" s="153" t="n"/>
      <c r="CC31" s="153" t="n"/>
      <c r="CD31" s="153" t="n"/>
      <c r="CE31" s="153" t="n"/>
      <c r="CF31" s="153" t="n"/>
      <c r="CG31" s="153" t="n"/>
      <c r="CO31" s="25" t="inlineStr">
        <is>
          <t xml:space="preserve">  2027E</t>
        </is>
      </c>
      <c r="CP31" s="33">
        <f>CQ31+$CP$30</f>
        <v>0.11</v>
      </c>
      <c r="CQ31" s="42" t="n">
        <v>0.09</v>
      </c>
      <c r="CR31" s="33">
        <f>CQ31+$CR$30</f>
        <v>0.06</v>
      </c>
    </row>
    <row r="32" ht="15" customHeight="1" s="251">
      <c r="B32" s="156" t="inlineStr">
        <is>
          <t xml:space="preserve">    Memo: LATAM average monthly revenue per paying membership ($)</t>
        </is>
      </c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259" t="n">
        <v>8.09</v>
      </c>
      <c r="AI32" s="34" t="n"/>
      <c r="AJ32" s="34" t="n"/>
      <c r="AK32" s="34" t="n"/>
      <c r="AL32" s="34" t="n"/>
      <c r="AM32" s="259" t="n">
        <v>8.19</v>
      </c>
      <c r="AN32" s="259" t="n">
        <v>7.84</v>
      </c>
      <c r="AO32" s="259" t="n">
        <v>8.140000000000001</v>
      </c>
      <c r="AP32" s="34" t="n"/>
      <c r="AQ32" s="259" t="n">
        <v>8.18</v>
      </c>
      <c r="AR32" s="259" t="n">
        <v>8.210000000000001</v>
      </c>
      <c r="AS32" s="259" t="n">
        <v>8.050000000000001</v>
      </c>
      <c r="AT32" s="259" t="n">
        <v>7.44</v>
      </c>
      <c r="AU32" s="34" t="n"/>
      <c r="AV32" s="259" t="n">
        <v>7.12</v>
      </c>
      <c r="AW32" s="259" t="n">
        <v>7.45</v>
      </c>
      <c r="AX32" s="259" t="n">
        <v>7.39</v>
      </c>
      <c r="AY32" s="259" t="n">
        <v>7.5</v>
      </c>
      <c r="AZ32" s="259" t="n">
        <v>7.86</v>
      </c>
      <c r="BA32" s="259" t="n">
        <v>8.140000000000001</v>
      </c>
      <c r="BB32" s="259" t="n">
        <v>7.73</v>
      </c>
      <c r="BC32" s="259" t="n">
        <v>8.369999999999999</v>
      </c>
      <c r="BD32" s="259" t="n">
        <v>8.67</v>
      </c>
      <c r="BE32" s="259" t="n">
        <v>8.58</v>
      </c>
      <c r="BF32" s="259" t="n">
        <v>8.300000000000001</v>
      </c>
      <c r="BG32" s="259" t="n">
        <v>8.48</v>
      </c>
      <c r="BH32" s="259" t="n">
        <v>8.6</v>
      </c>
      <c r="BI32" s="259" t="n">
        <v>8.58</v>
      </c>
      <c r="BJ32" s="259" t="n">
        <v>8.85</v>
      </c>
      <c r="BK32" s="259" t="n">
        <v>8.6</v>
      </c>
      <c r="BL32" s="259" t="n">
        <v>8.66</v>
      </c>
      <c r="BM32" s="259" t="n">
        <v>8.289999999999999</v>
      </c>
      <c r="BN32" s="259" t="n">
        <v>8.279999999999999</v>
      </c>
      <c r="BO32" s="259" t="n">
        <v>8.4</v>
      </c>
      <c r="BP32" s="259" t="n">
        <v>8</v>
      </c>
      <c r="BQ32" s="259" t="n">
        <v>8.24</v>
      </c>
      <c r="BR32" s="34" t="n"/>
      <c r="BS32" s="34" t="n"/>
      <c r="BT32" s="34" t="n"/>
      <c r="BU32" s="34" t="n"/>
      <c r="BV32" s="34" t="n"/>
      <c r="BW32" s="34" t="n"/>
      <c r="BX32" s="34" t="n"/>
      <c r="BY32" s="153" t="n"/>
      <c r="BZ32" s="153" t="n"/>
      <c r="CA32" s="153" t="n"/>
      <c r="CB32" s="153" t="n"/>
      <c r="CC32" s="153" t="n"/>
      <c r="CD32" s="153" t="n"/>
      <c r="CE32" s="153" t="n"/>
      <c r="CF32" s="153" t="n"/>
      <c r="CG32" s="153" t="n"/>
      <c r="CO32" s="25" t="inlineStr">
        <is>
          <t xml:space="preserve">  2028E</t>
        </is>
      </c>
      <c r="CP32" s="33">
        <f>CQ32+$CP$30</f>
        <v>0.1</v>
      </c>
      <c r="CQ32" s="42" t="n">
        <v>0.08</v>
      </c>
      <c r="CR32" s="33">
        <f>CQ32+$CR$30</f>
        <v>0.05</v>
      </c>
    </row>
    <row r="33" ht="15" customHeight="1" s="251">
      <c r="CO33" s="25" t="inlineStr">
        <is>
          <t xml:space="preserve">  2029E</t>
        </is>
      </c>
      <c r="CP33" s="33">
        <f>CQ33+$CP$30</f>
        <v>0.09</v>
      </c>
      <c r="CQ33" s="42" t="n">
        <v>0.07000000000000001</v>
      </c>
      <c r="CR33" s="33">
        <f>CQ33+$CR$30</f>
        <v>0.04</v>
      </c>
    </row>
    <row r="34" ht="15" customHeight="1" s="251">
      <c r="B34" s="14" t="inlineStr">
        <is>
          <t>Asia-Pacific (APAC)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5" t="n"/>
      <c r="CO34" s="25" t="inlineStr">
        <is>
          <t xml:space="preserve">  2030E</t>
        </is>
      </c>
      <c r="CP34" s="33">
        <f>CQ34+$CP$30</f>
        <v>0.085</v>
      </c>
      <c r="CQ34" s="42" t="n">
        <v>0.065</v>
      </c>
      <c r="CR34" s="33">
        <f>CQ34+$CR$30</f>
        <v>0.035</v>
      </c>
    </row>
    <row r="35" ht="15" customHeight="1" s="251">
      <c r="B35" s="25" t="inlineStr">
        <is>
          <t xml:space="preserve">  APAC streaming revenue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253" t="n">
        <v>575.928</v>
      </c>
      <c r="AI35" s="34" t="n"/>
      <c r="AJ35" s="34" t="n"/>
      <c r="AK35" s="34" t="n"/>
      <c r="AL35" s="34" t="n"/>
      <c r="AM35" s="253" t="n">
        <v>945.816</v>
      </c>
      <c r="AN35" s="253" t="n">
        <v>319.602</v>
      </c>
      <c r="AO35" s="253" t="n">
        <v>349.494</v>
      </c>
      <c r="AP35" s="253" t="n">
        <v>382.304</v>
      </c>
      <c r="AQ35" s="253" t="n">
        <v>418.121</v>
      </c>
      <c r="AR35" s="253" t="n">
        <v>1469.521</v>
      </c>
      <c r="AS35" s="253" t="n">
        <v>483.66</v>
      </c>
      <c r="AT35" s="253" t="n">
        <v>569.14</v>
      </c>
      <c r="AU35" s="253" t="n">
        <v>634.891</v>
      </c>
      <c r="AV35" s="253" t="n">
        <v>684.609</v>
      </c>
      <c r="AW35" s="253" t="n">
        <v>2372.3</v>
      </c>
      <c r="AX35" s="253" t="n">
        <v>762.414</v>
      </c>
      <c r="AY35" s="253" t="n">
        <v>799.48</v>
      </c>
      <c r="AZ35" s="253" t="n">
        <v>834.002</v>
      </c>
      <c r="BA35" s="253" t="n">
        <v>870.705</v>
      </c>
      <c r="BB35" s="253" t="n">
        <v>3266.601</v>
      </c>
      <c r="BC35" s="253" t="n">
        <v>916.754</v>
      </c>
      <c r="BD35" s="253" t="n">
        <v>907.7190000000001</v>
      </c>
      <c r="BE35" s="253" t="n">
        <v>889.037</v>
      </c>
      <c r="BF35" s="253" t="n">
        <v>856.711</v>
      </c>
      <c r="BG35" s="253" t="n">
        <v>3570.221</v>
      </c>
      <c r="BH35" s="253" t="n">
        <v>933.523</v>
      </c>
      <c r="BI35" s="253" t="n">
        <v>919.273</v>
      </c>
      <c r="BJ35" s="253" t="n">
        <v>948.216</v>
      </c>
      <c r="BK35" s="253" t="n">
        <v>962.715</v>
      </c>
      <c r="BL35" s="253" t="n">
        <v>3763.727</v>
      </c>
      <c r="BM35" s="253" t="n">
        <v>1022.924</v>
      </c>
      <c r="BN35" s="253" t="n">
        <v>1051.833</v>
      </c>
      <c r="BO35" s="253" t="n">
        <v>1127.869</v>
      </c>
      <c r="BP35" s="253" t="n">
        <v>1212.12</v>
      </c>
      <c r="BQ35" s="253" t="n">
        <v>4414.746</v>
      </c>
      <c r="BR35" s="253" t="n">
        <v>1259.093</v>
      </c>
      <c r="BS35" s="253" t="n">
        <v>1305.253</v>
      </c>
      <c r="BT35" s="253" t="n">
        <v>1368.561</v>
      </c>
      <c r="BU35" s="253" t="n">
        <v>1420.81</v>
      </c>
      <c r="BV35" s="253" t="n">
        <v>5353.717</v>
      </c>
      <c r="BW35" s="253" t="n">
        <v>1508.982</v>
      </c>
      <c r="BX35" s="253" t="n">
        <v>1510.466</v>
      </c>
      <c r="BY35" s="254">
        <f>BT35*(1+BY36)</f>
        <v>1570.08130970129</v>
      </c>
      <c r="BZ35" s="254">
        <f>BU35*(1+BZ36)</f>
        <v>1638.11111014312</v>
      </c>
      <c r="CA35" s="254">
        <f>SUM(BW35:BZ35)</f>
        <v>6227.64041984441</v>
      </c>
      <c r="CB35" s="254">
        <f>CA35*(1+CB36)</f>
        <v>7037.23367442418</v>
      </c>
      <c r="CC35" s="254">
        <f>CB35*(1+CC36)</f>
        <v>7881.70171535508</v>
      </c>
      <c r="CD35" s="254">
        <f>CC35*(1+CD36)</f>
        <v>8748.68890404414</v>
      </c>
      <c r="CE35" s="254">
        <f>CD35*(1+CE36)</f>
        <v>9623.55779444856</v>
      </c>
      <c r="CF35" s="254">
        <f>CE35*(1+CF36)</f>
        <v>10489.6779959489</v>
      </c>
      <c r="CG35" s="19" t="n"/>
      <c r="CI35" s="20">
        <f>IFERROR((CF35/CA35)^(1/5)-1,"n/m")</f>
        <v>0.109909901133951</v>
      </c>
      <c r="CJ35" s="20">
        <f>IFERROR((BV35/AW35)^(1/5)-1,"n/m")</f>
        <v>0.176785098467297</v>
      </c>
      <c r="CK35" s="20" t="str">
        <f>IFERROR((BV35/X35)^(1/10)-1,"n/m")</f>
        <v>n/m</v>
      </c>
      <c r="CL35" s="20" t="str">
        <f>IFERROR((BV35/C35)^(1/19)-1,"n/m")</f>
        <v>n/m</v>
      </c>
      <c r="CO35" s="25" t="inlineStr">
        <is>
          <t xml:space="preserve">  2031E</t>
        </is>
      </c>
      <c r="CP35" s="33">
        <f>CQ35+$CP$30</f>
        <v>0.08</v>
      </c>
      <c r="CQ35" s="42" t="n">
        <v>0.06</v>
      </c>
      <c r="CR35" s="33">
        <f>CQ35+$CR$30</f>
        <v>0.03</v>
      </c>
    </row>
    <row r="36" ht="15" customHeight="1" s="251">
      <c r="B36" s="22" t="inlineStr">
        <is>
          <t xml:space="preserve">    y/y %</t>
        </is>
      </c>
      <c r="C36" s="23" t="n"/>
      <c r="D36" s="255">
        <f>IF(AND(ISNUMBER(D35),ISNUMBER(C35)),IFERROR(D35/C35-1,""),"")</f>
      </c>
      <c r="E36" s="255">
        <f>IF(AND(ISNUMBER(E35),ISNUMBER(D35)),IFERROR(E35/D35-1,""),"")</f>
      </c>
      <c r="F36" s="255">
        <f>IF(AND(ISNUMBER(F35),ISNUMBER(E35)),IFERROR(F35/E35-1,""),"")</f>
      </c>
      <c r="G36" s="255">
        <f>IF(AND(ISNUMBER(G35),ISNUMBER(F35)),IFERROR(G35/F35-1,""),"")</f>
      </c>
      <c r="H36" s="255">
        <f>IF(AND(ISNUMBER(H35),ISNUMBER(G35)),IFERROR(H35/G35-1,""),"")</f>
      </c>
      <c r="I36" s="255">
        <f>IF(AND(ISNUMBER(I35),ISNUMBER(H35)),IFERROR(I35/H35-1,""),"")</f>
      </c>
      <c r="J36" s="23" t="n"/>
      <c r="K36" s="23" t="n"/>
      <c r="L36" s="23" t="n"/>
      <c r="M36" s="23" t="n"/>
      <c r="N36" s="255">
        <f>IF(AND(ISNUMBER(N35),ISNUMBER(I35)),IFERROR(N35/I35-1,""),"")</f>
      </c>
      <c r="O36" s="255">
        <f>IF(AND(ISNUMBER(O35),ISNUMBER(J35)),IFERROR(O35/J35-1,""),"")</f>
      </c>
      <c r="P36" s="255">
        <f>IF(AND(ISNUMBER(P35),ISNUMBER(K35)),IFERROR(P35/K35-1,""),"")</f>
      </c>
      <c r="Q36" s="255">
        <f>IF(AND(ISNUMBER(Q35),ISNUMBER(L35)),IFERROR(Q35/L35-1,""),"")</f>
      </c>
      <c r="R36" s="255">
        <f>IF(AND(ISNUMBER(R35),ISNUMBER(M35)),IFERROR(R35/M35-1,""),"")</f>
      </c>
      <c r="S36" s="255">
        <f>IF(AND(ISNUMBER(S35),ISNUMBER(N35)),IFERROR(S35/N35-1,""),"")</f>
      </c>
      <c r="T36" s="255">
        <f>IF(AND(ISNUMBER(T35),ISNUMBER(O35)),IFERROR(T35/O35-1,""),"")</f>
      </c>
      <c r="U36" s="255">
        <f>IF(AND(ISNUMBER(U35),ISNUMBER(P35)),IFERROR(U35/P35-1,""),"")</f>
      </c>
      <c r="V36" s="255">
        <f>IF(AND(ISNUMBER(V35),ISNUMBER(Q35)),IFERROR(V35/Q35-1,""),"")</f>
      </c>
      <c r="W36" s="255">
        <f>IF(AND(ISNUMBER(W35),ISNUMBER(R35)),IFERROR(W35/R35-1,""),"")</f>
      </c>
      <c r="X36" s="255">
        <f>IF(AND(ISNUMBER(X35),ISNUMBER(S35)),IFERROR(X35/S35-1,""),"")</f>
      </c>
      <c r="Y36" s="255">
        <f>IF(AND(ISNUMBER(Y35),ISNUMBER(T35)),IFERROR(Y35/T35-1,""),"")</f>
      </c>
      <c r="Z36" s="255">
        <f>IF(AND(ISNUMBER(Z35),ISNUMBER(U35)),IFERROR(Z35/U35-1,""),"")</f>
      </c>
      <c r="AA36" s="255">
        <f>IF(AND(ISNUMBER(AA35),ISNUMBER(V35)),IFERROR(AA35/V35-1,""),"")</f>
      </c>
      <c r="AB36" s="255">
        <f>IF(AND(ISNUMBER(AB35),ISNUMBER(W35)),IFERROR(AB35/W35-1,""),"")</f>
      </c>
      <c r="AC36" s="255">
        <f>IF(AND(ISNUMBER(AC35),ISNUMBER(X35)),IFERROR(AC35/X35-1,""),"")</f>
      </c>
      <c r="AD36" s="255">
        <f>IF(AND(ISNUMBER(AD35),ISNUMBER(Y35)),IFERROR(AD35/Y35-1,""),"")</f>
      </c>
      <c r="AE36" s="255">
        <f>IF(AND(ISNUMBER(AE35),ISNUMBER(Z35)),IFERROR(AE35/Z35-1,""),"")</f>
      </c>
      <c r="AF36" s="255">
        <f>IF(AND(ISNUMBER(AF35),ISNUMBER(AA35)),IFERROR(AF35/AA35-1,""),"")</f>
      </c>
      <c r="AG36" s="255">
        <f>IF(AND(ISNUMBER(AG35),ISNUMBER(AB35)),IFERROR(AG35/AB35-1,""),"")</f>
      </c>
      <c r="AH36" s="255">
        <f>IF(AND(ISNUMBER(AH35),ISNUMBER(AC35)),IFERROR(AH35/AC35-1,""),"")</f>
      </c>
      <c r="AI36" s="255">
        <f>IF(AND(ISNUMBER(AI35),ISNUMBER(AD35)),IFERROR(AI35/AD35-1,""),"")</f>
      </c>
      <c r="AJ36" s="255">
        <f>IF(AND(ISNUMBER(AJ35),ISNUMBER(AE35)),IFERROR(AJ35/AE35-1,""),"")</f>
      </c>
      <c r="AK36" s="255">
        <f>IF(AND(ISNUMBER(AK35),ISNUMBER(AF35)),IFERROR(AK35/AF35-1,""),"")</f>
      </c>
      <c r="AL36" s="255">
        <f>IF(AND(ISNUMBER(AL35),ISNUMBER(AG35)),IFERROR(AL35/AG35-1,""),"")</f>
      </c>
      <c r="AM36" s="255">
        <f>IF(AND(ISNUMBER(AM35),ISNUMBER(AH35)),IFERROR(AM35/AH35-1,""),"")</f>
        <v>0.642246947535109</v>
      </c>
      <c r="AN36" s="255">
        <f>IF(AND(ISNUMBER(AN35),ISNUMBER(AI35)),IFERROR(AN35/AI35-1,""),"")</f>
      </c>
      <c r="AO36" s="255">
        <f>IF(AND(ISNUMBER(AO35),ISNUMBER(AJ35)),IFERROR(AO35/AJ35-1,""),"")</f>
      </c>
      <c r="AP36" s="255">
        <f>IF(AND(ISNUMBER(AP35),ISNUMBER(AK35)),IFERROR(AP35/AK35-1,""),"")</f>
      </c>
      <c r="AQ36" s="255">
        <f>IF(AND(ISNUMBER(AQ35),ISNUMBER(AL35)),IFERROR(AQ35/AL35-1,""),"")</f>
      </c>
      <c r="AR36" s="255">
        <f>IF(AND(ISNUMBER(AR35),ISNUMBER(AM35)),IFERROR(AR35/AM35-1,""),"")</f>
        <v>0.553707063530327</v>
      </c>
      <c r="AS36" s="255">
        <f>IF(AND(ISNUMBER(AS35),ISNUMBER(AN35)),IFERROR(AS35/AN35-1,""),"")</f>
        <v>0.513319691366137</v>
      </c>
      <c r="AT36" s="255">
        <f>IF(AND(ISNUMBER(AT35),ISNUMBER(AO35)),IFERROR(AT35/AO35-1,""),"")</f>
        <v>0.628468586012921</v>
      </c>
      <c r="AU36" s="255">
        <f>IF(AND(ISNUMBER(AU35),ISNUMBER(AP35)),IFERROR(AU35/AP35-1,""),"")</f>
        <v>0.660696723026701</v>
      </c>
      <c r="AV36" s="255">
        <f>IF(AND(ISNUMBER(AV35),ISNUMBER(AQ35)),IFERROR(AV35/AQ35-1,""),"")</f>
        <v>0.637346605408482</v>
      </c>
      <c r="AW36" s="255">
        <f>IF(AND(ISNUMBER(AW35),ISNUMBER(AR35)),IFERROR(AW35/AR35-1,""),"")</f>
        <v>0.61433555559941</v>
      </c>
      <c r="AX36" s="255">
        <f>IF(AND(ISNUMBER(AX35),ISNUMBER(AS35)),IFERROR(AX35/AS35-1,""),"")</f>
        <v>0.576342885498077</v>
      </c>
      <c r="AY36" s="255">
        <f>IF(AND(ISNUMBER(AY35),ISNUMBER(AT35)),IFERROR(AY35/AT35-1,""),"")</f>
        <v>0.404715887127948</v>
      </c>
      <c r="AZ36" s="255">
        <f>IF(AND(ISNUMBER(AZ35),ISNUMBER(AU35)),IFERROR(AZ35/AU35-1,""),"")</f>
        <v>0.313614462955058</v>
      </c>
      <c r="BA36" s="255">
        <f>IF(AND(ISNUMBER(BA35),ISNUMBER(AV35)),IFERROR(BA35/AV35-1,""),"")</f>
        <v>0.271828153004124</v>
      </c>
      <c r="BB36" s="255">
        <f>IF(AND(ISNUMBER(BB35),ISNUMBER(AW35)),IFERROR(BB35/AW35-1,""),"")</f>
        <v>0.376976352063398</v>
      </c>
      <c r="BC36" s="255">
        <f>IF(AND(ISNUMBER(BC35),ISNUMBER(AX35)),IFERROR(BC35/AX35-1,""),"")</f>
        <v>0.202435946874008</v>
      </c>
      <c r="BD36" s="255">
        <f>IF(AND(ISNUMBER(BD35),ISNUMBER(AY35)),IFERROR(BD35/AY35-1,""),"")</f>
        <v>0.135386751388402</v>
      </c>
      <c r="BE36" s="255">
        <f>IF(AND(ISNUMBER(BE35),ISNUMBER(AZ35)),IFERROR(BE35/AZ35-1,""),"")</f>
        <v>0.0659890503859704</v>
      </c>
      <c r="BF36" s="255">
        <f>IF(AND(ISNUMBER(BF35),ISNUMBER(BA35)),IFERROR(BF35/BA35-1,""),"")</f>
        <v>-0.0160720335819825</v>
      </c>
      <c r="BG36" s="255">
        <f>IF(AND(ISNUMBER(BG35),ISNUMBER(BB35)),IFERROR(BG35/BB35-1,""),"")</f>
        <v>0.0929467663788752</v>
      </c>
      <c r="BH36" s="255">
        <f>IF(AND(ISNUMBER(BH35),ISNUMBER(BC35)),IFERROR(BH35/BC35-1,""),"")</f>
        <v>0.0182917118441808</v>
      </c>
      <c r="BI36" s="255">
        <f>IF(AND(ISNUMBER(BI35),ISNUMBER(BD35)),IFERROR(BI35/BD35-1,""),"")</f>
        <v>0.0127286087434548</v>
      </c>
      <c r="BJ36" s="255">
        <f>IF(AND(ISNUMBER(BJ35),ISNUMBER(BE35)),IFERROR(BJ35/BE35-1,""),"")</f>
        <v>0.0665652835596269</v>
      </c>
      <c r="BK36" s="255">
        <f>IF(AND(ISNUMBER(BK35),ISNUMBER(BF35)),IFERROR(BK35/BF35-1,""),"")</f>
        <v>0.123733674482994</v>
      </c>
      <c r="BL36" s="255">
        <f>IF(AND(ISNUMBER(BL35),ISNUMBER(BG35)),IFERROR(BL35/BG35-1,""),"")</f>
        <v>0.0542000061060646</v>
      </c>
      <c r="BM36" s="255">
        <f>IF(AND(ISNUMBER(BM35),ISNUMBER(BH35)),IFERROR(BM35/BH35-1,""),"")</f>
        <v>0.0957673244258577</v>
      </c>
      <c r="BN36" s="255">
        <f>IF(AND(ISNUMBER(BN35),ISNUMBER(BI35)),IFERROR(BN35/BI35-1,""),"")</f>
        <v>0.144200906585965</v>
      </c>
      <c r="BO36" s="255">
        <f>IF(AND(ISNUMBER(BO35),ISNUMBER(BJ35)),IFERROR(BO35/BJ35-1,""),"")</f>
        <v>0.189464214904621</v>
      </c>
      <c r="BP36" s="255">
        <f>IF(AND(ISNUMBER(BP35),ISNUMBER(BK35)),IFERROR(BP35/BK35-1,""),"")</f>
        <v>0.259064209033826</v>
      </c>
      <c r="BQ36" s="255">
        <f>IF(AND(ISNUMBER(BQ35),ISNUMBER(BL35)),IFERROR(BQ35/BL35-1,""),"")</f>
        <v>0.172971897270976</v>
      </c>
      <c r="BR36" s="255">
        <f>IF(AND(ISNUMBER(BR35),ISNUMBER(BM35)),IFERROR(BR35/BM35-1,""),"")</f>
        <v>0.230876389643806</v>
      </c>
      <c r="BS36" s="255">
        <f>IF(AND(ISNUMBER(BS35),ISNUMBER(BN35)),IFERROR(BS35/BN35-1,""),"")</f>
        <v>0.240931782897095</v>
      </c>
      <c r="BT36" s="255">
        <f>IF(AND(ISNUMBER(BT35),ISNUMBER(BO35)),IFERROR(BT35/BO35-1,""),"")</f>
        <v>0.213404216269797</v>
      </c>
      <c r="BU36" s="255">
        <f>IF(AND(ISNUMBER(BU35),ISNUMBER(BP35)),IFERROR(BU35/BP35-1,""),"")</f>
        <v>0.172169422169422</v>
      </c>
      <c r="BV36" s="255">
        <f>IF(AND(ISNUMBER(BV35),ISNUMBER(BQ35)),IFERROR(BV35/BQ35-1,""),"")</f>
        <v>0.212689699475349</v>
      </c>
      <c r="BW36" s="255">
        <f>IF(AND(ISNUMBER(BW35),ISNUMBER(BR35)),IFERROR(BW35/BR35-1,""),"")</f>
        <v>0.19846746824897</v>
      </c>
      <c r="BX36" s="255">
        <f>IF(AND(ISNUMBER(BX35),ISNUMBER(BS35)),IFERROR(BX35/BS35-1,""),"")</f>
        <v>0.157220860630085</v>
      </c>
      <c r="BY36" s="256">
        <f>BY37+BY79</f>
        <v>0.147249782582792</v>
      </c>
      <c r="BZ36" s="256">
        <f>BZ37+BZ79</f>
        <v>0.152941709407396</v>
      </c>
      <c r="CA36" s="256">
        <f>IF(AND(ISNUMBER(CA35),ISNUMBER(BV35)),IFERROR(CA35/BV35-1,""),"")</f>
        <v>0.1632367605244</v>
      </c>
      <c r="CB36" s="256">
        <f>CHOOSE(MATCH($CG$2,{"Bull","Base","Bear"},0),$CP$49,$CQ$49,$CR$49)</f>
        <v>0.13</v>
      </c>
      <c r="CC36" s="256">
        <f>CHOOSE(MATCH($CG$2,{"Bull","Base","Bear"},0),$CP$50,$CQ$50,$CR$50)</f>
        <v>0.12</v>
      </c>
      <c r="CD36" s="256">
        <f>CHOOSE(MATCH($CG$2,{"Bull","Base","Bear"},0),$CP$51,$CQ$51,$CR$51)</f>
        <v>0.11</v>
      </c>
      <c r="CE36" s="256">
        <f>CHOOSE(MATCH($CG$2,{"Bull","Base","Bear"},0),$CP$52,$CQ$52,$CR$52)</f>
        <v>0.1</v>
      </c>
      <c r="CF36" s="256">
        <f>CHOOSE(MATCH($CG$2,{"Bull","Base","Bear"},0),$CP$53,$CQ$53,$CR$53)</f>
        <v>0.09</v>
      </c>
      <c r="CG36" s="153" t="n"/>
      <c r="CO36" s="15" t="inlineStr">
        <is>
          <t>EMEA_G (EMEA revenue y/y)</t>
        </is>
      </c>
      <c r="CP36" s="41" t="n">
        <v>0.02</v>
      </c>
      <c r="CQ36" s="21" t="inlineStr">
        <is>
          <t>Δ →</t>
        </is>
      </c>
      <c r="CR36" s="41" t="n">
        <v>-0.03</v>
      </c>
      <c r="CS36" s="13" t="inlineStr">
        <is>
          <t>FY25 +17%, 1H-26 +16% reported (~11–12% F/X neutral per the letters); membership growth plus pricing and ads.</t>
        </is>
      </c>
    </row>
    <row r="37" ht="15" customHeight="1" s="251">
      <c r="B37" s="25" t="inlineStr">
        <is>
          <t xml:space="preserve">    Q3/Q4-26E growth before calibration (1H-26 y/y)</t>
        </is>
      </c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  <c r="BA37" s="36" t="n"/>
      <c r="BB37" s="36" t="n"/>
      <c r="BC37" s="36" t="n"/>
      <c r="BD37" s="36" t="n"/>
      <c r="BE37" s="36" t="n"/>
      <c r="BF37" s="36" t="n"/>
      <c r="BG37" s="36" t="n"/>
      <c r="BH37" s="36" t="n"/>
      <c r="BI37" s="36" t="n"/>
      <c r="BJ37" s="36" t="n"/>
      <c r="BK37" s="36" t="n"/>
      <c r="BL37" s="36" t="n"/>
      <c r="BM37" s="36" t="n"/>
      <c r="BN37" s="36" t="n"/>
      <c r="BO37" s="36" t="n"/>
      <c r="BP37" s="36" t="n"/>
      <c r="BQ37" s="36" t="n"/>
      <c r="BR37" s="36" t="n"/>
      <c r="BS37" s="36" t="n"/>
      <c r="BT37" s="36" t="n"/>
      <c r="BU37" s="36" t="n"/>
      <c r="BV37" s="36" t="n"/>
      <c r="BW37" s="36" t="n"/>
      <c r="BX37" s="36" t="n"/>
      <c r="BY37" s="256">
        <f>IFERROR(SUM(BW35:BX35)/SUM(BR35:BS35)-1,0)</f>
        <v>0.177472930719957</v>
      </c>
      <c r="BZ37" s="256">
        <f>IFERROR(SUM(BW35:BX35)/SUM(BR35:BS35)-1,0)</f>
        <v>0.177472930719957</v>
      </c>
      <c r="CA37" s="24" t="n"/>
      <c r="CB37" s="46" t="n"/>
      <c r="CC37" s="46" t="n"/>
      <c r="CD37" s="46" t="n"/>
      <c r="CE37" s="46" t="n"/>
      <c r="CF37" s="46" t="n"/>
      <c r="CG37" s="19" t="n"/>
      <c r="CO37" s="25" t="inlineStr">
        <is>
          <t xml:space="preserve">  2027E</t>
        </is>
      </c>
      <c r="CP37" s="33">
        <f>CQ37+$CP$36</f>
        <v>0.13</v>
      </c>
      <c r="CQ37" s="42" t="n">
        <v>0.11</v>
      </c>
      <c r="CR37" s="33">
        <f>CQ37+$CR$36</f>
        <v>0.08</v>
      </c>
    </row>
    <row r="38" ht="15" customHeight="1" s="251">
      <c r="B38" s="25" t="inlineStr">
        <is>
          <t xml:space="preserve">    % of revenue</t>
        </is>
      </c>
      <c r="C38" s="215">
        <f>IF(AND(ISNUMBER(C35),ISNUMBER(C121)),IFERROR(C35/C121,""),"")</f>
      </c>
      <c r="D38" s="215">
        <f>IF(AND(ISNUMBER(D35),ISNUMBER(D121)),IFERROR(D35/D121,""),"")</f>
      </c>
      <c r="E38" s="215">
        <f>IF(AND(ISNUMBER(E35),ISNUMBER(E121)),IFERROR(E35/E121,""),"")</f>
      </c>
      <c r="F38" s="215">
        <f>IF(AND(ISNUMBER(F35),ISNUMBER(F121)),IFERROR(F35/F121,""),"")</f>
      </c>
      <c r="G38" s="215">
        <f>IF(AND(ISNUMBER(G35),ISNUMBER(G121)),IFERROR(G35/G121,""),"")</f>
      </c>
      <c r="H38" s="215">
        <f>IF(AND(ISNUMBER(H35),ISNUMBER(H121)),IFERROR(H35/H121,""),"")</f>
      </c>
      <c r="I38" s="215">
        <f>IF(AND(ISNUMBER(I35),ISNUMBER(I121)),IFERROR(I35/I121,""),"")</f>
      </c>
      <c r="J38" s="215">
        <f>IF(AND(ISNUMBER(J35),ISNUMBER(J121)),IFERROR(J35/J121,""),"")</f>
      </c>
      <c r="K38" s="215">
        <f>IF(AND(ISNUMBER(K35),ISNUMBER(K121)),IFERROR(K35/K121,""),"")</f>
      </c>
      <c r="L38" s="215">
        <f>IF(AND(ISNUMBER(L35),ISNUMBER(L121)),IFERROR(L35/L121,""),"")</f>
      </c>
      <c r="M38" s="215">
        <f>IF(AND(ISNUMBER(M35),ISNUMBER(M121)),IFERROR(M35/M121,""),"")</f>
      </c>
      <c r="N38" s="215">
        <f>IF(AND(ISNUMBER(N35),ISNUMBER(N121)),IFERROR(N35/N121,""),"")</f>
      </c>
      <c r="O38" s="215">
        <f>IF(AND(ISNUMBER(O35),ISNUMBER(O121)),IFERROR(O35/O121,""),"")</f>
      </c>
      <c r="P38" s="215">
        <f>IF(AND(ISNUMBER(P35),ISNUMBER(P121)),IFERROR(P35/P121,""),"")</f>
      </c>
      <c r="Q38" s="215">
        <f>IF(AND(ISNUMBER(Q35),ISNUMBER(Q121)),IFERROR(Q35/Q121,""),"")</f>
      </c>
      <c r="R38" s="215">
        <f>IF(AND(ISNUMBER(R35),ISNUMBER(R121)),IFERROR(R35/R121,""),"")</f>
      </c>
      <c r="S38" s="215">
        <f>IF(AND(ISNUMBER(S35),ISNUMBER(S121)),IFERROR(S35/S121,""),"")</f>
      </c>
      <c r="T38" s="215">
        <f>IF(AND(ISNUMBER(T35),ISNUMBER(T121)),IFERROR(T35/T121,""),"")</f>
      </c>
      <c r="U38" s="215">
        <f>IF(AND(ISNUMBER(U35),ISNUMBER(U121)),IFERROR(U35/U121,""),"")</f>
      </c>
      <c r="V38" s="215">
        <f>IF(AND(ISNUMBER(V35),ISNUMBER(V121)),IFERROR(V35/V121,""),"")</f>
      </c>
      <c r="W38" s="215">
        <f>IF(AND(ISNUMBER(W35),ISNUMBER(W121)),IFERROR(W35/W121,""),"")</f>
      </c>
      <c r="X38" s="215">
        <f>IF(AND(ISNUMBER(X35),ISNUMBER(X121)),IFERROR(X35/X121,""),"")</f>
      </c>
      <c r="Y38" s="215">
        <f>IF(AND(ISNUMBER(Y35),ISNUMBER(Y121)),IFERROR(Y35/Y121,""),"")</f>
      </c>
      <c r="Z38" s="215">
        <f>IF(AND(ISNUMBER(Z35),ISNUMBER(Z121)),IFERROR(Z35/Z121,""),"")</f>
      </c>
      <c r="AA38" s="215">
        <f>IF(AND(ISNUMBER(AA35),ISNUMBER(AA121)),IFERROR(AA35/AA121,""),"")</f>
      </c>
      <c r="AB38" s="215">
        <f>IF(AND(ISNUMBER(AB35),ISNUMBER(AB121)),IFERROR(AB35/AB121,""),"")</f>
      </c>
      <c r="AC38" s="215">
        <f>IF(AND(ISNUMBER(AC35),ISNUMBER(AC121)),IFERROR(AC35/AC121,""),"")</f>
      </c>
      <c r="AD38" s="215">
        <f>IF(AND(ISNUMBER(AD35),ISNUMBER(AD121)),IFERROR(AD35/AD121,""),"")</f>
      </c>
      <c r="AE38" s="215">
        <f>IF(AND(ISNUMBER(AE35),ISNUMBER(AE121)),IFERROR(AE35/AE121,""),"")</f>
      </c>
      <c r="AF38" s="215">
        <f>IF(AND(ISNUMBER(AF35),ISNUMBER(AF121)),IFERROR(AF35/AF121,""),"")</f>
      </c>
      <c r="AG38" s="215">
        <f>IF(AND(ISNUMBER(AG35),ISNUMBER(AG121)),IFERROR(AG35/AG121,""),"")</f>
      </c>
      <c r="AH38" s="215">
        <f>IF(AND(ISNUMBER(AH35),ISNUMBER(AH121)),IFERROR(AH35/AH121,""),"")</f>
        <v>0.0492552925912062</v>
      </c>
      <c r="AI38" s="215">
        <f>IF(AND(ISNUMBER(AI35),ISNUMBER(AI121)),IFERROR(AI35/AI121,""),"")</f>
      </c>
      <c r="AJ38" s="215">
        <f>IF(AND(ISNUMBER(AJ35),ISNUMBER(AJ121)),IFERROR(AJ35/AJ121,""),"")</f>
      </c>
      <c r="AK38" s="215">
        <f>IF(AND(ISNUMBER(AK35),ISNUMBER(AK121)),IFERROR(AK35/AK121,""),"")</f>
      </c>
      <c r="AL38" s="215">
        <f>IF(AND(ISNUMBER(AL35),ISNUMBER(AL121)),IFERROR(AL35/AL121,""),"")</f>
      </c>
      <c r="AM38" s="215">
        <f>IF(AND(ISNUMBER(AM35),ISNUMBER(AM121)),IFERROR(AM35/AM121,""),"")</f>
        <v>0.0598832201989307</v>
      </c>
      <c r="AN38" s="215">
        <f>IF(AND(ISNUMBER(AN35),ISNUMBER(AN121)),IFERROR(AN35/AN121,""),"")</f>
        <v>0.0706928921794155</v>
      </c>
      <c r="AO38" s="215">
        <f>IF(AND(ISNUMBER(AO35),ISNUMBER(AO121)),IFERROR(AO35/AO121,""),"")</f>
        <v>0.0709904052636582</v>
      </c>
      <c r="AP38" s="215">
        <f>IF(AND(ISNUMBER(AP35),ISNUMBER(AP121)),IFERROR(AP35/AP121,""),"")</f>
        <v>0.0728905480652176</v>
      </c>
      <c r="AQ38" s="215">
        <f>IF(AND(ISNUMBER(AQ35),ISNUMBER(AQ121)),IFERROR(AQ35/AQ121,""),"")</f>
        <v>0.0764748143278913</v>
      </c>
      <c r="AR38" s="215">
        <f>IF(AND(ISNUMBER(AR35),ISNUMBER(AR121)),IFERROR(AR35/AR121,""),"")</f>
        <v>0.0729057556621958</v>
      </c>
      <c r="AS38" s="215">
        <f>IF(AND(ISNUMBER(AS35),ISNUMBER(AS121)),IFERROR(AS35/AS121,""),"")</f>
        <v>0.0838567808157545</v>
      </c>
      <c r="AT38" s="215">
        <f>IF(AND(ISNUMBER(AT35),ISNUMBER(AT121)),IFERROR(AT35/AT121,""),"")</f>
        <v>0.0925688883048056</v>
      </c>
      <c r="AU38" s="215">
        <f>IF(AND(ISNUMBER(AU35),ISNUMBER(AU121)),IFERROR(AU35/AU121,""),"")</f>
        <v>0.0986523944715962</v>
      </c>
      <c r="AV38" s="215">
        <f>IF(AND(ISNUMBER(AV35),ISNUMBER(AV121)),IFERROR(AV35/AV121,""),"")</f>
        <v>0.103034837236897</v>
      </c>
      <c r="AW38" s="215">
        <f>IF(AND(ISNUMBER(AW35),ISNUMBER(AW121)),IFERROR(AW35/AW121,""),"")</f>
        <v>0.0949069725239854</v>
      </c>
      <c r="AX38" s="215">
        <f>IF(AND(ISNUMBER(AX35),ISNUMBER(AX121)),IFERROR(AX35/AX121,""),"")</f>
        <v>0.106433615205991</v>
      </c>
      <c r="AY38" s="215">
        <f>IF(AND(ISNUMBER(AY35),ISNUMBER(AY121)),IFERROR(AY35/AY121,""),"")</f>
        <v>0.108894617747175</v>
      </c>
      <c r="AZ38" s="215">
        <f>IF(AND(ISNUMBER(AZ35),ISNUMBER(AZ121)),IFERROR(AZ35/AZ121,""),"")</f>
        <v>0.111445938092598</v>
      </c>
      <c r="BA38" s="215">
        <f>IF(AND(ISNUMBER(BA35),ISNUMBER(BA121)),IFERROR(BA35/BA121,""),"")</f>
        <v>0.112941897065344</v>
      </c>
      <c r="BB38" s="215">
        <f>IF(AND(ISNUMBER(BB35),ISNUMBER(BB121)),IFERROR(BB35/BB121,""),"")</f>
        <v>0.109994550446154</v>
      </c>
      <c r="BC38" s="215">
        <f>IF(AND(ISNUMBER(BC35),ISNUMBER(BC121)),IFERROR(BC35/BC121,""),"")</f>
        <v>0.116520227403786</v>
      </c>
      <c r="BD38" s="215">
        <f>IF(AND(ISNUMBER(BD35),ISNUMBER(BD121)),IFERROR(BD35/BD121,""),"")</f>
        <v>0.113889955020871</v>
      </c>
      <c r="BE38" s="215">
        <f>IF(AND(ISNUMBER(BE35),ISNUMBER(BE121)),IFERROR(BE35/BE121,""),"")</f>
        <v>0.112172988026505</v>
      </c>
      <c r="BF38" s="215">
        <f>IF(AND(ISNUMBER(BF35),ISNUMBER(BF121)),IFERROR(BF35/BF121,""),"")</f>
        <v>0.109106624726043</v>
      </c>
      <c r="BG38" s="215">
        <f>IF(AND(ISNUMBER(BG35),ISNUMBER(BG121)),IFERROR(BG35/BG121,""),"")</f>
        <v>0.112926107564158</v>
      </c>
      <c r="BH38" s="215">
        <f>IF(AND(ISNUMBER(BH35),ISNUMBER(BH121)),IFERROR(BH35/BH121,""),"")</f>
        <v>0.114381260412451</v>
      </c>
      <c r="BI38" s="215">
        <f>IF(AND(ISNUMBER(BI35),ISNUMBER(BI121)),IFERROR(BI35/BI121,""),"")</f>
        <v>0.112280347333022</v>
      </c>
      <c r="BJ38" s="215">
        <f>IF(AND(ISNUMBER(BJ35),ISNUMBER(BJ121)),IFERROR(BJ35/BJ121,""),"")</f>
        <v>0.111010636330047</v>
      </c>
      <c r="BK38" s="215">
        <f>IF(AND(ISNUMBER(BK35),ISNUMBER(BK121)),IFERROR(BK35/BK121,""),"")</f>
        <v>0.108992876005129</v>
      </c>
      <c r="BL38" s="215">
        <f>IF(AND(ISNUMBER(BL35),ISNUMBER(BL121)),IFERROR(BL35/BL121,""),"")</f>
        <v>0.111606139814859</v>
      </c>
      <c r="BM38" s="215">
        <f>IF(AND(ISNUMBER(BM35),ISNUMBER(BM121)),IFERROR(BM35/BM121,""),"")</f>
        <v>0.109164991185046</v>
      </c>
      <c r="BN38" s="215">
        <f>IF(AND(ISNUMBER(BN35),ISNUMBER(BN121)),IFERROR(BN35/BN121,""),"")</f>
        <v>0.110032314047771</v>
      </c>
      <c r="BO38" s="215">
        <f>IF(AND(ISNUMBER(BO35),ISNUMBER(BO121)),IFERROR(BO35/BO121,""),"")</f>
        <v>0.114799297240843</v>
      </c>
      <c r="BP38" s="215">
        <f>IF(AND(ISNUMBER(BP35),ISNUMBER(BP121)),IFERROR(BP35/BP121,""),"")</f>
        <v>0.118295853428381</v>
      </c>
      <c r="BQ38" s="215">
        <f>IF(AND(ISNUMBER(BQ35),ISNUMBER(BQ121)),IFERROR(BQ35/BQ121,""),"")</f>
        <v>0.113195811611435</v>
      </c>
      <c r="BR38" s="215">
        <f>IF(AND(ISNUMBER(BR35),ISNUMBER(BR121)),IFERROR(BR35/BR121,""),"")</f>
        <v>0.119426801283644</v>
      </c>
      <c r="BS38" s="215">
        <f>IF(AND(ISNUMBER(BS35),ISNUMBER(BS121)),IFERROR(BS35/BS121,""),"")</f>
        <v>0.117811485088318</v>
      </c>
      <c r="BT38" s="215">
        <f>IF(AND(ISNUMBER(BT35),ISNUMBER(BT121)),IFERROR(BT35/BT121,""),"")</f>
        <v>0.11889874005967</v>
      </c>
      <c r="BU38" s="215">
        <f>IF(AND(ISNUMBER(BU35),ISNUMBER(BU121)),IFERROR(BU35/BU121,""),"")</f>
        <v>0.117902087851374</v>
      </c>
      <c r="BV38" s="215">
        <f>IF(AND(ISNUMBER(BV35),ISNUMBER(BV121)),IFERROR(BV35/BV121,""),"")</f>
        <v>0.118489536648223</v>
      </c>
      <c r="BW38" s="215">
        <f>IF(AND(ISNUMBER(BW35),ISNUMBER(BW121)),IFERROR(BW35/BW121,""),"")</f>
        <v>0.123184647662807</v>
      </c>
      <c r="BX38" s="215">
        <f>IF(AND(ISNUMBER(BX35),ISNUMBER(BX121)),IFERROR(BX35/BX121,""),"")</f>
        <v>0.120260625490349</v>
      </c>
      <c r="BY38" s="256">
        <f>IF(AND(ISNUMBER(BY35),ISNUMBER(BY121)),IFERROR(BY35/BY121,""),"")</f>
        <v>0.122090304020318</v>
      </c>
      <c r="BZ38" s="256">
        <f>IF(AND(ISNUMBER(BZ35),ISNUMBER(BZ121)),IFERROR(BZ35/BZ121,""),"")</f>
        <v>0.121069784468504</v>
      </c>
      <c r="CA38" s="256">
        <f>IF(AND(ISNUMBER(CA35),ISNUMBER(CA121)),IFERROR(CA35/CA121,""),"")</f>
        <v>0.121633601950086</v>
      </c>
      <c r="CB38" s="256">
        <f>IF(AND(ISNUMBER(CB35),ISNUMBER(CB121)),IFERROR(CB35/CB121,""),"")</f>
        <v>0.124378200620531</v>
      </c>
      <c r="CC38" s="256">
        <f>IF(AND(ISNUMBER(CC35),ISNUMBER(CC121)),IFERROR(CC35/CC121,""),"")</f>
        <v>0.127188405989388</v>
      </c>
      <c r="CD38" s="256">
        <f>IF(AND(ISNUMBER(CD35),ISNUMBER(CD121)),IFERROR(CD35/CD121,""),"")</f>
        <v>0.130065647774293</v>
      </c>
      <c r="CE38" s="256">
        <f>IF(AND(ISNUMBER(CE35),ISNUMBER(CE121)),IFERROR(CE35/CE121,""),"")</f>
        <v>0.13275670831144</v>
      </c>
      <c r="CF38" s="256">
        <f>IF(AND(ISNUMBER(CF35),ISNUMBER(CF121)),IFERROR(CF35/CF121,""),"")</f>
        <v>0.135252945719677</v>
      </c>
      <c r="CG38" s="153" t="n"/>
      <c r="CI38" s="37">
        <f>IFERROR(AVERAGE(CB38,CC38,CD38,CE38,CF38),"n/m")</f>
        <v>0.129928381683066</v>
      </c>
      <c r="CJ38" s="37">
        <f>IFERROR(AVERAGE(BB38,BG38,BL38,BQ38,BV38),"n/m")</f>
        <v>0.113242429216966</v>
      </c>
      <c r="CK38" s="37">
        <f>IFERROR(AVERAGE(AC38,AH38,AM38,AR38,AW38,BB38,BG38,BL38,BQ38,BV38),"n/m")</f>
        <v>0.0936848207845719</v>
      </c>
      <c r="CL38" s="37">
        <f>IFERROR(AVERAGE(C38,D38,E38,F38,G38,H38,I38,N38,S38,X38,AC38,AH38,AM38,AR38,AW38,BB38,BG38,BL38,BQ38,BV38),"n/m")</f>
        <v>0.0936848207845719</v>
      </c>
      <c r="CO38" s="25" t="inlineStr">
        <is>
          <t xml:space="preserve">  2028E</t>
        </is>
      </c>
      <c r="CP38" s="33">
        <f>CQ38+$CP$36</f>
        <v>0.12</v>
      </c>
      <c r="CQ38" s="42" t="n">
        <v>0.1</v>
      </c>
      <c r="CR38" s="33">
        <f>CQ38+$CR$36</f>
        <v>0.07</v>
      </c>
    </row>
    <row r="39" ht="15" customHeight="1" s="251">
      <c r="B39" s="156" t="inlineStr">
        <is>
          <t xml:space="preserve">    Memo: APAC paid memberships at period end (m)</t>
        </is>
      </c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4" t="n"/>
      <c r="AD39" s="34" t="n"/>
      <c r="AE39" s="34" t="n"/>
      <c r="AF39" s="34" t="n"/>
      <c r="AG39" s="34" t="n"/>
      <c r="AH39" s="253" t="n">
        <v>6.501</v>
      </c>
      <c r="AI39" s="34" t="n"/>
      <c r="AJ39" s="34" t="n"/>
      <c r="AK39" s="34" t="n"/>
      <c r="AL39" s="34" t="n"/>
      <c r="AM39" s="253" t="n">
        <v>10.607</v>
      </c>
      <c r="AN39" s="253" t="n">
        <v>12.141</v>
      </c>
      <c r="AO39" s="253" t="n">
        <v>12.942</v>
      </c>
      <c r="AP39" s="253" t="n">
        <v>14.485</v>
      </c>
      <c r="AQ39" s="253" t="n">
        <v>16.233</v>
      </c>
      <c r="AR39" s="253" t="n">
        <v>16.233</v>
      </c>
      <c r="AS39" s="253" t="n">
        <v>19.835</v>
      </c>
      <c r="AT39" s="253" t="n">
        <v>22.492</v>
      </c>
      <c r="AU39" s="253" t="n">
        <v>23.504</v>
      </c>
      <c r="AV39" s="253" t="n">
        <v>25.492</v>
      </c>
      <c r="AW39" s="253" t="n">
        <v>25.492</v>
      </c>
      <c r="AX39" s="253" t="n">
        <v>26.853</v>
      </c>
      <c r="AY39" s="253" t="n">
        <v>27.875</v>
      </c>
      <c r="AZ39" s="253" t="n">
        <v>30.051</v>
      </c>
      <c r="BA39" s="253" t="n">
        <v>32.632</v>
      </c>
      <c r="BB39" s="253" t="n">
        <v>32.632</v>
      </c>
      <c r="BC39" s="253" t="n">
        <v>33.719</v>
      </c>
      <c r="BD39" s="253" t="n">
        <v>34.799</v>
      </c>
      <c r="BE39" s="253" t="n">
        <v>36.228</v>
      </c>
      <c r="BF39" s="253" t="n">
        <v>38.023</v>
      </c>
      <c r="BG39" s="253" t="n">
        <v>38.023</v>
      </c>
      <c r="BH39" s="253" t="n">
        <v>39.478</v>
      </c>
      <c r="BI39" s="253" t="n">
        <v>40.546</v>
      </c>
      <c r="BJ39" s="253" t="n">
        <v>42.427</v>
      </c>
      <c r="BK39" s="253" t="n">
        <v>45.338</v>
      </c>
      <c r="BL39" s="253" t="n">
        <v>45.338</v>
      </c>
      <c r="BM39" s="253" t="n">
        <v>47.495</v>
      </c>
      <c r="BN39" s="253" t="n">
        <v>50.324</v>
      </c>
      <c r="BO39" s="253" t="n">
        <v>52.604</v>
      </c>
      <c r="BP39" s="253" t="n">
        <v>57.541</v>
      </c>
      <c r="BQ39" s="253" t="n">
        <v>57.541</v>
      </c>
      <c r="BR39" s="34" t="n"/>
      <c r="BS39" s="34" t="n"/>
      <c r="BT39" s="34" t="n"/>
      <c r="BU39" s="34" t="n"/>
      <c r="BV39" s="34" t="n"/>
      <c r="BW39" s="34" t="n"/>
      <c r="BX39" s="34" t="n"/>
      <c r="BY39" s="153" t="n"/>
      <c r="BZ39" s="153" t="n"/>
      <c r="CA39" s="153" t="n"/>
      <c r="CB39" s="153" t="n"/>
      <c r="CC39" s="153" t="n"/>
      <c r="CD39" s="153" t="n"/>
      <c r="CE39" s="153" t="n"/>
      <c r="CF39" s="153" t="n"/>
      <c r="CG39" s="153" t="n"/>
      <c r="CO39" s="25" t="inlineStr">
        <is>
          <t xml:space="preserve">  2029E</t>
        </is>
      </c>
      <c r="CP39" s="33">
        <f>CQ39+$CP$36</f>
        <v>0.11</v>
      </c>
      <c r="CQ39" s="42" t="n">
        <v>0.09</v>
      </c>
      <c r="CR39" s="33">
        <f>CQ39+$CR$36</f>
        <v>0.06</v>
      </c>
    </row>
    <row r="40" ht="15" customHeight="1" s="251">
      <c r="B40" s="156" t="inlineStr">
        <is>
          <t xml:space="preserve">    Memo: APAC average monthly revenue per paying membership ($)</t>
        </is>
      </c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  <c r="AD40" s="34" t="n"/>
      <c r="AE40" s="34" t="n"/>
      <c r="AF40" s="34" t="n"/>
      <c r="AG40" s="34" t="n"/>
      <c r="AH40" s="259" t="n">
        <v>9.109999999999999</v>
      </c>
      <c r="AI40" s="34" t="n"/>
      <c r="AJ40" s="34" t="n"/>
      <c r="AK40" s="34" t="n"/>
      <c r="AL40" s="34" t="n"/>
      <c r="AM40" s="259" t="n">
        <v>9.33</v>
      </c>
      <c r="AN40" s="259" t="n">
        <v>9.369999999999999</v>
      </c>
      <c r="AO40" s="259" t="n">
        <v>9.289999999999999</v>
      </c>
      <c r="AP40" s="259" t="n">
        <v>9.289999999999999</v>
      </c>
      <c r="AQ40" s="259" t="n">
        <v>9.07</v>
      </c>
      <c r="AR40" s="259" t="n">
        <v>9.24</v>
      </c>
      <c r="AS40" s="259" t="n">
        <v>8.94</v>
      </c>
      <c r="AT40" s="259" t="n">
        <v>8.960000000000001</v>
      </c>
      <c r="AU40" s="259" t="n">
        <v>9.199999999999999</v>
      </c>
      <c r="AV40" s="259" t="n">
        <v>9.32</v>
      </c>
      <c r="AW40" s="259" t="n">
        <v>9.119999999999999</v>
      </c>
      <c r="AX40" s="259" t="n">
        <v>9.710000000000001</v>
      </c>
      <c r="AY40" s="259" t="n">
        <v>9.74</v>
      </c>
      <c r="AZ40" s="259" t="n">
        <v>9.6</v>
      </c>
      <c r="BA40" s="259" t="n">
        <v>9.26</v>
      </c>
      <c r="BB40" s="259" t="n">
        <v>9.56</v>
      </c>
      <c r="BC40" s="259" t="n">
        <v>9.210000000000001</v>
      </c>
      <c r="BD40" s="259" t="n">
        <v>8.83</v>
      </c>
      <c r="BE40" s="259" t="n">
        <v>8.34</v>
      </c>
      <c r="BF40" s="259" t="n">
        <v>7.69</v>
      </c>
      <c r="BG40" s="259" t="n">
        <v>8.5</v>
      </c>
      <c r="BH40" s="259" t="n">
        <v>8.029999999999999</v>
      </c>
      <c r="BI40" s="259" t="n">
        <v>7.66</v>
      </c>
      <c r="BJ40" s="259" t="n">
        <v>7.62</v>
      </c>
      <c r="BK40" s="259" t="n">
        <v>7.31</v>
      </c>
      <c r="BL40" s="259" t="n">
        <v>7.64</v>
      </c>
      <c r="BM40" s="259" t="n">
        <v>7.35</v>
      </c>
      <c r="BN40" s="259" t="n">
        <v>7.17</v>
      </c>
      <c r="BO40" s="259" t="n">
        <v>7.31</v>
      </c>
      <c r="BP40" s="259" t="n">
        <v>7.34</v>
      </c>
      <c r="BQ40" s="259" t="n">
        <v>7.29</v>
      </c>
      <c r="BR40" s="34" t="n"/>
      <c r="BS40" s="34" t="n"/>
      <c r="BT40" s="34" t="n"/>
      <c r="BU40" s="34" t="n"/>
      <c r="BV40" s="34" t="n"/>
      <c r="BW40" s="34" t="n"/>
      <c r="BX40" s="34" t="n"/>
      <c r="BY40" s="153" t="n"/>
      <c r="BZ40" s="153" t="n"/>
      <c r="CA40" s="153" t="n"/>
      <c r="CB40" s="153" t="n"/>
      <c r="CC40" s="153" t="n"/>
      <c r="CD40" s="153" t="n"/>
      <c r="CE40" s="153" t="n"/>
      <c r="CF40" s="153" t="n"/>
      <c r="CG40" s="153" t="n"/>
      <c r="CO40" s="25" t="inlineStr">
        <is>
          <t xml:space="preserve">  2030E</t>
        </is>
      </c>
      <c r="CP40" s="33">
        <f>CQ40+$CP$36</f>
        <v>0.1</v>
      </c>
      <c r="CQ40" s="42" t="n">
        <v>0.08</v>
      </c>
      <c r="CR40" s="33">
        <f>CQ40+$CR$36</f>
        <v>0.05</v>
      </c>
    </row>
    <row r="41" ht="15" customHeight="1" s="251">
      <c r="CO41" s="25" t="inlineStr">
        <is>
          <t xml:space="preserve">  2031E</t>
        </is>
      </c>
      <c r="CP41" s="33">
        <f>CQ41+$CP$36</f>
        <v>0.09</v>
      </c>
      <c r="CQ41" s="42" t="n">
        <v>0.07000000000000001</v>
      </c>
      <c r="CR41" s="33">
        <f>CQ41+$CR$36</f>
        <v>0.04</v>
      </c>
    </row>
    <row r="42" ht="15" customHeight="1" s="251">
      <c r="B42" s="14" t="inlineStr">
        <is>
          <t>Regional total and memberships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 t="n"/>
      <c r="CA42" s="14" t="n"/>
      <c r="CB42" s="14" t="n"/>
      <c r="CC42" s="14" t="n"/>
      <c r="CD42" s="14" t="n"/>
      <c r="CE42" s="14" t="n"/>
      <c r="CF42" s="14" t="n"/>
      <c r="CG42" s="15" t="n"/>
      <c r="CO42" s="15" t="inlineStr">
        <is>
          <t>LATAM_G (LATAM revenue y/y)</t>
        </is>
      </c>
      <c r="CP42" s="41" t="n">
        <v>0.02</v>
      </c>
      <c r="CQ42" s="21" t="inlineStr">
        <is>
          <t>Δ →</t>
        </is>
      </c>
      <c r="CR42" s="41" t="n">
        <v>-0.04</v>
      </c>
      <c r="CS42" s="13" t="inlineStr">
        <is>
          <t>FY25 +11% reported (~20%+ F/X neutral per the letters), 1H-26 +20% reported; high-inflation pricing and currency make reported growth volatile.</t>
        </is>
      </c>
    </row>
    <row r="43" ht="15" customHeight="1" s="251">
      <c r="B43" s="25" t="inlineStr">
        <is>
          <t xml:space="preserve">  DVD and other revenue outside the regional tables (derived: consolidated − Σ regions; DVD service closed Sep-2023)</t>
        </is>
      </c>
      <c r="C43" s="264">
        <f>IF(ISNUMBER(C11),C121-(C11+C19+C27+C35),"")</f>
      </c>
      <c r="D43" s="264">
        <f>IF(ISNUMBER(D11),D121-(D11+D19+D27+D35),"")</f>
      </c>
      <c r="E43" s="264">
        <f>IF(ISNUMBER(E11),E121-(E11+E19+E27+E35),"")</f>
      </c>
      <c r="F43" s="264">
        <f>IF(ISNUMBER(F11),F121-(F11+F19+F27+F35),"")</f>
      </c>
      <c r="G43" s="264">
        <f>IF(ISNUMBER(G11),G121-(G11+G19+G27+G35),"")</f>
      </c>
      <c r="H43" s="264">
        <f>IF(ISNUMBER(H11),H121-(H11+H19+H27+H35),"")</f>
      </c>
      <c r="I43" s="264">
        <f>IF(ISNUMBER(I11),I121-(I11+I19+I27+I35),"")</f>
      </c>
      <c r="J43" s="264">
        <f>IF(ISNUMBER(J11),J121-(J11+J19+J27+J35),"")</f>
      </c>
      <c r="K43" s="264">
        <f>IF(ISNUMBER(K11),K121-(K11+K19+K27+K35),"")</f>
      </c>
      <c r="L43" s="264">
        <f>IF(ISNUMBER(L11),L121-(L11+L19+L27+L35),"")</f>
      </c>
      <c r="M43" s="264">
        <f>IF(ISNUMBER(M11),M121-(M11+M19+M27+M35),"")</f>
      </c>
      <c r="N43" s="264">
        <f>IF(ISNUMBER(N11),N121-(N11+N19+N27+N35),"")</f>
      </c>
      <c r="O43" s="264">
        <f>IF(ISNUMBER(O11),O121-(O11+O19+O27+O35),"")</f>
      </c>
      <c r="P43" s="264">
        <f>IF(ISNUMBER(P11),P121-(P11+P19+P27+P35),"")</f>
      </c>
      <c r="Q43" s="264">
        <f>IF(ISNUMBER(Q11),Q121-(Q11+Q19+Q27+Q35),"")</f>
      </c>
      <c r="R43" s="264">
        <f>IF(ISNUMBER(R11),R121-(R11+R19+R27+R35),"")</f>
      </c>
      <c r="S43" s="264">
        <f>IF(ISNUMBER(S11),S121-(S11+S19+S27+S35),"")</f>
      </c>
      <c r="T43" s="264">
        <f>IF(ISNUMBER(T11),T121-(T11+T19+T27+T35),"")</f>
      </c>
      <c r="U43" s="264">
        <f>IF(ISNUMBER(U11),U121-(U11+U19+U27+U35),"")</f>
      </c>
      <c r="V43" s="264">
        <f>IF(ISNUMBER(V11),V121-(V11+V19+V27+V35),"")</f>
      </c>
      <c r="W43" s="264">
        <f>IF(ISNUMBER(W11),W121-(W11+W19+W27+W35),"")</f>
      </c>
      <c r="X43" s="264">
        <f>IF(ISNUMBER(X11),X121-(X11+X19+X27+X35),"")</f>
      </c>
      <c r="Y43" s="264">
        <f>IF(ISNUMBER(Y11),Y121-(Y11+Y19+Y27+Y35),"")</f>
      </c>
      <c r="Z43" s="264">
        <f>IF(ISNUMBER(Z11),Z121-(Z11+Z19+Z27+Z35),"")</f>
      </c>
      <c r="AA43" s="264">
        <f>IF(ISNUMBER(AA11),AA121-(AA11+AA19+AA27+AA35),"")</f>
      </c>
      <c r="AB43" s="264">
        <f>IF(ISNUMBER(AB11),AB121-(AB11+AB19+AB27+AB35),"")</f>
      </c>
      <c r="AC43" s="264">
        <f>IF(ISNUMBER(AC11),AC121-(AC11+AC19+AC27+AC35),"")</f>
      </c>
      <c r="AD43" s="264">
        <f>IF(ISNUMBER(AD11),AD121-(AD11+AD19+AD27+AD35),"")</f>
      </c>
      <c r="AE43" s="264">
        <f>IF(ISNUMBER(AE11),AE121-(AE11+AE19+AE27+AE35),"")</f>
      </c>
      <c r="AF43" s="264">
        <f>IF(ISNUMBER(AF11),AF121-(AF11+AF19+AF27+AF35),"")</f>
      </c>
      <c r="AG43" s="264">
        <f>IF(ISNUMBER(AG11),AG121-(AG11+AG19+AG27+AG35),"")</f>
      </c>
      <c r="AH43" s="264">
        <f>IF(ISNUMBER(AH11),AH121-(AH11+AH19+AH27+AH35),"")</f>
        <v>450.496999999999</v>
      </c>
      <c r="AI43" s="264">
        <f>IF(ISNUMBER(AI11),AI121-(AI11+AI19+AI27+AI35),"")</f>
      </c>
      <c r="AJ43" s="264">
        <f>IF(ISNUMBER(AJ11),AJ121-(AJ11+AJ19+AJ27+AJ35),"")</f>
      </c>
      <c r="AK43" s="264">
        <f>IF(ISNUMBER(AK11),AK121-(AK11+AK19+AK27+AK35),"")</f>
      </c>
      <c r="AL43" s="264">
        <f>IF(ISNUMBER(AL11),AL121-(AL11+AL19+AL27+AL35),"")</f>
      </c>
      <c r="AM43" s="264">
        <f>IF(ISNUMBER(AM11),AM121-(AM11+AM19+AM27+AM35),"")</f>
        <v>365.589</v>
      </c>
      <c r="AN43" s="264">
        <f>IF(ISNUMBER(AN11),AN121-(AN11+AN19+AN27+AN35),"")</f>
        <v>80.6880000000001</v>
      </c>
      <c r="AO43" s="264">
        <f>IF(ISNUMBER(AO11),AO121-(AO11+AO19+AO27+AO35),"")</f>
        <v>76.1999999999998</v>
      </c>
      <c r="AP43" s="264">
        <f>IF(ISNUMBER(AP11),AP121-(AP11+AP19+AP27+AP35),"")</f>
        <v>71.8769999999995</v>
      </c>
      <c r="AQ43" s="264">
        <f>IF(ISNUMBER(AQ11),AQ121-(AQ11+AQ19+AQ27+AQ35),"")</f>
        <v>68.4520000000002</v>
      </c>
      <c r="AR43" s="264">
        <f>IF(ISNUMBER(AR11),AR121-(AR11+AR19+AR27+AR35),"")</f>
        <v>297.216999999997</v>
      </c>
      <c r="AS43" s="264">
        <f>IF(ISNUMBER(AS11),AS121-(AS11+AS19+AS27+AS35),"")</f>
        <v>64.3280000000004</v>
      </c>
      <c r="AT43" s="264">
        <f>IF(ISNUMBER(AT11),AT121-(AT11+AT19+AT27+AT35),"")</f>
        <v>61.570999999999</v>
      </c>
      <c r="AU43" s="264">
        <f>IF(ISNUMBER(AU11),AU121-(AU11+AU19+AU27+AU35),"")</f>
        <v>58.8339999999998</v>
      </c>
      <c r="AV43" s="264">
        <f>IF(ISNUMBER(AV11),AV121-(AV11+AV19+AV27+AV35),"")</f>
        <v>54.6479999999992</v>
      </c>
      <c r="AW43" s="264">
        <f>IF(ISNUMBER(AW11),AW121-(AW11+AW19+AW27+AW35),"")</f>
        <v>239.381000000001</v>
      </c>
      <c r="AX43" s="264">
        <f>IF(ISNUMBER(AX11),AX121-(AX11+AX19+AX27+AX35),"")</f>
        <v>49.5749999999998</v>
      </c>
      <c r="AY43" s="264">
        <f>IF(ISNUMBER(AY11),AY121-(AY11+AY19+AY27+AY35),"")</f>
        <v>46.2920000000013</v>
      </c>
      <c r="AZ43" s="264">
        <f>IF(ISNUMBER(AZ11),AZ121-(AZ11+AZ19+AZ27+AZ35),"")</f>
        <v>44.2319999999991</v>
      </c>
      <c r="BA43" s="264">
        <f>IF(ISNUMBER(BA11),BA121-(BA11+BA19+BA27+BA35),"")</f>
        <v>42.2490000000007</v>
      </c>
      <c r="BB43" s="264">
        <f>IF(ISNUMBER(BB11),BB121-(BB11+BB19+BB27+BB35),"")</f>
        <v>182.348000000002</v>
      </c>
      <c r="BC43" s="264">
        <f>IF(ISNUMBER(BC11),BC121-(BC11+BC19+BC27+BC35),"")</f>
        <v>39.8099999999995</v>
      </c>
      <c r="BD43" s="264">
        <f>IF(ISNUMBER(BD11),BD121-(BD11+BD19+BD27+BD35),"")</f>
        <v>37.0899999999992</v>
      </c>
      <c r="BE43" s="264">
        <f>IF(ISNUMBER(BE11),BE121-(BE11+BE19+BE27+BE35),"")</f>
        <v>35.2280000000001</v>
      </c>
      <c r="BF43" s="264">
        <f>IF(ISNUMBER(BF11),BF121-(BF11+BF19+BF27+BF35),"")</f>
        <v>33.5699999999988</v>
      </c>
      <c r="BG43" s="264">
        <f>IF(ISNUMBER(BG11),BG121-(BG11+BG19+BG27+BG35),"")</f>
        <v>145.697999999997</v>
      </c>
      <c r="BH43" s="264">
        <f>IF(ISNUMBER(BH11),BH121-(BH11+BH19+BH27+BH35),"")</f>
        <v>31.5019999999995</v>
      </c>
      <c r="BI43" s="264">
        <f>IF(ISNUMBER(BI11),BI121-(BI11+BI19+BI27+BI35),"")</f>
        <v>28.9750000000004</v>
      </c>
      <c r="BJ43" s="264">
        <f>IF(ISNUMBER(BJ11),BJ121-(BJ11+BJ19+BJ27+BJ35),"")</f>
        <v>22.3619999999992</v>
      </c>
      <c r="BK43" s="264">
        <f>IF(ISNUMBER(BK11),BK121-(BK11+BK19+BK27+BK35),"")</f>
        <v>0</v>
      </c>
      <c r="BL43" s="264">
        <f>IF(ISNUMBER(BL11),BL121-(BL11+BL19+BL27+BL35),"")</f>
        <v>82.8389999999999</v>
      </c>
      <c r="BM43" s="264">
        <f>IF(ISNUMBER(BM11),BM121-(BM11+BM19+BM27+BM35),"")</f>
        <v>0</v>
      </c>
      <c r="BN43" s="264">
        <f>IF(ISNUMBER(BN11),BN121-(BN11+BN19+BN27+BN35),"")</f>
        <v>0</v>
      </c>
      <c r="BO43" s="264">
        <f>IF(ISNUMBER(BO11),BO121-(BO11+BO19+BO27+BO35),"")</f>
        <v>0</v>
      </c>
      <c r="BP43" s="264">
        <f>IF(ISNUMBER(BP11),BP121-(BP11+BP19+BP27+BP35),"")</f>
        <v>0</v>
      </c>
      <c r="BQ43" s="264">
        <f>IF(ISNUMBER(BQ11),BQ121-(BQ11+BQ19+BQ27+BQ35),"")</f>
        <v>0</v>
      </c>
      <c r="BR43" s="264">
        <f>IF(ISNUMBER(BR11),BR121-(BR11+BR19+BR27+BR35),"")</f>
        <v>0</v>
      </c>
      <c r="BS43" s="264">
        <f>IF(ISNUMBER(BS11),BS121-(BS11+BS19+BS27+BS35),"")</f>
        <v>0</v>
      </c>
      <c r="BT43" s="264">
        <f>IF(ISNUMBER(BT11),BT121-(BT11+BT19+BT27+BT35),"")</f>
        <v>0</v>
      </c>
      <c r="BU43" s="264">
        <f>IF(ISNUMBER(BU11),BU121-(BU11+BU19+BU27+BU35),"")</f>
        <v>0</v>
      </c>
      <c r="BV43" s="264">
        <f>IF(ISNUMBER(BV11),BV121-(BV11+BV19+BV27+BV35),"")</f>
        <v>0</v>
      </c>
      <c r="BW43" s="264">
        <f>IF(ISNUMBER(BW11),BW121-(BW11+BW19+BW27+BW35),"")</f>
        <v>0</v>
      </c>
      <c r="BX43" s="264">
        <f>IF(ISNUMBER(BX11),BX121-(BX11+BX19+BX27+BX35),"")</f>
        <v>0</v>
      </c>
      <c r="BY43" s="254">
        <f>0</f>
        <v>0</v>
      </c>
      <c r="BZ43" s="254">
        <f>0</f>
        <v>0</v>
      </c>
      <c r="CA43" s="254">
        <f>SUM(BW43:BZ43)</f>
        <v>0</v>
      </c>
      <c r="CB43" s="254">
        <f>0</f>
        <v>0</v>
      </c>
      <c r="CC43" s="254">
        <f>0</f>
        <v>0</v>
      </c>
      <c r="CD43" s="254">
        <f>0</f>
        <v>0</v>
      </c>
      <c r="CE43" s="254">
        <f>0</f>
        <v>0</v>
      </c>
      <c r="CF43" s="254">
        <f>0</f>
        <v>0</v>
      </c>
      <c r="CG43" s="19" t="n"/>
      <c r="CO43" s="25" t="inlineStr">
        <is>
          <t xml:space="preserve">  2027E</t>
        </is>
      </c>
      <c r="CP43" s="33">
        <f>CQ43+$CP$42</f>
        <v>0.14</v>
      </c>
      <c r="CQ43" s="42" t="n">
        <v>0.12</v>
      </c>
      <c r="CR43" s="33">
        <f>CQ43+$CR$42</f>
        <v>0.08</v>
      </c>
    </row>
    <row r="44" ht="15" customHeight="1" s="251">
      <c r="B44" s="25" t="inlineStr">
        <is>
          <t xml:space="preserve">  Global streaming paid memberships at period end (m; Σ regions 2017–24, Σ legacy domestic + international streaming 2011–16)</t>
        </is>
      </c>
      <c r="C44" s="264">
        <f>IF(ISNUMBER(C15),C15+C23+C31+C39,IF(ISNUMBER(C62),C62+C63,""))</f>
      </c>
      <c r="D44" s="264">
        <f>IF(ISNUMBER(D15),D15+D23+D31+D39,IF(ISNUMBER(D62),D62+D63,""))</f>
      </c>
      <c r="E44" s="264">
        <f>IF(ISNUMBER(E15),E15+E23+E31+E39,IF(ISNUMBER(E62),E62+E63,""))</f>
      </c>
      <c r="F44" s="264">
        <f>IF(ISNUMBER(F15),F15+F23+F31+F39,IF(ISNUMBER(F62),F62+F63,""))</f>
      </c>
      <c r="G44" s="264">
        <f>IF(ISNUMBER(G15),G15+G23+G31+G39,IF(ISNUMBER(G62),G62+G63,""))</f>
      </c>
      <c r="H44" s="264">
        <f>IF(ISNUMBER(H15),H15+H23+H31+H39,IF(ISNUMBER(H62),H62+H63,""))</f>
      </c>
      <c r="I44" s="264">
        <f>IF(ISNUMBER(I15),I15+I23+I31+I39,IF(ISNUMBER(I62),I62+I63,""))</f>
      </c>
      <c r="J44" s="264">
        <f>IF(ISNUMBER(J15),J15+J23+J31+J39,IF(ISNUMBER(J62),J62+J63,""))</f>
      </c>
      <c r="K44" s="264">
        <f>IF(ISNUMBER(K15),K15+K23+K31+K39,IF(ISNUMBER(K62),K62+K63,""))</f>
      </c>
      <c r="L44" s="264">
        <f>IF(ISNUMBER(L15),L15+L23+L31+L39,IF(ISNUMBER(L62),L62+L63,""))</f>
      </c>
      <c r="M44" s="264">
        <f>IF(ISNUMBER(M15),M15+M23+M31+M39,IF(ISNUMBER(M62),M62+M63,""))</f>
      </c>
      <c r="N44" s="264">
        <f>IF(ISNUMBER(N15),N15+N23+N31+N39,IF(ISNUMBER(N62),N62+N63,""))</f>
      </c>
      <c r="O44" s="264">
        <f>IF(ISNUMBER(O15),O15+O23+O31+O39,IF(ISNUMBER(O62),O62+O63,""))</f>
      </c>
      <c r="P44" s="264">
        <f>IF(ISNUMBER(P15),P15+P23+P31+P39,IF(ISNUMBER(P62),P62+P63,""))</f>
      </c>
      <c r="Q44" s="264">
        <f>IF(ISNUMBER(Q15),Q15+Q23+Q31+Q39,IF(ISNUMBER(Q62),Q62+Q63,""))</f>
      </c>
      <c r="R44" s="264">
        <f>IF(ISNUMBER(R15),R15+R23+R31+R39,IF(ISNUMBER(R62),R62+R63,""))</f>
      </c>
      <c r="S44" s="264">
        <f>IF(ISNUMBER(S15),S15+S23+S31+S39,IF(ISNUMBER(S62),S62+S63,""))</f>
      </c>
      <c r="T44" s="264">
        <f>IF(ISNUMBER(T15),T15+T23+T31+T39,IF(ISNUMBER(T62),T62+T63,""))</f>
        <v>62.274</v>
      </c>
      <c r="U44" s="264">
        <f>IF(ISNUMBER(U15),U15+U23+U31+U39,IF(ISNUMBER(U62),U62+U63,""))</f>
        <v>65.551</v>
      </c>
      <c r="V44" s="264">
        <f>IF(ISNUMBER(V15),V15+V23+V31+V39,IF(ISNUMBER(V62),V62+V63,""))</f>
        <v>69.168</v>
      </c>
      <c r="W44" s="264">
        <f>IF(ISNUMBER(W15),W15+W23+W31+W39,IF(ISNUMBER(W62),W62+W63,""))</f>
        <v>74.762</v>
      </c>
      <c r="X44" s="264">
        <f>IF(ISNUMBER(X15),X15+X23+X31+X39,IF(ISNUMBER(X62),X62+X63,""))</f>
        <v>74.762</v>
      </c>
      <c r="Y44" s="264">
        <f>IF(ISNUMBER(Y15),Y15+Y23+Y31+Y39,IF(ISNUMBER(Y62),Y62+Y63,""))</f>
        <v>81.5</v>
      </c>
      <c r="Z44" s="264">
        <f>IF(ISNUMBER(Z15),Z15+Z23+Z31+Z39,IF(ISNUMBER(Z62),Z62+Z63,""))</f>
        <v>83.177</v>
      </c>
      <c r="AA44" s="264">
        <f>IF(ISNUMBER(AA15),AA15+AA23+AA31+AA39,IF(ISNUMBER(AA62),AA62+AA63,""))</f>
        <v>86.743</v>
      </c>
      <c r="AB44" s="264">
        <f>IF(ISNUMBER(AB15),AB15+AB23+AB31+AB39,IF(ISNUMBER(AB62),AB62+AB63,""))</f>
        <v>93.796</v>
      </c>
      <c r="AC44" s="264">
        <f>IF(ISNUMBER(AC15),AC15+AC23+AC31+AC39,IF(ISNUMBER(AC62),AC62+AC63,""))</f>
        <v>93.796</v>
      </c>
      <c r="AD44" s="264">
        <f>IF(ISNUMBER(AD15),AD15+AD23+AD31+AD39,IF(ISNUMBER(AD62),AD62+AD63,""))</f>
        <v>98.748</v>
      </c>
      <c r="AE44" s="264">
        <f>IF(ISNUMBER(AE15),AE15+AE23+AE31+AE39,IF(ISNUMBER(AE62),AE62+AE63,""))</f>
        <v>103.952</v>
      </c>
      <c r="AF44" s="264">
        <f>IF(ISNUMBER(AF15),AF15+AF23+AF31+AF39,IF(ISNUMBER(AF62),AF62+AF63,""))</f>
        <v>109.248</v>
      </c>
      <c r="AG44" s="264">
        <f>IF(ISNUMBER(AG15),AG15+AG23+AG31+AG39,IF(ISNUMBER(AG62),AG62+AG63,""))</f>
        <v>117.582</v>
      </c>
      <c r="AH44" s="264">
        <f>IF(ISNUMBER(AH15),AH15+AH23+AH31+AH39,IF(ISNUMBER(AH62),AH62+AH63,""))</f>
        <v>110.644</v>
      </c>
      <c r="AI44" s="264">
        <f>IF(ISNUMBER(AI15),AI15+AI23+AI31+AI39,IF(ISNUMBER(AI62),AI62+AI63,""))</f>
      </c>
      <c r="AJ44" s="264">
        <f>IF(ISNUMBER(AJ15),AJ15+AJ23+AJ31+AJ39,IF(ISNUMBER(AJ62),AJ62+AJ63,""))</f>
      </c>
      <c r="AK44" s="264">
        <f>IF(ISNUMBER(AK15),AK15+AK23+AK31+AK39,IF(ISNUMBER(AK62),AK62+AK63,""))</f>
      </c>
      <c r="AL44" s="264">
        <f>IF(ISNUMBER(AL15),AL15+AL23+AL31+AL39,IF(ISNUMBER(AL62),AL62+AL63,""))</f>
      </c>
      <c r="AM44" s="264">
        <f>IF(ISNUMBER(AM15),AM15+AM23+AM31+AM39,IF(ISNUMBER(AM62),AM62+AM63,""))</f>
        <v>139.259</v>
      </c>
      <c r="AN44" s="264">
        <f>IF(ISNUMBER(AN15),AN15+AN23+AN31+AN39,IF(ISNUMBER(AN62),AN62+AN63,""))</f>
        <v>148.863</v>
      </c>
      <c r="AO44" s="264">
        <f>IF(ISNUMBER(AO15),AO15+AO23+AO31+AO39,IF(ISNUMBER(AO62),AO62+AO63,""))</f>
        <v>151.562</v>
      </c>
      <c r="AP44" s="264">
        <f>IF(ISNUMBER(AP15),AP15+AP23+AP31+AP39,IF(ISNUMBER(AP62),AP62+AP63,""))</f>
        <v>158.334</v>
      </c>
      <c r="AQ44" s="264">
        <f>IF(ISNUMBER(AQ15),AQ15+AQ23+AQ31+AQ39,IF(ISNUMBER(AQ62),AQ62+AQ63,""))</f>
        <v>167.09</v>
      </c>
      <c r="AR44" s="264">
        <f>IF(ISNUMBER(AR15),AR15+AR23+AR31+AR39,IF(ISNUMBER(AR62),AR62+AR63,""))</f>
        <v>167.09</v>
      </c>
      <c r="AS44" s="264">
        <f>IF(ISNUMBER(AS15),AS15+AS23+AS31+AS39,IF(ISNUMBER(AS62),AS62+AS63,""))</f>
        <v>182.856</v>
      </c>
      <c r="AT44" s="264">
        <f>IF(ISNUMBER(AT15),AT15+AT23+AT31+AT39,IF(ISNUMBER(AT62),AT62+AT63,""))</f>
        <v>192.947</v>
      </c>
      <c r="AU44" s="264">
        <f>IF(ISNUMBER(AU15),AU15+AU23+AU31+AU39,IF(ISNUMBER(AU62),AU62+AU63,""))</f>
        <v>195.151</v>
      </c>
      <c r="AV44" s="264">
        <f>IF(ISNUMBER(AV15),AV15+AV23+AV31+AV39,IF(ISNUMBER(AV62),AV62+AV63,""))</f>
        <v>203.663</v>
      </c>
      <c r="AW44" s="264">
        <f>IF(ISNUMBER(AW15),AW15+AW23+AW31+AW39,IF(ISNUMBER(AW62),AW62+AW63,""))</f>
        <v>203.663</v>
      </c>
      <c r="AX44" s="264">
        <f>IF(ISNUMBER(AX15),AX15+AX23+AX31+AX39,IF(ISNUMBER(AX62),AX62+AX63,""))</f>
        <v>207.639</v>
      </c>
      <c r="AY44" s="264">
        <f>IF(ISNUMBER(AY15),AY15+AY23+AY31+AY39,IF(ISNUMBER(AY62),AY62+AY63,""))</f>
        <v>209.18</v>
      </c>
      <c r="AZ44" s="264">
        <f>IF(ISNUMBER(AZ15),AZ15+AZ23+AZ31+AZ39,IF(ISNUMBER(AZ62),AZ62+AZ63,""))</f>
        <v>213.563</v>
      </c>
      <c r="BA44" s="264">
        <f>IF(ISNUMBER(BA15),BA15+BA23+BA31+BA39,IF(ISNUMBER(BA62),BA62+BA63,""))</f>
        <v>221.844</v>
      </c>
      <c r="BB44" s="264">
        <f>IF(ISNUMBER(BB15),BB15+BB23+BB31+BB39,IF(ISNUMBER(BB62),BB62+BB63,""))</f>
        <v>221.844</v>
      </c>
      <c r="BC44" s="264">
        <f>IF(ISNUMBER(BC15),BC15+BC23+BC31+BC39,IF(ISNUMBER(BC62),BC62+BC63,""))</f>
        <v>221.641</v>
      </c>
      <c r="BD44" s="264">
        <f>IF(ISNUMBER(BD15),BD15+BD23+BD31+BD39,IF(ISNUMBER(BD62),BD62+BD63,""))</f>
        <v>220.672</v>
      </c>
      <c r="BE44" s="264">
        <f>IF(ISNUMBER(BE15),BE15+BE23+BE31+BE39,IF(ISNUMBER(BE62),BE62+BE63,""))</f>
        <v>223.085</v>
      </c>
      <c r="BF44" s="264">
        <f>IF(ISNUMBER(BF15),BF15+BF23+BF31+BF39,IF(ISNUMBER(BF62),BF62+BF63,""))</f>
        <v>230.747</v>
      </c>
      <c r="BG44" s="264">
        <f>IF(ISNUMBER(BG15),BG15+BG23+BG31+BG39,IF(ISNUMBER(BG62),BG62+BG63,""))</f>
        <v>230.747</v>
      </c>
      <c r="BH44" s="264">
        <f>IF(ISNUMBER(BH15),BH15+BH23+BH31+BH39,IF(ISNUMBER(BH62),BH62+BH63,""))</f>
        <v>232.498</v>
      </c>
      <c r="BI44" s="264">
        <f>IF(ISNUMBER(BI15),BI15+BI23+BI31+BI39,IF(ISNUMBER(BI62),BI62+BI63,""))</f>
        <v>238.39</v>
      </c>
      <c r="BJ44" s="264">
        <f>IF(ISNUMBER(BJ15),BJ15+BJ23+BJ31+BJ39,IF(ISNUMBER(BJ62),BJ62+BJ63,""))</f>
        <v>247.153</v>
      </c>
      <c r="BK44" s="264">
        <f>IF(ISNUMBER(BK15),BK15+BK23+BK31+BK39,IF(ISNUMBER(BK62),BK62+BK63,""))</f>
        <v>260.276</v>
      </c>
      <c r="BL44" s="264">
        <f>IF(ISNUMBER(BL15),BL15+BL23+BL31+BL39,IF(ISNUMBER(BL62),BL62+BL63,""))</f>
        <v>260.276</v>
      </c>
      <c r="BM44" s="264">
        <f>IF(ISNUMBER(BM15),BM15+BM23+BM31+BM39,IF(ISNUMBER(BM62),BM62+BM63,""))</f>
        <v>269.602</v>
      </c>
      <c r="BN44" s="264">
        <f>IF(ISNUMBER(BN15),BN15+BN23+BN31+BN39,IF(ISNUMBER(BN62),BN62+BN63,""))</f>
        <v>277.647</v>
      </c>
      <c r="BO44" s="264">
        <f>IF(ISNUMBER(BO15),BO15+BO23+BO31+BO39,IF(ISNUMBER(BO62),BO62+BO63,""))</f>
        <v>282.72</v>
      </c>
      <c r="BP44" s="264">
        <f>IF(ISNUMBER(BP15),BP15+BP23+BP31+BP39,IF(ISNUMBER(BP62),BP62+BP63,""))</f>
        <v>301.626</v>
      </c>
      <c r="BQ44" s="264">
        <f>IF(ISNUMBER(BQ15),BQ15+BQ23+BQ31+BQ39,IF(ISNUMBER(BQ62),BQ62+BQ63,""))</f>
        <v>301.626</v>
      </c>
      <c r="BR44" s="264">
        <f>IF(ISNUMBER(BR15),BR15+BR23+BR31+BR39,IF(ISNUMBER(BR62),BR62+BR63,""))</f>
      </c>
      <c r="BS44" s="264">
        <f>IF(ISNUMBER(BS15),BS15+BS23+BS31+BS39,IF(ISNUMBER(BS62),BS62+BS63,""))</f>
      </c>
      <c r="BT44" s="264">
        <f>IF(ISNUMBER(BT15),BT15+BT23+BT31+BT39,IF(ISNUMBER(BT62),BT62+BT63,""))</f>
      </c>
      <c r="BU44" s="264">
        <f>IF(ISNUMBER(BU15),BU15+BU23+BU31+BU39,IF(ISNUMBER(BU62),BU62+BU63,""))</f>
      </c>
      <c r="BV44" s="264">
        <f>IF(ISNUMBER(BV15),BV15+BV23+BV31+BV39,IF(ISNUMBER(BV62),BV62+BV63,""))</f>
      </c>
      <c r="BW44" s="264">
        <f>IF(ISNUMBER(BW15),BW15+BW23+BW31+BW39,IF(ISNUMBER(BW62),BW62+BW63,""))</f>
      </c>
      <c r="BX44" s="264">
        <f>IF(ISNUMBER(BX15),BX15+BX23+BX31+BX39,IF(ISNUMBER(BX62),BX62+BX63,""))</f>
      </c>
      <c r="BY44" s="254">
        <f>IF(ISNUMBER(BY15),BY15+BY23+BY31+BY39,IF(ISNUMBER(BY62),BY62+BY63,""))</f>
      </c>
      <c r="BZ44" s="254">
        <f>IF(ISNUMBER(BZ15),BZ15+BZ23+BZ31+BZ39,IF(ISNUMBER(BZ62),BZ62+BZ63,""))</f>
      </c>
      <c r="CA44" s="254">
        <f>IF(ISNUMBER(CA15),CA15+CA23+CA31+CA39,IF(ISNUMBER(CA62),CA62+CA63,""))</f>
      </c>
      <c r="CB44" s="254">
        <f>IF(ISNUMBER(CB15),CB15+CB23+CB31+CB39,IF(ISNUMBER(CB62),CB62+CB63,""))</f>
      </c>
      <c r="CC44" s="254">
        <f>IF(ISNUMBER(CC15),CC15+CC23+CC31+CC39,IF(ISNUMBER(CC62),CC62+CC63,""))</f>
      </c>
      <c r="CD44" s="254">
        <f>IF(ISNUMBER(CD15),CD15+CD23+CD31+CD39,IF(ISNUMBER(CD62),CD62+CD63,""))</f>
      </c>
      <c r="CE44" s="254">
        <f>IF(ISNUMBER(CE15),CE15+CE23+CE31+CE39,IF(ISNUMBER(CE62),CE62+CE63,""))</f>
      </c>
      <c r="CF44" s="254">
        <f>IF(ISNUMBER(CF15),CF15+CF23+CF31+CF39,IF(ISNUMBER(CF62),CF62+CF63,""))</f>
      </c>
      <c r="CG44" s="19" t="n"/>
      <c r="CI44" s="20" t="str">
        <f>IFERROR((CF44/CA44)^(1/5)-1,"n/m")</f>
        <v>n/m</v>
      </c>
      <c r="CJ44" s="20" t="str">
        <f>IFERROR((BV44/AW44)^(1/5)-1,"n/m")</f>
        <v>n/m</v>
      </c>
      <c r="CK44" s="20" t="str">
        <f>IFERROR((BV44/X44)^(1/10)-1,"n/m")</f>
        <v>n/m</v>
      </c>
      <c r="CL44" s="20" t="str">
        <f>IFERROR((BV44/C44)^(1/19)-1,"n/m")</f>
        <v>n/m</v>
      </c>
      <c r="CO44" s="25" t="inlineStr">
        <is>
          <t xml:space="preserve">  2028E</t>
        </is>
      </c>
      <c r="CP44" s="33">
        <f>CQ44+$CP$42</f>
        <v>0.13</v>
      </c>
      <c r="CQ44" s="42" t="n">
        <v>0.11</v>
      </c>
      <c r="CR44" s="33">
        <f>CQ44+$CR$42</f>
        <v>0.07</v>
      </c>
    </row>
    <row r="45" ht="15" customHeight="1" s="251">
      <c r="B45" s="25" t="inlineStr">
        <is>
          <t xml:space="preserve">  Paid net additions (m)</t>
        </is>
      </c>
      <c r="C45" s="34" t="n"/>
      <c r="D45" s="264">
        <f>IF(AND(ISNUMBER(D44),ISNUMBER(C44)),D44-C44,"")</f>
      </c>
      <c r="E45" s="264">
        <f>IF(AND(ISNUMBER(E44),ISNUMBER(D44)),E44-D44,"")</f>
      </c>
      <c r="F45" s="264">
        <f>IF(AND(ISNUMBER(F44),ISNUMBER(E44)),F44-E44,"")</f>
      </c>
      <c r="G45" s="264">
        <f>IF(AND(ISNUMBER(G44),ISNUMBER(F44)),G44-F44,"")</f>
      </c>
      <c r="H45" s="264">
        <f>IF(AND(ISNUMBER(H44),ISNUMBER(G44)),H44-G44,"")</f>
      </c>
      <c r="I45" s="264">
        <f>IF(AND(ISNUMBER(I44),ISNUMBER(H44)),I44-H44,"")</f>
      </c>
      <c r="J45" s="34" t="n"/>
      <c r="K45" s="264">
        <f>IF(AND(ISNUMBER(K44),ISNUMBER(J44)),K44-J44,"")</f>
      </c>
      <c r="L45" s="264">
        <f>IF(AND(ISNUMBER(L44),ISNUMBER(K44)),L44-K44,"")</f>
      </c>
      <c r="M45" s="264">
        <f>IF(AND(ISNUMBER(M44),ISNUMBER(L44)),M44-L44,"")</f>
      </c>
      <c r="N45" s="264">
        <f>IF(AND(ISNUMBER(N44),ISNUMBER(I44)),N44-I44,"")</f>
      </c>
      <c r="O45" s="264">
        <f>IF(AND(ISNUMBER(O44),ISNUMBER(M44)),O44-M44,"")</f>
      </c>
      <c r="P45" s="264">
        <f>IF(AND(ISNUMBER(P44),ISNUMBER(O44)),P44-O44,"")</f>
      </c>
      <c r="Q45" s="264">
        <f>IF(AND(ISNUMBER(Q44),ISNUMBER(P44)),Q44-P44,"")</f>
      </c>
      <c r="R45" s="264">
        <f>IF(AND(ISNUMBER(R44),ISNUMBER(Q44)),R44-Q44,"")</f>
      </c>
      <c r="S45" s="264">
        <f>IF(AND(ISNUMBER(S44),ISNUMBER(N44)),S44-N44,"")</f>
      </c>
      <c r="T45" s="264">
        <f>IF(AND(ISNUMBER(T44),ISNUMBER(R44)),T44-R44,"")</f>
      </c>
      <c r="U45" s="264">
        <f>IF(AND(ISNUMBER(U44),ISNUMBER(T44)),U44-T44,"")</f>
        <v>3.277</v>
      </c>
      <c r="V45" s="264">
        <f>IF(AND(ISNUMBER(V44),ISNUMBER(U44)),V44-U44,"")</f>
        <v>3.61699999999999</v>
      </c>
      <c r="W45" s="264">
        <f>IF(AND(ISNUMBER(W44),ISNUMBER(V44)),W44-V44,"")</f>
        <v>5.59400000000001</v>
      </c>
      <c r="X45" s="264">
        <f>IF(AND(ISNUMBER(X44),ISNUMBER(S44)),X44-S44,"")</f>
      </c>
      <c r="Y45" s="264">
        <f>IF(AND(ISNUMBER(Y44),ISNUMBER(W44)),Y44-W44,"")</f>
        <v>6.738</v>
      </c>
      <c r="Z45" s="264">
        <f>IF(AND(ISNUMBER(Z44),ISNUMBER(Y44)),Z44-Y44,"")</f>
        <v>1.67699999999999</v>
      </c>
      <c r="AA45" s="264">
        <f>IF(AND(ISNUMBER(AA44),ISNUMBER(Z44)),AA44-Z44,"")</f>
        <v>3.566</v>
      </c>
      <c r="AB45" s="264">
        <f>IF(AND(ISNUMBER(AB44),ISNUMBER(AA44)),AB44-AA44,"")</f>
        <v>7.053</v>
      </c>
      <c r="AC45" s="264">
        <f>IF(AND(ISNUMBER(AC44),ISNUMBER(X44)),AC44-X44,"")</f>
        <v>19.034</v>
      </c>
      <c r="AD45" s="264">
        <f>IF(AND(ISNUMBER(AD44),ISNUMBER(AB44)),AD44-AB44,"")</f>
        <v>4.952</v>
      </c>
      <c r="AE45" s="264">
        <f>IF(AND(ISNUMBER(AE44),ISNUMBER(AD44)),AE44-AD44,"")</f>
        <v>5.20400000000001</v>
      </c>
      <c r="AF45" s="264">
        <f>IF(AND(ISNUMBER(AF44),ISNUMBER(AE44)),AF44-AE44,"")</f>
        <v>5.29599999999999</v>
      </c>
      <c r="AG45" s="264">
        <f>IF(AND(ISNUMBER(AG44),ISNUMBER(AF44)),AG44-AF44,"")</f>
        <v>8.334</v>
      </c>
      <c r="AH45" s="264">
        <f>IF(AND(ISNUMBER(AH44),ISNUMBER(AC44)),AH44-AC44,"")</f>
        <v>16.848</v>
      </c>
      <c r="AI45" s="264">
        <f>IF(AND(ISNUMBER(AI44),ISNUMBER(AG44)),AI44-AG44,"")</f>
      </c>
      <c r="AJ45" s="264">
        <f>IF(AND(ISNUMBER(AJ44),ISNUMBER(AI44)),AJ44-AI44,"")</f>
      </c>
      <c r="AK45" s="264">
        <f>IF(AND(ISNUMBER(AK44),ISNUMBER(AJ44)),AK44-AJ44,"")</f>
      </c>
      <c r="AL45" s="264">
        <f>IF(AND(ISNUMBER(AL44),ISNUMBER(AK44)),AL44-AK44,"")</f>
      </c>
      <c r="AM45" s="264">
        <f>IF(AND(ISNUMBER(AM44),ISNUMBER(AH44)),AM44-AH44,"")</f>
        <v>28.615</v>
      </c>
      <c r="AN45" s="264">
        <f>IF(AND(ISNUMBER(AN44),ISNUMBER(AL44)),AN44-AL44,"")</f>
      </c>
      <c r="AO45" s="264">
        <f>IF(AND(ISNUMBER(AO44),ISNUMBER(AN44)),AO44-AN44,"")</f>
        <v>2.69900000000001</v>
      </c>
      <c r="AP45" s="264">
        <f>IF(AND(ISNUMBER(AP44),ISNUMBER(AO44)),AP44-AO44,"")</f>
        <v>6.77199999999999</v>
      </c>
      <c r="AQ45" s="264">
        <f>IF(AND(ISNUMBER(AQ44),ISNUMBER(AP44)),AQ44-AP44,"")</f>
        <v>8.756</v>
      </c>
      <c r="AR45" s="264">
        <f>IF(AND(ISNUMBER(AR44),ISNUMBER(AM44)),AR44-AM44,"")</f>
        <v>27.831</v>
      </c>
      <c r="AS45" s="264">
        <f>IF(AND(ISNUMBER(AS44),ISNUMBER(AQ44)),AS44-AQ44,"")</f>
        <v>15.766</v>
      </c>
      <c r="AT45" s="264">
        <f>IF(AND(ISNUMBER(AT44),ISNUMBER(AS44)),AT44-AS44,"")</f>
        <v>10.091</v>
      </c>
      <c r="AU45" s="264">
        <f>IF(AND(ISNUMBER(AU44),ISNUMBER(AT44)),AU44-AT44,"")</f>
        <v>2.20400000000001</v>
      </c>
      <c r="AV45" s="264">
        <f>IF(AND(ISNUMBER(AV44),ISNUMBER(AU44)),AV44-AU44,"")</f>
        <v>8.51200000000003</v>
      </c>
      <c r="AW45" s="264">
        <f>IF(AND(ISNUMBER(AW44),ISNUMBER(AR44)),AW44-AR44,"")</f>
        <v>36.573</v>
      </c>
      <c r="AX45" s="264">
        <f>IF(AND(ISNUMBER(AX44),ISNUMBER(AV44)),AX44-AV44,"")</f>
        <v>3.976</v>
      </c>
      <c r="AY45" s="264">
        <f>IF(AND(ISNUMBER(AY44),ISNUMBER(AX44)),AY44-AX44,"")</f>
        <v>1.541</v>
      </c>
      <c r="AZ45" s="264">
        <f>IF(AND(ISNUMBER(AZ44),ISNUMBER(AY44)),AZ44-AY44,"")</f>
        <v>4.38299999999998</v>
      </c>
      <c r="BA45" s="264">
        <f>IF(AND(ISNUMBER(BA44),ISNUMBER(AZ44)),BA44-AZ44,"")</f>
        <v>8.28100000000001</v>
      </c>
      <c r="BB45" s="264">
        <f>IF(AND(ISNUMBER(BB44),ISNUMBER(AW44)),BB44-AW44,"")</f>
        <v>18.181</v>
      </c>
      <c r="BC45" s="264">
        <f>IF(AND(ISNUMBER(BC44),ISNUMBER(BA44)),BC44-BA44,"")</f>
        <v>-0.202999999999975</v>
      </c>
      <c r="BD45" s="264">
        <f>IF(AND(ISNUMBER(BD44),ISNUMBER(BC44)),BD44-BC44,"")</f>
        <v>-0.969000000000023</v>
      </c>
      <c r="BE45" s="264">
        <f>IF(AND(ISNUMBER(BE44),ISNUMBER(BD44)),BE44-BD44,"")</f>
        <v>2.41300000000001</v>
      </c>
      <c r="BF45" s="264">
        <f>IF(AND(ISNUMBER(BF44),ISNUMBER(BE44)),BF44-BE44,"")</f>
        <v>7.66199999999998</v>
      </c>
      <c r="BG45" s="264">
        <f>IF(AND(ISNUMBER(BG44),ISNUMBER(BB44)),BG44-BB44,"")</f>
        <v>8.90299999999999</v>
      </c>
      <c r="BH45" s="264">
        <f>IF(AND(ISNUMBER(BH44),ISNUMBER(BF44)),BH44-BF44,"")</f>
        <v>1.75100000000003</v>
      </c>
      <c r="BI45" s="264">
        <f>IF(AND(ISNUMBER(BI44),ISNUMBER(BH44)),BI44-BH44,"")</f>
        <v>5.89199999999997</v>
      </c>
      <c r="BJ45" s="264">
        <f>IF(AND(ISNUMBER(BJ44),ISNUMBER(BI44)),BJ44-BI44,"")</f>
        <v>8.76300000000003</v>
      </c>
      <c r="BK45" s="264">
        <f>IF(AND(ISNUMBER(BK44),ISNUMBER(BJ44)),BK44-BJ44,"")</f>
        <v>13.123</v>
      </c>
      <c r="BL45" s="264">
        <f>IF(AND(ISNUMBER(BL44),ISNUMBER(BG44)),BL44-BG44,"")</f>
        <v>29.529</v>
      </c>
      <c r="BM45" s="264">
        <f>IF(AND(ISNUMBER(BM44),ISNUMBER(BK44)),BM44-BK44,"")</f>
        <v>9.32599999999997</v>
      </c>
      <c r="BN45" s="264">
        <f>IF(AND(ISNUMBER(BN44),ISNUMBER(BM44)),BN44-BM44,"")</f>
        <v>8.04500000000002</v>
      </c>
      <c r="BO45" s="264">
        <f>IF(AND(ISNUMBER(BO44),ISNUMBER(BN44)),BO44-BN44,"")</f>
        <v>5.07299999999998</v>
      </c>
      <c r="BP45" s="264">
        <f>IF(AND(ISNUMBER(BP44),ISNUMBER(BO44)),BP44-BO44,"")</f>
        <v>18.906</v>
      </c>
      <c r="BQ45" s="264">
        <f>IF(AND(ISNUMBER(BQ44),ISNUMBER(BL44)),BQ44-BL44,"")</f>
        <v>41.35</v>
      </c>
      <c r="BR45" s="264">
        <f>IF(AND(ISNUMBER(BR44),ISNUMBER(BP44)),BR44-BP44,"")</f>
      </c>
      <c r="BS45" s="264">
        <f>IF(AND(ISNUMBER(BS44),ISNUMBER(BR44)),BS44-BR44,"")</f>
      </c>
      <c r="BT45" s="264">
        <f>IF(AND(ISNUMBER(BT44),ISNUMBER(BS44)),BT44-BS44,"")</f>
      </c>
      <c r="BU45" s="264">
        <f>IF(AND(ISNUMBER(BU44),ISNUMBER(BT44)),BU44-BT44,"")</f>
      </c>
      <c r="BV45" s="264">
        <f>IF(AND(ISNUMBER(BV44),ISNUMBER(BQ44)),BV44-BQ44,"")</f>
      </c>
      <c r="BW45" s="264">
        <f>IF(AND(ISNUMBER(BW44),ISNUMBER(BU44)),BW44-BU44,"")</f>
      </c>
      <c r="BX45" s="264">
        <f>IF(AND(ISNUMBER(BX44),ISNUMBER(BW44)),BX44-BW44,"")</f>
      </c>
      <c r="BY45" s="254">
        <f>IF(AND(ISNUMBER(BY44),ISNUMBER(BX44)),BY44-BX44,"")</f>
      </c>
      <c r="BZ45" s="254">
        <f>IF(AND(ISNUMBER(BZ44),ISNUMBER(BY44)),BZ44-BY44,"")</f>
      </c>
      <c r="CA45" s="254">
        <f>IF(AND(ISNUMBER(CA44),ISNUMBER(BV44)),CA44-BV44,"")</f>
      </c>
      <c r="CB45" s="254">
        <f>IF(AND(ISNUMBER(CB44),ISNUMBER(CA44)),CB44-CA44,"")</f>
      </c>
      <c r="CC45" s="254">
        <f>IF(AND(ISNUMBER(CC44),ISNUMBER(CB44)),CC44-CB44,"")</f>
      </c>
      <c r="CD45" s="254">
        <f>IF(AND(ISNUMBER(CD44),ISNUMBER(CC44)),CD44-CC44,"")</f>
      </c>
      <c r="CE45" s="254">
        <f>IF(AND(ISNUMBER(CE44),ISNUMBER(CD44)),CE44-CD44,"")</f>
      </c>
      <c r="CF45" s="254">
        <f>IF(AND(ISNUMBER(CF44),ISNUMBER(CE44)),CF44-CE44,"")</f>
      </c>
      <c r="CG45" s="19" t="n"/>
      <c r="CO45" s="25" t="inlineStr">
        <is>
          <t xml:space="preserve">  2029E</t>
        </is>
      </c>
      <c r="CP45" s="33">
        <f>CQ45+$CP$42</f>
        <v>0.12</v>
      </c>
      <c r="CQ45" s="42" t="n">
        <v>0.1</v>
      </c>
      <c r="CR45" s="33">
        <f>CQ45+$CR$42</f>
        <v>0.06</v>
      </c>
    </row>
    <row r="46" ht="15" customHeight="1" s="251">
      <c r="B46" s="25" t="inlineStr">
        <is>
          <t xml:space="preserve">  Revenue per average paid membership — annualised ($; derived)</t>
        </is>
      </c>
      <c r="C46" s="34" t="n"/>
      <c r="D46" s="265">
        <f>IF(AND(ISNUMBER(D44),ISNUMBER(C44)),IFERROR(D121*1/AVERAGE(D44,C44),""),"")</f>
      </c>
      <c r="E46" s="265">
        <f>IF(AND(ISNUMBER(E44),ISNUMBER(D44)),IFERROR(E121*1/AVERAGE(E44,D44),""),"")</f>
      </c>
      <c r="F46" s="265">
        <f>IF(AND(ISNUMBER(F44),ISNUMBER(E44)),IFERROR(F121*1/AVERAGE(F44,E44),""),"")</f>
      </c>
      <c r="G46" s="265">
        <f>IF(AND(ISNUMBER(G44),ISNUMBER(F44)),IFERROR(G121*1/AVERAGE(G44,F44),""),"")</f>
      </c>
      <c r="H46" s="265">
        <f>IF(AND(ISNUMBER(H44),ISNUMBER(G44)),IFERROR(H121*1/AVERAGE(H44,G44),""),"")</f>
      </c>
      <c r="I46" s="265">
        <f>IF(AND(ISNUMBER(I44),ISNUMBER(H44)),IFERROR(I121*1/AVERAGE(I44,H44),""),"")</f>
      </c>
      <c r="J46" s="34" t="n"/>
      <c r="K46" s="265">
        <f>IF(AND(ISNUMBER(K44),ISNUMBER(J44)),IFERROR(K121*4/AVERAGE(K44,J44),""),"")</f>
      </c>
      <c r="L46" s="265">
        <f>IF(AND(ISNUMBER(L44),ISNUMBER(K44)),IFERROR(L121*4/AVERAGE(L44,K44),""),"")</f>
      </c>
      <c r="M46" s="265">
        <f>IF(AND(ISNUMBER(M44),ISNUMBER(L44)),IFERROR(M121*4/AVERAGE(M44,L44),""),"")</f>
      </c>
      <c r="N46" s="265">
        <f>IF(AND(ISNUMBER(N44),ISNUMBER(I44)),IFERROR(N121*1/AVERAGE(N44,I44),""),"")</f>
      </c>
      <c r="O46" s="265">
        <f>IF(AND(ISNUMBER(O44),ISNUMBER(M44)),IFERROR(O121*4/AVERAGE(O44,M44),""),"")</f>
      </c>
      <c r="P46" s="265">
        <f>IF(AND(ISNUMBER(P44),ISNUMBER(O44)),IFERROR(P121*4/AVERAGE(P44,O44),""),"")</f>
      </c>
      <c r="Q46" s="265">
        <f>IF(AND(ISNUMBER(Q44),ISNUMBER(P44)),IFERROR(Q121*4/AVERAGE(Q44,P44),""),"")</f>
      </c>
      <c r="R46" s="265">
        <f>IF(AND(ISNUMBER(R44),ISNUMBER(Q44)),IFERROR(R121*4/AVERAGE(R44,Q44),""),"")</f>
      </c>
      <c r="S46" s="265">
        <f>IF(AND(ISNUMBER(S44),ISNUMBER(N44)),IFERROR(S121*1/AVERAGE(S44,N44),""),"")</f>
      </c>
      <c r="T46" s="265">
        <f>IF(AND(ISNUMBER(T44),ISNUMBER(R44)),IFERROR(T121*4/AVERAGE(T44,R44),""),"")</f>
      </c>
      <c r="U46" s="265">
        <f>IF(AND(ISNUMBER(U44),ISNUMBER(T44)),IFERROR(U121*4/AVERAGE(U44,T44),""),"")</f>
        <v>102.934105221983</v>
      </c>
      <c r="V46" s="265">
        <f>IF(AND(ISNUMBER(V44),ISNUMBER(U44)),IFERROR(V121*4/AVERAGE(V44,U44),""),"")</f>
        <v>103.228497836237</v>
      </c>
      <c r="W46" s="265">
        <f>IF(AND(ISNUMBER(W44),ISNUMBER(V44)),IFERROR(W121*4/AVERAGE(W44,V44),""),"")</f>
        <v>101.345542972278</v>
      </c>
      <c r="X46" s="265">
        <f>IF(AND(ISNUMBER(X44),ISNUMBER(S44)),IFERROR(X121*1/AVERAGE(X44,S44),""),"")</f>
      </c>
      <c r="Y46" s="265">
        <f>IF(AND(ISNUMBER(Y44),ISNUMBER(W44)),IFERROR(Y121*4/AVERAGE(Y44,W44),""),"")</f>
        <v>100.228385659981</v>
      </c>
      <c r="Z46" s="265">
        <f>IF(AND(ISNUMBER(Z44),ISNUMBER(Y44)),IFERROR(Z121*4/AVERAGE(Z44,Y44),""),"")</f>
        <v>102.270699611968</v>
      </c>
      <c r="AA46" s="265">
        <f>IF(AND(ISNUMBER(AA44),ISNUMBER(Z44)),IFERROR(AA121*4/AVERAGE(AA44,Z44),""),"")</f>
        <v>107.824293785311</v>
      </c>
      <c r="AB46" s="265">
        <f>IF(AND(ISNUMBER(AB44),ISNUMBER(AA44)),IFERROR(AB121*4/AVERAGE(AB44,AA44),""),"")</f>
        <v>109.784190673483</v>
      </c>
      <c r="AC46" s="265">
        <f>IF(AND(ISNUMBER(AC44),ISNUMBER(X44)),IFERROR(AC121*1/AVERAGE(AC44,X44),""),"")</f>
        <v>104.778995953915</v>
      </c>
      <c r="AD46" s="265">
        <f>IF(AND(ISNUMBER(AD44),ISNUMBER(AB44)),IFERROR(AD121*4/AVERAGE(AD44,AB44),""),"")</f>
        <v>109.549401695197</v>
      </c>
      <c r="AE46" s="265">
        <f>IF(AND(ISNUMBER(AE44),ISNUMBER(AD44)),IFERROR(AE121*4/AVERAGE(AE44,AD44),""),"")</f>
        <v>109.9344449926</v>
      </c>
      <c r="AF46" s="265">
        <f>IF(AND(ISNUMBER(AF44),ISNUMBER(AE44)),IFERROR(AF121*4/AVERAGE(AF44,AE44),""),"")</f>
        <v>112.002213883677</v>
      </c>
      <c r="AG46" s="265">
        <f>IF(AND(ISNUMBER(AG44),ISNUMBER(AF44)),IFERROR(AG121*4/AVERAGE(AG44,AF44),""),"")</f>
        <v>115.884318652736</v>
      </c>
      <c r="AH46" s="265">
        <f>IF(AND(ISNUMBER(AH44),ISNUMBER(AC44)),IFERROR(AH121*1/AVERAGE(AH44,AC44),""),"")</f>
        <v>114.387722559186</v>
      </c>
      <c r="AI46" s="265">
        <f>IF(AND(ISNUMBER(AI44),ISNUMBER(AG44)),IFERROR(AI121*4/AVERAGE(AI44,AG44),""),"")</f>
      </c>
      <c r="AJ46" s="265">
        <f>IF(AND(ISNUMBER(AJ44),ISNUMBER(AI44)),IFERROR(AJ121*4/AVERAGE(AJ44,AI44),""),"")</f>
      </c>
      <c r="AK46" s="265">
        <f>IF(AND(ISNUMBER(AK44),ISNUMBER(AJ44)),IFERROR(AK121*4/AVERAGE(AK44,AJ44),""),"")</f>
      </c>
      <c r="AL46" s="265">
        <f>IF(AND(ISNUMBER(AL44),ISNUMBER(AK44)),IFERROR(AL121*4/AVERAGE(AL44,AK44),""),"")</f>
      </c>
      <c r="AM46" s="265">
        <f>IF(AND(ISNUMBER(AM44),ISNUMBER(AH44)),IFERROR(AM121*1/AVERAGE(AM44,AH44),""),"")</f>
        <v>126.403772663794</v>
      </c>
      <c r="AN46" s="265">
        <f>IF(AND(ISNUMBER(AN44),ISNUMBER(AL44)),IFERROR(AN121*4/AVERAGE(AN44,AL44),""),"")</f>
      </c>
      <c r="AO46" s="265">
        <f>IF(AND(ISNUMBER(AO44),ISNUMBER(AN44)),IFERROR(AO121*4/AVERAGE(AO44,AN44),""),"")</f>
        <v>131.097372056254</v>
      </c>
      <c r="AP46" s="265">
        <f>IF(AND(ISNUMBER(AP44),ISNUMBER(AO44)),IFERROR(AP121*4/AVERAGE(AP44,AO44),""),"")</f>
        <v>135.397810878488</v>
      </c>
      <c r="AQ46" s="265">
        <f>IF(AND(ISNUMBER(AQ44),ISNUMBER(AP44)),IFERROR(AQ121*4/AVERAGE(AQ44,AP44),""),"")</f>
        <v>134.407640493633</v>
      </c>
      <c r="AR46" s="265">
        <f>IF(AND(ISNUMBER(AR44),ISNUMBER(AM44)),IFERROR(AR121*1/AVERAGE(AR44,AM44),""),"")</f>
        <v>131.59140065742</v>
      </c>
      <c r="AS46" s="265">
        <f>IF(AND(ISNUMBER(AS44),ISNUMBER(AQ44)),IFERROR(AS121*4/AVERAGE(AS44,AQ44),""),"")</f>
        <v>131.853280220377</v>
      </c>
      <c r="AT46" s="265">
        <f>IF(AND(ISNUMBER(AT44),ISNUMBER(AS44)),IFERROR(AT121*4/AVERAGE(AT44,AS44),""),"")</f>
        <v>130.883170171606</v>
      </c>
      <c r="AU46" s="265">
        <f>IF(AND(ISNUMBER(AU44),ISNUMBER(AT44)),IFERROR(AU121*4/AVERAGE(AU44,AT44),""),"")</f>
        <v>132.660039474566</v>
      </c>
      <c r="AV46" s="265">
        <f>IF(AND(ISNUMBER(AV44),ISNUMBER(AU44)),IFERROR(AV121*4/AVERAGE(AV44,AU44),""),"")</f>
        <v>133.284027140472</v>
      </c>
      <c r="AW46" s="265">
        <f>IF(AND(ISNUMBER(AW44),ISNUMBER(AR44)),IFERROR(AW121*1/AVERAGE(AW44,AR44),""),"")</f>
        <v>134.83939981605</v>
      </c>
      <c r="AX46" s="265">
        <f>IF(AND(ISNUMBER(AX44),ISNUMBER(AV44)),IFERROR(AX121*4/AVERAGE(AX44,AV44),""),"")</f>
        <v>139.328901877453</v>
      </c>
      <c r="AY46" s="265">
        <f>IF(AND(ISNUMBER(AY44),ISNUMBER(AX44)),IFERROR(AY121*4/AVERAGE(AY44,AX44),""),"")</f>
        <v>140.910601484097</v>
      </c>
      <c r="AZ46" s="265">
        <f>IF(AND(ISNUMBER(AZ44),ISNUMBER(AY44)),IFERROR(AZ121*4/AVERAGE(AZ44,AY44),""),"")</f>
        <v>141.617332516446</v>
      </c>
      <c r="BA46" s="265">
        <f>IF(AND(ISNUMBER(BA44),ISNUMBER(AZ44)),IFERROR(BA121*4/AVERAGE(BA44,AZ44),""),"")</f>
        <v>141.648030463451</v>
      </c>
      <c r="BB46" s="265">
        <f>IF(AND(ISNUMBER(BB44),ISNUMBER(AW44)),IFERROR(BB121*1/AVERAGE(BB44,AW44),""),"")</f>
        <v>139.588039679723</v>
      </c>
      <c r="BC46" s="265">
        <f>IF(AND(ISNUMBER(BC44),ISNUMBER(BA44)),IFERROR(BC121*4/AVERAGE(BC44,BA44),""),"")</f>
        <v>141.926189160851</v>
      </c>
      <c r="BD46" s="265">
        <f>IF(AND(ISNUMBER(BD44),ISNUMBER(BC44)),IFERROR(BD121*4/AVERAGE(BD44,BC44),""),"")</f>
        <v>144.153863892764</v>
      </c>
      <c r="BE46" s="265">
        <f>IF(AND(ISNUMBER(BE44),ISNUMBER(BD44)),IFERROR(BE121*4/AVERAGE(BE44,BD44),""),"")</f>
        <v>142.881604121174</v>
      </c>
      <c r="BF46" s="265">
        <f>IF(AND(ISNUMBER(BF44),ISNUMBER(BE44)),IFERROR(BF121*4/AVERAGE(BF44,BE44),""),"")</f>
        <v>138.413386451374</v>
      </c>
      <c r="BG46" s="265">
        <f>IF(AND(ISNUMBER(BG44),ISNUMBER(BB44)),IFERROR(BG121*1/AVERAGE(BG44,BB44),""),"")</f>
        <v>139.709141366046</v>
      </c>
      <c r="BH46" s="265">
        <f>IF(AND(ISNUMBER(BH44),ISNUMBER(BF44)),IFERROR(BH121*4/AVERAGE(BH44,BF44),""),"")</f>
        <v>140.944908201923</v>
      </c>
      <c r="BI46" s="265">
        <f>IF(AND(ISNUMBER(BI44),ISNUMBER(BH44)),IFERROR(BI121*4/AVERAGE(BI44,BH44),""),"")</f>
        <v>139.095513158118</v>
      </c>
      <c r="BJ46" s="265">
        <f>IF(AND(ISNUMBER(BJ44),ISNUMBER(BI44)),IFERROR(BJ121*4/AVERAGE(BJ44,BI44),""),"")</f>
        <v>140.735926581168</v>
      </c>
      <c r="BK46" s="265">
        <f>IF(AND(ISNUMBER(BK44),ISNUMBER(BJ44)),IFERROR(BK121*4/AVERAGE(BK44,BJ44),""),"")</f>
        <v>139.256132385023</v>
      </c>
      <c r="BL46" s="265">
        <f>IF(AND(ISNUMBER(BL44),ISNUMBER(BG44)),IFERROR(BL121*1/AVERAGE(BL44,BG44),""),"")</f>
        <v>137.359337546306</v>
      </c>
      <c r="BM46" s="265">
        <f>IF(AND(ISNUMBER(BM44),ISNUMBER(BK44)),IFERROR(BM121*4/AVERAGE(BM44,BK44),""),"")</f>
        <v>141.473169295574</v>
      </c>
      <c r="BN46" s="265">
        <f>IF(AND(ISNUMBER(BN44),ISNUMBER(BM44)),IFERROR(BN121*4/AVERAGE(BN44,BM44),""),"")</f>
        <v>139.743480572829</v>
      </c>
      <c r="BO46" s="265">
        <f>IF(AND(ISNUMBER(BO44),ISNUMBER(BN44)),IFERROR(BO121*4/AVERAGE(BO44,BN44),""),"")</f>
        <v>140.260978965571</v>
      </c>
      <c r="BP46" s="265">
        <f>IF(AND(ISNUMBER(BP44),ISNUMBER(BO44)),IFERROR(BP121*4/AVERAGE(BP44,BO44),""),"")</f>
        <v>140.280080637157</v>
      </c>
      <c r="BQ46" s="265">
        <f>IF(AND(ISNUMBER(BQ44),ISNUMBER(BL44)),IFERROR(BQ121*1/AVERAGE(BQ44,BL44),""),"")</f>
        <v>138.817679951308</v>
      </c>
      <c r="BR46" s="265">
        <f>IF(AND(ISNUMBER(BR44),ISNUMBER(BP44)),IFERROR(BR121*4/AVERAGE(BR44,BP44),""),"")</f>
      </c>
      <c r="BS46" s="265">
        <f>IF(AND(ISNUMBER(BS44),ISNUMBER(BR44)),IFERROR(BS121*4/AVERAGE(BS44,BR44),""),"")</f>
      </c>
      <c r="BT46" s="265">
        <f>IF(AND(ISNUMBER(BT44),ISNUMBER(BS44)),IFERROR(BT121*4/AVERAGE(BT44,BS44),""),"")</f>
      </c>
      <c r="BU46" s="265">
        <f>IF(AND(ISNUMBER(BU44),ISNUMBER(BT44)),IFERROR(BU121*4/AVERAGE(BU44,BT44),""),"")</f>
      </c>
      <c r="BV46" s="265">
        <f>IF(AND(ISNUMBER(BV44),ISNUMBER(BQ44)),IFERROR(BV121*1/AVERAGE(BV44,BQ44),""),"")</f>
      </c>
      <c r="BW46" s="265">
        <f>IF(AND(ISNUMBER(BW44),ISNUMBER(BU44)),IFERROR(BW121*4/AVERAGE(BW44,BU44),""),"")</f>
      </c>
      <c r="BX46" s="265">
        <f>IF(AND(ISNUMBER(BX44),ISNUMBER(BW44)),IFERROR(BX121*4/AVERAGE(BX44,BW44),""),"")</f>
      </c>
      <c r="BY46" s="266">
        <f>IF(AND(ISNUMBER(BY44),ISNUMBER(BX44)),IFERROR(BY121*4/AVERAGE(BY44,BX44),""),"")</f>
      </c>
      <c r="BZ46" s="266">
        <f>IF(AND(ISNUMBER(BZ44),ISNUMBER(BY44)),IFERROR(BZ121*4/AVERAGE(BZ44,BY44),""),"")</f>
      </c>
      <c r="CA46" s="266">
        <f>IF(AND(ISNUMBER(CA44),ISNUMBER(BV44)),IFERROR(CA121*1/AVERAGE(CA44,BV44),""),"")</f>
      </c>
      <c r="CB46" s="266">
        <f>IF(AND(ISNUMBER(CB44),ISNUMBER(CA44)),IFERROR(CB121*1/AVERAGE(CB44,CA44),""),"")</f>
      </c>
      <c r="CC46" s="266">
        <f>IF(AND(ISNUMBER(CC44),ISNUMBER(CB44)),IFERROR(CC121*1/AVERAGE(CC44,CB44),""),"")</f>
      </c>
      <c r="CD46" s="266">
        <f>IF(AND(ISNUMBER(CD44),ISNUMBER(CC44)),IFERROR(CD121*1/AVERAGE(CD44,CC44),""),"")</f>
      </c>
      <c r="CE46" s="266">
        <f>IF(AND(ISNUMBER(CE44),ISNUMBER(CD44)),IFERROR(CE121*1/AVERAGE(CE44,CD44),""),"")</f>
      </c>
      <c r="CF46" s="266">
        <f>IF(AND(ISNUMBER(CF44),ISNUMBER(CE44)),IFERROR(CF121*1/AVERAGE(CF44,CE44),""),"")</f>
      </c>
      <c r="CG46" s="19" t="n"/>
      <c r="CO46" s="25" t="inlineStr">
        <is>
          <t xml:space="preserve">  2030E</t>
        </is>
      </c>
      <c r="CP46" s="33">
        <f>CQ46+$CP$42</f>
        <v>0.11</v>
      </c>
      <c r="CQ46" s="42" t="n">
        <v>0.09</v>
      </c>
      <c r="CR46" s="33">
        <f>CQ46+$CR$42</f>
        <v>0.05</v>
      </c>
    </row>
    <row r="47" ht="15" customHeight="1" s="251">
      <c r="B47" s="22" t="inlineStr">
        <is>
          <t xml:space="preserve">  Contribution to revenue growth — UCAN (legacy domestic streaming + DVD to 2017) (pp)</t>
        </is>
      </c>
      <c r="C47" s="23" t="n"/>
      <c r="D47" s="255">
        <f>IF(ISNUMBER(C11),IFERROR((D11-C11)/C121,""),IF(ISNUMBER(C51),IFERROR((D51+N(D53)-C51-N(C53))/C121,""),""))</f>
      </c>
      <c r="E47" s="255">
        <f>IF(ISNUMBER(D11),IFERROR((E11-D11)/D121,""),IF(ISNUMBER(D51),IFERROR((E51+N(E53)-D51-N(D53))/D121,""),""))</f>
      </c>
      <c r="F47" s="255">
        <f>IF(ISNUMBER(E11),IFERROR((F11-E11)/E121,""),IF(ISNUMBER(E51),IFERROR((F51+N(F53)-E51-N(E53))/E121,""),""))</f>
      </c>
      <c r="G47" s="255">
        <f>IF(ISNUMBER(F11),IFERROR((G11-F11)/F121,""),IF(ISNUMBER(F51),IFERROR((G51+N(G53)-F51-N(F53))/F121,""),""))</f>
      </c>
      <c r="H47" s="255">
        <f>IF(ISNUMBER(G11),IFERROR((H11-G11)/G121,""),IF(ISNUMBER(G51),IFERROR((H51+N(H53)-G51-N(G53))/G121,""),""))</f>
      </c>
      <c r="I47" s="255">
        <f>IF(ISNUMBER(H11),IFERROR((I11-H11)/H121,""),IF(ISNUMBER(H51),IFERROR((I51+N(I53)-H51-N(H53))/H121,""),""))</f>
      </c>
      <c r="J47" s="23" t="n"/>
      <c r="K47" s="23" t="n"/>
      <c r="L47" s="23" t="n"/>
      <c r="M47" s="23" t="n"/>
      <c r="N47" s="255">
        <f>IF(ISNUMBER(I11),IFERROR((N11-I11)/I121,""),IF(ISNUMBER(I51),IFERROR((N51+N(N53)-I51-N(I53))/I121,""),""))</f>
        <v>0.0943212528142716</v>
      </c>
      <c r="O47" s="255">
        <f>IF(ISNUMBER(J11),IFERROR((O11-J11)/J121,""),IF(ISNUMBER(J51),IFERROR((O51+N(O53)-J51-N(J53))/J121,""),""))</f>
        <v>0.118196884451654</v>
      </c>
      <c r="P47" s="255">
        <f>IF(ISNUMBER(K11),IFERROR((P11-K11)/K121,""),IF(ISNUMBER(K51),IFERROR((P51+N(P53)-K51-N(K53))/K121,""),""))</f>
        <v>0.121076669297494</v>
      </c>
      <c r="Q47" s="255">
        <f>IF(ISNUMBER(L11),IFERROR((Q11-L11)/L121,""),IF(ISNUMBER(L51),IFERROR((Q51+N(Q53)-L51-N(L53))/L121,""),""))</f>
        <v>0.127304816731299</v>
      </c>
      <c r="R47" s="255">
        <f>IF(ISNUMBER(M11),IFERROR((R11-M11)/M121,""),IF(ISNUMBER(M51),IFERROR((R51+N(R53)-M51-N(M53))/M121,""),""))</f>
        <v>0.12177956655293</v>
      </c>
      <c r="S47" s="255">
        <f>IF(ISNUMBER(N11),IFERROR((S11-N11)/N121,""),IF(ISNUMBER(N51),IFERROR((S51+N(S53)-N51-N(N53))/N121,""),""))</f>
        <v>0.122166059139178</v>
      </c>
      <c r="T47" s="255">
        <f>IF(ISNUMBER(O11),IFERROR((T11-O11)/O121,""),IF(ISNUMBER(O51),IFERROR((T51+N(T53)-O51-N(O53))/O121,""),""))</f>
        <v>0.121850515987462</v>
      </c>
      <c r="U47" s="255">
        <f>IF(ISNUMBER(P11),IFERROR((U11-P11)/P121,""),IF(ISNUMBER(P51),IFERROR((U51+N(U53)-P51-N(P53))/P121,""),""))</f>
        <v>0.117117412845501</v>
      </c>
      <c r="V47" s="255">
        <f>IF(ISNUMBER(Q11),IFERROR((V11-Q11)/Q121,""),IF(ISNUMBER(Q51),IFERROR((V51+N(V53)-Q51-N(Q53))/Q121,""),""))</f>
        <v>0.111916005880383</v>
      </c>
      <c r="W47" s="255">
        <f>IF(ISNUMBER(R11),IFERROR((W11-R11)/R121,""),IF(ISNUMBER(R51),IFERROR((W51+N(W53)-R51-N(R53))/R121,""),""))</f>
        <v>0.107761825735084</v>
      </c>
      <c r="X47" s="255">
        <f>IF(ISNUMBER(S11),IFERROR((X11-S11)/S121,""),IF(ISNUMBER(S51),IFERROR((X51+N(X53)-S51-N(S53))/S121,""),""))</f>
        <v>0.114354284809078</v>
      </c>
      <c r="Y47" s="255">
        <f>IF(ISNUMBER(T11),IFERROR((Y11-T11)/T121,""),IF(ISNUMBER(T51),IFERROR((Y51+N(Y53)-T51-N(T53))/T121,""),""))</f>
        <v>0.0942427480518127</v>
      </c>
      <c r="Z47" s="255">
        <f>IF(ISNUMBER(U11),IFERROR((Z11-U11)/U121,""),IF(ISNUMBER(U51),IFERROR((Z51+N(Z53)-U51-N(U53))/U121,""),""))</f>
        <v>0.0955022636429633</v>
      </c>
      <c r="AA47" s="255">
        <f>IF(ISNUMBER(V11),IFERROR((AA11-V11)/V121,""),IF(ISNUMBER(V51),IFERROR((AA51+N(AA53)-V51-N(V53))/V121,""),""))</f>
        <v>0.123808428082871</v>
      </c>
      <c r="AB47" s="255">
        <f>IF(ISNUMBER(W11),IFERROR((AB11-W11)/W121,""),IF(ISNUMBER(W51),IFERROR((AB51+N(AB53)-W51-N(W53))/W121,""),""))</f>
        <v>0.149696736690445</v>
      </c>
      <c r="AC47" s="255">
        <f>IF(ISNUMBER(X11),IFERROR((AC11-X11)/X121,""),IF(ISNUMBER(X51),IFERROR((AC51+N(AC53)-X51-N(X53))/X121,""),""))</f>
        <v>0.117043544881039</v>
      </c>
      <c r="AD47" s="255">
        <f>IF(ISNUMBER(Y11),IFERROR((AD11-Y11)/Y121,""),IF(ISNUMBER(Y51),IFERROR((AD51+N(AD53)-Y51-N(Y53))/Y121,""),""))</f>
        <v>0.14529436042449</v>
      </c>
      <c r="AE47" s="255">
        <f>IF(ISNUMBER(Z11),IFERROR((AE11-Z11)/Z121,""),IF(ISNUMBER(Z51),IFERROR((AE51+N(AE53)-Z51-N(Z53))/Z121,""),""))</f>
        <v>0.129789322079951</v>
      </c>
      <c r="AF47" s="255">
        <f>IF(ISNUMBER(AA11),IFERROR((AF11-AA11)/AA121,""),IF(ISNUMBER(AA51),IFERROR((AF51+N(AF53)-AA51-N(AA53))/AA121,""),""))</f>
        <v>0.096374620773491</v>
      </c>
      <c r="AG47" s="255">
        <f>IF(ISNUMBER(AB11),IFERROR((AG11-AB11)/AB121,""),IF(ISNUMBER(AB51),IFERROR((AG51+N(AG53)-AB51-N(AB53))/AB121,""),""))</f>
        <v>0.0829657309404768</v>
      </c>
      <c r="AH47" s="255">
        <f>IF(ISNUMBER(AC11),IFERROR((AH11-AC11)/AC121,""),IF(ISNUMBER(AC51),IFERROR((AH51+N(AH53)-AC51-N(AC53))/AC121,""),""))</f>
        <v>0.111423947608046</v>
      </c>
      <c r="AI47" s="255">
        <f>IF(ISNUMBER(AD11),IFERROR((AI11-AD11)/AD121,""),IF(ISNUMBER(AD51),IFERROR((AI51+N(AI53)-AD51-N(AD53))/AD121,""),""))</f>
        <v>0.124527664997241</v>
      </c>
      <c r="AJ47" s="255">
        <f>IF(ISNUMBER(AE11),IFERROR((AJ11-AE11)/AE121,""),IF(ISNUMBER(AE51),IFERROR((AJ51+N(AJ53)-AE51-N(AE53))/AE121,""),""))</f>
        <v>0.131356930120081</v>
      </c>
      <c r="AK47" s="255">
        <f>IF(ISNUMBER(AF11),IFERROR((AK11-AF11)/AF121,""),IF(ISNUMBER(AF51),IFERROR((AK51+N(AK53)-AF51-N(AF53))/AF121,""),""))</f>
        <v>0.123512366915824</v>
      </c>
      <c r="AL47" s="255">
        <f>IF(ISNUMBER(AG11),IFERROR((AL11-AG11)/AG121,""),IF(ISNUMBER(AG51),IFERROR((AL51+N(AL53)-AG51-N(AG53))/AG121,""),""))</f>
        <v>0.105249174086321</v>
      </c>
      <c r="AM47" s="255">
        <f>IF(ISNUMBER(AH11),IFERROR((AM11-AH11)/AH121,""),IF(ISNUMBER(AH51),IFERROR((AM51+N(AM53)-AH51-N(AH53))/AH121,""),""))</f>
        <v>0.138605386106714</v>
      </c>
      <c r="AN47" s="255">
        <f>IF(ISNUMBER(AI11),IFERROR((AN11-AI11)/AI121,""),IF(ISNUMBER(AI51),IFERROR((AN51+N(AN53)-AI51-N(AI53))/AI121,""),""))</f>
        <v>0.063626631244231</v>
      </c>
      <c r="AO47" s="255">
        <f>IF(ISNUMBER(AJ11),IFERROR((AO11-AJ11)/AJ121,""),IF(ISNUMBER(AJ51),IFERROR((AO51+N(AO53)-AJ51-N(AJ53))/AJ121,""),""))</f>
        <v>0.0996253138380505</v>
      </c>
      <c r="AP47" s="255">
        <f>IF(ISNUMBER(AK11),IFERROR((AP11-AK11)/AK121,""),IF(ISNUMBER(AK51),IFERROR((AP51+N(AP53)-AK51-N(AK53))/AK121,""),""))</f>
        <v>0.114613937081153</v>
      </c>
      <c r="AQ47" s="255">
        <f>IF(ISNUMBER(AL11),IFERROR((AQ11-AL11)/AL121,""),IF(ISNUMBER(AL51),IFERROR((AQ51+N(AQ53)-AL51-N(AL53))/AL121,""),""))</f>
        <v>0.106253378143569</v>
      </c>
      <c r="AR47" s="255">
        <f>IF(ISNUMBER(AM11),IFERROR((AR11-AM11)/AM121,""),IF(ISNUMBER(AM51),IFERROR((AR51+N(AR53)-AM51-N(AM53))/AM121,""),""))</f>
        <v>0.112044940653111</v>
      </c>
      <c r="AS47" s="255">
        <f>IF(ISNUMBER(AN11),IFERROR((AS11-AN11)/AN121,""),IF(ISNUMBER(AN51),IFERROR((AS51+N(AS53)-AN51-N(AN53))/AN121,""),""))</f>
        <v>0.0986343262717562</v>
      </c>
      <c r="AT47" s="255">
        <f>IF(ISNUMBER(AO11),IFERROR((AT11-AO11)/AO121,""),IF(ISNUMBER(AO51),IFERROR((AT51+N(AT53)-AO51-N(AO53))/AO121,""),""))</f>
        <v>0.0687513761609517</v>
      </c>
      <c r="AU47" s="255">
        <f>IF(ISNUMBER(AP11),IFERROR((AU11-AP11)/AP121,""),IF(ISNUMBER(AP51),IFERROR((AU51+N(AU53)-AP51-N(AP53))/AP121,""),""))</f>
        <v>0.0595234804062228</v>
      </c>
      <c r="AV47" s="255">
        <f>IF(ISNUMBER(AQ11),IFERROR((AV11-AQ11)/AQ121,""),IF(ISNUMBER(AQ51),IFERROR((AV51+N(AV53)-AQ51-N(AQ53))/AQ121,""),""))</f>
        <v>0.0562598469409965</v>
      </c>
      <c r="AW47" s="255">
        <f>IF(ISNUMBER(AR11),IFERROR((AW11-AR11)/AR121,""),IF(ISNUMBER(AR51),IFERROR((AW51+N(AW53)-AR51-N(AR53))/AR121,""),""))</f>
        <v>0.0696644602096788</v>
      </c>
      <c r="AX47" s="255">
        <f>IF(ISNUMBER(AS11),IFERROR((AX11-AS11)/AS121,""),IF(ISNUMBER(AS51),IFERROR((AX51+N(AX53)-AS51-N(AS53))/AS121,""),""))</f>
        <v>0.0811756385700968</v>
      </c>
      <c r="AY47" s="255">
        <f>IF(ISNUMBER(AT11),IFERROR((AY11-AT11)/AT121,""),IF(ISNUMBER(AT51),IFERROR((AY51+N(AY53)-AT51-N(AT53))/AT121,""),""))</f>
        <v>0.0642411559904663</v>
      </c>
      <c r="AZ47" s="255">
        <f>IF(ISNUMBER(AU11),IFERROR((AZ11-AU11)/AU121,""),IF(ISNUMBER(AU51),IFERROR((AZ51+N(AZ53)-AU51-N(AU53))/AU121,""),""))</f>
        <v>0.0503838236991925</v>
      </c>
      <c r="BA47" s="255">
        <f>IF(ISNUMBER(AV11),IFERROR((BA11-AV11)/AV121,""),IF(ISNUMBER(AV51),IFERROR((BA51+N(BA53)-AV51-N(AV53))/AV121,""),""))</f>
        <v>0.0495576603723834</v>
      </c>
      <c r="BB47" s="255">
        <f>IF(ISNUMBER(AW11),IFERROR((BB11-AW11)/AW121,""),IF(ISNUMBER(AW51),IFERROR((BB51+N(BB53)-AW51-N(AW53))/AW121,""),""))</f>
        <v>0.0606777325190822</v>
      </c>
      <c r="BC47" s="255">
        <f>IF(ISNUMBER(AX11),IFERROR((BC11-AX11)/AX121,""),IF(ISNUMBER(AX51),IFERROR((BC51+N(BC53)-AX51-N(AX53))/AX121,""),""))</f>
        <v>0.0250516453212368</v>
      </c>
      <c r="BD47" s="255">
        <f>IF(ISNUMBER(AY11),IFERROR((BD11-AY11)/AY121,""),IF(ISNUMBER(AY51),IFERROR((BD51+N(BD53)-AY51-N(AY53))/AY121,""),""))</f>
        <v>0.0413006278997578</v>
      </c>
      <c r="BE47" s="255">
        <f>IF(ISNUMBER(AZ11),IFERROR((BE11-AZ11)/AZ121,""),IF(ISNUMBER(AZ51),IFERROR((BE51+N(BE53)-AZ51-N(AZ53))/AZ121,""),""))</f>
        <v>0.0459503596394559</v>
      </c>
      <c r="BF47" s="255">
        <f>IF(ISNUMBER(BA11),IFERROR((BF11-BA11)/BA121,""),IF(ISNUMBER(BA51),IFERROR((BF51+N(BF53)-BA51-N(BA53))/BA121,""),""))</f>
        <v>0.0370983529282357</v>
      </c>
      <c r="BG47" s="255">
        <f>IF(ISNUMBER(BB11),IFERROR((BG11-BB11)/BB121,""),IF(ISNUMBER(BB51),IFERROR((BG51+N(BG53)-BB51-N(BB53))/BB121,""),""))</f>
        <v>0.0374620797388524</v>
      </c>
      <c r="BH47" s="255">
        <f>IF(ISNUMBER(BC11),IFERROR((BH11-BC11)/BC121,""),IF(ISNUMBER(BC51),IFERROR((BH51+N(BH53)-BC51-N(BC53))/BC121,""),""))</f>
        <v>0.0328201127460943</v>
      </c>
      <c r="BI47" s="255">
        <f>IF(ISNUMBER(BD11),IFERROR((BI11-BD11)/BD121,""),IF(ISNUMBER(BD51),IFERROR((BI51+N(BI53)-BD51-N(BD53))/BD121,""),""))</f>
        <v>0.00772696493073335</v>
      </c>
      <c r="BJ47" s="255">
        <f>IF(ISNUMBER(BE11),IFERROR((BJ11-BE11)/BE121,""),IF(ISNUMBER(BE51),IFERROR((BJ51+N(BJ53)-BE51-N(BE53))/BE121,""),""))</f>
        <v>0.0168527537827157</v>
      </c>
      <c r="BK47" s="255">
        <f>IF(ISNUMBER(BF11),IFERROR((BK11-BF11)/BF121,""),IF(ISNUMBER(BF51),IFERROR((BK51+N(BK53)-BF51-N(BF53))/BF121,""),""))</f>
        <v>0.0427615554810952</v>
      </c>
      <c r="BL47" s="255">
        <f>IF(ISNUMBER(BG11),IFERROR((BL11-BG11)/BG121,""),IF(ISNUMBER(BG51),IFERROR((BL51+N(BL53)-BG51-N(BG53))/BG121,""),""))</f>
        <v>0.024960502031437</v>
      </c>
      <c r="BM47" s="255">
        <f>IF(ISNUMBER(BH11),IFERROR((BM11-BH11)/BH121,""),IF(ISNUMBER(BH51),IFERROR((BM51+N(BM53)-BH51-N(BH53))/BH121,""),""))</f>
        <v>0.0754358602821073</v>
      </c>
      <c r="BN47" s="255">
        <f>IF(ISNUMBER(BI11),IFERROR((BN11-BI11)/BI121,""),IF(ISNUMBER(BI51),IFERROR((BN51+N(BN53)-BI51-N(BI53))/BI121,""),""))</f>
        <v>0.0850233794995445</v>
      </c>
      <c r="BO47" s="255">
        <f>IF(ISNUMBER(BJ11),IFERROR((BO11-BJ11)/BJ121,""),IF(ISNUMBER(BJ51),IFERROR((BO51+N(BO53)-BJ51-N(BJ53))/BJ121,""),""))</f>
        <v>0.0687620965834776</v>
      </c>
      <c r="BP47" s="255">
        <f>IF(ISNUMBER(BK11),IFERROR((BP11-BK11)/BK121,""),IF(ISNUMBER(BK51),IFERROR((BP51+N(BP53)-BK51-N(BK53))/BK121,""),""))</f>
        <v>0.0663956322014758</v>
      </c>
      <c r="BQ47" s="255">
        <f>IF(ISNUMBER(BL11),IFERROR((BQ11-BL11)/BL121,""),IF(ISNUMBER(BL51),IFERROR((BQ51+N(BQ53)-BL51-N(BL53))/BL121,""),""))</f>
        <v>0.0737053082324661</v>
      </c>
      <c r="BR47" s="255">
        <f>IF(ISNUMBER(BM11),IFERROR((BR11-BM11)/BM121,""),IF(ISNUMBER(BM51),IFERROR((BR51+N(BR53)-BM51-N(BM53))/BM121,""),""))</f>
        <v>0.0419172418797837</v>
      </c>
      <c r="BS47" s="255">
        <f>IF(ISNUMBER(BN11),IFERROR((BS11-BN11)/BN121,""),IF(ISNUMBER(BN51),IFERROR((BS51+N(BS53)-BN51-N(BN53))/BN121,""),""))</f>
        <v>0.0662645107230542</v>
      </c>
      <c r="BT47" s="255">
        <f>IF(ISNUMBER(BO11),IFERROR((BT11-BO11)/BO121,""),IF(ISNUMBER(BO51),IFERROR((BT51+N(BT53)-BO51-N(BO53))/BO121,""),""))</f>
        <v>0.0762674454382998</v>
      </c>
      <c r="BU47" s="255">
        <f>IF(ISNUMBER(BP11),IFERROR((BU11-BP11)/BP121,""),IF(ISNUMBER(BP51),IFERROR((BU51+N(BU53)-BP51-N(BP53))/BP121,""),""))</f>
        <v>0.0802470069573913</v>
      </c>
      <c r="BV47" s="255">
        <f>IF(ISNUMBER(BQ11),IFERROR((BV11-BQ11)/BQ121,""),IF(ISNUMBER(BQ51),IFERROR((BV51+N(BV53)-BQ51-N(BQ53))/BQ121,""),""))</f>
        <v>0.0666081706796698</v>
      </c>
      <c r="BW47" s="255">
        <f>IF(ISNUMBER(BR11),IFERROR((BW11-BR11)/BR121,""),IF(ISNUMBER(BR51),IFERROR((BW51+N(BW53)-BR51-N(BR53))/BR121,""),""))</f>
        <v>0.0595856831595323</v>
      </c>
      <c r="BX47" s="255">
        <f>IF(ISNUMBER(BS11),IFERROR((BX11-BS11)/BS121,""),IF(ISNUMBER(BS51),IFERROR((BX51+N(BX53)-BS51-N(BS53))/BS121,""),""))</f>
        <v>0.0453702020531149</v>
      </c>
      <c r="BY47" s="256">
        <f>IF(ISNUMBER(BT11),IFERROR((BY11-BT11)/BT121,""),IF(ISNUMBER(BT51),IFERROR((BY51+N(BY53)-BT51-N(BT53))/BT121,""),""))</f>
        <v>0.038881278782315</v>
      </c>
      <c r="BZ47" s="256">
        <f>IF(ISNUMBER(BU11),IFERROR((BZ11-BU11)/BU121,""),IF(ISNUMBER(BU51),IFERROR((BZ51+N(BZ53)-BU51-N(BU53))/BU121,""),""))</f>
        <v>0.0416180734412787</v>
      </c>
      <c r="CA47" s="256">
        <f>IF(ISNUMBER(BV11),IFERROR((CA11-BV11)/BV121,""),IF(ISNUMBER(BV51),IFERROR((CA51+N(CA53)-BV51-N(BV53))/BV121,""),""))</f>
        <v>0.0460334040695363</v>
      </c>
      <c r="CB47" s="256">
        <f>IF(ISNUMBER(CA11),IFERROR((CB11-CA11)/CA121,""),IF(ISNUMBER(CA51),IFERROR((CB51+N(CB53)-CA51-N(CA53))/CA121,""),""))</f>
        <v>0.0387370563631812</v>
      </c>
      <c r="CC47" s="256">
        <f>IF(ISNUMBER(CB11),IFERROR((CC11-CB11)/CB121,""),IF(ISNUMBER(CB51),IFERROR((CC51+N(CC53)-CB51-N(CB53))/CB121,""),""))</f>
        <v>0.0339635321144595</v>
      </c>
      <c r="CD47" s="256">
        <f>IF(ISNUMBER(CC11),IFERROR((CD11-CC11)/CC121,""),IF(ISNUMBER(CC51),IFERROR((CD51+N(CD53)-CC51-N(CC53))/CC121,""),""))</f>
        <v>0.0293042013758513</v>
      </c>
      <c r="CE47" s="256">
        <f>IF(ISNUMBER(CD11),IFERROR((CE11-CD11)/CD121,""),IF(ISNUMBER(CD51),IFERROR((CE51+N(CE53)-CD51-N(CD53))/CD121,""),""))</f>
        <v>0.0268238486123914</v>
      </c>
      <c r="CF47" s="256">
        <f>IF(ISNUMBER(CE11),IFERROR((CF11-CE11)/CE121,""),IF(ISNUMBER(CE51),IFERROR((CF51+N(CF53)-CE51-N(CE53))/CE121,""),""))</f>
        <v>0.0244686367171474</v>
      </c>
      <c r="CG47" s="153" t="n"/>
      <c r="CO47" s="25" t="inlineStr">
        <is>
          <t xml:space="preserve">  2031E</t>
        </is>
      </c>
      <c r="CP47" s="33">
        <f>CQ47+$CP$42</f>
        <v>0.1</v>
      </c>
      <c r="CQ47" s="42" t="n">
        <v>0.08</v>
      </c>
      <c r="CR47" s="33">
        <f>CQ47+$CR$42</f>
        <v>0.04</v>
      </c>
    </row>
    <row r="48" ht="15" customHeight="1" s="251">
      <c r="B48" s="22" t="inlineStr">
        <is>
          <t xml:space="preserve">  Contribution to revenue growth — international (EMEA + LATAM + APAC; legacy international streaming to 2017) (pp)</t>
        </is>
      </c>
      <c r="C48" s="23" t="n"/>
      <c r="D48" s="255">
        <f>IF(ISNUMBER(D47),IFERROR(D121/C121-1-D47,""),"")</f>
      </c>
      <c r="E48" s="255">
        <f>IF(ISNUMBER(E47),IFERROR(E121/D121-1-E47,""),"")</f>
      </c>
      <c r="F48" s="255">
        <f>IF(ISNUMBER(F47),IFERROR(F121/E121-1-F47,""),"")</f>
      </c>
      <c r="G48" s="255">
        <f>IF(ISNUMBER(G47),IFERROR(G121/F121-1-G47,""),"")</f>
      </c>
      <c r="H48" s="255">
        <f>IF(ISNUMBER(H47),IFERROR(H121/G121-1-H47,""),"")</f>
      </c>
      <c r="I48" s="255">
        <f>IF(ISNUMBER(I47),IFERROR(I121/H121-1-I47,""),"")</f>
      </c>
      <c r="J48" s="23" t="n"/>
      <c r="K48" s="23" t="n"/>
      <c r="L48" s="23" t="n"/>
      <c r="M48" s="23" t="n"/>
      <c r="N48" s="255">
        <f>IF(ISNUMBER(N47),IFERROR(N121/I121-1-N47,""),"")</f>
        <v>0.117709838134011</v>
      </c>
      <c r="O48" s="255">
        <f>IF(ISNUMBER(O47),IFERROR(O121/J121-1-O47,""),"")</f>
        <v>0.122171645209144</v>
      </c>
      <c r="P48" s="255">
        <f>IF(ISNUMBER(P47),IFERROR(P121/K121-1-P47,""),"")</f>
        <v>0.13237582431558</v>
      </c>
      <c r="Q48" s="255">
        <f>IF(ISNUMBER(Q47),IFERROR(Q121/L121-1-Q47,""),"")</f>
        <v>0.147047149228887</v>
      </c>
      <c r="R48" s="255">
        <f>IF(ISNUMBER(R47),IFERROR(R121/M121-1-R47,""),"")</f>
        <v>0.141571437080401</v>
      </c>
      <c r="S48" s="255">
        <f>IF(ISNUMBER(S47),IFERROR(S121/N121-1-S47,""),"")</f>
        <v>0.136167003690884</v>
      </c>
      <c r="T48" s="255">
        <f>IF(ISNUMBER(T47),IFERROR(T121/O121-1-T47,""),"")</f>
        <v>0.116746936632</v>
      </c>
      <c r="U48" s="255">
        <f>IF(ISNUMBER(U47),IFERROR(U121/P121-1-U47,""),"")</f>
        <v>0.109893487575042</v>
      </c>
      <c r="V48" s="255">
        <f>IF(ISNUMBER(V47),IFERROR(V121/Q121-1-V47,""),"")</f>
        <v>0.121456728668002</v>
      </c>
      <c r="W48" s="255">
        <f>IF(ISNUMBER(W47),IFERROR(W121/R121-1-W47,""),"")</f>
        <v>0.12029678163273</v>
      </c>
      <c r="X48" s="255">
        <f>IF(ISNUMBER(X47),IFERROR(X121/S121-1-X47,""),"")</f>
        <v>0.117241477033261</v>
      </c>
      <c r="Y48" s="255">
        <f>IF(ISNUMBER(Y47),IFERROR(Y121/T121-1-Y47,""),"")</f>
        <v>0.150242605660439</v>
      </c>
      <c r="Z48" s="255">
        <f>IF(ISNUMBER(Z47),IFERROR(Z121/U121-1-Z47,""),"")</f>
        <v>0.184495109728618</v>
      </c>
      <c r="AA48" s="255">
        <f>IF(ISNUMBER(AA47),IFERROR(AA121/V121-1-AA47,""),"")</f>
        <v>0.193637087936584</v>
      </c>
      <c r="AB48" s="255">
        <f>IF(ISNUMBER(AB47),IFERROR(AB121/W121-1-AB47,""),"")</f>
        <v>0.209101135119038</v>
      </c>
      <c r="AC48" s="255">
        <f>IF(ISNUMBER(AC47),IFERROR(AC121/X121-1-AC47,""),"")</f>
        <v>0.185508954849398</v>
      </c>
      <c r="AD48" s="255">
        <f>IF(ISNUMBER(AD47),IFERROR(AD121/Y121-1-AD47,""),"")</f>
        <v>0.201483243910313</v>
      </c>
      <c r="AE48" s="255">
        <f>IF(ISNUMBER(AE47),IFERROR(AE121/Z121-1-AE47,""),"")</f>
        <v>0.193343257945548</v>
      </c>
      <c r="AF48" s="255">
        <f>IF(ISNUMBER(AF47),IFERROR(AF121/AA121-1-AF47,""),"")</f>
        <v>0.206950259105366</v>
      </c>
      <c r="AG48" s="255">
        <f>IF(ISNUMBER(AG47),IFERROR(AG121/AB121-1-AG47,""),"")</f>
        <v>0.243250464876262</v>
      </c>
      <c r="AH48" s="255">
        <f>IF(ISNUMBER(AH47),IFERROR(AH121/AC121-1-AH47,""),"")</f>
        <v>0.212678790247942</v>
      </c>
      <c r="AI48" s="255">
        <f>IF(ISNUMBER(AI47),IFERROR(AI121/AD121-1-AI47,""),"")</f>
        <v>0.279100823587641</v>
      </c>
      <c r="AJ48" s="255">
        <f>IF(ISNUMBER(AJ47),IFERROR(AJ121/AE121-1-AJ47,""),"")</f>
        <v>0.27137884388382</v>
      </c>
      <c r="AK48" s="255">
        <f>IF(ISNUMBER(AK47),IFERROR(AK121/AF121-1-AK47,""),"")</f>
        <v>0.216374709827164</v>
      </c>
      <c r="AL48" s="255">
        <f>IF(ISNUMBER(AL47),IFERROR(AL121/AG121-1-AL47,""),"")</f>
        <v>0.168990992937696</v>
      </c>
      <c r="AM48" s="255">
        <f>IF(ISNUMBER(AM47),IFERROR(AM121/AH121-1-AM47,""),"")</f>
        <v>0.212179585695809</v>
      </c>
      <c r="AN48" s="255">
        <f>IF(ISNUMBER(AN47),IFERROR(AN121/AI121-1-AN47,""),"")</f>
        <v>0.157980478029948</v>
      </c>
      <c r="AO48" s="255">
        <f>IF(ISNUMBER(AO47),IFERROR(AO121/AJ121-1-AO47,""),"")</f>
        <v>0.160363373915803</v>
      </c>
      <c r="AP48" s="255">
        <f>IF(ISNUMBER(AP47),IFERROR(AP121/AK121-1-AP47,""),"")</f>
        <v>0.19681755194688</v>
      </c>
      <c r="AQ48" s="255">
        <f>IF(ISNUMBER(AQ47),IFERROR(AQ121/AL121-1-AQ47,""),"")</f>
        <v>0.199608009953089</v>
      </c>
      <c r="AR48" s="255">
        <f>IF(ISNUMBER(AR47),IFERROR(AR121/AM121-1-AR47,""),"")</f>
        <v>0.16413663602679</v>
      </c>
      <c r="AS48" s="255">
        <f>IF(ISNUMBER(AS47),IFERROR(AS121/AN121-1-AS47,""),"")</f>
        <v>0.17712351625484</v>
      </c>
      <c r="AT48" s="255">
        <f>IF(ISNUMBER(AT47),IFERROR(AT121/AO121-1-AT47,""),"")</f>
        <v>0.180109304757393</v>
      </c>
      <c r="AU48" s="255">
        <f>IF(ISNUMBER(AU47),IFERROR(AU121/AP121-1-AU47,""),"")</f>
        <v>0.167502938566094</v>
      </c>
      <c r="AV48" s="255">
        <f>IF(ISNUMBER(AV47),IFERROR(AV121/AQ121-1-AV47,""),"")</f>
        <v>0.159016277105494</v>
      </c>
      <c r="AW48" s="255">
        <f>IF(ISNUMBER(AW47),IFERROR(AW121/AR121-1-AW47,""),"")</f>
        <v>0.170437825674336</v>
      </c>
      <c r="AX48" s="255">
        <f>IF(ISNUMBER(AX47),IFERROR(AX121/AS121-1-AX47,""),"")</f>
        <v>0.160791380814264</v>
      </c>
      <c r="AY48" s="255">
        <f>IF(ISNUMBER(AY47),IFERROR(AY121/AT121-1-AY47,""),"")</f>
        <v>0.129876521684255</v>
      </c>
      <c r="AZ48" s="255">
        <f>IF(ISNUMBER(AZ47),IFERROR(AZ121/AU121-1-AZ47,""),"")</f>
        <v>0.112433003912433</v>
      </c>
      <c r="BA48" s="255">
        <f>IF(ISNUMBER(BA47),IFERROR(BA121/AV121-1-BA47,""),"")</f>
        <v>0.110708017317331</v>
      </c>
      <c r="BB48" s="255">
        <f>IF(ISNUMBER(BB47),IFERROR(BB121/AW121-1-BB47,""),"")</f>
        <v>0.127423462325416</v>
      </c>
      <c r="BC48" s="255">
        <f>IF(ISNUMBER(BC47),IFERROR(BC121/AX121-1-BC47,""),"")</f>
        <v>0.0732950343152761</v>
      </c>
      <c r="BD48" s="255">
        <f>IF(ISNUMBER(BD47),IFERROR(BD121/AY121-1-BD47,""),"")</f>
        <v>0.0442868259278374</v>
      </c>
      <c r="BE48" s="255">
        <f>IF(ISNUMBER(BE47),IFERROR(BE121/AZ121-1-BE47,""),"")</f>
        <v>0.0131294759501178</v>
      </c>
      <c r="BF48" s="255">
        <f>IF(ISNUMBER(BF47),IFERROR(BF121/BA121-1-BF47,""),"")</f>
        <v>-0.0185837450212848</v>
      </c>
      <c r="BG48" s="255">
        <f>IF(ISNUMBER(BG47),IFERROR(BG121/BB121-1-BG47,""),"")</f>
        <v>0.0271118334381445</v>
      </c>
      <c r="BH48" s="255">
        <f>IF(ISNUMBER(BH47),IFERROR(BH121/BC121-1-BH47,""),"")</f>
        <v>0.00451398725966336</v>
      </c>
      <c r="BI48" s="255">
        <f>IF(ISNUMBER(BI47),IFERROR(BI121/BD121-1-BI47,""),"")</f>
        <v>0.01951972995208</v>
      </c>
      <c r="BJ48" s="255">
        <f>IF(ISNUMBER(BJ47),IFERROR(BJ121/BE121-1-BJ47,""),"")</f>
        <v>0.0608801440498619</v>
      </c>
      <c r="BK48" s="255">
        <f>IF(ISNUMBER(BK47),IFERROR(BK121/BF121-1-BK47,""),"")</f>
        <v>0.0821448861845433</v>
      </c>
      <c r="BL48" s="255">
        <f>IF(ISNUMBER(BL47),IFERROR(BL121/BG121-1-BL47,""),"")</f>
        <v>0.0417075458121083</v>
      </c>
      <c r="BM48" s="255">
        <f>IF(ISNUMBER(BM47),IFERROR(BM121/BH121-1-BM47,""),"")</f>
        <v>0.0726909001932611</v>
      </c>
      <c r="BN48" s="255">
        <f>IF(ISNUMBER(BN47),IFERROR(BN121/BI121-1-BN47,""),"")</f>
        <v>0.0825543118544192</v>
      </c>
      <c r="BO48" s="255">
        <f>IF(ISNUMBER(BO47),IFERROR(BO121/BJ121-1-BO47,""),"")</f>
        <v>0.0814468555790274</v>
      </c>
      <c r="BP48" s="255">
        <f>IF(ISNUMBER(BP47),IFERROR(BP121/BK121-1-BP47,""),"")</f>
        <v>0.0936537291296951</v>
      </c>
      <c r="BQ48" s="255">
        <f>IF(ISNUMBER(BQ47),IFERROR(BQ121/BL121-1-BQ47,""),"")</f>
        <v>0.0827938917123081</v>
      </c>
      <c r="BR48" s="255">
        <f>IF(ISNUMBER(BR47),IFERROR(BR121/BM121-1-BR47,""),"")</f>
        <v>0.0831954529349741</v>
      </c>
      <c r="BS48" s="255">
        <f>IF(ISNUMBER(BS47),IFERROR(BS121/BN121-1-BS47,""),"")</f>
        <v>0.0927277177955314</v>
      </c>
      <c r="BT48" s="255">
        <f>IF(ISNUMBER(BT47),IFERROR(BT121/BO121-1-BT47,""),"")</f>
        <v>0.0953004889817027</v>
      </c>
      <c r="BU48" s="255">
        <f>IF(ISNUMBER(BU47),IFERROR(BU121/BP121-1-BU47,""),"")</f>
        <v>0.0958371887099543</v>
      </c>
      <c r="BV48" s="255">
        <f>IF(ISNUMBER(BV47),IFERROR(BV121/BQ121-1-BV47,""),"")</f>
        <v>0.0919025185171055</v>
      </c>
      <c r="BW48" s="255">
        <f>IF(ISNUMBER(BW47),IFERROR(BW121/BR121-1-BW47,""),"")</f>
        <v>0.102321574693481</v>
      </c>
      <c r="BX48" s="255">
        <f>IF(ISNUMBER(BX47),IFERROR(BX121/BS121-1-BX47,""),"")</f>
        <v>0.0882835404758805</v>
      </c>
      <c r="BY48" s="256">
        <f>IF(ISNUMBER(BY47),IFERROR(BY121/BT121-1-BY47,""),"")</f>
        <v>0.0783782347997293</v>
      </c>
      <c r="BZ48" s="256">
        <f>IF(ISNUMBER(BZ47),IFERROR(BZ121/BU121-1-BZ47,""),"")</f>
        <v>0.0811578140918081</v>
      </c>
      <c r="CA48" s="256">
        <f>IF(ISNUMBER(CA47),IFERROR(CA121/BV121-1-CA47,""),"")</f>
        <v>0.0871352479882847</v>
      </c>
      <c r="CB48" s="256">
        <f>IF(ISNUMBER(CB47),IFERROR(CB121/CA121-1-CB47,""),"")</f>
        <v>0.0663277340733302</v>
      </c>
      <c r="CC48" s="256">
        <f>IF(ISNUMBER(CC47),IFERROR(CC121/CB121-1-CC47,""),"")</f>
        <v>0.0612902656775921</v>
      </c>
      <c r="CD48" s="256">
        <f>IF(ISNUMBER(CD47),IFERROR(CD121/CC121-1-CD47,""),"")</f>
        <v>0.0561409800698585</v>
      </c>
      <c r="CE48" s="256">
        <f>IF(ISNUMBER(CE47),IFERROR(CE121/CD121-1-CE47,""),"")</f>
        <v>0.0508784714547978</v>
      </c>
      <c r="CF48" s="256">
        <f>IF(ISNUMBER(CF47),IFERROR(CF121/CE121-1-CF47,""),"")</f>
        <v>0.0454142504133253</v>
      </c>
      <c r="CG48" s="153" t="n"/>
      <c r="CO48" s="15" t="inlineStr">
        <is>
          <t>APAC_G (APAC revenue y/y)</t>
        </is>
      </c>
      <c r="CP48" s="41" t="n">
        <v>0.02</v>
      </c>
      <c r="CQ48" s="21" t="inlineStr">
        <is>
          <t>Δ →</t>
        </is>
      </c>
      <c r="CR48" s="41" t="n">
        <v>-0.04</v>
      </c>
      <c r="CS48" s="13" t="inlineStr">
        <is>
          <t>FY25 +21%, 1H-26 +18%; lowest-penetration region, membership-led growth.</t>
        </is>
      </c>
    </row>
    <row r="49" ht="15" customHeight="1" s="251">
      <c r="CO49" s="25" t="inlineStr">
        <is>
          <t xml:space="preserve">  2027E</t>
        </is>
      </c>
      <c r="CP49" s="33">
        <f>CQ49+$CP$48</f>
        <v>0.15</v>
      </c>
      <c r="CQ49" s="42" t="n">
        <v>0.13</v>
      </c>
      <c r="CR49" s="33">
        <f>CQ49+$CR$48</f>
        <v>0.09</v>
      </c>
    </row>
    <row r="50" ht="15" customHeight="1" s="251">
      <c r="B50" s="14" t="inlineStr">
        <is>
          <t>Legacy reportable segments 2011–2019 (memo, as reported: Domestic streaming · International streaming · Domestic DVD; contribution profit = revenue − cost of revenues − marketing)</t>
        </is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4" t="n"/>
      <c r="BY50" s="14" t="n"/>
      <c r="BZ50" s="14" t="n"/>
      <c r="CA50" s="14" t="n"/>
      <c r="CB50" s="14" t="n"/>
      <c r="CC50" s="14" t="n"/>
      <c r="CD50" s="14" t="n"/>
      <c r="CE50" s="14" t="n"/>
      <c r="CF50" s="14" t="n"/>
      <c r="CG50" s="15" t="inlineStr">
        <is>
          <t>LEGACY SEGMENTS — history only (single operating segment from 2020)</t>
        </is>
      </c>
      <c r="CO50" s="25" t="inlineStr">
        <is>
          <t xml:space="preserve">  2028E</t>
        </is>
      </c>
      <c r="CP50" s="33">
        <f>CQ50+$CP$48</f>
        <v>0.14</v>
      </c>
      <c r="CQ50" s="42" t="n">
        <v>0.12</v>
      </c>
      <c r="CR50" s="33">
        <f>CQ50+$CR$48</f>
        <v>0.08</v>
      </c>
    </row>
    <row r="51" ht="15" customHeight="1" s="251">
      <c r="B51" s="156" t="inlineStr">
        <is>
          <t xml:space="preserve">  Domestic streaming revenue</t>
        </is>
      </c>
      <c r="C51" s="34" t="n"/>
      <c r="D51" s="34" t="n"/>
      <c r="E51" s="34" t="n"/>
      <c r="F51" s="34" t="n"/>
      <c r="G51" s="34" t="n"/>
      <c r="H51" s="34" t="n"/>
      <c r="I51" s="253" t="n">
        <v>2184.868</v>
      </c>
      <c r="J51" s="253" t="n">
        <v>638.649</v>
      </c>
      <c r="K51" s="253" t="n">
        <v>671.0890000000001</v>
      </c>
      <c r="L51" s="253" t="n">
        <v>701.083</v>
      </c>
      <c r="M51" s="253" t="n">
        <v>740.554</v>
      </c>
      <c r="N51" s="253" t="n">
        <v>2751.375</v>
      </c>
      <c r="O51" s="253" t="n">
        <v>798.617</v>
      </c>
      <c r="P51" s="253" t="n">
        <v>838.225</v>
      </c>
      <c r="Q51" s="253" t="n">
        <v>877.15</v>
      </c>
      <c r="R51" s="253" t="n">
        <v>917.442</v>
      </c>
      <c r="S51" s="253" t="n">
        <v>3431.434</v>
      </c>
      <c r="T51" s="253" t="n">
        <v>984.532</v>
      </c>
      <c r="U51" s="253" t="n">
        <v>1025.913</v>
      </c>
      <c r="V51" s="253" t="n">
        <v>1063.961</v>
      </c>
      <c r="W51" s="253" t="n">
        <v>1105.933</v>
      </c>
      <c r="X51" s="253" t="n">
        <v>4180.339</v>
      </c>
      <c r="Y51" s="253" t="n">
        <v>1161.241</v>
      </c>
      <c r="Z51" s="253" t="n">
        <v>1208.271</v>
      </c>
      <c r="AA51" s="253" t="n">
        <v>1304.333</v>
      </c>
      <c r="AB51" s="253" t="n">
        <v>1403.462</v>
      </c>
      <c r="AC51" s="253" t="n">
        <v>5077.307</v>
      </c>
      <c r="AD51" s="253" t="n">
        <v>1470.042</v>
      </c>
      <c r="AE51" s="253" t="n">
        <v>1505.499</v>
      </c>
      <c r="AF51" s="253" t="n">
        <v>1547.21</v>
      </c>
      <c r="AG51" s="253" t="n">
        <v>1630.274</v>
      </c>
      <c r="AH51" s="253" t="n">
        <v>6153.025</v>
      </c>
      <c r="AI51" s="253" t="n">
        <v>1820.019</v>
      </c>
      <c r="AJ51" s="253" t="n">
        <v>1893.222</v>
      </c>
      <c r="AK51" s="253" t="n">
        <v>1937.314</v>
      </c>
      <c r="AL51" s="253" t="n">
        <v>1996.092</v>
      </c>
      <c r="AM51" s="253" t="n">
        <v>7646.647</v>
      </c>
      <c r="AN51" s="253" t="n">
        <v>2073.555</v>
      </c>
      <c r="AO51" s="253" t="n">
        <v>2299.189</v>
      </c>
      <c r="AP51" s="253" t="n">
        <v>2412.598</v>
      </c>
      <c r="AQ51" s="253" t="n">
        <v>2457.663</v>
      </c>
      <c r="AR51" s="253" t="n">
        <v>9243.004999999999</v>
      </c>
      <c r="AS51" s="34" t="n"/>
      <c r="AT51" s="34" t="n"/>
      <c r="AU51" s="34" t="n"/>
      <c r="AV51" s="34" t="n"/>
      <c r="AW51" s="34" t="n"/>
      <c r="AX51" s="34" t="n"/>
      <c r="AY51" s="34" t="n"/>
      <c r="AZ51" s="34" t="n"/>
      <c r="BA51" s="34" t="n"/>
      <c r="BB51" s="34" t="n"/>
      <c r="BC51" s="34" t="n"/>
      <c r="BD51" s="34" t="n"/>
      <c r="BE51" s="34" t="n"/>
      <c r="BF51" s="34" t="n"/>
      <c r="BG51" s="34" t="n"/>
      <c r="BH51" s="34" t="n"/>
      <c r="BI51" s="34" t="n"/>
      <c r="BJ51" s="34" t="n"/>
      <c r="BK51" s="34" t="n"/>
      <c r="BL51" s="34" t="n"/>
      <c r="BM51" s="34" t="n"/>
      <c r="BN51" s="34" t="n"/>
      <c r="BO51" s="34" t="n"/>
      <c r="BP51" s="34" t="n"/>
      <c r="BQ51" s="34" t="n"/>
      <c r="BR51" s="34" t="n"/>
      <c r="BS51" s="34" t="n"/>
      <c r="BT51" s="34" t="n"/>
      <c r="BU51" s="34" t="n"/>
      <c r="BV51" s="34" t="n"/>
      <c r="BW51" s="34" t="n"/>
      <c r="BX51" s="34" t="n"/>
      <c r="BY51" s="153" t="n"/>
      <c r="BZ51" s="153" t="n"/>
      <c r="CA51" s="153" t="n"/>
      <c r="CB51" s="153" t="n"/>
      <c r="CC51" s="153" t="n"/>
      <c r="CD51" s="153" t="n"/>
      <c r="CE51" s="153" t="n"/>
      <c r="CF51" s="153" t="n"/>
      <c r="CG51" s="153" t="n"/>
      <c r="CO51" s="25" t="inlineStr">
        <is>
          <t xml:space="preserve">  2029E</t>
        </is>
      </c>
      <c r="CP51" s="33">
        <f>CQ51+$CP$48</f>
        <v>0.13</v>
      </c>
      <c r="CQ51" s="42" t="n">
        <v>0.11</v>
      </c>
      <c r="CR51" s="33">
        <f>CQ51+$CR$48</f>
        <v>0.07</v>
      </c>
    </row>
    <row r="52" ht="15" customHeight="1" s="251">
      <c r="B52" s="156" t="inlineStr">
        <is>
          <t xml:space="preserve">  International streaming revenue</t>
        </is>
      </c>
      <c r="C52" s="34" t="n"/>
      <c r="D52" s="34" t="n"/>
      <c r="E52" s="34" t="n"/>
      <c r="F52" s="34" t="n"/>
      <c r="G52" s="34" t="n"/>
      <c r="H52" s="34" t="n"/>
      <c r="I52" s="253" t="n">
        <v>287.542</v>
      </c>
      <c r="J52" s="253" t="n">
        <v>142.019</v>
      </c>
      <c r="K52" s="253" t="n">
        <v>165.902</v>
      </c>
      <c r="L52" s="253" t="n">
        <v>183.051</v>
      </c>
      <c r="M52" s="253" t="n">
        <v>221.418</v>
      </c>
      <c r="N52" s="253" t="n">
        <v>712.39</v>
      </c>
      <c r="O52" s="253" t="n">
        <v>267.118</v>
      </c>
      <c r="P52" s="253" t="n">
        <v>307.461</v>
      </c>
      <c r="Q52" s="253" t="n">
        <v>345.685</v>
      </c>
      <c r="R52" s="253" t="n">
        <v>387.797</v>
      </c>
      <c r="S52" s="253" t="n">
        <v>1308.061</v>
      </c>
      <c r="T52" s="253" t="n">
        <v>415.397</v>
      </c>
      <c r="U52" s="253" t="n">
        <v>454.763</v>
      </c>
      <c r="V52" s="253" t="n">
        <v>516.87</v>
      </c>
      <c r="W52" s="253" t="n">
        <v>566.405</v>
      </c>
      <c r="X52" s="253" t="n">
        <v>1953.435</v>
      </c>
      <c r="Y52" s="253" t="n">
        <v>651.748</v>
      </c>
      <c r="Z52" s="253" t="n">
        <v>758.201</v>
      </c>
      <c r="AA52" s="253" t="n">
        <v>853.48</v>
      </c>
      <c r="AB52" s="253" t="n">
        <v>947.6660000000001</v>
      </c>
      <c r="AC52" s="253" t="n">
        <v>3211.095</v>
      </c>
      <c r="AD52" s="253" t="n">
        <v>1046.199</v>
      </c>
      <c r="AE52" s="253" t="n">
        <v>1165.228</v>
      </c>
      <c r="AF52" s="253" t="n">
        <v>1327.435</v>
      </c>
      <c r="AG52" s="253" t="n">
        <v>1550.329</v>
      </c>
      <c r="AH52" s="253" t="n">
        <v>5089.191</v>
      </c>
      <c r="AI52" s="253" t="n">
        <v>1782.086</v>
      </c>
      <c r="AJ52" s="253" t="n">
        <v>1921.144</v>
      </c>
      <c r="AK52" s="253" t="n">
        <v>1973.283</v>
      </c>
      <c r="AL52" s="253" t="n">
        <v>2105.592</v>
      </c>
      <c r="AM52" s="253" t="n">
        <v>7782.105</v>
      </c>
      <c r="AN52" s="253" t="n">
        <v>2366.749</v>
      </c>
      <c r="AO52" s="253" t="n">
        <v>2547.727</v>
      </c>
      <c r="AP52" s="253" t="n">
        <v>2760.43</v>
      </c>
      <c r="AQ52" s="253" t="n">
        <v>2941.319</v>
      </c>
      <c r="AR52" s="253" t="n">
        <v>10616.225</v>
      </c>
      <c r="AS52" s="34" t="n"/>
      <c r="AT52" s="34" t="n"/>
      <c r="AU52" s="34" t="n"/>
      <c r="AV52" s="34" t="n"/>
      <c r="AW52" s="34" t="n"/>
      <c r="AX52" s="34" t="n"/>
      <c r="AY52" s="34" t="n"/>
      <c r="AZ52" s="34" t="n"/>
      <c r="BA52" s="34" t="n"/>
      <c r="BB52" s="34" t="n"/>
      <c r="BC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34" t="n"/>
      <c r="BU52" s="34" t="n"/>
      <c r="BV52" s="34" t="n"/>
      <c r="BW52" s="34" t="n"/>
      <c r="BX52" s="34" t="n"/>
      <c r="BY52" s="153" t="n"/>
      <c r="BZ52" s="153" t="n"/>
      <c r="CA52" s="153" t="n"/>
      <c r="CB52" s="153" t="n"/>
      <c r="CC52" s="153" t="n"/>
      <c r="CD52" s="153" t="n"/>
      <c r="CE52" s="153" t="n"/>
      <c r="CF52" s="153" t="n"/>
      <c r="CG52" s="153" t="n"/>
      <c r="CO52" s="25" t="inlineStr">
        <is>
          <t xml:space="preserve">  2030E</t>
        </is>
      </c>
      <c r="CP52" s="33">
        <f>CQ52+$CP$48</f>
        <v>0.12</v>
      </c>
      <c r="CQ52" s="42" t="n">
        <v>0.1</v>
      </c>
      <c r="CR52" s="33">
        <f>CQ52+$CR$48</f>
        <v>0.06</v>
      </c>
    </row>
    <row r="53" ht="15" customHeight="1" s="251">
      <c r="B53" s="156" t="inlineStr">
        <is>
          <t xml:space="preserve">  Domestic DVD revenue</t>
        </is>
      </c>
      <c r="C53" s="34" t="n"/>
      <c r="D53" s="34" t="n"/>
      <c r="E53" s="34" t="n"/>
      <c r="F53" s="34" t="n"/>
      <c r="G53" s="34" t="n"/>
      <c r="H53" s="34" t="n"/>
      <c r="I53" s="253" t="n">
        <v>1136.872</v>
      </c>
      <c r="J53" s="253" t="n">
        <v>243.293</v>
      </c>
      <c r="K53" s="253" t="n">
        <v>232.381</v>
      </c>
      <c r="L53" s="253" t="n">
        <v>221.865</v>
      </c>
      <c r="M53" s="253" t="n">
        <v>213.258</v>
      </c>
      <c r="N53" s="253" t="n">
        <v>910.797</v>
      </c>
      <c r="O53" s="253" t="n">
        <v>204.354</v>
      </c>
      <c r="P53" s="253" t="n">
        <v>194.721</v>
      </c>
      <c r="Q53" s="253" t="n">
        <v>186.597</v>
      </c>
      <c r="R53" s="253" t="n">
        <v>179.489</v>
      </c>
      <c r="S53" s="253" t="n">
        <v>765.1609999999999</v>
      </c>
      <c r="T53" s="253" t="n">
        <v>173.2</v>
      </c>
      <c r="U53" s="253" t="n">
        <v>164.018</v>
      </c>
      <c r="V53" s="253" t="n">
        <v>157.524</v>
      </c>
      <c r="W53" s="253" t="n">
        <v>150.995</v>
      </c>
      <c r="X53" s="253" t="n">
        <v>645.737</v>
      </c>
      <c r="Y53" s="253" t="n">
        <v>144.747</v>
      </c>
      <c r="Z53" s="253" t="n">
        <v>138.732</v>
      </c>
      <c r="AA53" s="253" t="n">
        <v>132.375</v>
      </c>
      <c r="AB53" s="253" t="n">
        <v>126.413</v>
      </c>
      <c r="AC53" s="253" t="n">
        <v>542.2670000000001</v>
      </c>
      <c r="AD53" s="253" t="n">
        <v>120.394</v>
      </c>
      <c r="AE53" s="253" t="n">
        <v>114.737</v>
      </c>
      <c r="AF53" s="253" t="n">
        <v>110.214</v>
      </c>
      <c r="AG53" s="253" t="n">
        <v>105.152</v>
      </c>
      <c r="AH53" s="253" t="n">
        <v>450.497</v>
      </c>
      <c r="AI53" s="253" t="n">
        <v>98.751</v>
      </c>
      <c r="AJ53" s="253" t="n">
        <v>92.904</v>
      </c>
      <c r="AK53" s="253" t="n">
        <v>88.777</v>
      </c>
      <c r="AL53" s="253" t="n">
        <v>85.157</v>
      </c>
      <c r="AM53" s="253" t="n">
        <v>365.589</v>
      </c>
      <c r="AN53" s="253" t="n">
        <v>80.688</v>
      </c>
      <c r="AO53" s="253" t="n">
        <v>76.2</v>
      </c>
      <c r="AP53" s="253" t="n">
        <v>71.877</v>
      </c>
      <c r="AQ53" s="253" t="n">
        <v>68.452</v>
      </c>
      <c r="AR53" s="253" t="n">
        <v>297.217</v>
      </c>
      <c r="AS53" s="34" t="n"/>
      <c r="AT53" s="34" t="n"/>
      <c r="AU53" s="34" t="n"/>
      <c r="AV53" s="34" t="n"/>
      <c r="AW53" s="34" t="n"/>
      <c r="AX53" s="34" t="n"/>
      <c r="AY53" s="34" t="n"/>
      <c r="AZ53" s="34" t="n"/>
      <c r="BA53" s="34" t="n"/>
      <c r="BB53" s="34" t="n"/>
      <c r="BC53" s="34" t="n"/>
      <c r="BD53" s="34" t="n"/>
      <c r="BE53" s="34" t="n"/>
      <c r="BF53" s="34" t="n"/>
      <c r="BG53" s="34" t="n"/>
      <c r="BH53" s="34" t="n"/>
      <c r="BI53" s="34" t="n"/>
      <c r="BJ53" s="34" t="n"/>
      <c r="BK53" s="34" t="n"/>
      <c r="BL53" s="34" t="n"/>
      <c r="BM53" s="34" t="n"/>
      <c r="BN53" s="34" t="n"/>
      <c r="BO53" s="34" t="n"/>
      <c r="BP53" s="34" t="n"/>
      <c r="BQ53" s="34" t="n"/>
      <c r="BR53" s="34" t="n"/>
      <c r="BS53" s="34" t="n"/>
      <c r="BT53" s="34" t="n"/>
      <c r="BU53" s="34" t="n"/>
      <c r="BV53" s="34" t="n"/>
      <c r="BW53" s="34" t="n"/>
      <c r="BX53" s="34" t="n"/>
      <c r="BY53" s="153" t="n"/>
      <c r="BZ53" s="153" t="n"/>
      <c r="CA53" s="153" t="n"/>
      <c r="CB53" s="153" t="n"/>
      <c r="CC53" s="153" t="n"/>
      <c r="CD53" s="153" t="n"/>
      <c r="CE53" s="153" t="n"/>
      <c r="CF53" s="153" t="n"/>
      <c r="CG53" s="153" t="n"/>
      <c r="CO53" s="25" t="inlineStr">
        <is>
          <t xml:space="preserve">  2031E</t>
        </is>
      </c>
      <c r="CP53" s="33">
        <f>CQ53+$CP$48</f>
        <v>0.11</v>
      </c>
      <c r="CQ53" s="42" t="n">
        <v>0.09</v>
      </c>
      <c r="CR53" s="33">
        <f>CQ53+$CR$48</f>
        <v>0.05</v>
      </c>
    </row>
    <row r="54" collapsed="1" ht="15" customHeight="1" s="251">
      <c r="B54" s="57" t="inlineStr">
        <is>
          <t xml:space="preserve">  Check: legacy segments vs consolidated revenue (should be 0)</t>
        </is>
      </c>
      <c r="C54" s="264">
        <f>IF(ISNUMBER(C51),IF(ABS(C51+C52+N(C53)-C121)&lt;=0.15,0,ROUND(C51+C52+N(C53)-C121,1)),"")</f>
      </c>
      <c r="D54" s="264">
        <f>IF(ISNUMBER(D51),IF(ABS(D51+D52+N(D53)-D121)&lt;=0.15,0,ROUND(D51+D52+N(D53)-D121,1)),"")</f>
      </c>
      <c r="E54" s="264">
        <f>IF(ISNUMBER(E51),IF(ABS(E51+E52+N(E53)-E121)&lt;=0.15,0,ROUND(E51+E52+N(E53)-E121,1)),"")</f>
      </c>
      <c r="F54" s="264">
        <f>IF(ISNUMBER(F51),IF(ABS(F51+F52+N(F53)-F121)&lt;=0.15,0,ROUND(F51+F52+N(F53)-F121,1)),"")</f>
      </c>
      <c r="G54" s="264">
        <f>IF(ISNUMBER(G51),IF(ABS(G51+G52+N(G53)-G121)&lt;=0.15,0,ROUND(G51+G52+N(G53)-G121,1)),"")</f>
      </c>
      <c r="H54" s="264">
        <f>IF(ISNUMBER(H51),IF(ABS(H51+H52+N(H53)-H121)&lt;=0.15,0,ROUND(H51+H52+N(H53)-H121,1)),"")</f>
      </c>
      <c r="I54" s="264">
        <f>IF(ISNUMBER(I51),IF(ABS(I51+I52+N(I53)-I121)&lt;=0.15,0,ROUND(I51+I52+N(I53)-I121,1)),"")</f>
        <v>0</v>
      </c>
      <c r="J54" s="264">
        <f>IF(ISNUMBER(J51),IF(ABS(J51+J52+N(J53)-J121)&lt;=0.15,0,ROUND(J51+J52+N(J53)-J121,1)),"")</f>
        <v>0</v>
      </c>
      <c r="K54" s="264">
        <f>IF(ISNUMBER(K51),IF(ABS(K51+K52+N(K53)-K121)&lt;=0.15,0,ROUND(K51+K52+N(K53)-K121,1)),"")</f>
        <v>0</v>
      </c>
      <c r="L54" s="264">
        <f>IF(ISNUMBER(L51),IF(ABS(L51+L52+N(L53)-L121)&lt;=0.15,0,ROUND(L51+L52+N(L53)-L121,1)),"")</f>
        <v>0</v>
      </c>
      <c r="M54" s="264">
        <f>IF(ISNUMBER(M51),IF(ABS(M51+M52+N(M53)-M121)&lt;=0.15,0,ROUND(M51+M52+N(M53)-M121,1)),"")</f>
        <v>0</v>
      </c>
      <c r="N54" s="264">
        <f>IF(ISNUMBER(N51),IF(ABS(N51+N52+N(N53)-N121)&lt;=0.15,0,ROUND(N51+N52+N(N53)-N121,1)),"")</f>
        <v>0</v>
      </c>
      <c r="O54" s="264">
        <f>IF(ISNUMBER(O51),IF(ABS(O51+O52+N(O53)-O121)&lt;=0.15,0,ROUND(O51+O52+N(O53)-O121,1)),"")</f>
        <v>0</v>
      </c>
      <c r="P54" s="264">
        <f>IF(ISNUMBER(P51),IF(ABS(P51+P52+N(P53)-P121)&lt;=0.15,0,ROUND(P51+P52+N(P53)-P121,1)),"")</f>
        <v>0</v>
      </c>
      <c r="Q54" s="264">
        <f>IF(ISNUMBER(Q51),IF(ABS(Q51+Q52+N(Q53)-Q121)&lt;=0.15,0,ROUND(Q51+Q52+N(Q53)-Q121,1)),"")</f>
        <v>0</v>
      </c>
      <c r="R54" s="264">
        <f>IF(ISNUMBER(R51),IF(ABS(R51+R52+N(R53)-R121)&lt;=0.15,0,ROUND(R51+R52+N(R53)-R121,1)),"")</f>
        <v>0</v>
      </c>
      <c r="S54" s="264">
        <f>IF(ISNUMBER(S51),IF(ABS(S51+S52+N(S53)-S121)&lt;=0.15,0,ROUND(S51+S52+N(S53)-S121,1)),"")</f>
        <v>0</v>
      </c>
      <c r="T54" s="264">
        <f>IF(ISNUMBER(T51),IF(ABS(T51+T52+N(T53)-T121)&lt;=0.15,0,ROUND(T51+T52+N(T53)-T121,1)),"")</f>
        <v>0</v>
      </c>
      <c r="U54" s="264">
        <f>IF(ISNUMBER(U51),IF(ABS(U51+U52+N(U53)-U121)&lt;=0.15,0,ROUND(U51+U52+N(U53)-U121,1)),"")</f>
        <v>0</v>
      </c>
      <c r="V54" s="264">
        <f>IF(ISNUMBER(V51),IF(ABS(V51+V52+N(V53)-V121)&lt;=0.15,0,ROUND(V51+V52+N(V53)-V121,1)),"")</f>
        <v>0</v>
      </c>
      <c r="W54" s="264">
        <f>IF(ISNUMBER(W51),IF(ABS(W51+W52+N(W53)-W121)&lt;=0.15,0,ROUND(W51+W52+N(W53)-W121,1)),"")</f>
        <v>0</v>
      </c>
      <c r="X54" s="264">
        <f>IF(ISNUMBER(X51),IF(ABS(X51+X52+N(X53)-X121)&lt;=0.15,0,ROUND(X51+X52+N(X53)-X121,1)),"")</f>
        <v>0</v>
      </c>
      <c r="Y54" s="264">
        <f>IF(ISNUMBER(Y51),IF(ABS(Y51+Y52+N(Y53)-Y121)&lt;=0.15,0,ROUND(Y51+Y52+N(Y53)-Y121,1)),"")</f>
        <v>0</v>
      </c>
      <c r="Z54" s="264">
        <f>IF(ISNUMBER(Z51),IF(ABS(Z51+Z52+N(Z53)-Z121)&lt;=0.15,0,ROUND(Z51+Z52+N(Z53)-Z121,1)),"")</f>
        <v>0</v>
      </c>
      <c r="AA54" s="264">
        <f>IF(ISNUMBER(AA51),IF(ABS(AA51+AA52+N(AA53)-AA121)&lt;=0.15,0,ROUND(AA51+AA52+N(AA53)-AA121,1)),"")</f>
        <v>0</v>
      </c>
      <c r="AB54" s="264">
        <f>IF(ISNUMBER(AB51),IF(ABS(AB51+AB52+N(AB53)-AB121)&lt;=0.15,0,ROUND(AB51+AB52+N(AB53)-AB121,1)),"")</f>
        <v>0</v>
      </c>
      <c r="AC54" s="264">
        <f>IF(ISNUMBER(AC51),IF(ABS(AC51+AC52+N(AC53)-AC121)&lt;=0.15,0,ROUND(AC51+AC52+N(AC53)-AC121,1)),"")</f>
        <v>0</v>
      </c>
      <c r="AD54" s="264">
        <f>IF(ISNUMBER(AD51),IF(ABS(AD51+AD52+N(AD53)-AD121)&lt;=0.15,0,ROUND(AD51+AD52+N(AD53)-AD121,1)),"")</f>
        <v>0</v>
      </c>
      <c r="AE54" s="264">
        <f>IF(ISNUMBER(AE51),IF(ABS(AE51+AE52+N(AE53)-AE121)&lt;=0.15,0,ROUND(AE51+AE52+N(AE53)-AE121,1)),"")</f>
        <v>0</v>
      </c>
      <c r="AF54" s="264">
        <f>IF(ISNUMBER(AF51),IF(ABS(AF51+AF52+N(AF53)-AF121)&lt;=0.15,0,ROUND(AF51+AF52+N(AF53)-AF121,1)),"")</f>
        <v>0</v>
      </c>
      <c r="AG54" s="264">
        <f>IF(ISNUMBER(AG51),IF(ABS(AG51+AG52+N(AG53)-AG121)&lt;=0.15,0,ROUND(AG51+AG52+N(AG53)-AG121,1)),"")</f>
        <v>0</v>
      </c>
      <c r="AH54" s="264">
        <f>IF(ISNUMBER(AH51),IF(ABS(AH51+AH52+N(AH53)-AH121)&lt;=0.15,0,ROUND(AH51+AH52+N(AH53)-AH121,1)),"")</f>
        <v>0</v>
      </c>
      <c r="AI54" s="264">
        <f>IF(ISNUMBER(AI51),IF(ABS(AI51+AI52+N(AI53)-AI121)&lt;=0.15,0,ROUND(AI51+AI52+N(AI53)-AI121,1)),"")</f>
        <v>0</v>
      </c>
      <c r="AJ54" s="264">
        <f>IF(ISNUMBER(AJ51),IF(ABS(AJ51+AJ52+N(AJ53)-AJ121)&lt;=0.15,0,ROUND(AJ51+AJ52+N(AJ53)-AJ121,1)),"")</f>
        <v>0</v>
      </c>
      <c r="AK54" s="264">
        <f>IF(ISNUMBER(AK51),IF(ABS(AK51+AK52+N(AK53)-AK121)&lt;=0.15,0,ROUND(AK51+AK52+N(AK53)-AK121,1)),"")</f>
        <v>0</v>
      </c>
      <c r="AL54" s="264">
        <f>IF(ISNUMBER(AL51),IF(ABS(AL51+AL52+N(AL53)-AL121)&lt;=0.15,0,ROUND(AL51+AL52+N(AL53)-AL121,1)),"")</f>
        <v>0</v>
      </c>
      <c r="AM54" s="264">
        <f>IF(ISNUMBER(AM51),IF(ABS(AM51+AM52+N(AM53)-AM121)&lt;=0.15,0,ROUND(AM51+AM52+N(AM53)-AM121,1)),"")</f>
        <v>0</v>
      </c>
      <c r="AN54" s="264">
        <f>IF(ISNUMBER(AN51),IF(ABS(AN51+AN52+N(AN53)-AN121)&lt;=0.15,0,ROUND(AN51+AN52+N(AN53)-AN121,1)),"")</f>
        <v>0</v>
      </c>
      <c r="AO54" s="264">
        <f>IF(ISNUMBER(AO51),IF(ABS(AO51+AO52+N(AO53)-AO121)&lt;=0.15,0,ROUND(AO51+AO52+N(AO53)-AO121,1)),"")</f>
        <v>0</v>
      </c>
      <c r="AP54" s="264">
        <f>IF(ISNUMBER(AP51),IF(ABS(AP51+AP52+N(AP53)-AP121)&lt;=0.15,0,ROUND(AP51+AP52+N(AP53)-AP121,1)),"")</f>
        <v>0</v>
      </c>
      <c r="AQ54" s="264">
        <f>IF(ISNUMBER(AQ51),IF(ABS(AQ51+AQ52+N(AQ53)-AQ121)&lt;=0.15,0,ROUND(AQ51+AQ52+N(AQ53)-AQ121,1)),"")</f>
        <v>0</v>
      </c>
      <c r="AR54" s="264">
        <f>IF(ISNUMBER(AR51),IF(ABS(AR51+AR52+N(AR53)-AR121)&lt;=0.15,0,ROUND(AR51+AR52+N(AR53)-AR121,1)),"")</f>
        <v>0</v>
      </c>
      <c r="AS54" s="264">
        <f>IF(ISNUMBER(AS51),IF(ABS(AS51+AS52+N(AS53)-AS121)&lt;=0.15,0,ROUND(AS51+AS52+N(AS53)-AS121,1)),"")</f>
      </c>
      <c r="AT54" s="264">
        <f>IF(ISNUMBER(AT51),IF(ABS(AT51+AT52+N(AT53)-AT121)&lt;=0.15,0,ROUND(AT51+AT52+N(AT53)-AT121,1)),"")</f>
      </c>
      <c r="AU54" s="264">
        <f>IF(ISNUMBER(AU51),IF(ABS(AU51+AU52+N(AU53)-AU121)&lt;=0.15,0,ROUND(AU51+AU52+N(AU53)-AU121,1)),"")</f>
      </c>
      <c r="AV54" s="264">
        <f>IF(ISNUMBER(AV51),IF(ABS(AV51+AV52+N(AV53)-AV121)&lt;=0.15,0,ROUND(AV51+AV52+N(AV53)-AV121,1)),"")</f>
      </c>
      <c r="AW54" s="264">
        <f>IF(ISNUMBER(AW51),IF(ABS(AW51+AW52+N(AW53)-AW121)&lt;=0.15,0,ROUND(AW51+AW52+N(AW53)-AW121,1)),"")</f>
      </c>
      <c r="AX54" s="264">
        <f>IF(ISNUMBER(AX51),IF(ABS(AX51+AX52+N(AX53)-AX121)&lt;=0.15,0,ROUND(AX51+AX52+N(AX53)-AX121,1)),"")</f>
      </c>
      <c r="AY54" s="264">
        <f>IF(ISNUMBER(AY51),IF(ABS(AY51+AY52+N(AY53)-AY121)&lt;=0.15,0,ROUND(AY51+AY52+N(AY53)-AY121,1)),"")</f>
      </c>
      <c r="AZ54" s="264">
        <f>IF(ISNUMBER(AZ51),IF(ABS(AZ51+AZ52+N(AZ53)-AZ121)&lt;=0.15,0,ROUND(AZ51+AZ52+N(AZ53)-AZ121,1)),"")</f>
      </c>
      <c r="BA54" s="264">
        <f>IF(ISNUMBER(BA51),IF(ABS(BA51+BA52+N(BA53)-BA121)&lt;=0.15,0,ROUND(BA51+BA52+N(BA53)-BA121,1)),"")</f>
      </c>
      <c r="BB54" s="264">
        <f>IF(ISNUMBER(BB51),IF(ABS(BB51+BB52+N(BB53)-BB121)&lt;=0.15,0,ROUND(BB51+BB52+N(BB53)-BB121,1)),"")</f>
      </c>
      <c r="BC54" s="264">
        <f>IF(ISNUMBER(BC51),IF(ABS(BC51+BC52+N(BC53)-BC121)&lt;=0.15,0,ROUND(BC51+BC52+N(BC53)-BC121,1)),"")</f>
      </c>
      <c r="BD54" s="264">
        <f>IF(ISNUMBER(BD51),IF(ABS(BD51+BD52+N(BD53)-BD121)&lt;=0.15,0,ROUND(BD51+BD52+N(BD53)-BD121,1)),"")</f>
      </c>
      <c r="BE54" s="264">
        <f>IF(ISNUMBER(BE51),IF(ABS(BE51+BE52+N(BE53)-BE121)&lt;=0.15,0,ROUND(BE51+BE52+N(BE53)-BE121,1)),"")</f>
      </c>
      <c r="BF54" s="264">
        <f>IF(ISNUMBER(BF51),IF(ABS(BF51+BF52+N(BF53)-BF121)&lt;=0.15,0,ROUND(BF51+BF52+N(BF53)-BF121,1)),"")</f>
      </c>
      <c r="BG54" s="264">
        <f>IF(ISNUMBER(BG51),IF(ABS(BG51+BG52+N(BG53)-BG121)&lt;=0.15,0,ROUND(BG51+BG52+N(BG53)-BG121,1)),"")</f>
      </c>
      <c r="BH54" s="264">
        <f>IF(ISNUMBER(BH51),IF(ABS(BH51+BH52+N(BH53)-BH121)&lt;=0.15,0,ROUND(BH51+BH52+N(BH53)-BH121,1)),"")</f>
      </c>
      <c r="BI54" s="264">
        <f>IF(ISNUMBER(BI51),IF(ABS(BI51+BI52+N(BI53)-BI121)&lt;=0.15,0,ROUND(BI51+BI52+N(BI53)-BI121,1)),"")</f>
      </c>
      <c r="BJ54" s="264">
        <f>IF(ISNUMBER(BJ51),IF(ABS(BJ51+BJ52+N(BJ53)-BJ121)&lt;=0.15,0,ROUND(BJ51+BJ52+N(BJ53)-BJ121,1)),"")</f>
      </c>
      <c r="BK54" s="264">
        <f>IF(ISNUMBER(BK51),IF(ABS(BK51+BK52+N(BK53)-BK121)&lt;=0.15,0,ROUND(BK51+BK52+N(BK53)-BK121,1)),"")</f>
      </c>
      <c r="BL54" s="264">
        <f>IF(ISNUMBER(BL51),IF(ABS(BL51+BL52+N(BL53)-BL121)&lt;=0.15,0,ROUND(BL51+BL52+N(BL53)-BL121,1)),"")</f>
      </c>
      <c r="BM54" s="264">
        <f>IF(ISNUMBER(BM51),IF(ABS(BM51+BM52+N(BM53)-BM121)&lt;=0.15,0,ROUND(BM51+BM52+N(BM53)-BM121,1)),"")</f>
      </c>
      <c r="BN54" s="264">
        <f>IF(ISNUMBER(BN51),IF(ABS(BN51+BN52+N(BN53)-BN121)&lt;=0.15,0,ROUND(BN51+BN52+N(BN53)-BN121,1)),"")</f>
      </c>
      <c r="BO54" s="264">
        <f>IF(ISNUMBER(BO51),IF(ABS(BO51+BO52+N(BO53)-BO121)&lt;=0.15,0,ROUND(BO51+BO52+N(BO53)-BO121,1)),"")</f>
      </c>
      <c r="BP54" s="264">
        <f>IF(ISNUMBER(BP51),IF(ABS(BP51+BP52+N(BP53)-BP121)&lt;=0.15,0,ROUND(BP51+BP52+N(BP53)-BP121,1)),"")</f>
      </c>
      <c r="BQ54" s="264">
        <f>IF(ISNUMBER(BQ51),IF(ABS(BQ51+BQ52+N(BQ53)-BQ121)&lt;=0.15,0,ROUND(BQ51+BQ52+N(BQ53)-BQ121,1)),"")</f>
      </c>
      <c r="BR54" s="264">
        <f>IF(ISNUMBER(BR51),IF(ABS(BR51+BR52+N(BR53)-BR121)&lt;=0.15,0,ROUND(BR51+BR52+N(BR53)-BR121,1)),"")</f>
      </c>
      <c r="BS54" s="264">
        <f>IF(ISNUMBER(BS51),IF(ABS(BS51+BS52+N(BS53)-BS121)&lt;=0.15,0,ROUND(BS51+BS52+N(BS53)-BS121,1)),"")</f>
      </c>
      <c r="BT54" s="264">
        <f>IF(ISNUMBER(BT51),IF(ABS(BT51+BT52+N(BT53)-BT121)&lt;=0.15,0,ROUND(BT51+BT52+N(BT53)-BT121,1)),"")</f>
      </c>
      <c r="BU54" s="264">
        <f>IF(ISNUMBER(BU51),IF(ABS(BU51+BU52+N(BU53)-BU121)&lt;=0.15,0,ROUND(BU51+BU52+N(BU53)-BU121,1)),"")</f>
      </c>
      <c r="BV54" s="264">
        <f>IF(ISNUMBER(BV51),IF(ABS(BV51+BV52+N(BV53)-BV121)&lt;=0.15,0,ROUND(BV51+BV52+N(BV53)-BV121,1)),"")</f>
      </c>
      <c r="BW54" s="264">
        <f>IF(ISNUMBER(BW51),IF(ABS(BW51+BW52+N(BW53)-BW121)&lt;=0.15,0,ROUND(BW51+BW52+N(BW53)-BW121,1)),"")</f>
      </c>
      <c r="BX54" s="264">
        <f>IF(ISNUMBER(BX51),IF(ABS(BX51+BX52+N(BX53)-BX121)&lt;=0.15,0,ROUND(BX51+BX52+N(BX53)-BX121,1)),"")</f>
      </c>
      <c r="BY54" s="153" t="n"/>
      <c r="BZ54" s="153" t="n"/>
      <c r="CA54" s="153" t="n"/>
      <c r="CB54" s="153" t="n"/>
      <c r="CC54" s="153" t="n"/>
      <c r="CD54" s="153" t="n"/>
      <c r="CE54" s="153" t="n"/>
      <c r="CF54" s="153" t="n"/>
      <c r="CG54" s="153" t="n"/>
      <c r="CO54" s="15" t="inlineStr">
        <is>
          <t>OM (GAAP operating margin)</t>
        </is>
      </c>
      <c r="CP54" s="41" t="n">
        <v>0.01</v>
      </c>
      <c r="CQ54" s="21" t="inlineStr">
        <is>
          <t>Δ →</t>
        </is>
      </c>
      <c r="CR54" s="41" t="n">
        <v>-0.025</v>
      </c>
      <c r="CS54" s="13" t="inlineStr">
        <is>
          <t>FY23 20.6% → FY24 26.7% → FY25 29.5% (30.9% excl. the $619m Brazil expense) → FY26 guided 31.5%; margin has expanded ~2–3pp a year as content amortization grows slower than revenue.</t>
        </is>
      </c>
    </row>
    <row r="55" ht="15" customHeight="1" s="251">
      <c r="B55" s="156" t="inlineStr">
        <is>
          <t xml:space="preserve">  Domestic streaming contribution profit</t>
        </is>
      </c>
      <c r="C55" s="34" t="n"/>
      <c r="D55" s="34" t="n"/>
      <c r="E55" s="34" t="n"/>
      <c r="F55" s="34" t="n"/>
      <c r="G55" s="34" t="n"/>
      <c r="H55" s="34" t="n"/>
      <c r="I55" s="253" t="n">
        <v>349.932</v>
      </c>
      <c r="J55" s="253" t="n">
        <v>131.35</v>
      </c>
      <c r="K55" s="253" t="n">
        <v>151.314</v>
      </c>
      <c r="L55" s="253" t="n">
        <v>166.481</v>
      </c>
      <c r="M55" s="253" t="n">
        <v>173.622</v>
      </c>
      <c r="N55" s="253" t="n">
        <v>622.7670000000001</v>
      </c>
      <c r="O55" s="253" t="n">
        <v>201.265</v>
      </c>
      <c r="P55" s="253" t="n">
        <v>227.275</v>
      </c>
      <c r="Q55" s="253" t="n">
        <v>250.854</v>
      </c>
      <c r="R55" s="253" t="n">
        <v>256.826</v>
      </c>
      <c r="S55" s="253" t="n">
        <v>936.22</v>
      </c>
      <c r="T55" s="253" t="n">
        <v>312.452</v>
      </c>
      <c r="U55" s="253" t="n">
        <v>339.795</v>
      </c>
      <c r="V55" s="253" t="n">
        <v>344.212</v>
      </c>
      <c r="W55" s="253" t="n">
        <v>379.041</v>
      </c>
      <c r="X55" s="253" t="n">
        <v>1375.5</v>
      </c>
      <c r="Y55" s="253" t="n">
        <v>412.753</v>
      </c>
      <c r="Z55" s="253" t="n">
        <v>414.359</v>
      </c>
      <c r="AA55" s="253" t="n">
        <v>475.18</v>
      </c>
      <c r="AB55" s="253" t="n">
        <v>536.394</v>
      </c>
      <c r="AC55" s="253" t="n">
        <v>1838.686</v>
      </c>
      <c r="AD55" s="253" t="n">
        <v>605.516</v>
      </c>
      <c r="AE55" s="253" t="n">
        <v>559.929</v>
      </c>
      <c r="AF55" s="253" t="n">
        <v>553.901</v>
      </c>
      <c r="AG55" s="253" t="n">
        <v>561.1180000000001</v>
      </c>
      <c r="AH55" s="253" t="n">
        <v>2280.464</v>
      </c>
      <c r="AI55" s="253" t="n">
        <v>632.8200000000001</v>
      </c>
      <c r="AJ55" s="253" t="n">
        <v>671.929</v>
      </c>
      <c r="AK55" s="253" t="n">
        <v>688.246</v>
      </c>
      <c r="AL55" s="253" t="n">
        <v>589.907</v>
      </c>
      <c r="AM55" s="253" t="n">
        <v>2582.902</v>
      </c>
      <c r="AN55" s="253" t="n">
        <v>712.974</v>
      </c>
      <c r="AO55" s="253" t="n">
        <v>852.163</v>
      </c>
      <c r="AP55" s="253" t="n">
        <v>990.7</v>
      </c>
      <c r="AQ55" s="253" t="n">
        <v>756.783</v>
      </c>
      <c r="AR55" s="253" t="n">
        <v>3312.62</v>
      </c>
      <c r="AS55" s="34" t="n"/>
      <c r="AT55" s="34" t="n"/>
      <c r="AU55" s="34" t="n"/>
      <c r="AV55" s="34" t="n"/>
      <c r="AW55" s="34" t="n"/>
      <c r="AX55" s="34" t="n"/>
      <c r="AY55" s="34" t="n"/>
      <c r="AZ55" s="34" t="n"/>
      <c r="BA55" s="34" t="n"/>
      <c r="BB55" s="34" t="n"/>
      <c r="BC55" s="34" t="n"/>
      <c r="BD55" s="34" t="n"/>
      <c r="BE55" s="34" t="n"/>
      <c r="BF55" s="34" t="n"/>
      <c r="BG55" s="34" t="n"/>
      <c r="BH55" s="34" t="n"/>
      <c r="BI55" s="34" t="n"/>
      <c r="BJ55" s="34" t="n"/>
      <c r="BK55" s="34" t="n"/>
      <c r="BL55" s="34" t="n"/>
      <c r="BM55" s="34" t="n"/>
      <c r="BN55" s="34" t="n"/>
      <c r="BO55" s="34" t="n"/>
      <c r="BP55" s="34" t="n"/>
      <c r="BQ55" s="34" t="n"/>
      <c r="BR55" s="34" t="n"/>
      <c r="BS55" s="34" t="n"/>
      <c r="BT55" s="34" t="n"/>
      <c r="BU55" s="34" t="n"/>
      <c r="BV55" s="34" t="n"/>
      <c r="BW55" s="34" t="n"/>
      <c r="BX55" s="34" t="n"/>
      <c r="BY55" s="153" t="n"/>
      <c r="BZ55" s="153" t="n"/>
      <c r="CA55" s="153" t="n"/>
      <c r="CB55" s="153" t="n"/>
      <c r="CC55" s="153" t="n"/>
      <c r="CD55" s="153" t="n"/>
      <c r="CE55" s="153" t="n"/>
      <c r="CF55" s="153" t="n"/>
      <c r="CG55" s="153" t="n"/>
      <c r="CO55" s="25" t="inlineStr">
        <is>
          <t xml:space="preserve">  2027E</t>
        </is>
      </c>
      <c r="CP55" s="33">
        <f>CQ55+$CP$54</f>
        <v>0.345</v>
      </c>
      <c r="CQ55" s="42" t="n">
        <v>0.335</v>
      </c>
      <c r="CR55" s="33">
        <f>CQ55+$CR$54</f>
        <v>0.31</v>
      </c>
    </row>
    <row r="56" ht="15" customHeight="1" s="251">
      <c r="B56" s="25" t="inlineStr">
        <is>
          <t xml:space="preserve">    Contribution margin %</t>
        </is>
      </c>
      <c r="C56" s="215">
        <f>IF(AND(ISNUMBER(C55),ISNUMBER(C51)),IFERROR(C55/C51,""),"")</f>
      </c>
      <c r="D56" s="215">
        <f>IF(AND(ISNUMBER(D55),ISNUMBER(D51)),IFERROR(D55/D51,""),"")</f>
      </c>
      <c r="E56" s="215">
        <f>IF(AND(ISNUMBER(E55),ISNUMBER(E51)),IFERROR(E55/E51,""),"")</f>
      </c>
      <c r="F56" s="215">
        <f>IF(AND(ISNUMBER(F55),ISNUMBER(F51)),IFERROR(F55/F51,""),"")</f>
      </c>
      <c r="G56" s="215">
        <f>IF(AND(ISNUMBER(G55),ISNUMBER(G51)),IFERROR(G55/G51,""),"")</f>
      </c>
      <c r="H56" s="215">
        <f>IF(AND(ISNUMBER(H55),ISNUMBER(H51)),IFERROR(H55/H51,""),"")</f>
      </c>
      <c r="I56" s="215">
        <f>IF(AND(ISNUMBER(I55),ISNUMBER(I51)),IFERROR(I55/I51,""),"")</f>
        <v>0.160161620747798</v>
      </c>
      <c r="J56" s="215">
        <f>IF(AND(ISNUMBER(J55),ISNUMBER(J51)),IFERROR(J55/J51,""),"")</f>
        <v>0.205668528409189</v>
      </c>
      <c r="K56" s="215">
        <f>IF(AND(ISNUMBER(K55),ISNUMBER(K51)),IFERROR(K55/K51,""),"")</f>
        <v>0.225475309534205</v>
      </c>
      <c r="L56" s="215">
        <f>IF(AND(ISNUMBER(L55),ISNUMBER(L51)),IFERROR(L55/L51,""),"")</f>
        <v>0.237462611416908</v>
      </c>
      <c r="M56" s="215">
        <f>IF(AND(ISNUMBER(M55),ISNUMBER(M51)),IFERROR(M55/M51,""),"")</f>
        <v>0.234448804543626</v>
      </c>
      <c r="N56" s="215">
        <f>IF(AND(ISNUMBER(N55),ISNUMBER(N51)),IFERROR(N55/N51,""),"")</f>
        <v>0.226347553495979</v>
      </c>
      <c r="O56" s="215">
        <f>IF(AND(ISNUMBER(O55),ISNUMBER(O51)),IFERROR(O55/O51,""),"")</f>
        <v>0.252016924257811</v>
      </c>
      <c r="P56" s="215">
        <f>IF(AND(ISNUMBER(P55),ISNUMBER(P51)),IFERROR(P55/P51,""),"")</f>
        <v>0.271138417489338</v>
      </c>
      <c r="Q56" s="215">
        <f>IF(AND(ISNUMBER(Q55),ISNUMBER(Q51)),IFERROR(Q55/Q51,""),"")</f>
        <v>0.285987573391096</v>
      </c>
      <c r="R56" s="215">
        <f>IF(AND(ISNUMBER(R55),ISNUMBER(R51)),IFERROR(R55/R51,""),"")</f>
        <v>0.279937042341641</v>
      </c>
      <c r="S56" s="215">
        <f>IF(AND(ISNUMBER(S55),ISNUMBER(S51)),IFERROR(S55/S51,""),"")</f>
        <v>0.272836371033218</v>
      </c>
      <c r="T56" s="215">
        <f>IF(AND(ISNUMBER(T55),ISNUMBER(T51)),IFERROR(T55/T51,""),"")</f>
        <v>0.317360939004522</v>
      </c>
      <c r="U56" s="215">
        <f>IF(AND(ISNUMBER(U55),ISNUMBER(U51)),IFERROR(U55/U51,""),"")</f>
        <v>0.331212295779467</v>
      </c>
      <c r="V56" s="215">
        <f>IF(AND(ISNUMBER(V55),ISNUMBER(V51)),IFERROR(V55/V51,""),"")</f>
        <v>0.323519377120026</v>
      </c>
      <c r="W56" s="215">
        <f>IF(AND(ISNUMBER(W55),ISNUMBER(W51)),IFERROR(W55/W51,""),"")</f>
        <v>0.342734143930961</v>
      </c>
      <c r="X56" s="215">
        <f>IF(AND(ISNUMBER(X55),ISNUMBER(X51)),IFERROR(X55/X51,""),"")</f>
        <v>0.329040300320142</v>
      </c>
      <c r="Y56" s="215">
        <f>IF(AND(ISNUMBER(Y55),ISNUMBER(Y51)),IFERROR(Y55/Y51,""),"")</f>
        <v>0.355441290825935</v>
      </c>
      <c r="Z56" s="215">
        <f>IF(AND(ISNUMBER(Z55),ISNUMBER(Z51)),IFERROR(Z55/Z51,""),"")</f>
        <v>0.34293548384427</v>
      </c>
      <c r="AA56" s="215">
        <f>IF(AND(ISNUMBER(AA55),ISNUMBER(AA51)),IFERROR(AA55/AA51,""),"")</f>
        <v>0.364308807643447</v>
      </c>
      <c r="AB56" s="215">
        <f>IF(AND(ISNUMBER(AB55),ISNUMBER(AB51)),IFERROR(AB55/AB51,""),"")</f>
        <v>0.382193461597108</v>
      </c>
      <c r="AC56" s="215">
        <f>IF(AND(ISNUMBER(AC55),ISNUMBER(AC51)),IFERROR(AC55/AC51,""),"")</f>
        <v>0.362138038924966</v>
      </c>
      <c r="AD56" s="215">
        <f>IF(AND(ISNUMBER(AD55),ISNUMBER(AD51)),IFERROR(AD55/AD51,""),"")</f>
        <v>0.411903877576287</v>
      </c>
      <c r="AE56" s="215">
        <f>IF(AND(ISNUMBER(AE55),ISNUMBER(AE51)),IFERROR(AE55/AE51,""),"")</f>
        <v>0.371922531997696</v>
      </c>
      <c r="AF56" s="215">
        <f>IF(AND(ISNUMBER(AF55),ISNUMBER(AF51)),IFERROR(AF55/AF51,""),"")</f>
        <v>0.357999883661559</v>
      </c>
      <c r="AG56" s="215">
        <f>IF(AND(ISNUMBER(AG55),ISNUMBER(AG51)),IFERROR(AG55/AG51,""),"")</f>
        <v>0.344186314693113</v>
      </c>
      <c r="AH56" s="215">
        <f>IF(AND(ISNUMBER(AH55),ISNUMBER(AH51)),IFERROR(AH55/AH51,""),"")</f>
        <v>0.370624855254123</v>
      </c>
      <c r="AI56" s="215">
        <f>IF(AND(ISNUMBER(AI55),ISNUMBER(AI51)),IFERROR(AI55/AI51,""),"")</f>
        <v>0.34769966687161</v>
      </c>
      <c r="AJ56" s="215">
        <f>IF(AND(ISNUMBER(AJ55),ISNUMBER(AJ51)),IFERROR(AJ55/AJ51,""),"")</f>
        <v>0.354912947345847</v>
      </c>
      <c r="AK56" s="215">
        <f>IF(AND(ISNUMBER(AK55),ISNUMBER(AK51)),IFERROR(AK55/AK51,""),"")</f>
        <v>0.355257846688766</v>
      </c>
      <c r="AL56" s="215">
        <f>IF(AND(ISNUMBER(AL55),ISNUMBER(AL51)),IFERROR(AL55/AL51,""),"")</f>
        <v>0.295530967510516</v>
      </c>
      <c r="AM56" s="215">
        <f>IF(AND(ISNUMBER(AM55),ISNUMBER(AM51)),IFERROR(AM55/AM51,""),"")</f>
        <v>0.337782298568248</v>
      </c>
      <c r="AN56" s="215">
        <f>IF(AND(ISNUMBER(AN55),ISNUMBER(AN51)),IFERROR(AN55/AN51,""),"")</f>
        <v>0.343841373872408</v>
      </c>
      <c r="AO56" s="215">
        <f>IF(AND(ISNUMBER(AO55),ISNUMBER(AO51)),IFERROR(AO55/AO51,""),"")</f>
        <v>0.370636341770946</v>
      </c>
      <c r="AP56" s="215">
        <f>IF(AND(ISNUMBER(AP55),ISNUMBER(AP51)),IFERROR(AP55/AP51,""),"")</f>
        <v>0.410636168976348</v>
      </c>
      <c r="AQ56" s="215">
        <f>IF(AND(ISNUMBER(AQ55),ISNUMBER(AQ51)),IFERROR(AQ55/AQ51,""),"")</f>
        <v>0.307927897356147</v>
      </c>
      <c r="AR56" s="215">
        <f>IF(AND(ISNUMBER(AR55),ISNUMBER(AR51)),IFERROR(AR55/AR51,""),"")</f>
        <v>0.358392103001134</v>
      </c>
      <c r="AS56" s="215">
        <f>IF(AND(ISNUMBER(AS55),ISNUMBER(AS51)),IFERROR(AS55/AS51,""),"")</f>
      </c>
      <c r="AT56" s="215">
        <f>IF(AND(ISNUMBER(AT55),ISNUMBER(AT51)),IFERROR(AT55/AT51,""),"")</f>
      </c>
      <c r="AU56" s="215">
        <f>IF(AND(ISNUMBER(AU55),ISNUMBER(AU51)),IFERROR(AU55/AU51,""),"")</f>
      </c>
      <c r="AV56" s="215">
        <f>IF(AND(ISNUMBER(AV55),ISNUMBER(AV51)),IFERROR(AV55/AV51,""),"")</f>
      </c>
      <c r="AW56" s="215">
        <f>IF(AND(ISNUMBER(AW55),ISNUMBER(AW51)),IFERROR(AW55/AW51,""),"")</f>
      </c>
      <c r="AX56" s="215">
        <f>IF(AND(ISNUMBER(AX55),ISNUMBER(AX51)),IFERROR(AX55/AX51,""),"")</f>
      </c>
      <c r="AY56" s="215">
        <f>IF(AND(ISNUMBER(AY55),ISNUMBER(AY51)),IFERROR(AY55/AY51,""),"")</f>
      </c>
      <c r="AZ56" s="215">
        <f>IF(AND(ISNUMBER(AZ55),ISNUMBER(AZ51)),IFERROR(AZ55/AZ51,""),"")</f>
      </c>
      <c r="BA56" s="215">
        <f>IF(AND(ISNUMBER(BA55),ISNUMBER(BA51)),IFERROR(BA55/BA51,""),"")</f>
      </c>
      <c r="BB56" s="215">
        <f>IF(AND(ISNUMBER(BB55),ISNUMBER(BB51)),IFERROR(BB55/BB51,""),"")</f>
      </c>
      <c r="BC56" s="215">
        <f>IF(AND(ISNUMBER(BC55),ISNUMBER(BC51)),IFERROR(BC55/BC51,""),"")</f>
      </c>
      <c r="BD56" s="215">
        <f>IF(AND(ISNUMBER(BD55),ISNUMBER(BD51)),IFERROR(BD55/BD51,""),"")</f>
      </c>
      <c r="BE56" s="215">
        <f>IF(AND(ISNUMBER(BE55),ISNUMBER(BE51)),IFERROR(BE55/BE51,""),"")</f>
      </c>
      <c r="BF56" s="215">
        <f>IF(AND(ISNUMBER(BF55),ISNUMBER(BF51)),IFERROR(BF55/BF51,""),"")</f>
      </c>
      <c r="BG56" s="215">
        <f>IF(AND(ISNUMBER(BG55),ISNUMBER(BG51)),IFERROR(BG55/BG51,""),"")</f>
      </c>
      <c r="BH56" s="215">
        <f>IF(AND(ISNUMBER(BH55),ISNUMBER(BH51)),IFERROR(BH55/BH51,""),"")</f>
      </c>
      <c r="BI56" s="215">
        <f>IF(AND(ISNUMBER(BI55),ISNUMBER(BI51)),IFERROR(BI55/BI51,""),"")</f>
      </c>
      <c r="BJ56" s="215">
        <f>IF(AND(ISNUMBER(BJ55),ISNUMBER(BJ51)),IFERROR(BJ55/BJ51,""),"")</f>
      </c>
      <c r="BK56" s="215">
        <f>IF(AND(ISNUMBER(BK55),ISNUMBER(BK51)),IFERROR(BK55/BK51,""),"")</f>
      </c>
      <c r="BL56" s="215">
        <f>IF(AND(ISNUMBER(BL55),ISNUMBER(BL51)),IFERROR(BL55/BL51,""),"")</f>
      </c>
      <c r="BM56" s="215">
        <f>IF(AND(ISNUMBER(BM55),ISNUMBER(BM51)),IFERROR(BM55/BM51,""),"")</f>
      </c>
      <c r="BN56" s="215">
        <f>IF(AND(ISNUMBER(BN55),ISNUMBER(BN51)),IFERROR(BN55/BN51,""),"")</f>
      </c>
      <c r="BO56" s="215">
        <f>IF(AND(ISNUMBER(BO55),ISNUMBER(BO51)),IFERROR(BO55/BO51,""),"")</f>
      </c>
      <c r="BP56" s="215">
        <f>IF(AND(ISNUMBER(BP55),ISNUMBER(BP51)),IFERROR(BP55/BP51,""),"")</f>
      </c>
      <c r="BQ56" s="215">
        <f>IF(AND(ISNUMBER(BQ55),ISNUMBER(BQ51)),IFERROR(BQ55/BQ51,""),"")</f>
      </c>
      <c r="BR56" s="215">
        <f>IF(AND(ISNUMBER(BR55),ISNUMBER(BR51)),IFERROR(BR55/BR51,""),"")</f>
      </c>
      <c r="BS56" s="215">
        <f>IF(AND(ISNUMBER(BS55),ISNUMBER(BS51)),IFERROR(BS55/BS51,""),"")</f>
      </c>
      <c r="BT56" s="215">
        <f>IF(AND(ISNUMBER(BT55),ISNUMBER(BT51)),IFERROR(BT55/BT51,""),"")</f>
      </c>
      <c r="BU56" s="215">
        <f>IF(AND(ISNUMBER(BU55),ISNUMBER(BU51)),IFERROR(BU55/BU51,""),"")</f>
      </c>
      <c r="BV56" s="215">
        <f>IF(AND(ISNUMBER(BV55),ISNUMBER(BV51)),IFERROR(BV55/BV51,""),"")</f>
      </c>
      <c r="BW56" s="215">
        <f>IF(AND(ISNUMBER(BW55),ISNUMBER(BW51)),IFERROR(BW55/BW51,""),"")</f>
      </c>
      <c r="BX56" s="215">
        <f>IF(AND(ISNUMBER(BX55),ISNUMBER(BX51)),IFERROR(BX55/BX51,""),"")</f>
      </c>
      <c r="BY56" s="256">
        <f>IF(AND(ISNUMBER(BY55),ISNUMBER(BY51)),IFERROR(BY55/BY51,""),"")</f>
      </c>
      <c r="BZ56" s="256">
        <f>IF(AND(ISNUMBER(BZ55),ISNUMBER(BZ51)),IFERROR(BZ55/BZ51,""),"")</f>
      </c>
      <c r="CA56" s="256">
        <f>IF(AND(ISNUMBER(CA55),ISNUMBER(CA51)),IFERROR(CA55/CA51,""),"")</f>
      </c>
      <c r="CB56" s="256">
        <f>IF(AND(ISNUMBER(CB55),ISNUMBER(CB51)),IFERROR(CB55/CB51,""),"")</f>
      </c>
      <c r="CC56" s="256">
        <f>IF(AND(ISNUMBER(CC55),ISNUMBER(CC51)),IFERROR(CC55/CC51,""),"")</f>
      </c>
      <c r="CD56" s="256">
        <f>IF(AND(ISNUMBER(CD55),ISNUMBER(CD51)),IFERROR(CD55/CD51,""),"")</f>
      </c>
      <c r="CE56" s="256">
        <f>IF(AND(ISNUMBER(CE55),ISNUMBER(CE51)),IFERROR(CE55/CE51,""),"")</f>
      </c>
      <c r="CF56" s="256">
        <f>IF(AND(ISNUMBER(CF55),ISNUMBER(CF51)),IFERROR(CF55/CF51,""),"")</f>
      </c>
      <c r="CG56" s="153" t="n"/>
      <c r="CO56" s="25" t="inlineStr">
        <is>
          <t xml:space="preserve">  2028E</t>
        </is>
      </c>
      <c r="CP56" s="33">
        <f>CQ56+$CP$54</f>
        <v>0.36</v>
      </c>
      <c r="CQ56" s="42" t="n">
        <v>0.35</v>
      </c>
      <c r="CR56" s="33">
        <f>CQ56+$CR$54</f>
        <v>0.325</v>
      </c>
    </row>
    <row r="57" ht="15" customHeight="1" s="251">
      <c r="B57" s="156" t="inlineStr">
        <is>
          <t xml:space="preserve">  International streaming contribution profit</t>
        </is>
      </c>
      <c r="C57" s="34" t="n"/>
      <c r="D57" s="34" t="n"/>
      <c r="E57" s="34" t="n"/>
      <c r="F57" s="34" t="n"/>
      <c r="G57" s="34" t="n"/>
      <c r="H57" s="34" t="n"/>
      <c r="I57" s="253" t="n">
        <v>-389.311</v>
      </c>
      <c r="J57" s="253" t="n">
        <v>-76.92</v>
      </c>
      <c r="K57" s="253" t="n">
        <v>-65.833</v>
      </c>
      <c r="L57" s="253" t="n">
        <v>-74.297</v>
      </c>
      <c r="M57" s="253" t="n">
        <v>-57.282</v>
      </c>
      <c r="N57" s="253" t="n">
        <v>-274.332</v>
      </c>
      <c r="O57" s="253" t="n">
        <v>-34.989</v>
      </c>
      <c r="P57" s="253" t="n">
        <v>-15.272</v>
      </c>
      <c r="Q57" s="253" t="n">
        <v>-30.866</v>
      </c>
      <c r="R57" s="253" t="n">
        <v>-78.66200000000001</v>
      </c>
      <c r="S57" s="253" t="n">
        <v>-159.789</v>
      </c>
      <c r="T57" s="253" t="n">
        <v>-65.00700000000001</v>
      </c>
      <c r="U57" s="253" t="n">
        <v>-91.916</v>
      </c>
      <c r="V57" s="253" t="n">
        <v>-67.648</v>
      </c>
      <c r="W57" s="253" t="n">
        <v>-108.815</v>
      </c>
      <c r="X57" s="253" t="n">
        <v>-333.386</v>
      </c>
      <c r="Y57" s="253" t="n">
        <v>-104.219</v>
      </c>
      <c r="Z57" s="253" t="n">
        <v>-69.184</v>
      </c>
      <c r="AA57" s="253" t="n">
        <v>-68.583</v>
      </c>
      <c r="AB57" s="253" t="n">
        <v>-66.535</v>
      </c>
      <c r="AC57" s="253" t="n">
        <v>-308.521</v>
      </c>
      <c r="AD57" s="253" t="n">
        <v>42.65</v>
      </c>
      <c r="AE57" s="253" t="n">
        <v>-13.099</v>
      </c>
      <c r="AF57" s="253" t="n">
        <v>62.361</v>
      </c>
      <c r="AG57" s="253" t="n">
        <v>134.677</v>
      </c>
      <c r="AH57" s="253" t="n">
        <v>226.589</v>
      </c>
      <c r="AI57" s="253" t="n">
        <v>174.322</v>
      </c>
      <c r="AJ57" s="253" t="n">
        <v>187.923</v>
      </c>
      <c r="AK57" s="253" t="n">
        <v>217.994</v>
      </c>
      <c r="AL57" s="253" t="n">
        <v>81.70099999999999</v>
      </c>
      <c r="AM57" s="253" t="n">
        <v>661.9400000000001</v>
      </c>
      <c r="AN57" s="253" t="n">
        <v>274.096</v>
      </c>
      <c r="AO57" s="253" t="n">
        <v>416.293</v>
      </c>
      <c r="AP57" s="253" t="n">
        <v>558.405</v>
      </c>
      <c r="AQ57" s="253" t="n">
        <v>328.348</v>
      </c>
      <c r="AR57" s="253" t="n">
        <v>1577.142</v>
      </c>
      <c r="AS57" s="34" t="n"/>
      <c r="AT57" s="34" t="n"/>
      <c r="AU57" s="34" t="n"/>
      <c r="AV57" s="34" t="n"/>
      <c r="AW57" s="34" t="n"/>
      <c r="AX57" s="34" t="n"/>
      <c r="AY57" s="34" t="n"/>
      <c r="AZ57" s="34" t="n"/>
      <c r="BA57" s="34" t="n"/>
      <c r="BB57" s="34" t="n"/>
      <c r="BC57" s="34" t="n"/>
      <c r="BD57" s="34" t="n"/>
      <c r="BE57" s="34" t="n"/>
      <c r="BF57" s="34" t="n"/>
      <c r="BG57" s="34" t="n"/>
      <c r="BH57" s="34" t="n"/>
      <c r="BI57" s="34" t="n"/>
      <c r="BJ57" s="34" t="n"/>
      <c r="BK57" s="34" t="n"/>
      <c r="BL57" s="34" t="n"/>
      <c r="BM57" s="34" t="n"/>
      <c r="BN57" s="34" t="n"/>
      <c r="BO57" s="34" t="n"/>
      <c r="BP57" s="34" t="n"/>
      <c r="BQ57" s="34" t="n"/>
      <c r="BR57" s="34" t="n"/>
      <c r="BS57" s="34" t="n"/>
      <c r="BT57" s="34" t="n"/>
      <c r="BU57" s="34" t="n"/>
      <c r="BV57" s="34" t="n"/>
      <c r="BW57" s="34" t="n"/>
      <c r="BX57" s="34" t="n"/>
      <c r="BY57" s="153" t="n"/>
      <c r="BZ57" s="153" t="n"/>
      <c r="CA57" s="153" t="n"/>
      <c r="CB57" s="153" t="n"/>
      <c r="CC57" s="153" t="n"/>
      <c r="CD57" s="153" t="n"/>
      <c r="CE57" s="153" t="n"/>
      <c r="CF57" s="153" t="n"/>
      <c r="CG57" s="153" t="n"/>
      <c r="CO57" s="25" t="inlineStr">
        <is>
          <t xml:space="preserve">  2029E</t>
        </is>
      </c>
      <c r="CP57" s="33">
        <f>CQ57+$CP$54</f>
        <v>0.375</v>
      </c>
      <c r="CQ57" s="42" t="n">
        <v>0.365</v>
      </c>
      <c r="CR57" s="33">
        <f>CQ57+$CR$54</f>
        <v>0.34</v>
      </c>
    </row>
    <row r="58" ht="15" customHeight="1" s="251">
      <c r="B58" s="25" t="inlineStr">
        <is>
          <t xml:space="preserve">    Contribution margin %</t>
        </is>
      </c>
      <c r="C58" s="215">
        <f>IF(AND(ISNUMBER(C57),ISNUMBER(C52)),IFERROR(C57/C52,""),"")</f>
      </c>
      <c r="D58" s="215">
        <f>IF(AND(ISNUMBER(D57),ISNUMBER(D52)),IFERROR(D57/D52,""),"")</f>
      </c>
      <c r="E58" s="215">
        <f>IF(AND(ISNUMBER(E57),ISNUMBER(E52)),IFERROR(E57/E52,""),"")</f>
      </c>
      <c r="F58" s="215">
        <f>IF(AND(ISNUMBER(F57),ISNUMBER(F52)),IFERROR(F57/F52,""),"")</f>
      </c>
      <c r="G58" s="215">
        <f>IF(AND(ISNUMBER(G57),ISNUMBER(G52)),IFERROR(G57/G52,""),"")</f>
      </c>
      <c r="H58" s="215">
        <f>IF(AND(ISNUMBER(H57),ISNUMBER(H52)),IFERROR(H57/H52,""),"")</f>
      </c>
      <c r="I58" s="215">
        <f>IF(AND(ISNUMBER(I57),ISNUMBER(I52)),IFERROR(I57/I52,""),"")</f>
        <v>-1.35392742625425</v>
      </c>
      <c r="J58" s="215">
        <f>IF(AND(ISNUMBER(J57),ISNUMBER(J52)),IFERROR(J57/J52,""),"")</f>
        <v>-0.541617670875024</v>
      </c>
      <c r="K58" s="215">
        <f>IF(AND(ISNUMBER(K57),ISNUMBER(K52)),IFERROR(K57/K52,""),"")</f>
        <v>-0.396818603754024</v>
      </c>
      <c r="L58" s="215">
        <f>IF(AND(ISNUMBER(L57),ISNUMBER(L52)),IFERROR(L57/L52,""),"")</f>
        <v>-0.405881421024742</v>
      </c>
      <c r="M58" s="215">
        <f>IF(AND(ISNUMBER(M57),ISNUMBER(M52)),IFERROR(M57/M52,""),"")</f>
        <v>-0.258705254315367</v>
      </c>
      <c r="N58" s="215">
        <f>IF(AND(ISNUMBER(N57),ISNUMBER(N52)),IFERROR(N57/N52,""),"")</f>
        <v>-0.385086820421398</v>
      </c>
      <c r="O58" s="215">
        <f>IF(AND(ISNUMBER(O57),ISNUMBER(O52)),IFERROR(O57/O52,""),"")</f>
        <v>-0.13098705441041</v>
      </c>
      <c r="P58" s="215">
        <f>IF(AND(ISNUMBER(P57),ISNUMBER(P52)),IFERROR(P57/P52,""),"")</f>
        <v>-0.0496713404301684</v>
      </c>
      <c r="Q58" s="215">
        <f>IF(AND(ISNUMBER(Q57),ISNUMBER(Q52)),IFERROR(Q57/Q52,""),"")</f>
        <v>-0.0892893819517769</v>
      </c>
      <c r="R58" s="215">
        <f>IF(AND(ISNUMBER(R57),ISNUMBER(R52)),IFERROR(R57/R52,""),"")</f>
        <v>-0.202843240148841</v>
      </c>
      <c r="S58" s="215">
        <f>IF(AND(ISNUMBER(S57),ISNUMBER(S52)),IFERROR(S57/S52,""),"")</f>
        <v>-0.122157147105525</v>
      </c>
      <c r="T58" s="215">
        <f>IF(AND(ISNUMBER(T57),ISNUMBER(T52)),IFERROR(T57/T52,""),"")</f>
        <v>-0.156493667503617</v>
      </c>
      <c r="U58" s="215">
        <f>IF(AND(ISNUMBER(U57),ISNUMBER(U52)),IFERROR(U57/U52,""),"")</f>
        <v>-0.202118466102124</v>
      </c>
      <c r="V58" s="215">
        <f>IF(AND(ISNUMBER(V57),ISNUMBER(V52)),IFERROR(V57/V52,""),"")</f>
        <v>-0.130880105248902</v>
      </c>
      <c r="W58" s="215">
        <f>IF(AND(ISNUMBER(W57),ISNUMBER(W52)),IFERROR(W57/W52,""),"")</f>
        <v>-0.192115182599024</v>
      </c>
      <c r="X58" s="215">
        <f>IF(AND(ISNUMBER(X57),ISNUMBER(X52)),IFERROR(X57/X52,""),"")</f>
        <v>-0.170666543806167</v>
      </c>
      <c r="Y58" s="215">
        <f>IF(AND(ISNUMBER(Y57),ISNUMBER(Y52)),IFERROR(Y57/Y52,""),"")</f>
        <v>-0.159906896530561</v>
      </c>
      <c r="Z58" s="215">
        <f>IF(AND(ISNUMBER(Z57),ISNUMBER(Z52)),IFERROR(Z57/Z52,""),"")</f>
        <v>-0.0912475715542448</v>
      </c>
      <c r="AA58" s="215">
        <f>IF(AND(ISNUMBER(AA57),ISNUMBER(AA52)),IFERROR(AA57/AA52,""),"")</f>
        <v>-0.0803568917842246</v>
      </c>
      <c r="AB58" s="215">
        <f>IF(AND(ISNUMBER(AB57),ISNUMBER(AB52)),IFERROR(AB57/AB52,""),"")</f>
        <v>-0.0702093353565497</v>
      </c>
      <c r="AC58" s="215">
        <f>IF(AND(ISNUMBER(AC57),ISNUMBER(AC52)),IFERROR(AC57/AC52,""),"")</f>
        <v>-0.0960796862129585</v>
      </c>
      <c r="AD58" s="215">
        <f>IF(AND(ISNUMBER(AD57),ISNUMBER(AD52)),IFERROR(AD57/AD52,""),"")</f>
        <v>0.0407666227935603</v>
      </c>
      <c r="AE58" s="215">
        <f>IF(AND(ISNUMBER(AE57),ISNUMBER(AE52)),IFERROR(AE57/AE52,""),"")</f>
        <v>-0.0112415767557937</v>
      </c>
      <c r="AF58" s="215">
        <f>IF(AND(ISNUMBER(AF57),ISNUMBER(AF52)),IFERROR(AF57/AF52,""),"")</f>
        <v>0.0469785714554762</v>
      </c>
      <c r="AG58" s="215">
        <f>IF(AND(ISNUMBER(AG57),ISNUMBER(AG52)),IFERROR(AG57/AG52,""),"")</f>
        <v>0.0868699482496941</v>
      </c>
      <c r="AH58" s="215">
        <f>IF(AND(ISNUMBER(AH57),ISNUMBER(AH52)),IFERROR(AH57/AH52,""),"")</f>
        <v>0.0445235794844407</v>
      </c>
      <c r="AI58" s="215">
        <f>IF(AND(ISNUMBER(AI57),ISNUMBER(AI52)),IFERROR(AI57/AI52,""),"")</f>
        <v>0.0978190727046843</v>
      </c>
      <c r="AJ58" s="215">
        <f>IF(AND(ISNUMBER(AJ57),ISNUMBER(AJ52)),IFERROR(AJ57/AJ52,""),"")</f>
        <v>0.0978182791086977</v>
      </c>
      <c r="AK58" s="215">
        <f>IF(AND(ISNUMBER(AK57),ISNUMBER(AK52)),IFERROR(AK57/AK52,""),"")</f>
        <v>0.110472750234001</v>
      </c>
      <c r="AL58" s="215">
        <f>IF(AND(ISNUMBER(AL57),ISNUMBER(AL52)),IFERROR(AL57/AL52,""),"")</f>
        <v>0.0388019141410112</v>
      </c>
      <c r="AM58" s="215">
        <f>IF(AND(ISNUMBER(AM57),ISNUMBER(AM52)),IFERROR(AM57/AM52,""),"")</f>
        <v>0.0850592481083203</v>
      </c>
      <c r="AN58" s="215">
        <f>IF(AND(ISNUMBER(AN57),ISNUMBER(AN52)),IFERROR(AN57/AN52,""),"")</f>
        <v>0.115811182343375</v>
      </c>
      <c r="AO58" s="215">
        <f>IF(AND(ISNUMBER(AO57),ISNUMBER(AO52)),IFERROR(AO57/AO52,""),"")</f>
        <v>0.163397805180853</v>
      </c>
      <c r="AP58" s="215">
        <f>IF(AND(ISNUMBER(AP57),ISNUMBER(AP52)),IFERROR(AP57/AP52,""),"")</f>
        <v>0.202289136112852</v>
      </c>
      <c r="AQ58" s="215">
        <f>IF(AND(ISNUMBER(AQ57),ISNUMBER(AQ52)),IFERROR(AQ57/AQ52,""),"")</f>
        <v>0.111632910269168</v>
      </c>
      <c r="AR58" s="215">
        <f>IF(AND(ISNUMBER(AR57),ISNUMBER(AR52)),IFERROR(AR57/AR52,""),"")</f>
        <v>0.148559586858794</v>
      </c>
      <c r="AS58" s="215">
        <f>IF(AND(ISNUMBER(AS57),ISNUMBER(AS52)),IFERROR(AS57/AS52,""),"")</f>
      </c>
      <c r="AT58" s="215">
        <f>IF(AND(ISNUMBER(AT57),ISNUMBER(AT52)),IFERROR(AT57/AT52,""),"")</f>
      </c>
      <c r="AU58" s="215">
        <f>IF(AND(ISNUMBER(AU57),ISNUMBER(AU52)),IFERROR(AU57/AU52,""),"")</f>
      </c>
      <c r="AV58" s="215">
        <f>IF(AND(ISNUMBER(AV57),ISNUMBER(AV52)),IFERROR(AV57/AV52,""),"")</f>
      </c>
      <c r="AW58" s="215">
        <f>IF(AND(ISNUMBER(AW57),ISNUMBER(AW52)),IFERROR(AW57/AW52,""),"")</f>
      </c>
      <c r="AX58" s="215">
        <f>IF(AND(ISNUMBER(AX57),ISNUMBER(AX52)),IFERROR(AX57/AX52,""),"")</f>
      </c>
      <c r="AY58" s="215">
        <f>IF(AND(ISNUMBER(AY57),ISNUMBER(AY52)),IFERROR(AY57/AY52,""),"")</f>
      </c>
      <c r="AZ58" s="215">
        <f>IF(AND(ISNUMBER(AZ57),ISNUMBER(AZ52)),IFERROR(AZ57/AZ52,""),"")</f>
      </c>
      <c r="BA58" s="215">
        <f>IF(AND(ISNUMBER(BA57),ISNUMBER(BA52)),IFERROR(BA57/BA52,""),"")</f>
      </c>
      <c r="BB58" s="215">
        <f>IF(AND(ISNUMBER(BB57),ISNUMBER(BB52)),IFERROR(BB57/BB52,""),"")</f>
      </c>
      <c r="BC58" s="215">
        <f>IF(AND(ISNUMBER(BC57),ISNUMBER(BC52)),IFERROR(BC57/BC52,""),"")</f>
      </c>
      <c r="BD58" s="215">
        <f>IF(AND(ISNUMBER(BD57),ISNUMBER(BD52)),IFERROR(BD57/BD52,""),"")</f>
      </c>
      <c r="BE58" s="215">
        <f>IF(AND(ISNUMBER(BE57),ISNUMBER(BE52)),IFERROR(BE57/BE52,""),"")</f>
      </c>
      <c r="BF58" s="215">
        <f>IF(AND(ISNUMBER(BF57),ISNUMBER(BF52)),IFERROR(BF57/BF52,""),"")</f>
      </c>
      <c r="BG58" s="215">
        <f>IF(AND(ISNUMBER(BG57),ISNUMBER(BG52)),IFERROR(BG57/BG52,""),"")</f>
      </c>
      <c r="BH58" s="215">
        <f>IF(AND(ISNUMBER(BH57),ISNUMBER(BH52)),IFERROR(BH57/BH52,""),"")</f>
      </c>
      <c r="BI58" s="215">
        <f>IF(AND(ISNUMBER(BI57),ISNUMBER(BI52)),IFERROR(BI57/BI52,""),"")</f>
      </c>
      <c r="BJ58" s="215">
        <f>IF(AND(ISNUMBER(BJ57),ISNUMBER(BJ52)),IFERROR(BJ57/BJ52,""),"")</f>
      </c>
      <c r="BK58" s="215">
        <f>IF(AND(ISNUMBER(BK57),ISNUMBER(BK52)),IFERROR(BK57/BK52,""),"")</f>
      </c>
      <c r="BL58" s="215">
        <f>IF(AND(ISNUMBER(BL57),ISNUMBER(BL52)),IFERROR(BL57/BL52,""),"")</f>
      </c>
      <c r="BM58" s="215">
        <f>IF(AND(ISNUMBER(BM57),ISNUMBER(BM52)),IFERROR(BM57/BM52,""),"")</f>
      </c>
      <c r="BN58" s="215">
        <f>IF(AND(ISNUMBER(BN57),ISNUMBER(BN52)),IFERROR(BN57/BN52,""),"")</f>
      </c>
      <c r="BO58" s="215">
        <f>IF(AND(ISNUMBER(BO57),ISNUMBER(BO52)),IFERROR(BO57/BO52,""),"")</f>
      </c>
      <c r="BP58" s="215">
        <f>IF(AND(ISNUMBER(BP57),ISNUMBER(BP52)),IFERROR(BP57/BP52,""),"")</f>
      </c>
      <c r="BQ58" s="215">
        <f>IF(AND(ISNUMBER(BQ57),ISNUMBER(BQ52)),IFERROR(BQ57/BQ52,""),"")</f>
      </c>
      <c r="BR58" s="215">
        <f>IF(AND(ISNUMBER(BR57),ISNUMBER(BR52)),IFERROR(BR57/BR52,""),"")</f>
      </c>
      <c r="BS58" s="215">
        <f>IF(AND(ISNUMBER(BS57),ISNUMBER(BS52)),IFERROR(BS57/BS52,""),"")</f>
      </c>
      <c r="BT58" s="215">
        <f>IF(AND(ISNUMBER(BT57),ISNUMBER(BT52)),IFERROR(BT57/BT52,""),"")</f>
      </c>
      <c r="BU58" s="215">
        <f>IF(AND(ISNUMBER(BU57),ISNUMBER(BU52)),IFERROR(BU57/BU52,""),"")</f>
      </c>
      <c r="BV58" s="215">
        <f>IF(AND(ISNUMBER(BV57),ISNUMBER(BV52)),IFERROR(BV57/BV52,""),"")</f>
      </c>
      <c r="BW58" s="215">
        <f>IF(AND(ISNUMBER(BW57),ISNUMBER(BW52)),IFERROR(BW57/BW52,""),"")</f>
      </c>
      <c r="BX58" s="215">
        <f>IF(AND(ISNUMBER(BX57),ISNUMBER(BX52)),IFERROR(BX57/BX52,""),"")</f>
      </c>
      <c r="BY58" s="256">
        <f>IF(AND(ISNUMBER(BY57),ISNUMBER(BY52)),IFERROR(BY57/BY52,""),"")</f>
      </c>
      <c r="BZ58" s="256">
        <f>IF(AND(ISNUMBER(BZ57),ISNUMBER(BZ52)),IFERROR(BZ57/BZ52,""),"")</f>
      </c>
      <c r="CA58" s="256">
        <f>IF(AND(ISNUMBER(CA57),ISNUMBER(CA52)),IFERROR(CA57/CA52,""),"")</f>
      </c>
      <c r="CB58" s="256">
        <f>IF(AND(ISNUMBER(CB57),ISNUMBER(CB52)),IFERROR(CB57/CB52,""),"")</f>
      </c>
      <c r="CC58" s="256">
        <f>IF(AND(ISNUMBER(CC57),ISNUMBER(CC52)),IFERROR(CC57/CC52,""),"")</f>
      </c>
      <c r="CD58" s="256">
        <f>IF(AND(ISNUMBER(CD57),ISNUMBER(CD52)),IFERROR(CD57/CD52,""),"")</f>
      </c>
      <c r="CE58" s="256">
        <f>IF(AND(ISNUMBER(CE57),ISNUMBER(CE52)),IFERROR(CE57/CE52,""),"")</f>
      </c>
      <c r="CF58" s="256">
        <f>IF(AND(ISNUMBER(CF57),ISNUMBER(CF52)),IFERROR(CF57/CF52,""),"")</f>
      </c>
      <c r="CG58" s="153" t="n"/>
      <c r="CO58" s="25" t="inlineStr">
        <is>
          <t xml:space="preserve">  2030E</t>
        </is>
      </c>
      <c r="CP58" s="33">
        <f>CQ58+$CP$54</f>
        <v>0.385</v>
      </c>
      <c r="CQ58" s="42" t="n">
        <v>0.375</v>
      </c>
      <c r="CR58" s="33">
        <f>CQ58+$CR$54</f>
        <v>0.35</v>
      </c>
    </row>
    <row r="59" ht="15" customHeight="1" s="251">
      <c r="B59" s="156" t="inlineStr">
        <is>
          <t xml:space="preserve">  Domestic DVD contribution profit</t>
        </is>
      </c>
      <c r="C59" s="34" t="n"/>
      <c r="D59" s="34" t="n"/>
      <c r="E59" s="34" t="n"/>
      <c r="F59" s="34" t="n"/>
      <c r="G59" s="34" t="n"/>
      <c r="H59" s="34" t="n"/>
      <c r="I59" s="253" t="n">
        <v>538.066</v>
      </c>
      <c r="J59" s="253" t="n">
        <v>113.493</v>
      </c>
      <c r="K59" s="253" t="n">
        <v>108.606</v>
      </c>
      <c r="L59" s="253" t="n">
        <v>106.687</v>
      </c>
      <c r="M59" s="253" t="n">
        <v>110.196</v>
      </c>
      <c r="N59" s="253" t="n">
        <v>438.982</v>
      </c>
      <c r="O59" s="253" t="n">
        <v>97.529</v>
      </c>
      <c r="P59" s="253" t="n">
        <v>92.79300000000001</v>
      </c>
      <c r="Q59" s="253" t="n">
        <v>89.396</v>
      </c>
      <c r="R59" s="253" t="n">
        <v>88.56100000000001</v>
      </c>
      <c r="S59" s="253" t="n">
        <v>368.279</v>
      </c>
      <c r="T59" s="253" t="n">
        <v>84.60599999999999</v>
      </c>
      <c r="U59" s="253" t="n">
        <v>77.923</v>
      </c>
      <c r="V59" s="253" t="n">
        <v>79.73099999999999</v>
      </c>
      <c r="W59" s="253" t="n">
        <v>79.569</v>
      </c>
      <c r="X59" s="253" t="n">
        <v>321.829</v>
      </c>
      <c r="Y59" s="253" t="n">
        <v>71.652</v>
      </c>
      <c r="Z59" s="253" t="n">
        <v>70.902</v>
      </c>
      <c r="AA59" s="253" t="n">
        <v>68.70399999999999</v>
      </c>
      <c r="AB59" s="253" t="n">
        <v>68.267</v>
      </c>
      <c r="AC59" s="253" t="n">
        <v>279.525</v>
      </c>
      <c r="AD59" s="253" t="n">
        <v>60.175</v>
      </c>
      <c r="AE59" s="253" t="n">
        <v>62.003</v>
      </c>
      <c r="AF59" s="253" t="n">
        <v>63.127</v>
      </c>
      <c r="AG59" s="253" t="n">
        <v>62.667</v>
      </c>
      <c r="AH59" s="253" t="n">
        <v>247.972</v>
      </c>
      <c r="AI59" s="253" t="n">
        <v>56.358</v>
      </c>
      <c r="AJ59" s="253" t="n">
        <v>52.98</v>
      </c>
      <c r="AK59" s="253" t="n">
        <v>51.676</v>
      </c>
      <c r="AL59" s="253" t="n">
        <v>51.478</v>
      </c>
      <c r="AM59" s="253" t="n">
        <v>212.492</v>
      </c>
      <c r="AN59" s="253" t="n">
        <v>46.73</v>
      </c>
      <c r="AO59" s="253" t="n">
        <v>45.853</v>
      </c>
      <c r="AP59" s="253" t="n">
        <v>44.084</v>
      </c>
      <c r="AQ59" s="253" t="n">
        <v>37.343</v>
      </c>
      <c r="AR59" s="253" t="n">
        <v>174.01</v>
      </c>
      <c r="AS59" s="34" t="n"/>
      <c r="AT59" s="34" t="n"/>
      <c r="AU59" s="34" t="n"/>
      <c r="AV59" s="34" t="n"/>
      <c r="AW59" s="34" t="n"/>
      <c r="AX59" s="34" t="n"/>
      <c r="AY59" s="34" t="n"/>
      <c r="AZ59" s="34" t="n"/>
      <c r="BA59" s="34" t="n"/>
      <c r="BB59" s="34" t="n"/>
      <c r="BC59" s="34" t="n"/>
      <c r="BD59" s="34" t="n"/>
      <c r="BE59" s="34" t="n"/>
      <c r="BF59" s="34" t="n"/>
      <c r="BG59" s="34" t="n"/>
      <c r="BH59" s="34" t="n"/>
      <c r="BI59" s="34" t="n"/>
      <c r="BJ59" s="34" t="n"/>
      <c r="BK59" s="34" t="n"/>
      <c r="BL59" s="34" t="n"/>
      <c r="BM59" s="34" t="n"/>
      <c r="BN59" s="34" t="n"/>
      <c r="BO59" s="34" t="n"/>
      <c r="BP59" s="34" t="n"/>
      <c r="BQ59" s="34" t="n"/>
      <c r="BR59" s="34" t="n"/>
      <c r="BS59" s="34" t="n"/>
      <c r="BT59" s="34" t="n"/>
      <c r="BU59" s="34" t="n"/>
      <c r="BV59" s="34" t="n"/>
      <c r="BW59" s="34" t="n"/>
      <c r="BX59" s="34" t="n"/>
      <c r="BY59" s="153" t="n"/>
      <c r="BZ59" s="153" t="n"/>
      <c r="CA59" s="153" t="n"/>
      <c r="CB59" s="153" t="n"/>
      <c r="CC59" s="153" t="n"/>
      <c r="CD59" s="153" t="n"/>
      <c r="CE59" s="153" t="n"/>
      <c r="CF59" s="153" t="n"/>
      <c r="CG59" s="153" t="n"/>
      <c r="CO59" s="25" t="inlineStr">
        <is>
          <t xml:space="preserve">  2031E</t>
        </is>
      </c>
      <c r="CP59" s="33">
        <f>CQ59+$CP$54</f>
        <v>0.395</v>
      </c>
      <c r="CQ59" s="42" t="n">
        <v>0.385</v>
      </c>
      <c r="CR59" s="33">
        <f>CQ59+$CR$54</f>
        <v>0.36</v>
      </c>
    </row>
    <row r="60" ht="15" customHeight="1" s="251">
      <c r="B60" s="25" t="inlineStr">
        <is>
          <t xml:space="preserve">    Contribution margin %</t>
        </is>
      </c>
      <c r="C60" s="215">
        <f>IF(AND(ISNUMBER(C59),ISNUMBER(C53)),IFERROR(C59/C53,""),"")</f>
      </c>
      <c r="D60" s="215">
        <f>IF(AND(ISNUMBER(D59),ISNUMBER(D53)),IFERROR(D59/D53,""),"")</f>
      </c>
      <c r="E60" s="215">
        <f>IF(AND(ISNUMBER(E59),ISNUMBER(E53)),IFERROR(E59/E53,""),"")</f>
      </c>
      <c r="F60" s="215">
        <f>IF(AND(ISNUMBER(F59),ISNUMBER(F53)),IFERROR(F59/F53,""),"")</f>
      </c>
      <c r="G60" s="215">
        <f>IF(AND(ISNUMBER(G59),ISNUMBER(G53)),IFERROR(G59/G53,""),"")</f>
      </c>
      <c r="H60" s="215">
        <f>IF(AND(ISNUMBER(H59),ISNUMBER(H53)),IFERROR(H59/H53,""),"")</f>
      </c>
      <c r="I60" s="215">
        <f>IF(AND(ISNUMBER(I59),ISNUMBER(I53)),IFERROR(I59/I53,""),"")</f>
        <v>0.473286350618187</v>
      </c>
      <c r="J60" s="215">
        <f>IF(AND(ISNUMBER(J59),ISNUMBER(J53)),IFERROR(J59/J53,""),"")</f>
        <v>0.466486910844126</v>
      </c>
      <c r="K60" s="215">
        <f>IF(AND(ISNUMBER(K59),ISNUMBER(K53)),IFERROR(K59/K53,""),"")</f>
        <v>0.467361789475043</v>
      </c>
      <c r="L60" s="215">
        <f>IF(AND(ISNUMBER(L59),ISNUMBER(L53)),IFERROR(L59/L53,""),"")</f>
        <v>0.48086448966714</v>
      </c>
      <c r="M60" s="215">
        <f>IF(AND(ISNUMBER(M59),ISNUMBER(M53)),IFERROR(M59/M53,""),"")</f>
        <v>0.516726218946065</v>
      </c>
      <c r="N60" s="215">
        <f>IF(AND(ISNUMBER(N59),ISNUMBER(N53)),IFERROR(N59/N53,""),"")</f>
        <v>0.481975676248385</v>
      </c>
      <c r="O60" s="215">
        <f>IF(AND(ISNUMBER(O59),ISNUMBER(O53)),IFERROR(O59/O53,""),"")</f>
        <v>0.477255155269777</v>
      </c>
      <c r="P60" s="215">
        <f>IF(AND(ISNUMBER(P59),ISNUMBER(P53)),IFERROR(P59/P53,""),"")</f>
        <v>0.476543362041074</v>
      </c>
      <c r="Q60" s="215">
        <f>IF(AND(ISNUMBER(Q59),ISNUMBER(Q53)),IFERROR(Q59/Q53,""),"")</f>
        <v>0.479085944575743</v>
      </c>
      <c r="R60" s="215">
        <f>IF(AND(ISNUMBER(R59),ISNUMBER(R53)),IFERROR(R59/R53,""),"")</f>
        <v>0.493406281164863</v>
      </c>
      <c r="S60" s="215">
        <f>IF(AND(ISNUMBER(S59),ISNUMBER(S53)),IFERROR(S59/S53,""),"")</f>
        <v>0.481309162385433</v>
      </c>
      <c r="T60" s="215">
        <f>IF(AND(ISNUMBER(T59),ISNUMBER(T53)),IFERROR(T59/T53,""),"")</f>
        <v>0.488487297921478</v>
      </c>
      <c r="U60" s="215">
        <f>IF(AND(ISNUMBER(U59),ISNUMBER(U53)),IFERROR(U59/U53,""),"")</f>
        <v>0.475088100086576</v>
      </c>
      <c r="V60" s="215">
        <f>IF(AND(ISNUMBER(V59),ISNUMBER(V53)),IFERROR(V59/V53,""),"")</f>
        <v>0.506151443589548</v>
      </c>
      <c r="W60" s="215">
        <f>IF(AND(ISNUMBER(W59),ISNUMBER(W53)),IFERROR(W59/W53,""),"")</f>
        <v>0.526964469022153</v>
      </c>
      <c r="X60" s="215">
        <f>IF(AND(ISNUMBER(X59),ISNUMBER(X53)),IFERROR(X59/X53,""),"")</f>
        <v>0.498390211494773</v>
      </c>
      <c r="Y60" s="215">
        <f>IF(AND(ISNUMBER(Y59),ISNUMBER(Y53)),IFERROR(Y59/Y53,""),"")</f>
        <v>0.495015440734523</v>
      </c>
      <c r="Z60" s="215">
        <f>IF(AND(ISNUMBER(Z59),ISNUMBER(Z53)),IFERROR(Z59/Z53,""),"")</f>
        <v>0.511071706599775</v>
      </c>
      <c r="AA60" s="215">
        <f>IF(AND(ISNUMBER(AA59),ISNUMBER(AA53)),IFERROR(AA59/AA53,""),"")</f>
        <v>0.519010387157696</v>
      </c>
      <c r="AB60" s="215">
        <f>IF(AND(ISNUMBER(AB59),ISNUMBER(AB53)),IFERROR(AB59/AB53,""),"")</f>
        <v>0.540031484103692</v>
      </c>
      <c r="AC60" s="215">
        <f>IF(AND(ISNUMBER(AC59),ISNUMBER(AC53)),IFERROR(AC59/AC53,""),"")</f>
        <v>0.515474849105699</v>
      </c>
      <c r="AD60" s="215">
        <f>IF(AND(ISNUMBER(AD59),ISNUMBER(AD53)),IFERROR(AD59/AD53,""),"")</f>
        <v>0.499817266641195</v>
      </c>
      <c r="AE60" s="215">
        <f>IF(AND(ISNUMBER(AE59),ISNUMBER(AE53)),IFERROR(AE59/AE53,""),"")</f>
        <v>0.540392375606823</v>
      </c>
      <c r="AF60" s="215">
        <f>IF(AND(ISNUMBER(AF59),ISNUMBER(AF53)),IFERROR(AF59/AF53,""),"")</f>
        <v>0.572767524996824</v>
      </c>
      <c r="AG60" s="215">
        <f>IF(AND(ISNUMBER(AG59),ISNUMBER(AG53)),IFERROR(AG59/AG53,""),"")</f>
        <v>0.595965839926963</v>
      </c>
      <c r="AH60" s="215">
        <f>IF(AND(ISNUMBER(AH59),ISNUMBER(AH53)),IFERROR(AH59/AH53,""),"")</f>
        <v>0.550440957431459</v>
      </c>
      <c r="AI60" s="215">
        <f>IF(AND(ISNUMBER(AI59),ISNUMBER(AI53)),IFERROR(AI59/AI53,""),"")</f>
        <v>0.570708144727648</v>
      </c>
      <c r="AJ60" s="215">
        <f>IF(AND(ISNUMBER(AJ59),ISNUMBER(AJ53)),IFERROR(AJ59/AJ53,""),"")</f>
        <v>0.570266081115991</v>
      </c>
      <c r="AK60" s="215">
        <f>IF(AND(ISNUMBER(AK59),ISNUMBER(AK53)),IFERROR(AK59/AK53,""),"")</f>
        <v>0.58208770289602</v>
      </c>
      <c r="AL60" s="215">
        <f>IF(AND(ISNUMBER(AL59),ISNUMBER(AL53)),IFERROR(AL59/AL53,""),"")</f>
        <v>0.604506969479902</v>
      </c>
      <c r="AM60" s="215">
        <f>IF(AND(ISNUMBER(AM59),ISNUMBER(AM53)),IFERROR(AM59/AM53,""),"")</f>
        <v>0.581231929844716</v>
      </c>
      <c r="AN60" s="215">
        <f>IF(AND(ISNUMBER(AN59),ISNUMBER(AN53)),IFERROR(AN59/AN53,""),"")</f>
        <v>0.579144358516756</v>
      </c>
      <c r="AO60" s="215">
        <f>IF(AND(ISNUMBER(AO59),ISNUMBER(AO53)),IFERROR(AO59/AO53,""),"")</f>
        <v>0.601745406824147</v>
      </c>
      <c r="AP60" s="215">
        <f>IF(AND(ISNUMBER(AP59),ISNUMBER(AP53)),IFERROR(AP59/AP53,""),"")</f>
        <v>0.613325542245781</v>
      </c>
      <c r="AQ60" s="215">
        <f>IF(AND(ISNUMBER(AQ59),ISNUMBER(AQ53)),IFERROR(AQ59/AQ53,""),"")</f>
        <v>0.545535557763104</v>
      </c>
      <c r="AR60" s="215">
        <f>IF(AND(ISNUMBER(AR59),ISNUMBER(AR53)),IFERROR(AR59/AR53,""),"")</f>
        <v>0.585464492273322</v>
      </c>
      <c r="AS60" s="215">
        <f>IF(AND(ISNUMBER(AS59),ISNUMBER(AS53)),IFERROR(AS59/AS53,""),"")</f>
      </c>
      <c r="AT60" s="215">
        <f>IF(AND(ISNUMBER(AT59),ISNUMBER(AT53)),IFERROR(AT59/AT53,""),"")</f>
      </c>
      <c r="AU60" s="215">
        <f>IF(AND(ISNUMBER(AU59),ISNUMBER(AU53)),IFERROR(AU59/AU53,""),"")</f>
      </c>
      <c r="AV60" s="215">
        <f>IF(AND(ISNUMBER(AV59),ISNUMBER(AV53)),IFERROR(AV59/AV53,""),"")</f>
      </c>
      <c r="AW60" s="215">
        <f>IF(AND(ISNUMBER(AW59),ISNUMBER(AW53)),IFERROR(AW59/AW53,""),"")</f>
      </c>
      <c r="AX60" s="215">
        <f>IF(AND(ISNUMBER(AX59),ISNUMBER(AX53)),IFERROR(AX59/AX53,""),"")</f>
      </c>
      <c r="AY60" s="215">
        <f>IF(AND(ISNUMBER(AY59),ISNUMBER(AY53)),IFERROR(AY59/AY53,""),"")</f>
      </c>
      <c r="AZ60" s="215">
        <f>IF(AND(ISNUMBER(AZ59),ISNUMBER(AZ53)),IFERROR(AZ59/AZ53,""),"")</f>
      </c>
      <c r="BA60" s="215">
        <f>IF(AND(ISNUMBER(BA59),ISNUMBER(BA53)),IFERROR(BA59/BA53,""),"")</f>
      </c>
      <c r="BB60" s="215">
        <f>IF(AND(ISNUMBER(BB59),ISNUMBER(BB53)),IFERROR(BB59/BB53,""),"")</f>
      </c>
      <c r="BC60" s="215">
        <f>IF(AND(ISNUMBER(BC59),ISNUMBER(BC53)),IFERROR(BC59/BC53,""),"")</f>
      </c>
      <c r="BD60" s="215">
        <f>IF(AND(ISNUMBER(BD59),ISNUMBER(BD53)),IFERROR(BD59/BD53,""),"")</f>
      </c>
      <c r="BE60" s="215">
        <f>IF(AND(ISNUMBER(BE59),ISNUMBER(BE53)),IFERROR(BE59/BE53,""),"")</f>
      </c>
      <c r="BF60" s="215">
        <f>IF(AND(ISNUMBER(BF59),ISNUMBER(BF53)),IFERROR(BF59/BF53,""),"")</f>
      </c>
      <c r="BG60" s="215">
        <f>IF(AND(ISNUMBER(BG59),ISNUMBER(BG53)),IFERROR(BG59/BG53,""),"")</f>
      </c>
      <c r="BH60" s="215">
        <f>IF(AND(ISNUMBER(BH59),ISNUMBER(BH53)),IFERROR(BH59/BH53,""),"")</f>
      </c>
      <c r="BI60" s="215">
        <f>IF(AND(ISNUMBER(BI59),ISNUMBER(BI53)),IFERROR(BI59/BI53,""),"")</f>
      </c>
      <c r="BJ60" s="215">
        <f>IF(AND(ISNUMBER(BJ59),ISNUMBER(BJ53)),IFERROR(BJ59/BJ53,""),"")</f>
      </c>
      <c r="BK60" s="215">
        <f>IF(AND(ISNUMBER(BK59),ISNUMBER(BK53)),IFERROR(BK59/BK53,""),"")</f>
      </c>
      <c r="BL60" s="215">
        <f>IF(AND(ISNUMBER(BL59),ISNUMBER(BL53)),IFERROR(BL59/BL53,""),"")</f>
      </c>
      <c r="BM60" s="215">
        <f>IF(AND(ISNUMBER(BM59),ISNUMBER(BM53)),IFERROR(BM59/BM53,""),"")</f>
      </c>
      <c r="BN60" s="215">
        <f>IF(AND(ISNUMBER(BN59),ISNUMBER(BN53)),IFERROR(BN59/BN53,""),"")</f>
      </c>
      <c r="BO60" s="215">
        <f>IF(AND(ISNUMBER(BO59),ISNUMBER(BO53)),IFERROR(BO59/BO53,""),"")</f>
      </c>
      <c r="BP60" s="215">
        <f>IF(AND(ISNUMBER(BP59),ISNUMBER(BP53)),IFERROR(BP59/BP53,""),"")</f>
      </c>
      <c r="BQ60" s="215">
        <f>IF(AND(ISNUMBER(BQ59),ISNUMBER(BQ53)),IFERROR(BQ59/BQ53,""),"")</f>
      </c>
      <c r="BR60" s="215">
        <f>IF(AND(ISNUMBER(BR59),ISNUMBER(BR53)),IFERROR(BR59/BR53,""),"")</f>
      </c>
      <c r="BS60" s="215">
        <f>IF(AND(ISNUMBER(BS59),ISNUMBER(BS53)),IFERROR(BS59/BS53,""),"")</f>
      </c>
      <c r="BT60" s="215">
        <f>IF(AND(ISNUMBER(BT59),ISNUMBER(BT53)),IFERROR(BT59/BT53,""),"")</f>
      </c>
      <c r="BU60" s="215">
        <f>IF(AND(ISNUMBER(BU59),ISNUMBER(BU53)),IFERROR(BU59/BU53,""),"")</f>
      </c>
      <c r="BV60" s="215">
        <f>IF(AND(ISNUMBER(BV59),ISNUMBER(BV53)),IFERROR(BV59/BV53,""),"")</f>
      </c>
      <c r="BW60" s="215">
        <f>IF(AND(ISNUMBER(BW59),ISNUMBER(BW53)),IFERROR(BW59/BW53,""),"")</f>
      </c>
      <c r="BX60" s="215">
        <f>IF(AND(ISNUMBER(BX59),ISNUMBER(BX53)),IFERROR(BX59/BX53,""),"")</f>
      </c>
      <c r="BY60" s="256">
        <f>IF(AND(ISNUMBER(BY59),ISNUMBER(BY53)),IFERROR(BY59/BY53,""),"")</f>
      </c>
      <c r="BZ60" s="256">
        <f>IF(AND(ISNUMBER(BZ59),ISNUMBER(BZ53)),IFERROR(BZ59/BZ53,""),"")</f>
      </c>
      <c r="CA60" s="256">
        <f>IF(AND(ISNUMBER(CA59),ISNUMBER(CA53)),IFERROR(CA59/CA53,""),"")</f>
      </c>
      <c r="CB60" s="256">
        <f>IF(AND(ISNUMBER(CB59),ISNUMBER(CB53)),IFERROR(CB59/CB53,""),"")</f>
      </c>
      <c r="CC60" s="256">
        <f>IF(AND(ISNUMBER(CC59),ISNUMBER(CC53)),IFERROR(CC59/CC53,""),"")</f>
      </c>
      <c r="CD60" s="256">
        <f>IF(AND(ISNUMBER(CD59),ISNUMBER(CD53)),IFERROR(CD59/CD53,""),"")</f>
      </c>
      <c r="CE60" s="256">
        <f>IF(AND(ISNUMBER(CE59),ISNUMBER(CE53)),IFERROR(CE59/CE53,""),"")</f>
      </c>
      <c r="CF60" s="256">
        <f>IF(AND(ISNUMBER(CF59),ISNUMBER(CF53)),IFERROR(CF59/CF53,""),"")</f>
      </c>
      <c r="CG60" s="153" t="n"/>
      <c r="CO60" s="15" t="inlineStr">
        <is>
          <t>CAMORT_G (content amortization y/y)</t>
        </is>
      </c>
      <c r="CP60" s="41" t="n">
        <v>-0.01</v>
      </c>
      <c r="CQ60" s="21" t="inlineStr">
        <is>
          <t>Δ →</t>
        </is>
      </c>
      <c r="CR60" s="41" t="n">
        <v>0.01</v>
      </c>
      <c r="CS60" s="13" t="inlineStr">
        <is>
          <t>FY24 +8%, FY25 +7%, FY26 guided ~+10% (higher in 1H on title timing); content growing slower than revenue drives margin. Bull = slower growth (more FCF).</t>
        </is>
      </c>
    </row>
    <row r="61" ht="15" customHeight="1" s="251">
      <c r="B61" s="57" t="inlineStr">
        <is>
          <t xml:space="preserve">  Check: Σ contribution profit vs revenue − cost of revenues − marketing (should be 0)</t>
        </is>
      </c>
      <c r="C61" s="264">
        <f>IF(ISNUMBER(C55),IF(ABS(C55+C57+N(C59)-(C121-C122-C127-N(C130)))&lt;=0.15,0,ROUND(C55+C57+N(C59)-(C121-C122-C127-N(C130)),1)),"")</f>
      </c>
      <c r="D61" s="264">
        <f>IF(ISNUMBER(D55),IF(ABS(D55+D57+N(D59)-(D121-D122-D127-N(D130)))&lt;=0.15,0,ROUND(D55+D57+N(D59)-(D121-D122-D127-N(D130)),1)),"")</f>
      </c>
      <c r="E61" s="264">
        <f>IF(ISNUMBER(E55),IF(ABS(E55+E57+N(E59)-(E121-E122-E127-N(E130)))&lt;=0.15,0,ROUND(E55+E57+N(E59)-(E121-E122-E127-N(E130)),1)),"")</f>
      </c>
      <c r="F61" s="264">
        <f>IF(ISNUMBER(F55),IF(ABS(F55+F57+N(F59)-(F121-F122-F127-N(F130)))&lt;=0.15,0,ROUND(F55+F57+N(F59)-(F121-F122-F127-N(F130)),1)),"")</f>
      </c>
      <c r="G61" s="264">
        <f>IF(ISNUMBER(G55),IF(ABS(G55+G57+N(G59)-(G121-G122-G127-N(G130)))&lt;=0.15,0,ROUND(G55+G57+N(G59)-(G121-G122-G127-N(G130)),1)),"")</f>
      </c>
      <c r="H61" s="264">
        <f>IF(ISNUMBER(H55),IF(ABS(H55+H57+N(H59)-(H121-H122-H127-N(H130)))&lt;=0.15,0,ROUND(H55+H57+N(H59)-(H121-H122-H127-N(H130)),1)),"")</f>
      </c>
      <c r="I61" s="264">
        <f>IF(ISNUMBER(I55),IF(ABS(I55+I57+N(I59)-(I121-I122-I127-N(I130)))&lt;=0.15,0,ROUND(I55+I57+N(I59)-(I121-I122-I127-N(I130)),1)),"")</f>
        <v>0</v>
      </c>
      <c r="J61" s="264">
        <f>IF(ISNUMBER(J55),IF(ABS(J55+J57+N(J59)-(J121-J122-J127-N(J130)))&lt;=0.15,0,ROUND(J55+J57+N(J59)-(J121-J122-J127-N(J130)),1)),"")</f>
        <v>0</v>
      </c>
      <c r="K61" s="264">
        <f>IF(ISNUMBER(K55),IF(ABS(K55+K57+N(K59)-(K121-K122-K127-N(K130)))&lt;=0.15,0,ROUND(K55+K57+N(K59)-(K121-K122-K127-N(K130)),1)),"")</f>
        <v>0</v>
      </c>
      <c r="L61" s="264">
        <f>IF(ISNUMBER(L55),IF(ABS(L55+L57+N(L59)-(L121-L122-L127-N(L130)))&lt;=0.15,0,ROUND(L55+L57+N(L59)-(L121-L122-L127-N(L130)),1)),"")</f>
        <v>0</v>
      </c>
      <c r="M61" s="264">
        <f>IF(ISNUMBER(M55),IF(ABS(M55+M57+N(M59)-(M121-M122-M127-N(M130)))&lt;=0.15,0,ROUND(M55+M57+N(M59)-(M121-M122-M127-N(M130)),1)),"")</f>
        <v>0</v>
      </c>
      <c r="N61" s="264">
        <f>IF(ISNUMBER(N55),IF(ABS(N55+N57+N(N59)-(N121-N122-N127-N(N130)))&lt;=0.15,0,ROUND(N55+N57+N(N59)-(N121-N122-N127-N(N130)),1)),"")</f>
        <v>0</v>
      </c>
      <c r="O61" s="264">
        <f>IF(ISNUMBER(O55),IF(ABS(O55+O57+N(O59)-(O121-O122-O127-N(O130)))&lt;=0.15,0,ROUND(O55+O57+N(O59)-(O121-O122-O127-N(O130)),1)),"")</f>
        <v>0</v>
      </c>
      <c r="P61" s="264">
        <f>IF(ISNUMBER(P55),IF(ABS(P55+P57+N(P59)-(P121-P122-P127-N(P130)))&lt;=0.15,0,ROUND(P55+P57+N(P59)-(P121-P122-P127-N(P130)),1)),"")</f>
        <v>0</v>
      </c>
      <c r="Q61" s="264">
        <f>IF(ISNUMBER(Q55),IF(ABS(Q55+Q57+N(Q59)-(Q121-Q122-Q127-N(Q130)))&lt;=0.15,0,ROUND(Q55+Q57+N(Q59)-(Q121-Q122-Q127-N(Q130)),1)),"")</f>
        <v>0</v>
      </c>
      <c r="R61" s="264">
        <f>IF(ISNUMBER(R55),IF(ABS(R55+R57+N(R59)-(R121-R122-R127-N(R130)))&lt;=0.15,0,ROUND(R55+R57+N(R59)-(R121-R122-R127-N(R130)),1)),"")</f>
        <v>0</v>
      </c>
      <c r="S61" s="264">
        <f>IF(ISNUMBER(S55),IF(ABS(S55+S57+N(S59)-(S121-S122-S127-N(S130)))&lt;=0.15,0,ROUND(S55+S57+N(S59)-(S121-S122-S127-N(S130)),1)),"")</f>
        <v>0</v>
      </c>
      <c r="T61" s="264">
        <f>IF(ISNUMBER(T55),IF(ABS(T55+T57+N(T59)-(T121-T122-T127-N(T130)))&lt;=0.15,0,ROUND(T55+T57+N(T59)-(T121-T122-T127-N(T130)),1)),"")</f>
        <v>0</v>
      </c>
      <c r="U61" s="264">
        <f>IF(ISNUMBER(U55),IF(ABS(U55+U57+N(U59)-(U121-U122-U127-N(U130)))&lt;=0.15,0,ROUND(U55+U57+N(U59)-(U121-U122-U127-N(U130)),1)),"")</f>
        <v>0</v>
      </c>
      <c r="V61" s="264">
        <f>IF(ISNUMBER(V55),IF(ABS(V55+V57+N(V59)-(V121-V122-V127-N(V130)))&lt;=0.15,0,ROUND(V55+V57+N(V59)-(V121-V122-V127-N(V130)),1)),"")</f>
        <v>0</v>
      </c>
      <c r="W61" s="264">
        <f>IF(ISNUMBER(W55),IF(ABS(W55+W57+N(W59)-(W121-W122-W127-N(W130)))&lt;=0.15,0,ROUND(W55+W57+N(W59)-(W121-W122-W127-N(W130)),1)),"")</f>
        <v>0</v>
      </c>
      <c r="X61" s="264">
        <f>IF(ISNUMBER(X55),IF(ABS(X55+X57+N(X59)-(X121-X122-X127-N(X130)))&lt;=0.15,0,ROUND(X55+X57+N(X59)-(X121-X122-X127-N(X130)),1)),"")</f>
        <v>0</v>
      </c>
      <c r="Y61" s="264">
        <f>IF(ISNUMBER(Y55),IF(ABS(Y55+Y57+N(Y59)-(Y121-Y122-Y127-N(Y130)))&lt;=0.15,0,ROUND(Y55+Y57+N(Y59)-(Y121-Y122-Y127-N(Y130)),1)),"")</f>
        <v>0</v>
      </c>
      <c r="Z61" s="264">
        <f>IF(ISNUMBER(Z55),IF(ABS(Z55+Z57+N(Z59)-(Z121-Z122-Z127-N(Z130)))&lt;=0.15,0,ROUND(Z55+Z57+N(Z59)-(Z121-Z122-Z127-N(Z130)),1)),"")</f>
        <v>0</v>
      </c>
      <c r="AA61" s="264">
        <f>IF(ISNUMBER(AA55),IF(ABS(AA55+AA57+N(AA59)-(AA121-AA122-AA127-N(AA130)))&lt;=0.15,0,ROUND(AA55+AA57+N(AA59)-(AA121-AA122-AA127-N(AA130)),1)),"")</f>
        <v>0</v>
      </c>
      <c r="AB61" s="264">
        <f>IF(ISNUMBER(AB55),IF(ABS(AB55+AB57+N(AB59)-(AB121-AB122-AB127-N(AB130)))&lt;=0.15,0,ROUND(AB55+AB57+N(AB59)-(AB121-AB122-AB127-N(AB130)),1)),"")</f>
        <v>0</v>
      </c>
      <c r="AC61" s="264">
        <f>IF(ISNUMBER(AC55),IF(ABS(AC55+AC57+N(AC59)-(AC121-AC122-AC127-N(AC130)))&lt;=0.15,0,ROUND(AC55+AC57+N(AC59)-(AC121-AC122-AC127-N(AC130)),1)),"")</f>
        <v>0</v>
      </c>
      <c r="AD61" s="264">
        <f>IF(ISNUMBER(AD55),IF(ABS(AD55+AD57+N(AD59)-(AD121-AD122-AD127-N(AD130)))&lt;=0.15,0,ROUND(AD55+AD57+N(AD59)-(AD121-AD122-AD127-N(AD130)),1)),"")</f>
        <v>0</v>
      </c>
      <c r="AE61" s="264">
        <f>IF(ISNUMBER(AE55),IF(ABS(AE55+AE57+N(AE59)-(AE121-AE122-AE127-N(AE130)))&lt;=0.15,0,ROUND(AE55+AE57+N(AE59)-(AE121-AE122-AE127-N(AE130)),1)),"")</f>
        <v>0</v>
      </c>
      <c r="AF61" s="264">
        <f>IF(ISNUMBER(AF55),IF(ABS(AF55+AF57+N(AF59)-(AF121-AF122-AF127-N(AF130)))&lt;=0.15,0,ROUND(AF55+AF57+N(AF59)-(AF121-AF122-AF127-N(AF130)),1)),"")</f>
        <v>0</v>
      </c>
      <c r="AG61" s="264">
        <f>IF(ISNUMBER(AG55),IF(ABS(AG55+AG57+N(AG59)-(AG121-AG122-AG127-N(AG130)))&lt;=0.15,0,ROUND(AG55+AG57+N(AG59)-(AG121-AG122-AG127-N(AG130)),1)),"")</f>
        <v>0</v>
      </c>
      <c r="AH61" s="264">
        <f>IF(ISNUMBER(AH55),IF(ABS(AH55+AH57+N(AH59)-(AH121-AH122-AH127-N(AH130)))&lt;=0.15,0,ROUND(AH55+AH57+N(AH59)-(AH121-AH122-AH127-N(AH130)),1)),"")</f>
        <v>0</v>
      </c>
      <c r="AI61" s="264">
        <f>IF(ISNUMBER(AI55),IF(ABS(AI55+AI57+N(AI59)-(AI121-AI122-AI127-N(AI130)))&lt;=0.15,0,ROUND(AI55+AI57+N(AI59)-(AI121-AI122-AI127-N(AI130)),1)),"")</f>
        <v>0</v>
      </c>
      <c r="AJ61" s="264">
        <f>IF(ISNUMBER(AJ55),IF(ABS(AJ55+AJ57+N(AJ59)-(AJ121-AJ122-AJ127-N(AJ130)))&lt;=0.15,0,ROUND(AJ55+AJ57+N(AJ59)-(AJ121-AJ122-AJ127-N(AJ130)),1)),"")</f>
        <v>0</v>
      </c>
      <c r="AK61" s="264">
        <f>IF(ISNUMBER(AK55),IF(ABS(AK55+AK57+N(AK59)-(AK121-AK122-AK127-N(AK130)))&lt;=0.15,0,ROUND(AK55+AK57+N(AK59)-(AK121-AK122-AK127-N(AK130)),1)),"")</f>
        <v>0</v>
      </c>
      <c r="AL61" s="264">
        <f>IF(ISNUMBER(AL55),IF(ABS(AL55+AL57+N(AL59)-(AL121-AL122-AL127-N(AL130)))&lt;=0.15,0,ROUND(AL55+AL57+N(AL59)-(AL121-AL122-AL127-N(AL130)),1)),"")</f>
        <v>0</v>
      </c>
      <c r="AM61" s="264">
        <f>IF(ISNUMBER(AM55),IF(ABS(AM55+AM57+N(AM59)-(AM121-AM122-AM127-N(AM130)))&lt;=0.15,0,ROUND(AM55+AM57+N(AM59)-(AM121-AM122-AM127-N(AM130)),1)),"")</f>
        <v>0</v>
      </c>
      <c r="AN61" s="264">
        <f>IF(ISNUMBER(AN55),IF(ABS(AN55+AN57+N(AN59)-(AN121-AN122-AN127-N(AN130)))&lt;=0.15,0,ROUND(AN55+AN57+N(AN59)-(AN121-AN122-AN127-N(AN130)),1)),"")</f>
        <v>0</v>
      </c>
      <c r="AO61" s="264">
        <f>IF(ISNUMBER(AO55),IF(ABS(AO55+AO57+N(AO59)-(AO121-AO122-AO127-N(AO130)))&lt;=0.15,0,ROUND(AO55+AO57+N(AO59)-(AO121-AO122-AO127-N(AO130)),1)),"")</f>
        <v>0</v>
      </c>
      <c r="AP61" s="264">
        <f>IF(ISNUMBER(AP55),IF(ABS(AP55+AP57+N(AP59)-(AP121-AP122-AP127-N(AP130)))&lt;=0.15,0,ROUND(AP55+AP57+N(AP59)-(AP121-AP122-AP127-N(AP130)),1)),"")</f>
        <v>0</v>
      </c>
      <c r="AQ61" s="264">
        <f>IF(ISNUMBER(AQ55),IF(ABS(AQ55+AQ57+N(AQ59)-(AQ121-AQ122-AQ127-N(AQ130)))&lt;=0.15,0,ROUND(AQ55+AQ57+N(AQ59)-(AQ121-AQ122-AQ127-N(AQ130)),1)),"")</f>
        <v>0</v>
      </c>
      <c r="AR61" s="264">
        <f>IF(ISNUMBER(AR55),IF(ABS(AR55+AR57+N(AR59)-(AR121-AR122-AR127-N(AR130)))&lt;=0.15,0,ROUND(AR55+AR57+N(AR59)-(AR121-AR122-AR127-N(AR130)),1)),"")</f>
        <v>0</v>
      </c>
      <c r="AS61" s="264">
        <f>IF(ISNUMBER(AS55),IF(ABS(AS55+AS57+N(AS59)-(AS121-AS122-AS127-N(AS130)))&lt;=0.15,0,ROUND(AS55+AS57+N(AS59)-(AS121-AS122-AS127-N(AS130)),1)),"")</f>
      </c>
      <c r="AT61" s="264">
        <f>IF(ISNUMBER(AT55),IF(ABS(AT55+AT57+N(AT59)-(AT121-AT122-AT127-N(AT130)))&lt;=0.15,0,ROUND(AT55+AT57+N(AT59)-(AT121-AT122-AT127-N(AT130)),1)),"")</f>
      </c>
      <c r="AU61" s="264">
        <f>IF(ISNUMBER(AU55),IF(ABS(AU55+AU57+N(AU59)-(AU121-AU122-AU127-N(AU130)))&lt;=0.15,0,ROUND(AU55+AU57+N(AU59)-(AU121-AU122-AU127-N(AU130)),1)),"")</f>
      </c>
      <c r="AV61" s="264">
        <f>IF(ISNUMBER(AV55),IF(ABS(AV55+AV57+N(AV59)-(AV121-AV122-AV127-N(AV130)))&lt;=0.15,0,ROUND(AV55+AV57+N(AV59)-(AV121-AV122-AV127-N(AV130)),1)),"")</f>
      </c>
      <c r="AW61" s="264">
        <f>IF(ISNUMBER(AW55),IF(ABS(AW55+AW57+N(AW59)-(AW121-AW122-AW127-N(AW130)))&lt;=0.15,0,ROUND(AW55+AW57+N(AW59)-(AW121-AW122-AW127-N(AW130)),1)),"")</f>
      </c>
      <c r="AX61" s="264">
        <f>IF(ISNUMBER(AX55),IF(ABS(AX55+AX57+N(AX59)-(AX121-AX122-AX127-N(AX130)))&lt;=0.15,0,ROUND(AX55+AX57+N(AX59)-(AX121-AX122-AX127-N(AX130)),1)),"")</f>
      </c>
      <c r="AY61" s="264">
        <f>IF(ISNUMBER(AY55),IF(ABS(AY55+AY57+N(AY59)-(AY121-AY122-AY127-N(AY130)))&lt;=0.15,0,ROUND(AY55+AY57+N(AY59)-(AY121-AY122-AY127-N(AY130)),1)),"")</f>
      </c>
      <c r="AZ61" s="264">
        <f>IF(ISNUMBER(AZ55),IF(ABS(AZ55+AZ57+N(AZ59)-(AZ121-AZ122-AZ127-N(AZ130)))&lt;=0.15,0,ROUND(AZ55+AZ57+N(AZ59)-(AZ121-AZ122-AZ127-N(AZ130)),1)),"")</f>
      </c>
      <c r="BA61" s="264">
        <f>IF(ISNUMBER(BA55),IF(ABS(BA55+BA57+N(BA59)-(BA121-BA122-BA127-N(BA130)))&lt;=0.15,0,ROUND(BA55+BA57+N(BA59)-(BA121-BA122-BA127-N(BA130)),1)),"")</f>
      </c>
      <c r="BB61" s="264">
        <f>IF(ISNUMBER(BB55),IF(ABS(BB55+BB57+N(BB59)-(BB121-BB122-BB127-N(BB130)))&lt;=0.15,0,ROUND(BB55+BB57+N(BB59)-(BB121-BB122-BB127-N(BB130)),1)),"")</f>
      </c>
      <c r="BC61" s="264">
        <f>IF(ISNUMBER(BC55),IF(ABS(BC55+BC57+N(BC59)-(BC121-BC122-BC127-N(BC130)))&lt;=0.15,0,ROUND(BC55+BC57+N(BC59)-(BC121-BC122-BC127-N(BC130)),1)),"")</f>
      </c>
      <c r="BD61" s="264">
        <f>IF(ISNUMBER(BD55),IF(ABS(BD55+BD57+N(BD59)-(BD121-BD122-BD127-N(BD130)))&lt;=0.15,0,ROUND(BD55+BD57+N(BD59)-(BD121-BD122-BD127-N(BD130)),1)),"")</f>
      </c>
      <c r="BE61" s="264">
        <f>IF(ISNUMBER(BE55),IF(ABS(BE55+BE57+N(BE59)-(BE121-BE122-BE127-N(BE130)))&lt;=0.15,0,ROUND(BE55+BE57+N(BE59)-(BE121-BE122-BE127-N(BE130)),1)),"")</f>
      </c>
      <c r="BF61" s="264">
        <f>IF(ISNUMBER(BF55),IF(ABS(BF55+BF57+N(BF59)-(BF121-BF122-BF127-N(BF130)))&lt;=0.15,0,ROUND(BF55+BF57+N(BF59)-(BF121-BF122-BF127-N(BF130)),1)),"")</f>
      </c>
      <c r="BG61" s="264">
        <f>IF(ISNUMBER(BG55),IF(ABS(BG55+BG57+N(BG59)-(BG121-BG122-BG127-N(BG130)))&lt;=0.15,0,ROUND(BG55+BG57+N(BG59)-(BG121-BG122-BG127-N(BG130)),1)),"")</f>
      </c>
      <c r="BH61" s="264">
        <f>IF(ISNUMBER(BH55),IF(ABS(BH55+BH57+N(BH59)-(BH121-BH122-BH127-N(BH130)))&lt;=0.15,0,ROUND(BH55+BH57+N(BH59)-(BH121-BH122-BH127-N(BH130)),1)),"")</f>
      </c>
      <c r="BI61" s="264">
        <f>IF(ISNUMBER(BI55),IF(ABS(BI55+BI57+N(BI59)-(BI121-BI122-BI127-N(BI130)))&lt;=0.15,0,ROUND(BI55+BI57+N(BI59)-(BI121-BI122-BI127-N(BI130)),1)),"")</f>
      </c>
      <c r="BJ61" s="264">
        <f>IF(ISNUMBER(BJ55),IF(ABS(BJ55+BJ57+N(BJ59)-(BJ121-BJ122-BJ127-N(BJ130)))&lt;=0.15,0,ROUND(BJ55+BJ57+N(BJ59)-(BJ121-BJ122-BJ127-N(BJ130)),1)),"")</f>
      </c>
      <c r="BK61" s="264">
        <f>IF(ISNUMBER(BK55),IF(ABS(BK55+BK57+N(BK59)-(BK121-BK122-BK127-N(BK130)))&lt;=0.15,0,ROUND(BK55+BK57+N(BK59)-(BK121-BK122-BK127-N(BK130)),1)),"")</f>
      </c>
      <c r="BL61" s="264">
        <f>IF(ISNUMBER(BL55),IF(ABS(BL55+BL57+N(BL59)-(BL121-BL122-BL127-N(BL130)))&lt;=0.15,0,ROUND(BL55+BL57+N(BL59)-(BL121-BL122-BL127-N(BL130)),1)),"")</f>
      </c>
      <c r="BM61" s="264">
        <f>IF(ISNUMBER(BM55),IF(ABS(BM55+BM57+N(BM59)-(BM121-BM122-BM127-N(BM130)))&lt;=0.15,0,ROUND(BM55+BM57+N(BM59)-(BM121-BM122-BM127-N(BM130)),1)),"")</f>
      </c>
      <c r="BN61" s="264">
        <f>IF(ISNUMBER(BN55),IF(ABS(BN55+BN57+N(BN59)-(BN121-BN122-BN127-N(BN130)))&lt;=0.15,0,ROUND(BN55+BN57+N(BN59)-(BN121-BN122-BN127-N(BN130)),1)),"")</f>
      </c>
      <c r="BO61" s="264">
        <f>IF(ISNUMBER(BO55),IF(ABS(BO55+BO57+N(BO59)-(BO121-BO122-BO127-N(BO130)))&lt;=0.15,0,ROUND(BO55+BO57+N(BO59)-(BO121-BO122-BO127-N(BO130)),1)),"")</f>
      </c>
      <c r="BP61" s="264">
        <f>IF(ISNUMBER(BP55),IF(ABS(BP55+BP57+N(BP59)-(BP121-BP122-BP127-N(BP130)))&lt;=0.15,0,ROUND(BP55+BP57+N(BP59)-(BP121-BP122-BP127-N(BP130)),1)),"")</f>
      </c>
      <c r="BQ61" s="264">
        <f>IF(ISNUMBER(BQ55),IF(ABS(BQ55+BQ57+N(BQ59)-(BQ121-BQ122-BQ127-N(BQ130)))&lt;=0.15,0,ROUND(BQ55+BQ57+N(BQ59)-(BQ121-BQ122-BQ127-N(BQ130)),1)),"")</f>
      </c>
      <c r="BR61" s="264">
        <f>IF(ISNUMBER(BR55),IF(ABS(BR55+BR57+N(BR59)-(BR121-BR122-BR127-N(BR130)))&lt;=0.15,0,ROUND(BR55+BR57+N(BR59)-(BR121-BR122-BR127-N(BR130)),1)),"")</f>
      </c>
      <c r="BS61" s="264">
        <f>IF(ISNUMBER(BS55),IF(ABS(BS55+BS57+N(BS59)-(BS121-BS122-BS127-N(BS130)))&lt;=0.15,0,ROUND(BS55+BS57+N(BS59)-(BS121-BS122-BS127-N(BS130)),1)),"")</f>
      </c>
      <c r="BT61" s="264">
        <f>IF(ISNUMBER(BT55),IF(ABS(BT55+BT57+N(BT59)-(BT121-BT122-BT127-N(BT130)))&lt;=0.15,0,ROUND(BT55+BT57+N(BT59)-(BT121-BT122-BT127-N(BT130)),1)),"")</f>
      </c>
      <c r="BU61" s="264">
        <f>IF(ISNUMBER(BU55),IF(ABS(BU55+BU57+N(BU59)-(BU121-BU122-BU127-N(BU130)))&lt;=0.15,0,ROUND(BU55+BU57+N(BU59)-(BU121-BU122-BU127-N(BU130)),1)),"")</f>
      </c>
      <c r="BV61" s="264">
        <f>IF(ISNUMBER(BV55),IF(ABS(BV55+BV57+N(BV59)-(BV121-BV122-BV127-N(BV130)))&lt;=0.15,0,ROUND(BV55+BV57+N(BV59)-(BV121-BV122-BV127-N(BV130)),1)),"")</f>
      </c>
      <c r="BW61" s="264">
        <f>IF(ISNUMBER(BW55),IF(ABS(BW55+BW57+N(BW59)-(BW121-BW122-BW127-N(BW130)))&lt;=0.15,0,ROUND(BW55+BW57+N(BW59)-(BW121-BW122-BW127-N(BW130)),1)),"")</f>
      </c>
      <c r="BX61" s="264">
        <f>IF(ISNUMBER(BX55),IF(ABS(BX55+BX57+N(BX59)-(BX121-BX122-BX127-N(BX130)))&lt;=0.15,0,ROUND(BX55+BX57+N(BX59)-(BX121-BX122-BX127-N(BX130)),1)),"")</f>
      </c>
      <c r="BY61" s="153" t="n"/>
      <c r="BZ61" s="153" t="n"/>
      <c r="CA61" s="153" t="n"/>
      <c r="CB61" s="153" t="n"/>
      <c r="CC61" s="153" t="n"/>
      <c r="CD61" s="153" t="n"/>
      <c r="CE61" s="153" t="n"/>
      <c r="CF61" s="153" t="n"/>
      <c r="CG61" s="153" t="n"/>
      <c r="CO61" s="25" t="inlineStr">
        <is>
          <t xml:space="preserve">  2027E</t>
        </is>
      </c>
      <c r="CP61" s="33">
        <f>CQ61+$CP$60</f>
        <v>0.07</v>
      </c>
      <c r="CQ61" s="42" t="n">
        <v>0.08</v>
      </c>
      <c r="CR61" s="33">
        <f>CQ61+$CR$60</f>
        <v>0.09</v>
      </c>
    </row>
    <row r="62" ht="15" customHeight="1" s="251">
      <c r="B62" s="156" t="inlineStr">
        <is>
          <t xml:space="preserve">  Domestic streaming memberships at period end (m; paid where published, else total)</t>
        </is>
      </c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253" t="n">
        <v>41.397</v>
      </c>
      <c r="U62" s="253" t="n">
        <v>42.3</v>
      </c>
      <c r="V62" s="253" t="n">
        <v>43.181</v>
      </c>
      <c r="W62" s="253" t="n">
        <v>44.738</v>
      </c>
      <c r="X62" s="253" t="n">
        <v>44.738</v>
      </c>
      <c r="Y62" s="253" t="n">
        <v>46.967</v>
      </c>
      <c r="Z62" s="253" t="n">
        <v>47.129</v>
      </c>
      <c r="AA62" s="253" t="n">
        <v>47.497</v>
      </c>
      <c r="AB62" s="253" t="n">
        <v>49.431</v>
      </c>
      <c r="AC62" s="253" t="n">
        <v>49.431</v>
      </c>
      <c r="AD62" s="253" t="n">
        <v>50.854</v>
      </c>
      <c r="AE62" s="253" t="n">
        <v>51.921</v>
      </c>
      <c r="AF62" s="253" t="n">
        <v>52.772</v>
      </c>
      <c r="AG62" s="253" t="n">
        <v>54.75</v>
      </c>
      <c r="AH62" s="253" t="n">
        <v>54.75</v>
      </c>
      <c r="AI62" s="34" t="n"/>
      <c r="AJ62" s="34" t="n"/>
      <c r="AK62" s="34" t="n"/>
      <c r="AL62" s="34" t="n"/>
      <c r="AM62" s="34" t="n"/>
      <c r="AN62" s="34" t="n"/>
      <c r="AO62" s="34" t="n"/>
      <c r="AP62" s="34" t="n"/>
      <c r="AQ62" s="34" t="n"/>
      <c r="AR62" s="34" t="n"/>
      <c r="AS62" s="34" t="n"/>
      <c r="AT62" s="34" t="n"/>
      <c r="AU62" s="34" t="n"/>
      <c r="AV62" s="34" t="n"/>
      <c r="AW62" s="34" t="n"/>
      <c r="AX62" s="34" t="n"/>
      <c r="AY62" s="34" t="n"/>
      <c r="AZ62" s="34" t="n"/>
      <c r="BA62" s="34" t="n"/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153" t="n"/>
      <c r="BZ62" s="153" t="n"/>
      <c r="CA62" s="153" t="n"/>
      <c r="CB62" s="153" t="n"/>
      <c r="CC62" s="153" t="n"/>
      <c r="CD62" s="153" t="n"/>
      <c r="CE62" s="153" t="n"/>
      <c r="CF62" s="153" t="n"/>
      <c r="CG62" s="153" t="n"/>
      <c r="CO62" s="25" t="inlineStr">
        <is>
          <t xml:space="preserve">  2028E</t>
        </is>
      </c>
      <c r="CP62" s="33">
        <f>CQ62+$CP$60</f>
        <v>0.06</v>
      </c>
      <c r="CQ62" s="42" t="n">
        <v>0.07000000000000001</v>
      </c>
      <c r="CR62" s="33">
        <f>CQ62+$CR$60</f>
        <v>0.08</v>
      </c>
    </row>
    <row r="63" ht="15" customHeight="1" s="251">
      <c r="B63" s="156" t="inlineStr">
        <is>
          <t xml:space="preserve">  International streaming memberships at period end (m; paid where published, else total)</t>
        </is>
      </c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253" t="n">
        <v>20.877</v>
      </c>
      <c r="U63" s="253" t="n">
        <v>23.251</v>
      </c>
      <c r="V63" s="253" t="n">
        <v>25.987</v>
      </c>
      <c r="W63" s="253" t="n">
        <v>30.024</v>
      </c>
      <c r="X63" s="253" t="n">
        <v>30.024</v>
      </c>
      <c r="Y63" s="253" t="n">
        <v>34.533</v>
      </c>
      <c r="Z63" s="253" t="n">
        <v>36.048</v>
      </c>
      <c r="AA63" s="253" t="n">
        <v>39.246</v>
      </c>
      <c r="AB63" s="253" t="n">
        <v>44.365</v>
      </c>
      <c r="AC63" s="253" t="n">
        <v>44.365</v>
      </c>
      <c r="AD63" s="253" t="n">
        <v>47.894</v>
      </c>
      <c r="AE63" s="253" t="n">
        <v>52.031</v>
      </c>
      <c r="AF63" s="253" t="n">
        <v>56.476</v>
      </c>
      <c r="AG63" s="253" t="n">
        <v>62.832</v>
      </c>
      <c r="AH63" s="253" t="n">
        <v>62.832</v>
      </c>
      <c r="AI63" s="34" t="n"/>
      <c r="AJ63" s="34" t="n"/>
      <c r="AK63" s="34" t="n"/>
      <c r="AL63" s="34" t="n"/>
      <c r="AM63" s="34" t="n"/>
      <c r="AN63" s="34" t="n"/>
      <c r="AO63" s="34" t="n"/>
      <c r="AP63" s="34" t="n"/>
      <c r="AQ63" s="34" t="n"/>
      <c r="AR63" s="34" t="n"/>
      <c r="AS63" s="34" t="n"/>
      <c r="AT63" s="34" t="n"/>
      <c r="AU63" s="34" t="n"/>
      <c r="AV63" s="34" t="n"/>
      <c r="AW63" s="34" t="n"/>
      <c r="AX63" s="34" t="n"/>
      <c r="AY63" s="34" t="n"/>
      <c r="AZ63" s="34" t="n"/>
      <c r="BA63" s="34" t="n"/>
      <c r="BB63" s="34" t="n"/>
      <c r="BC63" s="34" t="n"/>
      <c r="BD63" s="34" t="n"/>
      <c r="BE63" s="34" t="n"/>
      <c r="BF63" s="34" t="n"/>
      <c r="BG63" s="34" t="n"/>
      <c r="BH63" s="34" t="n"/>
      <c r="BI63" s="34" t="n"/>
      <c r="BJ63" s="34" t="n"/>
      <c r="BK63" s="34" t="n"/>
      <c r="BL63" s="34" t="n"/>
      <c r="BM63" s="34" t="n"/>
      <c r="BN63" s="34" t="n"/>
      <c r="BO63" s="34" t="n"/>
      <c r="BP63" s="34" t="n"/>
      <c r="BQ63" s="34" t="n"/>
      <c r="BR63" s="34" t="n"/>
      <c r="BS63" s="34" t="n"/>
      <c r="BT63" s="34" t="n"/>
      <c r="BU63" s="34" t="n"/>
      <c r="BV63" s="34" t="n"/>
      <c r="BW63" s="34" t="n"/>
      <c r="BX63" s="34" t="n"/>
      <c r="BY63" s="153" t="n"/>
      <c r="BZ63" s="153" t="n"/>
      <c r="CA63" s="153" t="n"/>
      <c r="CB63" s="153" t="n"/>
      <c r="CC63" s="153" t="n"/>
      <c r="CD63" s="153" t="n"/>
      <c r="CE63" s="153" t="n"/>
      <c r="CF63" s="153" t="n"/>
      <c r="CG63" s="153" t="n"/>
      <c r="CO63" s="25" t="inlineStr">
        <is>
          <t xml:space="preserve">  2029E</t>
        </is>
      </c>
      <c r="CP63" s="33">
        <f>CQ63+$CP$60</f>
        <v>0.055</v>
      </c>
      <c r="CQ63" s="42" t="n">
        <v>0.065</v>
      </c>
      <c r="CR63" s="33">
        <f>CQ63+$CR$60</f>
        <v>0.075</v>
      </c>
    </row>
    <row r="64" ht="15" customHeight="1" s="251">
      <c r="B64" s="156" t="inlineStr">
        <is>
          <t xml:space="preserve">  Domestic DVD memberships at period end (m; paid where published, else total)</t>
        </is>
      </c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253" t="n">
        <v>5.564</v>
      </c>
      <c r="U64" s="253" t="n">
        <v>5.314</v>
      </c>
      <c r="V64" s="253" t="n">
        <v>5.06</v>
      </c>
      <c r="W64" s="253" t="n">
        <v>4.904</v>
      </c>
      <c r="X64" s="253" t="n">
        <v>4.904</v>
      </c>
      <c r="Y64" s="253" t="n">
        <v>4.741</v>
      </c>
      <c r="Z64" s="253" t="n">
        <v>4.53</v>
      </c>
      <c r="AA64" s="253" t="n">
        <v>4.273</v>
      </c>
      <c r="AB64" s="253" t="n">
        <v>4.114</v>
      </c>
      <c r="AC64" s="253" t="n">
        <v>4.114</v>
      </c>
      <c r="AD64" s="253" t="n">
        <v>3.944</v>
      </c>
      <c r="AE64" s="253" t="n">
        <v>3.758</v>
      </c>
      <c r="AF64" s="253" t="n">
        <v>3.569</v>
      </c>
      <c r="AG64" s="253" t="n">
        <v>3.383</v>
      </c>
      <c r="AH64" s="253" t="n">
        <v>3.383</v>
      </c>
      <c r="AI64" s="34" t="n"/>
      <c r="AJ64" s="34" t="n"/>
      <c r="AK64" s="34" t="n"/>
      <c r="AL64" s="34" t="n"/>
      <c r="AM64" s="34" t="n"/>
      <c r="AN64" s="34" t="n"/>
      <c r="AO64" s="34" t="n"/>
      <c r="AP64" s="34" t="n"/>
      <c r="AQ64" s="34" t="n"/>
      <c r="AR64" s="34" t="n"/>
      <c r="AS64" s="34" t="n"/>
      <c r="AT64" s="34" t="n"/>
      <c r="AU64" s="34" t="n"/>
      <c r="AV64" s="34" t="n"/>
      <c r="AW64" s="34" t="n"/>
      <c r="AX64" s="34" t="n"/>
      <c r="AY64" s="34" t="n"/>
      <c r="AZ64" s="34" t="n"/>
      <c r="BA64" s="34" t="n"/>
      <c r="BB64" s="34" t="n"/>
      <c r="BC64" s="34" t="n"/>
      <c r="BD64" s="34" t="n"/>
      <c r="BE64" s="34" t="n"/>
      <c r="BF64" s="34" t="n"/>
      <c r="BG64" s="34" t="n"/>
      <c r="BH64" s="34" t="n"/>
      <c r="BI64" s="34" t="n"/>
      <c r="BJ64" s="34" t="n"/>
      <c r="BK64" s="34" t="n"/>
      <c r="BL64" s="34" t="n"/>
      <c r="BM64" s="34" t="n"/>
      <c r="BN64" s="34" t="n"/>
      <c r="BO64" s="34" t="n"/>
      <c r="BP64" s="34" t="n"/>
      <c r="BQ64" s="34" t="n"/>
      <c r="BR64" s="34" t="n"/>
      <c r="BS64" s="34" t="n"/>
      <c r="BT64" s="34" t="n"/>
      <c r="BU64" s="34" t="n"/>
      <c r="BV64" s="34" t="n"/>
      <c r="BW64" s="34" t="n"/>
      <c r="BX64" s="34" t="n"/>
      <c r="BY64" s="153" t="n"/>
      <c r="BZ64" s="153" t="n"/>
      <c r="CA64" s="153" t="n"/>
      <c r="CB64" s="153" t="n"/>
      <c r="CC64" s="153" t="n"/>
      <c r="CD64" s="153" t="n"/>
      <c r="CE64" s="153" t="n"/>
      <c r="CF64" s="153" t="n"/>
      <c r="CG64" s="153" t="n"/>
      <c r="CO64" s="25" t="inlineStr">
        <is>
          <t xml:space="preserve">  2030E</t>
        </is>
      </c>
      <c r="CP64" s="33">
        <f>CQ64+$CP$60</f>
        <v>0.05</v>
      </c>
      <c r="CQ64" s="42" t="n">
        <v>0.06</v>
      </c>
      <c r="CR64" s="33">
        <f>CQ64+$CR$60</f>
        <v>0.07</v>
      </c>
    </row>
    <row r="65" ht="15" customHeight="1" s="251">
      <c r="CO65" s="25" t="inlineStr">
        <is>
          <t xml:space="preserve">  2031E</t>
        </is>
      </c>
      <c r="CP65" s="33">
        <f>CQ65+$CP$60</f>
        <v>0.045</v>
      </c>
      <c r="CQ65" s="42" t="n">
        <v>0.055</v>
      </c>
      <c r="CR65" s="33">
        <f>CQ65+$CR$60</f>
        <v>0.065</v>
      </c>
    </row>
    <row r="66" ht="15" customHeight="1" s="251">
      <c r="B66" s="14" t="inlineStr">
        <is>
          <t>Future acquisitions (M&amp;A lever — studios, technology and games capability acquisitions; cash use only)</t>
        </is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  <c r="BF66" s="14" t="n"/>
      <c r="BG66" s="14" t="n"/>
      <c r="BH66" s="14" t="n"/>
      <c r="BI66" s="14" t="n"/>
      <c r="BJ66" s="14" t="n"/>
      <c r="BK66" s="14" t="n"/>
      <c r="BL66" s="14" t="n"/>
      <c r="BM66" s="14" t="n"/>
      <c r="BN66" s="14" t="n"/>
      <c r="BO66" s="14" t="n"/>
      <c r="BP66" s="14" t="n"/>
      <c r="BQ66" s="14" t="n"/>
      <c r="BR66" s="14" t="n"/>
      <c r="BS66" s="14" t="n"/>
      <c r="BT66" s="14" t="n"/>
      <c r="BU66" s="14" t="n"/>
      <c r="BV66" s="14" t="n"/>
      <c r="BW66" s="14" t="n"/>
      <c r="BX66" s="14" t="n"/>
      <c r="BY66" s="14" t="n"/>
      <c r="BZ66" s="14" t="n"/>
      <c r="CA66" s="14" t="n"/>
      <c r="CB66" s="14" t="n"/>
      <c r="CC66" s="14" t="n"/>
      <c r="CD66" s="14" t="n"/>
      <c r="CE66" s="14" t="n"/>
      <c r="CF66" s="14" t="n"/>
      <c r="CG66" s="15" t="inlineStr">
        <is>
          <t>M&amp;A LEVER — cash spend from 2027E; no revenue or margin is attached (Netflix discloses no revenue for its acquisitions)</t>
        </is>
      </c>
      <c r="CO66" s="15" t="inlineStr">
        <is>
          <t>CCR (cash content spend / content amortization, x)</t>
        </is>
      </c>
      <c r="CP66" s="41" t="n">
        <v>-0.03</v>
      </c>
      <c r="CQ66" s="21" t="inlineStr">
        <is>
          <t>Δ →</t>
        </is>
      </c>
      <c r="CR66" s="41" t="n">
        <v>0.05</v>
      </c>
      <c r="CS66" s="13" t="inlineStr">
        <is>
          <t>FY23 0.93x (strikes), FY24 1.11x, FY25 1.08x, FY26 guided ~1.1x; originals and live sport keep cash spend ahead of amortization.</t>
        </is>
      </c>
    </row>
    <row r="67" ht="15" customHeight="1" s="251">
      <c r="B67" s="25" t="inlineStr">
        <is>
          <t xml:space="preserve">  Acquisition spend (USDm, scenario)</t>
        </is>
      </c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  <c r="AE67" s="34" t="n"/>
      <c r="AF67" s="34" t="n"/>
      <c r="AG67" s="34" t="n"/>
      <c r="AH67" s="34" t="n"/>
      <c r="AI67" s="34" t="n"/>
      <c r="AJ67" s="34" t="n"/>
      <c r="AK67" s="34" t="n"/>
      <c r="AL67" s="34" t="n"/>
      <c r="AM67" s="34" t="n"/>
      <c r="AN67" s="34" t="n"/>
      <c r="AO67" s="34" t="n"/>
      <c r="AP67" s="34" t="n"/>
      <c r="AQ67" s="34" t="n"/>
      <c r="AR67" s="34" t="n"/>
      <c r="AS67" s="34" t="n"/>
      <c r="AT67" s="34" t="n"/>
      <c r="AU67" s="34" t="n"/>
      <c r="AV67" s="34" t="n"/>
      <c r="AW67" s="34" t="n"/>
      <c r="AX67" s="34" t="n"/>
      <c r="AY67" s="34" t="n"/>
      <c r="AZ67" s="34" t="n"/>
      <c r="BA67" s="34" t="n"/>
      <c r="BB67" s="34" t="n"/>
      <c r="BC67" s="34" t="n"/>
      <c r="BD67" s="34" t="n"/>
      <c r="BE67" s="34" t="n"/>
      <c r="BF67" s="34" t="n"/>
      <c r="BG67" s="34" t="n"/>
      <c r="BH67" s="34" t="n"/>
      <c r="BI67" s="34" t="n"/>
      <c r="BJ67" s="34" t="n"/>
      <c r="BK67" s="34" t="n"/>
      <c r="BL67" s="34" t="n"/>
      <c r="BM67" s="34" t="n"/>
      <c r="BN67" s="34" t="n"/>
      <c r="BO67" s="34" t="n"/>
      <c r="BP67" s="34" t="n"/>
      <c r="BQ67" s="34" t="n"/>
      <c r="BR67" s="34" t="n"/>
      <c r="BS67" s="34" t="n"/>
      <c r="BT67" s="34" t="n"/>
      <c r="BU67" s="34" t="n"/>
      <c r="BV67" s="34" t="n"/>
      <c r="BW67" s="34" t="n"/>
      <c r="BX67" s="34" t="n"/>
      <c r="BY67" s="35" t="n"/>
      <c r="BZ67" s="35" t="n"/>
      <c r="CA67" s="267" t="n">
        <v>0</v>
      </c>
      <c r="CB67" s="268">
        <f>MAX(0,CHOOSE(MATCH($CG$2,{"Bull","Base","Bear"},0),$CP$73,$CQ$73,$CR$73))</f>
        <v>500</v>
      </c>
      <c r="CC67" s="268">
        <f>MAX(0,CHOOSE(MATCH($CG$2,{"Bull","Base","Bear"},0),$CP$74,$CQ$74,$CR$74))</f>
        <v>500</v>
      </c>
      <c r="CD67" s="268">
        <f>MAX(0,CHOOSE(MATCH($CG$2,{"Bull","Base","Bear"},0),$CP$75,$CQ$75,$CR$75))</f>
        <v>500</v>
      </c>
      <c r="CE67" s="268">
        <f>MAX(0,CHOOSE(MATCH($CG$2,{"Bull","Base","Bear"},0),$CP$76,$CQ$76,$CR$76))</f>
        <v>500</v>
      </c>
      <c r="CF67" s="268">
        <f>MAX(0,CHOOSE(MATCH($CG$2,{"Bull","Base","Bear"},0),$CP$77,$CQ$77,$CR$77))</f>
        <v>500</v>
      </c>
      <c r="CG67" s="19" t="inlineStr">
        <is>
          <t>Scenario lever M&amp;A_spend (Base $500m a year of capability acquisitions). Cash only; funded from cash (reduces buybacks).</t>
        </is>
      </c>
      <c r="CO67" s="25" t="inlineStr">
        <is>
          <t xml:space="preserve">  2027E</t>
        </is>
      </c>
      <c r="CP67" s="269">
        <f>CQ67+$CP$66</f>
        <v>1.07</v>
      </c>
      <c r="CQ67" s="270" t="n">
        <v>1.1</v>
      </c>
      <c r="CR67" s="269">
        <f>CQ67+$CR$66</f>
        <v>1.15</v>
      </c>
    </row>
    <row r="68" ht="15" customHeight="1" s="251">
      <c r="B68" s="25" t="inlineStr">
        <is>
          <t xml:space="preserve">  Acquired revenue: not modelled (capability acquisitions; Q1-26 deal ~$587m, no revenue or PPA disclosed) — spend is booked to goodwill &amp; other non-current assets</t>
        </is>
      </c>
      <c r="CG68" s="153" t="n"/>
      <c r="CO68" s="25" t="inlineStr">
        <is>
          <t xml:space="preserve">  2028E</t>
        </is>
      </c>
      <c r="CP68" s="269">
        <f>CQ68+$CP$66</f>
        <v>1.05</v>
      </c>
      <c r="CQ68" s="270" t="n">
        <v>1.08</v>
      </c>
      <c r="CR68" s="269">
        <f>CQ68+$CR$66</f>
        <v>1.13</v>
      </c>
    </row>
    <row r="69" ht="15" customHeight="1" s="251">
      <c r="CO69" s="25" t="inlineStr">
        <is>
          <t xml:space="preserve">  2029E</t>
        </is>
      </c>
      <c r="CP69" s="269">
        <f>CQ69+$CP$66</f>
        <v>1.04</v>
      </c>
      <c r="CQ69" s="270" t="n">
        <v>1.07</v>
      </c>
      <c r="CR69" s="269">
        <f>CQ69+$CR$66</f>
        <v>1.12</v>
      </c>
    </row>
    <row r="70" ht="15" customHeight="1" s="251">
      <c r="B70" s="14" t="inlineStr">
        <is>
          <t>Group Total — revenue build → Q3-26 and FY26 guidance calibration (revenue · operating margin · FCF)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  <c r="CE70" s="14" t="n"/>
      <c r="CF70" s="14" t="n"/>
      <c r="CG70" s="15" t="inlineStr">
        <is>
          <t>GROUP TOTAL (CONSOLIDATED) — modelling logic</t>
        </is>
      </c>
      <c r="CO70" s="25" t="inlineStr">
        <is>
          <t xml:space="preserve">  2030E</t>
        </is>
      </c>
      <c r="CP70" s="269">
        <f>CQ70+$CP$66</f>
        <v>1.03</v>
      </c>
      <c r="CQ70" s="270" t="n">
        <v>1.06</v>
      </c>
      <c r="CR70" s="269">
        <f>CQ70+$CR$66</f>
        <v>1.11</v>
      </c>
    </row>
    <row r="71" ht="15" customHeight="1" s="251">
      <c r="B71" s="55" t="inlineStr">
        <is>
          <t>Revenue (regional build)</t>
        </is>
      </c>
      <c r="C71" s="271">
        <f>IF(ISNUMBER(C11),C11+C19+C27+C35+N(C43),C121)</f>
        <v>996.66</v>
      </c>
      <c r="D71" s="271">
        <f>IF(ISNUMBER(D11),D11+D19+D27+D35+N(D43),D121)</f>
        <v>1205.34</v>
      </c>
      <c r="E71" s="271">
        <f>IF(ISNUMBER(E11),E11+E19+E27+E35+N(E43),E121)</f>
        <v>1364.661</v>
      </c>
      <c r="F71" s="271">
        <f>IF(ISNUMBER(F11),F11+F19+F27+F35+N(F43),F121)</f>
        <v>1670.269</v>
      </c>
      <c r="G71" s="271">
        <f>IF(ISNUMBER(G11),G11+G19+G27+G35+N(G43),G121)</f>
        <v>2162.625</v>
      </c>
      <c r="H71" s="271">
        <f>IF(ISNUMBER(H11),H11+H19+H27+H35+N(H43),H121)</f>
        <v>3204.577</v>
      </c>
      <c r="I71" s="271">
        <f>IF(ISNUMBER(I11),I11+I19+I27+I35+N(I43),I121)</f>
        <v>3609.282</v>
      </c>
      <c r="J71" s="271">
        <f>IF(ISNUMBER(J11),J11+J19+J27+J35+N(J43),J121)</f>
        <v>1023.961</v>
      </c>
      <c r="K71" s="271">
        <f>IF(ISNUMBER(K11),K11+K19+K27+K35+N(K43),K121)</f>
        <v>1069.372</v>
      </c>
      <c r="L71" s="271">
        <f>IF(ISNUMBER(L11),L11+L19+L27+L35+N(L43),L121)</f>
        <v>1105.999</v>
      </c>
      <c r="M71" s="271">
        <f>IF(ISNUMBER(M11),M11+M19+M27+M35+N(M43),M121)</f>
        <v>1175.23</v>
      </c>
      <c r="N71" s="271">
        <f>IF(ISNUMBER(N11),N11+N19+N27+N35+N(N43),N121)</f>
        <v>4374.562</v>
      </c>
      <c r="O71" s="271">
        <f>IF(ISNUMBER(O11),O11+O19+O27+O35+N(O43),O121)</f>
        <v>1270.089</v>
      </c>
      <c r="P71" s="271">
        <f>IF(ISNUMBER(P11),P11+P19+P27+P35+N(P43),P121)</f>
        <v>1340.407</v>
      </c>
      <c r="Q71" s="271">
        <f>IF(ISNUMBER(Q11),Q11+Q19+Q27+Q35+N(Q43),Q121)</f>
        <v>1409.432</v>
      </c>
      <c r="R71" s="271">
        <f>IF(ISNUMBER(R11),R11+R19+R27+R35+N(R43),R121)</f>
        <v>1484.728</v>
      </c>
      <c r="S71" s="271">
        <f>IF(ISNUMBER(S11),S11+S19+S27+S35+N(S43),S121)</f>
        <v>5504.656</v>
      </c>
      <c r="T71" s="271">
        <f>IF(ISNUMBER(T11),T11+T19+T27+T35+N(T43),T121)</f>
        <v>1573.129</v>
      </c>
      <c r="U71" s="271">
        <f>IF(ISNUMBER(U11),U11+U19+U27+U35+N(U43),U121)</f>
        <v>1644.694</v>
      </c>
      <c r="V71" s="271">
        <f>IF(ISNUMBER(V11),V11+V19+V27+V35+N(V43),V121)</f>
        <v>1738.355</v>
      </c>
      <c r="W71" s="271">
        <f>IF(ISNUMBER(W11),W11+W19+W27+W35+N(W43),W121)</f>
        <v>1823.333</v>
      </c>
      <c r="X71" s="271">
        <f>IF(ISNUMBER(X11),X11+X19+X27+X35+N(X43),X121)</f>
        <v>6779.511</v>
      </c>
      <c r="Y71" s="271">
        <f>IF(ISNUMBER(Y11),Y11+Y19+Y27+Y35+N(Y43),Y121)</f>
        <v>1957.736</v>
      </c>
      <c r="Z71" s="271">
        <f>IF(ISNUMBER(Z11),Z11+Z19+Z27+Z35+N(Z43),Z121)</f>
        <v>2105.204</v>
      </c>
      <c r="AA71" s="271">
        <f>IF(ISNUMBER(AA11),AA11+AA19+AA27+AA35+N(AA43),AA121)</f>
        <v>2290.188</v>
      </c>
      <c r="AB71" s="271">
        <f>IF(ISNUMBER(AB11),AB11+AB19+AB27+AB35+N(AB43),AB121)</f>
        <v>2477.541</v>
      </c>
      <c r="AC71" s="271">
        <f>IF(ISNUMBER(AC11),AC11+AC19+AC27+AC35+N(AC43),AC121)</f>
        <v>8830.669</v>
      </c>
      <c r="AD71" s="271">
        <f>IF(ISNUMBER(AD11),AD11+AD19+AD27+AD35+N(AD43),AD121)</f>
        <v>2636.635</v>
      </c>
      <c r="AE71" s="271">
        <f>IF(ISNUMBER(AE11),AE11+AE19+AE27+AE35+N(AE43),AE121)</f>
        <v>2785.464</v>
      </c>
      <c r="AF71" s="271">
        <f>IF(ISNUMBER(AF11),AF11+AF19+AF27+AF35+N(AF43),AF121)</f>
        <v>2984.859</v>
      </c>
      <c r="AG71" s="271">
        <f>IF(ISNUMBER(AG11),AG11+AG19+AG27+AG35+N(AG43),AG121)</f>
        <v>3285.755</v>
      </c>
      <c r="AH71" s="271">
        <f>IF(ISNUMBER(AH11),AH11+AH19+AH27+AH35+N(AH43),AH121)</f>
        <v>11692.713</v>
      </c>
      <c r="AI71" s="271">
        <f>IF(ISNUMBER(AI11),AI11+AI19+AI27+AI35+N(AI43),AI121)</f>
        <v>3700.856</v>
      </c>
      <c r="AJ71" s="271">
        <f>IF(ISNUMBER(AJ11),AJ11+AJ19+AJ27+AJ35+N(AJ43),AJ121)</f>
        <v>3907.27</v>
      </c>
      <c r="AK71" s="271">
        <f>IF(ISNUMBER(AK11),AK11+AK19+AK27+AK35+N(AK43),AK121)</f>
        <v>3999.374</v>
      </c>
      <c r="AL71" s="271">
        <f>IF(ISNUMBER(AL11),AL11+AL19+AL27+AL35+N(AL43),AL121)</f>
        <v>4186.841</v>
      </c>
      <c r="AM71" s="271">
        <f>IF(ISNUMBER(AM11),AM11+AM19+AM27+AM35+N(AM43),AM121)</f>
        <v>15794.341</v>
      </c>
      <c r="AN71" s="271">
        <f>IF(ISNUMBER(AN11),AN11+AN19+AN27+AN35+N(AN43),AN121)</f>
        <v>4520.992</v>
      </c>
      <c r="AO71" s="271">
        <f>IF(ISNUMBER(AO11),AO11+AO19+AO27+AO35+N(AO43),AO121)</f>
        <v>4923.116</v>
      </c>
      <c r="AP71" s="271">
        <f>IF(ISNUMBER(AP11),AP11+AP19+AP27+AP35+N(AP43),AP121)</f>
        <v>5244.905</v>
      </c>
      <c r="AQ71" s="271">
        <f>IF(ISNUMBER(AQ11),AQ11+AQ19+AQ27+AQ35+N(AQ43),AQ121)</f>
        <v>5467.434</v>
      </c>
      <c r="AR71" s="271">
        <f>IF(ISNUMBER(AR11),AR11+AR19+AR27+AR35+N(AR43),AR121)</f>
        <v>20156.447</v>
      </c>
      <c r="AS71" s="271">
        <f>IF(ISNUMBER(AS11),AS11+AS19+AS27+AS35+N(AS43),AS121)</f>
        <v>5767.691</v>
      </c>
      <c r="AT71" s="271">
        <f>IF(ISNUMBER(AT11),AT11+AT19+AT27+AT35+N(AT43),AT121)</f>
        <v>6148.286</v>
      </c>
      <c r="AU71" s="271">
        <f>IF(ISNUMBER(AU11),AU11+AU19+AU27+AU35+N(AU43),AU121)</f>
        <v>6435.637</v>
      </c>
      <c r="AV71" s="271">
        <f>IF(ISNUMBER(AV11),AV11+AV19+AV27+AV35+N(AV43),AV121)</f>
        <v>6644.442</v>
      </c>
      <c r="AW71" s="271">
        <f>IF(ISNUMBER(AW11),AW11+AW19+AW27+AW35+N(AW43),AW121)</f>
        <v>24996.056</v>
      </c>
      <c r="AX71" s="271">
        <f>IF(ISNUMBER(AX11),AX11+AX19+AX27+AX35+N(AX43),AX121)</f>
        <v>7163.282</v>
      </c>
      <c r="AY71" s="271">
        <f>IF(ISNUMBER(AY11),AY11+AY19+AY27+AY35+N(AY43),AY121)</f>
        <v>7341.777</v>
      </c>
      <c r="AZ71" s="271">
        <f>IF(ISNUMBER(AZ11),AZ11+AZ19+AZ27+AZ35+N(AZ43),AZ121)</f>
        <v>7483.467</v>
      </c>
      <c r="BA71" s="271">
        <f>IF(ISNUMBER(BA11),BA11+BA19+BA27+BA35+N(BA43),BA121)</f>
        <v>7709.318</v>
      </c>
      <c r="BB71" s="271">
        <f>IF(ISNUMBER(BB11),BB11+BB19+BB27+BB35+N(BB43),BB121)</f>
        <v>29697.844</v>
      </c>
      <c r="BC71" s="271">
        <f>IF(ISNUMBER(BC11),BC11+BC19+BC27+BC35+N(BC43),BC121)</f>
        <v>7867.767</v>
      </c>
      <c r="BD71" s="271">
        <f>IF(ISNUMBER(BD11),BD11+BD19+BD27+BD35+N(BD43),BD121)</f>
        <v>7970.141</v>
      </c>
      <c r="BE71" s="271">
        <f>IF(ISNUMBER(BE11),BE11+BE19+BE27+BE35+N(BE43),BE121)</f>
        <v>7925.589</v>
      </c>
      <c r="BF71" s="271">
        <f>IF(ISNUMBER(BF11),BF11+BF19+BF27+BF35+N(BF43),BF121)</f>
        <v>7852.053</v>
      </c>
      <c r="BG71" s="271">
        <f>IF(ISNUMBER(BG11),BG11+BG19+BG27+BG35+N(BG43),BG121)</f>
        <v>31615.55</v>
      </c>
      <c r="BH71" s="271">
        <f>IF(ISNUMBER(BH11),BH11+BH19+BH27+BH35+N(BH43),BH121)</f>
        <v>8161.503</v>
      </c>
      <c r="BI71" s="271">
        <f>IF(ISNUMBER(BI11),BI11+BI19+BI27+BI35+N(BI43),BI121)</f>
        <v>8187.301</v>
      </c>
      <c r="BJ71" s="271">
        <f>IF(ISNUMBER(BJ11),BJ11+BJ19+BJ27+BJ35+N(BJ43),BJ121)</f>
        <v>8541.668</v>
      </c>
      <c r="BK71" s="271">
        <f>IF(ISNUMBER(BK11),BK11+BK19+BK27+BK35+N(BK43),BK121)</f>
        <v>8832.825</v>
      </c>
      <c r="BL71" s="271">
        <f>IF(ISNUMBER(BL11),BL11+BL19+BL27+BL35+N(BL43),BL121)</f>
        <v>33723.297</v>
      </c>
      <c r="BM71" s="271">
        <f>IF(ISNUMBER(BM11),BM11+BM19+BM27+BM35+N(BM43),BM121)</f>
        <v>9370.44</v>
      </c>
      <c r="BN71" s="271">
        <f>IF(ISNUMBER(BN11),BN11+BN19+BN27+BN35+N(BN43),BN121)</f>
        <v>9559.31</v>
      </c>
      <c r="BO71" s="271">
        <f>IF(ISNUMBER(BO11),BO11+BO19+BO27+BO35+N(BO43),BO121)</f>
        <v>9824.703</v>
      </c>
      <c r="BP71" s="271">
        <f>IF(ISNUMBER(BP11),BP11+BP19+BP27+BP35+N(BP43),BP121)</f>
        <v>10246.513</v>
      </c>
      <c r="BQ71" s="271">
        <f>IF(ISNUMBER(BQ11),BQ11+BQ19+BQ27+BQ35+N(BQ43),BQ121)</f>
        <v>39000.966</v>
      </c>
      <c r="BR71" s="271">
        <f>IF(ISNUMBER(BR11),BR11+BR19+BR27+BR35+N(BR43),BR121)</f>
        <v>10542.801</v>
      </c>
      <c r="BS71" s="271">
        <f>IF(ISNUMBER(BS11),BS11+BS19+BS27+BS35+N(BS43),BS121)</f>
        <v>11079.166</v>
      </c>
      <c r="BT71" s="271">
        <f>IF(ISNUMBER(BT11),BT11+BT19+BT27+BT35+N(BT43),BT121)</f>
        <v>11510.307</v>
      </c>
      <c r="BU71" s="271">
        <f>IF(ISNUMBER(BU11),BU11+BU19+BU27+BU35+N(BU43),BU121)</f>
        <v>12050.762</v>
      </c>
      <c r="BV71" s="271">
        <f>IF(ISNUMBER(BV11),BV11+BV19+BV27+BV35+N(BV43),BV121)</f>
        <v>45183.036</v>
      </c>
      <c r="BW71" s="271">
        <f>IF(ISNUMBER(BW11),BW11+BW19+BW27+BW35+N(BW43),BW121)</f>
        <v>12249.757</v>
      </c>
      <c r="BX71" s="271">
        <f>IF(ISNUMBER(BX11),BX11+BX19+BX27+BX35+N(BX43),BX121)</f>
        <v>12559.938</v>
      </c>
      <c r="BY71" s="271">
        <f>BY11+BY19+BY27+BY35</f>
        <v>12860</v>
      </c>
      <c r="BZ71" s="271">
        <f>BZ11+BZ19+BZ27+BZ35</f>
        <v>13530.305</v>
      </c>
      <c r="CA71" s="271">
        <f>CA11+CA19+CA27+CA35</f>
        <v>51200</v>
      </c>
      <c r="CB71" s="271">
        <f>CB11+CB19+CB27+CB35</f>
        <v>56579.3172703494</v>
      </c>
      <c r="CC71" s="271">
        <f>CC11+CC19+CC27+CC35</f>
        <v>61968.7121168316</v>
      </c>
      <c r="CD71" s="271">
        <f>CD11+CD19+CD27+CD35</f>
        <v>67263.6399676112</v>
      </c>
      <c r="CE71" s="271">
        <f>CE11+CE19+CE27+CE35</f>
        <v>72490.1808492587</v>
      </c>
      <c r="CF71" s="271">
        <f>CF11+CF19+CF27+CF35</f>
        <v>77556.003975615</v>
      </c>
      <c r="CG71" s="153" t="inlineStr">
        <is>
          <t>Σ regions (+ DVD / other revenue outside the regional tables to 2023). Before 2017 (annual) / 2019 (quarters) consolidated revenue (no regional split on EDGAR).</t>
        </is>
      </c>
      <c r="CI71" s="20">
        <f>IFERROR((CF71/CA71)^(1/5)-1,"n/m")</f>
        <v>0.086598478675894</v>
      </c>
      <c r="CJ71" s="20">
        <f>IFERROR((BV71/AW71)^(1/5)-1,"n/m")</f>
        <v>0.125695121753926</v>
      </c>
      <c r="CK71" s="20">
        <f>IFERROR((BV71/X71)^(1/10)-1,"n/m")</f>
        <v>0.208864722267017</v>
      </c>
      <c r="CL71" s="20">
        <f>IFERROR((BV71/C71)^(1/19)-1,"n/m")</f>
        <v>0.222307400128183</v>
      </c>
      <c r="CO71" s="25" t="inlineStr">
        <is>
          <t xml:space="preserve">  2031E</t>
        </is>
      </c>
      <c r="CP71" s="269">
        <f>CQ71+$CP$66</f>
        <v>1.02</v>
      </c>
      <c r="CQ71" s="270" t="n">
        <v>1.05</v>
      </c>
      <c r="CR71" s="269">
        <f>CQ71+$CR$66</f>
        <v>1.1</v>
      </c>
    </row>
    <row r="72" collapsed="1" ht="15" customHeight="1" s="251">
      <c r="B72" s="22" t="inlineStr">
        <is>
          <t xml:space="preserve">  Revenue y/y %</t>
        </is>
      </c>
      <c r="C72" s="23" t="n"/>
      <c r="D72" s="255">
        <f>IF(AND(ISNUMBER(D71),ISNUMBER(C71)),IFERROR(D71/C71-1,""),"")</f>
        <v>0.20937932695202</v>
      </c>
      <c r="E72" s="255">
        <f>IF(AND(ISNUMBER(E71),ISNUMBER(D71)),IFERROR(E71/D71-1,""),"")</f>
        <v>0.13217930210563</v>
      </c>
      <c r="F72" s="255">
        <f>IF(AND(ISNUMBER(F71),ISNUMBER(E71)),IFERROR(F71/E71-1,""),"")</f>
        <v>0.223944261615156</v>
      </c>
      <c r="G72" s="255">
        <f>IF(AND(ISNUMBER(G71),ISNUMBER(F71)),IFERROR(G71/F71-1,""),"")</f>
        <v>0.294776470137445</v>
      </c>
      <c r="H72" s="255">
        <f>IF(AND(ISNUMBER(H71),ISNUMBER(G71)),IFERROR(H71/G71-1,""),"")</f>
        <v>0.481799664759263</v>
      </c>
      <c r="I72" s="255">
        <f>IF(AND(ISNUMBER(I71),ISNUMBER(H71)),IFERROR(I71/H71-1,""),"")</f>
        <v>0.1262896787938</v>
      </c>
      <c r="J72" s="23" t="n"/>
      <c r="K72" s="23" t="n"/>
      <c r="L72" s="23" t="n"/>
      <c r="M72" s="23" t="n"/>
      <c r="N72" s="255">
        <f>IF(AND(ISNUMBER(N71),ISNUMBER(I71)),IFERROR(N71/I71-1,""),"")</f>
        <v>0.212031090948283</v>
      </c>
      <c r="O72" s="255">
        <f>IF(AND(ISNUMBER(O71),ISNUMBER(J71)),IFERROR(O71/J71-1,""),"")</f>
        <v>0.240368529660798</v>
      </c>
      <c r="P72" s="255">
        <f>IF(AND(ISNUMBER(P71),ISNUMBER(K71)),IFERROR(P71/K71-1,""),"")</f>
        <v>0.253452493613074</v>
      </c>
      <c r="Q72" s="255">
        <f>IF(AND(ISNUMBER(Q71),ISNUMBER(L71)),IFERROR(Q71/L71-1,""),"")</f>
        <v>0.274351965960186</v>
      </c>
      <c r="R72" s="255">
        <f>IF(AND(ISNUMBER(R71),ISNUMBER(M71)),IFERROR(R71/M71-1,""),"")</f>
        <v>0.263351003633331</v>
      </c>
      <c r="S72" s="255">
        <f>IF(AND(ISNUMBER(S71),ISNUMBER(N71)),IFERROR(S71/N71-1,""),"")</f>
        <v>0.258333062830062</v>
      </c>
      <c r="T72" s="255">
        <f>IF(AND(ISNUMBER(T71),ISNUMBER(O71)),IFERROR(T71/O71-1,""),"")</f>
        <v>0.238597452619462</v>
      </c>
      <c r="U72" s="255">
        <f>IF(AND(ISNUMBER(U71),ISNUMBER(P71)),IFERROR(U71/P71-1,""),"")</f>
        <v>0.227010900420544</v>
      </c>
      <c r="V72" s="255">
        <f>IF(AND(ISNUMBER(V71),ISNUMBER(Q71)),IFERROR(V71/Q71-1,""),"")</f>
        <v>0.233372734548385</v>
      </c>
      <c r="W72" s="255">
        <f>IF(AND(ISNUMBER(W71),ISNUMBER(R71)),IFERROR(W71/R71-1,""),"")</f>
        <v>0.228058607367814</v>
      </c>
      <c r="X72" s="255">
        <f>IF(AND(ISNUMBER(X71),ISNUMBER(S71)),IFERROR(X71/S71-1,""),"")</f>
        <v>0.231595761842339</v>
      </c>
      <c r="Y72" s="255">
        <f>IF(AND(ISNUMBER(Y71),ISNUMBER(T71)),IFERROR(Y71/T71-1,""),"")</f>
        <v>0.244485353712251</v>
      </c>
      <c r="Z72" s="255">
        <f>IF(AND(ISNUMBER(Z71),ISNUMBER(U71)),IFERROR(Z71/U71-1,""),"")</f>
        <v>0.279997373371582</v>
      </c>
      <c r="AA72" s="255">
        <f>IF(AND(ISNUMBER(AA71),ISNUMBER(V71)),IFERROR(AA71/V71-1,""),"")</f>
        <v>0.317445516019455</v>
      </c>
      <c r="AB72" s="255">
        <f>IF(AND(ISNUMBER(AB71),ISNUMBER(W71)),IFERROR(AB71/W71-1,""),"")</f>
        <v>0.358797871809483</v>
      </c>
      <c r="AC72" s="255">
        <f>IF(AND(ISNUMBER(AC71),ISNUMBER(X71)),IFERROR(AC71/X71-1,""),"")</f>
        <v>0.302552499730438</v>
      </c>
      <c r="AD72" s="255">
        <f>IF(AND(ISNUMBER(AD71),ISNUMBER(Y71)),IFERROR(AD71/Y71-1,""),"")</f>
        <v>0.346777604334803</v>
      </c>
      <c r="AE72" s="255">
        <f>IF(AND(ISNUMBER(AE71),ISNUMBER(Z71)),IFERROR(AE71/Z71-1,""),"")</f>
        <v>0.323132580025499</v>
      </c>
      <c r="AF72" s="255">
        <f>IF(AND(ISNUMBER(AF71),ISNUMBER(AA71)),IFERROR(AF71/AA71-1,""),"")</f>
        <v>0.303324879878857</v>
      </c>
      <c r="AG72" s="255">
        <f>IF(AND(ISNUMBER(AG71),ISNUMBER(AB71)),IFERROR(AG71/AB71-1,""),"")</f>
        <v>0.326216195816739</v>
      </c>
      <c r="AH72" s="255">
        <f>IF(AND(ISNUMBER(AH71),ISNUMBER(AC71)),IFERROR(AH71/AC71-1,""),"")</f>
        <v>0.324102737855988</v>
      </c>
      <c r="AI72" s="255">
        <f>IF(AND(ISNUMBER(AI71),ISNUMBER(AD71)),IFERROR(AI71/AD71-1,""),"")</f>
        <v>0.403628488584882</v>
      </c>
      <c r="AJ72" s="255">
        <f>IF(AND(ISNUMBER(AJ71),ISNUMBER(AE71)),IFERROR(AJ71/AE71-1,""),"")</f>
        <v>0.4027357740039</v>
      </c>
      <c r="AK72" s="255">
        <f>IF(AND(ISNUMBER(AK71),ISNUMBER(AF71)),IFERROR(AK71/AF71-1,""),"")</f>
        <v>0.339887076742988</v>
      </c>
      <c r="AL72" s="255">
        <f>IF(AND(ISNUMBER(AL71),ISNUMBER(AG71)),IFERROR(AL71/AG71-1,""),"")</f>
        <v>0.274240167024017</v>
      </c>
      <c r="AM72" s="255">
        <f>IF(AND(ISNUMBER(AM71),ISNUMBER(AH71)),IFERROR(AM71/AH71-1,""),"")</f>
        <v>0.350784971802524</v>
      </c>
      <c r="AN72" s="255">
        <f>IF(AND(ISNUMBER(AN71),ISNUMBER(AI71)),IFERROR(AN71/AI71-1,""),"")</f>
        <v>0.221607109274179</v>
      </c>
      <c r="AO72" s="255">
        <f>IF(AND(ISNUMBER(AO71),ISNUMBER(AJ71)),IFERROR(AO71/AJ71-1,""),"")</f>
        <v>0.259988687753854</v>
      </c>
      <c r="AP72" s="255">
        <f>IF(AND(ISNUMBER(AP71),ISNUMBER(AK71)),IFERROR(AP71/AK71-1,""),"")</f>
        <v>0.311431489028033</v>
      </c>
      <c r="AQ72" s="255">
        <f>IF(AND(ISNUMBER(AQ71),ISNUMBER(AL71)),IFERROR(AQ71/AL71-1,""),"")</f>
        <v>0.305861388096658</v>
      </c>
      <c r="AR72" s="255">
        <f>IF(AND(ISNUMBER(AR71),ISNUMBER(AM71)),IFERROR(AR71/AM71-1,""),"")</f>
        <v>0.276181576679901</v>
      </c>
      <c r="AS72" s="255">
        <f>IF(AND(ISNUMBER(AS71),ISNUMBER(AN71)),IFERROR(AS71/AN71-1,""),"")</f>
        <v>0.275757842526596</v>
      </c>
      <c r="AT72" s="255">
        <f>IF(AND(ISNUMBER(AT71),ISNUMBER(AO71)),IFERROR(AT71/AO71-1,""),"")</f>
        <v>0.248860680918345</v>
      </c>
      <c r="AU72" s="255">
        <f>IF(AND(ISNUMBER(AU71),ISNUMBER(AP71)),IFERROR(AU71/AP71-1,""),"")</f>
        <v>0.227026418972317</v>
      </c>
      <c r="AV72" s="255">
        <f>IF(AND(ISNUMBER(AV71),ISNUMBER(AQ71)),IFERROR(AV71/AQ71-1,""),"")</f>
        <v>0.21527612404649</v>
      </c>
      <c r="AW72" s="255">
        <f>IF(AND(ISNUMBER(AW71),ISNUMBER(AR71)),IFERROR(AW71/AR71-1,""),"")</f>
        <v>0.240102285884015</v>
      </c>
      <c r="AX72" s="255">
        <f>IF(AND(ISNUMBER(AX71),ISNUMBER(AS71)),IFERROR(AX71/AS71-1,""),"")</f>
        <v>0.24196701938436</v>
      </c>
      <c r="AY72" s="255">
        <f>IF(AND(ISNUMBER(AY71),ISNUMBER(AT71)),IFERROR(AY71/AT71-1,""),"")</f>
        <v>0.194117677674721</v>
      </c>
      <c r="AZ72" s="255">
        <f>IF(AND(ISNUMBER(AZ71),ISNUMBER(AU71)),IFERROR(AZ71/AU71-1,""),"")</f>
        <v>0.162816827611626</v>
      </c>
      <c r="BA72" s="255">
        <f>IF(AND(ISNUMBER(BA71),ISNUMBER(AV71)),IFERROR(BA71/AV71-1,""),"")</f>
        <v>0.160265677689714</v>
      </c>
      <c r="BB72" s="255">
        <f>IF(AND(ISNUMBER(BB71),ISNUMBER(AW71)),IFERROR(BB71/AW71-1,""),"")</f>
        <v>0.188101194844499</v>
      </c>
      <c r="BC72" s="255">
        <f>IF(AND(ISNUMBER(BC71),ISNUMBER(AX71)),IFERROR(BC71/AX71-1,""),"")</f>
        <v>0.0983466796365129</v>
      </c>
      <c r="BD72" s="255">
        <f>IF(AND(ISNUMBER(BD71),ISNUMBER(AY71)),IFERROR(BD71/AY71-1,""),"")</f>
        <v>0.0855874538275951</v>
      </c>
      <c r="BE72" s="255">
        <f>IF(AND(ISNUMBER(BE71),ISNUMBER(AZ71)),IFERROR(BE71/AZ71-1,""),"")</f>
        <v>0.0590798355895736</v>
      </c>
      <c r="BF72" s="255">
        <f>IF(AND(ISNUMBER(BF71),ISNUMBER(BA71)),IFERROR(BF71/BA71-1,""),"")</f>
        <v>0.0185146079069509</v>
      </c>
      <c r="BG72" s="255">
        <f>IF(AND(ISNUMBER(BG71),ISNUMBER(BB71)),IFERROR(BG71/BB71-1,""),"")</f>
        <v>0.0645739131769969</v>
      </c>
      <c r="BH72" s="255">
        <f>IF(AND(ISNUMBER(BH71),ISNUMBER(BC71)),IFERROR(BH71/BC71-1,""),"")</f>
        <v>0.0373341000057577</v>
      </c>
      <c r="BI72" s="255">
        <f>IF(AND(ISNUMBER(BI71),ISNUMBER(BD71)),IFERROR(BI71/BD71-1,""),"")</f>
        <v>0.0272466948828134</v>
      </c>
      <c r="BJ72" s="255">
        <f>IF(AND(ISNUMBER(BJ71),ISNUMBER(BE71)),IFERROR(BJ71/BE71-1,""),"")</f>
        <v>0.0777328978325775</v>
      </c>
      <c r="BK72" s="255">
        <f>IF(AND(ISNUMBER(BK71),ISNUMBER(BF71)),IFERROR(BK71/BF71-1,""),"")</f>
        <v>0.124906441665638</v>
      </c>
      <c r="BL72" s="255">
        <f>IF(AND(ISNUMBER(BL71),ISNUMBER(BG71)),IFERROR(BL71/BG71-1,""),"")</f>
        <v>0.0666680478435453</v>
      </c>
      <c r="BM72" s="255">
        <f>IF(AND(ISNUMBER(BM71),ISNUMBER(BH71)),IFERROR(BM71/BH71-1,""),"")</f>
        <v>0.148126760475368</v>
      </c>
      <c r="BN72" s="255">
        <f>IF(AND(ISNUMBER(BN71),ISNUMBER(BI71)),IFERROR(BN71/BI71-1,""),"")</f>
        <v>0.167577691353964</v>
      </c>
      <c r="BO72" s="255">
        <f>IF(AND(ISNUMBER(BO71),ISNUMBER(BJ71)),IFERROR(BO71/BJ71-1,""),"")</f>
        <v>0.150208952162505</v>
      </c>
      <c r="BP72" s="255">
        <f>IF(AND(ISNUMBER(BP71),ISNUMBER(BK71)),IFERROR(BP71/BK71-1,""),"")</f>
        <v>0.160049361331171</v>
      </c>
      <c r="BQ72" s="255">
        <f>IF(AND(ISNUMBER(BQ71),ISNUMBER(BL71)),IFERROR(BQ71/BL71-1,""),"")</f>
        <v>0.156499199944774</v>
      </c>
      <c r="BR72" s="255">
        <f>IF(AND(ISNUMBER(BR71),ISNUMBER(BM71)),IFERROR(BR71/BM71-1,""),"")</f>
        <v>0.125112694814758</v>
      </c>
      <c r="BS72" s="255">
        <f>IF(AND(ISNUMBER(BS71),ISNUMBER(BN71)),IFERROR(BS71/BN71-1,""),"")</f>
        <v>0.158992228518585</v>
      </c>
      <c r="BT72" s="255">
        <f>IF(AND(ISNUMBER(BT71),ISNUMBER(BO71)),IFERROR(BT71/BO71-1,""),"")</f>
        <v>0.171567934420003</v>
      </c>
      <c r="BU72" s="255">
        <f>IF(AND(ISNUMBER(BU71),ISNUMBER(BP71)),IFERROR(BU71/BP71-1,""),"")</f>
        <v>0.176084195667346</v>
      </c>
      <c r="BV72" s="255">
        <f>IF(AND(ISNUMBER(BV71),ISNUMBER(BQ71)),IFERROR(BV71/BQ71-1,""),"")</f>
        <v>0.158510689196775</v>
      </c>
      <c r="BW72" s="255">
        <f>IF(AND(ISNUMBER(BW71),ISNUMBER(BR71)),IFERROR(BW71/BR71-1,""),"")</f>
        <v>0.161907257853013</v>
      </c>
      <c r="BX72" s="255">
        <f>IF(AND(ISNUMBER(BX71),ISNUMBER(BS71)),IFERROR(BX71/BS71-1,""),"")</f>
        <v>0.133653742528995</v>
      </c>
      <c r="BY72" s="256">
        <f>IF(AND(ISNUMBER(BY71),ISNUMBER(BT71)),IFERROR(BY71/BT71-1,""),"")</f>
        <v>0.117259513582044</v>
      </c>
      <c r="BZ72" s="256">
        <f>IF(AND(ISNUMBER(BZ71),ISNUMBER(BU71)),IFERROR(BZ71/BU71-1,""),"")</f>
        <v>0.122775887533087</v>
      </c>
      <c r="CA72" s="256">
        <f>IF(AND(ISNUMBER(CA71),ISNUMBER(BV71)),IFERROR(CA71/BV71-1,""),"")</f>
        <v>0.133168652057821</v>
      </c>
      <c r="CB72" s="256">
        <f>IF(AND(ISNUMBER(CB71),ISNUMBER(CA71)),IFERROR(CB71/CA71-1,""),"")</f>
        <v>0.105064790436512</v>
      </c>
      <c r="CC72" s="256">
        <f>IF(AND(ISNUMBER(CC71),ISNUMBER(CB71)),IFERROR(CC71/CB71-1,""),"")</f>
        <v>0.0952537977920516</v>
      </c>
      <c r="CD72" s="256">
        <f>IF(AND(ISNUMBER(CD71),ISNUMBER(CC71)),IFERROR(CD71/CC71-1,""),"")</f>
        <v>0.0854451814457098</v>
      </c>
      <c r="CE72" s="256">
        <f>IF(AND(ISNUMBER(CE71),ISNUMBER(CD71)),IFERROR(CE71/CD71-1,""),"")</f>
        <v>0.0777023200671891</v>
      </c>
      <c r="CF72" s="256">
        <f>IF(AND(ISNUMBER(CF71),ISNUMBER(CE71)),IFERROR(CF71/CE71-1,""),"")</f>
        <v>0.0698828871304726</v>
      </c>
      <c r="CG72" s="153" t="n"/>
      <c r="CO72" s="15" t="inlineStr">
        <is>
          <t>M&amp;A_spend (capability acquisitions, $m)</t>
        </is>
      </c>
      <c r="CP72" s="50" t="n">
        <v>-250</v>
      </c>
      <c r="CQ72" s="21" t="inlineStr">
        <is>
          <t>Δ →</t>
        </is>
      </c>
      <c r="CR72" s="50" t="n">
        <v>500</v>
      </c>
      <c r="CS72" s="13" t="inlineStr">
        <is>
          <t>Mar-2026 acquisition ~$587m; 2021–23 studio / games deals. Base $500m p.a. (assumption); no revenue attached.</t>
        </is>
      </c>
    </row>
    <row r="73" ht="15" customHeight="1" s="251">
      <c r="B73" s="57" t="inlineStr">
        <is>
          <t xml:space="preserve">  Check: regional build vs consolidated revenue (should be 0)</t>
        </is>
      </c>
      <c r="C73" s="264">
        <f>IF(ISNUMBER(C71),IF(ABS(C71-C121)&lt;=0.15,0,ROUND(C71-C121,1)),"")</f>
        <v>0</v>
      </c>
      <c r="D73" s="264">
        <f>IF(ISNUMBER(D71),IF(ABS(D71-D121)&lt;=0.15,0,ROUND(D71-D121,1)),"")</f>
        <v>0</v>
      </c>
      <c r="E73" s="264">
        <f>IF(ISNUMBER(E71),IF(ABS(E71-E121)&lt;=0.15,0,ROUND(E71-E121,1)),"")</f>
        <v>0</v>
      </c>
      <c r="F73" s="264">
        <f>IF(ISNUMBER(F71),IF(ABS(F71-F121)&lt;=0.15,0,ROUND(F71-F121,1)),"")</f>
        <v>0</v>
      </c>
      <c r="G73" s="264">
        <f>IF(ISNUMBER(G71),IF(ABS(G71-G121)&lt;=0.15,0,ROUND(G71-G121,1)),"")</f>
        <v>0</v>
      </c>
      <c r="H73" s="264">
        <f>IF(ISNUMBER(H71),IF(ABS(H71-H121)&lt;=0.15,0,ROUND(H71-H121,1)),"")</f>
        <v>0</v>
      </c>
      <c r="I73" s="264">
        <f>IF(ISNUMBER(I71),IF(ABS(I71-I121)&lt;=0.15,0,ROUND(I71-I121,1)),"")</f>
        <v>0</v>
      </c>
      <c r="J73" s="264">
        <f>IF(ISNUMBER(J71),IF(ABS(J71-J121)&lt;=0.15,0,ROUND(J71-J121,1)),"")</f>
        <v>0</v>
      </c>
      <c r="K73" s="264">
        <f>IF(ISNUMBER(K71),IF(ABS(K71-K121)&lt;=0.15,0,ROUND(K71-K121,1)),"")</f>
        <v>0</v>
      </c>
      <c r="L73" s="264">
        <f>IF(ISNUMBER(L71),IF(ABS(L71-L121)&lt;=0.15,0,ROUND(L71-L121,1)),"")</f>
        <v>0</v>
      </c>
      <c r="M73" s="264">
        <f>IF(ISNUMBER(M71),IF(ABS(M71-M121)&lt;=0.15,0,ROUND(M71-M121,1)),"")</f>
        <v>0</v>
      </c>
      <c r="N73" s="264">
        <f>IF(ISNUMBER(N71),IF(ABS(N71-N121)&lt;=0.15,0,ROUND(N71-N121,1)),"")</f>
        <v>0</v>
      </c>
      <c r="O73" s="264">
        <f>IF(ISNUMBER(O71),IF(ABS(O71-O121)&lt;=0.15,0,ROUND(O71-O121,1)),"")</f>
        <v>0</v>
      </c>
      <c r="P73" s="264">
        <f>IF(ISNUMBER(P71),IF(ABS(P71-P121)&lt;=0.15,0,ROUND(P71-P121,1)),"")</f>
        <v>0</v>
      </c>
      <c r="Q73" s="264">
        <f>IF(ISNUMBER(Q71),IF(ABS(Q71-Q121)&lt;=0.15,0,ROUND(Q71-Q121,1)),"")</f>
        <v>0</v>
      </c>
      <c r="R73" s="264">
        <f>IF(ISNUMBER(R71),IF(ABS(R71-R121)&lt;=0.15,0,ROUND(R71-R121,1)),"")</f>
        <v>0</v>
      </c>
      <c r="S73" s="264">
        <f>IF(ISNUMBER(S71),IF(ABS(S71-S121)&lt;=0.15,0,ROUND(S71-S121,1)),"")</f>
        <v>0</v>
      </c>
      <c r="T73" s="264">
        <f>IF(ISNUMBER(T71),IF(ABS(T71-T121)&lt;=0.15,0,ROUND(T71-T121,1)),"")</f>
        <v>0</v>
      </c>
      <c r="U73" s="264">
        <f>IF(ISNUMBER(U71),IF(ABS(U71-U121)&lt;=0.15,0,ROUND(U71-U121,1)),"")</f>
        <v>0</v>
      </c>
      <c r="V73" s="264">
        <f>IF(ISNUMBER(V71),IF(ABS(V71-V121)&lt;=0.15,0,ROUND(V71-V121,1)),"")</f>
        <v>0</v>
      </c>
      <c r="W73" s="264">
        <f>IF(ISNUMBER(W71),IF(ABS(W71-W121)&lt;=0.15,0,ROUND(W71-W121,1)),"")</f>
        <v>0</v>
      </c>
      <c r="X73" s="264">
        <f>IF(ISNUMBER(X71),IF(ABS(X71-X121)&lt;=0.15,0,ROUND(X71-X121,1)),"")</f>
        <v>0</v>
      </c>
      <c r="Y73" s="264">
        <f>IF(ISNUMBER(Y71),IF(ABS(Y71-Y121)&lt;=0.15,0,ROUND(Y71-Y121,1)),"")</f>
        <v>0</v>
      </c>
      <c r="Z73" s="264">
        <f>IF(ISNUMBER(Z71),IF(ABS(Z71-Z121)&lt;=0.15,0,ROUND(Z71-Z121,1)),"")</f>
        <v>0</v>
      </c>
      <c r="AA73" s="264">
        <f>IF(ISNUMBER(AA71),IF(ABS(AA71-AA121)&lt;=0.15,0,ROUND(AA71-AA121,1)),"")</f>
        <v>0</v>
      </c>
      <c r="AB73" s="264">
        <f>IF(ISNUMBER(AB71),IF(ABS(AB71-AB121)&lt;=0.15,0,ROUND(AB71-AB121,1)),"")</f>
        <v>0</v>
      </c>
      <c r="AC73" s="264">
        <f>IF(ISNUMBER(AC71),IF(ABS(AC71-AC121)&lt;=0.15,0,ROUND(AC71-AC121,1)),"")</f>
        <v>0</v>
      </c>
      <c r="AD73" s="264">
        <f>IF(ISNUMBER(AD71),IF(ABS(AD71-AD121)&lt;=0.15,0,ROUND(AD71-AD121,1)),"")</f>
        <v>0</v>
      </c>
      <c r="AE73" s="264">
        <f>IF(ISNUMBER(AE71),IF(ABS(AE71-AE121)&lt;=0.15,0,ROUND(AE71-AE121,1)),"")</f>
        <v>0</v>
      </c>
      <c r="AF73" s="264">
        <f>IF(ISNUMBER(AF71),IF(ABS(AF71-AF121)&lt;=0.15,0,ROUND(AF71-AF121,1)),"")</f>
        <v>0</v>
      </c>
      <c r="AG73" s="264">
        <f>IF(ISNUMBER(AG71),IF(ABS(AG71-AG121)&lt;=0.15,0,ROUND(AG71-AG121,1)),"")</f>
        <v>0</v>
      </c>
      <c r="AH73" s="264">
        <f>IF(ISNUMBER(AH71),IF(ABS(AH71-AH121)&lt;=0.15,0,ROUND(AH71-AH121,1)),"")</f>
        <v>0</v>
      </c>
      <c r="AI73" s="264">
        <f>IF(ISNUMBER(AI71),IF(ABS(AI71-AI121)&lt;=0.15,0,ROUND(AI71-AI121,1)),"")</f>
        <v>0</v>
      </c>
      <c r="AJ73" s="264">
        <f>IF(ISNUMBER(AJ71),IF(ABS(AJ71-AJ121)&lt;=0.15,0,ROUND(AJ71-AJ121,1)),"")</f>
        <v>0</v>
      </c>
      <c r="AK73" s="264">
        <f>IF(ISNUMBER(AK71),IF(ABS(AK71-AK121)&lt;=0.15,0,ROUND(AK71-AK121,1)),"")</f>
        <v>0</v>
      </c>
      <c r="AL73" s="264">
        <f>IF(ISNUMBER(AL71),IF(ABS(AL71-AL121)&lt;=0.15,0,ROUND(AL71-AL121,1)),"")</f>
        <v>0</v>
      </c>
      <c r="AM73" s="264">
        <f>IF(ISNUMBER(AM71),IF(ABS(AM71-AM121)&lt;=0.15,0,ROUND(AM71-AM121,1)),"")</f>
        <v>0</v>
      </c>
      <c r="AN73" s="264">
        <f>IF(ISNUMBER(AN71),IF(ABS(AN71-AN121)&lt;=0.15,0,ROUND(AN71-AN121,1)),"")</f>
        <v>0</v>
      </c>
      <c r="AO73" s="264">
        <f>IF(ISNUMBER(AO71),IF(ABS(AO71-AO121)&lt;=0.15,0,ROUND(AO71-AO121,1)),"")</f>
        <v>0</v>
      </c>
      <c r="AP73" s="264">
        <f>IF(ISNUMBER(AP71),IF(ABS(AP71-AP121)&lt;=0.15,0,ROUND(AP71-AP121,1)),"")</f>
        <v>0</v>
      </c>
      <c r="AQ73" s="264">
        <f>IF(ISNUMBER(AQ71),IF(ABS(AQ71-AQ121)&lt;=0.15,0,ROUND(AQ71-AQ121,1)),"")</f>
        <v>0</v>
      </c>
      <c r="AR73" s="264">
        <f>IF(ISNUMBER(AR71),IF(ABS(AR71-AR121)&lt;=0.15,0,ROUND(AR71-AR121,1)),"")</f>
        <v>0</v>
      </c>
      <c r="AS73" s="264">
        <f>IF(ISNUMBER(AS71),IF(ABS(AS71-AS121)&lt;=0.15,0,ROUND(AS71-AS121,1)),"")</f>
        <v>0</v>
      </c>
      <c r="AT73" s="264">
        <f>IF(ISNUMBER(AT71),IF(ABS(AT71-AT121)&lt;=0.15,0,ROUND(AT71-AT121,1)),"")</f>
        <v>0</v>
      </c>
      <c r="AU73" s="264">
        <f>IF(ISNUMBER(AU71),IF(ABS(AU71-AU121)&lt;=0.15,0,ROUND(AU71-AU121,1)),"")</f>
        <v>0</v>
      </c>
      <c r="AV73" s="264">
        <f>IF(ISNUMBER(AV71),IF(ABS(AV71-AV121)&lt;=0.15,0,ROUND(AV71-AV121,1)),"")</f>
        <v>0</v>
      </c>
      <c r="AW73" s="264">
        <f>IF(ISNUMBER(AW71),IF(ABS(AW71-AW121)&lt;=0.15,0,ROUND(AW71-AW121,1)),"")</f>
        <v>0</v>
      </c>
      <c r="AX73" s="264">
        <f>IF(ISNUMBER(AX71),IF(ABS(AX71-AX121)&lt;=0.15,0,ROUND(AX71-AX121,1)),"")</f>
        <v>0</v>
      </c>
      <c r="AY73" s="264">
        <f>IF(ISNUMBER(AY71),IF(ABS(AY71-AY121)&lt;=0.15,0,ROUND(AY71-AY121,1)),"")</f>
        <v>0</v>
      </c>
      <c r="AZ73" s="264">
        <f>IF(ISNUMBER(AZ71),IF(ABS(AZ71-AZ121)&lt;=0.15,0,ROUND(AZ71-AZ121,1)),"")</f>
        <v>0</v>
      </c>
      <c r="BA73" s="264">
        <f>IF(ISNUMBER(BA71),IF(ABS(BA71-BA121)&lt;=0.15,0,ROUND(BA71-BA121,1)),"")</f>
        <v>0</v>
      </c>
      <c r="BB73" s="264">
        <f>IF(ISNUMBER(BB71),IF(ABS(BB71-BB121)&lt;=0.15,0,ROUND(BB71-BB121,1)),"")</f>
        <v>0</v>
      </c>
      <c r="BC73" s="264">
        <f>IF(ISNUMBER(BC71),IF(ABS(BC71-BC121)&lt;=0.15,0,ROUND(BC71-BC121,1)),"")</f>
        <v>0</v>
      </c>
      <c r="BD73" s="264">
        <f>IF(ISNUMBER(BD71),IF(ABS(BD71-BD121)&lt;=0.15,0,ROUND(BD71-BD121,1)),"")</f>
        <v>0</v>
      </c>
      <c r="BE73" s="264">
        <f>IF(ISNUMBER(BE71),IF(ABS(BE71-BE121)&lt;=0.15,0,ROUND(BE71-BE121,1)),"")</f>
        <v>0</v>
      </c>
      <c r="BF73" s="264">
        <f>IF(ISNUMBER(BF71),IF(ABS(BF71-BF121)&lt;=0.15,0,ROUND(BF71-BF121,1)),"")</f>
        <v>0</v>
      </c>
      <c r="BG73" s="264">
        <f>IF(ISNUMBER(BG71),IF(ABS(BG71-BG121)&lt;=0.15,0,ROUND(BG71-BG121,1)),"")</f>
        <v>0</v>
      </c>
      <c r="BH73" s="264">
        <f>IF(ISNUMBER(BH71),IF(ABS(BH71-BH121)&lt;=0.15,0,ROUND(BH71-BH121,1)),"")</f>
        <v>0</v>
      </c>
      <c r="BI73" s="264">
        <f>IF(ISNUMBER(BI71),IF(ABS(BI71-BI121)&lt;=0.15,0,ROUND(BI71-BI121,1)),"")</f>
        <v>0</v>
      </c>
      <c r="BJ73" s="264">
        <f>IF(ISNUMBER(BJ71),IF(ABS(BJ71-BJ121)&lt;=0.15,0,ROUND(BJ71-BJ121,1)),"")</f>
        <v>0</v>
      </c>
      <c r="BK73" s="264">
        <f>IF(ISNUMBER(BK71),IF(ABS(BK71-BK121)&lt;=0.15,0,ROUND(BK71-BK121,1)),"")</f>
        <v>0</v>
      </c>
      <c r="BL73" s="264">
        <f>IF(ISNUMBER(BL71),IF(ABS(BL71-BL121)&lt;=0.15,0,ROUND(BL71-BL121,1)),"")</f>
        <v>0</v>
      </c>
      <c r="BM73" s="264">
        <f>IF(ISNUMBER(BM71),IF(ABS(BM71-BM121)&lt;=0.15,0,ROUND(BM71-BM121,1)),"")</f>
        <v>0</v>
      </c>
      <c r="BN73" s="264">
        <f>IF(ISNUMBER(BN71),IF(ABS(BN71-BN121)&lt;=0.15,0,ROUND(BN71-BN121,1)),"")</f>
        <v>0</v>
      </c>
      <c r="BO73" s="264">
        <f>IF(ISNUMBER(BO71),IF(ABS(BO71-BO121)&lt;=0.15,0,ROUND(BO71-BO121,1)),"")</f>
        <v>0</v>
      </c>
      <c r="BP73" s="264">
        <f>IF(ISNUMBER(BP71),IF(ABS(BP71-BP121)&lt;=0.15,0,ROUND(BP71-BP121,1)),"")</f>
        <v>0</v>
      </c>
      <c r="BQ73" s="264">
        <f>IF(ISNUMBER(BQ71),IF(ABS(BQ71-BQ121)&lt;=0.15,0,ROUND(BQ71-BQ121,1)),"")</f>
        <v>0</v>
      </c>
      <c r="BR73" s="264">
        <f>IF(ISNUMBER(BR71),IF(ABS(BR71-BR121)&lt;=0.15,0,ROUND(BR71-BR121,1)),"")</f>
        <v>0</v>
      </c>
      <c r="BS73" s="264">
        <f>IF(ISNUMBER(BS71),IF(ABS(BS71-BS121)&lt;=0.15,0,ROUND(BS71-BS121,1)),"")</f>
        <v>0</v>
      </c>
      <c r="BT73" s="264">
        <f>IF(ISNUMBER(BT71),IF(ABS(BT71-BT121)&lt;=0.15,0,ROUND(BT71-BT121,1)),"")</f>
        <v>0</v>
      </c>
      <c r="BU73" s="264">
        <f>IF(ISNUMBER(BU71),IF(ABS(BU71-BU121)&lt;=0.15,0,ROUND(BU71-BU121,1)),"")</f>
        <v>0</v>
      </c>
      <c r="BV73" s="264">
        <f>IF(ISNUMBER(BV71),IF(ABS(BV71-BV121)&lt;=0.15,0,ROUND(BV71-BV121,1)),"")</f>
        <v>0</v>
      </c>
      <c r="BW73" s="264">
        <f>IF(ISNUMBER(BW71),IF(ABS(BW71-BW121)&lt;=0.15,0,ROUND(BW71-BW121,1)),"")</f>
        <v>0</v>
      </c>
      <c r="BX73" s="264">
        <f>IF(ISNUMBER(BX71),IF(ABS(BX71-BX121)&lt;=0.15,0,ROUND(BX71-BX121,1)),"")</f>
        <v>0</v>
      </c>
      <c r="BY73" s="272">
        <f>IF(ISNUMBER(BY71),IF(ABS(BY71-BY121)&lt;=0.15,0,ROUND(BY71-BY121,1)),"")</f>
        <v>0</v>
      </c>
      <c r="BZ73" s="272">
        <f>IF(ISNUMBER(BZ71),IF(ABS(BZ71-BZ121)&lt;=0.15,0,ROUND(BZ71-BZ121,1)),"")</f>
        <v>0</v>
      </c>
      <c r="CA73" s="272">
        <f>IF(ISNUMBER(CA71),IF(ABS(CA71-CA121)&lt;=0.15,0,ROUND(CA71-CA121,1)),"")</f>
        <v>0</v>
      </c>
      <c r="CB73" s="272">
        <f>IF(ISNUMBER(CB71),IF(ABS(CB71-CB121)&lt;=0.15,0,ROUND(CB71-CB121,1)),"")</f>
        <v>0</v>
      </c>
      <c r="CC73" s="272">
        <f>IF(ISNUMBER(CC71),IF(ABS(CC71-CC121)&lt;=0.15,0,ROUND(CC71-CC121,1)),"")</f>
        <v>0</v>
      </c>
      <c r="CD73" s="272">
        <f>IF(ISNUMBER(CD71),IF(ABS(CD71-CD121)&lt;=0.15,0,ROUND(CD71-CD121,1)),"")</f>
        <v>0</v>
      </c>
      <c r="CE73" s="272">
        <f>IF(ISNUMBER(CE71),IF(ABS(CE71-CE121)&lt;=0.15,0,ROUND(CE71-CE121,1)),"")</f>
        <v>0</v>
      </c>
      <c r="CF73" s="272">
        <f>IF(ISNUMBER(CF71),IF(ABS(CF71-CF121)&lt;=0.15,0,ROUND(CF71-CF121,1)),"")</f>
        <v>0</v>
      </c>
      <c r="CG73" s="153" t="n"/>
      <c r="CO73" s="25" t="inlineStr">
        <is>
          <t xml:space="preserve">  2027E</t>
        </is>
      </c>
      <c r="CP73" s="51">
        <f>MAX(0,CQ73+$CP$72)</f>
        <v>250</v>
      </c>
      <c r="CQ73" s="26" t="n">
        <v>500</v>
      </c>
      <c r="CR73" s="51">
        <f>MAX(0,CQ73+$CR$72)</f>
        <v>1000</v>
      </c>
    </row>
    <row r="74" ht="15" customHeight="1" s="251">
      <c r="B74" s="25" t="inlineStr">
        <is>
          <t xml:space="preserve">  Revenue calibration (Q3-26E solved to the Q3 guide; Q4-26E solved to the FY26 end-point):</t>
        </is>
      </c>
      <c r="CG74" s="153" t="n"/>
      <c r="CO74" s="25" t="inlineStr">
        <is>
          <t xml:space="preserve">  2028E</t>
        </is>
      </c>
      <c r="CP74" s="51">
        <f>MAX(0,CQ74+$CP$72)</f>
        <v>250</v>
      </c>
      <c r="CQ74" s="26" t="n">
        <v>500</v>
      </c>
      <c r="CR74" s="51">
        <f>MAX(0,CQ74+$CR$72)</f>
        <v>1000</v>
      </c>
    </row>
    <row r="75" ht="15" customHeight="1" s="251">
      <c r="B75" s="156" t="inlineStr">
        <is>
          <t xml:space="preserve">  Revenue target — Q3-26E: Q3 guidance; Q4-26E: FY26 end-point − 1H-26 actual − Q3-26E</t>
        </is>
      </c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  <c r="AQ75" s="44" t="n"/>
      <c r="AR75" s="44" t="n"/>
      <c r="AS75" s="44" t="n"/>
      <c r="AT75" s="44" t="n"/>
      <c r="AU75" s="44" t="n"/>
      <c r="AV75" s="44" t="n"/>
      <c r="AW75" s="44" t="n"/>
      <c r="AX75" s="44" t="n"/>
      <c r="AY75" s="44" t="n"/>
      <c r="AZ75" s="44" t="n"/>
      <c r="BA75" s="44" t="n"/>
      <c r="BB75" s="44" t="n"/>
      <c r="BC75" s="44" t="n"/>
      <c r="BD75" s="44" t="n"/>
      <c r="BE75" s="44" t="n"/>
      <c r="BF75" s="44" t="n"/>
      <c r="BG75" s="44" t="n"/>
      <c r="BH75" s="44" t="n"/>
      <c r="BI75" s="44" t="n"/>
      <c r="BJ75" s="44" t="n"/>
      <c r="BK75" s="44" t="n"/>
      <c r="BL75" s="44" t="n"/>
      <c r="BM75" s="44" t="n"/>
      <c r="BN75" s="44" t="n"/>
      <c r="BO75" s="44" t="n"/>
      <c r="BP75" s="44" t="n"/>
      <c r="BQ75" s="44" t="n"/>
      <c r="BR75" s="44" t="n"/>
      <c r="BS75" s="44" t="n"/>
      <c r="BT75" s="44" t="n"/>
      <c r="BU75" s="44" t="n"/>
      <c r="BV75" s="44" t="n"/>
      <c r="BW75" s="44" t="n"/>
      <c r="BX75" s="44" t="n"/>
      <c r="BY75" s="254">
        <f>CHOOSE(MATCH($CG$2,{"Bull","Base","Bear"},0),$CP$13,$CQ$13,$CR$13)</f>
        <v>12860</v>
      </c>
      <c r="BZ75" s="254">
        <f>CA76-SUM(BW71:BX71)-BY71</f>
        <v>13530.305</v>
      </c>
      <c r="CA75" s="35" t="n"/>
      <c r="CB75" s="35" t="n"/>
      <c r="CC75" s="35" t="n"/>
      <c r="CD75" s="35" t="n"/>
      <c r="CE75" s="35" t="n"/>
      <c r="CF75" s="35" t="n"/>
      <c r="CG75" s="153" t="n"/>
      <c r="CO75" s="25" t="inlineStr">
        <is>
          <t xml:space="preserve">  2029E</t>
        </is>
      </c>
      <c r="CP75" s="51">
        <f>MAX(0,CQ75+$CP$72)</f>
        <v>250</v>
      </c>
      <c r="CQ75" s="26" t="n">
        <v>500</v>
      </c>
      <c r="CR75" s="51">
        <f>MAX(0,CQ75+$CR$72)</f>
        <v>1000</v>
      </c>
    </row>
    <row r="76" ht="15" customHeight="1" s="251">
      <c r="B76" s="156" t="inlineStr">
        <is>
          <t xml:space="preserve">  Memo: FY26 revenue guidance (scenario end-point)</t>
        </is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  <c r="AA76" s="34" t="n"/>
      <c r="AB76" s="34" t="n"/>
      <c r="AC76" s="34" t="n"/>
      <c r="AD76" s="34" t="n"/>
      <c r="AE76" s="34" t="n"/>
      <c r="AF76" s="34" t="n"/>
      <c r="AG76" s="34" t="n"/>
      <c r="AH76" s="34" t="n"/>
      <c r="AI76" s="34" t="n"/>
      <c r="AJ76" s="34" t="n"/>
      <c r="AK76" s="34" t="n"/>
      <c r="AL76" s="34" t="n"/>
      <c r="AM76" s="34" t="n"/>
      <c r="AN76" s="34" t="n"/>
      <c r="AO76" s="34" t="n"/>
      <c r="AP76" s="34" t="n"/>
      <c r="AQ76" s="34" t="n"/>
      <c r="AR76" s="34" t="n"/>
      <c r="AS76" s="34" t="n"/>
      <c r="AT76" s="34" t="n"/>
      <c r="AU76" s="34" t="n"/>
      <c r="AV76" s="34" t="n"/>
      <c r="AW76" s="34" t="n"/>
      <c r="AX76" s="34" t="n"/>
      <c r="AY76" s="34" t="n"/>
      <c r="AZ76" s="34" t="n"/>
      <c r="BA76" s="34" t="n"/>
      <c r="BB76" s="34" t="n"/>
      <c r="BC76" s="34" t="n"/>
      <c r="BD76" s="34" t="n"/>
      <c r="BE76" s="34" t="n"/>
      <c r="BF76" s="34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4" t="n"/>
      <c r="BW76" s="34" t="n"/>
      <c r="BX76" s="34" t="n"/>
      <c r="BY76" s="153" t="n"/>
      <c r="BZ76" s="153" t="n"/>
      <c r="CA76" s="272">
        <f>CHOOSE(MATCH($CG$2,{"Bull","Base","Bear"},0),$CP$12,$CQ$12,$CR$12)</f>
        <v>51200</v>
      </c>
      <c r="CB76" s="153" t="n"/>
      <c r="CC76" s="153" t="n"/>
      <c r="CD76" s="153" t="n"/>
      <c r="CE76" s="153" t="n"/>
      <c r="CF76" s="153" t="n"/>
      <c r="CG76" s="153" t="inlineStr">
        <is>
          <t>FY26 revenue $51.0-51.4bn (13-14% growth, ~12% F/X neutral), narrowed from $50.7-51.7bn (Q4-25 letter 20-Jan-2026; unchanged in the Q1-26 letter 16-Apr-2026). Drives the Q4-26E revenue calibration.</t>
        </is>
      </c>
      <c r="CO76" s="25" t="inlineStr">
        <is>
          <t xml:space="preserve">  2030E</t>
        </is>
      </c>
      <c r="CP76" s="51">
        <f>MAX(0,CQ76+$CP$72)</f>
        <v>250</v>
      </c>
      <c r="CQ76" s="26" t="n">
        <v>500</v>
      </c>
      <c r="CR76" s="51">
        <f>MAX(0,CQ76+$CR$72)</f>
        <v>1000</v>
      </c>
    </row>
    <row r="77" ht="15" customHeight="1" s="251">
      <c r="B77" s="25" t="inlineStr">
        <is>
          <t xml:space="preserve">  Revenue before calibration (helper: Σ prior-year quarter × (1 + 1H-26 y/y))</t>
        </is>
      </c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  <c r="AD77" s="34" t="n"/>
      <c r="AE77" s="34" t="n"/>
      <c r="AF77" s="34" t="n"/>
      <c r="AG77" s="34" t="n"/>
      <c r="AH77" s="34" t="n"/>
      <c r="AI77" s="34" t="n"/>
      <c r="AJ77" s="34" t="n"/>
      <c r="AK77" s="34" t="n"/>
      <c r="AL77" s="34" t="n"/>
      <c r="AM77" s="34" t="n"/>
      <c r="AN77" s="34" t="n"/>
      <c r="AO77" s="34" t="n"/>
      <c r="AP77" s="34" t="n"/>
      <c r="AQ77" s="34" t="n"/>
      <c r="AR77" s="34" t="n"/>
      <c r="AS77" s="34" t="n"/>
      <c r="AT77" s="34" t="n"/>
      <c r="AU77" s="34" t="n"/>
      <c r="AV77" s="34" t="n"/>
      <c r="AW77" s="34" t="n"/>
      <c r="AX77" s="34" t="n"/>
      <c r="AY77" s="34" t="n"/>
      <c r="AZ77" s="34" t="n"/>
      <c r="BA77" s="34" t="n"/>
      <c r="BB77" s="34" t="n"/>
      <c r="BC77" s="34" t="n"/>
      <c r="BD77" s="34" t="n"/>
      <c r="BE77" s="34" t="n"/>
      <c r="BF77" s="34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4" t="n"/>
      <c r="BY77" s="254">
        <f>BT11*(1+BY13)+BT19*(1+BY21)+BT27*(1+BY29)+BT35*(1+BY37)</f>
        <v>13207.8777135653</v>
      </c>
      <c r="BZ77" s="254">
        <f>BU11*(1+BZ13)+BU19*(1+BZ21)+BU27*(1+BZ29)+BU35*(1+BZ37)</f>
        <v>13825.924909607</v>
      </c>
      <c r="CA77" s="35" t="n"/>
      <c r="CB77" s="35" t="n"/>
      <c r="CC77" s="35" t="n"/>
      <c r="CD77" s="35" t="n"/>
      <c r="CE77" s="35" t="n"/>
      <c r="CF77" s="35" t="n"/>
      <c r="CG77" s="19" t="n"/>
      <c r="CO77" s="25" t="inlineStr">
        <is>
          <t xml:space="preserve">  2031E</t>
        </is>
      </c>
      <c r="CP77" s="51">
        <f>MAX(0,CQ77+$CP$72)</f>
        <v>250</v>
      </c>
      <c r="CQ77" s="26" t="n">
        <v>500</v>
      </c>
      <c r="CR77" s="51">
        <f>MAX(0,CQ77+$CR$72)</f>
        <v>1000</v>
      </c>
    </row>
    <row r="78" ht="15" customHeight="1" s="251">
      <c r="B78" s="25" t="inlineStr">
        <is>
          <t xml:space="preserve">  Revenue sensitivity to +1.00 of growth (helper: Σ prior-year quarter)</t>
        </is>
      </c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  <c r="AA78" s="34" t="n"/>
      <c r="AB78" s="34" t="n"/>
      <c r="AC78" s="34" t="n"/>
      <c r="AD78" s="34" t="n"/>
      <c r="AE78" s="34" t="n"/>
      <c r="AF78" s="34" t="n"/>
      <c r="AG78" s="34" t="n"/>
      <c r="AH78" s="34" t="n"/>
      <c r="AI78" s="34" t="n"/>
      <c r="AJ78" s="34" t="n"/>
      <c r="AK78" s="34" t="n"/>
      <c r="AL78" s="34" t="n"/>
      <c r="AM78" s="34" t="n"/>
      <c r="AN78" s="34" t="n"/>
      <c r="AO78" s="34" t="n"/>
      <c r="AP78" s="34" t="n"/>
      <c r="AQ78" s="34" t="n"/>
      <c r="AR78" s="34" t="n"/>
      <c r="AS78" s="34" t="n"/>
      <c r="AT78" s="34" t="n"/>
      <c r="AU78" s="34" t="n"/>
      <c r="AV78" s="34" t="n"/>
      <c r="AW78" s="34" t="n"/>
      <c r="AX78" s="34" t="n"/>
      <c r="AY78" s="34" t="n"/>
      <c r="AZ78" s="34" t="n"/>
      <c r="BA78" s="34" t="n"/>
      <c r="BB78" s="34" t="n"/>
      <c r="BC78" s="34" t="n"/>
      <c r="BD78" s="34" t="n"/>
      <c r="BE78" s="34" t="n"/>
      <c r="BF78" s="34" t="n"/>
      <c r="BG78" s="34" t="n"/>
      <c r="BH78" s="34" t="n"/>
      <c r="BI78" s="34" t="n"/>
      <c r="BJ78" s="34" t="n"/>
      <c r="BK78" s="34" t="n"/>
      <c r="BL78" s="34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254">
        <f>BT11+BT19+BT27+BT35</f>
        <v>11510.307</v>
      </c>
      <c r="BZ78" s="254">
        <f>BU11+BU19+BU27+BU35</f>
        <v>12050.762</v>
      </c>
      <c r="CA78" s="35" t="n"/>
      <c r="CB78" s="35" t="n"/>
      <c r="CC78" s="35" t="n"/>
      <c r="CD78" s="35" t="n"/>
      <c r="CE78" s="35" t="n"/>
      <c r="CF78" s="35" t="n"/>
      <c r="CG78" s="19" t="n"/>
    </row>
    <row r="79" ht="15" customHeight="1" s="251">
      <c r="B79" s="25" t="inlineStr">
        <is>
          <t xml:space="preserve">  Guidance calibration: Δ y/y growth applied to all regions (per quarter)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6" t="n"/>
      <c r="BH79" s="36" t="n"/>
      <c r="BI79" s="36" t="n"/>
      <c r="BJ79" s="36" t="n"/>
      <c r="BK79" s="36" t="n"/>
      <c r="BL79" s="36" t="n"/>
      <c r="BM79" s="36" t="n"/>
      <c r="BN79" s="36" t="n"/>
      <c r="BO79" s="36" t="n"/>
      <c r="BP79" s="36" t="n"/>
      <c r="BQ79" s="36" t="n"/>
      <c r="BR79" s="36" t="n"/>
      <c r="BS79" s="36" t="n"/>
      <c r="BT79" s="36" t="n"/>
      <c r="BU79" s="36" t="n"/>
      <c r="BV79" s="36" t="n"/>
      <c r="BW79" s="36" t="n"/>
      <c r="BX79" s="36" t="n"/>
      <c r="BY79" s="256">
        <f>(BY75-BY77)/BY78</f>
        <v>-0.0302231481371658</v>
      </c>
      <c r="BZ79" s="256">
        <f>(BZ75-BZ77)/BZ78</f>
        <v>-0.0245312213125618</v>
      </c>
      <c r="CA79" s="24" t="n"/>
      <c r="CB79" s="46" t="n"/>
      <c r="CC79" s="46" t="n"/>
      <c r="CD79" s="46" t="n"/>
      <c r="CE79" s="46" t="n"/>
      <c r="CF79" s="46" t="n"/>
      <c r="CG79" s="19" t="inlineStr">
        <is>
          <t>Closed-form solve: Δ = (target − revenue before calibration) ÷ sensitivity. Q3 and Q4 have separate Δs (quarter guide + full-year guide).</t>
        </is>
      </c>
    </row>
    <row r="80" collapsed="1" ht="15" customHeight="1" s="251">
      <c r="B80" s="57" t="inlineStr">
        <is>
          <t xml:space="preserve">  Check: revenue vs guidance target — Q3-26E quarter / FY26 end-point (should be 0)</t>
        </is>
      </c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F80" s="44" t="n"/>
      <c r="AG80" s="44" t="n"/>
      <c r="AH80" s="44" t="n"/>
      <c r="AI80" s="44" t="n"/>
      <c r="AJ80" s="44" t="n"/>
      <c r="AK80" s="44" t="n"/>
      <c r="AL80" s="44" t="n"/>
      <c r="AM80" s="44" t="n"/>
      <c r="AN80" s="44" t="n"/>
      <c r="AO80" s="44" t="n"/>
      <c r="AP80" s="44" t="n"/>
      <c r="AQ80" s="44" t="n"/>
      <c r="AR80" s="44" t="n"/>
      <c r="AS80" s="44" t="n"/>
      <c r="AT80" s="44" t="n"/>
      <c r="AU80" s="44" t="n"/>
      <c r="AV80" s="44" t="n"/>
      <c r="AW80" s="44" t="n"/>
      <c r="AX80" s="44" t="n"/>
      <c r="AY80" s="44" t="n"/>
      <c r="AZ80" s="44" t="n"/>
      <c r="BA80" s="44" t="n"/>
      <c r="BB80" s="44" t="n"/>
      <c r="BC80" s="44" t="n"/>
      <c r="BD80" s="44" t="n"/>
      <c r="BE80" s="44" t="n"/>
      <c r="BF80" s="44" t="n"/>
      <c r="BG80" s="44" t="n"/>
      <c r="BH80" s="44" t="n"/>
      <c r="BI80" s="44" t="n"/>
      <c r="BJ80" s="44" t="n"/>
      <c r="BK80" s="44" t="n"/>
      <c r="BL80" s="44" t="n"/>
      <c r="BM80" s="44" t="n"/>
      <c r="BN80" s="44" t="n"/>
      <c r="BO80" s="44" t="n"/>
      <c r="BP80" s="44" t="n"/>
      <c r="BQ80" s="44" t="n"/>
      <c r="BR80" s="44" t="n"/>
      <c r="BS80" s="44" t="n"/>
      <c r="BT80" s="44" t="n"/>
      <c r="BU80" s="44" t="n"/>
      <c r="BV80" s="44" t="n"/>
      <c r="BW80" s="44" t="n"/>
      <c r="BX80" s="44" t="n"/>
      <c r="BY80" s="272">
        <f>ROUND(BY71-BY75,1)</f>
        <v>0</v>
      </c>
      <c r="BZ80" s="272">
        <f>ROUND(BZ71-BZ75,1)</f>
        <v>0</v>
      </c>
      <c r="CA80" s="272">
        <f>ROUND(CA71-CA76,1)</f>
        <v>0</v>
      </c>
      <c r="CB80" s="153" t="n"/>
      <c r="CC80" s="153" t="n"/>
      <c r="CD80" s="153" t="n"/>
      <c r="CE80" s="153" t="n"/>
      <c r="CF80" s="153" t="n"/>
      <c r="CG80" s="153" t="n"/>
    </row>
    <row r="81" ht="15" customHeight="1" s="251">
      <c r="B81" s="25" t="inlineStr">
        <is>
          <t xml:space="preserve">  Operating-margin calibration (content amortization from its ~10% guide first; one Δ on the non-content cost ratios):</t>
        </is>
      </c>
      <c r="CG81" s="153" t="n"/>
    </row>
    <row r="82" ht="15" customHeight="1" s="251">
      <c r="B82" s="156" t="inlineStr">
        <is>
          <t xml:space="preserve">  Operating-margin guidance — Q3-26E quarter / FY26 (scenario end-point)</t>
        </is>
      </c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  <c r="AA82" s="34" t="n"/>
      <c r="AB82" s="34" t="n"/>
      <c r="AC82" s="34" t="n"/>
      <c r="AD82" s="34" t="n"/>
      <c r="AE82" s="34" t="n"/>
      <c r="AF82" s="34" t="n"/>
      <c r="AG82" s="34" t="n"/>
      <c r="AH82" s="34" t="n"/>
      <c r="AI82" s="34" t="n"/>
      <c r="AJ82" s="34" t="n"/>
      <c r="AK82" s="34" t="n"/>
      <c r="AL82" s="34" t="n"/>
      <c r="AM82" s="34" t="n"/>
      <c r="AN82" s="34" t="n"/>
      <c r="AO82" s="34" t="n"/>
      <c r="AP82" s="34" t="n"/>
      <c r="AQ82" s="34" t="n"/>
      <c r="AR82" s="34" t="n"/>
      <c r="AS82" s="34" t="n"/>
      <c r="AT82" s="34" t="n"/>
      <c r="AU82" s="34" t="n"/>
      <c r="AV82" s="34" t="n"/>
      <c r="AW82" s="34" t="n"/>
      <c r="AX82" s="34" t="n"/>
      <c r="AY82" s="34" t="n"/>
      <c r="AZ82" s="34" t="n"/>
      <c r="BA82" s="34" t="n"/>
      <c r="BB82" s="34" t="n"/>
      <c r="BC82" s="34" t="n"/>
      <c r="BD82" s="34" t="n"/>
      <c r="BE82" s="34" t="n"/>
      <c r="BF82" s="34" t="n"/>
      <c r="BG82" s="34" t="n"/>
      <c r="BH82" s="34" t="n"/>
      <c r="BI82" s="34" t="n"/>
      <c r="BJ82" s="34" t="n"/>
      <c r="BK82" s="34" t="n"/>
      <c r="BL82" s="34" t="n"/>
      <c r="BM82" s="34" t="n"/>
      <c r="BN82" s="34" t="n"/>
      <c r="BO82" s="34" t="n"/>
      <c r="BP82" s="34" t="n"/>
      <c r="BQ82" s="34" t="n"/>
      <c r="BR82" s="34" t="n"/>
      <c r="BS82" s="34" t="n"/>
      <c r="BT82" s="34" t="n"/>
      <c r="BU82" s="34" t="n"/>
      <c r="BV82" s="34" t="n"/>
      <c r="BW82" s="34" t="n"/>
      <c r="BX82" s="34" t="n"/>
      <c r="BY82" s="273">
        <f>CHOOSE(MATCH($CG$2,{"Bull","Base","Bear"},0),$CP$15,$CQ$15,$CR$15)</f>
        <v>0.332</v>
      </c>
      <c r="BZ82" s="153" t="n"/>
      <c r="CA82" s="273">
        <f>CHOOSE(MATCH($CG$2,{"Bull","Base","Bear"},0),$CP$14,$CQ$14,$CR$14)</f>
        <v>0.315</v>
      </c>
      <c r="CB82" s="153" t="n"/>
      <c r="CC82" s="153" t="n"/>
      <c r="CD82" s="153" t="n"/>
      <c r="CE82" s="153" t="n"/>
      <c r="CF82" s="153" t="n"/>
      <c r="CG82" s="153" t="inlineStr">
        <is>
          <t>Q3-26 operating margin 33.2% and FY26 31.5% (Q2-26 letter). Drive the Q3-26E and Q4-26E cost calibrations.</t>
        </is>
      </c>
    </row>
    <row r="83" ht="15" customHeight="1" s="251">
      <c r="B83" s="156" t="inlineStr">
        <is>
          <t xml:space="preserve">  Operating income required — Q3: revenue × Q3 margin; Q4: FY margin × FY revenue − 1H-26 − Q3-26E</t>
        </is>
      </c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  <c r="AE83" s="44" t="n"/>
      <c r="AF83" s="44" t="n"/>
      <c r="AG83" s="44" t="n"/>
      <c r="AH83" s="44" t="n"/>
      <c r="AI83" s="44" t="n"/>
      <c r="AJ83" s="44" t="n"/>
      <c r="AK83" s="44" t="n"/>
      <c r="AL83" s="44" t="n"/>
      <c r="AM83" s="44" t="n"/>
      <c r="AN83" s="44" t="n"/>
      <c r="AO83" s="44" t="n"/>
      <c r="AP83" s="44" t="n"/>
      <c r="AQ83" s="44" t="n"/>
      <c r="AR83" s="44" t="n"/>
      <c r="AS83" s="44" t="n"/>
      <c r="AT83" s="44" t="n"/>
      <c r="AU83" s="44" t="n"/>
      <c r="AV83" s="44" t="n"/>
      <c r="AW83" s="44" t="n"/>
      <c r="AX83" s="44" t="n"/>
      <c r="AY83" s="44" t="n"/>
      <c r="AZ83" s="44" t="n"/>
      <c r="BA83" s="44" t="n"/>
      <c r="BB83" s="44" t="n"/>
      <c r="BC83" s="44" t="n"/>
      <c r="BD83" s="44" t="n"/>
      <c r="BE83" s="44" t="n"/>
      <c r="BF83" s="44" t="n"/>
      <c r="BG83" s="44" t="n"/>
      <c r="BH83" s="44" t="n"/>
      <c r="BI83" s="44" t="n"/>
      <c r="BJ83" s="44" t="n"/>
      <c r="BK83" s="44" t="n"/>
      <c r="BL83" s="44" t="n"/>
      <c r="BM83" s="44" t="n"/>
      <c r="BN83" s="44" t="n"/>
      <c r="BO83" s="44" t="n"/>
      <c r="BP83" s="44" t="n"/>
      <c r="BQ83" s="44" t="n"/>
      <c r="BR83" s="44" t="n"/>
      <c r="BS83" s="44" t="n"/>
      <c r="BT83" s="44" t="n"/>
      <c r="BU83" s="44" t="n"/>
      <c r="BV83" s="44" t="n"/>
      <c r="BW83" s="44" t="n"/>
      <c r="BX83" s="44" t="n"/>
      <c r="BY83" s="254">
        <f>BY121*BY82</f>
        <v>4269.52</v>
      </c>
      <c r="BZ83" s="254">
        <f>CA82*CA121-SUM(BW131:BX131)-BY131</f>
        <v>3708.873</v>
      </c>
      <c r="CA83" s="35" t="n"/>
      <c r="CB83" s="35" t="n"/>
      <c r="CC83" s="35" t="n"/>
      <c r="CD83" s="35" t="n"/>
      <c r="CE83" s="35" t="n"/>
      <c r="CF83" s="35" t="n"/>
      <c r="CG83" s="153" t="n"/>
    </row>
    <row r="84" ht="15" customHeight="1" s="251">
      <c r="B84" s="25" t="inlineStr">
        <is>
          <t xml:space="preserve">  Non-content costs before calibration (helper: revenue × Σ pre-calibration ratios)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4" t="n"/>
      <c r="AK84" s="34" t="n"/>
      <c r="AL84" s="34" t="n"/>
      <c r="AM84" s="34" t="n"/>
      <c r="AN84" s="34" t="n"/>
      <c r="AO84" s="34" t="n"/>
      <c r="AP84" s="34" t="n"/>
      <c r="AQ84" s="34" t="n"/>
      <c r="AR84" s="34" t="n"/>
      <c r="AS84" s="34" t="n"/>
      <c r="AT84" s="34" t="n"/>
      <c r="AU84" s="34" t="n"/>
      <c r="AV84" s="34" t="n"/>
      <c r="AW84" s="34" t="n"/>
      <c r="AX84" s="34" t="n"/>
      <c r="AY84" s="34" t="n"/>
      <c r="AZ84" s="34" t="n"/>
      <c r="BA84" s="34" t="n"/>
      <c r="BB84" s="34" t="n"/>
      <c r="BC84" s="34" t="n"/>
      <c r="BD84" s="34" t="n"/>
      <c r="BE84" s="34" t="n"/>
      <c r="BF84" s="34" t="n"/>
      <c r="BG84" s="34" t="n"/>
      <c r="BH84" s="34" t="n"/>
      <c r="BI84" s="34" t="n"/>
      <c r="BJ84" s="34" t="n"/>
      <c r="BK84" s="34" t="n"/>
      <c r="BL84" s="34" t="n"/>
      <c r="BM84" s="34" t="n"/>
      <c r="BN84" s="34" t="n"/>
      <c r="BO84" s="34" t="n"/>
      <c r="BP84" s="34" t="n"/>
      <c r="BQ84" s="34" t="n"/>
      <c r="BR84" s="34" t="n"/>
      <c r="BS84" s="34" t="n"/>
      <c r="BT84" s="34" t="n"/>
      <c r="BU84" s="34" t="n"/>
      <c r="BV84" s="34" t="n"/>
      <c r="BW84" s="34" t="n"/>
      <c r="BX84" s="34" t="n"/>
      <c r="BY84" s="254">
        <f>BY121*(BY100+BY102+BY104+BY106)+BY109</f>
        <v>4210.5620867831</v>
      </c>
      <c r="BZ84" s="254">
        <f>BZ121*(BZ100+BZ102+BZ104+BZ106)+BZ109</f>
        <v>5012.32383721689</v>
      </c>
      <c r="CA84" s="35" t="n"/>
      <c r="CB84" s="35" t="n"/>
      <c r="CC84" s="35" t="n"/>
      <c r="CD84" s="35" t="n"/>
      <c r="CE84" s="35" t="n"/>
      <c r="CF84" s="35" t="n"/>
      <c r="CG84" s="19" t="n"/>
    </row>
    <row r="85" ht="15" customHeight="1" s="251">
      <c r="B85" s="25" t="inlineStr">
        <is>
          <t xml:space="preserve">  Guidance calibration: proportional Δ on the non-content cost ratios (per quarter)</t>
        </is>
      </c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  <c r="AV85" s="36" t="n"/>
      <c r="AW85" s="36" t="n"/>
      <c r="AX85" s="36" t="n"/>
      <c r="AY85" s="36" t="n"/>
      <c r="AZ85" s="36" t="n"/>
      <c r="BA85" s="36" t="n"/>
      <c r="BB85" s="36" t="n"/>
      <c r="BC85" s="36" t="n"/>
      <c r="BD85" s="36" t="n"/>
      <c r="BE85" s="36" t="n"/>
      <c r="BF85" s="36" t="n"/>
      <c r="BG85" s="36" t="n"/>
      <c r="BH85" s="36" t="n"/>
      <c r="BI85" s="36" t="n"/>
      <c r="BJ85" s="36" t="n"/>
      <c r="BK85" s="36" t="n"/>
      <c r="BL85" s="36" t="n"/>
      <c r="BM85" s="36" t="n"/>
      <c r="BN85" s="36" t="n"/>
      <c r="BO85" s="36" t="n"/>
      <c r="BP85" s="36" t="n"/>
      <c r="BQ85" s="36" t="n"/>
      <c r="BR85" s="36" t="n"/>
      <c r="BS85" s="36" t="n"/>
      <c r="BT85" s="36" t="n"/>
      <c r="BU85" s="36" t="n"/>
      <c r="BV85" s="36" t="n"/>
      <c r="BW85" s="36" t="n"/>
      <c r="BX85" s="36" t="n"/>
      <c r="BY85" s="256">
        <f>(BY121-BY96-BY83-BY109)/(BY84-BY109)-1</f>
        <v>0.00627930793101683</v>
      </c>
      <c r="BZ85" s="256">
        <f>(BZ121-BZ96-BZ83-BZ109)/(BZ84-BZ109)-1</f>
        <v>-0.0743341715351835</v>
      </c>
      <c r="CA85" s="24" t="n"/>
      <c r="CB85" s="46" t="n"/>
      <c r="CC85" s="46" t="n"/>
      <c r="CD85" s="46" t="n"/>
      <c r="CE85" s="46" t="n"/>
      <c r="CF85" s="46" t="n"/>
      <c r="CG85" s="19" t="inlineStr">
        <is>
          <t>Solves the proportional shift of other cost of revenues, marketing, technology &amp; development and G&amp;A (vs prior-year quarter ratio + 1H-26 drift) so that operating income = the requirement.</t>
        </is>
      </c>
    </row>
    <row r="86" ht="15" customHeight="1" s="251">
      <c r="B86" s="57" t="inlineStr">
        <is>
          <t xml:space="preserve">  Check: operating margin vs guidance — Q3-26E / FY26 (should be 0.0%)</t>
        </is>
      </c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  <c r="AE86" s="44" t="n"/>
      <c r="AF86" s="44" t="n"/>
      <c r="AG86" s="44" t="n"/>
      <c r="AH86" s="44" t="n"/>
      <c r="AI86" s="44" t="n"/>
      <c r="AJ86" s="44" t="n"/>
      <c r="AK86" s="44" t="n"/>
      <c r="AL86" s="44" t="n"/>
      <c r="AM86" s="44" t="n"/>
      <c r="AN86" s="44" t="n"/>
      <c r="AO86" s="44" t="n"/>
      <c r="AP86" s="44" t="n"/>
      <c r="AQ86" s="44" t="n"/>
      <c r="AR86" s="44" t="n"/>
      <c r="AS86" s="44" t="n"/>
      <c r="AT86" s="44" t="n"/>
      <c r="AU86" s="44" t="n"/>
      <c r="AV86" s="44" t="n"/>
      <c r="AW86" s="44" t="n"/>
      <c r="AX86" s="44" t="n"/>
      <c r="AY86" s="44" t="n"/>
      <c r="AZ86" s="44" t="n"/>
      <c r="BA86" s="44" t="n"/>
      <c r="BB86" s="44" t="n"/>
      <c r="BC86" s="44" t="n"/>
      <c r="BD86" s="44" t="n"/>
      <c r="BE86" s="44" t="n"/>
      <c r="BF86" s="44" t="n"/>
      <c r="BG86" s="44" t="n"/>
      <c r="BH86" s="44" t="n"/>
      <c r="BI86" s="44" t="n"/>
      <c r="BJ86" s="44" t="n"/>
      <c r="BK86" s="44" t="n"/>
      <c r="BL86" s="44" t="n"/>
      <c r="BM86" s="44" t="n"/>
      <c r="BN86" s="44" t="n"/>
      <c r="BO86" s="44" t="n"/>
      <c r="BP86" s="44" t="n"/>
      <c r="BQ86" s="44" t="n"/>
      <c r="BR86" s="44" t="n"/>
      <c r="BS86" s="44" t="n"/>
      <c r="BT86" s="44" t="n"/>
      <c r="BU86" s="44" t="n"/>
      <c r="BV86" s="44" t="n"/>
      <c r="BW86" s="44" t="n"/>
      <c r="BX86" s="44" t="n"/>
      <c r="BY86" s="273">
        <f>ROUND(BY132-BY82,4)</f>
        <v>0</v>
      </c>
      <c r="BZ86" s="153" t="n"/>
      <c r="CA86" s="273">
        <f>ROUND(CA132-CA82,4)</f>
        <v>0</v>
      </c>
      <c r="CB86" s="153" t="n"/>
      <c r="CC86" s="153" t="n"/>
      <c r="CD86" s="153" t="n"/>
      <c r="CE86" s="153" t="n"/>
      <c r="CF86" s="153" t="n"/>
      <c r="CG86" s="153" t="n"/>
    </row>
    <row r="87" ht="15" customHeight="1" s="251">
      <c r="B87" s="25" t="inlineStr">
        <is>
          <t xml:space="preserve">  Information rows (guided, not forced):</t>
        </is>
      </c>
      <c r="CG87" s="153" t="n"/>
    </row>
    <row r="88" collapsed="1" ht="15" customHeight="1" s="251">
      <c r="B88" s="156" t="inlineStr">
        <is>
          <t xml:space="preserve">  Memo: Q3-26 net income guidance ($m) — model − guidance</t>
        </is>
      </c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  <c r="AQ88" s="44" t="n"/>
      <c r="AR88" s="44" t="n"/>
      <c r="AS88" s="44" t="n"/>
      <c r="AT88" s="44" t="n"/>
      <c r="AU88" s="44" t="n"/>
      <c r="AV88" s="44" t="n"/>
      <c r="AW88" s="44" t="n"/>
      <c r="AX88" s="44" t="n"/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4" t="n"/>
      <c r="BO88" s="44" t="n"/>
      <c r="BP88" s="44" t="n"/>
      <c r="BQ88" s="44" t="n"/>
      <c r="BR88" s="44" t="n"/>
      <c r="BS88" s="44" t="n"/>
      <c r="BT88" s="44" t="n"/>
      <c r="BU88" s="44" t="n"/>
      <c r="BV88" s="44" t="n"/>
      <c r="BW88" s="44" t="n"/>
      <c r="BX88" s="44" t="n"/>
      <c r="BY88" s="254">
        <f>BY141-$CQ$25</f>
        <v>0.324200000000928</v>
      </c>
      <c r="BZ88" s="35" t="n"/>
      <c r="CA88" s="35" t="n"/>
      <c r="CB88" s="35" t="n"/>
      <c r="CC88" s="35" t="n"/>
      <c r="CD88" s="35" t="n"/>
      <c r="CE88" s="35" t="n"/>
      <c r="CF88" s="35" t="n"/>
      <c r="CG88" s="153" t="n"/>
    </row>
    <row r="89" ht="15" customHeight="1" s="251">
      <c r="B89" s="156" t="inlineStr">
        <is>
          <t xml:space="preserve">  Memo: Q3-26 diluted EPS guidance ($0.82) — model − guidance</t>
        </is>
      </c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  <c r="AE89" s="44" t="n"/>
      <c r="AF89" s="44" t="n"/>
      <c r="AG89" s="44" t="n"/>
      <c r="AH89" s="44" t="n"/>
      <c r="AI89" s="44" t="n"/>
      <c r="AJ89" s="44" t="n"/>
      <c r="AK89" s="44" t="n"/>
      <c r="AL89" s="44" t="n"/>
      <c r="AM89" s="44" t="n"/>
      <c r="AN89" s="44" t="n"/>
      <c r="AO89" s="44" t="n"/>
      <c r="AP89" s="44" t="n"/>
      <c r="AQ89" s="44" t="n"/>
      <c r="AR89" s="44" t="n"/>
      <c r="AS89" s="44" t="n"/>
      <c r="AT89" s="44" t="n"/>
      <c r="AU89" s="44" t="n"/>
      <c r="AV89" s="44" t="n"/>
      <c r="AW89" s="44" t="n"/>
      <c r="AX89" s="44" t="n"/>
      <c r="AY89" s="44" t="n"/>
      <c r="AZ89" s="44" t="n"/>
      <c r="BA89" s="44" t="n"/>
      <c r="BB89" s="44" t="n"/>
      <c r="BC89" s="44" t="n"/>
      <c r="BD89" s="44" t="n"/>
      <c r="BE89" s="44" t="n"/>
      <c r="BF89" s="44" t="n"/>
      <c r="BG89" s="44" t="n"/>
      <c r="BH89" s="44" t="n"/>
      <c r="BI89" s="44" t="n"/>
      <c r="BJ89" s="44" t="n"/>
      <c r="BK89" s="44" t="n"/>
      <c r="BL89" s="44" t="n"/>
      <c r="BM89" s="44" t="n"/>
      <c r="BN89" s="44" t="n"/>
      <c r="BO89" s="44" t="n"/>
      <c r="BP89" s="44" t="n"/>
      <c r="BQ89" s="44" t="n"/>
      <c r="BR89" s="44" t="n"/>
      <c r="BS89" s="44" t="n"/>
      <c r="BT89" s="44" t="n"/>
      <c r="BU89" s="44" t="n"/>
      <c r="BV89" s="44" t="n"/>
      <c r="BW89" s="44" t="n"/>
      <c r="BX89" s="44" t="n"/>
      <c r="BY89" s="266">
        <f>BY149-$CQ$26</f>
        <v>-0.000562803987432248</v>
      </c>
      <c r="BZ89" s="35" t="n"/>
      <c r="CA89" s="35" t="n"/>
      <c r="CB89" s="35" t="n"/>
      <c r="CC89" s="35" t="n"/>
      <c r="CD89" s="35" t="n"/>
      <c r="CE89" s="35" t="n"/>
      <c r="CF89" s="35" t="n"/>
      <c r="CG89" s="153" t="n"/>
    </row>
    <row r="90" ht="15" customHeight="1" s="251">
      <c r="B90" s="156" t="inlineStr">
        <is>
          <t xml:space="preserve">  Memo: FY26 content amortization growth — model (guided ~10%)</t>
        </is>
      </c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  <c r="AQ90" s="44" t="n"/>
      <c r="AR90" s="44" t="n"/>
      <c r="AS90" s="44" t="n"/>
      <c r="AT90" s="44" t="n"/>
      <c r="AU90" s="44" t="n"/>
      <c r="AV90" s="44" t="n"/>
      <c r="AW90" s="44" t="n"/>
      <c r="AX90" s="44" t="n"/>
      <c r="AY90" s="44" t="n"/>
      <c r="AZ90" s="44" t="n"/>
      <c r="BA90" s="44" t="n"/>
      <c r="BB90" s="44" t="n"/>
      <c r="BC90" s="44" t="n"/>
      <c r="BD90" s="44" t="n"/>
      <c r="BE90" s="44" t="n"/>
      <c r="BF90" s="44" t="n"/>
      <c r="BG90" s="44" t="n"/>
      <c r="BH90" s="44" t="n"/>
      <c r="BI90" s="44" t="n"/>
      <c r="BJ90" s="44" t="n"/>
      <c r="BK90" s="44" t="n"/>
      <c r="BL90" s="44" t="n"/>
      <c r="BM90" s="44" t="n"/>
      <c r="BN90" s="44" t="n"/>
      <c r="BO90" s="44" t="n"/>
      <c r="BP90" s="44" t="n"/>
      <c r="BQ90" s="44" t="n"/>
      <c r="BR90" s="44" t="n"/>
      <c r="BS90" s="44" t="n"/>
      <c r="BT90" s="44" t="n"/>
      <c r="BU90" s="44" t="n"/>
      <c r="BV90" s="44" t="n"/>
      <c r="BW90" s="44" t="n"/>
      <c r="BX90" s="44" t="n"/>
      <c r="BY90" s="35" t="n"/>
      <c r="BZ90" s="35" t="n"/>
      <c r="CA90" s="256">
        <f>CA97</f>
        <v>0.1</v>
      </c>
      <c r="CB90" s="35" t="n"/>
      <c r="CC90" s="35" t="n"/>
      <c r="CD90" s="35" t="n"/>
      <c r="CE90" s="35" t="n"/>
      <c r="CF90" s="35" t="n"/>
      <c r="CG90" s="153" t="n"/>
    </row>
    <row r="91" ht="15" customHeight="1" s="251">
      <c r="B91" s="156" t="inlineStr">
        <is>
          <t xml:space="preserve">  Memo: FY26 operating income growth — model (guided 20%+)</t>
        </is>
      </c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  <c r="AE91" s="44" t="n"/>
      <c r="AF91" s="44" t="n"/>
      <c r="AG91" s="44" t="n"/>
      <c r="AH91" s="44" t="n"/>
      <c r="AI91" s="44" t="n"/>
      <c r="AJ91" s="44" t="n"/>
      <c r="AK91" s="44" t="n"/>
      <c r="AL91" s="44" t="n"/>
      <c r="AM91" s="44" t="n"/>
      <c r="AN91" s="44" t="n"/>
      <c r="AO91" s="44" t="n"/>
      <c r="AP91" s="44" t="n"/>
      <c r="AQ91" s="44" t="n"/>
      <c r="AR91" s="44" t="n"/>
      <c r="AS91" s="44" t="n"/>
      <c r="AT91" s="44" t="n"/>
      <c r="AU91" s="44" t="n"/>
      <c r="AV91" s="44" t="n"/>
      <c r="AW91" s="44" t="n"/>
      <c r="AX91" s="44" t="n"/>
      <c r="AY91" s="44" t="n"/>
      <c r="AZ91" s="44" t="n"/>
      <c r="BA91" s="44" t="n"/>
      <c r="BB91" s="44" t="n"/>
      <c r="BC91" s="44" t="n"/>
      <c r="BD91" s="44" t="n"/>
      <c r="BE91" s="44" t="n"/>
      <c r="BF91" s="44" t="n"/>
      <c r="BG91" s="44" t="n"/>
      <c r="BH91" s="44" t="n"/>
      <c r="BI91" s="44" t="n"/>
      <c r="BJ91" s="44" t="n"/>
      <c r="BK91" s="44" t="n"/>
      <c r="BL91" s="44" t="n"/>
      <c r="BM91" s="44" t="n"/>
      <c r="BN91" s="44" t="n"/>
      <c r="BO91" s="44" t="n"/>
      <c r="BP91" s="44" t="n"/>
      <c r="BQ91" s="44" t="n"/>
      <c r="BR91" s="44" t="n"/>
      <c r="BS91" s="44" t="n"/>
      <c r="BT91" s="44" t="n"/>
      <c r="BU91" s="44" t="n"/>
      <c r="BV91" s="44" t="n"/>
      <c r="BW91" s="44" t="n"/>
      <c r="BX91" s="44" t="n"/>
      <c r="BY91" s="35" t="n"/>
      <c r="BZ91" s="35" t="n"/>
      <c r="CA91" s="256">
        <f>CA131/BV131-1</f>
        <v>0.210210884199072</v>
      </c>
      <c r="CB91" s="35" t="n"/>
      <c r="CC91" s="35" t="n"/>
      <c r="CD91" s="35" t="n"/>
      <c r="CE91" s="35" t="n"/>
      <c r="CF91" s="35" t="n"/>
      <c r="CG91" s="153" t="n"/>
    </row>
    <row r="92" ht="15" customHeight="1" s="251">
      <c r="B92" s="156" t="inlineStr">
        <is>
          <t xml:space="preserve">  Memo: FY26 free cash flow guidance (~$12.5bn) — forced through 2H working capital (cash-flow block)</t>
        </is>
      </c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  <c r="AA92" s="34" t="n"/>
      <c r="AB92" s="34" t="n"/>
      <c r="AC92" s="34" t="n"/>
      <c r="AD92" s="34" t="n"/>
      <c r="AE92" s="34" t="n"/>
      <c r="AF92" s="34" t="n"/>
      <c r="AG92" s="34" t="n"/>
      <c r="AH92" s="34" t="n"/>
      <c r="AI92" s="34" t="n"/>
      <c r="AJ92" s="34" t="n"/>
      <c r="AK92" s="34" t="n"/>
      <c r="AL92" s="34" t="n"/>
      <c r="AM92" s="34" t="n"/>
      <c r="AN92" s="34" t="n"/>
      <c r="AO92" s="34" t="n"/>
      <c r="AP92" s="34" t="n"/>
      <c r="AQ92" s="34" t="n"/>
      <c r="AR92" s="34" t="n"/>
      <c r="AS92" s="34" t="n"/>
      <c r="AT92" s="34" t="n"/>
      <c r="AU92" s="34" t="n"/>
      <c r="AV92" s="34" t="n"/>
      <c r="AW92" s="34" t="n"/>
      <c r="AX92" s="34" t="n"/>
      <c r="AY92" s="34" t="n"/>
      <c r="AZ92" s="34" t="n"/>
      <c r="BA92" s="34" t="n"/>
      <c r="BB92" s="34" t="n"/>
      <c r="BC92" s="34" t="n"/>
      <c r="BD92" s="34" t="n"/>
      <c r="BE92" s="34" t="n"/>
      <c r="BF92" s="34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153" t="n"/>
      <c r="BZ92" s="153" t="n"/>
      <c r="CA92" s="272">
        <f>CHOOSE(MATCH($CG$2,{"Bull","Base","Bear"},0),$CP$16,$CQ$16,$CR$16)</f>
        <v>12500</v>
      </c>
      <c r="CB92" s="153" t="n"/>
      <c r="CC92" s="153" t="n"/>
      <c r="CD92" s="153" t="n"/>
      <c r="CE92" s="153" t="n"/>
      <c r="CF92" s="153" t="n"/>
      <c r="CG92" s="153" t="n"/>
    </row>
    <row r="93" ht="15" customHeight="1" s="251">
      <c r="B93" s="57" t="inlineStr">
        <is>
          <t xml:space="preserve">  Check: FY26 free cash flow vs guidance (should be 0)</t>
        </is>
      </c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  <c r="AE93" s="44" t="n"/>
      <c r="AF93" s="44" t="n"/>
      <c r="AG93" s="44" t="n"/>
      <c r="AH93" s="44" t="n"/>
      <c r="AI93" s="44" t="n"/>
      <c r="AJ93" s="44" t="n"/>
      <c r="AK93" s="44" t="n"/>
      <c r="AL93" s="44" t="n"/>
      <c r="AM93" s="44" t="n"/>
      <c r="AN93" s="44" t="n"/>
      <c r="AO93" s="44" t="n"/>
      <c r="AP93" s="44" t="n"/>
      <c r="AQ93" s="44" t="n"/>
      <c r="AR93" s="44" t="n"/>
      <c r="AS93" s="44" t="n"/>
      <c r="AT93" s="44" t="n"/>
      <c r="AU93" s="44" t="n"/>
      <c r="AV93" s="44" t="n"/>
      <c r="AW93" s="44" t="n"/>
      <c r="AX93" s="44" t="n"/>
      <c r="AY93" s="44" t="n"/>
      <c r="AZ93" s="44" t="n"/>
      <c r="BA93" s="44" t="n"/>
      <c r="BB93" s="44" t="n"/>
      <c r="BC93" s="44" t="n"/>
      <c r="BD93" s="44" t="n"/>
      <c r="BE93" s="44" t="n"/>
      <c r="BF93" s="44" t="n"/>
      <c r="BG93" s="44" t="n"/>
      <c r="BH93" s="44" t="n"/>
      <c r="BI93" s="44" t="n"/>
      <c r="BJ93" s="44" t="n"/>
      <c r="BK93" s="44" t="n"/>
      <c r="BL93" s="44" t="n"/>
      <c r="BM93" s="44" t="n"/>
      <c r="BN93" s="44" t="n"/>
      <c r="BO93" s="44" t="n"/>
      <c r="BP93" s="44" t="n"/>
      <c r="BQ93" s="44" t="n"/>
      <c r="BR93" s="44" t="n"/>
      <c r="BS93" s="44" t="n"/>
      <c r="BT93" s="44" t="n"/>
      <c r="BU93" s="44" t="n"/>
      <c r="BV93" s="44" t="n"/>
      <c r="BW93" s="44" t="n"/>
      <c r="BX93" s="44" t="n"/>
      <c r="BY93" s="153" t="n"/>
      <c r="BZ93" s="153" t="n"/>
      <c r="CA93" s="272">
        <f>ROUND(CA259-CA92,1)</f>
        <v>0</v>
      </c>
      <c r="CB93" s="153" t="n"/>
      <c r="CC93" s="153" t="n"/>
      <c r="CD93" s="153" t="n"/>
      <c r="CE93" s="153" t="n"/>
      <c r="CF93" s="153" t="n"/>
      <c r="CG93" s="153" t="n"/>
    </row>
    <row r="94" ht="15" customHeight="1" s="251">
      <c r="CO94" s="11" t="n"/>
      <c r="CP94" s="12" t="n"/>
      <c r="CQ94" s="12" t="n"/>
      <c r="CR94" s="12" t="n"/>
      <c r="CS94" s="13" t="n"/>
    </row>
    <row r="95" ht="15" customHeight="1" s="251">
      <c r="B95" s="14" t="inlineStr">
        <is>
          <t>Cost drivers (content amortization · other cost of revenues · operating expenses · D&amp;A · SBC) and adjusting items</t>
        </is>
      </c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  <c r="AH95" s="14" t="n"/>
      <c r="AI95" s="14" t="n"/>
      <c r="AJ95" s="14" t="n"/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  <c r="BF95" s="14" t="n"/>
      <c r="BG95" s="14" t="n"/>
      <c r="BH95" s="14" t="n"/>
      <c r="BI95" s="14" t="n"/>
      <c r="BJ95" s="14" t="n"/>
      <c r="BK95" s="14" t="n"/>
      <c r="BL95" s="14" t="n"/>
      <c r="BM95" s="14" t="n"/>
      <c r="BN95" s="14" t="n"/>
      <c r="BO95" s="14" t="n"/>
      <c r="BP95" s="14" t="n"/>
      <c r="BQ95" s="14" t="n"/>
      <c r="BR95" s="14" t="n"/>
      <c r="BS95" s="14" t="n"/>
      <c r="BT95" s="14" t="n"/>
      <c r="BU95" s="14" t="n"/>
      <c r="BV95" s="14" t="n"/>
      <c r="BW95" s="14" t="n"/>
      <c r="BX95" s="14" t="n"/>
      <c r="BY95" s="14" t="n"/>
      <c r="BZ95" s="14" t="n"/>
      <c r="CA95" s="14" t="n"/>
      <c r="CB95" s="14" t="n"/>
      <c r="CC95" s="14" t="n"/>
      <c r="CD95" s="14" t="n"/>
      <c r="CE95" s="14" t="n"/>
      <c r="CF95" s="14" t="n"/>
      <c r="CG95" s="15" t="inlineStr">
        <is>
          <t>COST DRIVERS — Q3/Q4-26E: guided content amortization, then calibrated ratios; 2027E+: content amortization growth lever, operating-margin lever, opex % inputs</t>
        </is>
      </c>
    </row>
    <row r="96" ht="15" customHeight="1" s="251">
      <c r="B96" s="25" t="inlineStr">
        <is>
          <t xml:space="preserve">  Content amortization (cost of revenues; streaming + DVD; cash-flow statement)</t>
        </is>
      </c>
      <c r="C96" s="253" t="n">
        <v>141.16</v>
      </c>
      <c r="D96" s="253" t="n">
        <v>203.415</v>
      </c>
      <c r="E96" s="253" t="n">
        <v>209.757</v>
      </c>
      <c r="F96" s="253" t="n">
        <v>219.49</v>
      </c>
      <c r="G96" s="253" t="n">
        <v>300.596</v>
      </c>
      <c r="H96" s="253" t="n">
        <v>795.872</v>
      </c>
      <c r="I96" s="253" t="n">
        <v>1656.614</v>
      </c>
      <c r="J96" s="253" t="n">
        <v>503.977</v>
      </c>
      <c r="K96" s="253" t="n">
        <v>527.9589999999999</v>
      </c>
      <c r="L96" s="253" t="n">
        <v>570.9400000000001</v>
      </c>
      <c r="M96" s="253" t="n">
        <v>590.4299999999999</v>
      </c>
      <c r="N96" s="253" t="n">
        <v>2193.306</v>
      </c>
      <c r="O96" s="253" t="n">
        <v>616.856</v>
      </c>
      <c r="P96" s="253" t="n">
        <v>655.96</v>
      </c>
      <c r="Q96" s="253" t="n">
        <v>704.423</v>
      </c>
      <c r="R96" s="253" t="n">
        <v>750.5309999999999</v>
      </c>
      <c r="S96" s="253" t="n">
        <v>2727.77</v>
      </c>
      <c r="T96" s="253" t="n">
        <v>770.703</v>
      </c>
      <c r="U96" s="253" t="n">
        <v>843.413</v>
      </c>
      <c r="V96" s="253" t="n">
        <v>889.992</v>
      </c>
      <c r="W96" s="253" t="n">
        <v>980.654</v>
      </c>
      <c r="X96" s="253" t="n">
        <v>3484.762</v>
      </c>
      <c r="Y96" s="253" t="n">
        <v>1078.962</v>
      </c>
      <c r="Z96" s="253" t="n">
        <v>1195.382</v>
      </c>
      <c r="AA96" s="253" t="n">
        <v>1243.392</v>
      </c>
      <c r="AB96" s="253" t="n">
        <v>1349.714</v>
      </c>
      <c r="AC96" s="253" t="n">
        <v>4867.45</v>
      </c>
      <c r="AD96" s="253" t="n">
        <v>1324.281</v>
      </c>
      <c r="AE96" s="253" t="n">
        <v>1567.305</v>
      </c>
      <c r="AF96" s="253" t="n">
        <v>1640.736</v>
      </c>
      <c r="AG96" s="253" t="n">
        <v>1726.152</v>
      </c>
      <c r="AH96" s="253" t="n">
        <v>6258.474</v>
      </c>
      <c r="AI96" s="253" t="n">
        <v>1759.978</v>
      </c>
      <c r="AJ96" s="253" t="n">
        <v>1828.971</v>
      </c>
      <c r="AK96" s="253" t="n">
        <v>1921.726</v>
      </c>
      <c r="AL96" s="253" t="n">
        <v>2062.625</v>
      </c>
      <c r="AM96" s="253" t="n">
        <v>7573.3</v>
      </c>
      <c r="AN96" s="253" t="n">
        <v>2133.195</v>
      </c>
      <c r="AO96" s="253" t="n">
        <v>2239.571</v>
      </c>
      <c r="AP96" s="253" t="n">
        <v>2286.631</v>
      </c>
      <c r="AQ96" s="253" t="n">
        <v>2556.85</v>
      </c>
      <c r="AR96" s="253" t="n">
        <v>9216.246999999999</v>
      </c>
      <c r="AS96" s="253" t="n">
        <v>2483.385</v>
      </c>
      <c r="AT96" s="253" t="n">
        <v>2607.159</v>
      </c>
      <c r="AU96" s="253" t="n">
        <v>2733.743</v>
      </c>
      <c r="AV96" s="253" t="n">
        <v>2982.625</v>
      </c>
      <c r="AW96" s="253" t="n">
        <v>10806.912</v>
      </c>
      <c r="AX96" s="253" t="n">
        <v>2719.196</v>
      </c>
      <c r="AY96" s="253" t="n">
        <v>2806.803</v>
      </c>
      <c r="AZ96" s="253" t="n">
        <v>2963.051</v>
      </c>
      <c r="BA96" s="253" t="n">
        <v>3741.317</v>
      </c>
      <c r="BB96" s="253" t="n">
        <v>12230.367</v>
      </c>
      <c r="BC96" s="253" t="n">
        <v>3166.365</v>
      </c>
      <c r="BD96" s="253" t="n">
        <v>3261.348</v>
      </c>
      <c r="BE96" s="253" t="n">
        <v>3653.592</v>
      </c>
      <c r="BF96" s="253" t="n">
        <v>3944.827</v>
      </c>
      <c r="BG96" s="253" t="n">
        <v>14026.132</v>
      </c>
      <c r="BH96" s="253" t="n">
        <v>3459.984</v>
      </c>
      <c r="BI96" s="253" t="n">
        <v>3410.021</v>
      </c>
      <c r="BJ96" s="253" t="n">
        <v>3573.353</v>
      </c>
      <c r="BK96" s="253" t="n">
        <v>3754.079</v>
      </c>
      <c r="BL96" s="253" t="n">
        <v>14197.437</v>
      </c>
      <c r="BM96" s="253" t="n">
        <v>3670.805</v>
      </c>
      <c r="BN96" s="253" t="n">
        <v>3769.69</v>
      </c>
      <c r="BO96" s="253" t="n">
        <v>3699.521</v>
      </c>
      <c r="BP96" s="253" t="n">
        <v>4161.501</v>
      </c>
      <c r="BQ96" s="253" t="n">
        <v>15301.517</v>
      </c>
      <c r="BR96" s="253" t="n">
        <v>3823.112</v>
      </c>
      <c r="BS96" s="253" t="n">
        <v>3832.074</v>
      </c>
      <c r="BT96" s="253" t="n">
        <v>4002.744</v>
      </c>
      <c r="BU96" s="253" t="n">
        <v>4764.236</v>
      </c>
      <c r="BV96" s="253" t="n">
        <v>16422.166</v>
      </c>
      <c r="BW96" s="253" t="n">
        <v>4217.9</v>
      </c>
      <c r="BX96" s="253" t="n">
        <v>4311.309</v>
      </c>
      <c r="BY96" s="254">
        <f>(BV96*(1+$CQ$19)-SUM(BW96:BX96))*BT96/(BT96+BU96)</f>
        <v>4353.47849731132</v>
      </c>
      <c r="BZ96" s="254">
        <f>(BV96*(1+$CQ$19)-SUM(BW96:BX96))*BU96/(BT96+BU96)</f>
        <v>5181.69510268868</v>
      </c>
      <c r="CA96" s="254">
        <f>SUM(BW96:BZ96)</f>
        <v>18064.3826</v>
      </c>
      <c r="CB96" s="254">
        <f>CA96*(1+CB97)</f>
        <v>19509.533208</v>
      </c>
      <c r="CC96" s="254">
        <f>CB96*(1+CC97)</f>
        <v>20875.20053256</v>
      </c>
      <c r="CD96" s="254">
        <f>CC96*(1+CD97)</f>
        <v>22232.0885671764</v>
      </c>
      <c r="CE96" s="254">
        <f>CD96*(1+CE97)</f>
        <v>23566.013881207</v>
      </c>
      <c r="CF96" s="254">
        <f>CE96*(1+CF97)</f>
        <v>24862.1446446734</v>
      </c>
      <c r="CG96" s="19" t="inlineStr">
        <is>
          <t>Q3/Q4-26E: FY26 = FY25 × (1 + ~10% guided), 2H = FY − 1H actual, split by the 2H-25 quarterly mix. 2027E+: prior year × (1 + scenario lever).</t>
        </is>
      </c>
      <c r="CI96" s="20">
        <f>IFERROR((CF96/CA96)^(1/5)-1,"n/m")</f>
        <v>0.0659653630471335</v>
      </c>
      <c r="CJ96" s="20">
        <f>IFERROR((BV96/AW96)^(1/5)-1,"n/m")</f>
        <v>0.0872909282810626</v>
      </c>
      <c r="CK96" s="20">
        <f>IFERROR((BV96/X96)^(1/10)-1,"n/m")</f>
        <v>0.167685081260455</v>
      </c>
      <c r="CL96" s="20">
        <f>IFERROR((BV96/C96)^(1/19)-1,"n/m")</f>
        <v>0.284464309920594</v>
      </c>
    </row>
    <row r="97" ht="15" customHeight="1" s="251">
      <c r="B97" s="22" t="inlineStr">
        <is>
          <t xml:space="preserve">  Content amortization y/y %</t>
        </is>
      </c>
      <c r="C97" s="23" t="n"/>
      <c r="D97" s="255">
        <f>IF(AND(ISNUMBER(D96),ISNUMBER(C96)),IFERROR(D96/C96-1,""),"")</f>
        <v>0.441024369509776</v>
      </c>
      <c r="E97" s="255">
        <f>IF(AND(ISNUMBER(E96),ISNUMBER(D96)),IFERROR(E96/D96-1,""),"")</f>
        <v>0.0311776417668315</v>
      </c>
      <c r="F97" s="255">
        <f>IF(AND(ISNUMBER(F96),ISNUMBER(E96)),IFERROR(F96/E96-1,""),"")</f>
        <v>0.0464013119943554</v>
      </c>
      <c r="G97" s="255">
        <f>IF(AND(ISNUMBER(G96),ISNUMBER(F96)),IFERROR(G96/F96-1,""),"")</f>
        <v>0.369520251492095</v>
      </c>
      <c r="H97" s="255">
        <f>IF(AND(ISNUMBER(H96),ISNUMBER(G96)),IFERROR(H96/G96-1,""),"")</f>
        <v>1.64764667527179</v>
      </c>
      <c r="I97" s="255">
        <f>IF(AND(ISNUMBER(I96),ISNUMBER(H96)),IFERROR(I96/H96-1,""),"")</f>
        <v>1.08150808170158</v>
      </c>
      <c r="J97" s="23" t="n"/>
      <c r="K97" s="23" t="n"/>
      <c r="L97" s="23" t="n"/>
      <c r="M97" s="23" t="n"/>
      <c r="N97" s="255">
        <f>IF(AND(ISNUMBER(N96),ISNUMBER(I96)),IFERROR(N96/I96-1,""),"")</f>
        <v>0.32396925294607</v>
      </c>
      <c r="O97" s="255">
        <f>IF(AND(ISNUMBER(O96),ISNUMBER(J96)),IFERROR(O96/J96-1,""),"")</f>
        <v>0.22397649099066</v>
      </c>
      <c r="P97" s="255">
        <f>IF(AND(ISNUMBER(P96),ISNUMBER(K96)),IFERROR(P96/K96-1,""),"")</f>
        <v>0.242444962582322</v>
      </c>
      <c r="Q97" s="255">
        <f>IF(AND(ISNUMBER(Q96),ISNUMBER(L96)),IFERROR(Q96/L96-1,""),"")</f>
        <v>0.233795144848846</v>
      </c>
      <c r="R97" s="255">
        <f>IF(AND(ISNUMBER(R96),ISNUMBER(M96)),IFERROR(R96/M96-1,""),"")</f>
        <v>0.271160002032417</v>
      </c>
      <c r="S97" s="255">
        <f>IF(AND(ISNUMBER(S96),ISNUMBER(N96)),IFERROR(S96/N96-1,""),"")</f>
        <v>0.243679632481742</v>
      </c>
      <c r="T97" s="255">
        <f>IF(AND(ISNUMBER(T96),ISNUMBER(O96)),IFERROR(T96/O96-1,""),"")</f>
        <v>0.249405047531353</v>
      </c>
      <c r="U97" s="255">
        <f>IF(AND(ISNUMBER(U96),ISNUMBER(P96)),IFERROR(U96/P96-1,""),"")</f>
        <v>0.285768949326178</v>
      </c>
      <c r="V97" s="255">
        <f>IF(AND(ISNUMBER(V96),ISNUMBER(Q96)),IFERROR(V96/Q96-1,""),"")</f>
        <v>0.263434044601042</v>
      </c>
      <c r="W97" s="255">
        <f>IF(AND(ISNUMBER(W96),ISNUMBER(R96)),IFERROR(W96/R96-1,""),"")</f>
        <v>0.306613584249019</v>
      </c>
      <c r="X97" s="255">
        <f>IF(AND(ISNUMBER(X96),ISNUMBER(S96)),IFERROR(X96/S96-1,""),"")</f>
        <v>0.27751313343867</v>
      </c>
      <c r="Y97" s="255">
        <f>IF(AND(ISNUMBER(Y96),ISNUMBER(T96)),IFERROR(Y96/T96-1,""),"")</f>
        <v>0.399971195129641</v>
      </c>
      <c r="Z97" s="255">
        <f>IF(AND(ISNUMBER(Z96),ISNUMBER(U96)),IFERROR(Z96/U96-1,""),"")</f>
        <v>0.417315123195872</v>
      </c>
      <c r="AA97" s="255">
        <f>IF(AND(ISNUMBER(AA96),ISNUMBER(V96)),IFERROR(AA96/V96-1,""),"")</f>
        <v>0.397082220963784</v>
      </c>
      <c r="AB97" s="255">
        <f>IF(AND(ISNUMBER(AB96),ISNUMBER(W96)),IFERROR(AB96/W96-1,""),"")</f>
        <v>0.376340686929335</v>
      </c>
      <c r="AC97" s="255">
        <f>IF(AND(ISNUMBER(AC96),ISNUMBER(X96)),IFERROR(AC96/X96-1,""),"")</f>
        <v>0.396781186204395</v>
      </c>
      <c r="AD97" s="255">
        <f>IF(AND(ISNUMBER(AD96),ISNUMBER(Y96)),IFERROR(AD96/Y96-1,""),"")</f>
        <v>0.227365745966957</v>
      </c>
      <c r="AE97" s="255">
        <f>IF(AND(ISNUMBER(AE96),ISNUMBER(Z96)),IFERROR(AE96/Z96-1,""),"")</f>
        <v>0.311133177511457</v>
      </c>
      <c r="AF97" s="255">
        <f>IF(AND(ISNUMBER(AF96),ISNUMBER(AA96)),IFERROR(AF96/AA96-1,""),"")</f>
        <v>0.319564546016059</v>
      </c>
      <c r="AG97" s="255">
        <f>IF(AND(ISNUMBER(AG96),ISNUMBER(AB96)),IFERROR(AG96/AB96-1,""),"")</f>
        <v>0.278902048878503</v>
      </c>
      <c r="AH97" s="255">
        <f>IF(AND(ISNUMBER(AH96),ISNUMBER(AC96)),IFERROR(AH96/AC96-1,""),"")</f>
        <v>0.285780850342582</v>
      </c>
      <c r="AI97" s="255">
        <f>IF(AND(ISNUMBER(AI96),ISNUMBER(AD96)),IFERROR(AI96/AD96-1,""),"")</f>
        <v>0.32900645708879</v>
      </c>
      <c r="AJ97" s="255">
        <f>IF(AND(ISNUMBER(AJ96),ISNUMBER(AE96)),IFERROR(AJ96/AE96-1,""),"")</f>
        <v>0.166952826667432</v>
      </c>
      <c r="AK97" s="255">
        <f>IF(AND(ISNUMBER(AK96),ISNUMBER(AF96)),IFERROR(AK96/AF96-1,""),"")</f>
        <v>0.171258508376728</v>
      </c>
      <c r="AL97" s="255">
        <f>IF(AND(ISNUMBER(AL96),ISNUMBER(AG96)),IFERROR(AL96/AG96-1,""),"")</f>
        <v>0.194926634502639</v>
      </c>
      <c r="AM97" s="255">
        <f>IF(AND(ISNUMBER(AM96),ISNUMBER(AH96)),IFERROR(AM96/AH96-1,""),"")</f>
        <v>0.21008731521454</v>
      </c>
      <c r="AN97" s="255">
        <f>IF(AND(ISNUMBER(AN96),ISNUMBER(AI96)),IFERROR(AN96/AI96-1,""),"")</f>
        <v>0.212057764358418</v>
      </c>
      <c r="AO97" s="255">
        <f>IF(AND(ISNUMBER(AO96),ISNUMBER(AJ96)),IFERROR(AO96/AJ96-1,""),"")</f>
        <v>0.224497818718832</v>
      </c>
      <c r="AP97" s="255">
        <f>IF(AND(ISNUMBER(AP96),ISNUMBER(AK96)),IFERROR(AP96/AK96-1,""),"")</f>
        <v>0.189883989705088</v>
      </c>
      <c r="AQ97" s="255">
        <f>IF(AND(ISNUMBER(AQ96),ISNUMBER(AL96)),IFERROR(AQ96/AL96-1,""),"")</f>
        <v>0.239609720622993</v>
      </c>
      <c r="AR97" s="255">
        <f>IF(AND(ISNUMBER(AR96),ISNUMBER(AM96)),IFERROR(AR96/AM96-1,""),"")</f>
        <v>0.216939379134591</v>
      </c>
      <c r="AS97" s="255">
        <f>IF(AND(ISNUMBER(AS96),ISNUMBER(AN96)),IFERROR(AS96/AN96-1,""),"")</f>
        <v>0.164162207393136</v>
      </c>
      <c r="AT97" s="255">
        <f>IF(AND(ISNUMBER(AT96),ISNUMBER(AO96)),IFERROR(AT96/AO96-1,""),"")</f>
        <v>0.164133220156896</v>
      </c>
      <c r="AU97" s="255">
        <f>IF(AND(ISNUMBER(AU96),ISNUMBER(AP96)),IFERROR(AU96/AP96-1,""),"")</f>
        <v>0.195533079014498</v>
      </c>
      <c r="AV97" s="255">
        <f>IF(AND(ISNUMBER(AV96),ISNUMBER(AQ96)),IFERROR(AV96/AQ96-1,""),"")</f>
        <v>0.166523261043863</v>
      </c>
      <c r="AW97" s="255">
        <f>IF(AND(ISNUMBER(AW96),ISNUMBER(AR96)),IFERROR(AW96/AR96-1,""),"")</f>
        <v>0.172593573067215</v>
      </c>
      <c r="AX97" s="255">
        <f>IF(AND(ISNUMBER(AX96),ISNUMBER(AS96)),IFERROR(AX96/AS96-1,""),"")</f>
        <v>0.0949554740807406</v>
      </c>
      <c r="AY97" s="255">
        <f>IF(AND(ISNUMBER(AY96),ISNUMBER(AT96)),IFERROR(AY96/AT96-1,""),"")</f>
        <v>0.0765753066844024</v>
      </c>
      <c r="AZ97" s="255">
        <f>IF(AND(ISNUMBER(AZ96),ISNUMBER(AU96)),IFERROR(AZ96/AU96-1,""),"")</f>
        <v>0.0838805988712179</v>
      </c>
      <c r="BA97" s="255">
        <f>IF(AND(ISNUMBER(BA96),ISNUMBER(AV96)),IFERROR(BA96/AV96-1,""),"")</f>
        <v>0.254370562843133</v>
      </c>
      <c r="BB97" s="255">
        <f>IF(AND(ISNUMBER(BB96),ISNUMBER(AW96)),IFERROR(BB96/AW96-1,""),"")</f>
        <v>0.13171708995132</v>
      </c>
      <c r="BC97" s="255">
        <f>IF(AND(ISNUMBER(BC96),ISNUMBER(AX96)),IFERROR(BC96/AX96-1,""),"")</f>
        <v>0.164448976829916</v>
      </c>
      <c r="BD97" s="255">
        <f>IF(AND(ISNUMBER(BD96),ISNUMBER(AY96)),IFERROR(BD96/AY96-1,""),"")</f>
        <v>0.161944033834936</v>
      </c>
      <c r="BE97" s="255">
        <f>IF(AND(ISNUMBER(BE96),ISNUMBER(AZ96)),IFERROR(BE96/AZ96-1,""),"")</f>
        <v>0.233050662982176</v>
      </c>
      <c r="BF97" s="255">
        <f>IF(AND(ISNUMBER(BF96),ISNUMBER(BA96)),IFERROR(BF96/BA96-1,""),"")</f>
        <v>0.0543952837997956</v>
      </c>
      <c r="BG97" s="255">
        <f>IF(AND(ISNUMBER(BG96),ISNUMBER(BB96)),IFERROR(BG96/BB96-1,""),"")</f>
        <v>0.14682838217365</v>
      </c>
      <c r="BH97" s="255">
        <f>IF(AND(ISNUMBER(BH96),ISNUMBER(BC96)),IFERROR(BH96/BC96-1,""),"")</f>
        <v>0.0927306232856919</v>
      </c>
      <c r="BI97" s="255">
        <f>IF(AND(ISNUMBER(BI96),ISNUMBER(BD96)),IFERROR(BI96/BD96-1,""),"")</f>
        <v>0.0455863649018751</v>
      </c>
      <c r="BJ97" s="255">
        <f>IF(AND(ISNUMBER(BJ96),ISNUMBER(BE96)),IFERROR(BJ96/BE96-1,""),"")</f>
        <v>-0.0219616749762973</v>
      </c>
      <c r="BK97" s="255">
        <f>IF(AND(ISNUMBER(BK96),ISNUMBER(BF96)),IFERROR(BK96/BF96-1,""),"")</f>
        <v>-0.0483539582344169</v>
      </c>
      <c r="BL97" s="255">
        <f>IF(AND(ISNUMBER(BL96),ISNUMBER(BG96)),IFERROR(BL96/BG96-1,""),"")</f>
        <v>0.012213274479379</v>
      </c>
      <c r="BM97" s="255">
        <f>IF(AND(ISNUMBER(BM96),ISNUMBER(BH96)),IFERROR(BM96/BH96-1,""),"")</f>
        <v>0.0609312066182965</v>
      </c>
      <c r="BN97" s="255">
        <f>IF(AND(ISNUMBER(BN96),ISNUMBER(BI96)),IFERROR(BN96/BI96-1,""),"")</f>
        <v>0.10547413051122</v>
      </c>
      <c r="BO97" s="255">
        <f>IF(AND(ISNUMBER(BO96),ISNUMBER(BJ96)),IFERROR(BO96/BJ96-1,""),"")</f>
        <v>0.0353080146293971</v>
      </c>
      <c r="BP97" s="255">
        <f>IF(AND(ISNUMBER(BP96),ISNUMBER(BK96)),IFERROR(BP96/BK96-1,""),"")</f>
        <v>0.10852781734215</v>
      </c>
      <c r="BQ97" s="255">
        <f>IF(AND(ISNUMBER(BQ96),ISNUMBER(BL96)),IFERROR(BQ96/BL96-1,""),"")</f>
        <v>0.0777661489182873</v>
      </c>
      <c r="BR97" s="255">
        <f>IF(AND(ISNUMBER(BR96),ISNUMBER(BM96)),IFERROR(BR96/BM96-1,""),"")</f>
        <v>0.0414914439748231</v>
      </c>
      <c r="BS97" s="255">
        <f>IF(AND(ISNUMBER(BS96),ISNUMBER(BN96)),IFERROR(BS96/BN96-1,""),"")</f>
        <v>0.0165488408861205</v>
      </c>
      <c r="BT97" s="255">
        <f>IF(AND(ISNUMBER(BT96),ISNUMBER(BO96)),IFERROR(BT96/BO96-1,""),"")</f>
        <v>0.0819627730184529</v>
      </c>
      <c r="BU97" s="255">
        <f>IF(AND(ISNUMBER(BU96),ISNUMBER(BP96)),IFERROR(BU96/BP96-1,""),"")</f>
        <v>0.144835961832041</v>
      </c>
      <c r="BV97" s="255">
        <f>IF(AND(ISNUMBER(BV96),ISNUMBER(BQ96)),IFERROR(BV96/BQ96-1,""),"")</f>
        <v>0.0732377711307972</v>
      </c>
      <c r="BW97" s="255">
        <f>IF(AND(ISNUMBER(BW96),ISNUMBER(BR96)),IFERROR(BW96/BR96-1,""),"")</f>
        <v>0.10326351935282</v>
      </c>
      <c r="BX97" s="255">
        <f>IF(AND(ISNUMBER(BX96),ISNUMBER(BS96)),IFERROR(BX96/BS96-1,""),"")</f>
        <v>0.12505891065778</v>
      </c>
      <c r="BY97" s="256">
        <f>IF(AND(ISNUMBER(BY96),ISNUMBER(BT96)),IFERROR(BY96/BT96-1,""),"")</f>
        <v>0.0876235145968174</v>
      </c>
      <c r="BZ97" s="256">
        <f>IF(AND(ISNUMBER(BZ96),ISNUMBER(BU96)),IFERROR(BZ96/BU96-1,""),"")</f>
        <v>0.0876235145968174</v>
      </c>
      <c r="CA97" s="256">
        <f>IF(AND(ISNUMBER(CA96),ISNUMBER(BV96)),IFERROR(CA96/BV96-1,""),"")</f>
        <v>0.1</v>
      </c>
      <c r="CB97" s="256">
        <f>CHOOSE(MATCH($CG$2,{"Bull","Base","Bear"},0),$CP$61,$CQ$61,$CR$61)</f>
        <v>0.08</v>
      </c>
      <c r="CC97" s="256">
        <f>CHOOSE(MATCH($CG$2,{"Bull","Base","Bear"},0),$CP$62,$CQ$62,$CR$62)</f>
        <v>0.07</v>
      </c>
      <c r="CD97" s="256">
        <f>CHOOSE(MATCH($CG$2,{"Bull","Base","Bear"},0),$CP$63,$CQ$63,$CR$63)</f>
        <v>0.065</v>
      </c>
      <c r="CE97" s="256">
        <f>CHOOSE(MATCH($CG$2,{"Bull","Base","Bear"},0),$CP$64,$CQ$64,$CR$64)</f>
        <v>0.06</v>
      </c>
      <c r="CF97" s="256">
        <f>CHOOSE(MATCH($CG$2,{"Bull","Base","Bear"},0),$CP$65,$CQ$65,$CR$65)</f>
        <v>0.055</v>
      </c>
      <c r="CG97" s="153" t="n"/>
      <c r="CI97" s="37">
        <f>IFERROR(AVERAGE(CB97,CC97,CD97,CE97,CF97),"n/m")</f>
        <v>0.066</v>
      </c>
      <c r="CJ97" s="37">
        <f>IFERROR(AVERAGE(BB97,BG97,BL97,BQ97,BV97),"n/m")</f>
        <v>0.0883525333306868</v>
      </c>
      <c r="CK97" s="37">
        <f>IFERROR(AVERAGE(AC97,AH97,AM97,AR97,AW97,BB97,BG97,BL97,BQ97,BV97),"n/m")</f>
        <v>0.172394497061676</v>
      </c>
      <c r="CL97" s="37">
        <f>IFERROR(AVERAGE(C97,D97,E97,F97,G97,H97,I97,N97,S97,X97,AC97,AH97,AM97,AR97,AW97,BB97,BG97,BL97,BQ97,BV97),"n/m")</f>
        <v>0.325599227432614</v>
      </c>
    </row>
    <row r="98" ht="15" customHeight="1" s="251">
      <c r="B98" s="25" t="inlineStr">
        <is>
          <t xml:space="preserve">  Content amortization % of revenue</t>
        </is>
      </c>
      <c r="C98" s="215">
        <f>IF(AND(ISNUMBER(C96),ISNUMBER(C121)),IFERROR(C96/C121,""),"")</f>
        <v>0.141633054401702</v>
      </c>
      <c r="D98" s="215">
        <f>IF(AND(ISNUMBER(D96),ISNUMBER(D121)),IFERROR(D96/D121,""),"")</f>
        <v>0.168761511274827</v>
      </c>
      <c r="E98" s="215">
        <f>IF(AND(ISNUMBER(E96),ISNUMBER(E121)),IFERROR(E96/E121,""),"")</f>
        <v>0.153706305082361</v>
      </c>
      <c r="F98" s="215">
        <f>IF(AND(ISNUMBER(F96),ISNUMBER(F121)),IFERROR(F96/F121,""),"")</f>
        <v>0.131409970489783</v>
      </c>
      <c r="G98" s="215">
        <f>IF(AND(ISNUMBER(G96),ISNUMBER(G121)),IFERROR(G96/G121,""),"")</f>
        <v>0.138995896190972</v>
      </c>
      <c r="H98" s="215">
        <f>IF(AND(ISNUMBER(H96),ISNUMBER(H121)),IFERROR(H96/H121,""),"")</f>
        <v>0.248354775060796</v>
      </c>
      <c r="I98" s="215">
        <f>IF(AND(ISNUMBER(I96),ISNUMBER(I121)),IFERROR(I96/I121,""),"")</f>
        <v>0.458987133729091</v>
      </c>
      <c r="J98" s="215">
        <f>IF(AND(ISNUMBER(J96),ISNUMBER(J121)),IFERROR(J96/J121,""),"")</f>
        <v>0.492183784343349</v>
      </c>
      <c r="K98" s="215">
        <f>IF(AND(ISNUMBER(K96),ISNUMBER(K121)),IFERROR(K96/K121,""),"")</f>
        <v>0.493709392054402</v>
      </c>
      <c r="L98" s="215">
        <f>IF(AND(ISNUMBER(L96),ISNUMBER(L121)),IFERROR(L96/L121,""),"")</f>
        <v>0.516221081574215</v>
      </c>
      <c r="M98" s="215">
        <f>IF(AND(ISNUMBER(M96),ISNUMBER(M121)),IFERROR(M96/M121,""),"")</f>
        <v>0.50239527581835</v>
      </c>
      <c r="N98" s="215">
        <f>IF(AND(ISNUMBER(N96),ISNUMBER(N121)),IFERROR(N96/N121,""),"")</f>
        <v>0.501377280742621</v>
      </c>
      <c r="O98" s="215">
        <f>IF(AND(ISNUMBER(O96),ISNUMBER(O121)),IFERROR(O96/O121,""),"")</f>
        <v>0.485679350029801</v>
      </c>
      <c r="P98" s="215">
        <f>IF(AND(ISNUMBER(P96),ISNUMBER(P121)),IFERROR(P96/P121,""),"")</f>
        <v>0.489373749913273</v>
      </c>
      <c r="Q98" s="215">
        <f>IF(AND(ISNUMBER(Q96),ISNUMBER(Q121)),IFERROR(Q96/Q121,""),"")</f>
        <v>0.49979211483775</v>
      </c>
      <c r="R98" s="215">
        <f>IF(AND(ISNUMBER(R96),ISNUMBER(R121)),IFERROR(R96/R121,""),"")</f>
        <v>0.505500670829943</v>
      </c>
      <c r="S98" s="215">
        <f>IF(AND(ISNUMBER(S96),ISNUMBER(S121)),IFERROR(S96/S121,""),"")</f>
        <v>0.49553868579617</v>
      </c>
      <c r="T98" s="215">
        <f>IF(AND(ISNUMBER(T96),ISNUMBER(T121)),IFERROR(T96/T121,""),"")</f>
        <v>0.489917228657027</v>
      </c>
      <c r="U98" s="215">
        <f>IF(AND(ISNUMBER(U96),ISNUMBER(U121)),IFERROR(U96/U121,""),"")</f>
        <v>0.512808461634809</v>
      </c>
      <c r="V98" s="215">
        <f>IF(AND(ISNUMBER(V96),ISNUMBER(V121)),IFERROR(V96/V121,""),"")</f>
        <v>0.511973676262904</v>
      </c>
      <c r="W98" s="215">
        <f>IF(AND(ISNUMBER(W96),ISNUMBER(W121)),IFERROR(W96/W121,""),"")</f>
        <v>0.537835930134539</v>
      </c>
      <c r="X98" s="215">
        <f>IF(AND(ISNUMBER(X96),ISNUMBER(X121)),IFERROR(X96/X121,""),"")</f>
        <v>0.51401376883967</v>
      </c>
      <c r="Y98" s="215">
        <f>IF(AND(ISNUMBER(Y96),ISNUMBER(Y121)),IFERROR(Y96/Y121,""),"")</f>
        <v>0.551127424739597</v>
      </c>
      <c r="Z98" s="215">
        <f>IF(AND(ISNUMBER(Z96),ISNUMBER(Z121)),IFERROR(Z96/Z121,""),"")</f>
        <v>0.567822405809603</v>
      </c>
      <c r="AA98" s="215">
        <f>IF(AND(ISNUMBER(AA96),ISNUMBER(AA121)),IFERROR(AA96/AA121,""),"")</f>
        <v>0.542921367154138</v>
      </c>
      <c r="AB98" s="215">
        <f>IF(AND(ISNUMBER(AB96),ISNUMBER(AB121)),IFERROR(AB96/AB121,""),"")</f>
        <v>0.544779682758025</v>
      </c>
      <c r="AC98" s="215">
        <f>IF(AND(ISNUMBER(AC96),ISNUMBER(AC121)),IFERROR(AC96/AC121,""),"")</f>
        <v>0.551198329367798</v>
      </c>
      <c r="AD98" s="215">
        <f>IF(AND(ISNUMBER(AD96),ISNUMBER(AD121)),IFERROR(AD96/AD121,""),"")</f>
        <v>0.502261784433568</v>
      </c>
      <c r="AE98" s="215">
        <f>IF(AND(ISNUMBER(AE96),ISNUMBER(AE121)),IFERROR(AE96/AE121,""),"")</f>
        <v>0.562672861684804</v>
      </c>
      <c r="AF98" s="215">
        <f>IF(AND(ISNUMBER(AF96),ISNUMBER(AF121)),IFERROR(AF96/AF121,""),"")</f>
        <v>0.549686266587467</v>
      </c>
      <c r="AG98" s="215">
        <f>IF(AND(ISNUMBER(AG96),ISNUMBER(AG121)),IFERROR(AG96/AG121,""),"")</f>
        <v>0.525344098997034</v>
      </c>
      <c r="AH98" s="215">
        <f>IF(AND(ISNUMBER(AH96),ISNUMBER(AH121)),IFERROR(AH96/AH121,""),"")</f>
        <v>0.53524566967478</v>
      </c>
      <c r="AI98" s="215">
        <f>IF(AND(ISNUMBER(AI96),ISNUMBER(AI121)),IFERROR(AI96/AI121,""),"")</f>
        <v>0.475559708348555</v>
      </c>
      <c r="AJ98" s="215">
        <f>IF(AND(ISNUMBER(AJ96),ISNUMBER(AJ121)),IFERROR(AJ96/AJ121,""),"")</f>
        <v>0.468094347204058</v>
      </c>
      <c r="AK98" s="215">
        <f>IF(AND(ISNUMBER(AK96),ISNUMBER(AK121)),IFERROR(AK96/AK121,""),"")</f>
        <v>0.48050669929844</v>
      </c>
      <c r="AL98" s="215">
        <f>IF(AND(ISNUMBER(AL96),ISNUMBER(AL121)),IFERROR(AL96/AL121,""),"")</f>
        <v>0.492644693218587</v>
      </c>
      <c r="AM98" s="215">
        <f>IF(AND(ISNUMBER(AM96),ISNUMBER(AM121)),IFERROR(AM96/AM121,""),"")</f>
        <v>0.479494522753434</v>
      </c>
      <c r="AN98" s="215">
        <f>IF(AND(ISNUMBER(AN96),ISNUMBER(AN121)),IFERROR(AN96/AN121,""),"")</f>
        <v>0.471842241702706</v>
      </c>
      <c r="AO98" s="215">
        <f>IF(AND(ISNUMBER(AO96),ISNUMBER(AO121)),IFERROR(AO96/AO121,""),"")</f>
        <v>0.45490924853284</v>
      </c>
      <c r="AP98" s="215">
        <f>IF(AND(ISNUMBER(AP96),ISNUMBER(AP121)),IFERROR(AP96/AP121,""),"")</f>
        <v>0.435971862216761</v>
      </c>
      <c r="AQ98" s="215">
        <f>IF(AND(ISNUMBER(AQ96),ISNUMBER(AQ121)),IFERROR(AQ96/AQ121,""),"")</f>
        <v>0.467650821207901</v>
      </c>
      <c r="AR98" s="215">
        <f>IF(AND(ISNUMBER(AR96),ISNUMBER(AR121)),IFERROR(AR96/AR121,""),"")</f>
        <v>0.457235692381698</v>
      </c>
      <c r="AS98" s="215">
        <f>IF(AND(ISNUMBER(AS96),ISNUMBER(AS121)),IFERROR(AS96/AS121,""),"")</f>
        <v>0.430568315813035</v>
      </c>
      <c r="AT98" s="215">
        <f>IF(AND(ISNUMBER(AT96),ISNUMBER(AT121)),IFERROR(AT96/AT121,""),"")</f>
        <v>0.424046474090503</v>
      </c>
      <c r="AU98" s="215">
        <f>IF(AND(ISNUMBER(AU96),ISNUMBER(AU121)),IFERROR(AU96/AU121,""),"")</f>
        <v>0.424782037893063</v>
      </c>
      <c r="AV98" s="215">
        <f>IF(AND(ISNUMBER(AV96),ISNUMBER(AV121)),IFERROR(AV96/AV121,""),"")</f>
        <v>0.448890215310782</v>
      </c>
      <c r="AW98" s="215">
        <f>IF(AND(ISNUMBER(AW96),ISNUMBER(AW121)),IFERROR(AW96/AW121,""),"")</f>
        <v>0.432344686697773</v>
      </c>
      <c r="AX98" s="215">
        <f>IF(AND(ISNUMBER(AX96),ISNUMBER(AX121)),IFERROR(AX96/AX121,""),"")</f>
        <v>0.379601975742404</v>
      </c>
      <c r="AY98" s="215">
        <f>IF(AND(ISNUMBER(AY96),ISNUMBER(AY121)),IFERROR(AY96/AY121,""),"")</f>
        <v>0.382305673408495</v>
      </c>
      <c r="AZ98" s="215">
        <f>IF(AND(ISNUMBER(AZ96),ISNUMBER(AZ121)),IFERROR(AZ96/AZ121,""),"")</f>
        <v>0.395946290669819</v>
      </c>
      <c r="BA98" s="215">
        <f>IF(AND(ISNUMBER(BA96),ISNUMBER(BA121)),IFERROR(BA96/BA121,""),"")</f>
        <v>0.485298051007884</v>
      </c>
      <c r="BB98" s="215">
        <f>IF(AND(ISNUMBER(BB96),ISNUMBER(BB121)),IFERROR(BB96/BB121,""),"")</f>
        <v>0.411826764259385</v>
      </c>
      <c r="BC98" s="215">
        <f>IF(AND(ISNUMBER(BC96),ISNUMBER(BC121)),IFERROR(BC96/BC121,""),"")</f>
        <v>0.402447733899593</v>
      </c>
      <c r="BD98" s="215">
        <f>IF(AND(ISNUMBER(BD96),ISNUMBER(BD121)),IFERROR(BD96/BD121,""),"")</f>
        <v>0.409195772069779</v>
      </c>
      <c r="BE98" s="215">
        <f>IF(AND(ISNUMBER(BE96),ISNUMBER(BE121)),IFERROR(BE96/BE121,""),"")</f>
        <v>0.460986811201035</v>
      </c>
      <c r="BF98" s="215">
        <f>IF(AND(ISNUMBER(BF96),ISNUMBER(BF121)),IFERROR(BF96/BF121,""),"")</f>
        <v>0.502394341963815</v>
      </c>
      <c r="BG98" s="215">
        <f>IF(AND(ISNUMBER(BG96),ISNUMBER(BG121)),IFERROR(BG96/BG121,""),"")</f>
        <v>0.443646623259757</v>
      </c>
      <c r="BH98" s="215">
        <f>IF(AND(ISNUMBER(BH96),ISNUMBER(BH121)),IFERROR(BH96/BH121,""),"")</f>
        <v>0.423939561132306</v>
      </c>
      <c r="BI98" s="215">
        <f>IF(AND(ISNUMBER(BI96),ISNUMBER(BI121)),IFERROR(BI96/BI121,""),"")</f>
        <v>0.416501237709472</v>
      </c>
      <c r="BJ98" s="215">
        <f>IF(AND(ISNUMBER(BJ96),ISNUMBER(BJ121)),IFERROR(BJ96/BJ121,""),"")</f>
        <v>0.418343700551227</v>
      </c>
      <c r="BK98" s="215">
        <f>IF(AND(ISNUMBER(BK96),ISNUMBER(BK121)),IFERROR(BK96/BK121,""),"")</f>
        <v>0.42501453385525</v>
      </c>
      <c r="BL98" s="215">
        <f>IF(AND(ISNUMBER(BL96),ISNUMBER(BL121)),IFERROR(BL96/BL121,""),"")</f>
        <v>0.420997893533364</v>
      </c>
      <c r="BM98" s="215">
        <f>IF(AND(ISNUMBER(BM96),ISNUMBER(BM121)),IFERROR(BM96/BM121,""),"")</f>
        <v>0.391743077166067</v>
      </c>
      <c r="BN98" s="215">
        <f>IF(AND(ISNUMBER(BN96),ISNUMBER(BN121)),IFERROR(BN96/BN121,""),"")</f>
        <v>0.394347499976463</v>
      </c>
      <c r="BO98" s="215">
        <f>IF(AND(ISNUMBER(BO96),ISNUMBER(BO121)),IFERROR(BO96/BO121,""),"")</f>
        <v>0.376552960430458</v>
      </c>
      <c r="BP98" s="215">
        <f>IF(AND(ISNUMBER(BP96),ISNUMBER(BP121)),IFERROR(BP96/BP121,""),"")</f>
        <v>0.406138263817164</v>
      </c>
      <c r="BQ98" s="215">
        <f>IF(AND(ISNUMBER(BQ96),ISNUMBER(BQ121)),IFERROR(BQ96/BQ121,""),"")</f>
        <v>0.392336871861071</v>
      </c>
      <c r="BR98" s="215">
        <f>IF(AND(ISNUMBER(BR96),ISNUMBER(BR121)),IFERROR(BR96/BR121,""),"")</f>
        <v>0.362627730524365</v>
      </c>
      <c r="BS98" s="215">
        <f>IF(AND(ISNUMBER(BS96),ISNUMBER(BS121)),IFERROR(BS96/BS121,""),"")</f>
        <v>0.345881088883405</v>
      </c>
      <c r="BT98" s="215">
        <f>IF(AND(ISNUMBER(BT96),ISNUMBER(BT121)),IFERROR(BT96/BT121,""),"")</f>
        <v>0.347753018229662</v>
      </c>
      <c r="BU98" s="215">
        <f>IF(AND(ISNUMBER(BU96),ISNUMBER(BU121)),IFERROR(BU96/BU121,""),"")</f>
        <v>0.395347281773551</v>
      </c>
      <c r="BV98" s="215">
        <f>IF(AND(ISNUMBER(BV96),ISNUMBER(BV121)),IFERROR(BV96/BV121,""),"")</f>
        <v>0.363458666212691</v>
      </c>
      <c r="BW98" s="215">
        <f>IF(AND(ISNUMBER(BW96),ISNUMBER(BW121)),IFERROR(BW96/BW121,""),"")</f>
        <v>0.344325197634533</v>
      </c>
      <c r="BX98" s="215">
        <f>IF(AND(ISNUMBER(BX96),ISNUMBER(BX121)),IFERROR(BX96/BX121,""),"")</f>
        <v>0.343258780417547</v>
      </c>
      <c r="BY98" s="256">
        <f>IF(AND(ISNUMBER(BY96),ISNUMBER(BY121)),IFERROR(BY96/BY121,""),"")</f>
        <v>0.338528654534318</v>
      </c>
      <c r="BZ98" s="256">
        <f>IF(AND(ISNUMBER(BZ96),ISNUMBER(BZ121)),IFERROR(BZ96/BZ121,""),"")</f>
        <v>0.382969571099002</v>
      </c>
      <c r="CA98" s="256">
        <f>IF(AND(ISNUMBER(CA96),ISNUMBER(CA121)),IFERROR(CA96/CA121,""),"")</f>
        <v>0.35281997265625</v>
      </c>
      <c r="CB98" s="256">
        <f>IF(AND(ISNUMBER(CB96),ISNUMBER(CB121)),IFERROR(CB96/CB121,""),"")</f>
        <v>0.344817402351796</v>
      </c>
      <c r="CC98" s="256">
        <f>IF(AND(ISNUMBER(CC96),ISNUMBER(CC121)),IFERROR(CC96/CC121,""),"")</f>
        <v>0.336866780339138</v>
      </c>
      <c r="CD98" s="256">
        <f>IF(AND(ISNUMBER(CD96),ISNUMBER(CD121)),IFERROR(CD96/CD121,""),"")</f>
        <v>0.330521639594313</v>
      </c>
      <c r="CE98" s="256">
        <f>IF(AND(ISNUMBER(CE96),ISNUMBER(CE121)),IFERROR(CE96/CE121,""),"")</f>
        <v>0.325092496737066</v>
      </c>
      <c r="CF98" s="256">
        <f>IF(AND(ISNUMBER(CF96),ISNUMBER(CF121)),IFERROR(CF96/CF121,""),"")</f>
        <v>0.320570212107505</v>
      </c>
      <c r="CG98" s="153" t="n"/>
      <c r="CI98" s="37">
        <f>IFERROR(AVERAGE(CB98,CC98,CD98,CE98,CF98),"n/m")</f>
        <v>0.331573706225964</v>
      </c>
      <c r="CJ98" s="37">
        <f>IFERROR(AVERAGE(BB98,BG98,BL98,BQ98,BV98),"n/m")</f>
        <v>0.406453363825254</v>
      </c>
      <c r="CK98" s="37">
        <f>IFERROR(AVERAGE(AC98,AH98,AM98,AR98,AW98,BB98,BG98,BL98,BQ98,BV98),"n/m")</f>
        <v>0.448778572000175</v>
      </c>
      <c r="CL98" s="37">
        <f>IFERROR(AVERAGE(C98,D98,E98,F98,G98,H98,I98,N98,S98,X98,AC98,AH98,AM98,AR98,AW98,BB98,BG98,BL98,BQ98,BV98),"n/m")</f>
        <v>0.372028205080487</v>
      </c>
    </row>
    <row r="99" ht="15" customHeight="1" s="251">
      <c r="B99" s="25" t="inlineStr">
        <is>
          <t xml:space="preserve">  Other cost of revenues (excl. content amortization and one-offs) % of revenue</t>
        </is>
      </c>
      <c r="C99" s="215">
        <f>IF(AND(ISNUMBER(C107),ISNUMBER(C121)),IFERROR(C107/C121,""),"")</f>
        <v>0.487453093331728</v>
      </c>
      <c r="D99" s="215">
        <f>IF(AND(ISNUMBER(D107),ISNUMBER(D121)),IFERROR(D107/D121,""),"")</f>
        <v>0.483476031659117</v>
      </c>
      <c r="E99" s="215">
        <f>IF(AND(ISNUMBER(E107),ISNUMBER(E121)),IFERROR(E107/E121,""),"")</f>
        <v>0.513297441635688</v>
      </c>
      <c r="F99" s="215">
        <f>IF(AND(ISNUMBER(F107),ISNUMBER(F121)),IFERROR(F107/F121,""),"")</f>
        <v>0.514756006367837</v>
      </c>
      <c r="G99" s="215">
        <f>IF(AND(ISNUMBER(G107),ISNUMBER(G121)),IFERROR(G107/G121,""),"")</f>
        <v>0.488646436622161</v>
      </c>
      <c r="H99" s="215">
        <f>IF(AND(ISNUMBER(H107),ISNUMBER(H121)),IFERROR(H107/H121,""),"")</f>
        <v>0.388203809738384</v>
      </c>
      <c r="I99" s="215">
        <f>IF(AND(ISNUMBER(I107),ISNUMBER(I121)),IFERROR(I107/I121,""),"")</f>
        <v>0.268544270023789</v>
      </c>
      <c r="J99" s="215">
        <f>IF(AND(ISNUMBER(J107),ISNUMBER(J121)),IFERROR(J107/J121,""),"")</f>
        <v>0.217670399556233</v>
      </c>
      <c r="K99" s="215">
        <f>IF(AND(ISNUMBER(K107),ISNUMBER(K121)),IFERROR(K107/K121,""),"")</f>
        <v>0.210933145808942</v>
      </c>
      <c r="L99" s="215">
        <f>IF(AND(ISNUMBER(L107),ISNUMBER(L121)),IFERROR(L107/L121,""),"")</f>
        <v>0.198986617528587</v>
      </c>
      <c r="M99" s="215">
        <f>IF(AND(ISNUMBER(M107),ISNUMBER(M121)),IFERROR(M107/M121,""),"")</f>
        <v>0.188404822885733</v>
      </c>
      <c r="N99" s="215">
        <f>IF(AND(ISNUMBER(N107),ISNUMBER(N121)),IFERROR(N107/N121,""),"")</f>
        <v>0.20343750985813</v>
      </c>
      <c r="O99" s="215">
        <f>IF(AND(ISNUMBER(O107),ISNUMBER(O121)),IFERROR(O107/O121,""),"")</f>
        <v>0.198671116748511</v>
      </c>
      <c r="P99" s="215">
        <f>IF(AND(ISNUMBER(P107),ISNUMBER(P121)),IFERROR(P107/P121,""),"")</f>
        <v>0.193141336922293</v>
      </c>
      <c r="Q99" s="215">
        <f>IF(AND(ISNUMBER(Q107),ISNUMBER(Q121)),IFERROR(Q107/Q121,""),"")</f>
        <v>0.177355842637318</v>
      </c>
      <c r="R99" s="215">
        <f>IF(AND(ISNUMBER(R107),ISNUMBER(R121)),IFERROR(R107/R121,""),"")</f>
        <v>0.177676315123039</v>
      </c>
      <c r="S99" s="215">
        <f>IF(AND(ISNUMBER(S107),ISNUMBER(S121)),IFERROR(S107/S121,""),"")</f>
        <v>0.186204187872957</v>
      </c>
      <c r="T99" s="215">
        <f>IF(AND(ISNUMBER(T107),ISNUMBER(T121)),IFERROR(T107/T121,""),"")</f>
        <v>0.175254540473159</v>
      </c>
      <c r="U99" s="215">
        <f>IF(AND(ISNUMBER(U107),ISNUMBER(U121)),IFERROR(U107/U121,""),"")</f>
        <v>0.169234520220783</v>
      </c>
      <c r="V99" s="215">
        <f>IF(AND(ISNUMBER(V107),ISNUMBER(V121)),IFERROR(V107/V121,""),"")</f>
        <v>0.163353285146015</v>
      </c>
      <c r="W99" s="215">
        <f>IF(AND(ISNUMBER(W107),ISNUMBER(W121)),IFERROR(W107/W121,""),"")</f>
        <v>0.147373518715451</v>
      </c>
      <c r="X99" s="215">
        <f>IF(AND(ISNUMBER(X107),ISNUMBER(X121)),IFERROR(X107/X121,""),"")</f>
        <v>0.163243927179999</v>
      </c>
      <c r="Y99" s="215">
        <f>IF(AND(ISNUMBER(Y107),ISNUMBER(Y121)),IFERROR(Y107/Y121,""),"")</f>
        <v>0.148425528263259</v>
      </c>
      <c r="Z99" s="215">
        <f>IF(AND(ISNUMBER(Z107),ISNUMBER(Z121)),IFERROR(Z107/Z121,""),"")</f>
        <v>0.131918806918474</v>
      </c>
      <c r="AA99" s="215">
        <f>IF(AND(ISNUMBER(AA107),ISNUMBER(AA121)),IFERROR(AA107/AA121,""),"")</f>
        <v>0.126387877327102</v>
      </c>
      <c r="AB99" s="215">
        <f>IF(AND(ISNUMBER(AB107),ISNUMBER(AB121)),IFERROR(AB107/AB121,""),"")</f>
        <v>0.122986864798605</v>
      </c>
      <c r="AC99" s="215">
        <f>IF(AND(ISNUMBER(AC107),ISNUMBER(AC121)),IFERROR(AC107/AC121,""),"")</f>
        <v>0.131637931395685</v>
      </c>
      <c r="AD99" s="215">
        <f>IF(AND(ISNUMBER(AD107),ISNUMBER(AD121)),IFERROR(AD107/AD121,""),"")</f>
        <v>0.12619987218557</v>
      </c>
      <c r="AE99" s="215">
        <f>IF(AND(ISNUMBER(AE107),ISNUMBER(AE121)),IFERROR(AE107/AE121,""),"")</f>
        <v>0.120268292823027</v>
      </c>
      <c r="AF99" s="215">
        <f>IF(AND(ISNUMBER(AF107),ISNUMBER(AF121)),IFERROR(AF107/AF121,""),"")</f>
        <v>0.118010264471454</v>
      </c>
      <c r="AG99" s="215">
        <f>IF(AND(ISNUMBER(AG107),ISNUMBER(AG121)),IFERROR(AG107/AG121,""),"")</f>
        <v>0.116016562403466</v>
      </c>
      <c r="AH99" s="215">
        <f>IF(AND(ISNUMBER(AH107),ISNUMBER(AH121)),IFERROR(AH107/AH121,""),"")</f>
        <v>0.119834635469117</v>
      </c>
      <c r="AI99" s="215">
        <f>IF(AND(ISNUMBER(AI107),ISNUMBER(AI121)),IFERROR(AI107/AI121,""),"")</f>
        <v>0.146074583826012</v>
      </c>
      <c r="AJ99" s="215">
        <f>IF(AND(ISNUMBER(AJ107),ISNUMBER(AJ121)),IFERROR(AJ107/AJ121,""),"")</f>
        <v>0.146767436087089</v>
      </c>
      <c r="AK99" s="215">
        <f>IF(AND(ISNUMBER(AK107),ISNUMBER(AK121)),IFERROR(AK107/AK121,""),"")</f>
        <v>0.152374346585241</v>
      </c>
      <c r="AL99" s="215">
        <f>IF(AND(ISNUMBER(AL107),ISNUMBER(AL121)),IFERROR(AL107/AL121,""),"")</f>
        <v>0.160210287421949</v>
      </c>
      <c r="AM99" s="215">
        <f>IF(AND(ISNUMBER(AM107),ISNUMBER(AM121)),IFERROR(AM107/AM121,""),"")</f>
        <v>0.151588344205054</v>
      </c>
      <c r="AN99" s="215">
        <f>IF(AND(ISNUMBER(AN107),ISNUMBER(AN121)),IFERROR(AN107/AN121,""),"")</f>
        <v>0.163109998867505</v>
      </c>
      <c r="AO99" s="215">
        <f>IF(AND(ISNUMBER(AO107),ISNUMBER(AO121)),IFERROR(AO107/AO121,""),"")</f>
        <v>0.155609983595755</v>
      </c>
      <c r="AP99" s="215">
        <f>IF(AND(ISNUMBER(AP107),ISNUMBER(AP121)),IFERROR(AP107/AP121,""),"")</f>
        <v>0.154681162003888</v>
      </c>
      <c r="AQ99" s="215">
        <f>IF(AND(ISNUMBER(AQ107),ISNUMBER(AQ121)),IFERROR(AQ107/AQ121,""),"")</f>
        <v>0.166288792877975</v>
      </c>
      <c r="AR99" s="215">
        <f>IF(AND(ISNUMBER(AR107),ISNUMBER(AR121)),IFERROR(AR107/AR121,""),"")</f>
        <v>0.159947137508907</v>
      </c>
      <c r="AS99" s="215">
        <f>IF(AND(ISNUMBER(AS107),ISNUMBER(AS121)),IFERROR(AS107/AS121,""),"")</f>
        <v>0.19354642958508</v>
      </c>
      <c r="AT99" s="215">
        <f>IF(AND(ISNUMBER(AT107),ISNUMBER(AT121)),IFERROR(AT107/AT121,""),"")</f>
        <v>0.168591376523473</v>
      </c>
      <c r="AU99" s="215">
        <f>IF(AND(ISNUMBER(AU107),ISNUMBER(AU121)),IFERROR(AU107/AU121,""),"")</f>
        <v>0.176207576654805</v>
      </c>
      <c r="AV99" s="215">
        <f>IF(AND(ISNUMBER(AV107),ISNUMBER(AV121)),IFERROR(AV107/AV121,""),"")</f>
        <v>0.177973560458501</v>
      </c>
      <c r="AW99" s="215">
        <f>IF(AND(ISNUMBER(AW107),ISNUMBER(AW121)),IFERROR(AW107/AW121,""),"")</f>
        <v>0.178804488196058</v>
      </c>
      <c r="AX99" s="215">
        <f>IF(AND(ISNUMBER(AX107),ISNUMBER(AX121)),IFERROR(AX107/AX121,""),"")</f>
        <v>0.160445309845403</v>
      </c>
      <c r="AY99" s="215">
        <f>IF(AND(ISNUMBER(AY107),ISNUMBER(AY121)),IFERROR(AY107/AY121,""),"")</f>
        <v>0.164974365197962</v>
      </c>
      <c r="AZ99" s="215">
        <f>IF(AND(ISNUMBER(AZ107),ISNUMBER(AZ121)),IFERROR(AZ107/AZ121,""),"")</f>
        <v>0.166171374845376</v>
      </c>
      <c r="BA99" s="215">
        <f>IF(AND(ISNUMBER(BA107),ISNUMBER(BA121)),IFERROR(BA107/BA121,""),"")</f>
        <v>0.19434377982592</v>
      </c>
      <c r="BB99" s="215">
        <f>IF(AND(ISNUMBER(BB107),ISNUMBER(BB121)),IFERROR(BB107/BB121,""),"")</f>
        <v>0.171807623475967</v>
      </c>
      <c r="BC99" s="215">
        <f>IF(AND(ISNUMBER(BC107),ISNUMBER(BC121)),IFERROR(BC107/BC121,""),"")</f>
        <v>0.142141982598112</v>
      </c>
      <c r="BD99" s="215">
        <f>IF(AND(ISNUMBER(BD107),ISNUMBER(BD121)),IFERROR(BD107/BD121,""),"")</f>
        <v>0.179345258760165</v>
      </c>
      <c r="BE99" s="215">
        <f>IF(AND(ISNUMBER(BE107),ISNUMBER(BE121)),IFERROR(BE107/BE121,""),"")</f>
        <v>0.14321623288818</v>
      </c>
      <c r="BF99" s="215">
        <f>IF(AND(ISNUMBER(BF107),ISNUMBER(BF121)),IFERROR(BF107/BF121,""),"")</f>
        <v>0.185853686927483</v>
      </c>
      <c r="BG99" s="215">
        <f>IF(AND(ISNUMBER(BG107),ISNUMBER(BG121)),IFERROR(BG107/BG121,""),"")</f>
        <v>0.162646324356211</v>
      </c>
      <c r="BH99" s="215">
        <f>IF(AND(ISNUMBER(BH107),ISNUMBER(BH121)),IFERROR(BH107/BH121,""),"")</f>
        <v>0.164631563573523</v>
      </c>
      <c r="BI99" s="215">
        <f>IF(AND(ISNUMBER(BI107),ISNUMBER(BI121)),IFERROR(BI107/BI121,""),"")</f>
        <v>0.154318132434608</v>
      </c>
      <c r="BJ99" s="215">
        <f>IF(AND(ISNUMBER(BJ107),ISNUMBER(BJ121)),IFERROR(BJ107/BJ121,""),"")</f>
        <v>0.158919194705296</v>
      </c>
      <c r="BK99" s="215">
        <f>IF(AND(ISNUMBER(BK107),ISNUMBER(BK121)),IFERROR(BK107/BK121,""),"")</f>
        <v>0.175867403690212</v>
      </c>
      <c r="BL99" s="215">
        <f>IF(AND(ISNUMBER(BL107),ISNUMBER(BL121)),IFERROR(BL107/BL121,""),"")</f>
        <v>0.163623710931941</v>
      </c>
      <c r="BM99" s="215">
        <f>IF(AND(ISNUMBER(BM107),ISNUMBER(BM121)),IFERROR(BM107/BM121,""),"")</f>
        <v>0.139403058981222</v>
      </c>
      <c r="BN99" s="215">
        <f>IF(AND(ISNUMBER(BN107),ISNUMBER(BN121)),IFERROR(BN107/BN121,""),"")</f>
        <v>0.146919913675778</v>
      </c>
      <c r="BO99" s="215">
        <f>IF(AND(ISNUMBER(BO107),ISNUMBER(BO121)),IFERROR(BO107/BO121,""),"")</f>
        <v>0.144570578876532</v>
      </c>
      <c r="BP99" s="215">
        <f>IF(AND(ISNUMBER(BP107),ISNUMBER(BP121)),IFERROR(BP107/BP121,""),"")</f>
        <v>0.156722877333977</v>
      </c>
      <c r="BQ99" s="215">
        <f>IF(AND(ISNUMBER(BQ107),ISNUMBER(BQ121)),IFERROR(BQ107/BQ121,""),"")</f>
        <v>0.147097561634755</v>
      </c>
      <c r="BR99" s="215">
        <f>IF(AND(ISNUMBER(BR107),ISNUMBER(BR121)),IFERROR(BR107/BR121,""),"")</f>
        <v>0.136589413003243</v>
      </c>
      <c r="BS99" s="215">
        <f>IF(AND(ISNUMBER(BS107),ISNUMBER(BS121)),IFERROR(BS107/BS121,""),"")</f>
        <v>0.134778827214973</v>
      </c>
      <c r="BT99" s="215">
        <f>IF(AND(ISNUMBER(BT107),ISNUMBER(BT121)),IFERROR(BT107/BT121,""),"")</f>
        <v>0.13401084784272</v>
      </c>
      <c r="BU99" s="215">
        <f>IF(AND(ISNUMBER(BU107),ISNUMBER(BU121)),IFERROR(BU107/BU121,""),"")</f>
        <v>0.145914839244191</v>
      </c>
      <c r="BV99" s="215">
        <f>IF(AND(ISNUMBER(BV107),ISNUMBER(BV121)),IFERROR(BV107/BV121,""),"")</f>
        <v>0.137975743816772</v>
      </c>
      <c r="BW99" s="215">
        <f>IF(AND(ISNUMBER(BW107),ISNUMBER(BW121)),IFERROR(BW107/BW121,""),"")</f>
        <v>0.136356827323187</v>
      </c>
      <c r="BX99" s="215">
        <f>IF(AND(ISNUMBER(BX107),ISNUMBER(BX121)),IFERROR(BX107/BX121,""),"")</f>
        <v>0.137393671847743</v>
      </c>
      <c r="BY99" s="256">
        <f>BY100*(1+BY85)</f>
        <v>0.136080072545035</v>
      </c>
      <c r="BZ99" s="256">
        <f>BZ100*(1+BZ85)</f>
        <v>0.136197755939022</v>
      </c>
      <c r="CA99" s="256">
        <f>IF(AND(ISNUMBER(CA107),ISNUMBER(CA121)),IFERROR(CA107/CA121,""),"")</f>
        <v>0.136499627169916</v>
      </c>
      <c r="CB99" s="256">
        <f>IFERROR(CB107/CB121,"")</f>
        <v>0.131182597648204</v>
      </c>
      <c r="CC99" s="256">
        <f>IFERROR(CC107/CC121,"")</f>
        <v>0.128133219660862</v>
      </c>
      <c r="CD99" s="256">
        <f>IFERROR(CD107/CD121,"")</f>
        <v>0.122478360405687</v>
      </c>
      <c r="CE99" s="256">
        <f>IFERROR(CE107/CE121,"")</f>
        <v>0.118907503262933</v>
      </c>
      <c r="CF99" s="256">
        <f>IFERROR(CF107/CF121,"")</f>
        <v>0.116429787892495</v>
      </c>
      <c r="CG99" s="153" t="inlineStr">
        <is>
          <t>Q3/Q4-26E: prior-year quarter ratio + 1H-26 y/y drift, × (1 + calibration Δ). 2027E+: other cost of revenues is the balancing line to the operating-margin lever; marketing, T&amp;D and G&amp;A are inputs (1H-26 levels with modest leverage).</t>
        </is>
      </c>
    </row>
    <row r="100" ht="15" customHeight="1" s="251">
      <c r="B100" s="25" t="inlineStr">
        <is>
          <t xml:space="preserve">    Q3/Q4-26E ratio before calibration (prior-year quarter + 1H-26 drift)</t>
        </is>
      </c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  <c r="AV100" s="36" t="n"/>
      <c r="AW100" s="36" t="n"/>
      <c r="AX100" s="36" t="n"/>
      <c r="AY100" s="36" t="n"/>
      <c r="AZ100" s="36" t="n"/>
      <c r="BA100" s="36" t="n"/>
      <c r="BB100" s="36" t="n"/>
      <c r="BC100" s="36" t="n"/>
      <c r="BD100" s="36" t="n"/>
      <c r="BE100" s="36" t="n"/>
      <c r="BF100" s="36" t="n"/>
      <c r="BG100" s="36" t="n"/>
      <c r="BH100" s="36" t="n"/>
      <c r="BI100" s="36" t="n"/>
      <c r="BJ100" s="36" t="n"/>
      <c r="BK100" s="36" t="n"/>
      <c r="BL100" s="36" t="n"/>
      <c r="BM100" s="36" t="n"/>
      <c r="BN100" s="36" t="n"/>
      <c r="BO100" s="36" t="n"/>
      <c r="BP100" s="36" t="n"/>
      <c r="BQ100" s="36" t="n"/>
      <c r="BR100" s="36" t="n"/>
      <c r="BS100" s="36" t="n"/>
      <c r="BT100" s="36" t="n"/>
      <c r="BU100" s="36" t="n"/>
      <c r="BV100" s="36" t="n"/>
      <c r="BW100" s="36" t="n"/>
      <c r="BX100" s="36" t="n"/>
      <c r="BY100" s="256">
        <f>IFERROR(BT107/BT121,0)+IFERROR(SUM(BW107:BX107)/SUM(BW121:BX121)-SUM(BR107:BS107)/SUM(BR121:BS121),0)</f>
        <v>0.135230915981792</v>
      </c>
      <c r="BZ100" s="256">
        <f>IFERROR(BU107/BU121,0)+IFERROR(SUM(BW107:BX107)/SUM(BW121:BX121)-SUM(BR107:BS107)/SUM(BR121:BS121),0)</f>
        <v>0.147134907383262</v>
      </c>
      <c r="CA100" s="24" t="n"/>
      <c r="CB100" s="46" t="n"/>
      <c r="CC100" s="46" t="n"/>
      <c r="CD100" s="46" t="n"/>
      <c r="CE100" s="46" t="n"/>
      <c r="CF100" s="46" t="n"/>
      <c r="CG100" s="19" t="n"/>
    </row>
    <row r="101" ht="15" customHeight="1" s="251">
      <c r="B101" s="25" t="inlineStr">
        <is>
          <t xml:space="preserve">  Marketing / sales and marketing % of revenue</t>
        </is>
      </c>
      <c r="C101" s="215">
        <f>IF(AND(ISNUMBER(C127),ISNUMBER(C121)),IFERROR(C127/C121,""),"")</f>
        <v>0.226279774446652</v>
      </c>
      <c r="D101" s="215">
        <f>IF(AND(ISNUMBER(D127),ISNUMBER(D121)),IFERROR(D127/D121,""),"")</f>
        <v>0.181094131116531</v>
      </c>
      <c r="E101" s="215">
        <f>IF(AND(ISNUMBER(E127),ISNUMBER(E121)),IFERROR(E127/E121,""),"")</f>
        <v>0.146346235438691</v>
      </c>
      <c r="F101" s="215">
        <f>IF(AND(ISNUMBER(F127),ISNUMBER(F121)),IFERROR(F127/F121,""),"")</f>
        <v>0.142338749027851</v>
      </c>
      <c r="G101" s="215">
        <f>IF(AND(ISNUMBER(G127),ISNUMBER(G121)),IFERROR(G127/G121,""),"")</f>
        <v>0.135871452517196</v>
      </c>
      <c r="H101" s="215">
        <f>IF(AND(ISNUMBER(H127),ISNUMBER(H121)),IFERROR(H127/H121,""),"")</f>
        <v>0.125644663866713</v>
      </c>
      <c r="I101" s="215">
        <f>IF(AND(ISNUMBER(I127),ISNUMBER(I121)),IFERROR(I127/I121,""),"")</f>
        <v>0.134300672543736</v>
      </c>
      <c r="J101" s="215">
        <f>IF(AND(ISNUMBER(J127),ISNUMBER(J121)),IFERROR(J127/J121,""),"")</f>
        <v>0.126152265564802</v>
      </c>
      <c r="K101" s="215">
        <f>IF(AND(ISNUMBER(K127),ISNUMBER(K121)),IFERROR(K127/K121,""),"")</f>
        <v>0.113861219482089</v>
      </c>
      <c r="L101" s="215">
        <f>IF(AND(ISNUMBER(L127),ISNUMBER(L121)),IFERROR(L127/L121,""),"")</f>
        <v>0.104981107577855</v>
      </c>
      <c r="M101" s="215">
        <f>IF(AND(ISNUMBER(M127),ISNUMBER(M121)),IFERROR(M127/M121,""),"")</f>
        <v>0.116441037073594</v>
      </c>
      <c r="N101" s="215">
        <f>IF(AND(ISNUMBER(N127),ISNUMBER(N121)),IFERROR(N127/N121,""),"")</f>
        <v>0.115186160351596</v>
      </c>
      <c r="O101" s="215">
        <f>IF(AND(ISNUMBER(O127),ISNUMBER(O121)),IFERROR(O127/O121,""),"")</f>
        <v>0.107943616549706</v>
      </c>
      <c r="P101" s="215">
        <f>IF(AND(ISNUMBER(P127),ISNUMBER(P121)),IFERROR(P127/P121,""),"")</f>
        <v>0.0900942773351676</v>
      </c>
      <c r="Q101" s="215">
        <f>IF(AND(ISNUMBER(Q127),ISNUMBER(Q121)),IFERROR(Q127/Q121,""),"")</f>
        <v>0.103342339325345</v>
      </c>
      <c r="R101" s="215">
        <f>IF(AND(ISNUMBER(R127),ISNUMBER(R121)),IFERROR(R127/R121,""),"")</f>
        <v>0.137177314632714</v>
      </c>
      <c r="S101" s="215">
        <f>IF(AND(ISNUMBER(S127),ISNUMBER(S121)),IFERROR(S127/S121,""),"")</f>
        <v>0.110304077130342</v>
      </c>
      <c r="T101" s="215">
        <f>IF(AND(ISNUMBER(T127),ISNUMBER(T121)),IFERROR(T127/T121,""),"")</f>
        <v>0.123751453313746</v>
      </c>
      <c r="U101" s="215">
        <f>IF(AND(ISNUMBER(U127),ISNUMBER(U121)),IFERROR(U127/U121,""),"")</f>
        <v>0.119864242223781</v>
      </c>
      <c r="V101" s="215">
        <f>IF(AND(ISNUMBER(V127),ISNUMBER(V121)),IFERROR(V127/V121,""),"")</f>
        <v>0.11971202659986</v>
      </c>
      <c r="W101" s="215">
        <f>IF(AND(ISNUMBER(W127),ISNUMBER(W121)),IFERROR(W127/W121,""),"")</f>
        <v>0.122946823207829</v>
      </c>
      <c r="X101" s="215">
        <f>IF(AND(ISNUMBER(X127),ISNUMBER(X121)),IFERROR(X127/X121,""),"")</f>
        <v>0.121556259736137</v>
      </c>
      <c r="Y101" s="215">
        <f>IF(AND(ISNUMBER(Y127),ISNUMBER(Y121)),IFERROR(Y127/Y121,""),"")</f>
        <v>0.106250280936756</v>
      </c>
      <c r="Z101" s="215">
        <f>IF(AND(ISNUMBER(Z127),ISNUMBER(Z121)),IFERROR(Z127/Z121,""),"")</f>
        <v>0.102616658528105</v>
      </c>
      <c r="AA101" s="215">
        <f>IF(AND(ISNUMBER(AA127),ISNUMBER(AA121)),IFERROR(AA127/AA121,""),"")</f>
        <v>0.123152771737517</v>
      </c>
      <c r="AB101" s="215">
        <f>IF(AND(ISNUMBER(AB127),ISNUMBER(AB121)),IFERROR(AB127/AB121,""),"")</f>
        <v>0.115031799675565</v>
      </c>
      <c r="AC101" s="215">
        <f>IF(AND(ISNUMBER(AC127),ISNUMBER(AC121)),IFERROR(AC127/AC121,""),"")</f>
        <v>0.112231360953513</v>
      </c>
      <c r="AD101" s="215">
        <f>IF(AND(ISNUMBER(AD127),ISNUMBER(AD121)),IFERROR(AD127/AD121,""),"")</f>
        <v>0.102884927189391</v>
      </c>
      <c r="AE101" s="215">
        <f>IF(AND(ISNUMBER(AE127),ISNUMBER(AE121)),IFERROR(AE127/AE121,""),"")</f>
        <v>0.0984837714650055</v>
      </c>
      <c r="AF101" s="215">
        <f>IF(AND(ISNUMBER(AF127),ISNUMBER(AF121)),IFERROR(AF127/AF121,""),"")</f>
        <v>0.104691712405846</v>
      </c>
      <c r="AG101" s="215">
        <f>IF(AND(ISNUMBER(AG127),ISNUMBER(AG121)),IFERROR(AG127/AG121,""),"")</f>
        <v>0.127805938056855</v>
      </c>
      <c r="AH101" s="215">
        <f>IF(AND(ISNUMBER(AH127),ISNUMBER(AH121)),IFERROR(AH127/AH121,""),"")</f>
        <v>0.109300724305813</v>
      </c>
      <c r="AI101" s="215">
        <f>IF(AND(ISNUMBER(AI127),ISNUMBER(AI121)),IFERROR(AI127/AI121,""),"")</f>
        <v>0.145041309361942</v>
      </c>
      <c r="AJ101" s="215">
        <f>IF(AND(ISNUMBER(AJ127),ISNUMBER(AJ121)),IFERROR(AJ127/AJ121,""),"")</f>
        <v>0.151514228604627</v>
      </c>
      <c r="AK101" s="215">
        <f>IF(AND(ISNUMBER(AK127),ISNUMBER(AK121)),IFERROR(AK127/AK121,""),"")</f>
        <v>0.127602469786522</v>
      </c>
      <c r="AL101" s="215">
        <f>IF(AND(ISNUMBER(AL127),ISNUMBER(AL121)),IFERROR(AL127/AL121,""),"")</f>
        <v>0.174440586590224</v>
      </c>
      <c r="AM101" s="215">
        <f>IF(AND(ISNUMBER(AM127),ISNUMBER(AM121)),IFERROR(AM127/AM121,""),"")</f>
        <v>0.150020124296417</v>
      </c>
      <c r="AN101" s="215">
        <f>IF(AND(ISNUMBER(AN127),ISNUMBER(AN121)),IFERROR(AN127/AN121,""),"")</f>
        <v>0.136381130512949</v>
      </c>
      <c r="AO101" s="215">
        <f>IF(AND(ISNUMBER(AO127),ISNUMBER(AO121)),IFERROR(AO127/AO121,""),"")</f>
        <v>0.122513871296147</v>
      </c>
      <c r="AP101" s="215">
        <f>IF(AND(ISNUMBER(AP127),ISNUMBER(AP121)),IFERROR(AP127/AP121,""),"")</f>
        <v>0.105587613121687</v>
      </c>
      <c r="AQ101" s="215">
        <f>IF(AND(ISNUMBER(AQ127),ISNUMBER(AQ121)),IFERROR(AQ127/AQ121,""),"")</f>
        <v>0.160758593519373</v>
      </c>
      <c r="AR101" s="215">
        <f>IF(AND(ISNUMBER(AR127),ISNUMBER(AR121)),IFERROR(AR127/AR121,""),"")</f>
        <v>0.131593727803318</v>
      </c>
      <c r="AS101" s="215">
        <f>IF(AND(ISNUMBER(AS127),ISNUMBER(AS121)),IFERROR(AS127/AS121,""),"")</f>
        <v>0.0873538474928702</v>
      </c>
      <c r="AT101" s="215">
        <f>IF(AND(ISNUMBER(AT127),ISNUMBER(AT121)),IFERROR(AT127/AT121,""),"")</f>
        <v>0.0706489580998672</v>
      </c>
      <c r="AU101" s="215">
        <f>IF(AND(ISNUMBER(AU127),ISNUMBER(AU121)),IFERROR(AU127/AU121,""),"")</f>
        <v>0.0819805405432283</v>
      </c>
      <c r="AV101" s="215">
        <f>IF(AND(ISNUMBER(AV127),ISNUMBER(AV121)),IFERROR(AV127/AV121,""),"")</f>
        <v>0.11476734991441</v>
      </c>
      <c r="AW101" s="215">
        <f>IF(AND(ISNUMBER(AW127),ISNUMBER(AW121)),IFERROR(AW127/AW121,""),"")</f>
        <v>0.0891485440743132</v>
      </c>
      <c r="AX101" s="215">
        <f>IF(AND(ISNUMBER(AX127),ISNUMBER(AX121)),IFERROR(AX127/AX121,""),"")</f>
        <v>0.0715470925198812</v>
      </c>
      <c r="AY101" s="215">
        <f>IF(AND(ISNUMBER(AY127),ISNUMBER(AY121)),IFERROR(AY127/AY121,""),"")</f>
        <v>0.082265233607613</v>
      </c>
      <c r="AZ101" s="215">
        <f>IF(AND(ISNUMBER(AZ127),ISNUMBER(AZ121)),IFERROR(AZ127/AZ121,""),"")</f>
        <v>0.0849803974548161</v>
      </c>
      <c r="BA101" s="215">
        <f>IF(AND(ISNUMBER(BA127),ISNUMBER(BA121)),IFERROR(BA127/BA121,""),"")</f>
        <v>0.102825308282782</v>
      </c>
      <c r="BB101" s="215">
        <f>IF(AND(ISNUMBER(BB127),ISNUMBER(BB121)),IFERROR(BB127/BB121,""),"")</f>
        <v>0.0857013727999918</v>
      </c>
      <c r="BC101" s="215">
        <f>IF(AND(ISNUMBER(BC127),ISNUMBER(BC121)),IFERROR(BC127/BC121,""),"")</f>
        <v>0.0706652853344539</v>
      </c>
      <c r="BD101" s="215">
        <f>IF(AND(ISNUMBER(BD127),ISNUMBER(BD121)),IFERROR(BD127/BD121,""),"")</f>
        <v>0.0721392507359657</v>
      </c>
      <c r="BE101" s="215">
        <f>IF(AND(ISNUMBER(BE127),ISNUMBER(BE121)),IFERROR(BE127/BE121,""),"")</f>
        <v>0.0716607939170199</v>
      </c>
      <c r="BF101" s="215">
        <f>IF(AND(ISNUMBER(BF127),ISNUMBER(BF121)),IFERROR(BF127/BF121,""),"")</f>
        <v>0.105909881148281</v>
      </c>
      <c r="BG101" s="215">
        <f>IF(AND(ISNUMBER(BG127),ISNUMBER(BG121)),IFERROR(BG127/BG121,""),"")</f>
        <v>0.0800397905461079</v>
      </c>
      <c r="BH101" s="215">
        <f>IF(AND(ISNUMBER(BH127),ISNUMBER(BH121)),IFERROR(BH127/BH121,""),"")</f>
        <v>0.0680465350561043</v>
      </c>
      <c r="BI101" s="215">
        <f>IF(AND(ISNUMBER(BI127),ISNUMBER(BI121)),IFERROR(BI127/BI121,""),"")</f>
        <v>0.0766025336066183</v>
      </c>
      <c r="BJ101" s="215">
        <f>IF(AND(ISNUMBER(BJ127),ISNUMBER(BJ121)),IFERROR(BJ127/BJ121,""),"")</f>
        <v>0.0654129849111438</v>
      </c>
      <c r="BK101" s="215">
        <f>IF(AND(ISNUMBER(BK127),ISNUMBER(BK121)),IFERROR(BK127/BK121,""),"")</f>
        <v>0.103773934160362</v>
      </c>
      <c r="BL101" s="215">
        <f>IF(AND(ISNUMBER(BL127),ISNUMBER(BL121)),IFERROR(BL127/BL121,""),"")</f>
        <v>0.0788144468792598</v>
      </c>
      <c r="BM101" s="215">
        <f>IF(AND(ISNUMBER(BM127),ISNUMBER(BM121)),IFERROR(BM127/BM121,""),"")</f>
        <v>0.069830232091556</v>
      </c>
      <c r="BN101" s="215">
        <f>IF(AND(ISNUMBER(BN127),ISNUMBER(BN121)),IFERROR(BN127/BN121,""),"")</f>
        <v>0.0673776663796864</v>
      </c>
      <c r="BO101" s="215">
        <f>IF(AND(ISNUMBER(BO127),ISNUMBER(BO121)),IFERROR(BO127/BO121,""),"")</f>
        <v>0.0654397389926189</v>
      </c>
      <c r="BP101" s="215">
        <f>IF(AND(ISNUMBER(BP127),ISNUMBER(BP121)),IFERROR(BP127/BP121,""),"")</f>
        <v>0.09527182564449</v>
      </c>
      <c r="BQ101" s="215">
        <f>IF(AND(ISNUMBER(BQ127),ISNUMBER(BQ121)),IFERROR(BQ127/BQ121,""),"")</f>
        <v>0.0748072240056823</v>
      </c>
      <c r="BR101" s="215">
        <f>IF(AND(ISNUMBER(BR127),ISNUMBER(BR121)),IFERROR(BR127/BR121,""),"")</f>
        <v>0.0652928951234117</v>
      </c>
      <c r="BS101" s="215">
        <f>IF(AND(ISNUMBER(BS127),ISNUMBER(BS121)),IFERROR(BS127/BS121,""),"")</f>
        <v>0.0643789433247954</v>
      </c>
      <c r="BT101" s="215">
        <f>IF(AND(ISNUMBER(BT127),ISNUMBER(BT121)),IFERROR(BT127/BT121,""),"")</f>
        <v>0.0683122526618969</v>
      </c>
      <c r="BU101" s="215">
        <f>IF(AND(ISNUMBER(BU127),ISNUMBER(BU121)),IFERROR(BU127/BU121,""),"")</f>
        <v>0.0923905060941375</v>
      </c>
      <c r="BV101" s="215">
        <f>IF(AND(ISNUMBER(BV127),ISNUMBER(BV121)),IFERROR(BV127/BV121,""),"")</f>
        <v>0.0730651654306718</v>
      </c>
      <c r="BW101" s="215">
        <f>IF(AND(ISNUMBER(BW127),ISNUMBER(BW121)),IFERROR(BW127/BW121,""),"")</f>
        <v>0.0687537720136</v>
      </c>
      <c r="BX101" s="215">
        <f>IF(AND(ISNUMBER(BX127),ISNUMBER(BX121)),IFERROR(BX127/BX121,""),"")</f>
        <v>0.0655925212369679</v>
      </c>
      <c r="BY101" s="256">
        <f>BY102*(1+BY85)</f>
        <v>0.0710846313340146</v>
      </c>
      <c r="BZ101" s="256">
        <f>BZ102*(1+BZ85)</f>
        <v>0.087678426556941</v>
      </c>
      <c r="CA101" s="256">
        <f>IF(AND(ISNUMBER(CA127),ISNUMBER(CA121)),IFERROR(CA127/CA121,""),"")</f>
        <v>0.0735648283631043</v>
      </c>
      <c r="CB101" s="274" t="n">
        <v>0.07000000000000001</v>
      </c>
      <c r="CC101" s="274" t="n">
        <v>0.06900000000000001</v>
      </c>
      <c r="CD101" s="274" t="n">
        <v>0.068</v>
      </c>
      <c r="CE101" s="274" t="n">
        <v>0.068</v>
      </c>
      <c r="CF101" s="274" t="n">
        <v>0.067</v>
      </c>
      <c r="CG101" s="153" t="n"/>
    </row>
    <row r="102" ht="15" customHeight="1" s="251">
      <c r="B102" s="25" t="inlineStr">
        <is>
          <t xml:space="preserve">    Q3/Q4-26E ratio before calibration (prior-year quarter + 1H-26 drift)</t>
        </is>
      </c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6" t="n"/>
      <c r="AZ102" s="36" t="n"/>
      <c r="BA102" s="36" t="n"/>
      <c r="BB102" s="36" t="n"/>
      <c r="BC102" s="36" t="n"/>
      <c r="BD102" s="36" t="n"/>
      <c r="BE102" s="36" t="n"/>
      <c r="BF102" s="36" t="n"/>
      <c r="BG102" s="36" t="n"/>
      <c r="BH102" s="36" t="n"/>
      <c r="BI102" s="36" t="n"/>
      <c r="BJ102" s="36" t="n"/>
      <c r="BK102" s="36" t="n"/>
      <c r="BL102" s="36" t="n"/>
      <c r="BM102" s="36" t="n"/>
      <c r="BN102" s="36" t="n"/>
      <c r="BO102" s="36" t="n"/>
      <c r="BP102" s="36" t="n"/>
      <c r="BQ102" s="36" t="n"/>
      <c r="BR102" s="36" t="n"/>
      <c r="BS102" s="36" t="n"/>
      <c r="BT102" s="36" t="n"/>
      <c r="BU102" s="36" t="n"/>
      <c r="BV102" s="36" t="n"/>
      <c r="BW102" s="36" t="n"/>
      <c r="BX102" s="36" t="n"/>
      <c r="BY102" s="256">
        <f>IFERROR(BT127/BT121,0)+IFERROR(SUM(BW127:BX127)/SUM(BW121:BX121)-SUM(BR127:BS127)/SUM(BR121:BS121),0)</f>
        <v>0.0706410544008599</v>
      </c>
      <c r="BZ102" s="256">
        <f>IFERROR(BU127/BU121,0)+IFERROR(SUM(BW127:BX127)/SUM(BW121:BX121)-SUM(BR127:BS127)/SUM(BR121:BS121),0)</f>
        <v>0.0947193078331005</v>
      </c>
      <c r="CA102" s="24" t="n"/>
      <c r="CB102" s="46" t="n"/>
      <c r="CC102" s="46" t="n"/>
      <c r="CD102" s="46" t="n"/>
      <c r="CE102" s="46" t="n"/>
      <c r="CF102" s="46" t="n"/>
      <c r="CG102" s="19" t="n"/>
    </row>
    <row r="103" ht="15" customHeight="1" s="251">
      <c r="B103" s="25" t="inlineStr">
        <is>
          <t xml:space="preserve">  Technology and development % of revenue</t>
        </is>
      </c>
      <c r="C103" s="215">
        <f>IF(AND(ISNUMBER(C128),ISNUMBER(C121)),IFERROR(C128/C121,""),"")</f>
        <v>0.0485411273654004</v>
      </c>
      <c r="D103" s="215">
        <f>IF(AND(ISNUMBER(D128),ISNUMBER(D121)),IFERROR(D128/D121,""),"")</f>
        <v>0.0592322498216271</v>
      </c>
      <c r="E103" s="215">
        <f>IF(AND(ISNUMBER(E128),ISNUMBER(E121)),IFERROR(E128/E121,""),"")</f>
        <v>0.06585738143026</v>
      </c>
      <c r="F103" s="215">
        <f>IF(AND(ISNUMBER(F128),ISNUMBER(F121)),IFERROR(F128/F121,""),"")</f>
        <v>0.0685769777203552</v>
      </c>
      <c r="G103" s="215">
        <f>IF(AND(ISNUMBER(G128),ISNUMBER(G121)),IFERROR(G128/G121,""),"")</f>
        <v>0.0755234957516907</v>
      </c>
      <c r="H103" s="215">
        <f>IF(AND(ISNUMBER(H128),ISNUMBER(H121)),IFERROR(H128/H121,""),"")</f>
        <v>0.0808321971979453</v>
      </c>
      <c r="I103" s="215">
        <f>IF(AND(ISNUMBER(I128),ISNUMBER(I121)),IFERROR(I128/I121,""),"")</f>
        <v>0.0911560803506071</v>
      </c>
      <c r="J103" s="215">
        <f>IF(AND(ISNUMBER(J128),ISNUMBER(J121)),IFERROR(J128/J121,""),"")</f>
        <v>0.0898227569214062</v>
      </c>
      <c r="K103" s="215">
        <f>IF(AND(ISNUMBER(K128),ISNUMBER(K121)),IFERROR(K128/K121,""),"")</f>
        <v>0.0870847562868674</v>
      </c>
      <c r="L103" s="215">
        <f>IF(AND(ISNUMBER(L128),ISNUMBER(L121)),IFERROR(L128/L121,""),"")</f>
        <v>0.0863834415763486</v>
      </c>
      <c r="M103" s="215">
        <f>IF(AND(ISNUMBER(M128),ISNUMBER(M121)),IFERROR(M128/M121,""),"")</f>
        <v>0.0834968474256103</v>
      </c>
      <c r="N103" s="215">
        <f>IF(AND(ISNUMBER(N128),ISNUMBER(N121)),IFERROR(N128/N121,""),"")</f>
        <v>0.0865844397679128</v>
      </c>
      <c r="O103" s="215">
        <f>IF(AND(ISNUMBER(O128),ISNUMBER(O121)),IFERROR(O128/O121,""),"")</f>
        <v>0.0868521812250953</v>
      </c>
      <c r="P103" s="215">
        <f>IF(AND(ISNUMBER(P128),ISNUMBER(P121)),IFERROR(P128/P121,""),"")</f>
        <v>0.0859306165963025</v>
      </c>
      <c r="Q103" s="215">
        <f>IF(AND(ISNUMBER(Q128),ISNUMBER(Q121)),IFERROR(Q128/Q121,""),"")</f>
        <v>0.0858168396914502</v>
      </c>
      <c r="R103" s="215">
        <f>IF(AND(ISNUMBER(R128),ISNUMBER(R121)),IFERROR(R128/R121,""),"")</f>
        <v>0.0847805119860338</v>
      </c>
      <c r="S103" s="215">
        <f>IF(AND(ISNUMBER(S128),ISNUMBER(S121)),IFERROR(S128/S121,""),"")</f>
        <v>0.0858039085457838</v>
      </c>
      <c r="T103" s="215">
        <f>IF(AND(ISNUMBER(T128),ISNUMBER(T121)),IFERROR(T128/T121,""),"")</f>
        <v>0.0909690177982861</v>
      </c>
      <c r="U103" s="215">
        <f>IF(AND(ISNUMBER(U128),ISNUMBER(U121)),IFERROR(U128/U121,""),"")</f>
        <v>0.0942795437935567</v>
      </c>
      <c r="V103" s="215">
        <f>IF(AND(ISNUMBER(V128),ISNUMBER(V121)),IFERROR(V128/V121,""),"")</f>
        <v>0.0988072056628249</v>
      </c>
      <c r="W103" s="215">
        <f>IF(AND(ISNUMBER(W128),ISNUMBER(W121)),IFERROR(W128/W121,""),"")</f>
        <v>0.0991914258119609</v>
      </c>
      <c r="X103" s="215">
        <f>IF(AND(ISNUMBER(X128),ISNUMBER(X121)),IFERROR(X128/X121,""),"")</f>
        <v>0.0959933540929427</v>
      </c>
      <c r="Y103" s="215">
        <f>IF(AND(ISNUMBER(Y128),ISNUMBER(Y121)),IFERROR(Y128/Y121,""),"")</f>
        <v>0.103950685894319</v>
      </c>
      <c r="Z103" s="215">
        <f>IF(AND(ISNUMBER(Z128),ISNUMBER(Z121)),IFERROR(Z128/Z121,""),"")</f>
        <v>0.0984702670145031</v>
      </c>
      <c r="AA103" s="215">
        <f>IF(AND(ISNUMBER(AA128),ISNUMBER(AA121)),IFERROR(AA128/AA121,""),"")</f>
        <v>0.0943586290732464</v>
      </c>
      <c r="AB103" s="215">
        <f>IF(AND(ISNUMBER(AB128),ISNUMBER(AB121)),IFERROR(AB128/AB121,""),"")</f>
        <v>0.0908929458685043</v>
      </c>
      <c r="AC103" s="215">
        <f>IF(AND(ISNUMBER(AC128),ISNUMBER(AC121)),IFERROR(AC128/AC121,""),"")</f>
        <v>0.0964930290105993</v>
      </c>
      <c r="AD103" s="215">
        <f>IF(AND(ISNUMBER(AD128),ISNUMBER(AD121)),IFERROR(AD128/AD121,""),"")</f>
        <v>0.0975136869532567</v>
      </c>
      <c r="AE103" s="215">
        <f>IF(AND(ISNUMBER(AE128),ISNUMBER(AE121)),IFERROR(AE128/AE121,""),"")</f>
        <v>0.0958845635771994</v>
      </c>
      <c r="AF103" s="215">
        <f>IF(AND(ISNUMBER(AF128),ISNUMBER(AF121)),IFERROR(AF128/AF121,""),"")</f>
        <v>0.0855102368319576</v>
      </c>
      <c r="AG103" s="215">
        <f>IF(AND(ISNUMBER(AG128),ISNUMBER(AG121)),IFERROR(AG128/AG121,""),"")</f>
        <v>0.0831927517419893</v>
      </c>
      <c r="AH103" s="215">
        <f>IF(AND(ISNUMBER(AH128),ISNUMBER(AH121)),IFERROR(AH128/AH121,""),"")</f>
        <v>0.090037102595437</v>
      </c>
      <c r="AI103" s="215">
        <f>IF(AND(ISNUMBER(AI128),ISNUMBER(AI121)),IFERROR(AI128/AI121,""),"")</f>
        <v>0.0762823519747864</v>
      </c>
      <c r="AJ103" s="215">
        <f>IF(AND(ISNUMBER(AJ128),ISNUMBER(AJ121)),IFERROR(AJ128/AJ121,""),"")</f>
        <v>0.0765483316996266</v>
      </c>
      <c r="AK103" s="215">
        <f>IF(AND(ISNUMBER(AK128),ISNUMBER(AK121)),IFERROR(AK128/AK121,""),"")</f>
        <v>0.0771670766474953</v>
      </c>
      <c r="AL103" s="215">
        <f>IF(AND(ISNUMBER(AL128),ISNUMBER(AL121)),IFERROR(AL128/AL121,""),"")</f>
        <v>0.0792456651685602</v>
      </c>
      <c r="AM103" s="215">
        <f>IF(AND(ISNUMBER(AM128),ISNUMBER(AM121)),IFERROR(AM128/AM121,""),"")</f>
        <v>0.0773577067887796</v>
      </c>
      <c r="AN103" s="215">
        <f>IF(AND(ISNUMBER(AN128),ISNUMBER(AN121)),IFERROR(AN128/AN121,""),"")</f>
        <v>0.0824518158846554</v>
      </c>
      <c r="AO103" s="215">
        <f>IF(AND(ISNUMBER(AO128),ISNUMBER(AO121)),IFERROR(AO128/AO121,""),"")</f>
        <v>0.0778435852415421</v>
      </c>
      <c r="AP103" s="215">
        <f>IF(AND(ISNUMBER(AP128),ISNUMBER(AP121)),IFERROR(AP128/AP121,""),"")</f>
        <v>0.0724085564943502</v>
      </c>
      <c r="AQ103" s="215">
        <f>IF(AND(ISNUMBER(AQ128),ISNUMBER(AQ121)),IFERROR(AQ128/AQ121,""),"")</f>
        <v>0.0748753437169978</v>
      </c>
      <c r="AR103" s="215">
        <f>IF(AND(ISNUMBER(AR128),ISNUMBER(AR121)),IFERROR(AR128/AR121,""),"")</f>
        <v>0.076657805812701</v>
      </c>
      <c r="AS103" s="215">
        <f>IF(AND(ISNUMBER(AS128),ISNUMBER(AS121)),IFERROR(AS128/AS121,""),"")</f>
        <v>0.0786826131982452</v>
      </c>
      <c r="AT103" s="215">
        <f>IF(AND(ISNUMBER(AT128),ISNUMBER(AT121)),IFERROR(AT128/AT121,""),"")</f>
        <v>0.0707587447948908</v>
      </c>
      <c r="AU103" s="215">
        <f>IF(AND(ISNUMBER(AU128),ISNUMBER(AU121)),IFERROR(AU128/AU121,""),"")</f>
        <v>0.0705139211549688</v>
      </c>
      <c r="AV103" s="215">
        <f>IF(AND(ISNUMBER(AV128),ISNUMBER(AV121)),IFERROR(AV128/AV121,""),"")</f>
        <v>0.0732847092351773</v>
      </c>
      <c r="AW103" s="215">
        <f>IF(AND(ISNUMBER(AW128),ISNUMBER(AW121)),IFERROR(AW128/AW121,""),"")</f>
        <v>0.0731955473295467</v>
      </c>
      <c r="AX103" s="215">
        <f>IF(AND(ISNUMBER(AX128),ISNUMBER(AX121)),IFERROR(AX128/AX121,""),"")</f>
        <v>0.073319324856958</v>
      </c>
      <c r="AY103" s="215">
        <f>IF(AND(ISNUMBER(AY128),ISNUMBER(AY121)),IFERROR(AY128/AY121,""),"")</f>
        <v>0.073186777533559</v>
      </c>
      <c r="AZ103" s="215">
        <f>IF(AND(ISNUMBER(AZ128),ISNUMBER(AZ121)),IFERROR(AZ128/AZ121,""),"")</f>
        <v>0.0753510371596481</v>
      </c>
      <c r="BA103" s="215">
        <f>IF(AND(ISNUMBER(BA128),ISNUMBER(BA121)),IFERROR(BA128/BA121,""),"")</f>
        <v>0.0839853797702988</v>
      </c>
      <c r="BB103" s="215">
        <f>IF(AND(ISNUMBER(BB128),ISNUMBER(BB121)),IFERROR(BB128/BB121,""),"")</f>
        <v>0.0765673427337015</v>
      </c>
      <c r="BC103" s="215">
        <f>IF(AND(ISNUMBER(BC128),ISNUMBER(BC121)),IFERROR(BC128/BC121,""),"")</f>
        <v>0.0835726324889896</v>
      </c>
      <c r="BD103" s="215">
        <f>IF(AND(ISNUMBER(BD128),ISNUMBER(BD121)),IFERROR(BD128/BD121,""),"")</f>
        <v>0.0899414452015341</v>
      </c>
      <c r="BE103" s="215">
        <f>IF(AND(ISNUMBER(BE128),ISNUMBER(BE121)),IFERROR(BE128/BE121,""),"")</f>
        <v>0.0836201574419264</v>
      </c>
      <c r="BF103" s="215">
        <f>IF(AND(ISNUMBER(BF128),ISNUMBER(BF121)),IFERROR(BF128/BF121,""),"")</f>
        <v>0.0858279993779971</v>
      </c>
      <c r="BG103" s="215">
        <f>IF(AND(ISNUMBER(BG128),ISNUMBER(BG121)),IFERROR(BG128/BG121,""),"")</f>
        <v>0.0857502399926619</v>
      </c>
      <c r="BH103" s="215">
        <f>IF(AND(ISNUMBER(BH128),ISNUMBER(BH121)),IFERROR(BH128/BH121,""),"")</f>
        <v>0.0842093668286344</v>
      </c>
      <c r="BI103" s="215">
        <f>IF(AND(ISNUMBER(BI128),ISNUMBER(BI121)),IFERROR(BI128/BI121,""),"")</f>
        <v>0.0803662892081285</v>
      </c>
      <c r="BJ103" s="215">
        <f>IF(AND(ISNUMBER(BJ128),ISNUMBER(BJ121)),IFERROR(BJ128/BJ121,""),"")</f>
        <v>0.0769356757954067</v>
      </c>
      <c r="BK103" s="215">
        <f>IF(AND(ISNUMBER(BK128),ISNUMBER(BK121)),IFERROR(BK128/BK121,""),"")</f>
        <v>0.0762316699357227</v>
      </c>
      <c r="BL103" s="215">
        <f>IF(AND(ISNUMBER(BL128),ISNUMBER(BL121)),IFERROR(BL128/BL121,""),"")</f>
        <v>0.0793444958836617</v>
      </c>
      <c r="BM103" s="215">
        <f>IF(AND(ISNUMBER(BM128),ISNUMBER(BM121)),IFERROR(BM128/BM121,""),"")</f>
        <v>0.0749669172418798</v>
      </c>
      <c r="BN103" s="215">
        <f>IF(AND(ISNUMBER(BN128),ISNUMBER(BN121)),IFERROR(BN128/BN121,""),"")</f>
        <v>0.0744043241614719</v>
      </c>
      <c r="BO103" s="215">
        <f>IF(AND(ISNUMBER(BO128),ISNUMBER(BO121)),IFERROR(BO128/BO121,""),"")</f>
        <v>0.0748178341879648</v>
      </c>
      <c r="BP103" s="215">
        <f>IF(AND(ISNUMBER(BP128),ISNUMBER(BP121)),IFERROR(BP128/BP121,""),"")</f>
        <v>0.0757823661571502</v>
      </c>
      <c r="BQ103" s="215">
        <f>IF(AND(ISNUMBER(BQ128),ISNUMBER(BQ121)),IFERROR(BQ128/BQ121,""),"")</f>
        <v>0.0750057062689165</v>
      </c>
      <c r="BR103" s="215">
        <f>IF(AND(ISNUMBER(BR128),ISNUMBER(BR121)),IFERROR(BR128/BR121,""),"")</f>
        <v>0.0780459576160074</v>
      </c>
      <c r="BS103" s="215">
        <f>IF(AND(ISNUMBER(BS128),ISNUMBER(BS121)),IFERROR(BS128/BS121,""),"")</f>
        <v>0.0744354764609538</v>
      </c>
      <c r="BT103" s="215">
        <f>IF(AND(ISNUMBER(BT128),ISNUMBER(BT121)),IFERROR(BT128/BT121,""),"")</f>
        <v>0.0741582305319919</v>
      </c>
      <c r="BU103" s="215">
        <f>IF(AND(ISNUMBER(BU128),ISNUMBER(BU121)),IFERROR(BU128/BU121,""),"")</f>
        <v>0.0738791455677243</v>
      </c>
      <c r="BV103" s="215">
        <f>IF(AND(ISNUMBER(BV128),ISNUMBER(BV121)),IFERROR(BV128/BV121,""),"")</f>
        <v>0.075058922556687</v>
      </c>
      <c r="BW103" s="215">
        <f>IF(AND(ISNUMBER(BW128),ISNUMBER(BW121)),IFERROR(BW128/BW121,""),"")</f>
        <v>0.078344084703068</v>
      </c>
      <c r="BX103" s="215">
        <f>IF(AND(ISNUMBER(BX128),ISNUMBER(BX121)),IFERROR(BX128/BX121,""),"")</f>
        <v>0.0802292973102256</v>
      </c>
      <c r="BY103" s="256">
        <f>BY104*(1+BY85)</f>
        <v>0.0777459151969923</v>
      </c>
      <c r="BZ103" s="256">
        <f>BZ104*(1+BZ85)</f>
        <v>0.0712593162037857</v>
      </c>
      <c r="CA103" s="256">
        <f>IF(AND(ISNUMBER(CA128),ISNUMBER(CA121)),IFERROR(CA128/CA121,""),"")</f>
        <v>0.0767840576516012</v>
      </c>
      <c r="CB103" s="274" t="n">
        <v>0.077</v>
      </c>
      <c r="CC103" s="274" t="n">
        <v>0.075</v>
      </c>
      <c r="CD103" s="274" t="n">
        <v>0.074</v>
      </c>
      <c r="CE103" s="274" t="n">
        <v>0.073</v>
      </c>
      <c r="CF103" s="274" t="n">
        <v>0.07199999999999999</v>
      </c>
      <c r="CG103" s="153" t="n"/>
    </row>
    <row r="104" ht="15" customHeight="1" s="251">
      <c r="B104" s="25" t="inlineStr">
        <is>
          <t xml:space="preserve">    Q3/Q4-26E ratio before calibration (prior-year quarter + 1H-26 drift)</t>
        </is>
      </c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  <c r="AV104" s="36" t="n"/>
      <c r="AW104" s="36" t="n"/>
      <c r="AX104" s="36" t="n"/>
      <c r="AY104" s="36" t="n"/>
      <c r="AZ104" s="36" t="n"/>
      <c r="BA104" s="36" t="n"/>
      <c r="BB104" s="36" t="n"/>
      <c r="BC104" s="36" t="n"/>
      <c r="BD104" s="36" t="n"/>
      <c r="BE104" s="36" t="n"/>
      <c r="BF104" s="36" t="n"/>
      <c r="BG104" s="36" t="n"/>
      <c r="BH104" s="36" t="n"/>
      <c r="BI104" s="36" t="n"/>
      <c r="BJ104" s="36" t="n"/>
      <c r="BK104" s="36" t="n"/>
      <c r="BL104" s="36" t="n"/>
      <c r="BM104" s="36" t="n"/>
      <c r="BN104" s="36" t="n"/>
      <c r="BO104" s="36" t="n"/>
      <c r="BP104" s="36" t="n"/>
      <c r="BQ104" s="36" t="n"/>
      <c r="BR104" s="36" t="n"/>
      <c r="BS104" s="36" t="n"/>
      <c r="BT104" s="36" t="n"/>
      <c r="BU104" s="36" t="n"/>
      <c r="BV104" s="36" t="n"/>
      <c r="BW104" s="36" t="n"/>
      <c r="BX104" s="36" t="n"/>
      <c r="BY104" s="256">
        <f>IFERROR(BT128/BT121,0)+IFERROR(SUM(BW128:BX128)/SUM(BW121:BX121)-SUM(BR128:BS128)/SUM(BR121:BS121),0)</f>
        <v>0.0772607710247401</v>
      </c>
      <c r="BZ104" s="256">
        <f>IFERROR(BU128/BU121,0)+IFERROR(SUM(BW128:BX128)/SUM(BW121:BX121)-SUM(BR128:BS128)/SUM(BR121:BS121),0)</f>
        <v>0.0769816860604725</v>
      </c>
      <c r="CA104" s="24" t="n"/>
      <c r="CB104" s="46" t="n"/>
      <c r="CC104" s="46" t="n"/>
      <c r="CD104" s="46" t="n"/>
      <c r="CE104" s="46" t="n"/>
      <c r="CF104" s="46" t="n"/>
      <c r="CG104" s="19" t="n"/>
    </row>
    <row r="105" ht="15" customHeight="1" s="251">
      <c r="B105" s="25" t="inlineStr">
        <is>
          <t xml:space="preserve">  General and administrative % of revenue</t>
        </is>
      </c>
      <c r="C105" s="215">
        <f>IF(AND(ISNUMBER(C129),ISNUMBER(C121)),IFERROR(C129/C121,""),"")</f>
        <v>0.0362761623823571</v>
      </c>
      <c r="D105" s="215">
        <f>IF(AND(ISNUMBER(D129),ISNUMBER(D121)),IFERROR(D129/D121,""),"")</f>
        <v>0.043582723546883</v>
      </c>
      <c r="E105" s="215">
        <f>IF(AND(ISNUMBER(E129),ISNUMBER(E121)),IFERROR(E129/E121,""),"")</f>
        <v>0.0363914554603671</v>
      </c>
      <c r="F105" s="215">
        <f>IF(AND(ISNUMBER(F129),ISNUMBER(F121)),IFERROR(F129/F121,""),"")</f>
        <v>0.0307333728878402</v>
      </c>
      <c r="G105" s="215">
        <f>IF(AND(ISNUMBER(G129),ISNUMBER(G121)),IFERROR(G129/G121,""),"")</f>
        <v>0.0326247037743483</v>
      </c>
      <c r="H105" s="215">
        <f>IF(AND(ISNUMBER(H129),ISNUMBER(H121)),IFERROR(H129/H121,""),"")</f>
        <v>0.0368026731765222</v>
      </c>
      <c r="I105" s="215">
        <f>IF(AND(ISNUMBER(I129),ISNUMBER(I121)),IFERROR(I129/I121,""),"")</f>
        <v>0.0331608890632541</v>
      </c>
      <c r="J105" s="215">
        <f>IF(AND(ISNUMBER(J129),ISNUMBER(J121)),IFERROR(J129/J121,""),"")</f>
        <v>0.0430934381289912</v>
      </c>
      <c r="K105" s="215">
        <f>IF(AND(ISNUMBER(K129),ISNUMBER(K121)),IFERROR(K129/K121,""),"")</f>
        <v>0.0409997643476732</v>
      </c>
      <c r="L105" s="215">
        <f>IF(AND(ISNUMBER(L129),ISNUMBER(L121)),IFERROR(L129/L121,""),"")</f>
        <v>0.0417821354268856</v>
      </c>
      <c r="M105" s="215">
        <f>IF(AND(ISNUMBER(M129),ISNUMBER(M121)),IFERROR(M129/M121,""),"")</f>
        <v>0.0392433821464735</v>
      </c>
      <c r="N105" s="215">
        <f>IF(AND(ISNUMBER(N129),ISNUMBER(N121)),IFERROR(N129/N121,""),"")</f>
        <v>0.0412157834315755</v>
      </c>
      <c r="O105" s="215">
        <f>IF(AND(ISNUMBER(O129),ISNUMBER(O121)),IFERROR(O129/O121,""),"")</f>
        <v>0.0440126636794744</v>
      </c>
      <c r="P105" s="215">
        <f>IF(AND(ISNUMBER(P129),ISNUMBER(P121)),IFERROR(P129/P121,""),"")</f>
        <v>0.0447729682104018</v>
      </c>
      <c r="Q105" s="215">
        <f>IF(AND(ISNUMBER(Q129),ISNUMBER(Q121)),IFERROR(Q129/Q121,""),"")</f>
        <v>0.0553584706463313</v>
      </c>
      <c r="R105" s="215">
        <f>IF(AND(ISNUMBER(R129),ISNUMBER(R121)),IFERROR(R129/R121,""),"")</f>
        <v>0.0510551427601554</v>
      </c>
      <c r="S105" s="215">
        <f>IF(AND(ISNUMBER(S129),ISNUMBER(S121)),IFERROR(S129/S121,""),"")</f>
        <v>0.0490023354774576</v>
      </c>
      <c r="T105" s="215">
        <f>IF(AND(ISNUMBER(T129),ISNUMBER(T121)),IFERROR(T129/T121,""),"")</f>
        <v>0.0581573411970665</v>
      </c>
      <c r="U105" s="215">
        <f>IF(AND(ISNUMBER(U129),ISNUMBER(U121)),IFERROR(U129/U121,""),"")</f>
        <v>0.0583123669205336</v>
      </c>
      <c r="V105" s="215">
        <f>IF(AND(ISNUMBER(V129),ISNUMBER(V121)),IFERROR(V129/V121,""),"")</f>
        <v>0.0637913429650445</v>
      </c>
      <c r="W105" s="215">
        <f>IF(AND(ISNUMBER(W129),ISNUMBER(W121)),IFERROR(W129/W121,""),"")</f>
        <v>0.0598036672401585</v>
      </c>
      <c r="X105" s="215">
        <f>IF(AND(ISNUMBER(X129),ISNUMBER(X121)),IFERROR(X129/X121,""),"")</f>
        <v>0.0600823569723539</v>
      </c>
      <c r="Y105" s="215">
        <f>IF(AND(ISNUMBER(Y129),ISNUMBER(Y121)),IFERROR(Y129/Y121,""),"")</f>
        <v>0.0649857794922298</v>
      </c>
      <c r="Z105" s="215">
        <f>IF(AND(ISNUMBER(Z129),ISNUMBER(Z121)),IFERROR(Z129/Z121,""),"")</f>
        <v>0.0657451724393456</v>
      </c>
      <c r="AA105" s="215">
        <f>IF(AND(ISNUMBER(AA129),ISNUMBER(AA121)),IFERROR(AA129/AA121,""),"")</f>
        <v>0.0668792256356247</v>
      </c>
      <c r="AB105" s="215">
        <f>IF(AND(ISNUMBER(AB129),ISNUMBER(AB121)),IFERROR(AB129/AB121,""),"")</f>
        <v>0.0641769399578049</v>
      </c>
      <c r="AC105" s="215">
        <f>IF(AND(ISNUMBER(AC129),ISNUMBER(AC121)),IFERROR(AC129/AC121,""),"")</f>
        <v>0.0654309430010342</v>
      </c>
      <c r="AD105" s="215">
        <f>IF(AND(ISNUMBER(AD129),ISNUMBER(AD121)),IFERROR(AD129/AD121,""),"")</f>
        <v>0.0736890013217605</v>
      </c>
      <c r="AE105" s="215">
        <f>IF(AND(ISNUMBER(AE129),ISNUMBER(AE121)),IFERROR(AE129/AE121,""),"")</f>
        <v>0.0768069520912853</v>
      </c>
      <c r="AF105" s="215">
        <f>IF(AND(ISNUMBER(AF129),ISNUMBER(AF121)),IFERROR(AF129/AF121,""),"")</f>
        <v>0.0722064258311699</v>
      </c>
      <c r="AG105" s="215">
        <f>IF(AND(ISNUMBER(AG129),ISNUMBER(AG121)),IFERROR(AG129/AG121,""),"")</f>
        <v>0.0729841391095806</v>
      </c>
      <c r="AH105" s="215">
        <f>IF(AND(ISNUMBER(AH129),ISNUMBER(AH121)),IFERROR(AH129/AH121,""),"")</f>
        <v>0.073855229321031</v>
      </c>
      <c r="AI105" s="215">
        <f>IF(AND(ISNUMBER(AI129),ISNUMBER(AI121)),IFERROR(AI129/AI121,""),"")</f>
        <v>0.0363732066311145</v>
      </c>
      <c r="AJ105" s="215">
        <f>IF(AND(ISNUMBER(AJ129),ISNUMBER(AJ121)),IFERROR(AJ129/AJ121,""),"")</f>
        <v>0.0387800177617621</v>
      </c>
      <c r="AK105" s="215">
        <f>IF(AND(ISNUMBER(AK129),ISNUMBER(AK121)),IFERROR(AK129/AK121,""),"")</f>
        <v>0.0421635986031814</v>
      </c>
      <c r="AL105" s="215">
        <f>IF(AND(ISNUMBER(AL129),ISNUMBER(AL121)),IFERROR(AL129/AL121,""),"")</f>
        <v>0.0419242096845808</v>
      </c>
      <c r="AM105" s="215">
        <f>IF(AND(ISNUMBER(AM129),ISNUMBER(AM121)),IFERROR(AM129/AM121,""),"")</f>
        <v>0.0399063183452858</v>
      </c>
      <c r="AN105" s="215">
        <f>IF(AND(ISNUMBER(AN129),ISNUMBER(AN121)),IFERROR(AN129/AN121,""),"")</f>
        <v>0.0446698423708779</v>
      </c>
      <c r="AO105" s="215">
        <f>IF(AND(ISNUMBER(AO129),ISNUMBER(AO121)),IFERROR(AO129/AO121,""),"")</f>
        <v>0.0456330909123409</v>
      </c>
      <c r="AP105" s="215">
        <f>IF(AND(ISNUMBER(AP129),ISNUMBER(AP121)),IFERROR(AP129/AP121,""),"")</f>
        <v>0.0444572399309425</v>
      </c>
      <c r="AQ105" s="215">
        <f>IF(AND(ISNUMBER(AQ129),ISNUMBER(AQ121)),IFERROR(AQ129/AQ121,""),"")</f>
        <v>0.0465640737501358</v>
      </c>
      <c r="AR105" s="215">
        <f>IF(AND(ISNUMBER(AR129),ISNUMBER(AR121)),IFERROR(AR129/AR121,""),"")</f>
        <v>0.0453636000432021</v>
      </c>
      <c r="AS105" s="215">
        <f>IF(AND(ISNUMBER(AS129),ISNUMBER(AS121)),IFERROR(AS129/AS121,""),"")</f>
        <v>0.0437067450388726</v>
      </c>
      <c r="AT105" s="215">
        <f>IF(AND(ISNUMBER(AT129),ISNUMBER(AT121)),IFERROR(AT129/AT121,""),"")</f>
        <v>0.0450915913801017</v>
      </c>
      <c r="AU105" s="215">
        <f>IF(AND(ISNUMBER(AU129),ISNUMBER(AU121)),IFERROR(AU129/AU121,""),"")</f>
        <v>0.0422062338195893</v>
      </c>
      <c r="AV105" s="215">
        <f>IF(AND(ISNUMBER(AV129),ISNUMBER(AV121)),IFERROR(AV129/AV121,""),"")</f>
        <v>0.0414690955237475</v>
      </c>
      <c r="AW105" s="215">
        <f>IF(AND(ISNUMBER(AW129),ISNUMBER(AW121)),IFERROR(AW129/AW121,""),"")</f>
        <v>0.0430662341290962</v>
      </c>
      <c r="AX105" s="215">
        <f>IF(AND(ISNUMBER(AX129),ISNUMBER(AX121)),IFERROR(AX129/AX121,""),"")</f>
        <v>0.0414888035958936</v>
      </c>
      <c r="AY105" s="215">
        <f>IF(AND(ISNUMBER(AY129),ISNUMBER(AY121)),IFERROR(AY129/AY121,""),"")</f>
        <v>0.0456081681587441</v>
      </c>
      <c r="AZ105" s="215">
        <f>IF(AND(ISNUMBER(AZ129),ISNUMBER(AZ121)),IFERROR(AZ129/AZ121,""),"")</f>
        <v>0.0430001228040426</v>
      </c>
      <c r="BA105" s="215">
        <f>IF(AND(ISNUMBER(BA129),ISNUMBER(BA121)),IFERROR(BA129/BA121,""),"")</f>
        <v>0.0515985979563951</v>
      </c>
      <c r="BB105" s="215">
        <f>IF(AND(ISNUMBER(BB129),ISNUMBER(BB121)),IFERROR(BB129/BB121,""),"")</f>
        <v>0.0455124284443005</v>
      </c>
      <c r="BC105" s="215">
        <f>IF(AND(ISNUMBER(BC129),ISNUMBER(BC121)),IFERROR(BC129/BC121,""),"")</f>
        <v>0.0505769934468065</v>
      </c>
      <c r="BD105" s="215">
        <f>IF(AND(ISNUMBER(BD129),ISNUMBER(BD121)),IFERROR(BD129/BD121,""),"")</f>
        <v>0.0513537966266845</v>
      </c>
      <c r="BE105" s="215">
        <f>IF(AND(ISNUMBER(BE129),ISNUMBER(BE121)),IFERROR(BE129/BE121,""),"")</f>
        <v>0.0470896232444049</v>
      </c>
      <c r="BF105" s="215">
        <f>IF(AND(ISNUMBER(BF129),ISNUMBER(BF121)),IFERROR(BF129/BF121,""),"")</f>
        <v>0.0499809412901314</v>
      </c>
      <c r="BG105" s="215">
        <f>IF(AND(ISNUMBER(BG129),ISNUMBER(BG121)),IFERROR(BG129/BG121,""),"")</f>
        <v>0.0497505499667094</v>
      </c>
      <c r="BH105" s="215">
        <f>IF(AND(ISNUMBER(BH129),ISNUMBER(BH121)),IFERROR(BH129/BH121,""),"")</f>
        <v>0.0491237949676671</v>
      </c>
      <c r="BI105" s="215">
        <f>IF(AND(ISNUMBER(BI129),ISNUMBER(BI121)),IFERROR(BI129/BI121,""),"")</f>
        <v>0.0490389934362985</v>
      </c>
      <c r="BJ105" s="215">
        <f>IF(AND(ISNUMBER(BJ129),ISNUMBER(BJ121)),IFERROR(BJ129/BJ121,""),"")</f>
        <v>0.0560301571074877</v>
      </c>
      <c r="BK105" s="215">
        <f>IF(AND(ISNUMBER(BK129),ISNUMBER(BK121)),IFERROR(BK129/BK121,""),"")</f>
        <v>0.0497318807969138</v>
      </c>
      <c r="BL105" s="215">
        <f>IF(AND(ISNUMBER(BL129),ISNUMBER(BL121)),IFERROR(BL129/BL121,""),"")</f>
        <v>0.0510117679181843</v>
      </c>
      <c r="BM105" s="215">
        <f>IF(AND(ISNUMBER(BM129),ISNUMBER(BM121)),IFERROR(BM129/BM121,""),"")</f>
        <v>0.0431164385023542</v>
      </c>
      <c r="BN105" s="215">
        <f>IF(AND(ISNUMBER(BN129),ISNUMBER(BN121)),IFERROR(BN129/BN121,""),"")</f>
        <v>0.0446676590674432</v>
      </c>
      <c r="BO105" s="215">
        <f>IF(AND(ISNUMBER(BO129),ISNUMBER(BO121)),IFERROR(BO129/BO121,""),"")</f>
        <v>0.0424799609718482</v>
      </c>
      <c r="BP105" s="215">
        <f>IF(AND(ISNUMBER(BP129),ISNUMBER(BP121)),IFERROR(BP129/BP121,""),"")</f>
        <v>0.044275940507761</v>
      </c>
      <c r="BQ105" s="215">
        <f>IF(AND(ISNUMBER(BQ129),ISNUMBER(BQ121)),IFERROR(BQ129/BQ121,""),"")</f>
        <v>0.0436409446883957</v>
      </c>
      <c r="BR105" s="215">
        <f>IF(AND(ISNUMBER(BR129),ISNUMBER(BR121)),IFERROR(BR129/BR121,""),"")</f>
        <v>0.0399762833425387</v>
      </c>
      <c r="BS105" s="215">
        <f>IF(AND(ISNUMBER(BS129),ISNUMBER(BS121)),IFERROR(BS129/BS121,""),"")</f>
        <v>0.0398236654275241</v>
      </c>
      <c r="BT105" s="215">
        <f>IF(AND(ISNUMBER(BT129),ISNUMBER(BT121)),IFERROR(BT129/BT121,""),"")</f>
        <v>0.0397844297289377</v>
      </c>
      <c r="BU105" s="215">
        <f>IF(AND(ISNUMBER(BU129),ISNUMBER(BU121)),IFERROR(BU129/BU121,""),"")</f>
        <v>0.047117518377676</v>
      </c>
      <c r="BV105" s="215">
        <f>IF(AND(ISNUMBER(BV129),ISNUMBER(BV121)),IFERROR(BV129/BV121,""),"")</f>
        <v>0.0417946239823282</v>
      </c>
      <c r="BW105" s="215">
        <f>IF(AND(ISNUMBER(BW129),ISNUMBER(BW121)),IFERROR(BW129/BW121,""),"")</f>
        <v>0.0491935472679172</v>
      </c>
      <c r="BX105" s="215">
        <f>IF(AND(ISNUMBER(BX129),ISNUMBER(BX121)),IFERROR(BX129/BX121,""),"")</f>
        <v>0.0397175527458814</v>
      </c>
      <c r="BY105" s="256">
        <f>BY106*(1+BY85)</f>
        <v>0.0445607263896402</v>
      </c>
      <c r="BZ105" s="256">
        <f>BZ106*(1+BZ85)</f>
        <v>0.0477789365115288</v>
      </c>
      <c r="CA105" s="256">
        <f>IF(AND(ISNUMBER(CA129),ISNUMBER(CA121)),IFERROR(CA129/CA121,""),"")</f>
        <v>0.0453315141591288</v>
      </c>
      <c r="CB105" s="274" t="n">
        <v>0.042</v>
      </c>
      <c r="CC105" s="274" t="n">
        <v>0.041</v>
      </c>
      <c r="CD105" s="274" t="n">
        <v>0.04</v>
      </c>
      <c r="CE105" s="274" t="n">
        <v>0.04</v>
      </c>
      <c r="CF105" s="274" t="n">
        <v>0.039</v>
      </c>
      <c r="CG105" s="153" t="n"/>
    </row>
    <row r="106" ht="15" customHeight="1" s="251">
      <c r="B106" s="25" t="inlineStr">
        <is>
          <t xml:space="preserve">    Q3/Q4-26E ratio before calibration (prior-year quarter + 1H-26 drift)</t>
        </is>
      </c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  <c r="AV106" s="36" t="n"/>
      <c r="AW106" s="36" t="n"/>
      <c r="AX106" s="36" t="n"/>
      <c r="AY106" s="36" t="n"/>
      <c r="AZ106" s="36" t="n"/>
      <c r="BA106" s="36" t="n"/>
      <c r="BB106" s="36" t="n"/>
      <c r="BC106" s="36" t="n"/>
      <c r="BD106" s="36" t="n"/>
      <c r="BE106" s="36" t="n"/>
      <c r="BF106" s="36" t="n"/>
      <c r="BG106" s="36" t="n"/>
      <c r="BH106" s="36" t="n"/>
      <c r="BI106" s="36" t="n"/>
      <c r="BJ106" s="36" t="n"/>
      <c r="BK106" s="36" t="n"/>
      <c r="BL106" s="36" t="n"/>
      <c r="BM106" s="36" t="n"/>
      <c r="BN106" s="36" t="n"/>
      <c r="BO106" s="36" t="n"/>
      <c r="BP106" s="36" t="n"/>
      <c r="BQ106" s="36" t="n"/>
      <c r="BR106" s="36" t="n"/>
      <c r="BS106" s="36" t="n"/>
      <c r="BT106" s="36" t="n"/>
      <c r="BU106" s="36" t="n"/>
      <c r="BV106" s="36" t="n"/>
      <c r="BW106" s="36" t="n"/>
      <c r="BX106" s="36" t="n"/>
      <c r="BY106" s="256">
        <f>IFERROR(BT129/BT121,0)+IFERROR(SUM(BW129:BX129)/SUM(BW121:BX121)-SUM(BR129:BS129)/SUM(BR121:BS121),0)</f>
        <v>0.0442826619194429</v>
      </c>
      <c r="BZ106" s="256">
        <f>IFERROR(BU129/BU121,0)+IFERROR(SUM(BW129:BX129)/SUM(BW121:BX121)-SUM(BR129:BS129)/SUM(BR121:BS121),0)</f>
        <v>0.0516157505681812</v>
      </c>
      <c r="CA106" s="24" t="n"/>
      <c r="CB106" s="46" t="n"/>
      <c r="CC106" s="46" t="n"/>
      <c r="CD106" s="46" t="n"/>
      <c r="CE106" s="46" t="n"/>
      <c r="CF106" s="46" t="n"/>
      <c r="CG106" s="19" t="n"/>
    </row>
    <row r="107" ht="15" customHeight="1" s="251">
      <c r="B107" s="25" t="inlineStr">
        <is>
          <t xml:space="preserve">  Other cost of revenues excl. company-quantified one-offs (Q3-25 Brazil non-income tax expense)</t>
        </is>
      </c>
      <c r="C107" s="264">
        <f>IF(ISNUMBER(C124),C124-N(C116),"")</f>
        <v>485.825</v>
      </c>
      <c r="D107" s="264">
        <f>IF(ISNUMBER(D124),D124-N(D116),"")</f>
        <v>582.753</v>
      </c>
      <c r="E107" s="264">
        <f>IF(ISNUMBER(E124),E124-N(E116),"")</f>
        <v>700.477</v>
      </c>
      <c r="F107" s="264">
        <f>IF(ISNUMBER(F124),F124-N(F116),"")</f>
        <v>859.781</v>
      </c>
      <c r="G107" s="264">
        <f>IF(ISNUMBER(G124),G124-N(G116),"")</f>
        <v>1056.759</v>
      </c>
      <c r="H107" s="264">
        <f>IF(ISNUMBER(H124),H124-N(H116),"")</f>
        <v>1244.029</v>
      </c>
      <c r="I107" s="264">
        <f>IF(ISNUMBER(I124),I124-N(I116),"")</f>
        <v>969.252</v>
      </c>
      <c r="J107" s="264">
        <f>IF(ISNUMBER(J124),J124-N(J116),"")</f>
        <v>222.886</v>
      </c>
      <c r="K107" s="264">
        <f>IF(ISNUMBER(K124),K124-N(K116),"")</f>
        <v>225.566</v>
      </c>
      <c r="L107" s="264">
        <f>IF(ISNUMBER(L124),L124-N(L116),"")</f>
        <v>220.079</v>
      </c>
      <c r="M107" s="264">
        <f>IF(ISNUMBER(M124),M124-N(M116),"")</f>
        <v>221.419</v>
      </c>
      <c r="N107" s="264">
        <f>IF(ISNUMBER(N124),N124-N(N116),"")</f>
        <v>889.95</v>
      </c>
      <c r="O107" s="264">
        <f>IF(ISNUMBER(O124),O124-N(O116),"")</f>
        <v>252.33</v>
      </c>
      <c r="P107" s="264">
        <f>IF(ISNUMBER(P124),P124-N(P116),"")</f>
        <v>258.888</v>
      </c>
      <c r="Q107" s="264">
        <f>IF(ISNUMBER(Q124),Q124-N(Q116),"")</f>
        <v>249.971</v>
      </c>
      <c r="R107" s="264">
        <f>IF(ISNUMBER(R124),R124-N(R116),"")</f>
        <v>263.801</v>
      </c>
      <c r="S107" s="264">
        <f>IF(ISNUMBER(S124),S124-N(S116),"")</f>
        <v>1024.99</v>
      </c>
      <c r="T107" s="264">
        <f>IF(ISNUMBER(T124),T124-N(T116),"")</f>
        <v>275.698</v>
      </c>
      <c r="U107" s="264">
        <f>IF(ISNUMBER(U124),U124-N(U116),"")</f>
        <v>278.339</v>
      </c>
      <c r="V107" s="264">
        <f>IF(ISNUMBER(V124),V124-N(V116),"")</f>
        <v>283.966</v>
      </c>
      <c r="W107" s="264">
        <f>IF(ISNUMBER(W124),W124-N(W116),"")</f>
        <v>268.711</v>
      </c>
      <c r="X107" s="264">
        <f>IF(ISNUMBER(X124),X124-N(X116),"")</f>
        <v>1106.714</v>
      </c>
      <c r="Y107" s="264">
        <f>IF(ISNUMBER(Y124),Y124-N(Y116),"")</f>
        <v>290.578</v>
      </c>
      <c r="Z107" s="264">
        <f>IF(ISNUMBER(Z124),Z124-N(Z116),"")</f>
        <v>277.716</v>
      </c>
      <c r="AA107" s="264">
        <f>IF(ISNUMBER(AA124),AA124-N(AA116),"")</f>
        <v>289.452</v>
      </c>
      <c r="AB107" s="264">
        <f>IF(ISNUMBER(AB124),AB124-N(AB116),"")</f>
        <v>304.705</v>
      </c>
      <c r="AC107" s="264">
        <f>IF(ISNUMBER(AC124),AC124-N(AC116),"")</f>
        <v>1162.451</v>
      </c>
      <c r="AD107" s="264">
        <f>IF(ISNUMBER(AD124),AD124-N(AD116),"")</f>
        <v>332.743</v>
      </c>
      <c r="AE107" s="264">
        <f>IF(ISNUMBER(AE124),AE124-N(AE116),"")</f>
        <v>335.003</v>
      </c>
      <c r="AF107" s="264">
        <f>IF(ISNUMBER(AF124),AF124-N(AF116),"")</f>
        <v>352.244</v>
      </c>
      <c r="AG107" s="264">
        <f>IF(ISNUMBER(AG124),AG124-N(AG116),"")</f>
        <v>381.202</v>
      </c>
      <c r="AH107" s="264">
        <f>IF(ISNUMBER(AH124),AH124-N(AH116),"")</f>
        <v>1401.192</v>
      </c>
      <c r="AI107" s="264">
        <f>IF(ISNUMBER(AI124),AI124-N(AI116),"")</f>
        <v>540.601</v>
      </c>
      <c r="AJ107" s="264">
        <f>IF(ISNUMBER(AJ124),AJ124-N(AJ116),"")</f>
        <v>573.46</v>
      </c>
      <c r="AK107" s="264">
        <f>IF(ISNUMBER(AK124),AK124-N(AK116),"")</f>
        <v>609.402</v>
      </c>
      <c r="AL107" s="264">
        <f>IF(ISNUMBER(AL124),AL124-N(AL116),"")</f>
        <v>670.775</v>
      </c>
      <c r="AM107" s="264">
        <f>IF(ISNUMBER(AM124),AM124-N(AM116),"")</f>
        <v>2394.238</v>
      </c>
      <c r="AN107" s="264">
        <f>IF(ISNUMBER(AN124),AN124-N(AN116),"")</f>
        <v>737.419</v>
      </c>
      <c r="AO107" s="264">
        <f>IF(ISNUMBER(AO124),AO124-N(AO116),"")</f>
        <v>766.086</v>
      </c>
      <c r="AP107" s="264">
        <f>IF(ISNUMBER(AP124),AP124-N(AP116),"")</f>
        <v>811.288</v>
      </c>
      <c r="AQ107" s="264">
        <f>IF(ISNUMBER(AQ124),AQ124-N(AQ116),"")</f>
        <v>909.173</v>
      </c>
      <c r="AR107" s="264">
        <f>IF(ISNUMBER(AR124),AR124-N(AR116),"")</f>
        <v>3223.966</v>
      </c>
      <c r="AS107" s="264">
        <f>IF(ISNUMBER(AS124),AS124-N(AS116),"")</f>
        <v>1116.316</v>
      </c>
      <c r="AT107" s="264">
        <f>IF(ISNUMBER(AT124),AT124-N(AT116),"")</f>
        <v>1036.548</v>
      </c>
      <c r="AU107" s="264">
        <f>IF(ISNUMBER(AU124),AU124-N(AU116),"")</f>
        <v>1134.008</v>
      </c>
      <c r="AV107" s="264">
        <f>IF(ISNUMBER(AV124),AV124-N(AV116),"")</f>
        <v>1182.535</v>
      </c>
      <c r="AW107" s="264">
        <f>IF(ISNUMBER(AW124),AW124-N(AW116),"")</f>
        <v>4469.407</v>
      </c>
      <c r="AX107" s="264">
        <f>IF(ISNUMBER(AX124),AX124-N(AX116),"")</f>
        <v>1149.315</v>
      </c>
      <c r="AY107" s="264">
        <f>IF(ISNUMBER(AY124),AY124-N(AY116),"")</f>
        <v>1211.205</v>
      </c>
      <c r="AZ107" s="264">
        <f>IF(ISNUMBER(AZ124),AZ124-N(AZ116),"")</f>
        <v>1243.538</v>
      </c>
      <c r="BA107" s="264">
        <f>IF(ISNUMBER(BA124),BA124-N(BA116),"")</f>
        <v>1498.258</v>
      </c>
      <c r="BB107" s="264">
        <f>IF(ISNUMBER(BB124),BB124-N(BB116),"")</f>
        <v>5102.316</v>
      </c>
      <c r="BC107" s="264">
        <f>IF(ISNUMBER(BC124),BC124-N(BC116),"")</f>
        <v>1118.34</v>
      </c>
      <c r="BD107" s="264">
        <f>IF(ISNUMBER(BD124),BD124-N(BD116),"")</f>
        <v>1429.407</v>
      </c>
      <c r="BE107" s="264">
        <f>IF(ISNUMBER(BE124),BE124-N(BE116),"")</f>
        <v>1135.073</v>
      </c>
      <c r="BF107" s="264">
        <f>IF(ISNUMBER(BF124),BF124-N(BF116),"")</f>
        <v>1459.333</v>
      </c>
      <c r="BG107" s="264">
        <f>IF(ISNUMBER(BG124),BG124-N(BG116),"")</f>
        <v>5142.153</v>
      </c>
      <c r="BH107" s="264">
        <f>IF(ISNUMBER(BH124),BH124-N(BH116),"")</f>
        <v>1343.641</v>
      </c>
      <c r="BI107" s="264">
        <f>IF(ISNUMBER(BI124),BI124-N(BI116),"")</f>
        <v>1263.449</v>
      </c>
      <c r="BJ107" s="264">
        <f>IF(ISNUMBER(BJ124),BJ124-N(BJ116),"")</f>
        <v>1357.435</v>
      </c>
      <c r="BK107" s="264">
        <f>IF(ISNUMBER(BK124),BK124-N(BK116),"")</f>
        <v>1553.406</v>
      </c>
      <c r="BL107" s="264">
        <f>IF(ISNUMBER(BL124),BL124-N(BL116),"")</f>
        <v>5517.931</v>
      </c>
      <c r="BM107" s="264">
        <f>IF(ISNUMBER(BM124),BM124-N(BM116),"")</f>
        <v>1306.268</v>
      </c>
      <c r="BN107" s="264">
        <f>IF(ISNUMBER(BN124),BN124-N(BN116),"")</f>
        <v>1404.453</v>
      </c>
      <c r="BO107" s="264">
        <f>IF(ISNUMBER(BO124),BO124-N(BO116),"")</f>
        <v>1420.363</v>
      </c>
      <c r="BP107" s="264">
        <f>IF(ISNUMBER(BP124),BP124-N(BP116),"")</f>
        <v>1605.863</v>
      </c>
      <c r="BQ107" s="264">
        <f>IF(ISNUMBER(BQ124),BQ124-N(BQ116),"")</f>
        <v>5736.947</v>
      </c>
      <c r="BR107" s="264">
        <f>IF(ISNUMBER(BR124),BR124-N(BR116),"")</f>
        <v>1440.035</v>
      </c>
      <c r="BS107" s="264">
        <f>IF(ISNUMBER(BS124),BS124-N(BS116),"")</f>
        <v>1493.237</v>
      </c>
      <c r="BT107" s="264">
        <f>IF(ISNUMBER(BT124),BT124-N(BT116),"")</f>
        <v>1542.506</v>
      </c>
      <c r="BU107" s="264">
        <f>IF(ISNUMBER(BU124),BU124-N(BU116),"")</f>
        <v>1758.385</v>
      </c>
      <c r="BV107" s="264">
        <f>IF(ISNUMBER(BV124),BV124-N(BV116),"")</f>
        <v>6234.163</v>
      </c>
      <c r="BW107" s="264">
        <f>IF(ISNUMBER(BW124),BW124-N(BW116),"")</f>
        <v>1670.338</v>
      </c>
      <c r="BX107" s="264">
        <f>IF(ISNUMBER(BX124),BX124-N(BX116),"")</f>
        <v>1725.656</v>
      </c>
      <c r="BY107" s="254">
        <f>BY121*BY99</f>
        <v>1749.98973292915</v>
      </c>
      <c r="BZ107" s="254">
        <f>BZ121*BZ99</f>
        <v>1842.79717817052</v>
      </c>
      <c r="CA107" s="254">
        <f>SUM(BW107:BZ107)</f>
        <v>6988.78091109968</v>
      </c>
      <c r="CB107" s="254">
        <f>CB121*(1-CB108)-CB96-CB127-CB128-CB129-N(CB109)</f>
        <v>7422.2218126863</v>
      </c>
      <c r="CC107" s="254">
        <f>CC121*(1-CC108)-CC96-CC127-CC128-CC129-N(CC109)</f>
        <v>7940.25060176668</v>
      </c>
      <c r="CD107" s="254">
        <f>CD121*(1-CD108)-CD96-CD127-CD128-CD129-N(CD109)</f>
        <v>8238.34033815147</v>
      </c>
      <c r="CE107" s="254">
        <f>CE121*(1-CE108)-CE96-CE127-CE128-CE129-N(CE109)</f>
        <v>8619.62641586387</v>
      </c>
      <c r="CF107" s="254">
        <f>CF121*(1-CF108)-CF96-CF127-CF128-CF129-N(CF109)</f>
        <v>9029.82909267037</v>
      </c>
      <c r="CG107" s="19" t="n"/>
    </row>
    <row r="108" ht="15" customHeight="1" s="251">
      <c r="B108" s="25" t="inlineStr">
        <is>
          <t xml:space="preserve">  Operating-margin lever (2027E+; scenario)</t>
        </is>
      </c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  <c r="AV108" s="36" t="n"/>
      <c r="AW108" s="36" t="n"/>
      <c r="AX108" s="36" t="n"/>
      <c r="AY108" s="36" t="n"/>
      <c r="AZ108" s="36" t="n"/>
      <c r="BA108" s="36" t="n"/>
      <c r="BB108" s="36" t="n"/>
      <c r="BC108" s="36" t="n"/>
      <c r="BD108" s="36" t="n"/>
      <c r="BE108" s="36" t="n"/>
      <c r="BF108" s="36" t="n"/>
      <c r="BG108" s="36" t="n"/>
      <c r="BH108" s="36" t="n"/>
      <c r="BI108" s="36" t="n"/>
      <c r="BJ108" s="36" t="n"/>
      <c r="BK108" s="36" t="n"/>
      <c r="BL108" s="36" t="n"/>
      <c r="BM108" s="36" t="n"/>
      <c r="BN108" s="36" t="n"/>
      <c r="BO108" s="36" t="n"/>
      <c r="BP108" s="36" t="n"/>
      <c r="BQ108" s="36" t="n"/>
      <c r="BR108" s="36" t="n"/>
      <c r="BS108" s="36" t="n"/>
      <c r="BT108" s="36" t="n"/>
      <c r="BU108" s="36" t="n"/>
      <c r="BV108" s="36" t="n"/>
      <c r="BW108" s="36" t="n"/>
      <c r="BX108" s="36" t="n"/>
      <c r="BY108" s="24" t="n"/>
      <c r="BZ108" s="24" t="n"/>
      <c r="CA108" s="24" t="n"/>
      <c r="CB108" s="275">
        <f>CHOOSE(MATCH($CG$2,{"Bull","Base","Bear"},0),$CP$55,$CQ$55,$CR$55)</f>
        <v>0.335</v>
      </c>
      <c r="CC108" s="275">
        <f>CHOOSE(MATCH($CG$2,{"Bull","Base","Bear"},0),$CP$56,$CQ$56,$CR$56)</f>
        <v>0.35</v>
      </c>
      <c r="CD108" s="275">
        <f>CHOOSE(MATCH($CG$2,{"Bull","Base","Bear"},0),$CP$57,$CQ$57,$CR$57)</f>
        <v>0.365</v>
      </c>
      <c r="CE108" s="275">
        <f>CHOOSE(MATCH($CG$2,{"Bull","Base","Bear"},0),$CP$58,$CQ$58,$CR$58)</f>
        <v>0.375</v>
      </c>
      <c r="CF108" s="275">
        <f>CHOOSE(MATCH($CG$2,{"Bull","Base","Bear"},0),$CP$59,$CQ$59,$CR$59)</f>
        <v>0.385</v>
      </c>
      <c r="CG108" s="19" t="inlineStr">
        <is>
          <t>2027E+: GAAP operating margin by scenario; other cost of revenues balances. FY2025 29.5%, FY26 guided 31.5% (+2pp a year since 2023).</t>
        </is>
      </c>
    </row>
    <row r="109" ht="15" customHeight="1" s="251">
      <c r="B109" s="25" t="inlineStr">
        <is>
          <t xml:space="preserve">  One-off operating items in the forecast (input; none assumed)</t>
        </is>
      </c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  <c r="AV109" s="36" t="n"/>
      <c r="AW109" s="36" t="n"/>
      <c r="AX109" s="36" t="n"/>
      <c r="AY109" s="36" t="n"/>
      <c r="AZ109" s="36" t="n"/>
      <c r="BA109" s="36" t="n"/>
      <c r="BB109" s="36" t="n"/>
      <c r="BC109" s="36" t="n"/>
      <c r="BD109" s="36" t="n"/>
      <c r="BE109" s="36" t="n"/>
      <c r="BF109" s="36" t="n"/>
      <c r="BG109" s="36" t="n"/>
      <c r="BH109" s="36" t="n"/>
      <c r="BI109" s="36" t="n"/>
      <c r="BJ109" s="36" t="n"/>
      <c r="BK109" s="36" t="n"/>
      <c r="BL109" s="36" t="n"/>
      <c r="BM109" s="36" t="n"/>
      <c r="BN109" s="36" t="n"/>
      <c r="BO109" s="36" t="n"/>
      <c r="BP109" s="36" t="n"/>
      <c r="BQ109" s="36" t="n"/>
      <c r="BR109" s="36" t="n"/>
      <c r="BS109" s="36" t="n"/>
      <c r="BT109" s="36" t="n"/>
      <c r="BU109" s="36" t="n"/>
      <c r="BV109" s="36" t="n"/>
      <c r="BW109" s="36" t="n"/>
      <c r="BX109" s="36" t="n"/>
      <c r="BY109" s="276" t="n">
        <v>0</v>
      </c>
      <c r="BZ109" s="276" t="n">
        <v>0</v>
      </c>
      <c r="CA109" s="24" t="n"/>
      <c r="CB109" s="276" t="n">
        <v>0</v>
      </c>
      <c r="CC109" s="276" t="n">
        <v>0</v>
      </c>
      <c r="CD109" s="276" t="n">
        <v>0</v>
      </c>
      <c r="CE109" s="276" t="n">
        <v>0</v>
      </c>
      <c r="CF109" s="276" t="n">
        <v>0</v>
      </c>
      <c r="CG109" s="19" t="n"/>
    </row>
    <row r="110" ht="15" customHeight="1" s="251">
      <c r="B110" s="25" t="inlineStr">
        <is>
          <t xml:space="preserve">  Depreciation &amp; amortization of property, equipment &amp; intangibles (non-content D&amp;A)</t>
        </is>
      </c>
      <c r="C110" s="253" t="n">
        <v>15.903</v>
      </c>
      <c r="D110" s="253" t="n">
        <v>21.394</v>
      </c>
      <c r="E110" s="253" t="n">
        <v>32.454</v>
      </c>
      <c r="F110" s="253" t="n">
        <v>38.044</v>
      </c>
      <c r="G110" s="253" t="n">
        <v>38.099</v>
      </c>
      <c r="H110" s="253" t="n">
        <v>43.747</v>
      </c>
      <c r="I110" s="253" t="n">
        <v>45.469</v>
      </c>
      <c r="J110" s="253" t="n">
        <v>12.051</v>
      </c>
      <c r="K110" s="253" t="n">
        <v>12.026</v>
      </c>
      <c r="L110" s="253" t="n">
        <v>11.452</v>
      </c>
      <c r="M110" s="253" t="n">
        <v>12.845</v>
      </c>
      <c r="N110" s="253" t="n">
        <v>48.374</v>
      </c>
      <c r="O110" s="253" t="n">
        <v>12.382</v>
      </c>
      <c r="P110" s="253" t="n">
        <v>12.977</v>
      </c>
      <c r="Q110" s="253" t="n">
        <v>14.357</v>
      </c>
      <c r="R110" s="253" t="n">
        <v>14.312</v>
      </c>
      <c r="S110" s="253" t="n">
        <v>54.028</v>
      </c>
      <c r="T110" s="253" t="n">
        <v>15.167</v>
      </c>
      <c r="U110" s="253" t="n">
        <v>15.581</v>
      </c>
      <c r="V110" s="253" t="n">
        <v>16.047</v>
      </c>
      <c r="W110" s="253" t="n">
        <v>15.488</v>
      </c>
      <c r="X110" s="253" t="n">
        <v>62.283</v>
      </c>
      <c r="Y110" s="253" t="n">
        <v>14.798</v>
      </c>
      <c r="Z110" s="253" t="n">
        <v>14.131</v>
      </c>
      <c r="AA110" s="253" t="n">
        <v>14.41</v>
      </c>
      <c r="AB110" s="253" t="n">
        <v>14.189</v>
      </c>
      <c r="AC110" s="253" t="n">
        <v>57.528</v>
      </c>
      <c r="AD110" s="253" t="n">
        <v>15.049</v>
      </c>
      <c r="AE110" s="253" t="n">
        <v>18.551</v>
      </c>
      <c r="AF110" s="253" t="n">
        <v>19.238</v>
      </c>
      <c r="AG110" s="253" t="n">
        <v>19.073</v>
      </c>
      <c r="AH110" s="253" t="n">
        <v>71.911</v>
      </c>
      <c r="AI110" s="253" t="n">
        <v>19.041</v>
      </c>
      <c r="AJ110" s="253" t="n">
        <v>19.736</v>
      </c>
      <c r="AK110" s="253" t="n">
        <v>21.161</v>
      </c>
      <c r="AL110" s="253" t="n">
        <v>23.219</v>
      </c>
      <c r="AM110" s="253" t="n">
        <v>83.157</v>
      </c>
      <c r="AN110" s="253" t="n">
        <v>23.561</v>
      </c>
      <c r="AO110" s="253" t="n">
        <v>25.496</v>
      </c>
      <c r="AP110" s="253" t="n">
        <v>26.704</v>
      </c>
      <c r="AQ110" s="253" t="n">
        <v>27.818</v>
      </c>
      <c r="AR110" s="253" t="n">
        <v>103.579</v>
      </c>
      <c r="AS110" s="253" t="n">
        <v>28.517</v>
      </c>
      <c r="AT110" s="253" t="n">
        <v>26.661</v>
      </c>
      <c r="AU110" s="253" t="n">
        <v>28.589</v>
      </c>
      <c r="AV110" s="253" t="n">
        <v>31.943</v>
      </c>
      <c r="AW110" s="253" t="n">
        <v>115.71</v>
      </c>
      <c r="AX110" s="253" t="n">
        <v>35.741</v>
      </c>
      <c r="AY110" s="253" t="n">
        <v>38.434</v>
      </c>
      <c r="AZ110" s="253" t="n">
        <v>70.253</v>
      </c>
      <c r="BA110" s="253" t="n">
        <v>63.984</v>
      </c>
      <c r="BB110" s="253" t="n">
        <v>208.412</v>
      </c>
      <c r="BC110" s="253" t="n">
        <v>74.602</v>
      </c>
      <c r="BD110" s="253" t="n">
        <v>83.505</v>
      </c>
      <c r="BE110" s="253" t="n">
        <v>85.188</v>
      </c>
      <c r="BF110" s="253" t="n">
        <v>93.387</v>
      </c>
      <c r="BG110" s="253" t="n">
        <v>336.682</v>
      </c>
      <c r="BH110" s="253" t="n">
        <v>90.33499999999999</v>
      </c>
      <c r="BI110" s="253" t="n">
        <v>89.38500000000001</v>
      </c>
      <c r="BJ110" s="253" t="n">
        <v>90.66</v>
      </c>
      <c r="BK110" s="253" t="n">
        <v>86.56699999999999</v>
      </c>
      <c r="BL110" s="253" t="n">
        <v>356.947</v>
      </c>
      <c r="BM110" s="253" t="n">
        <v>87.23399999999999</v>
      </c>
      <c r="BN110" s="253" t="n">
        <v>81.227</v>
      </c>
      <c r="BO110" s="253" t="n">
        <v>80.914</v>
      </c>
      <c r="BP110" s="253" t="n">
        <v>79.539</v>
      </c>
      <c r="BQ110" s="253" t="n">
        <v>328.914</v>
      </c>
      <c r="BR110" s="253" t="n">
        <v>80.06699999999999</v>
      </c>
      <c r="BS110" s="253" t="n">
        <v>80.01300000000001</v>
      </c>
      <c r="BT110" s="253" t="n">
        <v>87.32599999999999</v>
      </c>
      <c r="BU110" s="253" t="n">
        <v>85.983</v>
      </c>
      <c r="BV110" s="253" t="n">
        <v>333.389</v>
      </c>
      <c r="BW110" s="253" t="n">
        <v>98.575</v>
      </c>
      <c r="BX110" s="253" t="n">
        <v>100.53</v>
      </c>
      <c r="BY110" s="254">
        <f>BT110*(1+IFERROR(SUM(BW110:BX110)/SUM(BR110:BS110)-1,0))</f>
        <v>108.614712831084</v>
      </c>
      <c r="BZ110" s="254">
        <f>BU110*(1+IFERROR(SUM(BW110:BX110)/SUM(BR110:BS110)-1,0))</f>
        <v>106.944310438531</v>
      </c>
      <c r="CA110" s="254">
        <f>SUM(BW110:BZ110)</f>
        <v>414.664023269615</v>
      </c>
      <c r="CB110" s="254">
        <f>CB121*CB111</f>
        <v>452.634538162795</v>
      </c>
      <c r="CC110" s="254">
        <f>CC121*CC111</f>
        <v>495.749696934653</v>
      </c>
      <c r="CD110" s="254">
        <f>CD121*CD111</f>
        <v>538.10911974089</v>
      </c>
      <c r="CE110" s="254">
        <f>CE121*CE111</f>
        <v>579.92144679407</v>
      </c>
      <c r="CF110" s="254">
        <f>CF121*CF111</f>
        <v>620.44803180492</v>
      </c>
      <c r="CG110" s="19" t="inlineStr">
        <is>
          <t>Cash-flow statement. Q3/Q4-26E: prior-year quarter × 1H-26 y/y; 2027E+: % of revenue (input). Inside cost of revenues and opex.</t>
        </is>
      </c>
      <c r="CI110" s="20">
        <f>IFERROR((CF110/CA110)^(1/5)-1,"n/m")</f>
        <v>0.0839314335455976</v>
      </c>
      <c r="CJ110" s="20">
        <f>IFERROR((BV110/AW110)^(1/5)-1,"n/m")</f>
        <v>0.235708615291581</v>
      </c>
      <c r="CK110" s="20">
        <f>IFERROR((BV110/X110)^(1/10)-1,"n/m")</f>
        <v>0.182655278021885</v>
      </c>
      <c r="CL110" s="20">
        <f>IFERROR((BV110/C110)^(1/19)-1,"n/m")</f>
        <v>0.173683958431593</v>
      </c>
    </row>
    <row r="111" ht="15" customHeight="1" s="251">
      <c r="B111" s="25" t="inlineStr">
        <is>
          <t xml:space="preserve">  Non-content D&amp;A % of revenue</t>
        </is>
      </c>
      <c r="C111" s="215">
        <f>IF(AND(ISNUMBER(C110),ISNUMBER(C121)),IFERROR(C110/C121,""),"")</f>
        <v>0.0159562940220336</v>
      </c>
      <c r="D111" s="215">
        <f>IF(AND(ISNUMBER(D110),ISNUMBER(D121)),IFERROR(D110/D121,""),"")</f>
        <v>0.0177493487314783</v>
      </c>
      <c r="E111" s="215">
        <f>IF(AND(ISNUMBER(E110),ISNUMBER(E121)),IFERROR(E110/E121,""),"")</f>
        <v>0.0237817304077716</v>
      </c>
      <c r="F111" s="215">
        <f>IF(AND(ISNUMBER(F110),ISNUMBER(F121)),IFERROR(F110/F121,""),"")</f>
        <v>0.0227771694260026</v>
      </c>
      <c r="G111" s="215">
        <f>IF(AND(ISNUMBER(G110),ISNUMBER(G121)),IFERROR(G110/G121,""),"")</f>
        <v>0.017617016357436</v>
      </c>
      <c r="H111" s="215">
        <f>IF(AND(ISNUMBER(H110),ISNUMBER(H121)),IFERROR(H110/H121,""),"")</f>
        <v>0.0136514117151811</v>
      </c>
      <c r="I111" s="215">
        <f>IF(AND(ISNUMBER(I110),ISNUMBER(I121)),IFERROR(I110/I121,""),"")</f>
        <v>0.0125977964592404</v>
      </c>
      <c r="J111" s="215">
        <f>IF(AND(ISNUMBER(J110),ISNUMBER(J121)),IFERROR(J110/J121,""),"")</f>
        <v>0.0117690029210097</v>
      </c>
      <c r="K111" s="215">
        <f>IF(AND(ISNUMBER(K110),ISNUMBER(K121)),IFERROR(K110/K121,""),"")</f>
        <v>0.0112458527060742</v>
      </c>
      <c r="L111" s="215">
        <f>IF(AND(ISNUMBER(L110),ISNUMBER(L121)),IFERROR(L110/L121,""),"")</f>
        <v>0.0103544397418081</v>
      </c>
      <c r="M111" s="215">
        <f>IF(AND(ISNUMBER(M110),ISNUMBER(M121)),IFERROR(M110/M121,""),"")</f>
        <v>0.0109297754482101</v>
      </c>
      <c r="N111" s="215">
        <f>IF(AND(ISNUMBER(N110),ISNUMBER(N121)),IFERROR(N110/N121,""),"")</f>
        <v>0.0110580213516233</v>
      </c>
      <c r="O111" s="215">
        <f>IF(AND(ISNUMBER(O110),ISNUMBER(O121)),IFERROR(O110/O121,""),"")</f>
        <v>0.00974892310696337</v>
      </c>
      <c r="P111" s="215">
        <f>IF(AND(ISNUMBER(P110),ISNUMBER(P121)),IFERROR(P110/P121,""),"")</f>
        <v>0.00968138781728236</v>
      </c>
      <c r="Q111" s="215">
        <f>IF(AND(ISNUMBER(Q110),ISNUMBER(Q121)),IFERROR(Q110/Q121,""),"")</f>
        <v>0.0101863729502381</v>
      </c>
      <c r="R111" s="215">
        <f>IF(AND(ISNUMBER(R110),ISNUMBER(R121)),IFERROR(R110/R121,""),"")</f>
        <v>0.00963947605217925</v>
      </c>
      <c r="S111" s="215">
        <f>IF(AND(ISNUMBER(S110),ISNUMBER(S121)),IFERROR(S110/S121,""),"")</f>
        <v>0.00981496391418465</v>
      </c>
      <c r="T111" s="215">
        <f>IF(AND(ISNUMBER(T110),ISNUMBER(T121)),IFERROR(T110/T121,""),"")</f>
        <v>0.0096412945155801</v>
      </c>
      <c r="U111" s="215">
        <f>IF(AND(ISNUMBER(U110),ISNUMBER(U121)),IFERROR(U110/U121,""),"")</f>
        <v>0.00947349476559165</v>
      </c>
      <c r="V111" s="215">
        <f>IF(AND(ISNUMBER(V110),ISNUMBER(V121)),IFERROR(V110/V121,""),"")</f>
        <v>0.00923114093496438</v>
      </c>
      <c r="W111" s="215">
        <f>IF(AND(ISNUMBER(W110),ISNUMBER(W121)),IFERROR(W110/W121,""),"")</f>
        <v>0.00849433427684356</v>
      </c>
      <c r="X111" s="215">
        <f>IF(AND(ISNUMBER(X110),ISNUMBER(X121)),IFERROR(X110/X121,""),"")</f>
        <v>0.00918694578414284</v>
      </c>
      <c r="Y111" s="215">
        <f>IF(AND(ISNUMBER(Y110),ISNUMBER(Y121)),IFERROR(Y110/Y121,""),"")</f>
        <v>0.00755873110572621</v>
      </c>
      <c r="Z111" s="215">
        <f>IF(AND(ISNUMBER(Z110),ISNUMBER(Z121)),IFERROR(Z110/Z121,""),"")</f>
        <v>0.00671241361882269</v>
      </c>
      <c r="AA111" s="215">
        <f>IF(AND(ISNUMBER(AA110),ISNUMBER(AA121)),IFERROR(AA110/AA121,""),"")</f>
        <v>0.00629205986582761</v>
      </c>
      <c r="AB111" s="215">
        <f>IF(AND(ISNUMBER(AB110),ISNUMBER(AB121)),IFERROR(AB110/AB121,""),"")</f>
        <v>0.00572704952208662</v>
      </c>
      <c r="AC111" s="215">
        <f>IF(AND(ISNUMBER(AC110),ISNUMBER(AC121)),IFERROR(AC110/AC121,""),"")</f>
        <v>0.00651456871500902</v>
      </c>
      <c r="AD111" s="215">
        <f>IF(AND(ISNUMBER(AD110),ISNUMBER(AD121)),IFERROR(AD110/AD121,""),"")</f>
        <v>0.00570765388459153</v>
      </c>
      <c r="AE111" s="215">
        <f>IF(AND(ISNUMBER(AE110),ISNUMBER(AE121)),IFERROR(AE110/AE121,""),"")</f>
        <v>0.00665993170258169</v>
      </c>
      <c r="AF111" s="215">
        <f>IF(AND(ISNUMBER(AF110),ISNUMBER(AF121)),IFERROR(AF110/AF121,""),"")</f>
        <v>0.00644519556870191</v>
      </c>
      <c r="AG111" s="215">
        <f>IF(AND(ISNUMBER(AG110),ISNUMBER(AG121)),IFERROR(AG110/AG121,""),"")</f>
        <v>0.00580475415848108</v>
      </c>
      <c r="AH111" s="215">
        <f>IF(AND(ISNUMBER(AH110),ISNUMBER(AH121)),IFERROR(AH110/AH121,""),"")</f>
        <v>0.00615006970580737</v>
      </c>
      <c r="AI111" s="215">
        <f>IF(AND(ISNUMBER(AI110),ISNUMBER(AI121)),IFERROR(AI110/AI121,""),"")</f>
        <v>0.00514502590751977</v>
      </c>
      <c r="AJ111" s="215">
        <f>IF(AND(ISNUMBER(AJ110),ISNUMBER(AJ121)),IFERROR(AJ110/AJ121,""),"")</f>
        <v>0.00505109705753634</v>
      </c>
      <c r="AK111" s="215">
        <f>IF(AND(ISNUMBER(AK110),ISNUMBER(AK121)),IFERROR(AK110/AK121,""),"")</f>
        <v>0.00529107805371541</v>
      </c>
      <c r="AL111" s="215">
        <f>IF(AND(ISNUMBER(AL110),ISNUMBER(AL121)),IFERROR(AL110/AL121,""),"")</f>
        <v>0.00554570856643469</v>
      </c>
      <c r="AM111" s="215">
        <f>IF(AND(ISNUMBER(AM110),ISNUMBER(AM121)),IFERROR(AM110/AM121,""),"")</f>
        <v>0.00526498699755818</v>
      </c>
      <c r="AN111" s="215">
        <f>IF(AND(ISNUMBER(AN110),ISNUMBER(AN121)),IFERROR(AN110/AN121,""),"")</f>
        <v>0.00521146686390951</v>
      </c>
      <c r="AO111" s="215">
        <f>IF(AND(ISNUMBER(AO110),ISNUMBER(AO121)),IFERROR(AO110/AO121,""),"")</f>
        <v>0.00517883389300597</v>
      </c>
      <c r="AP111" s="215">
        <f>IF(AND(ISNUMBER(AP110),ISNUMBER(AP121)),IFERROR(AP110/AP121,""),"")</f>
        <v>0.00509141728973165</v>
      </c>
      <c r="AQ111" s="215">
        <f>IF(AND(ISNUMBER(AQ110),ISNUMBER(AQ121)),IFERROR(AQ110/AQ121,""),"")</f>
        <v>0.0050879443629315</v>
      </c>
      <c r="AR111" s="215">
        <f>IF(AND(ISNUMBER(AR110),ISNUMBER(AR121)),IFERROR(AR110/AR121,""),"")</f>
        <v>0.005138752876437</v>
      </c>
      <c r="AS111" s="215">
        <f>IF(AND(ISNUMBER(AS110),ISNUMBER(AS121)),IFERROR(AS110/AS121,""),"")</f>
        <v>0.00494426625836925</v>
      </c>
      <c r="AT111" s="215">
        <f>IF(AND(ISNUMBER(AT110),ISNUMBER(AT121)),IFERROR(AT110/AT121,""),"")</f>
        <v>0.00433633048299965</v>
      </c>
      <c r="AU111" s="215">
        <f>IF(AND(ISNUMBER(AU110),ISNUMBER(AU121)),IFERROR(AU110/AU121,""),"")</f>
        <v>0.00444229530037198</v>
      </c>
      <c r="AV111" s="215">
        <f>IF(AND(ISNUMBER(AV110),ISNUMBER(AV121)),IFERROR(AV110/AV121,""),"")</f>
        <v>0.00480747668502487</v>
      </c>
      <c r="AW111" s="215">
        <f>IF(AND(ISNUMBER(AW110),ISNUMBER(AW121)),IFERROR(AW110/AW121,""),"")</f>
        <v>0.0046291302915948</v>
      </c>
      <c r="AX111" s="215">
        <f>IF(AND(ISNUMBER(AX110),ISNUMBER(AX121)),IFERROR(AX110/AX121,""),"")</f>
        <v>0.00498947270259638</v>
      </c>
      <c r="AY111" s="215">
        <f>IF(AND(ISNUMBER(AY110),ISNUMBER(AY121)),IFERROR(AY110/AY121,""),"")</f>
        <v>0.00523497240518202</v>
      </c>
      <c r="AZ111" s="215">
        <f>IF(AND(ISNUMBER(AZ110),ISNUMBER(AZ121)),IFERROR(AZ110/AZ121,""),"")</f>
        <v>0.00938776104711894</v>
      </c>
      <c r="BA111" s="215">
        <f>IF(AND(ISNUMBER(BA110),ISNUMBER(BA121)),IFERROR(BA110/BA121,""),"")</f>
        <v>0.00829956683587316</v>
      </c>
      <c r="BB111" s="215">
        <f>IF(AND(ISNUMBER(BB110),ISNUMBER(BB121)),IFERROR(BB110/BB121,""),"")</f>
        <v>0.00701774849379639</v>
      </c>
      <c r="BC111" s="215">
        <f>IF(AND(ISNUMBER(BC110),ISNUMBER(BC121)),IFERROR(BC110/BC121,""),"")</f>
        <v>0.00948197881304823</v>
      </c>
      <c r="BD111" s="215">
        <f>IF(AND(ISNUMBER(BD110),ISNUMBER(BD121)),IFERROR(BD110/BD121,""),"")</f>
        <v>0.0104772299511389</v>
      </c>
      <c r="BE111" s="215">
        <f>IF(AND(ISNUMBER(BE110),ISNUMBER(BE121)),IFERROR(BE110/BE121,""),"")</f>
        <v>0.0107484756022549</v>
      </c>
      <c r="BF111" s="215">
        <f>IF(AND(ISNUMBER(BF110),ISNUMBER(BF121)),IFERROR(BF110/BF121,""),"")</f>
        <v>0.0118933226762479</v>
      </c>
      <c r="BG111" s="215">
        <f>IF(AND(ISNUMBER(BG110),ISNUMBER(BG121)),IFERROR(BG110/BG121,""),"")</f>
        <v>0.0106492532946604</v>
      </c>
      <c r="BH111" s="215">
        <f>IF(AND(ISNUMBER(BH110),ISNUMBER(BH121)),IFERROR(BH110/BH121,""),"")</f>
        <v>0.0110684269796874</v>
      </c>
      <c r="BI111" s="215">
        <f>IF(AND(ISNUMBER(BI110),ISNUMBER(BI121)),IFERROR(BI110/BI121,""),"")</f>
        <v>0.0109175172624043</v>
      </c>
      <c r="BJ111" s="215">
        <f>IF(AND(ISNUMBER(BJ110),ISNUMBER(BJ121)),IFERROR(BJ110/BJ121,""),"")</f>
        <v>0.0106138520017402</v>
      </c>
      <c r="BK111" s="215">
        <f>IF(AND(ISNUMBER(BK110),ISNUMBER(BK121)),IFERROR(BK110/BK121,""),"")</f>
        <v>0.00980060173274122</v>
      </c>
      <c r="BL111" s="215">
        <f>IF(AND(ISNUMBER(BL110),ISNUMBER(BL121)),IFERROR(BL110/BL121,""),"")</f>
        <v>0.0105845819286293</v>
      </c>
      <c r="BM111" s="215">
        <f>IF(AND(ISNUMBER(BM110),ISNUMBER(BM121)),IFERROR(BM110/BM121,""),"")</f>
        <v>0.00930948813502888</v>
      </c>
      <c r="BN111" s="215">
        <f>IF(AND(ISNUMBER(BN110),ISNUMBER(BN121)),IFERROR(BN110/BN121,""),"")</f>
        <v>0.00849716140600106</v>
      </c>
      <c r="BO111" s="215">
        <f>IF(AND(ISNUMBER(BO110),ISNUMBER(BO121)),IFERROR(BO110/BO121,""),"")</f>
        <v>0.00823577058767069</v>
      </c>
      <c r="BP111" s="215">
        <f>IF(AND(ISNUMBER(BP110),ISNUMBER(BP121)),IFERROR(BP110/BP121,""),"")</f>
        <v>0.00776254321836121</v>
      </c>
      <c r="BQ111" s="215">
        <f>IF(AND(ISNUMBER(BQ110),ISNUMBER(BQ121)),IFERROR(BQ110/BQ121,""),"")</f>
        <v>0.00843348341679537</v>
      </c>
      <c r="BR111" s="215">
        <f>IF(AND(ISNUMBER(BR110),ISNUMBER(BR121)),IFERROR(BR110/BR121,""),"")</f>
        <v>0.0075944713364124</v>
      </c>
      <c r="BS111" s="215">
        <f>IF(AND(ISNUMBER(BS110),ISNUMBER(BS121)),IFERROR(BS110/BS121,""),"")</f>
        <v>0.00722193349210582</v>
      </c>
      <c r="BT111" s="215">
        <f>IF(AND(ISNUMBER(BT110),ISNUMBER(BT121)),IFERROR(BT110/BT121,""),"")</f>
        <v>0.00758676549635036</v>
      </c>
      <c r="BU111" s="215">
        <f>IF(AND(ISNUMBER(BU110),ISNUMBER(BU121)),IFERROR(BU110/BU121,""),"")</f>
        <v>0.00713506747540114</v>
      </c>
      <c r="BV111" s="215">
        <f>IF(AND(ISNUMBER(BV110),ISNUMBER(BV121)),IFERROR(BV110/BV121,""),"")</f>
        <v>0.00737863210431455</v>
      </c>
      <c r="BW111" s="215">
        <f>IF(AND(ISNUMBER(BW110),ISNUMBER(BW121)),IFERROR(BW110/BW121,""),"")</f>
        <v>0.00804709840366629</v>
      </c>
      <c r="BX111" s="215">
        <f>IF(AND(ISNUMBER(BX110),ISNUMBER(BX121)),IFERROR(BX110/BX121,""),"")</f>
        <v>0.00800402040201154</v>
      </c>
      <c r="BY111" s="256">
        <f>IF(AND(ISNUMBER(BY110),ISNUMBER(BY121)),IFERROR(BY110/BY121,""),"")</f>
        <v>0.00844593412372352</v>
      </c>
      <c r="BZ111" s="256">
        <f>IF(AND(ISNUMBER(BZ110),ISNUMBER(BZ121)),IFERROR(BZ110/BZ121,""),"")</f>
        <v>0.00790405762756499</v>
      </c>
      <c r="CA111" s="256">
        <f>IF(AND(ISNUMBER(CA110),ISNUMBER(CA121)),IFERROR(CA110/CA121,""),"")</f>
        <v>0.00809890670448467</v>
      </c>
      <c r="CB111" s="274" t="n">
        <v>0.008</v>
      </c>
      <c r="CC111" s="274" t="n">
        <v>0.008</v>
      </c>
      <c r="CD111" s="274" t="n">
        <v>0.008</v>
      </c>
      <c r="CE111" s="274" t="n">
        <v>0.008</v>
      </c>
      <c r="CF111" s="274" t="n">
        <v>0.008</v>
      </c>
      <c r="CG111" s="153" t="n"/>
      <c r="CI111" s="37">
        <f>IFERROR(AVERAGE(CB111,CC111,CD111,CE111,CF111),"n/m")</f>
        <v>0.008</v>
      </c>
      <c r="CJ111" s="37">
        <f>IFERROR(AVERAGE(BB111,BG111,BL111,BQ111,BV111),"n/m")</f>
        <v>0.00881273984763921</v>
      </c>
      <c r="CK111" s="37">
        <f>IFERROR(AVERAGE(AC111,AH111,AM111,AR111,AW111,BB111,BG111,BL111,BQ111,BV111),"n/m")</f>
        <v>0.00717612078246024</v>
      </c>
      <c r="CL111" s="37">
        <f>IFERROR(AVERAGE(C111,D111,E111,F111,G111,H111,I111,N111,S111,X111,AC111,AH111,AM111,AR111,AW111,BB111,BG111,BL111,BQ111,BV111),"n/m")</f>
        <v>0.0112975952996848</v>
      </c>
    </row>
    <row r="112" ht="15" customHeight="1" s="251">
      <c r="B112" s="25" t="inlineStr">
        <is>
          <t xml:space="preserve">  Stock-based compensation (cash-flow statement)</t>
        </is>
      </c>
      <c r="C112" s="253" t="n">
        <v>12.696</v>
      </c>
      <c r="D112" s="253" t="n">
        <v>11.976</v>
      </c>
      <c r="E112" s="253" t="n">
        <v>12.264</v>
      </c>
      <c r="F112" s="253" t="n">
        <v>12.618</v>
      </c>
      <c r="G112" s="253" t="n">
        <v>27.996</v>
      </c>
      <c r="H112" s="253" t="n">
        <v>61.582</v>
      </c>
      <c r="I112" s="253" t="n">
        <v>73.94799999999999</v>
      </c>
      <c r="J112" s="253" t="n">
        <v>17.746</v>
      </c>
      <c r="K112" s="253" t="n">
        <v>17.955</v>
      </c>
      <c r="L112" s="253" t="n">
        <v>18.477</v>
      </c>
      <c r="M112" s="253" t="n">
        <v>18.922</v>
      </c>
      <c r="N112" s="253" t="n">
        <v>73.09999999999999</v>
      </c>
      <c r="O112" s="253" t="n">
        <v>25.825</v>
      </c>
      <c r="P112" s="253" t="n">
        <v>29.285</v>
      </c>
      <c r="Q112" s="253" t="n">
        <v>29.878</v>
      </c>
      <c r="R112" s="253" t="n">
        <v>30.251</v>
      </c>
      <c r="S112" s="253" t="n">
        <v>115.239</v>
      </c>
      <c r="T112" s="253" t="n">
        <v>27.441</v>
      </c>
      <c r="U112" s="253" t="n">
        <v>28.59</v>
      </c>
      <c r="V112" s="253" t="n">
        <v>32.834</v>
      </c>
      <c r="W112" s="253" t="n">
        <v>35.86</v>
      </c>
      <c r="X112" s="253" t="n">
        <v>124.725</v>
      </c>
      <c r="Y112" s="253" t="n">
        <v>42.422</v>
      </c>
      <c r="Z112" s="253" t="n">
        <v>44.112</v>
      </c>
      <c r="AA112" s="253" t="n">
        <v>43.495</v>
      </c>
      <c r="AB112" s="253" t="n">
        <v>43.646</v>
      </c>
      <c r="AC112" s="253" t="n">
        <v>173.675</v>
      </c>
      <c r="AD112" s="253" t="n">
        <v>44.888</v>
      </c>
      <c r="AE112" s="253" t="n">
        <v>44.028</v>
      </c>
      <c r="AF112" s="253" t="n">
        <v>44.763</v>
      </c>
      <c r="AG112" s="253" t="n">
        <v>48.53</v>
      </c>
      <c r="AH112" s="253" t="n">
        <v>182.209</v>
      </c>
      <c r="AI112" s="253" t="n">
        <v>68.395</v>
      </c>
      <c r="AJ112" s="253" t="n">
        <v>81.232</v>
      </c>
      <c r="AK112" s="253" t="n">
        <v>82.316</v>
      </c>
      <c r="AL112" s="253" t="n">
        <v>88.714</v>
      </c>
      <c r="AM112" s="253" t="n">
        <v>320.657</v>
      </c>
      <c r="AN112" s="253" t="n">
        <v>101.2</v>
      </c>
      <c r="AO112" s="253" t="n">
        <v>103.848</v>
      </c>
      <c r="AP112" s="253" t="n">
        <v>100.262</v>
      </c>
      <c r="AQ112" s="253" t="n">
        <v>100.066</v>
      </c>
      <c r="AR112" s="253" t="n">
        <v>405.376</v>
      </c>
      <c r="AS112" s="253" t="n">
        <v>97.01900000000001</v>
      </c>
      <c r="AT112" s="253" t="n">
        <v>104.21</v>
      </c>
      <c r="AU112" s="253" t="n">
        <v>106.357</v>
      </c>
      <c r="AV112" s="253" t="n">
        <v>107.594</v>
      </c>
      <c r="AW112" s="253" t="n">
        <v>415.18</v>
      </c>
      <c r="AX112" s="253" t="n">
        <v>107.23</v>
      </c>
      <c r="AY112" s="253" t="n">
        <v>101.583</v>
      </c>
      <c r="AZ112" s="253" t="n">
        <v>95.078</v>
      </c>
      <c r="BA112" s="253" t="n">
        <v>99.32899999999999</v>
      </c>
      <c r="BB112" s="253" t="n">
        <v>403.22</v>
      </c>
      <c r="BC112" s="253" t="n">
        <v>119.209</v>
      </c>
      <c r="BD112" s="253" t="n">
        <v>150.392</v>
      </c>
      <c r="BE112" s="253" t="n">
        <v>152.062</v>
      </c>
      <c r="BF112" s="253" t="n">
        <v>153.789</v>
      </c>
      <c r="BG112" s="253" t="n">
        <v>575.452</v>
      </c>
      <c r="BH112" s="253" t="n">
        <v>99.099</v>
      </c>
      <c r="BI112" s="253" t="n">
        <v>78.03</v>
      </c>
      <c r="BJ112" s="253" t="n">
        <v>79.72</v>
      </c>
      <c r="BK112" s="253" t="n">
        <v>82.51900000000001</v>
      </c>
      <c r="BL112" s="253" t="n">
        <v>339.368</v>
      </c>
      <c r="BM112" s="253" t="n">
        <v>76.345</v>
      </c>
      <c r="BN112" s="253" t="n">
        <v>68.76600000000001</v>
      </c>
      <c r="BO112" s="253" t="n">
        <v>65.65000000000001</v>
      </c>
      <c r="BP112" s="253" t="n">
        <v>61.827</v>
      </c>
      <c r="BQ112" s="253" t="n">
        <v>272.588</v>
      </c>
      <c r="BR112" s="253" t="n">
        <v>71.977</v>
      </c>
      <c r="BS112" s="253" t="n">
        <v>80.86199999999999</v>
      </c>
      <c r="BT112" s="253" t="n">
        <v>80.986</v>
      </c>
      <c r="BU112" s="253" t="n">
        <v>134.624</v>
      </c>
      <c r="BV112" s="253" t="n">
        <v>368.449</v>
      </c>
      <c r="BW112" s="253" t="n">
        <v>140.405</v>
      </c>
      <c r="BX112" s="253" t="n">
        <v>131.312</v>
      </c>
      <c r="BY112" s="254">
        <f>BT112*(1+IFERROR(SUM(BW112:BX112)/SUM(BR112:BS112)-1,0))</f>
        <v>143.976818495279</v>
      </c>
      <c r="BZ112" s="254">
        <f>BU112*(1+IFERROR(SUM(BW112:BX112)/SUM(BR112:BS112)-1,0))</f>
        <v>239.334393760755</v>
      </c>
      <c r="CA112" s="254">
        <f>SUM(BW112:BZ112)</f>
        <v>655.028212256034</v>
      </c>
      <c r="CB112" s="254">
        <f>CB121*CB113</f>
        <v>622.372489973843</v>
      </c>
      <c r="CC112" s="254">
        <f>CC121*CC113</f>
        <v>681.655833285147</v>
      </c>
      <c r="CD112" s="254">
        <f>CD121*CD113</f>
        <v>739.900039643723</v>
      </c>
      <c r="CE112" s="254">
        <f>CE121*CE113</f>
        <v>797.391989341846</v>
      </c>
      <c r="CF112" s="254">
        <f>CF121*CF113</f>
        <v>853.116043731765</v>
      </c>
      <c r="CG112" s="19" t="inlineStr">
        <is>
          <t>Q3/Q4-26E: prior-year quarter × 1H-26 y/y; 2027E+: % of revenue. Expensed in operating costs; added back only in the company adjusted EBITDA.</t>
        </is>
      </c>
      <c r="CI112" s="20">
        <f>IFERROR((CF112/CA112)^(1/5)-1,"n/m")</f>
        <v>0.05426459198607</v>
      </c>
      <c r="CJ112" s="20">
        <f>IFERROR((BV112/AW112)^(1/5)-1,"n/m")</f>
        <v>-0.0235990540009525</v>
      </c>
      <c r="CK112" s="20">
        <f>IFERROR((BV112/X112)^(1/10)-1,"n/m")</f>
        <v>0.114403293564495</v>
      </c>
      <c r="CL112" s="20">
        <f>IFERROR((BV112/C112)^(1/19)-1,"n/m")</f>
        <v>0.193946210598851</v>
      </c>
    </row>
    <row r="113" ht="15" customHeight="1" s="251">
      <c r="B113" s="25" t="inlineStr">
        <is>
          <t xml:space="preserve">  Stock-based compensation % of revenue</t>
        </is>
      </c>
      <c r="C113" s="215">
        <f>IF(AND(ISNUMBER(C112),ISNUMBER(C121)),IFERROR(C112/C121,""),"")</f>
        <v>0.0127385467461321</v>
      </c>
      <c r="D113" s="215">
        <f>IF(AND(ISNUMBER(D112),ISNUMBER(D121)),IFERROR(D112/D121,""),"")</f>
        <v>0.00993578575339738</v>
      </c>
      <c r="E113" s="215">
        <f>IF(AND(ISNUMBER(E112),ISNUMBER(E121)),IFERROR(E112/E121,""),"")</f>
        <v>0.00898684728295159</v>
      </c>
      <c r="F113" s="215">
        <f>IF(AND(ISNUMBER(F112),ISNUMBER(F121)),IFERROR(F112/F121,""),"")</f>
        <v>0.00755447176472772</v>
      </c>
      <c r="G113" s="215">
        <f>IF(AND(ISNUMBER(G112),ISNUMBER(G121)),IFERROR(G112/G121,""),"")</f>
        <v>0.0129453788798335</v>
      </c>
      <c r="H113" s="215">
        <f>IF(AND(ISNUMBER(H112),ISNUMBER(H121)),IFERROR(H112/H121,""),"")</f>
        <v>0.0192168888436758</v>
      </c>
      <c r="I113" s="215">
        <f>IF(AND(ISNUMBER(I112),ISNUMBER(I121)),IFERROR(I112/I121,""),"")</f>
        <v>0.0204882854817108</v>
      </c>
      <c r="J113" s="215">
        <f>IF(AND(ISNUMBER(J112),ISNUMBER(J121)),IFERROR(J112/J121,""),"")</f>
        <v>0.0173307381824112</v>
      </c>
      <c r="K113" s="215">
        <f>IF(AND(ISNUMBER(K112),ISNUMBER(K121)),IFERROR(K112/K121,""),"")</f>
        <v>0.0167902282835159</v>
      </c>
      <c r="L113" s="215">
        <f>IF(AND(ISNUMBER(L112),ISNUMBER(L121)),IFERROR(L112/L121,""),"")</f>
        <v>0.0167061633871278</v>
      </c>
      <c r="M113" s="215">
        <f>IF(AND(ISNUMBER(M112),ISNUMBER(M121)),IFERROR(M112/M121,""),"")</f>
        <v>0.0161006781651251</v>
      </c>
      <c r="N113" s="215">
        <f>IF(AND(ISNUMBER(N112),ISNUMBER(N121)),IFERROR(N112/N121,""),"")</f>
        <v>0.0167102443627499</v>
      </c>
      <c r="O113" s="215">
        <f>IF(AND(ISNUMBER(O112),ISNUMBER(O121)),IFERROR(O112/O121,""),"")</f>
        <v>0.0203332207427983</v>
      </c>
      <c r="P113" s="215">
        <f>IF(AND(ISNUMBER(P112),ISNUMBER(P121)),IFERROR(P112/P121,""),"")</f>
        <v>0.0218478417376215</v>
      </c>
      <c r="Q113" s="215">
        <f>IF(AND(ISNUMBER(Q112),ISNUMBER(Q121)),IFERROR(Q112/Q121,""),"")</f>
        <v>0.0211986105040896</v>
      </c>
      <c r="R113" s="215">
        <f>IF(AND(ISNUMBER(R112),ISNUMBER(R121)),IFERROR(R112/R121,""),"")</f>
        <v>0.0203747757164949</v>
      </c>
      <c r="S113" s="215">
        <f>IF(AND(ISNUMBER(S112),ISNUMBER(S121)),IFERROR(S112/S121,""),"")</f>
        <v>0.0209348231751448</v>
      </c>
      <c r="T113" s="215">
        <f>IF(AND(ISNUMBER(T112),ISNUMBER(T121)),IFERROR(T112/T121,""),"")</f>
        <v>0.0174435790071889</v>
      </c>
      <c r="U113" s="215">
        <f>IF(AND(ISNUMBER(U112),ISNUMBER(U121)),IFERROR(U112/U121,""),"")</f>
        <v>0.017383172796885</v>
      </c>
      <c r="V113" s="215">
        <f>IF(AND(ISNUMBER(V112),ISNUMBER(V121)),IFERROR(V112/V121,""),"")</f>
        <v>0.0188879716743703</v>
      </c>
      <c r="W113" s="215">
        <f>IF(AND(ISNUMBER(W112),ISNUMBER(W121)),IFERROR(W112/W121,""),"")</f>
        <v>0.019667279646669</v>
      </c>
      <c r="X113" s="215">
        <f>IF(AND(ISNUMBER(X112),ISNUMBER(X121)),IFERROR(X112/X121,""),"")</f>
        <v>0.0183973445872424</v>
      </c>
      <c r="Y113" s="215">
        <f>IF(AND(ISNUMBER(Y112),ISNUMBER(Y121)),IFERROR(Y112/Y121,""),"")</f>
        <v>0.0216689073501228</v>
      </c>
      <c r="Z113" s="215">
        <f>IF(AND(ISNUMBER(Z112),ISNUMBER(Z121)),IFERROR(Z112/Z121,""),"")</f>
        <v>0.0209537888014653</v>
      </c>
      <c r="AA113" s="215">
        <f>IF(AND(ISNUMBER(AA112),ISNUMBER(AA121)),IFERROR(AA112/AA121,""),"")</f>
        <v>0.0189918906220799</v>
      </c>
      <c r="AB113" s="215">
        <f>IF(AND(ISNUMBER(AB112),ISNUMBER(AB121)),IFERROR(AB112/AB121,""),"")</f>
        <v>0.0176166610360838</v>
      </c>
      <c r="AC113" s="215">
        <f>IF(AND(ISNUMBER(AC112),ISNUMBER(AC121)),IFERROR(AC112/AC121,""),"")</f>
        <v>0.0196672528434709</v>
      </c>
      <c r="AD113" s="215">
        <f>IF(AND(ISNUMBER(AD112),ISNUMBER(AD121)),IFERROR(AD112/AD121,""),"")</f>
        <v>0.0170247303855103</v>
      </c>
      <c r="AE113" s="215">
        <f>IF(AND(ISNUMBER(AE112),ISNUMBER(AE121)),IFERROR(AE112/AE121,""),"")</f>
        <v>0.0158063432160674</v>
      </c>
      <c r="AF113" s="215">
        <f>IF(AND(ISNUMBER(AF112),ISNUMBER(AF121)),IFERROR(AF112/AF121,""),"")</f>
        <v>0.0149966882857783</v>
      </c>
      <c r="AG113" s="215">
        <f>IF(AND(ISNUMBER(AG112),ISNUMBER(AG121)),IFERROR(AG112/AG121,""),"")</f>
        <v>0.0147698169827026</v>
      </c>
      <c r="AH113" s="215">
        <f>IF(AND(ISNUMBER(AH112),ISNUMBER(AH121)),IFERROR(AH112/AH121,""),"")</f>
        <v>0.0155831242928822</v>
      </c>
      <c r="AI113" s="215">
        <f>IF(AND(ISNUMBER(AI112),ISNUMBER(AI121)),IFERROR(AI112/AI121,""),"")</f>
        <v>0.018480859563301</v>
      </c>
      <c r="AJ113" s="215">
        <f>IF(AND(ISNUMBER(AJ112),ISNUMBER(AJ121)),IFERROR(AJ112/AJ121,""),"")</f>
        <v>0.0207899633247766</v>
      </c>
      <c r="AK113" s="215">
        <f>IF(AND(ISNUMBER(AK112),ISNUMBER(AK121)),IFERROR(AK112/AK121,""),"")</f>
        <v>0.0205822211176049</v>
      </c>
      <c r="AL113" s="215">
        <f>IF(AND(ISNUMBER(AL112),ISNUMBER(AL121)),IFERROR(AL112/AL121,""),"")</f>
        <v>0.0211887673785558</v>
      </c>
      <c r="AM113" s="215">
        <f>IF(AND(ISNUMBER(AM112),ISNUMBER(AM121)),IFERROR(AM112/AM121,""),"")</f>
        <v>0.0203020182988325</v>
      </c>
      <c r="AN113" s="215">
        <f>IF(AND(ISNUMBER(AN112),ISNUMBER(AN121)),IFERROR(AN112/AN121,""),"")</f>
        <v>0.0223844678336082</v>
      </c>
      <c r="AO113" s="215">
        <f>IF(AND(ISNUMBER(AO112),ISNUMBER(AO121)),IFERROR(AO112/AO121,""),"")</f>
        <v>0.0210939575667118</v>
      </c>
      <c r="AP113" s="215">
        <f>IF(AND(ISNUMBER(AP112),ISNUMBER(AP121)),IFERROR(AP112/AP121,""),"")</f>
        <v>0.0191160755056574</v>
      </c>
      <c r="AQ113" s="215">
        <f>IF(AND(ISNUMBER(AQ112),ISNUMBER(AQ121)),IFERROR(AQ112/AQ121,""),"")</f>
        <v>0.0183021870954455</v>
      </c>
      <c r="AR113" s="215">
        <f>IF(AND(ISNUMBER(AR112),ISNUMBER(AR121)),IFERROR(AR112/AR121,""),"")</f>
        <v>0.0201114809569365</v>
      </c>
      <c r="AS113" s="215">
        <f>IF(AND(ISNUMBER(AS112),ISNUMBER(AS121)),IFERROR(AS112/AS121,""),"")</f>
        <v>0.0168211161104158</v>
      </c>
      <c r="AT113" s="215">
        <f>IF(AND(ISNUMBER(AT112),ISNUMBER(AT121)),IFERROR(AT112/AT121,""),"")</f>
        <v>0.0169494392420912</v>
      </c>
      <c r="AU113" s="215">
        <f>IF(AND(ISNUMBER(AU112),ISNUMBER(AU121)),IFERROR(AU112/AU121,""),"")</f>
        <v>0.0165262583952451</v>
      </c>
      <c r="AV113" s="215">
        <f>IF(AND(ISNUMBER(AV112),ISNUMBER(AV121)),IFERROR(AV112/AV121,""),"")</f>
        <v>0.0161930828803984</v>
      </c>
      <c r="AW113" s="215">
        <f>IF(AND(ISNUMBER(AW112),ISNUMBER(AW121)),IFERROR(AW112/AW121,""),"")</f>
        <v>0.0166098203652608</v>
      </c>
      <c r="AX113" s="215">
        <f>IF(AND(ISNUMBER(AX112),ISNUMBER(AX121)),IFERROR(AX112/AX121,""),"")</f>
        <v>0.014969395313489</v>
      </c>
      <c r="AY113" s="215">
        <f>IF(AND(ISNUMBER(AY112),ISNUMBER(AY121)),IFERROR(AY112/AY121,""),"")</f>
        <v>0.0138362960356873</v>
      </c>
      <c r="AZ113" s="215">
        <f>IF(AND(ISNUMBER(AZ112),ISNUMBER(AZ121)),IFERROR(AZ112/AZ121,""),"")</f>
        <v>0.0127050737311997</v>
      </c>
      <c r="BA113" s="215">
        <f>IF(AND(ISNUMBER(BA112),ISNUMBER(BA121)),IFERROR(BA112/BA121,""),"")</f>
        <v>0.0128842784796269</v>
      </c>
      <c r="BB113" s="215">
        <f>IF(AND(ISNUMBER(BB112),ISNUMBER(BB121)),IFERROR(BB112/BB121,""),"")</f>
        <v>0.0135774165963024</v>
      </c>
      <c r="BC113" s="215">
        <f>IF(AND(ISNUMBER(BC112),ISNUMBER(BC121)),IFERROR(BC112/BC121,""),"")</f>
        <v>0.015151567147324</v>
      </c>
      <c r="BD113" s="215">
        <f>IF(AND(ISNUMBER(BD112),ISNUMBER(BD121)),IFERROR(BD112/BD121,""),"")</f>
        <v>0.0188694277805123</v>
      </c>
      <c r="BE113" s="215">
        <f>IF(AND(ISNUMBER(BE112),ISNUMBER(BE121)),IFERROR(BE112/BE121,""),"")</f>
        <v>0.0191862081165198</v>
      </c>
      <c r="BF113" s="215">
        <f>IF(AND(ISNUMBER(BF112),ISNUMBER(BF121)),IFERROR(BF112/BF121,""),"")</f>
        <v>0.0195858331572647</v>
      </c>
      <c r="BG113" s="215">
        <f>IF(AND(ISNUMBER(BG112),ISNUMBER(BG121)),IFERROR(BG112/BG121,""),"")</f>
        <v>0.0182015495539379</v>
      </c>
      <c r="BH113" s="215">
        <f>IF(AND(ISNUMBER(BH112),ISNUMBER(BH121)),IFERROR(BH112/BH121,""),"")</f>
        <v>0.0121422487990264</v>
      </c>
      <c r="BI113" s="215">
        <f>IF(AND(ISNUMBER(BI112),ISNUMBER(BI121)),IFERROR(BI112/BI121,""),"")</f>
        <v>0.00953061332422003</v>
      </c>
      <c r="BJ113" s="215">
        <f>IF(AND(ISNUMBER(BJ112),ISNUMBER(BJ121)),IFERROR(BJ112/BJ121,""),"")</f>
        <v>0.00933307171386198</v>
      </c>
      <c r="BK113" s="215">
        <f>IF(AND(ISNUMBER(BK112),ISNUMBER(BK121)),IFERROR(BK112/BK121,""),"")</f>
        <v>0.00934231120847521</v>
      </c>
      <c r="BL113" s="215">
        <f>IF(AND(ISNUMBER(BL112),ISNUMBER(BL121)),IFERROR(BL112/BL121,""),"")</f>
        <v>0.0100633102392094</v>
      </c>
      <c r="BM113" s="215">
        <f>IF(AND(ISNUMBER(BM112),ISNUMBER(BM121)),IFERROR(BM112/BM121,""),"")</f>
        <v>0.00814742957641263</v>
      </c>
      <c r="BN113" s="215">
        <f>IF(AND(ISNUMBER(BN112),ISNUMBER(BN121)),IFERROR(BN112/BN121,""),"")</f>
        <v>0.00719361543877121</v>
      </c>
      <c r="BO113" s="215">
        <f>IF(AND(ISNUMBER(BO112),ISNUMBER(BO121)),IFERROR(BO112/BO121,""),"")</f>
        <v>0.0066821358365744</v>
      </c>
      <c r="BP113" s="215">
        <f>IF(AND(ISNUMBER(BP112),ISNUMBER(BP121)),IFERROR(BP112/BP121,""),"")</f>
        <v>0.00603395516113628</v>
      </c>
      <c r="BQ113" s="215">
        <f>IF(AND(ISNUMBER(BQ112),ISNUMBER(BQ121)),IFERROR(BQ112/BQ121,""),"")</f>
        <v>0.00698926277877322</v>
      </c>
      <c r="BR113" s="215">
        <f>IF(AND(ISNUMBER(BR112),ISNUMBER(BR121)),IFERROR(BR112/BR121,""),"")</f>
        <v>0.00682712307668522</v>
      </c>
      <c r="BS113" s="215">
        <f>IF(AND(ISNUMBER(BS112),ISNUMBER(BS121)),IFERROR(BS112/BS121,""),"")</f>
        <v>0.00729856380886431</v>
      </c>
      <c r="BT113" s="215">
        <f>IF(AND(ISNUMBER(BT112),ISNUMBER(BT121)),IFERROR(BT112/BT121,""),"")</f>
        <v>0.00703595481858129</v>
      </c>
      <c r="BU113" s="215">
        <f>IF(AND(ISNUMBER(BU112),ISNUMBER(BU121)),IFERROR(BU112/BU121,""),"")</f>
        <v>0.0111714097415583</v>
      </c>
      <c r="BV113" s="215">
        <f>IF(AND(ISNUMBER(BV112),ISNUMBER(BV121)),IFERROR(BV112/BV121,""),"")</f>
        <v>0.00815458704457133</v>
      </c>
      <c r="BW113" s="215">
        <f>IF(AND(ISNUMBER(BW112),ISNUMBER(BW121)),IFERROR(BW112/BW121,""),"")</f>
        <v>0.0114618600189375</v>
      </c>
      <c r="BX113" s="215">
        <f>IF(AND(ISNUMBER(BX112),ISNUMBER(BX121)),IFERROR(BX112/BX121,""),"")</f>
        <v>0.0104548286782944</v>
      </c>
      <c r="BY113" s="256">
        <f>IF(AND(ISNUMBER(BY112),ISNUMBER(BY121)),IFERROR(BY112/BY121,""),"")</f>
        <v>0.0111957090587309</v>
      </c>
      <c r="BZ113" s="256">
        <f>IF(AND(ISNUMBER(BZ112),ISNUMBER(BZ121)),IFERROR(BZ112/BZ121,""),"")</f>
        <v>0.0176887656088133</v>
      </c>
      <c r="CA113" s="256">
        <f>IF(AND(ISNUMBER(CA112),ISNUMBER(CA121)),IFERROR(CA112/CA121,""),"")</f>
        <v>0.0127935197706257</v>
      </c>
      <c r="CB113" s="274" t="n">
        <v>0.011</v>
      </c>
      <c r="CC113" s="274" t="n">
        <v>0.011</v>
      </c>
      <c r="CD113" s="274" t="n">
        <v>0.011</v>
      </c>
      <c r="CE113" s="274" t="n">
        <v>0.011</v>
      </c>
      <c r="CF113" s="274" t="n">
        <v>0.011</v>
      </c>
      <c r="CG113" s="153" t="n"/>
      <c r="CI113" s="37">
        <f>IFERROR(AVERAGE(CB113,CC113,CD113,CE113,CF113),"n/m")</f>
        <v>0.011</v>
      </c>
      <c r="CJ113" s="37">
        <f>IFERROR(AVERAGE(BB113,BG113,BL113,BQ113,BV113),"n/m")</f>
        <v>0.0113972252425588</v>
      </c>
      <c r="CK113" s="37">
        <f>IFERROR(AVERAGE(AC113,AH113,AM113,AR113,AW113,BB113,BG113,BL113,BQ113,BV113),"n/m")</f>
        <v>0.0149259822970177</v>
      </c>
      <c r="CL113" s="37">
        <f>IFERROR(AVERAGE(C113,D113,E113,F113,G113,H113,I113,N113,S113,X113,AC113,AH113,AM113,AR113,AW113,BB113,BG113,BL113,BQ113,BV113),"n/m")</f>
        <v>0.0148584219923872</v>
      </c>
    </row>
    <row r="114" ht="15" customHeight="1" s="251">
      <c r="B114" s="25" t="inlineStr">
        <is>
          <t xml:space="preserve">  Adjusting items quantified by the company (pre-tax; model adjusted measures):</t>
        </is>
      </c>
      <c r="CG114" s="153" t="n"/>
    </row>
    <row r="115" ht="15" customHeight="1" s="251">
      <c r="B115" s="25" t="inlineStr">
        <is>
          <t xml:space="preserve">  Restructuring: severance and real-estate lease impairment (Q2-22, ~$150m)</t>
        </is>
      </c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  <c r="AA115" s="34" t="n"/>
      <c r="AB115" s="34" t="n"/>
      <c r="AC115" s="34" t="n"/>
      <c r="AD115" s="34" t="n"/>
      <c r="AE115" s="34" t="n"/>
      <c r="AF115" s="34" t="n"/>
      <c r="AG115" s="34" t="n"/>
      <c r="AH115" s="34" t="n"/>
      <c r="AI115" s="34" t="n"/>
      <c r="AJ115" s="34" t="n"/>
      <c r="AK115" s="34" t="n"/>
      <c r="AL115" s="34" t="n"/>
      <c r="AM115" s="34" t="n"/>
      <c r="AN115" s="34" t="n"/>
      <c r="AO115" s="34" t="n"/>
      <c r="AP115" s="34" t="n"/>
      <c r="AQ115" s="34" t="n"/>
      <c r="AR115" s="34" t="n"/>
      <c r="AS115" s="34" t="n"/>
      <c r="AT115" s="34" t="n"/>
      <c r="AU115" s="34" t="n"/>
      <c r="AV115" s="34" t="n"/>
      <c r="AW115" s="34" t="n"/>
      <c r="AX115" s="34" t="n"/>
      <c r="AY115" s="34" t="n"/>
      <c r="AZ115" s="34" t="n"/>
      <c r="BA115" s="34" t="n"/>
      <c r="BB115" s="34" t="n"/>
      <c r="BC115" s="34" t="n"/>
      <c r="BD115" s="253" t="n">
        <v>150</v>
      </c>
      <c r="BE115" s="34" t="n"/>
      <c r="BF115" s="34" t="n"/>
      <c r="BG115" s="253" t="n">
        <v>150</v>
      </c>
      <c r="BH115" s="34" t="n"/>
      <c r="BI115" s="34" t="n"/>
      <c r="BJ115" s="34" t="n"/>
      <c r="BK115" s="34" t="n"/>
      <c r="BL115" s="34" t="n"/>
      <c r="BM115" s="34" t="n"/>
      <c r="BN115" s="34" t="n"/>
      <c r="BO115" s="34" t="n"/>
      <c r="BP115" s="34" t="n"/>
      <c r="BQ115" s="34" t="n"/>
      <c r="BR115" s="34" t="n"/>
      <c r="BS115" s="34" t="n"/>
      <c r="BT115" s="34" t="n"/>
      <c r="BU115" s="34" t="n"/>
      <c r="BV115" s="34" t="n"/>
      <c r="BW115" s="34" t="n"/>
      <c r="BX115" s="34" t="n"/>
      <c r="BY115" s="254">
        <f>0</f>
        <v>0</v>
      </c>
      <c r="BZ115" s="254">
        <f>0</f>
        <v>0</v>
      </c>
      <c r="CA115" s="254">
        <f>SUM(BW115:BZ115)</f>
        <v>0</v>
      </c>
      <c r="CB115" s="254">
        <f>0</f>
        <v>0</v>
      </c>
      <c r="CC115" s="254">
        <f>0</f>
        <v>0</v>
      </c>
      <c r="CD115" s="254">
        <f>0</f>
        <v>0</v>
      </c>
      <c r="CE115" s="254">
        <f>0</f>
        <v>0</v>
      </c>
      <c r="CF115" s="254">
        <f>0</f>
        <v>0</v>
      </c>
      <c r="CG115" s="19" t="inlineStr">
        <is>
          <t>Q2-22 letter (8-K 19-Jul-2022): 'approximately $70 million of severance costs and an $80m non-cash impairment of certain real estate leases'; Q3-22 letter: 'excluding the $150m of restructuring costs in Q2'.</t>
        </is>
      </c>
    </row>
    <row r="116" ht="15" customHeight="1" s="251">
      <c r="B116" s="25" t="inlineStr">
        <is>
          <t xml:space="preserve">  Brazilian non-income tax assessment expense (Q3-25, ~$619m; in cost of revenues)</t>
        </is>
      </c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  <c r="AA116" s="34" t="n"/>
      <c r="AB116" s="34" t="n"/>
      <c r="AC116" s="34" t="n"/>
      <c r="AD116" s="34" t="n"/>
      <c r="AE116" s="34" t="n"/>
      <c r="AF116" s="34" t="n"/>
      <c r="AG116" s="34" t="n"/>
      <c r="AH116" s="34" t="n"/>
      <c r="AI116" s="34" t="n"/>
      <c r="AJ116" s="34" t="n"/>
      <c r="AK116" s="34" t="n"/>
      <c r="AL116" s="34" t="n"/>
      <c r="AM116" s="34" t="n"/>
      <c r="AN116" s="34" t="n"/>
      <c r="AO116" s="34" t="n"/>
      <c r="AP116" s="34" t="n"/>
      <c r="AQ116" s="34" t="n"/>
      <c r="AR116" s="34" t="n"/>
      <c r="AS116" s="34" t="n"/>
      <c r="AT116" s="34" t="n"/>
      <c r="AU116" s="34" t="n"/>
      <c r="AV116" s="34" t="n"/>
      <c r="AW116" s="34" t="n"/>
      <c r="AX116" s="34" t="n"/>
      <c r="AY116" s="34" t="n"/>
      <c r="AZ116" s="34" t="n"/>
      <c r="BA116" s="34" t="n"/>
      <c r="BB116" s="34" t="n"/>
      <c r="BC116" s="34" t="n"/>
      <c r="BD116" s="34" t="n"/>
      <c r="BE116" s="34" t="n"/>
      <c r="BF116" s="34" t="n"/>
      <c r="BG116" s="34" t="n"/>
      <c r="BH116" s="34" t="n"/>
      <c r="BI116" s="34" t="n"/>
      <c r="BJ116" s="34" t="n"/>
      <c r="BK116" s="34" t="n"/>
      <c r="BL116" s="34" t="n"/>
      <c r="BM116" s="34" t="n"/>
      <c r="BN116" s="34" t="n"/>
      <c r="BO116" s="34" t="n"/>
      <c r="BP116" s="34" t="n"/>
      <c r="BQ116" s="34" t="n"/>
      <c r="BR116" s="34" t="n"/>
      <c r="BS116" s="34" t="n"/>
      <c r="BT116" s="253" t="n">
        <v>619</v>
      </c>
      <c r="BU116" s="34" t="n"/>
      <c r="BV116" s="253" t="n">
        <v>619</v>
      </c>
      <c r="BW116" s="34" t="n"/>
      <c r="BX116" s="34" t="n"/>
      <c r="BY116" s="254">
        <f>0</f>
        <v>0</v>
      </c>
      <c r="BZ116" s="254">
        <f>0</f>
        <v>0</v>
      </c>
      <c r="CA116" s="254">
        <f>SUM(BW116:BZ116)</f>
        <v>0</v>
      </c>
      <c r="CB116" s="254">
        <f>0</f>
        <v>0</v>
      </c>
      <c r="CC116" s="254">
        <f>0</f>
        <v>0</v>
      </c>
      <c r="CD116" s="254">
        <f>0</f>
        <v>0</v>
      </c>
      <c r="CE116" s="254">
        <f>0</f>
        <v>0</v>
      </c>
      <c r="CF116" s="254">
        <f>0</f>
        <v>0</v>
      </c>
      <c r="CG116" s="19" t="inlineStr">
        <is>
          <t>Q3-25 letter (8-K 21-Oct-2025): 'an expense in Q3'25 of approximately $619 million related to an ongoing dispute with Brazilian tax authorities regarding certain non-income tax assessments' (in cost of revenues); operating margin 28% vs 31.5% guidance.</t>
        </is>
      </c>
    </row>
    <row r="117" ht="15" customHeight="1" s="251">
      <c r="B117" s="25" t="inlineStr">
        <is>
          <t xml:space="preserve">  WBD termination fee received (Q1-26, $2.8bn; in interest and other income) — gain, negative</t>
        </is>
      </c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  <c r="AA117" s="34" t="n"/>
      <c r="AB117" s="34" t="n"/>
      <c r="AC117" s="34" t="n"/>
      <c r="AD117" s="34" t="n"/>
      <c r="AE117" s="34" t="n"/>
      <c r="AF117" s="34" t="n"/>
      <c r="AG117" s="34" t="n"/>
      <c r="AH117" s="34" t="n"/>
      <c r="AI117" s="34" t="n"/>
      <c r="AJ117" s="34" t="n"/>
      <c r="AK117" s="34" t="n"/>
      <c r="AL117" s="34" t="n"/>
      <c r="AM117" s="34" t="n"/>
      <c r="AN117" s="34" t="n"/>
      <c r="AO117" s="34" t="n"/>
      <c r="AP117" s="34" t="n"/>
      <c r="AQ117" s="34" t="n"/>
      <c r="AR117" s="34" t="n"/>
      <c r="AS117" s="34" t="n"/>
      <c r="AT117" s="34" t="n"/>
      <c r="AU117" s="34" t="n"/>
      <c r="AV117" s="34" t="n"/>
      <c r="AW117" s="34" t="n"/>
      <c r="AX117" s="34" t="n"/>
      <c r="AY117" s="34" t="n"/>
      <c r="AZ117" s="34" t="n"/>
      <c r="BA117" s="34" t="n"/>
      <c r="BB117" s="34" t="n"/>
      <c r="BC117" s="34" t="n"/>
      <c r="BD117" s="34" t="n"/>
      <c r="BE117" s="34" t="n"/>
      <c r="BF117" s="34" t="n"/>
      <c r="BG117" s="34" t="n"/>
      <c r="BH117" s="34" t="n"/>
      <c r="BI117" s="34" t="n"/>
      <c r="BJ117" s="34" t="n"/>
      <c r="BK117" s="34" t="n"/>
      <c r="BL117" s="34" t="n"/>
      <c r="BM117" s="34" t="n"/>
      <c r="BN117" s="34" t="n"/>
      <c r="BO117" s="34" t="n"/>
      <c r="BP117" s="34" t="n"/>
      <c r="BQ117" s="34" t="n"/>
      <c r="BR117" s="34" t="n"/>
      <c r="BS117" s="34" t="n"/>
      <c r="BT117" s="34" t="n"/>
      <c r="BU117" s="34" t="n"/>
      <c r="BV117" s="34" t="n"/>
      <c r="BW117" s="253" t="n">
        <v>-2800</v>
      </c>
      <c r="BX117" s="34" t="n"/>
      <c r="BY117" s="254">
        <f>0</f>
        <v>0</v>
      </c>
      <c r="BZ117" s="254">
        <f>0</f>
        <v>0</v>
      </c>
      <c r="CA117" s="254">
        <f>SUM(BW117:BZ117)</f>
        <v>-2800</v>
      </c>
      <c r="CB117" s="254">
        <f>0</f>
        <v>0</v>
      </c>
      <c r="CC117" s="254">
        <f>0</f>
        <v>0</v>
      </c>
      <c r="CD117" s="254">
        <f>0</f>
        <v>0</v>
      </c>
      <c r="CE117" s="254">
        <f>0</f>
        <v>0</v>
      </c>
      <c r="CF117" s="254">
        <f>0</f>
        <v>0</v>
      </c>
      <c r="CG117" s="19" t="inlineStr">
        <is>
          <t>Q2-26 10-Q Note 6: $2.8bn termination fee received in Q1-26, recorded in interest and other income (expense).</t>
        </is>
      </c>
    </row>
    <row r="118" ht="15" customHeight="1" s="251">
      <c r="B118" s="25" t="inlineStr">
        <is>
          <t xml:space="preserve">  Foreign-currency remeasurement loss / (gain) on euro debt (in interest and other income; cash-flow statement, from 2017)</t>
        </is>
      </c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253" t="n">
        <v>33.696</v>
      </c>
      <c r="U118" s="34" t="n"/>
      <c r="V118" s="34" t="n"/>
      <c r="W118" s="34" t="n"/>
      <c r="X118" s="253" t="n">
        <v>33.696</v>
      </c>
      <c r="Y118" s="34" t="n"/>
      <c r="Z118" s="34" t="n"/>
      <c r="AA118" s="34" t="n"/>
      <c r="AB118" s="34" t="n"/>
      <c r="AC118" s="34" t="n"/>
      <c r="AD118" s="253" t="n">
        <v>0</v>
      </c>
      <c r="AE118" s="253" t="n">
        <v>64.22</v>
      </c>
      <c r="AF118" s="253" t="n">
        <v>50.83</v>
      </c>
      <c r="AG118" s="253" t="n">
        <v>25.74</v>
      </c>
      <c r="AH118" s="253" t="n">
        <v>140.79</v>
      </c>
      <c r="AI118" s="253" t="n">
        <v>41.08</v>
      </c>
      <c r="AJ118" s="253" t="n">
        <v>-85.41</v>
      </c>
      <c r="AK118" s="253" t="n">
        <v>-7.67</v>
      </c>
      <c r="AL118" s="253" t="n">
        <v>-21.953</v>
      </c>
      <c r="AM118" s="253" t="n">
        <v>-73.953</v>
      </c>
      <c r="AN118" s="253" t="n">
        <v>-57.6</v>
      </c>
      <c r="AO118" s="253" t="n">
        <v>61.284</v>
      </c>
      <c r="AP118" s="253" t="n">
        <v>-171.36</v>
      </c>
      <c r="AQ118" s="253" t="n">
        <v>122.1</v>
      </c>
      <c r="AR118" s="253" t="n">
        <v>-45.576</v>
      </c>
      <c r="AS118" s="253" t="n">
        <v>-93.06</v>
      </c>
      <c r="AT118" s="253" t="n">
        <v>119.161</v>
      </c>
      <c r="AU118" s="253" t="n">
        <v>249.194</v>
      </c>
      <c r="AV118" s="253" t="n">
        <v>257.983</v>
      </c>
      <c r="AW118" s="253" t="n">
        <v>533.278</v>
      </c>
      <c r="AX118" s="253" t="n">
        <v>-253.33</v>
      </c>
      <c r="AY118" s="253" t="n">
        <v>63.074</v>
      </c>
      <c r="AZ118" s="253" t="n">
        <v>-136.488</v>
      </c>
      <c r="BA118" s="253" t="n">
        <v>-103.917</v>
      </c>
      <c r="BB118" s="253" t="n">
        <v>-430.661</v>
      </c>
      <c r="BC118" s="253" t="n">
        <v>-161.821</v>
      </c>
      <c r="BD118" s="253" t="n">
        <v>-304.513</v>
      </c>
      <c r="BE118" s="253" t="n">
        <v>-348.458</v>
      </c>
      <c r="BF118" s="253" t="n">
        <v>461.681</v>
      </c>
      <c r="BG118" s="253" t="n">
        <v>-353.111</v>
      </c>
      <c r="BH118" s="253" t="n">
        <v>80.651</v>
      </c>
      <c r="BI118" s="253" t="n">
        <v>28.952</v>
      </c>
      <c r="BJ118" s="253" t="n">
        <v>-172.678</v>
      </c>
      <c r="BK118" s="253" t="n">
        <v>239.371</v>
      </c>
      <c r="BL118" s="253" t="n">
        <v>176.296</v>
      </c>
      <c r="BM118" s="253" t="n">
        <v>-130.801</v>
      </c>
      <c r="BN118" s="253" t="n">
        <v>-42.692</v>
      </c>
      <c r="BO118" s="253" t="n">
        <v>104.809</v>
      </c>
      <c r="BP118" s="253" t="n">
        <v>-52.855</v>
      </c>
      <c r="BQ118" s="253" t="n">
        <v>-121.539</v>
      </c>
      <c r="BR118" s="253" t="n">
        <v>28.547</v>
      </c>
      <c r="BS118" s="253" t="n">
        <v>55.238</v>
      </c>
      <c r="BT118" s="253" t="n">
        <v>-1.707</v>
      </c>
      <c r="BU118" s="253" t="n">
        <v>-9.73</v>
      </c>
      <c r="BV118" s="253" t="n">
        <v>72.348</v>
      </c>
      <c r="BW118" s="253" t="n">
        <v>-10.11</v>
      </c>
      <c r="BX118" s="253" t="n">
        <v>-8.813000000000001</v>
      </c>
      <c r="BY118" s="254">
        <f>0</f>
        <v>0</v>
      </c>
      <c r="BZ118" s="254">
        <f>0</f>
        <v>0</v>
      </c>
      <c r="CA118" s="254">
        <f>SUM(BW118:BZ118)</f>
        <v>-18.923</v>
      </c>
      <c r="CB118" s="254">
        <f>0</f>
        <v>0</v>
      </c>
      <c r="CC118" s="254">
        <f>0</f>
        <v>0</v>
      </c>
      <c r="CD118" s="254">
        <f>0</f>
        <v>0</v>
      </c>
      <c r="CE118" s="254">
        <f>0</f>
        <v>0</v>
      </c>
      <c r="CF118" s="254">
        <f>0</f>
        <v>0</v>
      </c>
      <c r="CG118" s="19" t="n"/>
    </row>
    <row r="119" ht="15" customHeight="1" s="251">
      <c r="CO119" s="11" t="n"/>
      <c r="CP119" s="12" t="n"/>
      <c r="CQ119" s="12" t="n"/>
      <c r="CR119" s="12" t="n"/>
      <c r="CS119" s="13" t="n"/>
    </row>
    <row r="120" ht="15" customHeight="1" s="251">
      <c r="B120" s="10" t="inlineStr">
        <is>
          <t>CONSOLIDATED STATEMENTS OF OPERATIONS (US GAAP)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n"/>
      <c r="AN120" s="10" t="n"/>
      <c r="AO120" s="10" t="n"/>
      <c r="AP120" s="10" t="n"/>
      <c r="AQ120" s="10" t="n"/>
      <c r="AR120" s="10" t="n"/>
      <c r="AS120" s="10" t="n"/>
      <c r="AT120" s="10" t="n"/>
      <c r="AU120" s="10" t="n"/>
      <c r="AV120" s="10" t="n"/>
      <c r="AW120" s="10" t="n"/>
      <c r="AX120" s="10" t="n"/>
      <c r="AY120" s="10" t="n"/>
      <c r="AZ120" s="10" t="n"/>
      <c r="BA120" s="10" t="n"/>
      <c r="BB120" s="10" t="n"/>
      <c r="BC120" s="10" t="n"/>
      <c r="BD120" s="10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inlineStr">
        <is>
          <t>CONSOLIDATED IS — forecast logic (revenue from the regional build; content amortization and cost ratios from the cost drivers; operating income = the guidance / lever outcome)</t>
        </is>
      </c>
    </row>
    <row r="121" ht="15" customHeight="1" s="251">
      <c r="B121" s="55" t="inlineStr">
        <is>
          <t>Revenues</t>
        </is>
      </c>
      <c r="C121" s="277" t="n">
        <v>996.66</v>
      </c>
      <c r="D121" s="277" t="n">
        <v>1205.34</v>
      </c>
      <c r="E121" s="277" t="n">
        <v>1364.661</v>
      </c>
      <c r="F121" s="277" t="n">
        <v>1670.269</v>
      </c>
      <c r="G121" s="277" t="n">
        <v>2162.625</v>
      </c>
      <c r="H121" s="277" t="n">
        <v>3204.577</v>
      </c>
      <c r="I121" s="277" t="n">
        <v>3609.282</v>
      </c>
      <c r="J121" s="277" t="n">
        <v>1023.961</v>
      </c>
      <c r="K121" s="277" t="n">
        <v>1069.372</v>
      </c>
      <c r="L121" s="277" t="n">
        <v>1105.999</v>
      </c>
      <c r="M121" s="277" t="n">
        <v>1175.23</v>
      </c>
      <c r="N121" s="277" t="n">
        <v>4374.562</v>
      </c>
      <c r="O121" s="277" t="n">
        <v>1270.089</v>
      </c>
      <c r="P121" s="277" t="n">
        <v>1340.407</v>
      </c>
      <c r="Q121" s="277" t="n">
        <v>1409.432</v>
      </c>
      <c r="R121" s="277" t="n">
        <v>1484.728</v>
      </c>
      <c r="S121" s="277" t="n">
        <v>5504.656</v>
      </c>
      <c r="T121" s="277" t="n">
        <v>1573.129</v>
      </c>
      <c r="U121" s="277" t="n">
        <v>1644.694</v>
      </c>
      <c r="V121" s="277" t="n">
        <v>1738.355</v>
      </c>
      <c r="W121" s="277" t="n">
        <v>1823.333</v>
      </c>
      <c r="X121" s="277" t="n">
        <v>6779.511</v>
      </c>
      <c r="Y121" s="277" t="n">
        <v>1957.736</v>
      </c>
      <c r="Z121" s="277" t="n">
        <v>2105.204</v>
      </c>
      <c r="AA121" s="277" t="n">
        <v>2290.188</v>
      </c>
      <c r="AB121" s="277" t="n">
        <v>2477.541</v>
      </c>
      <c r="AC121" s="277" t="n">
        <v>8830.669</v>
      </c>
      <c r="AD121" s="277" t="n">
        <v>2636.635</v>
      </c>
      <c r="AE121" s="277" t="n">
        <v>2785.464</v>
      </c>
      <c r="AF121" s="277" t="n">
        <v>2984.859</v>
      </c>
      <c r="AG121" s="277" t="n">
        <v>3285.755</v>
      </c>
      <c r="AH121" s="277" t="n">
        <v>11692.713</v>
      </c>
      <c r="AI121" s="277" t="n">
        <v>3700.856</v>
      </c>
      <c r="AJ121" s="277" t="n">
        <v>3907.27</v>
      </c>
      <c r="AK121" s="277" t="n">
        <v>3999.374</v>
      </c>
      <c r="AL121" s="277" t="n">
        <v>4186.841</v>
      </c>
      <c r="AM121" s="277" t="n">
        <v>15794.341</v>
      </c>
      <c r="AN121" s="277" t="n">
        <v>4520.992</v>
      </c>
      <c r="AO121" s="277" t="n">
        <v>4923.116</v>
      </c>
      <c r="AP121" s="277" t="n">
        <v>5244.905</v>
      </c>
      <c r="AQ121" s="277" t="n">
        <v>5467.434</v>
      </c>
      <c r="AR121" s="277" t="n">
        <v>20156.447</v>
      </c>
      <c r="AS121" s="277" t="n">
        <v>5767.691</v>
      </c>
      <c r="AT121" s="277" t="n">
        <v>6148.286</v>
      </c>
      <c r="AU121" s="277" t="n">
        <v>6435.637</v>
      </c>
      <c r="AV121" s="277" t="n">
        <v>6644.442</v>
      </c>
      <c r="AW121" s="277" t="n">
        <v>24996.056</v>
      </c>
      <c r="AX121" s="277" t="n">
        <v>7163.282</v>
      </c>
      <c r="AY121" s="277" t="n">
        <v>7341.777</v>
      </c>
      <c r="AZ121" s="277" t="n">
        <v>7483.467</v>
      </c>
      <c r="BA121" s="277" t="n">
        <v>7709.318</v>
      </c>
      <c r="BB121" s="277" t="n">
        <v>29697.844</v>
      </c>
      <c r="BC121" s="277" t="n">
        <v>7867.767</v>
      </c>
      <c r="BD121" s="277" t="n">
        <v>7970.141</v>
      </c>
      <c r="BE121" s="277" t="n">
        <v>7925.589</v>
      </c>
      <c r="BF121" s="277" t="n">
        <v>7852.053</v>
      </c>
      <c r="BG121" s="277" t="n">
        <v>31615.55</v>
      </c>
      <c r="BH121" s="277" t="n">
        <v>8161.503</v>
      </c>
      <c r="BI121" s="277" t="n">
        <v>8187.301</v>
      </c>
      <c r="BJ121" s="277" t="n">
        <v>8541.668</v>
      </c>
      <c r="BK121" s="277" t="n">
        <v>8832.825000000001</v>
      </c>
      <c r="BL121" s="277" t="n">
        <v>33723.297</v>
      </c>
      <c r="BM121" s="277" t="n">
        <v>9370.440000000001</v>
      </c>
      <c r="BN121" s="277" t="n">
        <v>9559.309999999999</v>
      </c>
      <c r="BO121" s="277" t="n">
        <v>9824.703</v>
      </c>
      <c r="BP121" s="277" t="n">
        <v>10246.513</v>
      </c>
      <c r="BQ121" s="277" t="n">
        <v>39000.966</v>
      </c>
      <c r="BR121" s="277" t="n">
        <v>10542.801</v>
      </c>
      <c r="BS121" s="277" t="n">
        <v>11079.166</v>
      </c>
      <c r="BT121" s="277" t="n">
        <v>11510.307</v>
      </c>
      <c r="BU121" s="277" t="n">
        <v>12050.762</v>
      </c>
      <c r="BV121" s="277" t="n">
        <v>45183.036</v>
      </c>
      <c r="BW121" s="277" t="n">
        <v>12249.757</v>
      </c>
      <c r="BX121" s="277" t="n">
        <v>12559.938</v>
      </c>
      <c r="BY121" s="271">
        <f>BY71</f>
        <v>12860</v>
      </c>
      <c r="BZ121" s="271">
        <f>BZ71</f>
        <v>13530.305</v>
      </c>
      <c r="CA121" s="271">
        <f>SUM(BW121:BZ121)</f>
        <v>51200</v>
      </c>
      <c r="CB121" s="271">
        <f>CB71</f>
        <v>56579.3172703494</v>
      </c>
      <c r="CC121" s="271">
        <f>CC71</f>
        <v>61968.7121168316</v>
      </c>
      <c r="CD121" s="271">
        <f>CD71</f>
        <v>67263.6399676112</v>
      </c>
      <c r="CE121" s="271">
        <f>CE71</f>
        <v>72490.1808492587</v>
      </c>
      <c r="CF121" s="271">
        <f>CF71</f>
        <v>77556.003975615</v>
      </c>
      <c r="CG121" s="153" t="inlineStr">
        <is>
          <t>Forecast linked to the regional build.</t>
        </is>
      </c>
      <c r="CI121" s="20">
        <f>IFERROR((CF121/CA121)^(1/5)-1,"n/m")</f>
        <v>0.086598478675894</v>
      </c>
      <c r="CJ121" s="20">
        <f>IFERROR((BV121/AW121)^(1/5)-1,"n/m")</f>
        <v>0.125695121753926</v>
      </c>
      <c r="CK121" s="20">
        <f>IFERROR((BV121/X121)^(1/10)-1,"n/m")</f>
        <v>0.208864722267017</v>
      </c>
      <c r="CL121" s="20">
        <f>IFERROR((BV121/C121)^(1/19)-1,"n/m")</f>
        <v>0.222307400128183</v>
      </c>
    </row>
    <row r="122" ht="15" customHeight="1" s="251">
      <c r="B122" s="25" t="inlineStr">
        <is>
          <t>Cost of revenues</t>
        </is>
      </c>
      <c r="C122" s="253" t="n">
        <v>626.985</v>
      </c>
      <c r="D122" s="253" t="n">
        <v>786.168</v>
      </c>
      <c r="E122" s="253" t="n">
        <v>910.234</v>
      </c>
      <c r="F122" s="253" t="n">
        <v>1079.271</v>
      </c>
      <c r="G122" s="253" t="n">
        <v>1357.355</v>
      </c>
      <c r="H122" s="253" t="n">
        <v>2039.901</v>
      </c>
      <c r="I122" s="253" t="n">
        <v>2625.866</v>
      </c>
      <c r="J122" s="253" t="n">
        <v>726.8630000000001</v>
      </c>
      <c r="K122" s="253" t="n">
        <v>753.525</v>
      </c>
      <c r="L122" s="253" t="n">
        <v>791.019</v>
      </c>
      <c r="M122" s="253" t="n">
        <v>811.849</v>
      </c>
      <c r="N122" s="253" t="n">
        <v>3083.256</v>
      </c>
      <c r="O122" s="253" t="n">
        <v>869.186</v>
      </c>
      <c r="P122" s="253" t="n">
        <v>914.848</v>
      </c>
      <c r="Q122" s="253" t="n">
        <v>954.394</v>
      </c>
      <c r="R122" s="253" t="n">
        <v>1014.332</v>
      </c>
      <c r="S122" s="253" t="n">
        <v>3752.76</v>
      </c>
      <c r="T122" s="253" t="n">
        <v>1046.401</v>
      </c>
      <c r="U122" s="253" t="n">
        <v>1121.752</v>
      </c>
      <c r="V122" s="253" t="n">
        <v>1173.958</v>
      </c>
      <c r="W122" s="253" t="n">
        <v>1249.365</v>
      </c>
      <c r="X122" s="253" t="n">
        <v>4591.476</v>
      </c>
      <c r="Y122" s="253" t="n">
        <v>1369.54</v>
      </c>
      <c r="Z122" s="253" t="n">
        <v>1473.098</v>
      </c>
      <c r="AA122" s="253" t="n">
        <v>1532.844</v>
      </c>
      <c r="AB122" s="253" t="n">
        <v>1654.419</v>
      </c>
      <c r="AC122" s="253" t="n">
        <v>6029.901</v>
      </c>
      <c r="AD122" s="253" t="n">
        <v>1657.024</v>
      </c>
      <c r="AE122" s="253" t="n">
        <v>1902.308</v>
      </c>
      <c r="AF122" s="253" t="n">
        <v>1992.98</v>
      </c>
      <c r="AG122" s="253" t="n">
        <v>2107.354</v>
      </c>
      <c r="AH122" s="253" t="n">
        <v>7659.666</v>
      </c>
      <c r="AI122" s="253" t="n">
        <v>2300.579</v>
      </c>
      <c r="AJ122" s="253" t="n">
        <v>2402.431</v>
      </c>
      <c r="AK122" s="253" t="n">
        <v>2531.128</v>
      </c>
      <c r="AL122" s="253" t="n">
        <v>2733.4</v>
      </c>
      <c r="AM122" s="253" t="n">
        <v>9967.538</v>
      </c>
      <c r="AN122" s="253" t="n">
        <v>2870.614</v>
      </c>
      <c r="AO122" s="253" t="n">
        <v>3005.657</v>
      </c>
      <c r="AP122" s="253" t="n">
        <v>3097.919</v>
      </c>
      <c r="AQ122" s="253" t="n">
        <v>3466.023</v>
      </c>
      <c r="AR122" s="253" t="n">
        <v>12440.213</v>
      </c>
      <c r="AS122" s="253" t="n">
        <v>3599.701</v>
      </c>
      <c r="AT122" s="253" t="n">
        <v>3643.707</v>
      </c>
      <c r="AU122" s="253" t="n">
        <v>3867.751</v>
      </c>
      <c r="AV122" s="253" t="n">
        <v>4165.16</v>
      </c>
      <c r="AW122" s="253" t="n">
        <v>15276.319</v>
      </c>
      <c r="AX122" s="253" t="n">
        <v>3868.511</v>
      </c>
      <c r="AY122" s="253" t="n">
        <v>4018.008</v>
      </c>
      <c r="AZ122" s="253" t="n">
        <v>4206.589</v>
      </c>
      <c r="BA122" s="253" t="n">
        <v>5239.575</v>
      </c>
      <c r="BB122" s="253" t="n">
        <v>17332.683</v>
      </c>
      <c r="BC122" s="253" t="n">
        <v>4284.705</v>
      </c>
      <c r="BD122" s="253" t="n">
        <v>4690.755</v>
      </c>
      <c r="BE122" s="253" t="n">
        <v>4788.665</v>
      </c>
      <c r="BF122" s="253" t="n">
        <v>5404.16</v>
      </c>
      <c r="BG122" s="253" t="n">
        <v>19168.285</v>
      </c>
      <c r="BH122" s="253" t="n">
        <v>4803.625</v>
      </c>
      <c r="BI122" s="253" t="n">
        <v>4673.47</v>
      </c>
      <c r="BJ122" s="253" t="n">
        <v>4930.788</v>
      </c>
      <c r="BK122" s="253" t="n">
        <v>5307.485</v>
      </c>
      <c r="BL122" s="253" t="n">
        <v>19715.368</v>
      </c>
      <c r="BM122" s="253" t="n">
        <v>4977.073</v>
      </c>
      <c r="BN122" s="253" t="n">
        <v>5174.143</v>
      </c>
      <c r="BO122" s="253" t="n">
        <v>5119.884</v>
      </c>
      <c r="BP122" s="253" t="n">
        <v>5767.364</v>
      </c>
      <c r="BQ122" s="253" t="n">
        <v>21038.464</v>
      </c>
      <c r="BR122" s="253" t="n">
        <v>5263.147</v>
      </c>
      <c r="BS122" s="253" t="n">
        <v>5325.311</v>
      </c>
      <c r="BT122" s="253" t="n">
        <v>6164.25</v>
      </c>
      <c r="BU122" s="253" t="n">
        <v>6522.621</v>
      </c>
      <c r="BV122" s="253" t="n">
        <v>23275.329</v>
      </c>
      <c r="BW122" s="253" t="n">
        <v>5888.238</v>
      </c>
      <c r="BX122" s="253" t="n">
        <v>6036.965</v>
      </c>
      <c r="BY122" s="254">
        <f>BY123+BY124</f>
        <v>6103.46823024048</v>
      </c>
      <c r="BZ122" s="254">
        <f>BZ123+BZ124</f>
        <v>7024.49228085921</v>
      </c>
      <c r="CA122" s="254">
        <f>SUM(BW122:BZ122)</f>
        <v>25053.1635110997</v>
      </c>
      <c r="CB122" s="254">
        <f>CB123+CB124</f>
        <v>26931.7550206863</v>
      </c>
      <c r="CC122" s="254">
        <f>CC123+CC124</f>
        <v>28815.4511343267</v>
      </c>
      <c r="CD122" s="254">
        <f>CD123+CD124</f>
        <v>30470.4289053279</v>
      </c>
      <c r="CE122" s="254">
        <f>CE123+CE124</f>
        <v>32185.6402970709</v>
      </c>
      <c r="CF122" s="254">
        <f>CF123+CF124</f>
        <v>33891.9737373437</v>
      </c>
      <c r="CG122" s="19" t="inlineStr">
        <is>
          <t>2006–2011: subscription + fulfillment expenses (DVD era). Personnel costs reclassified into cost of revenues and marketing from Q4-2018 (2018 quarters recast).</t>
        </is>
      </c>
    </row>
    <row r="123" ht="15" customHeight="1" s="251">
      <c r="B123" s="25" t="inlineStr">
        <is>
          <t xml:space="preserve">  of which content amortization</t>
        </is>
      </c>
      <c r="C123" s="264">
        <f>C96</f>
        <v>141.16</v>
      </c>
      <c r="D123" s="264">
        <f>D96</f>
        <v>203.415</v>
      </c>
      <c r="E123" s="264">
        <f>E96</f>
        <v>209.757</v>
      </c>
      <c r="F123" s="264">
        <f>F96</f>
        <v>219.49</v>
      </c>
      <c r="G123" s="264">
        <f>G96</f>
        <v>300.596</v>
      </c>
      <c r="H123" s="264">
        <f>H96</f>
        <v>795.872</v>
      </c>
      <c r="I123" s="264">
        <f>I96</f>
        <v>1656.614</v>
      </c>
      <c r="J123" s="264">
        <f>J96</f>
        <v>503.977</v>
      </c>
      <c r="K123" s="264">
        <f>K96</f>
        <v>527.959</v>
      </c>
      <c r="L123" s="264">
        <f>L96</f>
        <v>570.94</v>
      </c>
      <c r="M123" s="264">
        <f>M96</f>
        <v>590.43</v>
      </c>
      <c r="N123" s="264">
        <f>N96</f>
        <v>2193.306</v>
      </c>
      <c r="O123" s="264">
        <f>O96</f>
        <v>616.856</v>
      </c>
      <c r="P123" s="264">
        <f>P96</f>
        <v>655.96</v>
      </c>
      <c r="Q123" s="264">
        <f>Q96</f>
        <v>704.423</v>
      </c>
      <c r="R123" s="264">
        <f>R96</f>
        <v>750.531</v>
      </c>
      <c r="S123" s="264">
        <f>S96</f>
        <v>2727.77</v>
      </c>
      <c r="T123" s="264">
        <f>T96</f>
        <v>770.703</v>
      </c>
      <c r="U123" s="264">
        <f>U96</f>
        <v>843.413</v>
      </c>
      <c r="V123" s="264">
        <f>V96</f>
        <v>889.992</v>
      </c>
      <c r="W123" s="264">
        <f>W96</f>
        <v>980.654</v>
      </c>
      <c r="X123" s="264">
        <f>X96</f>
        <v>3484.762</v>
      </c>
      <c r="Y123" s="264">
        <f>Y96</f>
        <v>1078.962</v>
      </c>
      <c r="Z123" s="264">
        <f>Z96</f>
        <v>1195.382</v>
      </c>
      <c r="AA123" s="264">
        <f>AA96</f>
        <v>1243.392</v>
      </c>
      <c r="AB123" s="264">
        <f>AB96</f>
        <v>1349.714</v>
      </c>
      <c r="AC123" s="264">
        <f>AC96</f>
        <v>4867.45</v>
      </c>
      <c r="AD123" s="264">
        <f>AD96</f>
        <v>1324.281</v>
      </c>
      <c r="AE123" s="264">
        <f>AE96</f>
        <v>1567.305</v>
      </c>
      <c r="AF123" s="264">
        <f>AF96</f>
        <v>1640.736</v>
      </c>
      <c r="AG123" s="264">
        <f>AG96</f>
        <v>1726.152</v>
      </c>
      <c r="AH123" s="264">
        <f>AH96</f>
        <v>6258.474</v>
      </c>
      <c r="AI123" s="264">
        <f>AI96</f>
        <v>1759.978</v>
      </c>
      <c r="AJ123" s="264">
        <f>AJ96</f>
        <v>1828.971</v>
      </c>
      <c r="AK123" s="264">
        <f>AK96</f>
        <v>1921.726</v>
      </c>
      <c r="AL123" s="264">
        <f>AL96</f>
        <v>2062.625</v>
      </c>
      <c r="AM123" s="264">
        <f>AM96</f>
        <v>7573.3</v>
      </c>
      <c r="AN123" s="264">
        <f>AN96</f>
        <v>2133.195</v>
      </c>
      <c r="AO123" s="264">
        <f>AO96</f>
        <v>2239.571</v>
      </c>
      <c r="AP123" s="264">
        <f>AP96</f>
        <v>2286.631</v>
      </c>
      <c r="AQ123" s="264">
        <f>AQ96</f>
        <v>2556.85</v>
      </c>
      <c r="AR123" s="264">
        <f>AR96</f>
        <v>9216.247</v>
      </c>
      <c r="AS123" s="264">
        <f>AS96</f>
        <v>2483.385</v>
      </c>
      <c r="AT123" s="264">
        <f>AT96</f>
        <v>2607.159</v>
      </c>
      <c r="AU123" s="264">
        <f>AU96</f>
        <v>2733.743</v>
      </c>
      <c r="AV123" s="264">
        <f>AV96</f>
        <v>2982.625</v>
      </c>
      <c r="AW123" s="264">
        <f>AW96</f>
        <v>10806.912</v>
      </c>
      <c r="AX123" s="264">
        <f>AX96</f>
        <v>2719.196</v>
      </c>
      <c r="AY123" s="264">
        <f>AY96</f>
        <v>2806.803</v>
      </c>
      <c r="AZ123" s="264">
        <f>AZ96</f>
        <v>2963.051</v>
      </c>
      <c r="BA123" s="264">
        <f>BA96</f>
        <v>3741.317</v>
      </c>
      <c r="BB123" s="264">
        <f>BB96</f>
        <v>12230.367</v>
      </c>
      <c r="BC123" s="264">
        <f>BC96</f>
        <v>3166.365</v>
      </c>
      <c r="BD123" s="264">
        <f>BD96</f>
        <v>3261.348</v>
      </c>
      <c r="BE123" s="264">
        <f>BE96</f>
        <v>3653.592</v>
      </c>
      <c r="BF123" s="264">
        <f>BF96</f>
        <v>3944.827</v>
      </c>
      <c r="BG123" s="264">
        <f>BG96</f>
        <v>14026.132</v>
      </c>
      <c r="BH123" s="264">
        <f>BH96</f>
        <v>3459.984</v>
      </c>
      <c r="BI123" s="264">
        <f>BI96</f>
        <v>3410.021</v>
      </c>
      <c r="BJ123" s="264">
        <f>BJ96</f>
        <v>3573.353</v>
      </c>
      <c r="BK123" s="264">
        <f>BK96</f>
        <v>3754.079</v>
      </c>
      <c r="BL123" s="264">
        <f>BL96</f>
        <v>14197.437</v>
      </c>
      <c r="BM123" s="264">
        <f>BM96</f>
        <v>3670.805</v>
      </c>
      <c r="BN123" s="264">
        <f>BN96</f>
        <v>3769.69</v>
      </c>
      <c r="BO123" s="264">
        <f>BO96</f>
        <v>3699.521</v>
      </c>
      <c r="BP123" s="264">
        <f>BP96</f>
        <v>4161.501</v>
      </c>
      <c r="BQ123" s="264">
        <f>BQ96</f>
        <v>15301.517</v>
      </c>
      <c r="BR123" s="264">
        <f>BR96</f>
        <v>3823.112</v>
      </c>
      <c r="BS123" s="264">
        <f>BS96</f>
        <v>3832.074</v>
      </c>
      <c r="BT123" s="264">
        <f>BT96</f>
        <v>4002.744</v>
      </c>
      <c r="BU123" s="264">
        <f>BU96</f>
        <v>4764.236</v>
      </c>
      <c r="BV123" s="264">
        <f>BV96</f>
        <v>16422.166</v>
      </c>
      <c r="BW123" s="264">
        <f>BW96</f>
        <v>4217.9</v>
      </c>
      <c r="BX123" s="264">
        <f>BX96</f>
        <v>4311.309</v>
      </c>
      <c r="BY123" s="254">
        <f>BY96</f>
        <v>4353.47849731132</v>
      </c>
      <c r="BZ123" s="254">
        <f>BZ96</f>
        <v>5181.69510268868</v>
      </c>
      <c r="CA123" s="254">
        <f>CA96</f>
        <v>18064.3826</v>
      </c>
      <c r="CB123" s="254">
        <f>CB96</f>
        <v>19509.533208</v>
      </c>
      <c r="CC123" s="254">
        <f>CC96</f>
        <v>20875.20053256</v>
      </c>
      <c r="CD123" s="254">
        <f>CD96</f>
        <v>22232.0885671764</v>
      </c>
      <c r="CE123" s="254">
        <f>CE96</f>
        <v>23566.013881207</v>
      </c>
      <c r="CF123" s="254">
        <f>CF96</f>
        <v>24862.1446446734</v>
      </c>
      <c r="CG123" s="19" t="n"/>
    </row>
    <row r="124" ht="15" customHeight="1" s="251">
      <c r="B124" s="25" t="inlineStr">
        <is>
          <t xml:space="preserve">  of which other cost of revenues (derived)</t>
        </is>
      </c>
      <c r="C124" s="264">
        <f>IF(ISNUMBER(C122),C122-C123,"")</f>
        <v>485.825</v>
      </c>
      <c r="D124" s="264">
        <f>IF(ISNUMBER(D122),D122-D123,"")</f>
        <v>582.753</v>
      </c>
      <c r="E124" s="264">
        <f>IF(ISNUMBER(E122),E122-E123,"")</f>
        <v>700.477</v>
      </c>
      <c r="F124" s="264">
        <f>IF(ISNUMBER(F122),F122-F123,"")</f>
        <v>859.781</v>
      </c>
      <c r="G124" s="264">
        <f>IF(ISNUMBER(G122),G122-G123,"")</f>
        <v>1056.759</v>
      </c>
      <c r="H124" s="264">
        <f>IF(ISNUMBER(H122),H122-H123,"")</f>
        <v>1244.029</v>
      </c>
      <c r="I124" s="264">
        <f>IF(ISNUMBER(I122),I122-I123,"")</f>
        <v>969.252</v>
      </c>
      <c r="J124" s="264">
        <f>IF(ISNUMBER(J122),J122-J123,"")</f>
        <v>222.886</v>
      </c>
      <c r="K124" s="264">
        <f>IF(ISNUMBER(K122),K122-K123,"")</f>
        <v>225.566</v>
      </c>
      <c r="L124" s="264">
        <f>IF(ISNUMBER(L122),L122-L123,"")</f>
        <v>220.079</v>
      </c>
      <c r="M124" s="264">
        <f>IF(ISNUMBER(M122),M122-M123,"")</f>
        <v>221.419</v>
      </c>
      <c r="N124" s="264">
        <f>IF(ISNUMBER(N122),N122-N123,"")</f>
        <v>889.95</v>
      </c>
      <c r="O124" s="264">
        <f>IF(ISNUMBER(O122),O122-O123,"")</f>
        <v>252.33</v>
      </c>
      <c r="P124" s="264">
        <f>IF(ISNUMBER(P122),P122-P123,"")</f>
        <v>258.888</v>
      </c>
      <c r="Q124" s="264">
        <f>IF(ISNUMBER(Q122),Q122-Q123,"")</f>
        <v>249.971</v>
      </c>
      <c r="R124" s="264">
        <f>IF(ISNUMBER(R122),R122-R123,"")</f>
        <v>263.801</v>
      </c>
      <c r="S124" s="264">
        <f>IF(ISNUMBER(S122),S122-S123,"")</f>
        <v>1024.99</v>
      </c>
      <c r="T124" s="264">
        <f>IF(ISNUMBER(T122),T122-T123,"")</f>
        <v>275.698</v>
      </c>
      <c r="U124" s="264">
        <f>IF(ISNUMBER(U122),U122-U123,"")</f>
        <v>278.339</v>
      </c>
      <c r="V124" s="264">
        <f>IF(ISNUMBER(V122),V122-V123,"")</f>
        <v>283.966</v>
      </c>
      <c r="W124" s="264">
        <f>IF(ISNUMBER(W122),W122-W123,"")</f>
        <v>268.711</v>
      </c>
      <c r="X124" s="264">
        <f>IF(ISNUMBER(X122),X122-X123,"")</f>
        <v>1106.714</v>
      </c>
      <c r="Y124" s="264">
        <f>IF(ISNUMBER(Y122),Y122-Y123,"")</f>
        <v>290.578</v>
      </c>
      <c r="Z124" s="264">
        <f>IF(ISNUMBER(Z122),Z122-Z123,"")</f>
        <v>277.716</v>
      </c>
      <c r="AA124" s="264">
        <f>IF(ISNUMBER(AA122),AA122-AA123,"")</f>
        <v>289.452</v>
      </c>
      <c r="AB124" s="264">
        <f>IF(ISNUMBER(AB122),AB122-AB123,"")</f>
        <v>304.705</v>
      </c>
      <c r="AC124" s="264">
        <f>IF(ISNUMBER(AC122),AC122-AC123,"")</f>
        <v>1162.451</v>
      </c>
      <c r="AD124" s="264">
        <f>IF(ISNUMBER(AD122),AD122-AD123,"")</f>
        <v>332.743</v>
      </c>
      <c r="AE124" s="264">
        <f>IF(ISNUMBER(AE122),AE122-AE123,"")</f>
        <v>335.003</v>
      </c>
      <c r="AF124" s="264">
        <f>IF(ISNUMBER(AF122),AF122-AF123,"")</f>
        <v>352.244</v>
      </c>
      <c r="AG124" s="264">
        <f>IF(ISNUMBER(AG122),AG122-AG123,"")</f>
        <v>381.202</v>
      </c>
      <c r="AH124" s="264">
        <f>IF(ISNUMBER(AH122),AH122-AH123,"")</f>
        <v>1401.192</v>
      </c>
      <c r="AI124" s="264">
        <f>IF(ISNUMBER(AI122),AI122-AI123,"")</f>
        <v>540.601</v>
      </c>
      <c r="AJ124" s="264">
        <f>IF(ISNUMBER(AJ122),AJ122-AJ123,"")</f>
        <v>573.46</v>
      </c>
      <c r="AK124" s="264">
        <f>IF(ISNUMBER(AK122),AK122-AK123,"")</f>
        <v>609.402</v>
      </c>
      <c r="AL124" s="264">
        <f>IF(ISNUMBER(AL122),AL122-AL123,"")</f>
        <v>670.775</v>
      </c>
      <c r="AM124" s="264">
        <f>IF(ISNUMBER(AM122),AM122-AM123,"")</f>
        <v>2394.238</v>
      </c>
      <c r="AN124" s="264">
        <f>IF(ISNUMBER(AN122),AN122-AN123,"")</f>
        <v>737.419</v>
      </c>
      <c r="AO124" s="264">
        <f>IF(ISNUMBER(AO122),AO122-AO123,"")</f>
        <v>766.086</v>
      </c>
      <c r="AP124" s="264">
        <f>IF(ISNUMBER(AP122),AP122-AP123,"")</f>
        <v>811.288</v>
      </c>
      <c r="AQ124" s="264">
        <f>IF(ISNUMBER(AQ122),AQ122-AQ123,"")</f>
        <v>909.173</v>
      </c>
      <c r="AR124" s="264">
        <f>IF(ISNUMBER(AR122),AR122-AR123,"")</f>
        <v>3223.966</v>
      </c>
      <c r="AS124" s="264">
        <f>IF(ISNUMBER(AS122),AS122-AS123,"")</f>
        <v>1116.316</v>
      </c>
      <c r="AT124" s="264">
        <f>IF(ISNUMBER(AT122),AT122-AT123,"")</f>
        <v>1036.548</v>
      </c>
      <c r="AU124" s="264">
        <f>IF(ISNUMBER(AU122),AU122-AU123,"")</f>
        <v>1134.008</v>
      </c>
      <c r="AV124" s="264">
        <f>IF(ISNUMBER(AV122),AV122-AV123,"")</f>
        <v>1182.535</v>
      </c>
      <c r="AW124" s="264">
        <f>IF(ISNUMBER(AW122),AW122-AW123,"")</f>
        <v>4469.407</v>
      </c>
      <c r="AX124" s="264">
        <f>IF(ISNUMBER(AX122),AX122-AX123,"")</f>
        <v>1149.315</v>
      </c>
      <c r="AY124" s="264">
        <f>IF(ISNUMBER(AY122),AY122-AY123,"")</f>
        <v>1211.205</v>
      </c>
      <c r="AZ124" s="264">
        <f>IF(ISNUMBER(AZ122),AZ122-AZ123,"")</f>
        <v>1243.538</v>
      </c>
      <c r="BA124" s="264">
        <f>IF(ISNUMBER(BA122),BA122-BA123,"")</f>
        <v>1498.258</v>
      </c>
      <c r="BB124" s="264">
        <f>IF(ISNUMBER(BB122),BB122-BB123,"")</f>
        <v>5102.316</v>
      </c>
      <c r="BC124" s="264">
        <f>IF(ISNUMBER(BC122),BC122-BC123,"")</f>
        <v>1118.34</v>
      </c>
      <c r="BD124" s="264">
        <f>IF(ISNUMBER(BD122),BD122-BD123,"")</f>
        <v>1429.407</v>
      </c>
      <c r="BE124" s="264">
        <f>IF(ISNUMBER(BE122),BE122-BE123,"")</f>
        <v>1135.073</v>
      </c>
      <c r="BF124" s="264">
        <f>IF(ISNUMBER(BF122),BF122-BF123,"")</f>
        <v>1459.333</v>
      </c>
      <c r="BG124" s="264">
        <f>IF(ISNUMBER(BG122),BG122-BG123,"")</f>
        <v>5142.153</v>
      </c>
      <c r="BH124" s="264">
        <f>IF(ISNUMBER(BH122),BH122-BH123,"")</f>
        <v>1343.641</v>
      </c>
      <c r="BI124" s="264">
        <f>IF(ISNUMBER(BI122),BI122-BI123,"")</f>
        <v>1263.449</v>
      </c>
      <c r="BJ124" s="264">
        <f>IF(ISNUMBER(BJ122),BJ122-BJ123,"")</f>
        <v>1357.435</v>
      </c>
      <c r="BK124" s="264">
        <f>IF(ISNUMBER(BK122),BK122-BK123,"")</f>
        <v>1553.406</v>
      </c>
      <c r="BL124" s="264">
        <f>IF(ISNUMBER(BL122),BL122-BL123,"")</f>
        <v>5517.931</v>
      </c>
      <c r="BM124" s="264">
        <f>IF(ISNUMBER(BM122),BM122-BM123,"")</f>
        <v>1306.268</v>
      </c>
      <c r="BN124" s="264">
        <f>IF(ISNUMBER(BN122),BN122-BN123,"")</f>
        <v>1404.453</v>
      </c>
      <c r="BO124" s="264">
        <f>IF(ISNUMBER(BO122),BO122-BO123,"")</f>
        <v>1420.363</v>
      </c>
      <c r="BP124" s="264">
        <f>IF(ISNUMBER(BP122),BP122-BP123,"")</f>
        <v>1605.863</v>
      </c>
      <c r="BQ124" s="264">
        <f>IF(ISNUMBER(BQ122),BQ122-BQ123,"")</f>
        <v>5736.947</v>
      </c>
      <c r="BR124" s="264">
        <f>IF(ISNUMBER(BR122),BR122-BR123,"")</f>
        <v>1440.035</v>
      </c>
      <c r="BS124" s="264">
        <f>IF(ISNUMBER(BS122),BS122-BS123,"")</f>
        <v>1493.237</v>
      </c>
      <c r="BT124" s="264">
        <f>IF(ISNUMBER(BT122),BT122-BT123,"")</f>
        <v>2161.506</v>
      </c>
      <c r="BU124" s="264">
        <f>IF(ISNUMBER(BU122),BU122-BU123,"")</f>
        <v>1758.385</v>
      </c>
      <c r="BV124" s="264">
        <f>IF(ISNUMBER(BV122),BV122-BV123,"")</f>
        <v>6853.163</v>
      </c>
      <c r="BW124" s="264">
        <f>IF(ISNUMBER(BW122),BW122-BW123,"")</f>
        <v>1670.338</v>
      </c>
      <c r="BX124" s="264">
        <f>IF(ISNUMBER(BX122),BX122-BX123,"")</f>
        <v>1725.656</v>
      </c>
      <c r="BY124" s="254">
        <f>BY107+N(BY109)</f>
        <v>1749.98973292915</v>
      </c>
      <c r="BZ124" s="254">
        <f>BZ107+N(BZ109)</f>
        <v>1842.79717817052</v>
      </c>
      <c r="CA124" s="254">
        <f>CA107+N(CA109)</f>
        <v>6988.78091109968</v>
      </c>
      <c r="CB124" s="254">
        <f>CB107+N(CB109)</f>
        <v>7422.2218126863</v>
      </c>
      <c r="CC124" s="254">
        <f>CC107+N(CC109)</f>
        <v>7940.25060176668</v>
      </c>
      <c r="CD124" s="254">
        <f>CD107+N(CD109)</f>
        <v>8238.34033815147</v>
      </c>
      <c r="CE124" s="254">
        <f>CE107+N(CE109)</f>
        <v>8619.62641586387</v>
      </c>
      <c r="CF124" s="254">
        <f>CF107+N(CF109)</f>
        <v>9029.82909267037</v>
      </c>
      <c r="CG124" s="19" t="n"/>
    </row>
    <row r="125" ht="15" customHeight="1" s="251">
      <c r="B125" s="16" t="inlineStr">
        <is>
          <t>Gross profit</t>
        </is>
      </c>
      <c r="C125" s="278">
        <f>IF(ISNUMBER(C122),C121-C122,"")</f>
        <v>369.675</v>
      </c>
      <c r="D125" s="278">
        <f>IF(ISNUMBER(D122),D121-D122,"")</f>
        <v>419.172</v>
      </c>
      <c r="E125" s="278">
        <f>IF(ISNUMBER(E122),E121-E122,"")</f>
        <v>454.427</v>
      </c>
      <c r="F125" s="278">
        <f>IF(ISNUMBER(F122),F121-F122,"")</f>
        <v>590.998</v>
      </c>
      <c r="G125" s="278">
        <f>IF(ISNUMBER(G122),G121-G122,"")</f>
        <v>805.27</v>
      </c>
      <c r="H125" s="278">
        <f>IF(ISNUMBER(H122),H121-H122,"")</f>
        <v>1164.676</v>
      </c>
      <c r="I125" s="278">
        <f>IF(ISNUMBER(I122),I121-I122,"")</f>
        <v>983.416</v>
      </c>
      <c r="J125" s="278">
        <f>IF(ISNUMBER(J122),J121-J122,"")</f>
        <v>297.098</v>
      </c>
      <c r="K125" s="278">
        <f>IF(ISNUMBER(K122),K121-K122,"")</f>
        <v>315.847</v>
      </c>
      <c r="L125" s="278">
        <f>IF(ISNUMBER(L122),L121-L122,"")</f>
        <v>314.98</v>
      </c>
      <c r="M125" s="278">
        <f>IF(ISNUMBER(M122),M121-M122,"")</f>
        <v>363.381</v>
      </c>
      <c r="N125" s="278">
        <f>IF(ISNUMBER(N122),N121-N122,"")</f>
        <v>1291.306</v>
      </c>
      <c r="O125" s="278">
        <f>IF(ISNUMBER(O122),O121-O122,"")</f>
        <v>400.903</v>
      </c>
      <c r="P125" s="278">
        <f>IF(ISNUMBER(P122),P121-P122,"")</f>
        <v>425.559</v>
      </c>
      <c r="Q125" s="278">
        <f>IF(ISNUMBER(Q122),Q121-Q122,"")</f>
        <v>455.038</v>
      </c>
      <c r="R125" s="278">
        <f>IF(ISNUMBER(R122),R121-R122,"")</f>
        <v>470.396</v>
      </c>
      <c r="S125" s="278">
        <f>IF(ISNUMBER(S122),S121-S122,"")</f>
        <v>1751.896</v>
      </c>
      <c r="T125" s="278">
        <f>IF(ISNUMBER(T122),T121-T122,"")</f>
        <v>526.728</v>
      </c>
      <c r="U125" s="278">
        <f>IF(ISNUMBER(U122),U121-U122,"")</f>
        <v>522.942</v>
      </c>
      <c r="V125" s="278">
        <f>IF(ISNUMBER(V122),V121-V122,"")</f>
        <v>564.397</v>
      </c>
      <c r="W125" s="278">
        <f>IF(ISNUMBER(W122),W121-W122,"")</f>
        <v>573.968</v>
      </c>
      <c r="X125" s="278">
        <f>IF(ISNUMBER(X122),X121-X122,"")</f>
        <v>2188.035</v>
      </c>
      <c r="Y125" s="278">
        <f>IF(ISNUMBER(Y122),Y121-Y122,"")</f>
        <v>588.196</v>
      </c>
      <c r="Z125" s="278">
        <f>IF(ISNUMBER(Z122),Z121-Z122,"")</f>
        <v>632.106</v>
      </c>
      <c r="AA125" s="278">
        <f>IF(ISNUMBER(AA122),AA121-AA122,"")</f>
        <v>757.344</v>
      </c>
      <c r="AB125" s="278">
        <f>IF(ISNUMBER(AB122),AB121-AB122,"")</f>
        <v>823.122</v>
      </c>
      <c r="AC125" s="278">
        <f>IF(ISNUMBER(AC122),AC121-AC122,"")</f>
        <v>2800.768</v>
      </c>
      <c r="AD125" s="278">
        <f>IF(ISNUMBER(AD122),AD121-AD122,"")</f>
        <v>979.611</v>
      </c>
      <c r="AE125" s="278">
        <f>IF(ISNUMBER(AE122),AE121-AE122,"")</f>
        <v>883.156</v>
      </c>
      <c r="AF125" s="278">
        <f>IF(ISNUMBER(AF122),AF121-AF122,"")</f>
        <v>991.879</v>
      </c>
      <c r="AG125" s="278">
        <f>IF(ISNUMBER(AG122),AG121-AG122,"")</f>
        <v>1178.401</v>
      </c>
      <c r="AH125" s="278">
        <f>IF(ISNUMBER(AH122),AH121-AH122,"")</f>
        <v>4033.047</v>
      </c>
      <c r="AI125" s="278">
        <f>IF(ISNUMBER(AI122),AI121-AI122,"")</f>
        <v>1400.277</v>
      </c>
      <c r="AJ125" s="278">
        <f>IF(ISNUMBER(AJ122),AJ121-AJ122,"")</f>
        <v>1504.839</v>
      </c>
      <c r="AK125" s="278">
        <f>IF(ISNUMBER(AK122),AK121-AK122,"")</f>
        <v>1468.246</v>
      </c>
      <c r="AL125" s="278">
        <f>IF(ISNUMBER(AL122),AL121-AL122,"")</f>
        <v>1453.441</v>
      </c>
      <c r="AM125" s="278">
        <f>IF(ISNUMBER(AM122),AM121-AM122,"")</f>
        <v>5826.803</v>
      </c>
      <c r="AN125" s="278">
        <f>IF(ISNUMBER(AN122),AN121-AN122,"")</f>
        <v>1650.378</v>
      </c>
      <c r="AO125" s="278">
        <f>IF(ISNUMBER(AO122),AO121-AO122,"")</f>
        <v>1917.459</v>
      </c>
      <c r="AP125" s="278">
        <f>IF(ISNUMBER(AP122),AP121-AP122,"")</f>
        <v>2146.986</v>
      </c>
      <c r="AQ125" s="278">
        <f>IF(ISNUMBER(AQ122),AQ121-AQ122,"")</f>
        <v>2001.411</v>
      </c>
      <c r="AR125" s="278">
        <f>IF(ISNUMBER(AR122),AR121-AR122,"")</f>
        <v>7716.234</v>
      </c>
      <c r="AS125" s="278">
        <f>IF(ISNUMBER(AS122),AS121-AS122,"")</f>
        <v>2167.99</v>
      </c>
      <c r="AT125" s="278">
        <f>IF(ISNUMBER(AT122),AT121-AT122,"")</f>
        <v>2504.579</v>
      </c>
      <c r="AU125" s="278">
        <f>IF(ISNUMBER(AU122),AU121-AU122,"")</f>
        <v>2567.886</v>
      </c>
      <c r="AV125" s="278">
        <f>IF(ISNUMBER(AV122),AV121-AV122,"")</f>
        <v>2479.282</v>
      </c>
      <c r="AW125" s="278">
        <f>IF(ISNUMBER(AW122),AW121-AW122,"")</f>
        <v>9719.737</v>
      </c>
      <c r="AX125" s="278">
        <f>IF(ISNUMBER(AX122),AX121-AX122,"")</f>
        <v>3294.771</v>
      </c>
      <c r="AY125" s="278">
        <f>IF(ISNUMBER(AY122),AY121-AY122,"")</f>
        <v>3323.769</v>
      </c>
      <c r="AZ125" s="278">
        <f>IF(ISNUMBER(AZ122),AZ121-AZ122,"")</f>
        <v>3276.878</v>
      </c>
      <c r="BA125" s="278">
        <f>IF(ISNUMBER(BA122),BA121-BA122,"")</f>
        <v>2469.743</v>
      </c>
      <c r="BB125" s="278">
        <f>IF(ISNUMBER(BB122),BB121-BB122,"")</f>
        <v>12365.161</v>
      </c>
      <c r="BC125" s="278">
        <f>IF(ISNUMBER(BC122),BC121-BC122,"")</f>
        <v>3583.062</v>
      </c>
      <c r="BD125" s="278">
        <f>IF(ISNUMBER(BD122),BD121-BD122,"")</f>
        <v>3279.386</v>
      </c>
      <c r="BE125" s="278">
        <f>IF(ISNUMBER(BE122),BE121-BE122,"")</f>
        <v>3136.924</v>
      </c>
      <c r="BF125" s="278">
        <f>IF(ISNUMBER(BF122),BF121-BF122,"")</f>
        <v>2447.893</v>
      </c>
      <c r="BG125" s="278">
        <f>IF(ISNUMBER(BG122),BG121-BG122,"")</f>
        <v>12447.265</v>
      </c>
      <c r="BH125" s="278">
        <f>IF(ISNUMBER(BH122),BH121-BH122,"")</f>
        <v>3357.878</v>
      </c>
      <c r="BI125" s="278">
        <f>IF(ISNUMBER(BI122),BI121-BI122,"")</f>
        <v>3513.831</v>
      </c>
      <c r="BJ125" s="278">
        <f>IF(ISNUMBER(BJ122),BJ121-BJ122,"")</f>
        <v>3610.88</v>
      </c>
      <c r="BK125" s="278">
        <f>IF(ISNUMBER(BK122),BK121-BK122,"")</f>
        <v>3525.34</v>
      </c>
      <c r="BL125" s="278">
        <f>IF(ISNUMBER(BL122),BL121-BL122,"")</f>
        <v>14007.929</v>
      </c>
      <c r="BM125" s="278">
        <f>IF(ISNUMBER(BM122),BM121-BM122,"")</f>
        <v>4393.367</v>
      </c>
      <c r="BN125" s="278">
        <f>IF(ISNUMBER(BN122),BN121-BN122,"")</f>
        <v>4385.167</v>
      </c>
      <c r="BO125" s="278">
        <f>IF(ISNUMBER(BO122),BO121-BO122,"")</f>
        <v>4704.819</v>
      </c>
      <c r="BP125" s="278">
        <f>IF(ISNUMBER(BP122),BP121-BP122,"")</f>
        <v>4479.149</v>
      </c>
      <c r="BQ125" s="278">
        <f>IF(ISNUMBER(BQ122),BQ121-BQ122,"")</f>
        <v>17962.502</v>
      </c>
      <c r="BR125" s="278">
        <f>IF(ISNUMBER(BR122),BR121-BR122,"")</f>
        <v>5279.654</v>
      </c>
      <c r="BS125" s="278">
        <f>IF(ISNUMBER(BS122),BS121-BS122,"")</f>
        <v>5753.855</v>
      </c>
      <c r="BT125" s="278">
        <f>IF(ISNUMBER(BT122),BT121-BT122,"")</f>
        <v>5346.057</v>
      </c>
      <c r="BU125" s="278">
        <f>IF(ISNUMBER(BU122),BU121-BU122,"")</f>
        <v>5528.141</v>
      </c>
      <c r="BV125" s="278">
        <f>IF(ISNUMBER(BV122),BV121-BV122,"")</f>
        <v>21907.707</v>
      </c>
      <c r="BW125" s="278">
        <f>IF(ISNUMBER(BW122),BW121-BW122,"")</f>
        <v>6361.519</v>
      </c>
      <c r="BX125" s="278">
        <f>IF(ISNUMBER(BX122),BX121-BX122,"")</f>
        <v>6522.973</v>
      </c>
      <c r="BY125" s="279">
        <f>IF(ISNUMBER(BY122),BY121-BY122,"")</f>
        <v>6756.53176975952</v>
      </c>
      <c r="BZ125" s="279">
        <f>IF(ISNUMBER(BZ122),BZ121-BZ122,"")</f>
        <v>6505.81271914079</v>
      </c>
      <c r="CA125" s="279">
        <f>IF(ISNUMBER(CA122),CA121-CA122,"")</f>
        <v>26146.8364889003</v>
      </c>
      <c r="CB125" s="279">
        <f>IF(ISNUMBER(CB122),CB121-CB122,"")</f>
        <v>29647.5622496631</v>
      </c>
      <c r="CC125" s="279">
        <f>IF(ISNUMBER(CC122),CC121-CC122,"")</f>
        <v>33153.2609825049</v>
      </c>
      <c r="CD125" s="279">
        <f>IF(ISNUMBER(CD122),CD121-CD122,"")</f>
        <v>36793.2110622833</v>
      </c>
      <c r="CE125" s="279">
        <f>IF(ISNUMBER(CE122),CE121-CE122,"")</f>
        <v>40304.5405521878</v>
      </c>
      <c r="CF125" s="279">
        <f>IF(ISNUMBER(CF122),CF121-CF122,"")</f>
        <v>43664.0302382713</v>
      </c>
      <c r="CG125" s="153" t="n"/>
      <c r="CI125" s="20">
        <f>IFERROR((CF125/CA125)^(1/5)-1,"n/m")</f>
        <v>0.108002993207792</v>
      </c>
      <c r="CJ125" s="20">
        <f>IFERROR((BV125/AW125)^(1/5)-1,"n/m")</f>
        <v>0.176490655404115</v>
      </c>
      <c r="CK125" s="20">
        <f>IFERROR((BV125/X125)^(1/10)-1,"n/m")</f>
        <v>0.259082726738557</v>
      </c>
      <c r="CL125" s="20">
        <f>IFERROR((BV125/C125)^(1/19)-1,"n/m")</f>
        <v>0.239664156750236</v>
      </c>
    </row>
    <row r="126" ht="15" customHeight="1" s="251">
      <c r="B126" s="25" t="inlineStr">
        <is>
          <t xml:space="preserve">  Gross margin %</t>
        </is>
      </c>
      <c r="C126" s="215">
        <f>IF(AND(ISNUMBER(C125),ISNUMBER(C121)),IFERROR(C125/C121,""),"")</f>
        <v>0.37091385226657</v>
      </c>
      <c r="D126" s="215">
        <f>IF(AND(ISNUMBER(D125),ISNUMBER(D121)),IFERROR(D125/D121,""),"")</f>
        <v>0.347762457066056</v>
      </c>
      <c r="E126" s="215">
        <f>IF(AND(ISNUMBER(E125),ISNUMBER(E121)),IFERROR(E125/E121,""),"")</f>
        <v>0.332996253281951</v>
      </c>
      <c r="F126" s="215">
        <f>IF(AND(ISNUMBER(F125),ISNUMBER(F121)),IFERROR(F125/F121,""),"")</f>
        <v>0.35383402314238</v>
      </c>
      <c r="G126" s="215">
        <f>IF(AND(ISNUMBER(G125),ISNUMBER(G121)),IFERROR(G125/G121,""),"")</f>
        <v>0.372357667186868</v>
      </c>
      <c r="H126" s="215">
        <f>IF(AND(ISNUMBER(H125),ISNUMBER(H121)),IFERROR(H125/H121,""),"")</f>
        <v>0.363441415200821</v>
      </c>
      <c r="I126" s="215">
        <f>IF(AND(ISNUMBER(I125),ISNUMBER(I121)),IFERROR(I125/I121,""),"")</f>
        <v>0.272468596247121</v>
      </c>
      <c r="J126" s="215">
        <f>IF(AND(ISNUMBER(J125),ISNUMBER(J121)),IFERROR(J125/J121,""),"")</f>
        <v>0.290145816100418</v>
      </c>
      <c r="K126" s="215">
        <f>IF(AND(ISNUMBER(K125),ISNUMBER(K121)),IFERROR(K125/K121,""),"")</f>
        <v>0.295357462136656</v>
      </c>
      <c r="L126" s="215">
        <f>IF(AND(ISNUMBER(L125),ISNUMBER(L121)),IFERROR(L125/L121,""),"")</f>
        <v>0.284792300897198</v>
      </c>
      <c r="M126" s="215">
        <f>IF(AND(ISNUMBER(M125),ISNUMBER(M121)),IFERROR(M125/M121,""),"")</f>
        <v>0.309199901295917</v>
      </c>
      <c r="N126" s="215">
        <f>IF(AND(ISNUMBER(N125),ISNUMBER(N121)),IFERROR(N125/N121,""),"")</f>
        <v>0.29518520939925</v>
      </c>
      <c r="O126" s="215">
        <f>IF(AND(ISNUMBER(O125),ISNUMBER(O121)),IFERROR(O125/O121,""),"")</f>
        <v>0.315649533221688</v>
      </c>
      <c r="P126" s="215">
        <f>IF(AND(ISNUMBER(P125),ISNUMBER(P121)),IFERROR(P125/P121,""),"")</f>
        <v>0.317484913164434</v>
      </c>
      <c r="Q126" s="215">
        <f>IF(AND(ISNUMBER(Q125),ISNUMBER(Q121)),IFERROR(Q125/Q121,""),"")</f>
        <v>0.322852042524932</v>
      </c>
      <c r="R126" s="215">
        <f>IF(AND(ISNUMBER(R125),ISNUMBER(R121)),IFERROR(R125/R121,""),"")</f>
        <v>0.316823014047017</v>
      </c>
      <c r="S126" s="215">
        <f>IF(AND(ISNUMBER(S125),ISNUMBER(S121)),IFERROR(S125/S121,""),"")</f>
        <v>0.318257126330873</v>
      </c>
      <c r="T126" s="215">
        <f>IF(AND(ISNUMBER(T125),ISNUMBER(T121)),IFERROR(T125/T121,""),"")</f>
        <v>0.334828230869814</v>
      </c>
      <c r="U126" s="215">
        <f>IF(AND(ISNUMBER(U125),ISNUMBER(U121)),IFERROR(U125/U121,""),"")</f>
        <v>0.317957018144409</v>
      </c>
      <c r="V126" s="215">
        <f>IF(AND(ISNUMBER(V125),ISNUMBER(V121)),IFERROR(V125/V121,""),"")</f>
        <v>0.324673038591082</v>
      </c>
      <c r="W126" s="215">
        <f>IF(AND(ISNUMBER(W125),ISNUMBER(W121)),IFERROR(W125/W121,""),"")</f>
        <v>0.314790551150009</v>
      </c>
      <c r="X126" s="215">
        <f>IF(AND(ISNUMBER(X125),ISNUMBER(X121)),IFERROR(X125/X121,""),"")</f>
        <v>0.322742303980331</v>
      </c>
      <c r="Y126" s="215">
        <f>IF(AND(ISNUMBER(Y125),ISNUMBER(Y121)),IFERROR(Y125/Y121,""),"")</f>
        <v>0.300447046997144</v>
      </c>
      <c r="Z126" s="215">
        <f>IF(AND(ISNUMBER(Z125),ISNUMBER(Z121)),IFERROR(Z125/Z121,""),"")</f>
        <v>0.300258787271922</v>
      </c>
      <c r="AA126" s="215">
        <f>IF(AND(ISNUMBER(AA125),ISNUMBER(AA121)),IFERROR(AA125/AA121,""),"")</f>
        <v>0.330690755518761</v>
      </c>
      <c r="AB126" s="215">
        <f>IF(AND(ISNUMBER(AB125),ISNUMBER(AB121)),IFERROR(AB125/AB121,""),"")</f>
        <v>0.33223345244337</v>
      </c>
      <c r="AC126" s="215">
        <f>IF(AND(ISNUMBER(AC125),ISNUMBER(AC121)),IFERROR(AC125/AC121,""),"")</f>
        <v>0.317163739236518</v>
      </c>
      <c r="AD126" s="215">
        <f>IF(AND(ISNUMBER(AD125),ISNUMBER(AD121)),IFERROR(AD125/AD121,""),"")</f>
        <v>0.371538343380862</v>
      </c>
      <c r="AE126" s="215">
        <f>IF(AND(ISNUMBER(AE125),ISNUMBER(AE121)),IFERROR(AE125/AE121,""),"")</f>
        <v>0.317058845492169</v>
      </c>
      <c r="AF126" s="215">
        <f>IF(AND(ISNUMBER(AF125),ISNUMBER(AF121)),IFERROR(AF125/AF121,""),"")</f>
        <v>0.332303468941079</v>
      </c>
      <c r="AG126" s="215">
        <f>IF(AND(ISNUMBER(AG125),ISNUMBER(AG121)),IFERROR(AG125/AG121,""),"")</f>
        <v>0.3586393385995</v>
      </c>
      <c r="AH126" s="215">
        <f>IF(AND(ISNUMBER(AH125),ISNUMBER(AH121)),IFERROR(AH125/AH121,""),"")</f>
        <v>0.344919694856104</v>
      </c>
      <c r="AI126" s="215">
        <f>IF(AND(ISNUMBER(AI125),ISNUMBER(AI121)),IFERROR(AI125/AI121,""),"")</f>
        <v>0.378365707825433</v>
      </c>
      <c r="AJ126" s="215">
        <f>IF(AND(ISNUMBER(AJ125),ISNUMBER(AJ121)),IFERROR(AJ125/AJ121,""),"")</f>
        <v>0.385138216708853</v>
      </c>
      <c r="AK126" s="215">
        <f>IF(AND(ISNUMBER(AK125),ISNUMBER(AK121)),IFERROR(AK125/AK121,""),"")</f>
        <v>0.367118954116319</v>
      </c>
      <c r="AL126" s="215">
        <f>IF(AND(ISNUMBER(AL125),ISNUMBER(AL121)),IFERROR(AL125/AL121,""),"")</f>
        <v>0.347145019359465</v>
      </c>
      <c r="AM126" s="215">
        <f>IF(AND(ISNUMBER(AM125),ISNUMBER(AM121)),IFERROR(AM125/AM121,""),"")</f>
        <v>0.368917133041512</v>
      </c>
      <c r="AN126" s="215">
        <f>IF(AND(ISNUMBER(AN125),ISNUMBER(AN121)),IFERROR(AN125/AN121,""),"")</f>
        <v>0.365047759429789</v>
      </c>
      <c r="AO126" s="215">
        <f>IF(AND(ISNUMBER(AO125),ISNUMBER(AO121)),IFERROR(AO125/AO121,""),"")</f>
        <v>0.389480767871405</v>
      </c>
      <c r="AP126" s="215">
        <f>IF(AND(ISNUMBER(AP125),ISNUMBER(AP121)),IFERROR(AP125/AP121,""),"")</f>
        <v>0.409346975779352</v>
      </c>
      <c r="AQ126" s="215">
        <f>IF(AND(ISNUMBER(AQ125),ISNUMBER(AQ121)),IFERROR(AQ125/AQ121,""),"")</f>
        <v>0.366060385914124</v>
      </c>
      <c r="AR126" s="215">
        <f>IF(AND(ISNUMBER(AR125),ISNUMBER(AR121)),IFERROR(AR125/AR121,""),"")</f>
        <v>0.382817170109395</v>
      </c>
      <c r="AS126" s="215">
        <f>IF(AND(ISNUMBER(AS125),ISNUMBER(AS121)),IFERROR(AS125/AS121,""),"")</f>
        <v>0.375885254601885</v>
      </c>
      <c r="AT126" s="215">
        <f>IF(AND(ISNUMBER(AT125),ISNUMBER(AT121)),IFERROR(AT125/AT121,""),"")</f>
        <v>0.407362149386024</v>
      </c>
      <c r="AU126" s="215">
        <f>IF(AND(ISNUMBER(AU125),ISNUMBER(AU121)),IFERROR(AU125/AU121,""),"")</f>
        <v>0.399010385452132</v>
      </c>
      <c r="AV126" s="215">
        <f>IF(AND(ISNUMBER(AV125),ISNUMBER(AV121)),IFERROR(AV125/AV121,""),"")</f>
        <v>0.373136224230718</v>
      </c>
      <c r="AW126" s="215">
        <f>IF(AND(ISNUMBER(AW125),ISNUMBER(AW121)),IFERROR(AW125/AW121,""),"")</f>
        <v>0.388850825106169</v>
      </c>
      <c r="AX126" s="215">
        <f>IF(AND(ISNUMBER(AX125),ISNUMBER(AX121)),IFERROR(AX125/AX121,""),"")</f>
        <v>0.459952714412193</v>
      </c>
      <c r="AY126" s="215">
        <f>IF(AND(ISNUMBER(AY125),ISNUMBER(AY121)),IFERROR(AY125/AY121,""),"")</f>
        <v>0.452719961393543</v>
      </c>
      <c r="AZ126" s="215">
        <f>IF(AND(ISNUMBER(AZ125),ISNUMBER(AZ121)),IFERROR(AZ125/AZ121,""),"")</f>
        <v>0.437882334484805</v>
      </c>
      <c r="BA126" s="215">
        <f>IF(AND(ISNUMBER(BA125),ISNUMBER(BA121)),IFERROR(BA125/BA121,""),"")</f>
        <v>0.320358169166196</v>
      </c>
      <c r="BB126" s="215">
        <f>IF(AND(ISNUMBER(BB125),ISNUMBER(BB121)),IFERROR(BB125/BB121,""),"")</f>
        <v>0.416365612264648</v>
      </c>
      <c r="BC126" s="215">
        <f>IF(AND(ISNUMBER(BC125),ISNUMBER(BC121)),IFERROR(BC125/BC121,""),"")</f>
        <v>0.455410283502295</v>
      </c>
      <c r="BD126" s="215">
        <f>IF(AND(ISNUMBER(BD125),ISNUMBER(BD121)),IFERROR(BD125/BD121,""),"")</f>
        <v>0.411458969170056</v>
      </c>
      <c r="BE126" s="215">
        <f>IF(AND(ISNUMBER(BE125),ISNUMBER(BE121)),IFERROR(BE125/BE121,""),"")</f>
        <v>0.395796955910785</v>
      </c>
      <c r="BF126" s="215">
        <f>IF(AND(ISNUMBER(BF125),ISNUMBER(BF121)),IFERROR(BF125/BF121,""),"")</f>
        <v>0.311751971108702</v>
      </c>
      <c r="BG126" s="215">
        <f>IF(AND(ISNUMBER(BG125),ISNUMBER(BG121)),IFERROR(BG125/BG121,""),"")</f>
        <v>0.393707052384033</v>
      </c>
      <c r="BH126" s="215">
        <f>IF(AND(ISNUMBER(BH125),ISNUMBER(BH121)),IFERROR(BH125/BH121,""),"")</f>
        <v>0.411428875294171</v>
      </c>
      <c r="BI126" s="215">
        <f>IF(AND(ISNUMBER(BI125),ISNUMBER(BI121)),IFERROR(BI125/BI121,""),"")</f>
        <v>0.42918062985592</v>
      </c>
      <c r="BJ126" s="215">
        <f>IF(AND(ISNUMBER(BJ125),ISNUMBER(BJ121)),IFERROR(BJ125/BJ121,""),"")</f>
        <v>0.422737104743476</v>
      </c>
      <c r="BK126" s="215">
        <f>IF(AND(ISNUMBER(BK125),ISNUMBER(BK121)),IFERROR(BK125/BK121,""),"")</f>
        <v>0.399118062454538</v>
      </c>
      <c r="BL126" s="215">
        <f>IF(AND(ISNUMBER(BL125),ISNUMBER(BL121)),IFERROR(BL125/BL121,""),"")</f>
        <v>0.415378395534695</v>
      </c>
      <c r="BM126" s="215">
        <f>IF(AND(ISNUMBER(BM125),ISNUMBER(BM121)),IFERROR(BM125/BM121,""),"")</f>
        <v>0.468853863852711</v>
      </c>
      <c r="BN126" s="215">
        <f>IF(AND(ISNUMBER(BN125),ISNUMBER(BN121)),IFERROR(BN125/BN121,""),"")</f>
        <v>0.458732586347759</v>
      </c>
      <c r="BO126" s="215">
        <f>IF(AND(ISNUMBER(BO125),ISNUMBER(BO121)),IFERROR(BO125/BO121,""),"")</f>
        <v>0.47887646069301</v>
      </c>
      <c r="BP126" s="215">
        <f>IF(AND(ISNUMBER(BP125),ISNUMBER(BP121)),IFERROR(BP125/BP121,""),"")</f>
        <v>0.437138858848859</v>
      </c>
      <c r="BQ126" s="215">
        <f>IF(AND(ISNUMBER(BQ125),ISNUMBER(BQ121)),IFERROR(BQ125/BQ121,""),"")</f>
        <v>0.460565566504173</v>
      </c>
      <c r="BR126" s="215">
        <f>IF(AND(ISNUMBER(BR125),ISNUMBER(BR121)),IFERROR(BR125/BR121,""),"")</f>
        <v>0.500782856472393</v>
      </c>
      <c r="BS126" s="215">
        <f>IF(AND(ISNUMBER(BS125),ISNUMBER(BS121)),IFERROR(BS125/BS121,""),"")</f>
        <v>0.519340083901622</v>
      </c>
      <c r="BT126" s="215">
        <f>IF(AND(ISNUMBER(BT125),ISNUMBER(BT121)),IFERROR(BT125/BT121,""),"")</f>
        <v>0.464458245987705</v>
      </c>
      <c r="BU126" s="215">
        <f>IF(AND(ISNUMBER(BU125),ISNUMBER(BU121)),IFERROR(BU125/BU121,""),"")</f>
        <v>0.458737878982259</v>
      </c>
      <c r="BV126" s="215">
        <f>IF(AND(ISNUMBER(BV125),ISNUMBER(BV121)),IFERROR(BV125/BV121,""),"")</f>
        <v>0.48486575802476</v>
      </c>
      <c r="BW126" s="215">
        <f>IF(AND(ISNUMBER(BW125),ISNUMBER(BW121)),IFERROR(BW125/BW121,""),"")</f>
        <v>0.51931797504228</v>
      </c>
      <c r="BX126" s="215">
        <f>IF(AND(ISNUMBER(BX125),ISNUMBER(BX121)),IFERROR(BX125/BX121,""),"")</f>
        <v>0.51934754773471</v>
      </c>
      <c r="BY126" s="256">
        <f>IF(AND(ISNUMBER(BY125),ISNUMBER(BY121)),IFERROR(BY125/BY121,""),"")</f>
        <v>0.525391272920647</v>
      </c>
      <c r="BZ126" s="256">
        <f>IF(AND(ISNUMBER(BZ125),ISNUMBER(BZ121)),IFERROR(BZ125/BZ121,""),"")</f>
        <v>0.480832672961976</v>
      </c>
      <c r="CA126" s="256">
        <f>IF(AND(ISNUMBER(CA125),ISNUMBER(CA121)),IFERROR(CA125/CA121,""),"")</f>
        <v>0.510680400173834</v>
      </c>
      <c r="CB126" s="256">
        <f>IF(AND(ISNUMBER(CB125),ISNUMBER(CB121)),IFERROR(CB125/CB121,""),"")</f>
        <v>0.524</v>
      </c>
      <c r="CC126" s="256">
        <f>IF(AND(ISNUMBER(CC125),ISNUMBER(CC121)),IFERROR(CC125/CC121,""),"")</f>
        <v>0.535</v>
      </c>
      <c r="CD126" s="256">
        <f>IF(AND(ISNUMBER(CD125),ISNUMBER(CD121)),IFERROR(CD125/CD121,""),"")</f>
        <v>0.547</v>
      </c>
      <c r="CE126" s="256">
        <f>IF(AND(ISNUMBER(CE125),ISNUMBER(CE121)),IFERROR(CE125/CE121,""),"")</f>
        <v>0.556</v>
      </c>
      <c r="CF126" s="256">
        <f>IF(AND(ISNUMBER(CF125),ISNUMBER(CF121)),IFERROR(CF125/CF121,""),"")</f>
        <v>0.563</v>
      </c>
      <c r="CG126" s="153" t="n"/>
      <c r="CI126" s="37">
        <f>IFERROR(AVERAGE(CB126,CC126,CD126,CE126,CF126),"n/m")</f>
        <v>0.545</v>
      </c>
      <c r="CJ126" s="37">
        <f>IFERROR(AVERAGE(BB126,BG126,BL126,BQ126,BV126),"n/m")</f>
        <v>0.434176476942462</v>
      </c>
      <c r="CK126" s="37">
        <f>IFERROR(AVERAGE(AC126,AH126,AM126,AR126,AW126,BB126,BG126,BL126,BQ126,BV126),"n/m")</f>
        <v>0.397355094706201</v>
      </c>
      <c r="CL126" s="37">
        <f>IFERROR(AVERAGE(C126,D126,E126,F126,G126,H126,I126,N126,S126,X126,AC126,AH126,AM126,AR126,AW126,BB126,BG126,BL126,BQ126,BV126),"n/m")</f>
        <v>0.366175492558211</v>
      </c>
    </row>
    <row r="127" ht="15" customHeight="1" s="251">
      <c r="B127" s="25" t="inlineStr">
        <is>
          <t>Marketing (sales and marketing from 2024)</t>
        </is>
      </c>
      <c r="C127" s="253" t="n">
        <v>225.524</v>
      </c>
      <c r="D127" s="253" t="n">
        <v>218.28</v>
      </c>
      <c r="E127" s="253" t="n">
        <v>199.713</v>
      </c>
      <c r="F127" s="253" t="n">
        <v>237.744</v>
      </c>
      <c r="G127" s="253" t="n">
        <v>293.839</v>
      </c>
      <c r="H127" s="253" t="n">
        <v>402.638</v>
      </c>
      <c r="I127" s="253" t="n">
        <v>484.729</v>
      </c>
      <c r="J127" s="253" t="n">
        <v>129.175</v>
      </c>
      <c r="K127" s="253" t="n">
        <v>121.76</v>
      </c>
      <c r="L127" s="253" t="n">
        <v>116.109</v>
      </c>
      <c r="M127" s="253" t="n">
        <v>136.845</v>
      </c>
      <c r="N127" s="253" t="n">
        <v>503.889</v>
      </c>
      <c r="O127" s="253" t="n">
        <v>137.098</v>
      </c>
      <c r="P127" s="253" t="n">
        <v>120.763</v>
      </c>
      <c r="Q127" s="253" t="n">
        <v>145.654</v>
      </c>
      <c r="R127" s="253" t="n">
        <v>203.671</v>
      </c>
      <c r="S127" s="253" t="n">
        <v>607.186</v>
      </c>
      <c r="T127" s="253" t="n">
        <v>194.677</v>
      </c>
      <c r="U127" s="253" t="n">
        <v>197.14</v>
      </c>
      <c r="V127" s="253" t="n">
        <v>208.102</v>
      </c>
      <c r="W127" s="253" t="n">
        <v>224.173</v>
      </c>
      <c r="X127" s="253" t="n">
        <v>824.092</v>
      </c>
      <c r="Y127" s="253" t="n">
        <v>208.01</v>
      </c>
      <c r="Z127" s="253" t="n">
        <v>216.029</v>
      </c>
      <c r="AA127" s="253" t="n">
        <v>282.043</v>
      </c>
      <c r="AB127" s="253" t="n">
        <v>284.996</v>
      </c>
      <c r="AC127" s="253" t="n">
        <v>991.078</v>
      </c>
      <c r="AD127" s="253" t="n">
        <v>271.27</v>
      </c>
      <c r="AE127" s="253" t="n">
        <v>274.323</v>
      </c>
      <c r="AF127" s="253" t="n">
        <v>312.49</v>
      </c>
      <c r="AG127" s="253" t="n">
        <v>419.939</v>
      </c>
      <c r="AH127" s="253" t="n">
        <v>1278.022</v>
      </c>
      <c r="AI127" s="253" t="n">
        <v>536.777</v>
      </c>
      <c r="AJ127" s="253" t="n">
        <v>592.0069999999999</v>
      </c>
      <c r="AK127" s="253" t="n">
        <v>510.33</v>
      </c>
      <c r="AL127" s="253" t="n">
        <v>730.355</v>
      </c>
      <c r="AM127" s="253" t="n">
        <v>2369.469</v>
      </c>
      <c r="AN127" s="253" t="n">
        <v>616.578</v>
      </c>
      <c r="AO127" s="253" t="n">
        <v>603.15</v>
      </c>
      <c r="AP127" s="253" t="n">
        <v>553.797</v>
      </c>
      <c r="AQ127" s="253" t="n">
        <v>878.937</v>
      </c>
      <c r="AR127" s="253" t="n">
        <v>2652.462</v>
      </c>
      <c r="AS127" s="253" t="n">
        <v>503.83</v>
      </c>
      <c r="AT127" s="253" t="n">
        <v>434.37</v>
      </c>
      <c r="AU127" s="253" t="n">
        <v>527.597</v>
      </c>
      <c r="AV127" s="253" t="n">
        <v>762.5650000000001</v>
      </c>
      <c r="AW127" s="253" t="n">
        <v>2228.362</v>
      </c>
      <c r="AX127" s="253" t="n">
        <v>512.5119999999999</v>
      </c>
      <c r="AY127" s="253" t="n">
        <v>603.973</v>
      </c>
      <c r="AZ127" s="253" t="n">
        <v>635.948</v>
      </c>
      <c r="BA127" s="253" t="n">
        <v>792.713</v>
      </c>
      <c r="BB127" s="253" t="n">
        <v>2545.146</v>
      </c>
      <c r="BC127" s="253" t="n">
        <v>555.978</v>
      </c>
      <c r="BD127" s="253" t="n">
        <v>574.96</v>
      </c>
      <c r="BE127" s="253" t="n">
        <v>567.954</v>
      </c>
      <c r="BF127" s="253" t="n">
        <v>831.61</v>
      </c>
      <c r="BG127" s="253" t="n">
        <v>2530.502</v>
      </c>
      <c r="BH127" s="253" t="n">
        <v>555.362</v>
      </c>
      <c r="BI127" s="253" t="n">
        <v>627.168</v>
      </c>
      <c r="BJ127" s="253" t="n">
        <v>558.736</v>
      </c>
      <c r="BK127" s="253" t="n">
        <v>916.617</v>
      </c>
      <c r="BL127" s="253" t="n">
        <v>2657.883</v>
      </c>
      <c r="BM127" s="253" t="n">
        <v>654.34</v>
      </c>
      <c r="BN127" s="253" t="n">
        <v>644.0839999999999</v>
      </c>
      <c r="BO127" s="253" t="n">
        <v>642.926</v>
      </c>
      <c r="BP127" s="253" t="n">
        <v>976.204</v>
      </c>
      <c r="BQ127" s="253" t="n">
        <v>2917.554</v>
      </c>
      <c r="BR127" s="253" t="n">
        <v>688.37</v>
      </c>
      <c r="BS127" s="253" t="n">
        <v>713.265</v>
      </c>
      <c r="BT127" s="253" t="n">
        <v>786.295</v>
      </c>
      <c r="BU127" s="253" t="n">
        <v>1113.376</v>
      </c>
      <c r="BV127" s="253" t="n">
        <v>3301.306</v>
      </c>
      <c r="BW127" s="253" t="n">
        <v>842.217</v>
      </c>
      <c r="BX127" s="253" t="n">
        <v>823.838</v>
      </c>
      <c r="BY127" s="254">
        <f>BY121*BY101</f>
        <v>914.148358955428</v>
      </c>
      <c r="BZ127" s="254">
        <f>BZ121*BZ101</f>
        <v>1186.31585323551</v>
      </c>
      <c r="CA127" s="254">
        <f>SUM(BW127:BZ127)</f>
        <v>3766.51921219094</v>
      </c>
      <c r="CB127" s="254">
        <f>CB121*CB101</f>
        <v>3960.55220892446</v>
      </c>
      <c r="CC127" s="254">
        <f>CC121*CC101</f>
        <v>4275.84113606138</v>
      </c>
      <c r="CD127" s="254">
        <f>CD121*CD101</f>
        <v>4573.92751779756</v>
      </c>
      <c r="CE127" s="254">
        <f>CE121*CE101</f>
        <v>4929.33229774959</v>
      </c>
      <c r="CF127" s="254">
        <f>CF121*CF101</f>
        <v>5196.25226636621</v>
      </c>
      <c r="CG127" s="19" t="n"/>
      <c r="CI127" s="20">
        <f>IFERROR((CF127/CA127)^(1/5)-1,"n/m")</f>
        <v>0.0664733514872291</v>
      </c>
      <c r="CJ127" s="20">
        <f>IFERROR((BV127/AW127)^(1/5)-1,"n/m")</f>
        <v>0.0817826392085603</v>
      </c>
      <c r="CK127" s="20">
        <f>IFERROR((BV127/X127)^(1/10)-1,"n/m")</f>
        <v>0.148870315542409</v>
      </c>
      <c r="CL127" s="20">
        <f>IFERROR((BV127/C127)^(1/19)-1,"n/m")</f>
        <v>0.1517062871561</v>
      </c>
    </row>
    <row r="128" ht="15" customHeight="1" s="251">
      <c r="B128" s="25" t="inlineStr">
        <is>
          <t>Technology and development</t>
        </is>
      </c>
      <c r="C128" s="253" t="n">
        <v>48.379</v>
      </c>
      <c r="D128" s="253" t="n">
        <v>71.395</v>
      </c>
      <c r="E128" s="253" t="n">
        <v>89.873</v>
      </c>
      <c r="F128" s="253" t="n">
        <v>114.542</v>
      </c>
      <c r="G128" s="253" t="n">
        <v>163.329</v>
      </c>
      <c r="H128" s="253" t="n">
        <v>259.033</v>
      </c>
      <c r="I128" s="253" t="n">
        <v>329.008</v>
      </c>
      <c r="J128" s="253" t="n">
        <v>91.97499999999999</v>
      </c>
      <c r="K128" s="253" t="n">
        <v>93.126</v>
      </c>
      <c r="L128" s="253" t="n">
        <v>95.54000000000001</v>
      </c>
      <c r="M128" s="253" t="n">
        <v>98.128</v>
      </c>
      <c r="N128" s="253" t="n">
        <v>378.769</v>
      </c>
      <c r="O128" s="253" t="n">
        <v>110.31</v>
      </c>
      <c r="P128" s="253" t="n">
        <v>115.182</v>
      </c>
      <c r="Q128" s="253" t="n">
        <v>120.953</v>
      </c>
      <c r="R128" s="253" t="n">
        <v>125.876</v>
      </c>
      <c r="S128" s="253" t="n">
        <v>472.321</v>
      </c>
      <c r="T128" s="253" t="n">
        <v>143.106</v>
      </c>
      <c r="U128" s="253" t="n">
        <v>155.061</v>
      </c>
      <c r="V128" s="253" t="n">
        <v>171.762</v>
      </c>
      <c r="W128" s="253" t="n">
        <v>180.859</v>
      </c>
      <c r="X128" s="253" t="n">
        <v>650.788</v>
      </c>
      <c r="Y128" s="253" t="n">
        <v>203.508</v>
      </c>
      <c r="Z128" s="253" t="n">
        <v>207.3</v>
      </c>
      <c r="AA128" s="253" t="n">
        <v>216.099</v>
      </c>
      <c r="AB128" s="253" t="n">
        <v>225.191</v>
      </c>
      <c r="AC128" s="253" t="n">
        <v>852.098</v>
      </c>
      <c r="AD128" s="253" t="n">
        <v>257.108</v>
      </c>
      <c r="AE128" s="253" t="n">
        <v>267.083</v>
      </c>
      <c r="AF128" s="253" t="n">
        <v>255.236</v>
      </c>
      <c r="AG128" s="253" t="n">
        <v>273.351</v>
      </c>
      <c r="AH128" s="253" t="n">
        <v>1052.778</v>
      </c>
      <c r="AI128" s="253" t="n">
        <v>282.31</v>
      </c>
      <c r="AJ128" s="253" t="n">
        <v>299.095</v>
      </c>
      <c r="AK128" s="253" t="n">
        <v>308.62</v>
      </c>
      <c r="AL128" s="253" t="n">
        <v>331.789</v>
      </c>
      <c r="AM128" s="253" t="n">
        <v>1221.814</v>
      </c>
      <c r="AN128" s="253" t="n">
        <v>372.764</v>
      </c>
      <c r="AO128" s="253" t="n">
        <v>383.233</v>
      </c>
      <c r="AP128" s="253" t="n">
        <v>379.776</v>
      </c>
      <c r="AQ128" s="253" t="n">
        <v>409.376</v>
      </c>
      <c r="AR128" s="253" t="n">
        <v>1545.149</v>
      </c>
      <c r="AS128" s="253" t="n">
        <v>453.817</v>
      </c>
      <c r="AT128" s="253" t="n">
        <v>435.045</v>
      </c>
      <c r="AU128" s="253" t="n">
        <v>453.802</v>
      </c>
      <c r="AV128" s="253" t="n">
        <v>486.936</v>
      </c>
      <c r="AW128" s="253" t="n">
        <v>1829.6</v>
      </c>
      <c r="AX128" s="253" t="n">
        <v>525.207</v>
      </c>
      <c r="AY128" s="253" t="n">
        <v>537.321</v>
      </c>
      <c r="AZ128" s="253" t="n">
        <v>563.8869999999999</v>
      </c>
      <c r="BA128" s="253" t="n">
        <v>647.47</v>
      </c>
      <c r="BB128" s="253" t="n">
        <v>2273.885</v>
      </c>
      <c r="BC128" s="253" t="n">
        <v>657.53</v>
      </c>
      <c r="BD128" s="253" t="n">
        <v>716.846</v>
      </c>
      <c r="BE128" s="253" t="n">
        <v>662.739</v>
      </c>
      <c r="BF128" s="253" t="n">
        <v>673.926</v>
      </c>
      <c r="BG128" s="253" t="n">
        <v>2711.041</v>
      </c>
      <c r="BH128" s="253" t="n">
        <v>687.275</v>
      </c>
      <c r="BI128" s="253" t="n">
        <v>657.9829999999999</v>
      </c>
      <c r="BJ128" s="253" t="n">
        <v>657.159</v>
      </c>
      <c r="BK128" s="253" t="n">
        <v>673.341</v>
      </c>
      <c r="BL128" s="253" t="n">
        <v>2675.758</v>
      </c>
      <c r="BM128" s="253" t="n">
        <v>702.473</v>
      </c>
      <c r="BN128" s="253" t="n">
        <v>711.254</v>
      </c>
      <c r="BO128" s="253" t="n">
        <v>735.063</v>
      </c>
      <c r="BP128" s="253" t="n">
        <v>776.505</v>
      </c>
      <c r="BQ128" s="253" t="n">
        <v>2925.295</v>
      </c>
      <c r="BR128" s="253" t="n">
        <v>822.823</v>
      </c>
      <c r="BS128" s="253" t="n">
        <v>824.683</v>
      </c>
      <c r="BT128" s="253" t="n">
        <v>853.5839999999999</v>
      </c>
      <c r="BU128" s="253" t="n">
        <v>890.3</v>
      </c>
      <c r="BV128" s="253" t="n">
        <v>3391.39</v>
      </c>
      <c r="BW128" s="253" t="n">
        <v>959.696</v>
      </c>
      <c r="BX128" s="253" t="n">
        <v>1007.675</v>
      </c>
      <c r="BY128" s="254">
        <f>BY121*BY103</f>
        <v>999.81246943332</v>
      </c>
      <c r="BZ128" s="254">
        <f>BZ121*BZ103</f>
        <v>964.160282328662</v>
      </c>
      <c r="CA128" s="254">
        <f>SUM(BW128:BZ128)</f>
        <v>3931.34375176198</v>
      </c>
      <c r="CB128" s="254">
        <f>CB121*CB103</f>
        <v>4356.6074298169</v>
      </c>
      <c r="CC128" s="254">
        <f>CC121*CC103</f>
        <v>4647.65340876237</v>
      </c>
      <c r="CD128" s="254">
        <f>CD121*CD103</f>
        <v>4977.50935760323</v>
      </c>
      <c r="CE128" s="254">
        <f>CE121*CE103</f>
        <v>5291.78320199589</v>
      </c>
      <c r="CF128" s="254">
        <f>CF121*CF103</f>
        <v>5584.03228624428</v>
      </c>
      <c r="CG128" s="19" t="n"/>
      <c r="CI128" s="20">
        <f>IFERROR((CF128/CA128)^(1/5)-1,"n/m")</f>
        <v>0.0727076559409443</v>
      </c>
      <c r="CJ128" s="20">
        <f>IFERROR((BV128/AW128)^(1/5)-1,"n/m")</f>
        <v>0.131369109465992</v>
      </c>
      <c r="CK128" s="20">
        <f>IFERROR((BV128/X128)^(1/10)-1,"n/m")</f>
        <v>0.179488796082685</v>
      </c>
      <c r="CL128" s="20">
        <f>IFERROR((BV128/C128)^(1/19)-1,"n/m")</f>
        <v>0.250671353616079</v>
      </c>
    </row>
    <row r="129" ht="15" customHeight="1" s="251">
      <c r="B129" s="25" t="inlineStr">
        <is>
          <t>General and administrative</t>
        </is>
      </c>
      <c r="C129" s="253" t="n">
        <v>36.155</v>
      </c>
      <c r="D129" s="253" t="n">
        <v>52.532</v>
      </c>
      <c r="E129" s="253" t="n">
        <v>49.662</v>
      </c>
      <c r="F129" s="253" t="n">
        <v>51.333</v>
      </c>
      <c r="G129" s="253" t="n">
        <v>70.55500000000001</v>
      </c>
      <c r="H129" s="253" t="n">
        <v>117.937</v>
      </c>
      <c r="I129" s="253" t="n">
        <v>119.687</v>
      </c>
      <c r="J129" s="253" t="n">
        <v>44.126</v>
      </c>
      <c r="K129" s="253" t="n">
        <v>43.844</v>
      </c>
      <c r="L129" s="253" t="n">
        <v>46.211</v>
      </c>
      <c r="M129" s="253" t="n">
        <v>46.12</v>
      </c>
      <c r="N129" s="253" t="n">
        <v>180.301</v>
      </c>
      <c r="O129" s="253" t="n">
        <v>55.9</v>
      </c>
      <c r="P129" s="253" t="n">
        <v>60.014</v>
      </c>
      <c r="Q129" s="253" t="n">
        <v>78.024</v>
      </c>
      <c r="R129" s="253" t="n">
        <v>75.803</v>
      </c>
      <c r="S129" s="253" t="n">
        <v>269.741</v>
      </c>
      <c r="T129" s="253" t="n">
        <v>91.489</v>
      </c>
      <c r="U129" s="253" t="n">
        <v>95.90600000000001</v>
      </c>
      <c r="V129" s="253" t="n">
        <v>110.892</v>
      </c>
      <c r="W129" s="253" t="n">
        <v>109.042</v>
      </c>
      <c r="X129" s="253" t="n">
        <v>407.329</v>
      </c>
      <c r="Y129" s="253" t="n">
        <v>127.225</v>
      </c>
      <c r="Z129" s="253" t="n">
        <v>138.407</v>
      </c>
      <c r="AA129" s="253" t="n">
        <v>153.166</v>
      </c>
      <c r="AB129" s="253" t="n">
        <v>159.001</v>
      </c>
      <c r="AC129" s="253" t="n">
        <v>577.799</v>
      </c>
      <c r="AD129" s="253" t="n">
        <v>194.291</v>
      </c>
      <c r="AE129" s="253" t="n">
        <v>213.943</v>
      </c>
      <c r="AF129" s="253" t="n">
        <v>215.526</v>
      </c>
      <c r="AG129" s="253" t="n">
        <v>239.808</v>
      </c>
      <c r="AH129" s="253" t="n">
        <v>863.568</v>
      </c>
      <c r="AI129" s="253" t="n">
        <v>134.612</v>
      </c>
      <c r="AJ129" s="253" t="n">
        <v>151.524</v>
      </c>
      <c r="AK129" s="253" t="n">
        <v>168.628</v>
      </c>
      <c r="AL129" s="253" t="n">
        <v>175.53</v>
      </c>
      <c r="AM129" s="253" t="n">
        <v>630.294</v>
      </c>
      <c r="AN129" s="253" t="n">
        <v>201.952</v>
      </c>
      <c r="AO129" s="253" t="n">
        <v>224.657</v>
      </c>
      <c r="AP129" s="253" t="n">
        <v>233.174</v>
      </c>
      <c r="AQ129" s="253" t="n">
        <v>254.586</v>
      </c>
      <c r="AR129" s="253" t="n">
        <v>914.369</v>
      </c>
      <c r="AS129" s="253" t="n">
        <v>252.087</v>
      </c>
      <c r="AT129" s="253" t="n">
        <v>277.236</v>
      </c>
      <c r="AU129" s="253" t="n">
        <v>271.624</v>
      </c>
      <c r="AV129" s="253" t="n">
        <v>275.539</v>
      </c>
      <c r="AW129" s="253" t="n">
        <v>1076.486</v>
      </c>
      <c r="AX129" s="253" t="n">
        <v>297.196</v>
      </c>
      <c r="AY129" s="253" t="n">
        <v>334.845</v>
      </c>
      <c r="AZ129" s="253" t="n">
        <v>321.79</v>
      </c>
      <c r="BA129" s="253" t="n">
        <v>397.79</v>
      </c>
      <c r="BB129" s="253" t="n">
        <v>1351.621</v>
      </c>
      <c r="BC129" s="253" t="n">
        <v>397.928</v>
      </c>
      <c r="BD129" s="253" t="n">
        <v>409.297</v>
      </c>
      <c r="BE129" s="253" t="n">
        <v>373.213</v>
      </c>
      <c r="BF129" s="253" t="n">
        <v>392.453</v>
      </c>
      <c r="BG129" s="253" t="n">
        <v>1572.891</v>
      </c>
      <c r="BH129" s="253" t="n">
        <v>400.924</v>
      </c>
      <c r="BI129" s="253" t="n">
        <v>401.497</v>
      </c>
      <c r="BJ129" s="253" t="n">
        <v>478.591</v>
      </c>
      <c r="BK129" s="253" t="n">
        <v>439.273</v>
      </c>
      <c r="BL129" s="253" t="n">
        <v>1720.285</v>
      </c>
      <c r="BM129" s="253" t="n">
        <v>404.02</v>
      </c>
      <c r="BN129" s="253" t="n">
        <v>426.992</v>
      </c>
      <c r="BO129" s="253" t="n">
        <v>417.353</v>
      </c>
      <c r="BP129" s="253" t="n">
        <v>453.674</v>
      </c>
      <c r="BQ129" s="253" t="n">
        <v>1702.039</v>
      </c>
      <c r="BR129" s="253" t="n">
        <v>421.462</v>
      </c>
      <c r="BS129" s="253" t="n">
        <v>441.213</v>
      </c>
      <c r="BT129" s="253" t="n">
        <v>457.931</v>
      </c>
      <c r="BU129" s="253" t="n">
        <v>567.802</v>
      </c>
      <c r="BV129" s="253" t="n">
        <v>1888.408</v>
      </c>
      <c r="BW129" s="253" t="n">
        <v>602.609</v>
      </c>
      <c r="BX129" s="253" t="n">
        <v>498.85</v>
      </c>
      <c r="BY129" s="254">
        <f>BY121*BY105</f>
        <v>573.050941370773</v>
      </c>
      <c r="BZ129" s="254">
        <f>BZ121*BZ105</f>
        <v>646.46358357662</v>
      </c>
      <c r="CA129" s="254">
        <f>SUM(BW129:BZ129)</f>
        <v>2320.97352494739</v>
      </c>
      <c r="CB129" s="254">
        <f>CB121*CB105</f>
        <v>2376.33132535467</v>
      </c>
      <c r="CC129" s="254">
        <f>CC121*CC105</f>
        <v>2540.7171967901</v>
      </c>
      <c r="CD129" s="254">
        <f>CD121*CD105</f>
        <v>2690.54559870445</v>
      </c>
      <c r="CE129" s="254">
        <f>CE121*CE105</f>
        <v>2899.60723397035</v>
      </c>
      <c r="CF129" s="254">
        <f>CF121*CF105</f>
        <v>3024.68415504899</v>
      </c>
      <c r="CG129" s="19" t="n"/>
      <c r="CI129" s="20">
        <f>IFERROR((CF129/CA129)^(1/5)-1,"n/m")</f>
        <v>0.0543916766337564</v>
      </c>
      <c r="CJ129" s="20">
        <f>IFERROR((BV129/AW129)^(1/5)-1,"n/m")</f>
        <v>0.118967542039273</v>
      </c>
      <c r="CK129" s="20">
        <f>IFERROR((BV129/X129)^(1/10)-1,"n/m")</f>
        <v>0.165775838585081</v>
      </c>
      <c r="CL129" s="20">
        <f>IFERROR((BV129/C129)^(1/19)-1,"n/m")</f>
        <v>0.231451281555638</v>
      </c>
    </row>
    <row r="130" ht="15" customHeight="1" s="251">
      <c r="B130" s="25" t="inlineStr">
        <is>
          <t>Gain on disposal of DVDs / legal settlement (to 2011)</t>
        </is>
      </c>
      <c r="C130" s="253" t="n">
        <v>-4.797</v>
      </c>
      <c r="D130" s="253" t="n">
        <v>-14.196</v>
      </c>
      <c r="E130" s="253" t="n">
        <v>-6.327</v>
      </c>
      <c r="F130" s="253" t="n">
        <v>-4.56</v>
      </c>
      <c r="G130" s="253" t="n">
        <v>-6.094</v>
      </c>
      <c r="H130" s="253" t="n">
        <v>9</v>
      </c>
      <c r="I130" s="253" t="n">
        <v>0</v>
      </c>
      <c r="J130" s="253" t="n">
        <v>0</v>
      </c>
      <c r="K130" s="253" t="n">
        <v>0</v>
      </c>
      <c r="L130" s="253" t="n">
        <v>0</v>
      </c>
      <c r="M130" s="253" t="n">
        <v>0</v>
      </c>
      <c r="N130" s="253" t="n">
        <v>0</v>
      </c>
      <c r="O130" s="253" t="n">
        <v>0</v>
      </c>
      <c r="P130" s="253" t="n">
        <v>0</v>
      </c>
      <c r="Q130" s="253" t="n">
        <v>0</v>
      </c>
      <c r="R130" s="253" t="n">
        <v>0</v>
      </c>
      <c r="S130" s="253" t="n">
        <v>0</v>
      </c>
      <c r="T130" s="253" t="n">
        <v>0</v>
      </c>
      <c r="U130" s="253" t="n">
        <v>0</v>
      </c>
      <c r="V130" s="253" t="n">
        <v>0</v>
      </c>
      <c r="W130" s="253" t="n">
        <v>0</v>
      </c>
      <c r="X130" s="253" t="n">
        <v>0</v>
      </c>
      <c r="Y130" s="253" t="n">
        <v>0</v>
      </c>
      <c r="Z130" s="253" t="n">
        <v>0</v>
      </c>
      <c r="AA130" s="253" t="n">
        <v>0</v>
      </c>
      <c r="AB130" s="253" t="n">
        <v>0</v>
      </c>
      <c r="AC130" s="253" t="n">
        <v>0</v>
      </c>
      <c r="AD130" s="253" t="n">
        <v>0</v>
      </c>
      <c r="AE130" s="253" t="n">
        <v>0</v>
      </c>
      <c r="AF130" s="253" t="n">
        <v>0</v>
      </c>
      <c r="AG130" s="253" t="n">
        <v>0</v>
      </c>
      <c r="AH130" s="253" t="n">
        <v>0</v>
      </c>
      <c r="AI130" s="253" t="n">
        <v>0</v>
      </c>
      <c r="AJ130" s="253" t="n">
        <v>0</v>
      </c>
      <c r="AK130" s="253" t="n">
        <v>0</v>
      </c>
      <c r="AL130" s="253" t="n">
        <v>0</v>
      </c>
      <c r="AM130" s="253" t="n">
        <v>0</v>
      </c>
      <c r="AN130" s="253" t="n">
        <v>0</v>
      </c>
      <c r="AO130" s="253" t="n">
        <v>0</v>
      </c>
      <c r="AP130" s="253" t="n">
        <v>0</v>
      </c>
      <c r="AQ130" s="253" t="n">
        <v>0</v>
      </c>
      <c r="AR130" s="253" t="n">
        <v>0</v>
      </c>
      <c r="AS130" s="253" t="n">
        <v>0</v>
      </c>
      <c r="AT130" s="253" t="n">
        <v>0</v>
      </c>
      <c r="AU130" s="253" t="n">
        <v>0</v>
      </c>
      <c r="AV130" s="253" t="n">
        <v>0</v>
      </c>
      <c r="AW130" s="253" t="n">
        <v>0</v>
      </c>
      <c r="AX130" s="253" t="n">
        <v>0</v>
      </c>
      <c r="AY130" s="253" t="n">
        <v>0</v>
      </c>
      <c r="AZ130" s="253" t="n">
        <v>0</v>
      </c>
      <c r="BA130" s="253" t="n">
        <v>0</v>
      </c>
      <c r="BB130" s="253" t="n">
        <v>0</v>
      </c>
      <c r="BC130" s="253" t="n">
        <v>0</v>
      </c>
      <c r="BD130" s="253" t="n">
        <v>0</v>
      </c>
      <c r="BE130" s="253" t="n">
        <v>0</v>
      </c>
      <c r="BF130" s="253" t="n">
        <v>0</v>
      </c>
      <c r="BG130" s="253" t="n">
        <v>0</v>
      </c>
      <c r="BH130" s="253" t="n">
        <v>0</v>
      </c>
      <c r="BI130" s="253" t="n">
        <v>0</v>
      </c>
      <c r="BJ130" s="253" t="n">
        <v>0</v>
      </c>
      <c r="BK130" s="253" t="n">
        <v>0</v>
      </c>
      <c r="BL130" s="253" t="n">
        <v>0</v>
      </c>
      <c r="BM130" s="253" t="n">
        <v>0</v>
      </c>
      <c r="BN130" s="253" t="n">
        <v>0</v>
      </c>
      <c r="BO130" s="253" t="n">
        <v>0</v>
      </c>
      <c r="BP130" s="253" t="n">
        <v>0</v>
      </c>
      <c r="BQ130" s="253" t="n">
        <v>0</v>
      </c>
      <c r="BR130" s="253" t="n">
        <v>0</v>
      </c>
      <c r="BS130" s="253" t="n">
        <v>0</v>
      </c>
      <c r="BT130" s="253" t="n">
        <v>0</v>
      </c>
      <c r="BU130" s="253" t="n">
        <v>0</v>
      </c>
      <c r="BV130" s="253" t="n">
        <v>0</v>
      </c>
      <c r="BW130" s="253" t="n">
        <v>0</v>
      </c>
      <c r="BX130" s="253" t="n">
        <v>0</v>
      </c>
      <c r="BY130" s="254">
        <f>0</f>
        <v>0</v>
      </c>
      <c r="BZ130" s="254">
        <f>0</f>
        <v>0</v>
      </c>
      <c r="CA130" s="254">
        <f>SUM(BW130:BZ130)</f>
        <v>0</v>
      </c>
      <c r="CB130" s="254">
        <f>0</f>
        <v>0</v>
      </c>
      <c r="CC130" s="254">
        <f>0</f>
        <v>0</v>
      </c>
      <c r="CD130" s="254">
        <f>0</f>
        <v>0</v>
      </c>
      <c r="CE130" s="254">
        <f>0</f>
        <v>0</v>
      </c>
      <c r="CF130" s="254">
        <f>0</f>
        <v>0</v>
      </c>
      <c r="CG130" s="19" t="n"/>
    </row>
    <row r="131" ht="15" customHeight="1" s="251">
      <c r="B131" s="55" t="inlineStr">
        <is>
          <t>Operating income</t>
        </is>
      </c>
      <c r="C131" s="271">
        <f>IF(ISNUMBER(C122),C121-C122-C127-C128-C129-N(C130),"")</f>
        <v>64.414</v>
      </c>
      <c r="D131" s="271">
        <f>IF(ISNUMBER(D122),D121-D122-D127-D128-D129-N(D130),"")</f>
        <v>91.1609999999999</v>
      </c>
      <c r="E131" s="271">
        <f>IF(ISNUMBER(E122),E121-E122-E127-E128-E129-N(E130),"")</f>
        <v>121.506</v>
      </c>
      <c r="F131" s="271">
        <f>IF(ISNUMBER(F122),F121-F122-F127-F128-F129-N(F130),"")</f>
        <v>191.939</v>
      </c>
      <c r="G131" s="271">
        <f>IF(ISNUMBER(G122),G121-G122-G127-G128-G129-N(G130),"")</f>
        <v>283.641</v>
      </c>
      <c r="H131" s="271">
        <f>IF(ISNUMBER(H122),H121-H122-H127-H128-H129-N(H130),"")</f>
        <v>376.068</v>
      </c>
      <c r="I131" s="271">
        <f>IF(ISNUMBER(I122),I121-I122-I127-I128-I129-N(I130),"")</f>
        <v>49.9920000000002</v>
      </c>
      <c r="J131" s="271">
        <f>IF(ISNUMBER(J122),J121-J122-J127-J128-J129-N(J130),"")</f>
        <v>31.822</v>
      </c>
      <c r="K131" s="271">
        <f>IF(ISNUMBER(K122),K121-K122-K127-K128-K129-N(K130),"")</f>
        <v>57.1170000000001</v>
      </c>
      <c r="L131" s="271">
        <f>IF(ISNUMBER(L122),L121-L122-L127-L128-L129-N(L130),"")</f>
        <v>57.12</v>
      </c>
      <c r="M131" s="271">
        <f>IF(ISNUMBER(M122),M121-M122-M127-M128-M129-N(M130),"")</f>
        <v>82.288</v>
      </c>
      <c r="N131" s="271">
        <f>IF(ISNUMBER(N122),N121-N122-N127-N128-N129-N(N130),"")</f>
        <v>228.347</v>
      </c>
      <c r="O131" s="271">
        <f>IF(ISNUMBER(O122),O121-O122-O127-O128-O129-N(O130),"")</f>
        <v>97.5949999999999</v>
      </c>
      <c r="P131" s="271">
        <f>IF(ISNUMBER(P122),P121-P122-P127-P128-P129-N(P130),"")</f>
        <v>129.6</v>
      </c>
      <c r="Q131" s="271">
        <f>IF(ISNUMBER(Q122),Q121-Q122-Q127-Q128-Q129-N(Q130),"")</f>
        <v>110.407</v>
      </c>
      <c r="R131" s="271">
        <f>IF(ISNUMBER(R122),R121-R122-R127-R128-R129-N(R130),"")</f>
        <v>65.0460000000001</v>
      </c>
      <c r="S131" s="271">
        <f>IF(ISNUMBER(S122),S121-S122-S127-S128-S129-N(S130),"")</f>
        <v>402.648</v>
      </c>
      <c r="T131" s="271">
        <f>IF(ISNUMBER(T122),T121-T122-T127-T128-T129-N(T130),"")</f>
        <v>97.4559999999998</v>
      </c>
      <c r="U131" s="271">
        <f>IF(ISNUMBER(U122),U121-U122-U127-U128-U129-N(U130),"")</f>
        <v>74.835</v>
      </c>
      <c r="V131" s="271">
        <f>IF(ISNUMBER(V122),V121-V122-V127-V128-V129-N(V130),"")</f>
        <v>73.641</v>
      </c>
      <c r="W131" s="271">
        <f>IF(ISNUMBER(W122),W121-W122-W127-W128-W129-N(W130),"")</f>
        <v>59.8940000000001</v>
      </c>
      <c r="X131" s="271">
        <f>IF(ISNUMBER(X122),X121-X122-X127-X128-X129-N(X130),"")</f>
        <v>305.826000000001</v>
      </c>
      <c r="Y131" s="271">
        <f>IF(ISNUMBER(Y122),Y121-Y122-Y127-Y128-Y129-N(Y130),"")</f>
        <v>49.4530000000001</v>
      </c>
      <c r="Z131" s="271">
        <f>IF(ISNUMBER(Z122),Z121-Z122-Z127-Z128-Z129-N(Z130),"")</f>
        <v>70.3700000000002</v>
      </c>
      <c r="AA131" s="271">
        <f>IF(ISNUMBER(AA122),AA121-AA122-AA127-AA128-AA129-N(AA130),"")</f>
        <v>106.036</v>
      </c>
      <c r="AB131" s="271">
        <f>IF(ISNUMBER(AB122),AB121-AB122-AB127-AB128-AB129-N(AB130),"")</f>
        <v>153.934</v>
      </c>
      <c r="AC131" s="271">
        <f>IF(ISNUMBER(AC122),AC121-AC122-AC127-AC128-AC129-N(AC130),"")</f>
        <v>379.793</v>
      </c>
      <c r="AD131" s="271">
        <f>IF(ISNUMBER(AD122),AD121-AD122-AD127-AD128-AD129-N(AD130),"")</f>
        <v>256.942</v>
      </c>
      <c r="AE131" s="271">
        <f>IF(ISNUMBER(AE122),AE121-AE122-AE127-AE128-AE129-N(AE130),"")</f>
        <v>127.807</v>
      </c>
      <c r="AF131" s="271">
        <f>IF(ISNUMBER(AF122),AF121-AF122-AF127-AF128-AF129-N(AF130),"")</f>
        <v>208.627</v>
      </c>
      <c r="AG131" s="271">
        <f>IF(ISNUMBER(AG122),AG121-AG122-AG127-AG128-AG129-N(AG130),"")</f>
        <v>245.303</v>
      </c>
      <c r="AH131" s="271">
        <f>IF(ISNUMBER(AH122),AH121-AH122-AH127-AH128-AH129-N(AH130),"")</f>
        <v>838.679</v>
      </c>
      <c r="AI131" s="271">
        <f>IF(ISNUMBER(AI122),AI121-AI122-AI127-AI128-AI129-N(AI130),"")</f>
        <v>446.578</v>
      </c>
      <c r="AJ131" s="271">
        <f>IF(ISNUMBER(AJ122),AJ121-AJ122-AJ127-AJ128-AJ129-N(AJ130),"")</f>
        <v>462.213</v>
      </c>
      <c r="AK131" s="271">
        <f>IF(ISNUMBER(AK122),AK121-AK122-AK127-AK128-AK129-N(AK130),"")</f>
        <v>480.668</v>
      </c>
      <c r="AL131" s="271">
        <f>IF(ISNUMBER(AL122),AL121-AL122-AL127-AL128-AL129-N(AL130),"")</f>
        <v>215.767</v>
      </c>
      <c r="AM131" s="271">
        <f>IF(ISNUMBER(AM122),AM121-AM122-AM127-AM128-AM129-N(AM130),"")</f>
        <v>1605.226</v>
      </c>
      <c r="AN131" s="271">
        <f>IF(ISNUMBER(AN122),AN121-AN122-AN127-AN128-AN129-N(AN130),"")</f>
        <v>459.084</v>
      </c>
      <c r="AO131" s="271">
        <f>IF(ISNUMBER(AO122),AO121-AO122-AO127-AO128-AO129-N(AO130),"")</f>
        <v>706.419</v>
      </c>
      <c r="AP131" s="271">
        <f>IF(ISNUMBER(AP122),AP121-AP122-AP127-AP128-AP129-N(AP130),"")</f>
        <v>980.239</v>
      </c>
      <c r="AQ131" s="271">
        <f>IF(ISNUMBER(AQ122),AQ121-AQ122-AQ127-AQ128-AQ129-N(AQ130),"")</f>
        <v>458.512</v>
      </c>
      <c r="AR131" s="271">
        <f>IF(ISNUMBER(AR122),AR121-AR122-AR127-AR128-AR129-N(AR130),"")</f>
        <v>2604.254</v>
      </c>
      <c r="AS131" s="271">
        <f>IF(ISNUMBER(AS122),AS121-AS122-AS127-AS128-AS129-N(AS130),"")</f>
        <v>958.256</v>
      </c>
      <c r="AT131" s="271">
        <f>IF(ISNUMBER(AT122),AT121-AT122-AT127-AT128-AT129-N(AT130),"")</f>
        <v>1357.928</v>
      </c>
      <c r="AU131" s="271">
        <f>IF(ISNUMBER(AU122),AU121-AU122-AU127-AU128-AU129-N(AU130),"")</f>
        <v>1314.863</v>
      </c>
      <c r="AV131" s="271">
        <f>IF(ISNUMBER(AV122),AV121-AV122-AV127-AV128-AV129-N(AV130),"")</f>
        <v>954.242</v>
      </c>
      <c r="AW131" s="271">
        <f>IF(ISNUMBER(AW122),AW121-AW122-AW127-AW128-AW129-N(AW130),"")</f>
        <v>4585.289</v>
      </c>
      <c r="AX131" s="271">
        <f>IF(ISNUMBER(AX122),AX121-AX122-AX127-AX128-AX129-N(AX130),"")</f>
        <v>1959.856</v>
      </c>
      <c r="AY131" s="271">
        <f>IF(ISNUMBER(AY122),AY121-AY122-AY127-AY128-AY129-N(AY130),"")</f>
        <v>1847.63</v>
      </c>
      <c r="AZ131" s="271">
        <f>IF(ISNUMBER(AZ122),AZ121-AZ122-AZ127-AZ128-AZ129-N(AZ130),"")</f>
        <v>1755.253</v>
      </c>
      <c r="BA131" s="271">
        <f>IF(ISNUMBER(BA122),BA121-BA122-BA127-BA128-BA129-N(BA130),"")</f>
        <v>631.77</v>
      </c>
      <c r="BB131" s="271">
        <f>IF(ISNUMBER(BB122),BB121-BB122-BB127-BB128-BB129-N(BB130),"")</f>
        <v>6194.509</v>
      </c>
      <c r="BC131" s="271">
        <f>IF(ISNUMBER(BC122),BC121-BC122-BC127-BC128-BC129-N(BC130),"")</f>
        <v>1971.626</v>
      </c>
      <c r="BD131" s="271">
        <f>IF(ISNUMBER(BD122),BD121-BD122-BD127-BD128-BD129-N(BD130),"")</f>
        <v>1578.283</v>
      </c>
      <c r="BE131" s="271">
        <f>IF(ISNUMBER(BE122),BE121-BE122-BE127-BE128-BE129-N(BE130),"")</f>
        <v>1533.018</v>
      </c>
      <c r="BF131" s="271">
        <f>IF(ISNUMBER(BF122),BF121-BF122-BF127-BF128-BF129-N(BF130),"")</f>
        <v>549.904</v>
      </c>
      <c r="BG131" s="271">
        <f>IF(ISNUMBER(BG122),BG121-BG122-BG127-BG128-BG129-N(BG130),"")</f>
        <v>5632.831</v>
      </c>
      <c r="BH131" s="271">
        <f>IF(ISNUMBER(BH122),BH121-BH122-BH127-BH128-BH129-N(BH130),"")</f>
        <v>1714.317</v>
      </c>
      <c r="BI131" s="271">
        <f>IF(ISNUMBER(BI122),BI121-BI122-BI127-BI128-BI129-N(BI130),"")</f>
        <v>1827.183</v>
      </c>
      <c r="BJ131" s="271">
        <f>IF(ISNUMBER(BJ122),BJ121-BJ122-BJ127-BJ128-BJ129-N(BJ130),"")</f>
        <v>1916.394</v>
      </c>
      <c r="BK131" s="271">
        <f>IF(ISNUMBER(BK122),BK121-BK122-BK127-BK128-BK129-N(BK130),"")</f>
        <v>1496.109</v>
      </c>
      <c r="BL131" s="271">
        <f>IF(ISNUMBER(BL122),BL121-BL122-BL127-BL128-BL129-N(BL130),"")</f>
        <v>6954.003</v>
      </c>
      <c r="BM131" s="271">
        <f>IF(ISNUMBER(BM122),BM121-BM122-BM127-BM128-BM129-N(BM130),"")</f>
        <v>2632.534</v>
      </c>
      <c r="BN131" s="271">
        <f>IF(ISNUMBER(BN122),BN121-BN122-BN127-BN128-BN129-N(BN130),"")</f>
        <v>2602.837</v>
      </c>
      <c r="BO131" s="271">
        <f>IF(ISNUMBER(BO122),BO121-BO122-BO127-BO128-BO129-N(BO130),"")</f>
        <v>2909.477</v>
      </c>
      <c r="BP131" s="271">
        <f>IF(ISNUMBER(BP122),BP121-BP122-BP127-BP128-BP129-N(BP130),"")</f>
        <v>2272.766</v>
      </c>
      <c r="BQ131" s="271">
        <f>IF(ISNUMBER(BQ122),BQ121-BQ122-BQ127-BQ128-BQ129-N(BQ130),"")</f>
        <v>10417.614</v>
      </c>
      <c r="BR131" s="271">
        <f>IF(ISNUMBER(BR122),BR121-BR122-BR127-BR128-BR129-N(BR130),"")</f>
        <v>3346.999</v>
      </c>
      <c r="BS131" s="271">
        <f>IF(ISNUMBER(BS122),BS121-BS122-BS127-BS128-BS129-N(BS130),"")</f>
        <v>3774.694</v>
      </c>
      <c r="BT131" s="271">
        <f>IF(ISNUMBER(BT122),BT121-BT122-BT127-BT128-BT129-N(BT130),"")</f>
        <v>3248.247</v>
      </c>
      <c r="BU131" s="271">
        <f>IF(ISNUMBER(BU122),BU121-BU122-BU127-BU128-BU129-N(BU130),"")</f>
        <v>2956.663</v>
      </c>
      <c r="BV131" s="271">
        <f>IF(ISNUMBER(BV122),BV121-BV122-BV127-BV128-BV129-N(BV130),"")</f>
        <v>13326.603</v>
      </c>
      <c r="BW131" s="271">
        <f>IF(ISNUMBER(BW122),BW121-BW122-BW127-BW128-BW129-N(BW130),"")</f>
        <v>3956.997</v>
      </c>
      <c r="BX131" s="271">
        <f>IF(ISNUMBER(BX122),BX121-BX122-BX127-BX128-BX129-N(BX130),"")</f>
        <v>4192.61</v>
      </c>
      <c r="BY131" s="271">
        <f>IF(ISNUMBER(BY122),BY121-BY122-BY127-BY128-BY129-N(BY130),"")</f>
        <v>4269.52</v>
      </c>
      <c r="BZ131" s="271">
        <f>IF(ISNUMBER(BZ122),BZ121-BZ122-BZ127-BZ128-BZ129-N(BZ130),"")</f>
        <v>3708.873</v>
      </c>
      <c r="CA131" s="271">
        <f>IF(ISNUMBER(CA122),CA121-CA122-CA127-CA128-CA129-N(CA130),"")</f>
        <v>16128</v>
      </c>
      <c r="CB131" s="271">
        <f>IF(ISNUMBER(CB122),CB121-CB122-CB127-CB128-CB129-N(CB130),"")</f>
        <v>18954.071285567</v>
      </c>
      <c r="CC131" s="271">
        <f>IF(ISNUMBER(CC122),CC121-CC122-CC127-CC128-CC129-N(CC130),"")</f>
        <v>21689.0492408911</v>
      </c>
      <c r="CD131" s="271">
        <f>IF(ISNUMBER(CD122),CD121-CD122-CD127-CD128-CD129-N(CD130),"")</f>
        <v>24551.2285881781</v>
      </c>
      <c r="CE131" s="271">
        <f>IF(ISNUMBER(CE122),CE121-CE122-CE127-CE128-CE129-N(CE130),"")</f>
        <v>27183.817818472</v>
      </c>
      <c r="CF131" s="271">
        <f>IF(ISNUMBER(CF122),CF121-CF122-CF127-CF128-CF129-N(CF130),"")</f>
        <v>29859.0615306118</v>
      </c>
      <c r="CG131" s="153" t="inlineStr">
        <is>
          <t>Netflix's primary profit metric (company guides operating margin).</t>
        </is>
      </c>
      <c r="CI131" s="20">
        <f>IFERROR((CF131/CA131)^(1/5)-1,"n/m")</f>
        <v>0.131095117723862</v>
      </c>
      <c r="CJ131" s="20">
        <f>IFERROR((BV131/AW131)^(1/5)-1,"n/m")</f>
        <v>0.237857206506737</v>
      </c>
      <c r="CK131" s="20">
        <f>IFERROR((BV131/X131)^(1/10)-1,"n/m")</f>
        <v>0.458560693233808</v>
      </c>
      <c r="CL131" s="20">
        <f>IFERROR((BV131/C131)^(1/19)-1,"n/m")</f>
        <v>0.323978735923541</v>
      </c>
    </row>
    <row r="132" ht="15" customHeight="1" s="251">
      <c r="B132" s="25" t="inlineStr">
        <is>
          <t xml:space="preserve">  Operating margin %</t>
        </is>
      </c>
      <c r="C132" s="215">
        <f>IF(AND(ISNUMBER(C131),ISNUMBER(C121)),IFERROR(C131/C121,""),"")</f>
        <v>0.064629863744908</v>
      </c>
      <c r="D132" s="215">
        <f>IF(AND(ISNUMBER(D131),ISNUMBER(D121)),IFERROR(D131/D121,""),"")</f>
        <v>0.075630942306735</v>
      </c>
      <c r="E132" s="215">
        <f>IF(AND(ISNUMBER(E131),ISNUMBER(E121)),IFERROR(E131/E121,""),"")</f>
        <v>0.0890374972245854</v>
      </c>
      <c r="F132" s="215">
        <f>IF(AND(ISNUMBER(F131),ISNUMBER(F121)),IFERROR(F131/F121,""),"")</f>
        <v>0.114915022670001</v>
      </c>
      <c r="G132" s="215">
        <f>IF(AND(ISNUMBER(G131),ISNUMBER(G121)),IFERROR(G131/G121,""),"")</f>
        <v>0.131155886942951</v>
      </c>
      <c r="H132" s="215">
        <f>IF(AND(ISNUMBER(H131),ISNUMBER(H121)),IFERROR(H131/H121,""),"")</f>
        <v>0.117353397967969</v>
      </c>
      <c r="I132" s="215">
        <f>IF(AND(ISNUMBER(I131),ISNUMBER(I121)),IFERROR(I131/I121,""),"")</f>
        <v>0.0138509542895236</v>
      </c>
      <c r="J132" s="215">
        <f>IF(AND(ISNUMBER(J131),ISNUMBER(J121)),IFERROR(J131/J121,""),"")</f>
        <v>0.0310773554852186</v>
      </c>
      <c r="K132" s="215">
        <f>IF(AND(ISNUMBER(K131),ISNUMBER(K121)),IFERROR(K131/K121,""),"")</f>
        <v>0.0534117220200268</v>
      </c>
      <c r="L132" s="215">
        <f>IF(AND(ISNUMBER(L131),ISNUMBER(L121)),IFERROR(L131/L121,""),"")</f>
        <v>0.0516456163161088</v>
      </c>
      <c r="M132" s="215">
        <f>IF(AND(ISNUMBER(M131),ISNUMBER(M121)),IFERROR(M131/M121,""),"")</f>
        <v>0.0700186346502386</v>
      </c>
      <c r="N132" s="215">
        <f>IF(AND(ISNUMBER(N131),ISNUMBER(N121)),IFERROR(N131/N121,""),"")</f>
        <v>0.0521988258481649</v>
      </c>
      <c r="O132" s="215">
        <f>IF(AND(ISNUMBER(O131),ISNUMBER(O121)),IFERROR(O131/O121,""),"")</f>
        <v>0.0768410717674115</v>
      </c>
      <c r="P132" s="215">
        <f>IF(AND(ISNUMBER(P131),ISNUMBER(P121)),IFERROR(P131/P121,""),"")</f>
        <v>0.0966870510225625</v>
      </c>
      <c r="Q132" s="215">
        <f>IF(AND(ISNUMBER(Q131),ISNUMBER(Q121)),IFERROR(Q131/Q121,""),"")</f>
        <v>0.0783343928618053</v>
      </c>
      <c r="R132" s="215">
        <f>IF(AND(ISNUMBER(R131),ISNUMBER(R121)),IFERROR(R131/R121,""),"")</f>
        <v>0.0438100446681144</v>
      </c>
      <c r="S132" s="215">
        <f>IF(AND(ISNUMBER(S131),ISNUMBER(S121)),IFERROR(S131/S121,""),"")</f>
        <v>0.0731468051772898</v>
      </c>
      <c r="T132" s="215">
        <f>IF(AND(ISNUMBER(T131),ISNUMBER(T121)),IFERROR(T131/T121,""),"")</f>
        <v>0.0619504185607155</v>
      </c>
      <c r="U132" s="215">
        <f>IF(AND(ISNUMBER(U131),ISNUMBER(U121)),IFERROR(U131/U121,""),"")</f>
        <v>0.0455008652065369</v>
      </c>
      <c r="V132" s="215">
        <f>IF(AND(ISNUMBER(V131),ISNUMBER(V121)),IFERROR(V131/V121,""),"")</f>
        <v>0.0423624633633521</v>
      </c>
      <c r="W132" s="215">
        <f>IF(AND(ISNUMBER(W131),ISNUMBER(W121)),IFERROR(W131/W121,""),"")</f>
        <v>0.0328486348900613</v>
      </c>
      <c r="X132" s="215">
        <f>IF(AND(ISNUMBER(X131),ISNUMBER(X121)),IFERROR(X131/X121,""),"")</f>
        <v>0.0451103331788975</v>
      </c>
      <c r="Y132" s="215">
        <f>IF(AND(ISNUMBER(Y131),ISNUMBER(Y121)),IFERROR(Y131/Y121,""),"")</f>
        <v>0.0252603006738397</v>
      </c>
      <c r="Z132" s="215">
        <f>IF(AND(ISNUMBER(Z131),ISNUMBER(Z121)),IFERROR(Z131/Z121,""),"")</f>
        <v>0.0334266892899691</v>
      </c>
      <c r="AA132" s="215">
        <f>IF(AND(ISNUMBER(AA131),ISNUMBER(AA121)),IFERROR(AA131/AA121,""),"")</f>
        <v>0.0463001290723731</v>
      </c>
      <c r="AB132" s="215">
        <f>IF(AND(ISNUMBER(AB131),ISNUMBER(AB121)),IFERROR(AB131/AB121,""),"")</f>
        <v>0.0621317669414956</v>
      </c>
      <c r="AC132" s="215">
        <f>IF(AND(ISNUMBER(AC131),ISNUMBER(AC121)),IFERROR(AC131/AC121,""),"")</f>
        <v>0.0430084062713709</v>
      </c>
      <c r="AD132" s="215">
        <f>IF(AND(ISNUMBER(AD131),ISNUMBER(AD121)),IFERROR(AD131/AD121,""),"")</f>
        <v>0.0974507279164543</v>
      </c>
      <c r="AE132" s="215">
        <f>IF(AND(ISNUMBER(AE131),ISNUMBER(AE121)),IFERROR(AE131/AE121,""),"")</f>
        <v>0.0458835583586792</v>
      </c>
      <c r="AF132" s="215">
        <f>IF(AND(ISNUMBER(AF131),ISNUMBER(AF121)),IFERROR(AF131/AF121,""),"")</f>
        <v>0.0698950938721058</v>
      </c>
      <c r="AG132" s="215">
        <f>IF(AND(ISNUMBER(AG131),ISNUMBER(AG121)),IFERROR(AG131/AG121,""),"")</f>
        <v>0.0746565096910756</v>
      </c>
      <c r="AH132" s="215">
        <f>IF(AND(ISNUMBER(AH131),ISNUMBER(AH121)),IFERROR(AH131/AH121,""),"")</f>
        <v>0.0717266386338226</v>
      </c>
      <c r="AI132" s="215">
        <f>IF(AND(ISNUMBER(AI131),ISNUMBER(AI121)),IFERROR(AI131/AI121,""),"")</f>
        <v>0.12066883985759</v>
      </c>
      <c r="AJ132" s="215">
        <f>IF(AND(ISNUMBER(AJ131),ISNUMBER(AJ121)),IFERROR(AJ131/AJ121,""),"")</f>
        <v>0.118295638642838</v>
      </c>
      <c r="AK132" s="215">
        <f>IF(AND(ISNUMBER(AK131),ISNUMBER(AK121)),IFERROR(AK131/AK121,""),"")</f>
        <v>0.120185809079121</v>
      </c>
      <c r="AL132" s="215">
        <f>IF(AND(ISNUMBER(AL131),ISNUMBER(AL121)),IFERROR(AL131/AL121,""),"")</f>
        <v>0.0515345579160996</v>
      </c>
      <c r="AM132" s="215">
        <f>IF(AND(ISNUMBER(AM131),ISNUMBER(AM121)),IFERROR(AM131/AM121,""),"")</f>
        <v>0.101632983611029</v>
      </c>
      <c r="AN132" s="215">
        <f>IF(AND(ISNUMBER(AN131),ISNUMBER(AN121)),IFERROR(AN131/AN121,""),"")</f>
        <v>0.101544970661306</v>
      </c>
      <c r="AO132" s="215">
        <f>IF(AND(ISNUMBER(AO131),ISNUMBER(AO121)),IFERROR(AO131/AO121,""),"")</f>
        <v>0.143490220421375</v>
      </c>
      <c r="AP132" s="215">
        <f>IF(AND(ISNUMBER(AP131),ISNUMBER(AP121)),IFERROR(AP131/AP121,""),"")</f>
        <v>0.186893566232372</v>
      </c>
      <c r="AQ132" s="215">
        <f>IF(AND(ISNUMBER(AQ131),ISNUMBER(AQ121)),IFERROR(AQ131/AQ121,""),"")</f>
        <v>0.0838623749276169</v>
      </c>
      <c r="AR132" s="215">
        <f>IF(AND(ISNUMBER(AR131),ISNUMBER(AR121)),IFERROR(AR131/AR121,""),"")</f>
        <v>0.129202036450174</v>
      </c>
      <c r="AS132" s="215">
        <f>IF(AND(ISNUMBER(AS131),ISNUMBER(AS121)),IFERROR(AS131/AS121,""),"")</f>
        <v>0.166142048871897</v>
      </c>
      <c r="AT132" s="215">
        <f>IF(AND(ISNUMBER(AT131),ISNUMBER(AT121)),IFERROR(AT131/AT121,""),"")</f>
        <v>0.220862855111164</v>
      </c>
      <c r="AU132" s="215">
        <f>IF(AND(ISNUMBER(AU131),ISNUMBER(AU121)),IFERROR(AU131/AU121,""),"")</f>
        <v>0.204309689934345</v>
      </c>
      <c r="AV132" s="215">
        <f>IF(AND(ISNUMBER(AV131),ISNUMBER(AV121)),IFERROR(AV131/AV121,""),"")</f>
        <v>0.143615069557383</v>
      </c>
      <c r="AW132" s="215">
        <f>IF(AND(ISNUMBER(AW131),ISNUMBER(AW121)),IFERROR(AW131/AW121,""),"")</f>
        <v>0.183440499573213</v>
      </c>
      <c r="AX132" s="215">
        <f>IF(AND(ISNUMBER(AX131),ISNUMBER(AX121)),IFERROR(AX131/AX121,""),"")</f>
        <v>0.27359749343946</v>
      </c>
      <c r="AY132" s="215">
        <f>IF(AND(ISNUMBER(AY131),ISNUMBER(AY121)),IFERROR(AY131/AY121,""),"")</f>
        <v>0.251659782093627</v>
      </c>
      <c r="AZ132" s="215">
        <f>IF(AND(ISNUMBER(AZ131),ISNUMBER(AZ121)),IFERROR(AZ131/AZ121,""),"")</f>
        <v>0.234550777066298</v>
      </c>
      <c r="BA132" s="215">
        <f>IF(AND(ISNUMBER(BA131),ISNUMBER(BA121)),IFERROR(BA131/BA121,""),"")</f>
        <v>0.0819488831567203</v>
      </c>
      <c r="BB132" s="215">
        <f>IF(AND(ISNUMBER(BB131),ISNUMBER(BB121)),IFERROR(BB131/BB121,""),"")</f>
        <v>0.208584468286654</v>
      </c>
      <c r="BC132" s="215">
        <f>IF(AND(ISNUMBER(BC131),ISNUMBER(BC121)),IFERROR(BC131/BC121,""),"")</f>
        <v>0.250595372232045</v>
      </c>
      <c r="BD132" s="215">
        <f>IF(AND(ISNUMBER(BD131),ISNUMBER(BD121)),IFERROR(BD131/BD121,""),"")</f>
        <v>0.198024476605872</v>
      </c>
      <c r="BE132" s="215">
        <f>IF(AND(ISNUMBER(BE131),ISNUMBER(BE121)),IFERROR(BE131/BE121,""),"")</f>
        <v>0.193426381307433</v>
      </c>
      <c r="BF132" s="215">
        <f>IF(AND(ISNUMBER(BF131),ISNUMBER(BF121)),IFERROR(BF131/BF121,""),"")</f>
        <v>0.0700331492922934</v>
      </c>
      <c r="BG132" s="215">
        <f>IF(AND(ISNUMBER(BG131),ISNUMBER(BG121)),IFERROR(BG131/BG121,""),"")</f>
        <v>0.178166471878553</v>
      </c>
      <c r="BH132" s="215">
        <f>IF(AND(ISNUMBER(BH131),ISNUMBER(BH121)),IFERROR(BH131/BH121,""),"")</f>
        <v>0.210049178441765</v>
      </c>
      <c r="BI132" s="215">
        <f>IF(AND(ISNUMBER(BI131),ISNUMBER(BI121)),IFERROR(BI131/BI121,""),"")</f>
        <v>0.223172813604874</v>
      </c>
      <c r="BJ132" s="215">
        <f>IF(AND(ISNUMBER(BJ131),ISNUMBER(BJ121)),IFERROR(BJ131/BJ121,""),"")</f>
        <v>0.224358286929438</v>
      </c>
      <c r="BK132" s="215">
        <f>IF(AND(ISNUMBER(BK131),ISNUMBER(BK121)),IFERROR(BK131/BK121,""),"")</f>
        <v>0.169380577561539</v>
      </c>
      <c r="BL132" s="215">
        <f>IF(AND(ISNUMBER(BL131),ISNUMBER(BL121)),IFERROR(BL131/BL121,""),"")</f>
        <v>0.20620768485359</v>
      </c>
      <c r="BM132" s="215">
        <f>IF(AND(ISNUMBER(BM131),ISNUMBER(BM121)),IFERROR(BM131/BM121,""),"")</f>
        <v>0.280940276016921</v>
      </c>
      <c r="BN132" s="215">
        <f>IF(AND(ISNUMBER(BN131),ISNUMBER(BN121)),IFERROR(BN131/BN121,""),"")</f>
        <v>0.272282936739158</v>
      </c>
      <c r="BO132" s="215">
        <f>IF(AND(ISNUMBER(BO131),ISNUMBER(BO121)),IFERROR(BO131/BO121,""),"")</f>
        <v>0.296138926540578</v>
      </c>
      <c r="BP132" s="215">
        <f>IF(AND(ISNUMBER(BP131),ISNUMBER(BP121)),IFERROR(BP131/BP121,""),"")</f>
        <v>0.221808726539458</v>
      </c>
      <c r="BQ132" s="215">
        <f>IF(AND(ISNUMBER(BQ131),ISNUMBER(BQ121)),IFERROR(BQ131/BQ121,""),"")</f>
        <v>0.267111691541179</v>
      </c>
      <c r="BR132" s="215">
        <f>IF(AND(ISNUMBER(BR131),ISNUMBER(BR121)),IFERROR(BR131/BR121,""),"")</f>
        <v>0.317467720390435</v>
      </c>
      <c r="BS132" s="215">
        <f>IF(AND(ISNUMBER(BS131),ISNUMBER(BS121)),IFERROR(BS131/BS121,""),"")</f>
        <v>0.340701998688349</v>
      </c>
      <c r="BT132" s="215">
        <f>IF(AND(ISNUMBER(BT131),ISNUMBER(BT121)),IFERROR(BT131/BT121,""),"")</f>
        <v>0.282203333064878</v>
      </c>
      <c r="BU132" s="215">
        <f>IF(AND(ISNUMBER(BU131),ISNUMBER(BU121)),IFERROR(BU131/BU121,""),"")</f>
        <v>0.245350708942721</v>
      </c>
      <c r="BV132" s="215">
        <f>IF(AND(ISNUMBER(BV131),ISNUMBER(BV121)),IFERROR(BV131/BV121,""),"")</f>
        <v>0.294947046055073</v>
      </c>
      <c r="BW132" s="215">
        <f>IF(AND(ISNUMBER(BW131),ISNUMBER(BW121)),IFERROR(BW131/BW121,""),"")</f>
        <v>0.323026571057695</v>
      </c>
      <c r="BX132" s="215">
        <f>IF(AND(ISNUMBER(BX131),ISNUMBER(BX121)),IFERROR(BX131/BX121,""),"")</f>
        <v>0.333808176441635</v>
      </c>
      <c r="BY132" s="256">
        <f>IF(AND(ISNUMBER(BY131),ISNUMBER(BY121)),IFERROR(BY131/BY121,""),"")</f>
        <v>0.332</v>
      </c>
      <c r="BZ132" s="256">
        <f>IF(AND(ISNUMBER(BZ131),ISNUMBER(BZ121)),IFERROR(BZ131/BZ121,""),"")</f>
        <v>0.274115993689721</v>
      </c>
      <c r="CA132" s="256">
        <f>IF(AND(ISNUMBER(CA131),ISNUMBER(CA121)),IFERROR(CA131/CA121,""),"")</f>
        <v>0.315</v>
      </c>
      <c r="CB132" s="256">
        <f>IF(AND(ISNUMBER(CB131),ISNUMBER(CB121)),IFERROR(CB131/CB121,""),"")</f>
        <v>0.335</v>
      </c>
      <c r="CC132" s="256">
        <f>IF(AND(ISNUMBER(CC131),ISNUMBER(CC121)),IFERROR(CC131/CC121,""),"")</f>
        <v>0.35</v>
      </c>
      <c r="CD132" s="256">
        <f>IF(AND(ISNUMBER(CD131),ISNUMBER(CD121)),IFERROR(CD131/CD121,""),"")</f>
        <v>0.365</v>
      </c>
      <c r="CE132" s="256">
        <f>IF(AND(ISNUMBER(CE131),ISNUMBER(CE121)),IFERROR(CE131/CE121,""),"")</f>
        <v>0.375</v>
      </c>
      <c r="CF132" s="256">
        <f>IF(AND(ISNUMBER(CF131),ISNUMBER(CF121)),IFERROR(CF131/CF121,""),"")</f>
        <v>0.385</v>
      </c>
      <c r="CG132" s="153" t="n"/>
      <c r="CI132" s="37">
        <f>IFERROR(AVERAGE(CB132,CC132,CD132,CE132,CF132),"n/m")</f>
        <v>0.362</v>
      </c>
      <c r="CJ132" s="37">
        <f>IFERROR(AVERAGE(BB132,BG132,BL132,BQ132,BV132),"n/m")</f>
        <v>0.23100347252301</v>
      </c>
      <c r="CK132" s="37">
        <f>IFERROR(AVERAGE(AC132,AH132,AM132,AR132,AW132,BB132,BG132,BL132,BQ132,BV132),"n/m")</f>
        <v>0.168402792715466</v>
      </c>
      <c r="CL132" s="37">
        <f>IFERROR(AVERAGE(C132,D132,E132,F132,G132,H132,I132,N132,S132,X132,AC132,AH132,AM132,AR132,AW132,BB132,BG132,BL132,BQ132,BV132),"n/m")</f>
        <v>0.123052872825284</v>
      </c>
    </row>
    <row r="133" ht="15" customHeight="1" s="251">
      <c r="B133" s="156" t="inlineStr">
        <is>
          <t xml:space="preserve">  Memo: operating income as reported</t>
        </is>
      </c>
      <c r="C133" s="253" t="n">
        <v>64.414</v>
      </c>
      <c r="D133" s="253" t="n">
        <v>91.161</v>
      </c>
      <c r="E133" s="253" t="n">
        <v>121.506</v>
      </c>
      <c r="F133" s="253" t="n">
        <v>191.939</v>
      </c>
      <c r="G133" s="253" t="n">
        <v>283.641</v>
      </c>
      <c r="H133" s="253" t="n">
        <v>376.068</v>
      </c>
      <c r="I133" s="253" t="n">
        <v>49.992</v>
      </c>
      <c r="J133" s="253" t="n">
        <v>31.822</v>
      </c>
      <c r="K133" s="253" t="n">
        <v>57.117</v>
      </c>
      <c r="L133" s="253" t="n">
        <v>57.12</v>
      </c>
      <c r="M133" s="253" t="n">
        <v>82.288</v>
      </c>
      <c r="N133" s="253" t="n">
        <v>228.347</v>
      </c>
      <c r="O133" s="253" t="n">
        <v>97.595</v>
      </c>
      <c r="P133" s="253" t="n">
        <v>129.6</v>
      </c>
      <c r="Q133" s="253" t="n">
        <v>110.407</v>
      </c>
      <c r="R133" s="253" t="n">
        <v>65.04600000000001</v>
      </c>
      <c r="S133" s="253" t="n">
        <v>402.648</v>
      </c>
      <c r="T133" s="253" t="n">
        <v>97.456</v>
      </c>
      <c r="U133" s="253" t="n">
        <v>74.83499999999999</v>
      </c>
      <c r="V133" s="253" t="n">
        <v>73.64100000000001</v>
      </c>
      <c r="W133" s="253" t="n">
        <v>59.894</v>
      </c>
      <c r="X133" s="253" t="n">
        <v>305.826</v>
      </c>
      <c r="Y133" s="253" t="n">
        <v>49.453</v>
      </c>
      <c r="Z133" s="253" t="n">
        <v>70.37</v>
      </c>
      <c r="AA133" s="253" t="n">
        <v>106.036</v>
      </c>
      <c r="AB133" s="253" t="n">
        <v>153.934</v>
      </c>
      <c r="AC133" s="253" t="n">
        <v>379.793</v>
      </c>
      <c r="AD133" s="253" t="n">
        <v>256.942</v>
      </c>
      <c r="AE133" s="253" t="n">
        <v>127.807</v>
      </c>
      <c r="AF133" s="253" t="n">
        <v>208.627</v>
      </c>
      <c r="AG133" s="253" t="n">
        <v>245.303</v>
      </c>
      <c r="AH133" s="253" t="n">
        <v>838.679</v>
      </c>
      <c r="AI133" s="253" t="n">
        <v>446.578</v>
      </c>
      <c r="AJ133" s="253" t="n">
        <v>462.213</v>
      </c>
      <c r="AK133" s="253" t="n">
        <v>480.668</v>
      </c>
      <c r="AL133" s="253" t="n">
        <v>215.767</v>
      </c>
      <c r="AM133" s="253" t="n">
        <v>1605.226</v>
      </c>
      <c r="AN133" s="253" t="n">
        <v>459.084</v>
      </c>
      <c r="AO133" s="253" t="n">
        <v>706.419</v>
      </c>
      <c r="AP133" s="253" t="n">
        <v>980.239</v>
      </c>
      <c r="AQ133" s="253" t="n">
        <v>458.512</v>
      </c>
      <c r="AR133" s="253" t="n">
        <v>2604.254</v>
      </c>
      <c r="AS133" s="253" t="n">
        <v>958.256</v>
      </c>
      <c r="AT133" s="253" t="n">
        <v>1357.928</v>
      </c>
      <c r="AU133" s="253" t="n">
        <v>1314.863</v>
      </c>
      <c r="AV133" s="253" t="n">
        <v>954.242</v>
      </c>
      <c r="AW133" s="253" t="n">
        <v>4585.289</v>
      </c>
      <c r="AX133" s="253" t="n">
        <v>1959.856</v>
      </c>
      <c r="AY133" s="253" t="n">
        <v>1847.63</v>
      </c>
      <c r="AZ133" s="253" t="n">
        <v>1755.253</v>
      </c>
      <c r="BA133" s="253" t="n">
        <v>631.77</v>
      </c>
      <c r="BB133" s="253" t="n">
        <v>6194.509</v>
      </c>
      <c r="BC133" s="253" t="n">
        <v>1971.626</v>
      </c>
      <c r="BD133" s="253" t="n">
        <v>1578.283</v>
      </c>
      <c r="BE133" s="253" t="n">
        <v>1533.018</v>
      </c>
      <c r="BF133" s="253" t="n">
        <v>549.904</v>
      </c>
      <c r="BG133" s="253" t="n">
        <v>5632.831</v>
      </c>
      <c r="BH133" s="253" t="n">
        <v>1714.317</v>
      </c>
      <c r="BI133" s="253" t="n">
        <v>1827.183</v>
      </c>
      <c r="BJ133" s="253" t="n">
        <v>1916.394</v>
      </c>
      <c r="BK133" s="253" t="n">
        <v>1496.109</v>
      </c>
      <c r="BL133" s="253" t="n">
        <v>6954.003</v>
      </c>
      <c r="BM133" s="253" t="n">
        <v>2632.534</v>
      </c>
      <c r="BN133" s="253" t="n">
        <v>2602.837</v>
      </c>
      <c r="BO133" s="253" t="n">
        <v>2909.477</v>
      </c>
      <c r="BP133" s="253" t="n">
        <v>2272.766</v>
      </c>
      <c r="BQ133" s="253" t="n">
        <v>10417.614</v>
      </c>
      <c r="BR133" s="253" t="n">
        <v>3346.999</v>
      </c>
      <c r="BS133" s="253" t="n">
        <v>3774.694</v>
      </c>
      <c r="BT133" s="253" t="n">
        <v>3248.247</v>
      </c>
      <c r="BU133" s="253" t="n">
        <v>2956.663</v>
      </c>
      <c r="BV133" s="253" t="n">
        <v>13326.603</v>
      </c>
      <c r="BW133" s="253" t="n">
        <v>3956.997</v>
      </c>
      <c r="BX133" s="253" t="n">
        <v>4192.61</v>
      </c>
      <c r="BY133" s="153" t="n"/>
      <c r="BZ133" s="153" t="n"/>
      <c r="CA133" s="153" t="n"/>
      <c r="CB133" s="153" t="n"/>
      <c r="CC133" s="153" t="n"/>
      <c r="CD133" s="153" t="n"/>
      <c r="CE133" s="153" t="n"/>
      <c r="CF133" s="153" t="n"/>
      <c r="CG133" s="153" t="n"/>
    </row>
    <row r="134" ht="15" customHeight="1" s="251">
      <c r="B134" s="57" t="inlineStr">
        <is>
          <t xml:space="preserve">  Check: operating income vs reported (should be 0)</t>
        </is>
      </c>
      <c r="C134" s="264">
        <f>IF(ISNUMBER(C133),IF(ABS(C131-C133)&lt;=0.15,0,ROUND(C131-C133,1)),"")</f>
        <v>0</v>
      </c>
      <c r="D134" s="264">
        <f>IF(ISNUMBER(D133),IF(ABS(D131-D133)&lt;=0.15,0,ROUND(D131-D133,1)),"")</f>
        <v>0</v>
      </c>
      <c r="E134" s="264">
        <f>IF(ISNUMBER(E133),IF(ABS(E131-E133)&lt;=0.15,0,ROUND(E131-E133,1)),"")</f>
        <v>0</v>
      </c>
      <c r="F134" s="264">
        <f>IF(ISNUMBER(F133),IF(ABS(F131-F133)&lt;=0.15,0,ROUND(F131-F133,1)),"")</f>
        <v>0</v>
      </c>
      <c r="G134" s="264">
        <f>IF(ISNUMBER(G133),IF(ABS(G131-G133)&lt;=0.15,0,ROUND(G131-G133,1)),"")</f>
        <v>0</v>
      </c>
      <c r="H134" s="264">
        <f>IF(ISNUMBER(H133),IF(ABS(H131-H133)&lt;=0.15,0,ROUND(H131-H133,1)),"")</f>
        <v>0</v>
      </c>
      <c r="I134" s="264">
        <f>IF(ISNUMBER(I133),IF(ABS(I131-I133)&lt;=0.15,0,ROUND(I131-I133,1)),"")</f>
        <v>0</v>
      </c>
      <c r="J134" s="264">
        <f>IF(ISNUMBER(J133),IF(ABS(J131-J133)&lt;=0.15,0,ROUND(J131-J133,1)),"")</f>
        <v>0</v>
      </c>
      <c r="K134" s="264">
        <f>IF(ISNUMBER(K133),IF(ABS(K131-K133)&lt;=0.15,0,ROUND(K131-K133,1)),"")</f>
        <v>0</v>
      </c>
      <c r="L134" s="264">
        <f>IF(ISNUMBER(L133),IF(ABS(L131-L133)&lt;=0.15,0,ROUND(L131-L133,1)),"")</f>
        <v>0</v>
      </c>
      <c r="M134" s="264">
        <f>IF(ISNUMBER(M133),IF(ABS(M131-M133)&lt;=0.15,0,ROUND(M131-M133,1)),"")</f>
        <v>0</v>
      </c>
      <c r="N134" s="264">
        <f>IF(ISNUMBER(N133),IF(ABS(N131-N133)&lt;=0.15,0,ROUND(N131-N133,1)),"")</f>
        <v>0</v>
      </c>
      <c r="O134" s="264">
        <f>IF(ISNUMBER(O133),IF(ABS(O131-O133)&lt;=0.15,0,ROUND(O131-O133,1)),"")</f>
        <v>0</v>
      </c>
      <c r="P134" s="264">
        <f>IF(ISNUMBER(P133),IF(ABS(P131-P133)&lt;=0.15,0,ROUND(P131-P133,1)),"")</f>
        <v>0</v>
      </c>
      <c r="Q134" s="264">
        <f>IF(ISNUMBER(Q133),IF(ABS(Q131-Q133)&lt;=0.15,0,ROUND(Q131-Q133,1)),"")</f>
        <v>0</v>
      </c>
      <c r="R134" s="264">
        <f>IF(ISNUMBER(R133),IF(ABS(R131-R133)&lt;=0.15,0,ROUND(R131-R133,1)),"")</f>
        <v>0</v>
      </c>
      <c r="S134" s="264">
        <f>IF(ISNUMBER(S133),IF(ABS(S131-S133)&lt;=0.15,0,ROUND(S131-S133,1)),"")</f>
        <v>0</v>
      </c>
      <c r="T134" s="264">
        <f>IF(ISNUMBER(T133),IF(ABS(T131-T133)&lt;=0.15,0,ROUND(T131-T133,1)),"")</f>
        <v>0</v>
      </c>
      <c r="U134" s="264">
        <f>IF(ISNUMBER(U133),IF(ABS(U131-U133)&lt;=0.15,0,ROUND(U131-U133,1)),"")</f>
        <v>0</v>
      </c>
      <c r="V134" s="264">
        <f>IF(ISNUMBER(V133),IF(ABS(V131-V133)&lt;=0.15,0,ROUND(V131-V133,1)),"")</f>
        <v>0</v>
      </c>
      <c r="W134" s="264">
        <f>IF(ISNUMBER(W133),IF(ABS(W131-W133)&lt;=0.15,0,ROUND(W131-W133,1)),"")</f>
        <v>0</v>
      </c>
      <c r="X134" s="264">
        <f>IF(ISNUMBER(X133),IF(ABS(X131-X133)&lt;=0.15,0,ROUND(X131-X133,1)),"")</f>
        <v>0</v>
      </c>
      <c r="Y134" s="264">
        <f>IF(ISNUMBER(Y133),IF(ABS(Y131-Y133)&lt;=0.15,0,ROUND(Y131-Y133,1)),"")</f>
        <v>0</v>
      </c>
      <c r="Z134" s="264">
        <f>IF(ISNUMBER(Z133),IF(ABS(Z131-Z133)&lt;=0.15,0,ROUND(Z131-Z133,1)),"")</f>
        <v>0</v>
      </c>
      <c r="AA134" s="264">
        <f>IF(ISNUMBER(AA133),IF(ABS(AA131-AA133)&lt;=0.15,0,ROUND(AA131-AA133,1)),"")</f>
        <v>0</v>
      </c>
      <c r="AB134" s="264">
        <f>IF(ISNUMBER(AB133),IF(ABS(AB131-AB133)&lt;=0.15,0,ROUND(AB131-AB133,1)),"")</f>
        <v>0</v>
      </c>
      <c r="AC134" s="264">
        <f>IF(ISNUMBER(AC133),IF(ABS(AC131-AC133)&lt;=0.15,0,ROUND(AC131-AC133,1)),"")</f>
        <v>0</v>
      </c>
      <c r="AD134" s="264">
        <f>IF(ISNUMBER(AD133),IF(ABS(AD131-AD133)&lt;=0.15,0,ROUND(AD131-AD133,1)),"")</f>
        <v>0</v>
      </c>
      <c r="AE134" s="264">
        <f>IF(ISNUMBER(AE133),IF(ABS(AE131-AE133)&lt;=0.15,0,ROUND(AE131-AE133,1)),"")</f>
        <v>0</v>
      </c>
      <c r="AF134" s="264">
        <f>IF(ISNUMBER(AF133),IF(ABS(AF131-AF133)&lt;=0.15,0,ROUND(AF131-AF133,1)),"")</f>
        <v>0</v>
      </c>
      <c r="AG134" s="264">
        <f>IF(ISNUMBER(AG133),IF(ABS(AG131-AG133)&lt;=0.15,0,ROUND(AG131-AG133,1)),"")</f>
        <v>0</v>
      </c>
      <c r="AH134" s="264">
        <f>IF(ISNUMBER(AH133),IF(ABS(AH131-AH133)&lt;=0.15,0,ROUND(AH131-AH133,1)),"")</f>
        <v>0</v>
      </c>
      <c r="AI134" s="264">
        <f>IF(ISNUMBER(AI133),IF(ABS(AI131-AI133)&lt;=0.15,0,ROUND(AI131-AI133,1)),"")</f>
        <v>0</v>
      </c>
      <c r="AJ134" s="264">
        <f>IF(ISNUMBER(AJ133),IF(ABS(AJ131-AJ133)&lt;=0.15,0,ROUND(AJ131-AJ133,1)),"")</f>
        <v>0</v>
      </c>
      <c r="AK134" s="264">
        <f>IF(ISNUMBER(AK133),IF(ABS(AK131-AK133)&lt;=0.15,0,ROUND(AK131-AK133,1)),"")</f>
        <v>0</v>
      </c>
      <c r="AL134" s="264">
        <f>IF(ISNUMBER(AL133),IF(ABS(AL131-AL133)&lt;=0.15,0,ROUND(AL131-AL133,1)),"")</f>
        <v>0</v>
      </c>
      <c r="AM134" s="264">
        <f>IF(ISNUMBER(AM133),IF(ABS(AM131-AM133)&lt;=0.15,0,ROUND(AM131-AM133,1)),"")</f>
        <v>0</v>
      </c>
      <c r="AN134" s="264">
        <f>IF(ISNUMBER(AN133),IF(ABS(AN131-AN133)&lt;=0.15,0,ROUND(AN131-AN133,1)),"")</f>
        <v>0</v>
      </c>
      <c r="AO134" s="264">
        <f>IF(ISNUMBER(AO133),IF(ABS(AO131-AO133)&lt;=0.15,0,ROUND(AO131-AO133,1)),"")</f>
        <v>0</v>
      </c>
      <c r="AP134" s="264">
        <f>IF(ISNUMBER(AP133),IF(ABS(AP131-AP133)&lt;=0.15,0,ROUND(AP131-AP133,1)),"")</f>
        <v>0</v>
      </c>
      <c r="AQ134" s="264">
        <f>IF(ISNUMBER(AQ133),IF(ABS(AQ131-AQ133)&lt;=0.15,0,ROUND(AQ131-AQ133,1)),"")</f>
        <v>0</v>
      </c>
      <c r="AR134" s="264">
        <f>IF(ISNUMBER(AR133),IF(ABS(AR131-AR133)&lt;=0.15,0,ROUND(AR131-AR133,1)),"")</f>
        <v>0</v>
      </c>
      <c r="AS134" s="264">
        <f>IF(ISNUMBER(AS133),IF(ABS(AS131-AS133)&lt;=0.15,0,ROUND(AS131-AS133,1)),"")</f>
        <v>0</v>
      </c>
      <c r="AT134" s="264">
        <f>IF(ISNUMBER(AT133),IF(ABS(AT131-AT133)&lt;=0.15,0,ROUND(AT131-AT133,1)),"")</f>
        <v>0</v>
      </c>
      <c r="AU134" s="264">
        <f>IF(ISNUMBER(AU133),IF(ABS(AU131-AU133)&lt;=0.15,0,ROUND(AU131-AU133,1)),"")</f>
        <v>0</v>
      </c>
      <c r="AV134" s="264">
        <f>IF(ISNUMBER(AV133),IF(ABS(AV131-AV133)&lt;=0.15,0,ROUND(AV131-AV133,1)),"")</f>
        <v>0</v>
      </c>
      <c r="AW134" s="264">
        <f>IF(ISNUMBER(AW133),IF(ABS(AW131-AW133)&lt;=0.15,0,ROUND(AW131-AW133,1)),"")</f>
        <v>0</v>
      </c>
      <c r="AX134" s="264">
        <f>IF(ISNUMBER(AX133),IF(ABS(AX131-AX133)&lt;=0.15,0,ROUND(AX131-AX133,1)),"")</f>
        <v>0</v>
      </c>
      <c r="AY134" s="264">
        <f>IF(ISNUMBER(AY133),IF(ABS(AY131-AY133)&lt;=0.15,0,ROUND(AY131-AY133,1)),"")</f>
        <v>0</v>
      </c>
      <c r="AZ134" s="264">
        <f>IF(ISNUMBER(AZ133),IF(ABS(AZ131-AZ133)&lt;=0.15,0,ROUND(AZ131-AZ133,1)),"")</f>
        <v>0</v>
      </c>
      <c r="BA134" s="264">
        <f>IF(ISNUMBER(BA133),IF(ABS(BA131-BA133)&lt;=0.15,0,ROUND(BA131-BA133,1)),"")</f>
        <v>0</v>
      </c>
      <c r="BB134" s="264">
        <f>IF(ISNUMBER(BB133),IF(ABS(BB131-BB133)&lt;=0.15,0,ROUND(BB131-BB133,1)),"")</f>
        <v>0</v>
      </c>
      <c r="BC134" s="264">
        <f>IF(ISNUMBER(BC133),IF(ABS(BC131-BC133)&lt;=0.15,0,ROUND(BC131-BC133,1)),"")</f>
        <v>0</v>
      </c>
      <c r="BD134" s="264">
        <f>IF(ISNUMBER(BD133),IF(ABS(BD131-BD133)&lt;=0.15,0,ROUND(BD131-BD133,1)),"")</f>
        <v>0</v>
      </c>
      <c r="BE134" s="264">
        <f>IF(ISNUMBER(BE133),IF(ABS(BE131-BE133)&lt;=0.15,0,ROUND(BE131-BE133,1)),"")</f>
        <v>0</v>
      </c>
      <c r="BF134" s="264">
        <f>IF(ISNUMBER(BF133),IF(ABS(BF131-BF133)&lt;=0.15,0,ROUND(BF131-BF133,1)),"")</f>
        <v>0</v>
      </c>
      <c r="BG134" s="264">
        <f>IF(ISNUMBER(BG133),IF(ABS(BG131-BG133)&lt;=0.15,0,ROUND(BG131-BG133,1)),"")</f>
        <v>0</v>
      </c>
      <c r="BH134" s="264">
        <f>IF(ISNUMBER(BH133),IF(ABS(BH131-BH133)&lt;=0.15,0,ROUND(BH131-BH133,1)),"")</f>
        <v>0</v>
      </c>
      <c r="BI134" s="264">
        <f>IF(ISNUMBER(BI133),IF(ABS(BI131-BI133)&lt;=0.15,0,ROUND(BI131-BI133,1)),"")</f>
        <v>0</v>
      </c>
      <c r="BJ134" s="264">
        <f>IF(ISNUMBER(BJ133),IF(ABS(BJ131-BJ133)&lt;=0.15,0,ROUND(BJ131-BJ133,1)),"")</f>
        <v>0</v>
      </c>
      <c r="BK134" s="264">
        <f>IF(ISNUMBER(BK133),IF(ABS(BK131-BK133)&lt;=0.15,0,ROUND(BK131-BK133,1)),"")</f>
        <v>0</v>
      </c>
      <c r="BL134" s="264">
        <f>IF(ISNUMBER(BL133),IF(ABS(BL131-BL133)&lt;=0.15,0,ROUND(BL131-BL133,1)),"")</f>
        <v>0</v>
      </c>
      <c r="BM134" s="264">
        <f>IF(ISNUMBER(BM133),IF(ABS(BM131-BM133)&lt;=0.15,0,ROUND(BM131-BM133,1)),"")</f>
        <v>0</v>
      </c>
      <c r="BN134" s="264">
        <f>IF(ISNUMBER(BN133),IF(ABS(BN131-BN133)&lt;=0.15,0,ROUND(BN131-BN133,1)),"")</f>
        <v>0</v>
      </c>
      <c r="BO134" s="264">
        <f>IF(ISNUMBER(BO133),IF(ABS(BO131-BO133)&lt;=0.15,0,ROUND(BO131-BO133,1)),"")</f>
        <v>0</v>
      </c>
      <c r="BP134" s="264">
        <f>IF(ISNUMBER(BP133),IF(ABS(BP131-BP133)&lt;=0.15,0,ROUND(BP131-BP133,1)),"")</f>
        <v>0</v>
      </c>
      <c r="BQ134" s="264">
        <f>IF(ISNUMBER(BQ133),IF(ABS(BQ131-BQ133)&lt;=0.15,0,ROUND(BQ131-BQ133,1)),"")</f>
        <v>0</v>
      </c>
      <c r="BR134" s="264">
        <f>IF(ISNUMBER(BR133),IF(ABS(BR131-BR133)&lt;=0.15,0,ROUND(BR131-BR133,1)),"")</f>
        <v>0</v>
      </c>
      <c r="BS134" s="264">
        <f>IF(ISNUMBER(BS133),IF(ABS(BS131-BS133)&lt;=0.15,0,ROUND(BS131-BS133,1)),"")</f>
        <v>0</v>
      </c>
      <c r="BT134" s="264">
        <f>IF(ISNUMBER(BT133),IF(ABS(BT131-BT133)&lt;=0.15,0,ROUND(BT131-BT133,1)),"")</f>
        <v>0</v>
      </c>
      <c r="BU134" s="264">
        <f>IF(ISNUMBER(BU133),IF(ABS(BU131-BU133)&lt;=0.15,0,ROUND(BU131-BU133,1)),"")</f>
        <v>0</v>
      </c>
      <c r="BV134" s="264">
        <f>IF(ISNUMBER(BV133),IF(ABS(BV131-BV133)&lt;=0.15,0,ROUND(BV131-BV133,1)),"")</f>
        <v>0</v>
      </c>
      <c r="BW134" s="264">
        <f>IF(ISNUMBER(BW133),IF(ABS(BW131-BW133)&lt;=0.15,0,ROUND(BW131-BW133,1)),"")</f>
        <v>0</v>
      </c>
      <c r="BX134" s="264">
        <f>IF(ISNUMBER(BX133),IF(ABS(BX131-BX133)&lt;=0.15,0,ROUND(BX131-BX133,1)),"")</f>
        <v>0</v>
      </c>
      <c r="BY134" s="153" t="n"/>
      <c r="BZ134" s="153" t="n"/>
      <c r="CA134" s="153" t="n"/>
      <c r="CB134" s="153" t="n"/>
      <c r="CC134" s="153" t="n"/>
      <c r="CD134" s="153" t="n"/>
      <c r="CE134" s="153" t="n"/>
      <c r="CF134" s="153" t="n"/>
      <c r="CG134" s="153" t="n"/>
    </row>
    <row r="135" ht="15" customHeight="1" s="251">
      <c r="B135" s="25" t="inlineStr">
        <is>
          <t>Interest expense</t>
        </is>
      </c>
      <c r="C135" s="253" t="n">
        <v>0</v>
      </c>
      <c r="D135" s="253" t="n">
        <v>0</v>
      </c>
      <c r="E135" s="253" t="n">
        <v>2.458</v>
      </c>
      <c r="F135" s="253" t="n">
        <v>6.475</v>
      </c>
      <c r="G135" s="253" t="n">
        <v>19.629</v>
      </c>
      <c r="H135" s="253" t="n">
        <v>20.025</v>
      </c>
      <c r="I135" s="253" t="n">
        <v>19.986</v>
      </c>
      <c r="J135" s="253" t="n">
        <v>6.74</v>
      </c>
      <c r="K135" s="253" t="n">
        <v>7.528</v>
      </c>
      <c r="L135" s="253" t="n">
        <v>7.436</v>
      </c>
      <c r="M135" s="253" t="n">
        <v>7.438</v>
      </c>
      <c r="N135" s="253" t="n">
        <v>29.142</v>
      </c>
      <c r="O135" s="253" t="n">
        <v>10.052</v>
      </c>
      <c r="P135" s="253" t="n">
        <v>13.328</v>
      </c>
      <c r="Q135" s="253" t="n">
        <v>13.486</v>
      </c>
      <c r="R135" s="253" t="n">
        <v>13.353</v>
      </c>
      <c r="S135" s="253" t="n">
        <v>50.219</v>
      </c>
      <c r="T135" s="253" t="n">
        <v>26.737</v>
      </c>
      <c r="U135" s="253" t="n">
        <v>35.217</v>
      </c>
      <c r="V135" s="253" t="n">
        <v>35.333</v>
      </c>
      <c r="W135" s="253" t="n">
        <v>35.429</v>
      </c>
      <c r="X135" s="253" t="n">
        <v>132.716</v>
      </c>
      <c r="Y135" s="253" t="n">
        <v>35.537</v>
      </c>
      <c r="Z135" s="253" t="n">
        <v>35.455</v>
      </c>
      <c r="AA135" s="253" t="n">
        <v>35.536</v>
      </c>
      <c r="AB135" s="253" t="n">
        <v>43.586</v>
      </c>
      <c r="AC135" s="253" t="n">
        <v>150.114</v>
      </c>
      <c r="AD135" s="253" t="n">
        <v>46.742</v>
      </c>
      <c r="AE135" s="253" t="n">
        <v>55.482</v>
      </c>
      <c r="AF135" s="253" t="n">
        <v>60.688</v>
      </c>
      <c r="AG135" s="253" t="n">
        <v>75.292</v>
      </c>
      <c r="AH135" s="253" t="n">
        <v>238.204</v>
      </c>
      <c r="AI135" s="253" t="n">
        <v>81.21899999999999</v>
      </c>
      <c r="AJ135" s="253" t="n">
        <v>101.605</v>
      </c>
      <c r="AK135" s="253" t="n">
        <v>108.862</v>
      </c>
      <c r="AL135" s="253" t="n">
        <v>128.807</v>
      </c>
      <c r="AM135" s="253" t="n">
        <v>420.493</v>
      </c>
      <c r="AN135" s="253" t="n">
        <v>135.529</v>
      </c>
      <c r="AO135" s="253" t="n">
        <v>152.033</v>
      </c>
      <c r="AP135" s="253" t="n">
        <v>160.66</v>
      </c>
      <c r="AQ135" s="253" t="n">
        <v>177.801</v>
      </c>
      <c r="AR135" s="253" t="n">
        <v>626.023</v>
      </c>
      <c r="AS135" s="253" t="n">
        <v>184.083</v>
      </c>
      <c r="AT135" s="253" t="n">
        <v>189.151</v>
      </c>
      <c r="AU135" s="253" t="n">
        <v>197.079</v>
      </c>
      <c r="AV135" s="253" t="n">
        <v>197.186</v>
      </c>
      <c r="AW135" s="253" t="n">
        <v>767.499</v>
      </c>
      <c r="AX135" s="253" t="n">
        <v>194.44</v>
      </c>
      <c r="AY135" s="253" t="n">
        <v>191.322</v>
      </c>
      <c r="AZ135" s="253" t="n">
        <v>190.429</v>
      </c>
      <c r="BA135" s="253" t="n">
        <v>189.429</v>
      </c>
      <c r="BB135" s="253" t="n">
        <v>765.62</v>
      </c>
      <c r="BC135" s="253" t="n">
        <v>187.579</v>
      </c>
      <c r="BD135" s="253" t="n">
        <v>175.455</v>
      </c>
      <c r="BE135" s="253" t="n">
        <v>172.575</v>
      </c>
      <c r="BF135" s="253" t="n">
        <v>170.603</v>
      </c>
      <c r="BG135" s="253" t="n">
        <v>706.212</v>
      </c>
      <c r="BH135" s="253" t="n">
        <v>174.239</v>
      </c>
      <c r="BI135" s="253" t="n">
        <v>174.812</v>
      </c>
      <c r="BJ135" s="253" t="n">
        <v>175.563</v>
      </c>
      <c r="BK135" s="253" t="n">
        <v>175.212</v>
      </c>
      <c r="BL135" s="253" t="n">
        <v>699.826</v>
      </c>
      <c r="BM135" s="253" t="n">
        <v>173.314</v>
      </c>
      <c r="BN135" s="253" t="n">
        <v>167.986</v>
      </c>
      <c r="BO135" s="253" t="n">
        <v>184.83</v>
      </c>
      <c r="BP135" s="253" t="n">
        <v>192.603</v>
      </c>
      <c r="BQ135" s="253" t="n">
        <v>718.7329999999999</v>
      </c>
      <c r="BR135" s="253" t="n">
        <v>184.172</v>
      </c>
      <c r="BS135" s="253" t="n">
        <v>182.649</v>
      </c>
      <c r="BT135" s="253" t="n">
        <v>175.294</v>
      </c>
      <c r="BU135" s="253" t="n">
        <v>234.395</v>
      </c>
      <c r="BV135" s="253" t="n">
        <v>776.51</v>
      </c>
      <c r="BW135" s="253" t="n">
        <v>262.077</v>
      </c>
      <c r="BX135" s="253" t="n">
        <v>175.685</v>
      </c>
      <c r="BY135" s="254">
        <f>$CQ$21</f>
        <v>185</v>
      </c>
      <c r="BZ135" s="254">
        <f>$CQ$21</f>
        <v>185</v>
      </c>
      <c r="CA135" s="254">
        <f>SUM(BW135:BZ135)</f>
        <v>807.762</v>
      </c>
      <c r="CB135" s="254">
        <f>CA335*CB344+CA341*CB345+CB346</f>
        <v>716.155994</v>
      </c>
      <c r="CC135" s="254">
        <f>CB335*CC344+CB341*CC345+CC346</f>
        <v>730.4653</v>
      </c>
      <c r="CD135" s="254">
        <f>CC335*CD344+CC341*CD345+CD346</f>
        <v>744.774606</v>
      </c>
      <c r="CE135" s="254">
        <f>CD335*CE344+CD341*CE345+CE346</f>
        <v>759.083912</v>
      </c>
      <c r="CF135" s="254">
        <f>CE335*CF344+CE341*CF345+CF346</f>
        <v>759.083912</v>
      </c>
      <c r="CG135" s="19" t="inlineStr">
        <is>
          <t>Q3/Q4-26E point estimate. 2027E+ = coupon rate × opening notes + rate × opening revolver + fees (no circularity).</t>
        </is>
      </c>
    </row>
    <row r="136" ht="15" customHeight="1" s="251">
      <c r="B136" s="25" t="inlineStr">
        <is>
          <t>Interest and other income (expense)</t>
        </is>
      </c>
      <c r="C136" s="253" t="n">
        <v>15.904</v>
      </c>
      <c r="D136" s="253" t="n">
        <v>20.34</v>
      </c>
      <c r="E136" s="253" t="n">
        <v>12.452</v>
      </c>
      <c r="F136" s="253" t="n">
        <v>6.728</v>
      </c>
      <c r="G136" s="253" t="n">
        <v>3.684</v>
      </c>
      <c r="H136" s="253" t="n">
        <v>3.479</v>
      </c>
      <c r="I136" s="253" t="n">
        <v>0.474</v>
      </c>
      <c r="J136" s="253" t="n">
        <v>0.977</v>
      </c>
      <c r="K136" s="253" t="n">
        <v>-2.94</v>
      </c>
      <c r="L136" s="253" t="n">
        <v>-0.193</v>
      </c>
      <c r="M136" s="253" t="n">
        <v>-0.846</v>
      </c>
      <c r="N136" s="253" t="n">
        <v>-3.002</v>
      </c>
      <c r="O136" s="253" t="n">
        <v>1.401</v>
      </c>
      <c r="P136" s="253" t="n">
        <v>1.1</v>
      </c>
      <c r="Q136" s="253" t="n">
        <v>0.616</v>
      </c>
      <c r="R136" s="253" t="n">
        <v>-6.177</v>
      </c>
      <c r="S136" s="253" t="n">
        <v>-3.06</v>
      </c>
      <c r="T136" s="253" t="n">
        <v>-32.293</v>
      </c>
      <c r="U136" s="253" t="n">
        <v>0.872</v>
      </c>
      <c r="V136" s="253" t="n">
        <v>3.93</v>
      </c>
      <c r="W136" s="253" t="n">
        <v>-3.734</v>
      </c>
      <c r="X136" s="253" t="n">
        <v>-31.225</v>
      </c>
      <c r="Y136" s="253" t="n">
        <v>25.963</v>
      </c>
      <c r="Z136" s="253" t="n">
        <v>16.317</v>
      </c>
      <c r="AA136" s="253" t="n">
        <v>8.627000000000001</v>
      </c>
      <c r="AB136" s="253" t="n">
        <v>-20.079</v>
      </c>
      <c r="AC136" s="253" t="n">
        <v>30.828</v>
      </c>
      <c r="AD136" s="253" t="n">
        <v>13.592</v>
      </c>
      <c r="AE136" s="253" t="n">
        <v>-58.363</v>
      </c>
      <c r="AF136" s="253" t="n">
        <v>-31.702</v>
      </c>
      <c r="AG136" s="253" t="n">
        <v>-38.681</v>
      </c>
      <c r="AH136" s="253" t="n">
        <v>-115.154</v>
      </c>
      <c r="AI136" s="253" t="n">
        <v>-65.74299999999999</v>
      </c>
      <c r="AJ136" s="253" t="n">
        <v>68.02800000000001</v>
      </c>
      <c r="AK136" s="253" t="n">
        <v>7.004</v>
      </c>
      <c r="AL136" s="253" t="n">
        <v>32.436</v>
      </c>
      <c r="AM136" s="253" t="n">
        <v>41.725</v>
      </c>
      <c r="AN136" s="253" t="n">
        <v>76.104</v>
      </c>
      <c r="AO136" s="253" t="n">
        <v>-53.47</v>
      </c>
      <c r="AP136" s="253" t="n">
        <v>192.744</v>
      </c>
      <c r="AQ136" s="253" t="n">
        <v>-131.378</v>
      </c>
      <c r="AR136" s="253" t="n">
        <v>84</v>
      </c>
      <c r="AS136" s="253" t="n">
        <v>21.697</v>
      </c>
      <c r="AT136" s="253" t="n">
        <v>-133.175</v>
      </c>
      <c r="AU136" s="253" t="n">
        <v>-256.324</v>
      </c>
      <c r="AV136" s="253" t="n">
        <v>-250.639</v>
      </c>
      <c r="AW136" s="253" t="n">
        <v>-618.441</v>
      </c>
      <c r="AX136" s="253" t="n">
        <v>269.086</v>
      </c>
      <c r="AY136" s="253" t="n">
        <v>-62.519</v>
      </c>
      <c r="AZ136" s="253" t="n">
        <v>96.13500000000001</v>
      </c>
      <c r="BA136" s="253" t="n">
        <v>108.512</v>
      </c>
      <c r="BB136" s="253" t="n">
        <v>411.214</v>
      </c>
      <c r="BC136" s="253" t="n">
        <v>195.645</v>
      </c>
      <c r="BD136" s="253" t="n">
        <v>220.226</v>
      </c>
      <c r="BE136" s="253" t="n">
        <v>261.404</v>
      </c>
      <c r="BF136" s="253" t="n">
        <v>-339.965</v>
      </c>
      <c r="BG136" s="253" t="n">
        <v>337.31</v>
      </c>
      <c r="BH136" s="253" t="n">
        <v>-71.20399999999999</v>
      </c>
      <c r="BI136" s="253" t="n">
        <v>26.961</v>
      </c>
      <c r="BJ136" s="253" t="n">
        <v>168.218</v>
      </c>
      <c r="BK136" s="253" t="n">
        <v>-172.747</v>
      </c>
      <c r="BL136" s="253" t="n">
        <v>-48.772</v>
      </c>
      <c r="BM136" s="253" t="n">
        <v>155.359</v>
      </c>
      <c r="BN136" s="253" t="n">
        <v>79.005</v>
      </c>
      <c r="BO136" s="253" t="n">
        <v>-21.693</v>
      </c>
      <c r="BP136" s="253" t="n">
        <v>54.105</v>
      </c>
      <c r="BQ136" s="253" t="n">
        <v>266.776</v>
      </c>
      <c r="BR136" s="253" t="n">
        <v>50.899</v>
      </c>
      <c r="BS136" s="253" t="n">
        <v>39.63</v>
      </c>
      <c r="BT136" s="253" t="n">
        <v>36.457</v>
      </c>
      <c r="BU136" s="253" t="n">
        <v>45.473</v>
      </c>
      <c r="BV136" s="253" t="n">
        <v>172.459</v>
      </c>
      <c r="BW136" s="253" t="n">
        <v>2852.166</v>
      </c>
      <c r="BX136" s="253" t="n">
        <v>51.661</v>
      </c>
      <c r="BY136" s="254">
        <f>$CQ$22</f>
        <v>50</v>
      </c>
      <c r="BZ136" s="254">
        <f>$CQ$22</f>
        <v>50</v>
      </c>
      <c r="CA136" s="254">
        <f>SUM(BW136:BZ136)</f>
        <v>3003.827</v>
      </c>
      <c r="CB136" s="254">
        <f>(CA252+CA286)*CB347</f>
        <v>214.050283333333</v>
      </c>
      <c r="CC136" s="254">
        <f>(CB252+CB286)*CC347</f>
        <v>236.464105293122</v>
      </c>
      <c r="CD136" s="254">
        <f>(CC252+CC286)*CD347</f>
        <v>258.919917153465</v>
      </c>
      <c r="CE136" s="254">
        <f>(CD252+CD286)*CE347</f>
        <v>280.982116531713</v>
      </c>
      <c r="CF136" s="254">
        <f>(CE252+CE286)*CF347</f>
        <v>302.759370205244</v>
      </c>
      <c r="CG136" s="19" t="inlineStr">
        <is>
          <t>Interest income, F/X remeasurement of euro debt and hedging, and (Q1-26) the $2.8bn WBD termination fee. Forecast: yield on opening cash and investments; F/X nil.</t>
        </is>
      </c>
    </row>
    <row r="137" ht="15" customHeight="1" s="251">
      <c r="B137" s="25" t="inlineStr">
        <is>
          <t>Loss on extinguishment of debt (2013–14)</t>
        </is>
      </c>
      <c r="C137" s="253" t="n">
        <v>0</v>
      </c>
      <c r="D137" s="253" t="n">
        <v>0</v>
      </c>
      <c r="E137" s="253" t="n">
        <v>0</v>
      </c>
      <c r="F137" s="253" t="n">
        <v>0</v>
      </c>
      <c r="G137" s="253" t="n">
        <v>0</v>
      </c>
      <c r="H137" s="253" t="n">
        <v>0</v>
      </c>
      <c r="I137" s="253" t="n">
        <v>0</v>
      </c>
      <c r="J137" s="253" t="n">
        <v>-25.129</v>
      </c>
      <c r="K137" s="253" t="n">
        <v>0</v>
      </c>
      <c r="L137" s="253" t="n">
        <v>0</v>
      </c>
      <c r="M137" s="253" t="n">
        <v>0</v>
      </c>
      <c r="N137" s="253" t="n">
        <v>-25.129</v>
      </c>
      <c r="O137" s="253" t="n">
        <v>0</v>
      </c>
      <c r="P137" s="253" t="n">
        <v>0</v>
      </c>
      <c r="Q137" s="253" t="n">
        <v>0</v>
      </c>
      <c r="R137" s="253" t="n">
        <v>0</v>
      </c>
      <c r="S137" s="253" t="n">
        <v>0</v>
      </c>
      <c r="T137" s="253" t="n">
        <v>0</v>
      </c>
      <c r="U137" s="253" t="n">
        <v>0</v>
      </c>
      <c r="V137" s="253" t="n">
        <v>0</v>
      </c>
      <c r="W137" s="253" t="n">
        <v>0</v>
      </c>
      <c r="X137" s="253" t="n">
        <v>0</v>
      </c>
      <c r="Y137" s="253" t="n">
        <v>0</v>
      </c>
      <c r="Z137" s="253" t="n">
        <v>0</v>
      </c>
      <c r="AA137" s="253" t="n">
        <v>0</v>
      </c>
      <c r="AB137" s="253" t="n">
        <v>0</v>
      </c>
      <c r="AC137" s="253" t="n">
        <v>0</v>
      </c>
      <c r="AD137" s="253" t="n">
        <v>0</v>
      </c>
      <c r="AE137" s="253" t="n">
        <v>0</v>
      </c>
      <c r="AF137" s="253" t="n">
        <v>0</v>
      </c>
      <c r="AG137" s="253" t="n">
        <v>0</v>
      </c>
      <c r="AH137" s="253" t="n">
        <v>0</v>
      </c>
      <c r="AI137" s="253" t="n">
        <v>0</v>
      </c>
      <c r="AJ137" s="253" t="n">
        <v>0</v>
      </c>
      <c r="AK137" s="253" t="n">
        <v>0</v>
      </c>
      <c r="AL137" s="253" t="n">
        <v>0</v>
      </c>
      <c r="AM137" s="253" t="n">
        <v>0</v>
      </c>
      <c r="AN137" s="253" t="n">
        <v>0</v>
      </c>
      <c r="AO137" s="253" t="n">
        <v>0</v>
      </c>
      <c r="AP137" s="253" t="n">
        <v>0</v>
      </c>
      <c r="AQ137" s="253" t="n">
        <v>0</v>
      </c>
      <c r="AR137" s="253" t="n">
        <v>0</v>
      </c>
      <c r="AS137" s="253" t="n">
        <v>0</v>
      </c>
      <c r="AT137" s="253" t="n">
        <v>0</v>
      </c>
      <c r="AU137" s="253" t="n">
        <v>0</v>
      </c>
      <c r="AV137" s="253" t="n">
        <v>0</v>
      </c>
      <c r="AW137" s="253" t="n">
        <v>0</v>
      </c>
      <c r="AX137" s="253" t="n">
        <v>0</v>
      </c>
      <c r="AY137" s="253" t="n">
        <v>0</v>
      </c>
      <c r="AZ137" s="253" t="n">
        <v>0</v>
      </c>
      <c r="BA137" s="253" t="n">
        <v>0</v>
      </c>
      <c r="BB137" s="253" t="n">
        <v>0</v>
      </c>
      <c r="BC137" s="253" t="n">
        <v>0</v>
      </c>
      <c r="BD137" s="253" t="n">
        <v>0</v>
      </c>
      <c r="BE137" s="253" t="n">
        <v>0</v>
      </c>
      <c r="BF137" s="253" t="n">
        <v>0</v>
      </c>
      <c r="BG137" s="253" t="n">
        <v>0</v>
      </c>
      <c r="BH137" s="253" t="n">
        <v>0</v>
      </c>
      <c r="BI137" s="253" t="n">
        <v>0</v>
      </c>
      <c r="BJ137" s="253" t="n">
        <v>0</v>
      </c>
      <c r="BK137" s="253" t="n">
        <v>0</v>
      </c>
      <c r="BL137" s="253" t="n">
        <v>0</v>
      </c>
      <c r="BM137" s="253" t="n">
        <v>0</v>
      </c>
      <c r="BN137" s="253" t="n">
        <v>0</v>
      </c>
      <c r="BO137" s="253" t="n">
        <v>0</v>
      </c>
      <c r="BP137" s="253" t="n">
        <v>0</v>
      </c>
      <c r="BQ137" s="253" t="n">
        <v>0</v>
      </c>
      <c r="BR137" s="253" t="n">
        <v>0</v>
      </c>
      <c r="BS137" s="253" t="n">
        <v>0</v>
      </c>
      <c r="BT137" s="253" t="n">
        <v>0</v>
      </c>
      <c r="BU137" s="253" t="n">
        <v>0</v>
      </c>
      <c r="BV137" s="253" t="n">
        <v>0</v>
      </c>
      <c r="BW137" s="253" t="n">
        <v>0</v>
      </c>
      <c r="BX137" s="253" t="n">
        <v>0</v>
      </c>
      <c r="BY137" s="254">
        <f>0</f>
        <v>0</v>
      </c>
      <c r="BZ137" s="254">
        <f>0</f>
        <v>0</v>
      </c>
      <c r="CA137" s="254">
        <f>SUM(BW137:BZ137)</f>
        <v>0</v>
      </c>
      <c r="CB137" s="254">
        <f>0</f>
        <v>0</v>
      </c>
      <c r="CC137" s="254">
        <f>0</f>
        <v>0</v>
      </c>
      <c r="CD137" s="254">
        <f>0</f>
        <v>0</v>
      </c>
      <c r="CE137" s="254">
        <f>0</f>
        <v>0</v>
      </c>
      <c r="CF137" s="254">
        <f>0</f>
        <v>0</v>
      </c>
      <c r="CG137" s="19" t="n"/>
    </row>
    <row r="138" ht="15" customHeight="1" s="251">
      <c r="B138" s="16" t="inlineStr">
        <is>
          <t>Income before income taxes</t>
        </is>
      </c>
      <c r="C138" s="278">
        <f>IF(ISNUMBER(C131),C131-C135+C136+N(C137),"")</f>
        <v>80.318</v>
      </c>
      <c r="D138" s="278">
        <f>IF(ISNUMBER(D131),D131-D135+D136+N(D137),"")</f>
        <v>111.501</v>
      </c>
      <c r="E138" s="278">
        <f>IF(ISNUMBER(E131),E131-E135+E136+N(E137),"")</f>
        <v>131.5</v>
      </c>
      <c r="F138" s="278">
        <f>IF(ISNUMBER(F131),F131-F135+F136+N(F137),"")</f>
        <v>192.192</v>
      </c>
      <c r="G138" s="278">
        <f>IF(ISNUMBER(G131),G131-G135+G136+N(G137),"")</f>
        <v>267.696</v>
      </c>
      <c r="H138" s="278">
        <f>IF(ISNUMBER(H131),H131-H135+H136+N(H137),"")</f>
        <v>359.522</v>
      </c>
      <c r="I138" s="278">
        <f>IF(ISNUMBER(I131),I131-I135+I136+N(I137),"")</f>
        <v>30.4800000000002</v>
      </c>
      <c r="J138" s="278">
        <f>IF(ISNUMBER(J131),J131-J135+J136+N(J137),"")</f>
        <v>0.92999999999995</v>
      </c>
      <c r="K138" s="278">
        <f>IF(ISNUMBER(K131),K131-K135+K136+N(K137),"")</f>
        <v>46.6490000000001</v>
      </c>
      <c r="L138" s="278">
        <f>IF(ISNUMBER(L131),L131-L135+L136+N(L137),"")</f>
        <v>49.491</v>
      </c>
      <c r="M138" s="278">
        <f>IF(ISNUMBER(M131),M131-M135+M136+N(M137),"")</f>
        <v>74.004</v>
      </c>
      <c r="N138" s="278">
        <f>IF(ISNUMBER(N131),N131-N135+N136+N(N137),"")</f>
        <v>171.074</v>
      </c>
      <c r="O138" s="278">
        <f>IF(ISNUMBER(O131),O131-O135+O136+N(O137),"")</f>
        <v>88.9439999999999</v>
      </c>
      <c r="P138" s="278">
        <f>IF(ISNUMBER(P131),P131-P135+P136+N(P137),"")</f>
        <v>117.372</v>
      </c>
      <c r="Q138" s="278">
        <f>IF(ISNUMBER(Q131),Q131-Q135+Q136+N(Q137),"")</f>
        <v>97.537</v>
      </c>
      <c r="R138" s="278">
        <f>IF(ISNUMBER(R131),R131-R135+R136+N(R137),"")</f>
        <v>45.5160000000001</v>
      </c>
      <c r="S138" s="278">
        <f>IF(ISNUMBER(S131),S131-S135+S136+N(S137),"")</f>
        <v>349.369</v>
      </c>
      <c r="T138" s="278">
        <f>IF(ISNUMBER(T131),T131-T135+T136+N(T137),"")</f>
        <v>38.4259999999998</v>
      </c>
      <c r="U138" s="278">
        <f>IF(ISNUMBER(U131),U131-U135+U136+N(U137),"")</f>
        <v>40.49</v>
      </c>
      <c r="V138" s="278">
        <f>IF(ISNUMBER(V131),V131-V135+V136+N(V137),"")</f>
        <v>42.238</v>
      </c>
      <c r="W138" s="278">
        <f>IF(ISNUMBER(W131),W131-W135+W136+N(W137),"")</f>
        <v>20.7310000000001</v>
      </c>
      <c r="X138" s="278">
        <f>IF(ISNUMBER(X131),X131-X135+X136+N(X137),"")</f>
        <v>141.885000000001</v>
      </c>
      <c r="Y138" s="278">
        <f>IF(ISNUMBER(Y131),Y131-Y135+Y136+N(Y137),"")</f>
        <v>39.8790000000002</v>
      </c>
      <c r="Z138" s="278">
        <f>IF(ISNUMBER(Z131),Z131-Z135+Z136+N(Z137),"")</f>
        <v>51.2320000000002</v>
      </c>
      <c r="AA138" s="278">
        <f>IF(ISNUMBER(AA131),AA131-AA135+AA136+N(AA137),"")</f>
        <v>79.1270000000001</v>
      </c>
      <c r="AB138" s="278">
        <f>IF(ISNUMBER(AB131),AB131-AB135+AB136+N(AB137),"")</f>
        <v>90.2690000000001</v>
      </c>
      <c r="AC138" s="278">
        <f>IF(ISNUMBER(AC131),AC131-AC135+AC136+N(AC137),"")</f>
        <v>260.507</v>
      </c>
      <c r="AD138" s="278">
        <f>IF(ISNUMBER(AD131),AD131-AD135+AD136+N(AD137),"")</f>
        <v>223.792</v>
      </c>
      <c r="AE138" s="278">
        <f>IF(ISNUMBER(AE131),AE131-AE135+AE136+N(AE137),"")</f>
        <v>13.9619999999999</v>
      </c>
      <c r="AF138" s="278">
        <f>IF(ISNUMBER(AF131),AF131-AF135+AF136+N(AF137),"")</f>
        <v>116.237</v>
      </c>
      <c r="AG138" s="278">
        <f>IF(ISNUMBER(AG131),AG131-AG135+AG136+N(AG137),"")</f>
        <v>131.33</v>
      </c>
      <c r="AH138" s="278">
        <f>IF(ISNUMBER(AH131),AH131-AH135+AH136+N(AH137),"")</f>
        <v>485.321</v>
      </c>
      <c r="AI138" s="278">
        <f>IF(ISNUMBER(AI131),AI131-AI135+AI136+N(AI137),"")</f>
        <v>299.616</v>
      </c>
      <c r="AJ138" s="278">
        <f>IF(ISNUMBER(AJ131),AJ131-AJ135+AJ136+N(AJ137),"")</f>
        <v>428.636</v>
      </c>
      <c r="AK138" s="278">
        <f>IF(ISNUMBER(AK131),AK131-AK135+AK136+N(AK137),"")</f>
        <v>378.81</v>
      </c>
      <c r="AL138" s="278">
        <f>IF(ISNUMBER(AL131),AL131-AL135+AL136+N(AL137),"")</f>
        <v>119.396</v>
      </c>
      <c r="AM138" s="278">
        <f>IF(ISNUMBER(AM131),AM131-AM135+AM136+N(AM137),"")</f>
        <v>1226.458</v>
      </c>
      <c r="AN138" s="278">
        <f>IF(ISNUMBER(AN131),AN131-AN135+AN136+N(AN137),"")</f>
        <v>399.659</v>
      </c>
      <c r="AO138" s="278">
        <f>IF(ISNUMBER(AO131),AO131-AO135+AO136+N(AO137),"")</f>
        <v>500.916</v>
      </c>
      <c r="AP138" s="278">
        <f>IF(ISNUMBER(AP131),AP131-AP135+AP136+N(AP137),"")</f>
        <v>1012.323</v>
      </c>
      <c r="AQ138" s="278">
        <f>IF(ISNUMBER(AQ131),AQ131-AQ135+AQ136+N(AQ137),"")</f>
        <v>149.333</v>
      </c>
      <c r="AR138" s="278">
        <f>IF(ISNUMBER(AR131),AR131-AR135+AR136+N(AR137),"")</f>
        <v>2062.231</v>
      </c>
      <c r="AS138" s="278">
        <f>IF(ISNUMBER(AS131),AS131-AS135+AS136+N(AS137),"")</f>
        <v>795.87</v>
      </c>
      <c r="AT138" s="278">
        <f>IF(ISNUMBER(AT131),AT131-AT135+AT136+N(AT137),"")</f>
        <v>1035.602</v>
      </c>
      <c r="AU138" s="278">
        <f>IF(ISNUMBER(AU131),AU131-AU135+AU136+N(AU137),"")</f>
        <v>861.46</v>
      </c>
      <c r="AV138" s="278">
        <f>IF(ISNUMBER(AV131),AV131-AV135+AV136+N(AV137),"")</f>
        <v>506.417</v>
      </c>
      <c r="AW138" s="278">
        <f>IF(ISNUMBER(AW131),AW131-AW135+AW136+N(AW137),"")</f>
        <v>3199.349</v>
      </c>
      <c r="AX138" s="278">
        <f>IF(ISNUMBER(AX131),AX131-AX135+AX136+N(AX137),"")</f>
        <v>2034.502</v>
      </c>
      <c r="AY138" s="278">
        <f>IF(ISNUMBER(AY131),AY131-AY135+AY136+N(AY137),"")</f>
        <v>1593.789</v>
      </c>
      <c r="AZ138" s="278">
        <f>IF(ISNUMBER(AZ131),AZ131-AZ135+AZ136+N(AZ137),"")</f>
        <v>1660.959</v>
      </c>
      <c r="BA138" s="278">
        <f>IF(ISNUMBER(BA131),BA131-BA135+BA136+N(BA137),"")</f>
        <v>550.853000000001</v>
      </c>
      <c r="BB138" s="278">
        <f>IF(ISNUMBER(BB131),BB131-BB135+BB136+N(BB137),"")</f>
        <v>5840.103</v>
      </c>
      <c r="BC138" s="278">
        <f>IF(ISNUMBER(BC131),BC131-BC135+BC136+N(BC137),"")</f>
        <v>1979.692</v>
      </c>
      <c r="BD138" s="278">
        <f>IF(ISNUMBER(BD131),BD131-BD135+BD136+N(BD137),"")</f>
        <v>1623.054</v>
      </c>
      <c r="BE138" s="278">
        <f>IF(ISNUMBER(BE131),BE131-BE135+BE136+N(BE137),"")</f>
        <v>1621.847</v>
      </c>
      <c r="BF138" s="278">
        <f>IF(ISNUMBER(BF131),BF131-BF135+BF136+N(BF137),"")</f>
        <v>39.3359999999999</v>
      </c>
      <c r="BG138" s="278">
        <f>IF(ISNUMBER(BG131),BG131-BG135+BG136+N(BG137),"")</f>
        <v>5263.929</v>
      </c>
      <c r="BH138" s="278">
        <f>IF(ISNUMBER(BH131),BH131-BH135+BH136+N(BH137),"")</f>
        <v>1468.874</v>
      </c>
      <c r="BI138" s="278">
        <f>IF(ISNUMBER(BI131),BI131-BI135+BI136+N(BI137),"")</f>
        <v>1679.332</v>
      </c>
      <c r="BJ138" s="278">
        <f>IF(ISNUMBER(BJ131),BJ131-BJ135+BJ136+N(BJ137),"")</f>
        <v>1909.049</v>
      </c>
      <c r="BK138" s="278">
        <f>IF(ISNUMBER(BK131),BK131-BK135+BK136+N(BK137),"")</f>
        <v>1148.15</v>
      </c>
      <c r="BL138" s="278">
        <f>IF(ISNUMBER(BL131),BL131-BL135+BL136+N(BL137),"")</f>
        <v>6205.405</v>
      </c>
      <c r="BM138" s="278">
        <f>IF(ISNUMBER(BM131),BM131-BM135+BM136+N(BM137),"")</f>
        <v>2614.579</v>
      </c>
      <c r="BN138" s="278">
        <f>IF(ISNUMBER(BN131),BN131-BN135+BN136+N(BN137),"")</f>
        <v>2513.856</v>
      </c>
      <c r="BO138" s="278">
        <f>IF(ISNUMBER(BO131),BO131-BO135+BO136+N(BO137),"")</f>
        <v>2702.954</v>
      </c>
      <c r="BP138" s="278">
        <f>IF(ISNUMBER(BP131),BP131-BP135+BP136+N(BP137),"")</f>
        <v>2134.268</v>
      </c>
      <c r="BQ138" s="278">
        <f>IF(ISNUMBER(BQ131),BQ131-BQ135+BQ136+N(BQ137),"")</f>
        <v>9965.657</v>
      </c>
      <c r="BR138" s="278">
        <f>IF(ISNUMBER(BR131),BR131-BR135+BR136+N(BR137),"")</f>
        <v>3213.726</v>
      </c>
      <c r="BS138" s="278">
        <f>IF(ISNUMBER(BS131),BS131-BS135+BS136+N(BS137),"")</f>
        <v>3631.675</v>
      </c>
      <c r="BT138" s="278">
        <f>IF(ISNUMBER(BT131),BT131-BT135+BT136+N(BT137),"")</f>
        <v>3109.41</v>
      </c>
      <c r="BU138" s="278">
        <f>IF(ISNUMBER(BU131),BU131-BU135+BU136+N(BU137),"")</f>
        <v>2767.741</v>
      </c>
      <c r="BV138" s="278">
        <f>IF(ISNUMBER(BV131),BV131-BV135+BV136+N(BV137),"")</f>
        <v>12722.552</v>
      </c>
      <c r="BW138" s="278">
        <f>IF(ISNUMBER(BW131),BW131-BW135+BW136+N(BW137),"")</f>
        <v>6547.086</v>
      </c>
      <c r="BX138" s="278">
        <f>IF(ISNUMBER(BX131),BX131-BX135+BX136+N(BX137),"")</f>
        <v>4068.586</v>
      </c>
      <c r="BY138" s="279">
        <f>IF(ISNUMBER(BY131),BY131-BY135+BY136+N(BY137),"")</f>
        <v>4134.52</v>
      </c>
      <c r="BZ138" s="279">
        <f>IF(ISNUMBER(BZ131),BZ131-BZ135+BZ136+N(BZ137),"")</f>
        <v>3573.873</v>
      </c>
      <c r="CA138" s="279">
        <f>IF(ISNUMBER(CA131),CA131-CA135+CA136+N(CA137),"")</f>
        <v>18324.065</v>
      </c>
      <c r="CB138" s="279">
        <f>IF(ISNUMBER(CB131),CB131-CB135+CB136+N(CB137),"")</f>
        <v>18451.9655749004</v>
      </c>
      <c r="CC138" s="279">
        <f>IF(ISNUMBER(CC131),CC131-CC135+CC136+N(CC137),"")</f>
        <v>21195.0480461842</v>
      </c>
      <c r="CD138" s="279">
        <f>IF(ISNUMBER(CD131),CD131-CD135+CD136+N(CD137),"")</f>
        <v>24065.3738993316</v>
      </c>
      <c r="CE138" s="279">
        <f>IF(ISNUMBER(CE131),CE131-CE135+CE136+N(CE137),"")</f>
        <v>26705.7160230037</v>
      </c>
      <c r="CF138" s="279">
        <f>IF(ISNUMBER(CF131),CF131-CF135+CF136+N(CF137),"")</f>
        <v>29402.736988817</v>
      </c>
      <c r="CG138" s="153" t="n"/>
    </row>
    <row r="139" ht="15" customHeight="1" s="251">
      <c r="B139" s="25" t="inlineStr">
        <is>
          <t>Provision for income taxes</t>
        </is>
      </c>
      <c r="C139" s="253" t="n">
        <v>31.236</v>
      </c>
      <c r="D139" s="253" t="n">
        <v>44.549</v>
      </c>
      <c r="E139" s="253" t="n">
        <v>48.474</v>
      </c>
      <c r="F139" s="253" t="n">
        <v>76.33199999999999</v>
      </c>
      <c r="G139" s="253" t="n">
        <v>106.843</v>
      </c>
      <c r="H139" s="253" t="n">
        <v>133.396</v>
      </c>
      <c r="I139" s="253" t="n">
        <v>13.328</v>
      </c>
      <c r="J139" s="253" t="n">
        <v>-1.759</v>
      </c>
      <c r="K139" s="253" t="n">
        <v>17.178</v>
      </c>
      <c r="L139" s="253" t="n">
        <v>17.669</v>
      </c>
      <c r="M139" s="253" t="n">
        <v>25.583</v>
      </c>
      <c r="N139" s="253" t="n">
        <v>58.671</v>
      </c>
      <c r="O139" s="253" t="n">
        <v>35.829</v>
      </c>
      <c r="P139" s="253" t="n">
        <v>46.354</v>
      </c>
      <c r="Q139" s="253" t="n">
        <v>38.242</v>
      </c>
      <c r="R139" s="253" t="n">
        <v>-37.855</v>
      </c>
      <c r="S139" s="253" t="n">
        <v>82.56999999999999</v>
      </c>
      <c r="T139" s="253" t="n">
        <v>14.73</v>
      </c>
      <c r="U139" s="253" t="n">
        <v>14.155</v>
      </c>
      <c r="V139" s="253" t="n">
        <v>12.806</v>
      </c>
      <c r="W139" s="253" t="n">
        <v>-22.447</v>
      </c>
      <c r="X139" s="253" t="n">
        <v>19.244</v>
      </c>
      <c r="Y139" s="253" t="n">
        <v>12.221</v>
      </c>
      <c r="Z139" s="253" t="n">
        <v>10.477</v>
      </c>
      <c r="AA139" s="253" t="n">
        <v>27.61</v>
      </c>
      <c r="AB139" s="253" t="n">
        <v>23.521</v>
      </c>
      <c r="AC139" s="253" t="n">
        <v>73.82899999999999</v>
      </c>
      <c r="AD139" s="253" t="n">
        <v>45.57</v>
      </c>
      <c r="AE139" s="253" t="n">
        <v>-51.638</v>
      </c>
      <c r="AF139" s="253" t="n">
        <v>-13.353</v>
      </c>
      <c r="AG139" s="253" t="n">
        <v>-54.187</v>
      </c>
      <c r="AH139" s="253" t="n">
        <v>-73.608</v>
      </c>
      <c r="AI139" s="253" t="n">
        <v>9.492000000000001</v>
      </c>
      <c r="AJ139" s="253" t="n">
        <v>44.287</v>
      </c>
      <c r="AK139" s="253" t="n">
        <v>-24.025</v>
      </c>
      <c r="AL139" s="253" t="n">
        <v>-14.538</v>
      </c>
      <c r="AM139" s="253" t="n">
        <v>15.216</v>
      </c>
      <c r="AN139" s="253" t="n">
        <v>55.607</v>
      </c>
      <c r="AO139" s="253" t="n">
        <v>230.266</v>
      </c>
      <c r="AP139" s="253" t="n">
        <v>347.079</v>
      </c>
      <c r="AQ139" s="253" t="n">
        <v>-437.637</v>
      </c>
      <c r="AR139" s="253" t="n">
        <v>195.315</v>
      </c>
      <c r="AS139" s="253" t="n">
        <v>86.803</v>
      </c>
      <c r="AT139" s="253" t="n">
        <v>315.406</v>
      </c>
      <c r="AU139" s="253" t="n">
        <v>71.48399999999999</v>
      </c>
      <c r="AV139" s="253" t="n">
        <v>-35.739</v>
      </c>
      <c r="AW139" s="253" t="n">
        <v>437.954</v>
      </c>
      <c r="AX139" s="253" t="n">
        <v>327.787</v>
      </c>
      <c r="AY139" s="253" t="n">
        <v>240.776</v>
      </c>
      <c r="AZ139" s="253" t="n">
        <v>211.888</v>
      </c>
      <c r="BA139" s="253" t="n">
        <v>-56.576</v>
      </c>
      <c r="BB139" s="253" t="n">
        <v>723.875</v>
      </c>
      <c r="BC139" s="253" t="n">
        <v>382.245</v>
      </c>
      <c r="BD139" s="253" t="n">
        <v>182.103</v>
      </c>
      <c r="BE139" s="253" t="n">
        <v>223.605</v>
      </c>
      <c r="BF139" s="253" t="n">
        <v>-15.948</v>
      </c>
      <c r="BG139" s="253" t="n">
        <v>772.005</v>
      </c>
      <c r="BH139" s="253" t="n">
        <v>163.754</v>
      </c>
      <c r="BI139" s="253" t="n">
        <v>191.722</v>
      </c>
      <c r="BJ139" s="253" t="n">
        <v>231.627</v>
      </c>
      <c r="BK139" s="253" t="n">
        <v>210.312</v>
      </c>
      <c r="BL139" s="253" t="n">
        <v>797.415</v>
      </c>
      <c r="BM139" s="253" t="n">
        <v>282.37</v>
      </c>
      <c r="BN139" s="253" t="n">
        <v>366.55</v>
      </c>
      <c r="BO139" s="253" t="n">
        <v>339.445</v>
      </c>
      <c r="BP139" s="253" t="n">
        <v>265.661</v>
      </c>
      <c r="BQ139" s="253" t="n">
        <v>1254.026</v>
      </c>
      <c r="BR139" s="253" t="n">
        <v>323.375</v>
      </c>
      <c r="BS139" s="253" t="n">
        <v>506.262</v>
      </c>
      <c r="BT139" s="253" t="n">
        <v>562.494</v>
      </c>
      <c r="BU139" s="253" t="n">
        <v>349.22</v>
      </c>
      <c r="BV139" s="253" t="n">
        <v>1741.351</v>
      </c>
      <c r="BW139" s="253" t="n">
        <v>1264.295</v>
      </c>
      <c r="BX139" s="253" t="n">
        <v>667.172</v>
      </c>
      <c r="BY139" s="254">
        <f>BY138*BY140</f>
        <v>682.1958</v>
      </c>
      <c r="BZ139" s="254">
        <f>BZ138*BZ140</f>
        <v>589.689045</v>
      </c>
      <c r="CA139" s="254">
        <f>SUM(BW139:BZ139)</f>
        <v>3203.351845</v>
      </c>
      <c r="CB139" s="254">
        <f>CB138*CB140</f>
        <v>3136.83414773306</v>
      </c>
      <c r="CC139" s="254">
        <f>CC138*CC140</f>
        <v>3603.15816785131</v>
      </c>
      <c r="CD139" s="254">
        <f>CD138*CD140</f>
        <v>4091.11356288637</v>
      </c>
      <c r="CE139" s="254">
        <f>CE138*CE140</f>
        <v>4539.97172391063</v>
      </c>
      <c r="CF139" s="254">
        <f>CF138*CF140</f>
        <v>4998.4652880989</v>
      </c>
      <c r="CG139" s="19" t="n"/>
    </row>
    <row r="140" ht="15" customHeight="1" s="251">
      <c r="B140" s="25" t="inlineStr">
        <is>
          <t xml:space="preserve">  Effective tax rate</t>
        </is>
      </c>
      <c r="C140" s="215">
        <f>IF(AND(ISNUMBER(C139),ISNUMBER(C138)),IFERROR(C139/C138,""),"")</f>
        <v>0.388904106177943</v>
      </c>
      <c r="D140" s="215">
        <f>IF(AND(ISNUMBER(D139),ISNUMBER(D138)),IFERROR(D139/D138,""),"")</f>
        <v>0.399539017587287</v>
      </c>
      <c r="E140" s="215">
        <f>IF(AND(ISNUMBER(E139),ISNUMBER(E138)),IFERROR(E139/E138,""),"")</f>
        <v>0.368623574144487</v>
      </c>
      <c r="F140" s="215">
        <f>IF(AND(ISNUMBER(F139),ISNUMBER(F138)),IFERROR(F139/F138,""),"")</f>
        <v>0.397165334665335</v>
      </c>
      <c r="G140" s="215">
        <f>IF(AND(ISNUMBER(G139),ISNUMBER(G138)),IFERROR(G139/G138,""),"")</f>
        <v>0.399120644312952</v>
      </c>
      <c r="H140" s="215">
        <f>IF(AND(ISNUMBER(H139),ISNUMBER(H138)),IFERROR(H139/H138,""),"")</f>
        <v>0.371037099259572</v>
      </c>
      <c r="I140" s="215">
        <f>IF(AND(ISNUMBER(I139),ISNUMBER(I138)),IFERROR(I139/I138,""),"")</f>
        <v>0.437270341207346</v>
      </c>
      <c r="J140" s="215">
        <f>IF(AND(ISNUMBER(J139),ISNUMBER(J138)),IFERROR(J139/J138,""),"")</f>
        <v>-1.89139784946247</v>
      </c>
      <c r="K140" s="215">
        <f>IF(AND(ISNUMBER(K139),ISNUMBER(K138)),IFERROR(K139/K138,""),"")</f>
        <v>0.368239404917575</v>
      </c>
      <c r="L140" s="215">
        <f>IF(AND(ISNUMBER(L139),ISNUMBER(L138)),IFERROR(L139/L138,""),"")</f>
        <v>0.357014406659797</v>
      </c>
      <c r="M140" s="215">
        <f>IF(AND(ISNUMBER(M139),ISNUMBER(M138)),IFERROR(M139/M138,""),"")</f>
        <v>0.345697529863251</v>
      </c>
      <c r="N140" s="215">
        <f>IF(AND(ISNUMBER(N139),ISNUMBER(N138)),IFERROR(N139/N138,""),"")</f>
        <v>0.342956849082853</v>
      </c>
      <c r="O140" s="215">
        <f>IF(AND(ISNUMBER(O139),ISNUMBER(O138)),IFERROR(O139/O138,""),"")</f>
        <v>0.402826497571506</v>
      </c>
      <c r="P140" s="215">
        <f>IF(AND(ISNUMBER(P139),ISNUMBER(P138)),IFERROR(P139/P138,""),"")</f>
        <v>0.394932351838599</v>
      </c>
      <c r="Q140" s="215">
        <f>IF(AND(ISNUMBER(Q139),ISNUMBER(Q138)),IFERROR(Q139/Q138,""),"")</f>
        <v>0.392076852886597</v>
      </c>
      <c r="R140" s="215">
        <f>IF(AND(ISNUMBER(R139),ISNUMBER(R138)),IFERROR(R139/R138,""),"")</f>
        <v>-0.831685561121363</v>
      </c>
      <c r="S140" s="215">
        <f>IF(AND(ISNUMBER(S139),ISNUMBER(S138)),IFERROR(S139/S138,""),"")</f>
        <v>0.236340373645058</v>
      </c>
      <c r="T140" s="215">
        <f>IF(AND(ISNUMBER(T139),ISNUMBER(T138)),IFERROR(T139/T138,""),"")</f>
        <v>0.383334200801542</v>
      </c>
      <c r="U140" s="215">
        <f>IF(AND(ISNUMBER(U139),ISNUMBER(U138)),IFERROR(U139/U138,""),"")</f>
        <v>0.349592491973327</v>
      </c>
      <c r="V140" s="215">
        <f>IF(AND(ISNUMBER(V139),ISNUMBER(V138)),IFERROR(V139/V138,""),"")</f>
        <v>0.303186703915905</v>
      </c>
      <c r="W140" s="215">
        <f>IF(AND(ISNUMBER(W139),ISNUMBER(W138)),IFERROR(W139/W138,""),"")</f>
        <v>-1.08277458878008</v>
      </c>
      <c r="X140" s="215">
        <f>IF(AND(ISNUMBER(X139),ISNUMBER(X138)),IFERROR(X139/X138,""),"")</f>
        <v>0.135630968742291</v>
      </c>
      <c r="Y140" s="215">
        <f>IF(AND(ISNUMBER(Y139),ISNUMBER(Y138)),IFERROR(Y139/Y138,""),"")</f>
        <v>0.30645201735249</v>
      </c>
      <c r="Z140" s="215">
        <f>IF(AND(ISNUMBER(Z139),ISNUMBER(Z138)),IFERROR(Z139/Z138,""),"")</f>
        <v>0.204501093066832</v>
      </c>
      <c r="AA140" s="215">
        <f>IF(AND(ISNUMBER(AA139),ISNUMBER(AA138)),IFERROR(AA139/AA138,""),"")</f>
        <v>0.34893272839865</v>
      </c>
      <c r="AB140" s="215">
        <f>IF(AND(ISNUMBER(AB139),ISNUMBER(AB138)),IFERROR(AB139/AB138,""),"")</f>
        <v>0.260565642690181</v>
      </c>
      <c r="AC140" s="215">
        <f>IF(AND(ISNUMBER(AC139),ISNUMBER(AC138)),IFERROR(AC139/AC138,""),"")</f>
        <v>0.283405052455404</v>
      </c>
      <c r="AD140" s="215">
        <f>IF(AND(ISNUMBER(AD139),ISNUMBER(AD138)),IFERROR(AD139/AD138,""),"")</f>
        <v>0.203626581825981</v>
      </c>
      <c r="AE140" s="215">
        <f>IF(AND(ISNUMBER(AE139),ISNUMBER(AE138)),IFERROR(AE139/AE138,""),"")</f>
        <v>-3.69846726829969</v>
      </c>
      <c r="AF140" s="215">
        <f>IF(AND(ISNUMBER(AF139),ISNUMBER(AF138)),IFERROR(AF139/AF138,""),"")</f>
        <v>-0.1148773626298</v>
      </c>
      <c r="AG140" s="215">
        <f>IF(AND(ISNUMBER(AG139),ISNUMBER(AG138)),IFERROR(AG139/AG138,""),"")</f>
        <v>-0.412601842686362</v>
      </c>
      <c r="AH140" s="215">
        <f>IF(AND(ISNUMBER(AH139),ISNUMBER(AH138)),IFERROR(AH139/AH138,""),"")</f>
        <v>-0.151668689382903</v>
      </c>
      <c r="AI140" s="215">
        <f>IF(AND(ISNUMBER(AI139),ISNUMBER(AI138)),IFERROR(AI139/AI138,""),"")</f>
        <v>0.0316805511054149</v>
      </c>
      <c r="AJ140" s="215">
        <f>IF(AND(ISNUMBER(AJ139),ISNUMBER(AJ138)),IFERROR(AJ139/AJ138,""),"")</f>
        <v>0.103320766337872</v>
      </c>
      <c r="AK140" s="215">
        <f>IF(AND(ISNUMBER(AK139),ISNUMBER(AK138)),IFERROR(AK139/AK138,""),"")</f>
        <v>-0.0634222961379056</v>
      </c>
      <c r="AL140" s="215">
        <f>IF(AND(ISNUMBER(AL139),ISNUMBER(AL138)),IFERROR(AL139/AL138,""),"")</f>
        <v>-0.121762873128078</v>
      </c>
      <c r="AM140" s="215">
        <f>IF(AND(ISNUMBER(AM139),ISNUMBER(AM138)),IFERROR(AM139/AM138,""),"")</f>
        <v>0.0124064582725214</v>
      </c>
      <c r="AN140" s="215">
        <f>IF(AND(ISNUMBER(AN139),ISNUMBER(AN138)),IFERROR(AN139/AN138,""),"")</f>
        <v>0.13913611353679</v>
      </c>
      <c r="AO140" s="215">
        <f>IF(AND(ISNUMBER(AO139),ISNUMBER(AO138)),IFERROR(AO139/AO138,""),"")</f>
        <v>0.459689848198101</v>
      </c>
      <c r="AP140" s="215">
        <f>IF(AND(ISNUMBER(AP139),ISNUMBER(AP138)),IFERROR(AP139/AP138,""),"")</f>
        <v>0.342854010034347</v>
      </c>
      <c r="AQ140" s="215">
        <f>IF(AND(ISNUMBER(AQ139),ISNUMBER(AQ138)),IFERROR(AQ139/AQ138,""),"")</f>
        <v>-2.9306114522577</v>
      </c>
      <c r="AR140" s="215">
        <f>IF(AND(ISNUMBER(AR139),ISNUMBER(AR138)),IFERROR(AR139/AR138,""),"")</f>
        <v>0.0947105343678763</v>
      </c>
      <c r="AS140" s="215">
        <f>IF(AND(ISNUMBER(AS139),ISNUMBER(AS138)),IFERROR(AS139/AS138,""),"")</f>
        <v>0.109066807393167</v>
      </c>
      <c r="AT140" s="215">
        <f>IF(AND(ISNUMBER(AT139),ISNUMBER(AT138)),IFERROR(AT139/AT138,""),"")</f>
        <v>0.304562949859116</v>
      </c>
      <c r="AU140" s="215">
        <f>IF(AND(ISNUMBER(AU139),ISNUMBER(AU138)),IFERROR(AU139/AU138,""),"")</f>
        <v>0.0829800571123442</v>
      </c>
      <c r="AV140" s="215">
        <f>IF(AND(ISNUMBER(AV139),ISNUMBER(AV138)),IFERROR(AV139/AV138,""),"")</f>
        <v>-0.0705722754172944</v>
      </c>
      <c r="AW140" s="215">
        <f>IF(AND(ISNUMBER(AW139),ISNUMBER(AW138)),IFERROR(AW139/AW138,""),"")</f>
        <v>0.136888473248776</v>
      </c>
      <c r="AX140" s="215">
        <f>IF(AND(ISNUMBER(AX139),ISNUMBER(AX138)),IFERROR(AX139/AX138,""),"")</f>
        <v>0.161114120310523</v>
      </c>
      <c r="AY140" s="215">
        <f>IF(AND(ISNUMBER(AY139),ISNUMBER(AY138)),IFERROR(AY139/AY138,""),"")</f>
        <v>0.151071440447889</v>
      </c>
      <c r="AZ140" s="215">
        <f>IF(AND(ISNUMBER(AZ139),ISNUMBER(AZ138)),IFERROR(AZ139/AZ138,""),"")</f>
        <v>0.12756967510938</v>
      </c>
      <c r="BA140" s="215">
        <f>IF(AND(ISNUMBER(BA139),ISNUMBER(BA138)),IFERROR(BA139/BA138,""),"")</f>
        <v>-0.102706166617954</v>
      </c>
      <c r="BB140" s="215">
        <f>IF(AND(ISNUMBER(BB139),ISNUMBER(BB138)),IFERROR(BB139/BB138,""),"")</f>
        <v>0.123949012543101</v>
      </c>
      <c r="BC140" s="215">
        <f>IF(AND(ISNUMBER(BC139),ISNUMBER(BC138)),IFERROR(BC139/BC138,""),"")</f>
        <v>0.193083065446544</v>
      </c>
      <c r="BD140" s="215">
        <f>IF(AND(ISNUMBER(BD139),ISNUMBER(BD138)),IFERROR(BD139/BD138,""),"")</f>
        <v>0.112197745731196</v>
      </c>
      <c r="BE140" s="215">
        <f>IF(AND(ISNUMBER(BE139),ISNUMBER(BE138)),IFERROR(BE139/BE138,""),"")</f>
        <v>0.137870588286071</v>
      </c>
      <c r="BF140" s="215">
        <f>IF(AND(ISNUMBER(BF139),ISNUMBER(BF138)),IFERROR(BF139/BF138,""),"")</f>
        <v>-0.40543014032947</v>
      </c>
      <c r="BG140" s="215">
        <f>IF(AND(ISNUMBER(BG139),ISNUMBER(BG138)),IFERROR(BG139/BG138,""),"")</f>
        <v>0.146659462922087</v>
      </c>
      <c r="BH140" s="215">
        <f>IF(AND(ISNUMBER(BH139),ISNUMBER(BH138)),IFERROR(BH139/BH138,""),"")</f>
        <v>0.111482673122405</v>
      </c>
      <c r="BI140" s="215">
        <f>IF(AND(ISNUMBER(BI139),ISNUMBER(BI138)),IFERROR(BI139/BI138,""),"")</f>
        <v>0.114165632525314</v>
      </c>
      <c r="BJ140" s="215">
        <f>IF(AND(ISNUMBER(BJ139),ISNUMBER(BJ138)),IFERROR(BJ139/BJ138,""),"")</f>
        <v>0.121331092077783</v>
      </c>
      <c r="BK140" s="215">
        <f>IF(AND(ISNUMBER(BK139),ISNUMBER(BK138)),IFERROR(BK139/BK138,""),"")</f>
        <v>0.183174672298916</v>
      </c>
      <c r="BL140" s="215">
        <f>IF(AND(ISNUMBER(BL139),ISNUMBER(BL138)),IFERROR(BL139/BL138,""),"")</f>
        <v>0.128503296722776</v>
      </c>
      <c r="BM140" s="215">
        <f>IF(AND(ISNUMBER(BM139),ISNUMBER(BM138)),IFERROR(BM139/BM138,""),"")</f>
        <v>0.107998266642546</v>
      </c>
      <c r="BN140" s="215">
        <f>IF(AND(ISNUMBER(BN139),ISNUMBER(BN138)),IFERROR(BN139/BN138,""),"")</f>
        <v>0.145811852389317</v>
      </c>
      <c r="BO140" s="215">
        <f>IF(AND(ISNUMBER(BO139),ISNUMBER(BO138)),IFERROR(BO139/BO138,""),"")</f>
        <v>0.125582973295143</v>
      </c>
      <c r="BP140" s="215">
        <f>IF(AND(ISNUMBER(BP139),ISNUMBER(BP138)),IFERROR(BP139/BP138,""),"")</f>
        <v>0.124474058553096</v>
      </c>
      <c r="BQ140" s="215">
        <f>IF(AND(ISNUMBER(BQ139),ISNUMBER(BQ138)),IFERROR(BQ139/BQ138,""),"")</f>
        <v>0.125834754296681</v>
      </c>
      <c r="BR140" s="215">
        <f>IF(AND(ISNUMBER(BR139),ISNUMBER(BR138)),IFERROR(BR139/BR138,""),"")</f>
        <v>0.100623077387431</v>
      </c>
      <c r="BS140" s="215">
        <f>IF(AND(ISNUMBER(BS139),ISNUMBER(BS138)),IFERROR(BS139/BS138,""),"")</f>
        <v>0.139401791184509</v>
      </c>
      <c r="BT140" s="215">
        <f>IF(AND(ISNUMBER(BT139),ISNUMBER(BT138)),IFERROR(BT139/BT138,""),"")</f>
        <v>0.180900556697251</v>
      </c>
      <c r="BU140" s="215">
        <f>IF(AND(ISNUMBER(BU139),ISNUMBER(BU138)),IFERROR(BU139/BU138,""),"")</f>
        <v>0.126175100921654</v>
      </c>
      <c r="BV140" s="215">
        <f>IF(AND(ISNUMBER(BV139),ISNUMBER(BV138)),IFERROR(BV139/BV138,""),"")</f>
        <v>0.136871203198855</v>
      </c>
      <c r="BW140" s="215">
        <f>IF(AND(ISNUMBER(BW139),ISNUMBER(BW138)),IFERROR(BW139/BW138,""),"")</f>
        <v>0.193108048374498</v>
      </c>
      <c r="BX140" s="215">
        <f>IF(AND(ISNUMBER(BX139),ISNUMBER(BX138)),IFERROR(BX139/BX138,""),"")</f>
        <v>0.163981294729914</v>
      </c>
      <c r="BY140" s="256">
        <f>$CQ$23</f>
        <v>0.165</v>
      </c>
      <c r="BZ140" s="256">
        <f>$CQ$23</f>
        <v>0.165</v>
      </c>
      <c r="CA140" s="256">
        <f>IF(AND(ISNUMBER(CA139),ISNUMBER(CA138)),IFERROR(CA139/CA138,""),"")</f>
        <v>0.1748166602225</v>
      </c>
      <c r="CB140" s="274" t="n">
        <v>0.17</v>
      </c>
      <c r="CC140" s="274" t="n">
        <v>0.17</v>
      </c>
      <c r="CD140" s="274" t="n">
        <v>0.17</v>
      </c>
      <c r="CE140" s="274" t="n">
        <v>0.17</v>
      </c>
      <c r="CF140" s="274" t="n">
        <v>0.17</v>
      </c>
      <c r="CG140" s="153" t="inlineStr">
        <is>
          <t>Q3/Q4-26E: rate implied by the Q3-26 guide (net income $3,452m on operating income $4,268m). 2027E+: input.</t>
        </is>
      </c>
      <c r="CI140" s="37">
        <f>IFERROR(AVERAGE(CB140,CC140,CD140,CE140,CF140),"n/m")</f>
        <v>0.17</v>
      </c>
      <c r="CJ140" s="37">
        <f>IFERROR(AVERAGE(BB140,BG140,BL140,BQ140,BV140),"n/m")</f>
        <v>0.1323635459367</v>
      </c>
      <c r="CK140" s="37">
        <f>IFERROR(AVERAGE(AC140,AH140,AM140,AR140,AW140,BB140,BG140,BL140,BQ140,BV140),"n/m")</f>
        <v>0.103755955864518</v>
      </c>
      <c r="CL140" s="37">
        <f>IFERROR(AVERAGE(C140,D140,E140,F140,G140,H140,I140,N140,S140,X140,AC140,AH140,AM140,AR140,AW140,BB140,BG140,BL140,BQ140,BV140),"n/m")</f>
        <v>0.225707393373515</v>
      </c>
    </row>
    <row r="141" ht="15" customHeight="1" s="251">
      <c r="B141" s="55" t="inlineStr">
        <is>
          <t>Net income</t>
        </is>
      </c>
      <c r="C141" s="271">
        <f>IF(ISNUMBER(C138),C138-C139,"")</f>
        <v>49.082</v>
      </c>
      <c r="D141" s="271">
        <f>IF(ISNUMBER(D138),D138-D139,"")</f>
        <v>66.9519999999999</v>
      </c>
      <c r="E141" s="271">
        <f>IF(ISNUMBER(E138),E138-E139,"")</f>
        <v>83.026</v>
      </c>
      <c r="F141" s="271">
        <f>IF(ISNUMBER(F138),F138-F139,"")</f>
        <v>115.86</v>
      </c>
      <c r="G141" s="271">
        <f>IF(ISNUMBER(G138),G138-G139,"")</f>
        <v>160.853</v>
      </c>
      <c r="H141" s="271">
        <f>IF(ISNUMBER(H138),H138-H139,"")</f>
        <v>226.126</v>
      </c>
      <c r="I141" s="271">
        <f>IF(ISNUMBER(I138),I138-I139,"")</f>
        <v>17.1520000000002</v>
      </c>
      <c r="J141" s="271">
        <f>IF(ISNUMBER(J138),J138-J139,"")</f>
        <v>2.68899999999995</v>
      </c>
      <c r="K141" s="271">
        <f>IF(ISNUMBER(K138),K138-K139,"")</f>
        <v>29.4710000000001</v>
      </c>
      <c r="L141" s="271">
        <f>IF(ISNUMBER(L138),L138-L139,"")</f>
        <v>31.822</v>
      </c>
      <c r="M141" s="271">
        <f>IF(ISNUMBER(M138),M138-M139,"")</f>
        <v>48.421</v>
      </c>
      <c r="N141" s="271">
        <f>IF(ISNUMBER(N138),N138-N139,"")</f>
        <v>112.403</v>
      </c>
      <c r="O141" s="271">
        <f>IF(ISNUMBER(O138),O138-O139,"")</f>
        <v>53.1149999999999</v>
      </c>
      <c r="P141" s="271">
        <f>IF(ISNUMBER(P138),P138-P139,"")</f>
        <v>71.0179999999999</v>
      </c>
      <c r="Q141" s="271">
        <f>IF(ISNUMBER(Q138),Q138-Q139,"")</f>
        <v>59.295</v>
      </c>
      <c r="R141" s="271">
        <f>IF(ISNUMBER(R138),R138-R139,"")</f>
        <v>83.3710000000001</v>
      </c>
      <c r="S141" s="271">
        <f>IF(ISNUMBER(S138),S138-S139,"")</f>
        <v>266.799</v>
      </c>
      <c r="T141" s="271">
        <f>IF(ISNUMBER(T138),T138-T139,"")</f>
        <v>23.6959999999998</v>
      </c>
      <c r="U141" s="271">
        <f>IF(ISNUMBER(U138),U138-U139,"")</f>
        <v>26.335</v>
      </c>
      <c r="V141" s="271">
        <f>IF(ISNUMBER(V138),V138-V139,"")</f>
        <v>29.432</v>
      </c>
      <c r="W141" s="271">
        <f>IF(ISNUMBER(W138),W138-W139,"")</f>
        <v>43.1780000000001</v>
      </c>
      <c r="X141" s="271">
        <f>IF(ISNUMBER(X138),X138-X139,"")</f>
        <v>122.641000000001</v>
      </c>
      <c r="Y141" s="271">
        <f>IF(ISNUMBER(Y138),Y138-Y139,"")</f>
        <v>27.6580000000001</v>
      </c>
      <c r="Z141" s="271">
        <f>IF(ISNUMBER(Z138),Z138-Z139,"")</f>
        <v>40.7550000000002</v>
      </c>
      <c r="AA141" s="271">
        <f>IF(ISNUMBER(AA138),AA138-AA139,"")</f>
        <v>51.5170000000001</v>
      </c>
      <c r="AB141" s="271">
        <f>IF(ISNUMBER(AB138),AB138-AB139,"")</f>
        <v>66.7480000000001</v>
      </c>
      <c r="AC141" s="271">
        <f>IF(ISNUMBER(AC138),AC138-AC139,"")</f>
        <v>186.678</v>
      </c>
      <c r="AD141" s="271">
        <f>IF(ISNUMBER(AD138),AD138-AD139,"")</f>
        <v>178.222</v>
      </c>
      <c r="AE141" s="271">
        <f>IF(ISNUMBER(AE138),AE138-AE139,"")</f>
        <v>65.5999999999999</v>
      </c>
      <c r="AF141" s="271">
        <f>IF(ISNUMBER(AF138),AF138-AF139,"")</f>
        <v>129.59</v>
      </c>
      <c r="AG141" s="271">
        <f>IF(ISNUMBER(AG138),AG138-AG139,"")</f>
        <v>185.517</v>
      </c>
      <c r="AH141" s="271">
        <f>IF(ISNUMBER(AH138),AH138-AH139,"")</f>
        <v>558.929</v>
      </c>
      <c r="AI141" s="271">
        <f>IF(ISNUMBER(AI138),AI138-AI139,"")</f>
        <v>290.124</v>
      </c>
      <c r="AJ141" s="271">
        <f>IF(ISNUMBER(AJ138),AJ138-AJ139,"")</f>
        <v>384.349</v>
      </c>
      <c r="AK141" s="271">
        <f>IF(ISNUMBER(AK138),AK138-AK139,"")</f>
        <v>402.835</v>
      </c>
      <c r="AL141" s="271">
        <f>IF(ISNUMBER(AL138),AL138-AL139,"")</f>
        <v>133.934</v>
      </c>
      <c r="AM141" s="271">
        <f>IF(ISNUMBER(AM138),AM138-AM139,"")</f>
        <v>1211.242</v>
      </c>
      <c r="AN141" s="271">
        <f>IF(ISNUMBER(AN138),AN138-AN139,"")</f>
        <v>344.052</v>
      </c>
      <c r="AO141" s="271">
        <f>IF(ISNUMBER(AO138),AO138-AO139,"")</f>
        <v>270.65</v>
      </c>
      <c r="AP141" s="271">
        <f>IF(ISNUMBER(AP138),AP138-AP139,"")</f>
        <v>665.244</v>
      </c>
      <c r="AQ141" s="271">
        <f>IF(ISNUMBER(AQ138),AQ138-AQ139,"")</f>
        <v>586.97</v>
      </c>
      <c r="AR141" s="271">
        <f>IF(ISNUMBER(AR138),AR138-AR139,"")</f>
        <v>1866.916</v>
      </c>
      <c r="AS141" s="271">
        <f>IF(ISNUMBER(AS138),AS138-AS139,"")</f>
        <v>709.067</v>
      </c>
      <c r="AT141" s="271">
        <f>IF(ISNUMBER(AT138),AT138-AT139,"")</f>
        <v>720.196</v>
      </c>
      <c r="AU141" s="271">
        <f>IF(ISNUMBER(AU138),AU138-AU139,"")</f>
        <v>789.976</v>
      </c>
      <c r="AV141" s="271">
        <f>IF(ISNUMBER(AV138),AV138-AV139,"")</f>
        <v>542.156</v>
      </c>
      <c r="AW141" s="271">
        <f>IF(ISNUMBER(AW138),AW138-AW139,"")</f>
        <v>2761.395</v>
      </c>
      <c r="AX141" s="271">
        <f>IF(ISNUMBER(AX138),AX138-AX139,"")</f>
        <v>1706.715</v>
      </c>
      <c r="AY141" s="271">
        <f>IF(ISNUMBER(AY138),AY138-AY139,"")</f>
        <v>1353.013</v>
      </c>
      <c r="AZ141" s="271">
        <f>IF(ISNUMBER(AZ138),AZ138-AZ139,"")</f>
        <v>1449.071</v>
      </c>
      <c r="BA141" s="271">
        <f>IF(ISNUMBER(BA138),BA138-BA139,"")</f>
        <v>607.429000000001</v>
      </c>
      <c r="BB141" s="271">
        <f>IF(ISNUMBER(BB138),BB138-BB139,"")</f>
        <v>5116.228</v>
      </c>
      <c r="BC141" s="271">
        <f>IF(ISNUMBER(BC138),BC138-BC139,"")</f>
        <v>1597.447</v>
      </c>
      <c r="BD141" s="271">
        <f>IF(ISNUMBER(BD138),BD138-BD139,"")</f>
        <v>1440.951</v>
      </c>
      <c r="BE141" s="271">
        <f>IF(ISNUMBER(BE138),BE138-BE139,"")</f>
        <v>1398.242</v>
      </c>
      <c r="BF141" s="271">
        <f>IF(ISNUMBER(BF138),BF138-BF139,"")</f>
        <v>55.2839999999999</v>
      </c>
      <c r="BG141" s="271">
        <f>IF(ISNUMBER(BG138),BG138-BG139,"")</f>
        <v>4491.924</v>
      </c>
      <c r="BH141" s="271">
        <f>IF(ISNUMBER(BH138),BH138-BH139,"")</f>
        <v>1305.12</v>
      </c>
      <c r="BI141" s="271">
        <f>IF(ISNUMBER(BI138),BI138-BI139,"")</f>
        <v>1487.61</v>
      </c>
      <c r="BJ141" s="271">
        <f>IF(ISNUMBER(BJ138),BJ138-BJ139,"")</f>
        <v>1677.422</v>
      </c>
      <c r="BK141" s="271">
        <f>IF(ISNUMBER(BK138),BK138-BK139,"")</f>
        <v>937.838000000001</v>
      </c>
      <c r="BL141" s="271">
        <f>IF(ISNUMBER(BL138),BL138-BL139,"")</f>
        <v>5407.99</v>
      </c>
      <c r="BM141" s="271">
        <f>IF(ISNUMBER(BM138),BM138-BM139,"")</f>
        <v>2332.209</v>
      </c>
      <c r="BN141" s="271">
        <f>IF(ISNUMBER(BN138),BN138-BN139,"")</f>
        <v>2147.306</v>
      </c>
      <c r="BO141" s="271">
        <f>IF(ISNUMBER(BO138),BO138-BO139,"")</f>
        <v>2363.509</v>
      </c>
      <c r="BP141" s="271">
        <f>IF(ISNUMBER(BP138),BP138-BP139,"")</f>
        <v>1868.607</v>
      </c>
      <c r="BQ141" s="271">
        <f>IF(ISNUMBER(BQ138),BQ138-BQ139,"")</f>
        <v>8711.631</v>
      </c>
      <c r="BR141" s="271">
        <f>IF(ISNUMBER(BR138),BR138-BR139,"")</f>
        <v>2890.351</v>
      </c>
      <c r="BS141" s="271">
        <f>IF(ISNUMBER(BS138),BS138-BS139,"")</f>
        <v>3125.413</v>
      </c>
      <c r="BT141" s="271">
        <f>IF(ISNUMBER(BT138),BT138-BT139,"")</f>
        <v>2546.916</v>
      </c>
      <c r="BU141" s="271">
        <f>IF(ISNUMBER(BU138),BU138-BU139,"")</f>
        <v>2418.521</v>
      </c>
      <c r="BV141" s="271">
        <f>IF(ISNUMBER(BV138),BV138-BV139,"")</f>
        <v>10981.201</v>
      </c>
      <c r="BW141" s="271">
        <f>IF(ISNUMBER(BW138),BW138-BW139,"")</f>
        <v>5282.791</v>
      </c>
      <c r="BX141" s="271">
        <f>IF(ISNUMBER(BX138),BX138-BX139,"")</f>
        <v>3401.414</v>
      </c>
      <c r="BY141" s="271">
        <f>IF(ISNUMBER(BY138),BY138-BY139,"")</f>
        <v>3452.3242</v>
      </c>
      <c r="BZ141" s="271">
        <f>IF(ISNUMBER(BZ138),BZ138-BZ139,"")</f>
        <v>2984.183955</v>
      </c>
      <c r="CA141" s="271">
        <f>IF(ISNUMBER(CA138),CA138-CA139,"")</f>
        <v>15120.713155</v>
      </c>
      <c r="CB141" s="271">
        <f>IF(ISNUMBER(CB138),CB138-CB139,"")</f>
        <v>15315.1314271673</v>
      </c>
      <c r="CC141" s="271">
        <f>IF(ISNUMBER(CC138),CC138-CC139,"")</f>
        <v>17591.8898783329</v>
      </c>
      <c r="CD141" s="271">
        <f>IF(ISNUMBER(CD138),CD138-CD139,"")</f>
        <v>19974.2603364452</v>
      </c>
      <c r="CE141" s="271">
        <f>IF(ISNUMBER(CE138),CE138-CE139,"")</f>
        <v>22165.7442990931</v>
      </c>
      <c r="CF141" s="271">
        <f>IF(ISNUMBER(CF138),CF138-CF139,"")</f>
        <v>24404.2717007181</v>
      </c>
      <c r="CG141" s="153" t="n"/>
      <c r="CI141" s="20">
        <f>IFERROR((CF141/CA141)^(1/5)-1,"n/m")</f>
        <v>0.100471286300462</v>
      </c>
      <c r="CJ141" s="20">
        <f>IFERROR((BV141/AW141)^(1/5)-1,"n/m")</f>
        <v>0.317966165678762</v>
      </c>
      <c r="CK141" s="20">
        <f>IFERROR((BV141/X141)^(1/10)-1,"n/m")</f>
        <v>0.567477861734333</v>
      </c>
      <c r="CL141" s="20">
        <f>IFERROR((BV141/C141)^(1/19)-1,"n/m")</f>
        <v>0.329443463770114</v>
      </c>
    </row>
    <row r="142" ht="15" customHeight="1" s="251">
      <c r="B142" s="57" t="inlineStr">
        <is>
          <t xml:space="preserve">  Check: net income vs reported (should be 0)</t>
        </is>
      </c>
      <c r="C142" s="264">
        <f>IF(ISNUMBER(C143),IF(ABS(C141-C143)&lt;=0.15,0,ROUND(C141-C143,1)),"")</f>
        <v>0</v>
      </c>
      <c r="D142" s="264">
        <f>IF(ISNUMBER(D143),IF(ABS(D141-D143)&lt;=0.15,0,ROUND(D141-D143,1)),"")</f>
        <v>0</v>
      </c>
      <c r="E142" s="264">
        <f>IF(ISNUMBER(E143),IF(ABS(E141-E143)&lt;=0.15,0,ROUND(E141-E143,1)),"")</f>
        <v>0</v>
      </c>
      <c r="F142" s="264">
        <f>IF(ISNUMBER(F143),IF(ABS(F141-F143)&lt;=0.15,0,ROUND(F141-F143,1)),"")</f>
        <v>0</v>
      </c>
      <c r="G142" s="264">
        <f>IF(ISNUMBER(G143),IF(ABS(G141-G143)&lt;=0.15,0,ROUND(G141-G143,1)),"")</f>
        <v>0</v>
      </c>
      <c r="H142" s="264">
        <f>IF(ISNUMBER(H143),IF(ABS(H141-H143)&lt;=0.15,0,ROUND(H141-H143,1)),"")</f>
        <v>0</v>
      </c>
      <c r="I142" s="264">
        <f>IF(ISNUMBER(I143),IF(ABS(I141-I143)&lt;=0.15,0,ROUND(I141-I143,1)),"")</f>
        <v>0</v>
      </c>
      <c r="J142" s="264">
        <f>IF(ISNUMBER(J143),IF(ABS(J141-J143)&lt;=0.15,0,ROUND(J141-J143,1)),"")</f>
        <v>0</v>
      </c>
      <c r="K142" s="264">
        <f>IF(ISNUMBER(K143),IF(ABS(K141-K143)&lt;=0.15,0,ROUND(K141-K143,1)),"")</f>
        <v>0</v>
      </c>
      <c r="L142" s="264">
        <f>IF(ISNUMBER(L143),IF(ABS(L141-L143)&lt;=0.15,0,ROUND(L141-L143,1)),"")</f>
        <v>0</v>
      </c>
      <c r="M142" s="264">
        <f>IF(ISNUMBER(M143),IF(ABS(M141-M143)&lt;=0.15,0,ROUND(M141-M143,1)),"")</f>
        <v>0</v>
      </c>
      <c r="N142" s="264">
        <f>IF(ISNUMBER(N143),IF(ABS(N141-N143)&lt;=0.15,0,ROUND(N141-N143,1)),"")</f>
        <v>0</v>
      </c>
      <c r="O142" s="264">
        <f>IF(ISNUMBER(O143),IF(ABS(O141-O143)&lt;=0.15,0,ROUND(O141-O143,1)),"")</f>
        <v>0</v>
      </c>
      <c r="P142" s="264">
        <f>IF(ISNUMBER(P143),IF(ABS(P141-P143)&lt;=0.15,0,ROUND(P141-P143,1)),"")</f>
        <v>0</v>
      </c>
      <c r="Q142" s="264">
        <f>IF(ISNUMBER(Q143),IF(ABS(Q141-Q143)&lt;=0.15,0,ROUND(Q141-Q143,1)),"")</f>
        <v>0</v>
      </c>
      <c r="R142" s="264">
        <f>IF(ISNUMBER(R143),IF(ABS(R141-R143)&lt;=0.15,0,ROUND(R141-R143,1)),"")</f>
        <v>0</v>
      </c>
      <c r="S142" s="264">
        <f>IF(ISNUMBER(S143),IF(ABS(S141-S143)&lt;=0.15,0,ROUND(S141-S143,1)),"")</f>
        <v>0</v>
      </c>
      <c r="T142" s="264">
        <f>IF(ISNUMBER(T143),IF(ABS(T141-T143)&lt;=0.15,0,ROUND(T141-T143,1)),"")</f>
        <v>0</v>
      </c>
      <c r="U142" s="264">
        <f>IF(ISNUMBER(U143),IF(ABS(U141-U143)&lt;=0.15,0,ROUND(U141-U143,1)),"")</f>
        <v>0</v>
      </c>
      <c r="V142" s="264">
        <f>IF(ISNUMBER(V143),IF(ABS(V141-V143)&lt;=0.15,0,ROUND(V141-V143,1)),"")</f>
        <v>0</v>
      </c>
      <c r="W142" s="264">
        <f>IF(ISNUMBER(W143),IF(ABS(W141-W143)&lt;=0.15,0,ROUND(W141-W143,1)),"")</f>
        <v>0</v>
      </c>
      <c r="X142" s="264">
        <f>IF(ISNUMBER(X143),IF(ABS(X141-X143)&lt;=0.15,0,ROUND(X141-X143,1)),"")</f>
        <v>0</v>
      </c>
      <c r="Y142" s="264">
        <f>IF(ISNUMBER(Y143),IF(ABS(Y141-Y143)&lt;=0.15,0,ROUND(Y141-Y143,1)),"")</f>
        <v>0</v>
      </c>
      <c r="Z142" s="264">
        <f>IF(ISNUMBER(Z143),IF(ABS(Z141-Z143)&lt;=0.15,0,ROUND(Z141-Z143,1)),"")</f>
        <v>0</v>
      </c>
      <c r="AA142" s="264">
        <f>IF(ISNUMBER(AA143),IF(ABS(AA141-AA143)&lt;=0.15,0,ROUND(AA141-AA143,1)),"")</f>
        <v>0</v>
      </c>
      <c r="AB142" s="264">
        <f>IF(ISNUMBER(AB143),IF(ABS(AB141-AB143)&lt;=0.15,0,ROUND(AB141-AB143,1)),"")</f>
        <v>0</v>
      </c>
      <c r="AC142" s="264">
        <f>IF(ISNUMBER(AC143),IF(ABS(AC141-AC143)&lt;=0.15,0,ROUND(AC141-AC143,1)),"")</f>
        <v>0</v>
      </c>
      <c r="AD142" s="264">
        <f>IF(ISNUMBER(AD143),IF(ABS(AD141-AD143)&lt;=0.15,0,ROUND(AD141-AD143,1)),"")</f>
        <v>0</v>
      </c>
      <c r="AE142" s="264">
        <f>IF(ISNUMBER(AE143),IF(ABS(AE141-AE143)&lt;=0.15,0,ROUND(AE141-AE143,1)),"")</f>
        <v>0</v>
      </c>
      <c r="AF142" s="264">
        <f>IF(ISNUMBER(AF143),IF(ABS(AF141-AF143)&lt;=0.15,0,ROUND(AF141-AF143,1)),"")</f>
        <v>0</v>
      </c>
      <c r="AG142" s="264">
        <f>IF(ISNUMBER(AG143),IF(ABS(AG141-AG143)&lt;=0.15,0,ROUND(AG141-AG143,1)),"")</f>
        <v>0</v>
      </c>
      <c r="AH142" s="264">
        <f>IF(ISNUMBER(AH143),IF(ABS(AH141-AH143)&lt;=0.15,0,ROUND(AH141-AH143,1)),"")</f>
        <v>0</v>
      </c>
      <c r="AI142" s="264">
        <f>IF(ISNUMBER(AI143),IF(ABS(AI141-AI143)&lt;=0.15,0,ROUND(AI141-AI143,1)),"")</f>
        <v>0</v>
      </c>
      <c r="AJ142" s="264">
        <f>IF(ISNUMBER(AJ143),IF(ABS(AJ141-AJ143)&lt;=0.15,0,ROUND(AJ141-AJ143,1)),"")</f>
        <v>0</v>
      </c>
      <c r="AK142" s="264">
        <f>IF(ISNUMBER(AK143),IF(ABS(AK141-AK143)&lt;=0.15,0,ROUND(AK141-AK143,1)),"")</f>
        <v>0</v>
      </c>
      <c r="AL142" s="264">
        <f>IF(ISNUMBER(AL143),IF(ABS(AL141-AL143)&lt;=0.15,0,ROUND(AL141-AL143,1)),"")</f>
        <v>0</v>
      </c>
      <c r="AM142" s="264">
        <f>IF(ISNUMBER(AM143),IF(ABS(AM141-AM143)&lt;=0.15,0,ROUND(AM141-AM143,1)),"")</f>
        <v>0</v>
      </c>
      <c r="AN142" s="264">
        <f>IF(ISNUMBER(AN143),IF(ABS(AN141-AN143)&lt;=0.15,0,ROUND(AN141-AN143,1)),"")</f>
        <v>0</v>
      </c>
      <c r="AO142" s="264">
        <f>IF(ISNUMBER(AO143),IF(ABS(AO141-AO143)&lt;=0.15,0,ROUND(AO141-AO143,1)),"")</f>
        <v>0</v>
      </c>
      <c r="AP142" s="264">
        <f>IF(ISNUMBER(AP143),IF(ABS(AP141-AP143)&lt;=0.15,0,ROUND(AP141-AP143,1)),"")</f>
        <v>0</v>
      </c>
      <c r="AQ142" s="264">
        <f>IF(ISNUMBER(AQ143),IF(ABS(AQ141-AQ143)&lt;=0.15,0,ROUND(AQ141-AQ143,1)),"")</f>
        <v>0</v>
      </c>
      <c r="AR142" s="264">
        <f>IF(ISNUMBER(AR143),IF(ABS(AR141-AR143)&lt;=0.15,0,ROUND(AR141-AR143,1)),"")</f>
        <v>0</v>
      </c>
      <c r="AS142" s="264">
        <f>IF(ISNUMBER(AS143),IF(ABS(AS141-AS143)&lt;=0.15,0,ROUND(AS141-AS143,1)),"")</f>
        <v>0</v>
      </c>
      <c r="AT142" s="264">
        <f>IF(ISNUMBER(AT143),IF(ABS(AT141-AT143)&lt;=0.15,0,ROUND(AT141-AT143,1)),"")</f>
        <v>0</v>
      </c>
      <c r="AU142" s="264">
        <f>IF(ISNUMBER(AU143),IF(ABS(AU141-AU143)&lt;=0.15,0,ROUND(AU141-AU143,1)),"")</f>
        <v>0</v>
      </c>
      <c r="AV142" s="264">
        <f>IF(ISNUMBER(AV143),IF(ABS(AV141-AV143)&lt;=0.15,0,ROUND(AV141-AV143,1)),"")</f>
        <v>0</v>
      </c>
      <c r="AW142" s="264">
        <f>IF(ISNUMBER(AW143),IF(ABS(AW141-AW143)&lt;=0.15,0,ROUND(AW141-AW143,1)),"")</f>
        <v>0</v>
      </c>
      <c r="AX142" s="264">
        <f>IF(ISNUMBER(AX143),IF(ABS(AX141-AX143)&lt;=0.15,0,ROUND(AX141-AX143,1)),"")</f>
        <v>0</v>
      </c>
      <c r="AY142" s="264">
        <f>IF(ISNUMBER(AY143),IF(ABS(AY141-AY143)&lt;=0.15,0,ROUND(AY141-AY143,1)),"")</f>
        <v>0</v>
      </c>
      <c r="AZ142" s="264">
        <f>IF(ISNUMBER(AZ143),IF(ABS(AZ141-AZ143)&lt;=0.15,0,ROUND(AZ141-AZ143,1)),"")</f>
        <v>0</v>
      </c>
      <c r="BA142" s="264">
        <f>IF(ISNUMBER(BA143),IF(ABS(BA141-BA143)&lt;=0.15,0,ROUND(BA141-BA143,1)),"")</f>
        <v>0</v>
      </c>
      <c r="BB142" s="264">
        <f>IF(ISNUMBER(BB143),IF(ABS(BB141-BB143)&lt;=0.15,0,ROUND(BB141-BB143,1)),"")</f>
        <v>0</v>
      </c>
      <c r="BC142" s="264">
        <f>IF(ISNUMBER(BC143),IF(ABS(BC141-BC143)&lt;=0.15,0,ROUND(BC141-BC143,1)),"")</f>
        <v>0</v>
      </c>
      <c r="BD142" s="264">
        <f>IF(ISNUMBER(BD143),IF(ABS(BD141-BD143)&lt;=0.15,0,ROUND(BD141-BD143,1)),"")</f>
        <v>0</v>
      </c>
      <c r="BE142" s="264">
        <f>IF(ISNUMBER(BE143),IF(ABS(BE141-BE143)&lt;=0.15,0,ROUND(BE141-BE143,1)),"")</f>
        <v>0</v>
      </c>
      <c r="BF142" s="264">
        <f>IF(ISNUMBER(BF143),IF(ABS(BF141-BF143)&lt;=0.15,0,ROUND(BF141-BF143,1)),"")</f>
        <v>0</v>
      </c>
      <c r="BG142" s="264">
        <f>IF(ISNUMBER(BG143),IF(ABS(BG141-BG143)&lt;=0.15,0,ROUND(BG141-BG143,1)),"")</f>
        <v>0</v>
      </c>
      <c r="BH142" s="264">
        <f>IF(ISNUMBER(BH143),IF(ABS(BH141-BH143)&lt;=0.15,0,ROUND(BH141-BH143,1)),"")</f>
        <v>0</v>
      </c>
      <c r="BI142" s="264">
        <f>IF(ISNUMBER(BI143),IF(ABS(BI141-BI143)&lt;=0.15,0,ROUND(BI141-BI143,1)),"")</f>
        <v>0</v>
      </c>
      <c r="BJ142" s="264">
        <f>IF(ISNUMBER(BJ143),IF(ABS(BJ141-BJ143)&lt;=0.15,0,ROUND(BJ141-BJ143,1)),"")</f>
        <v>0</v>
      </c>
      <c r="BK142" s="264">
        <f>IF(ISNUMBER(BK143),IF(ABS(BK141-BK143)&lt;=0.15,0,ROUND(BK141-BK143,1)),"")</f>
        <v>0</v>
      </c>
      <c r="BL142" s="264">
        <f>IF(ISNUMBER(BL143),IF(ABS(BL141-BL143)&lt;=0.15,0,ROUND(BL141-BL143,1)),"")</f>
        <v>0</v>
      </c>
      <c r="BM142" s="264">
        <f>IF(ISNUMBER(BM143),IF(ABS(BM141-BM143)&lt;=0.15,0,ROUND(BM141-BM143,1)),"")</f>
        <v>0</v>
      </c>
      <c r="BN142" s="264">
        <f>IF(ISNUMBER(BN143),IF(ABS(BN141-BN143)&lt;=0.15,0,ROUND(BN141-BN143,1)),"")</f>
        <v>0</v>
      </c>
      <c r="BO142" s="264">
        <f>IF(ISNUMBER(BO143),IF(ABS(BO141-BO143)&lt;=0.15,0,ROUND(BO141-BO143,1)),"")</f>
        <v>0</v>
      </c>
      <c r="BP142" s="264">
        <f>IF(ISNUMBER(BP143),IF(ABS(BP141-BP143)&lt;=0.15,0,ROUND(BP141-BP143,1)),"")</f>
        <v>0</v>
      </c>
      <c r="BQ142" s="264">
        <f>IF(ISNUMBER(BQ143),IF(ABS(BQ141-BQ143)&lt;=0.15,0,ROUND(BQ141-BQ143,1)),"")</f>
        <v>0</v>
      </c>
      <c r="BR142" s="264">
        <f>IF(ISNUMBER(BR143),IF(ABS(BR141-BR143)&lt;=0.15,0,ROUND(BR141-BR143,1)),"")</f>
        <v>0</v>
      </c>
      <c r="BS142" s="264">
        <f>IF(ISNUMBER(BS143),IF(ABS(BS141-BS143)&lt;=0.15,0,ROUND(BS141-BS143,1)),"")</f>
        <v>0</v>
      </c>
      <c r="BT142" s="264">
        <f>IF(ISNUMBER(BT143),IF(ABS(BT141-BT143)&lt;=0.15,0,ROUND(BT141-BT143,1)),"")</f>
        <v>0</v>
      </c>
      <c r="BU142" s="264">
        <f>IF(ISNUMBER(BU143),IF(ABS(BU141-BU143)&lt;=0.15,0,ROUND(BU141-BU143,1)),"")</f>
        <v>0</v>
      </c>
      <c r="BV142" s="264">
        <f>IF(ISNUMBER(BV143),IF(ABS(BV141-BV143)&lt;=0.15,0,ROUND(BV141-BV143,1)),"")</f>
        <v>0</v>
      </c>
      <c r="BW142" s="264">
        <f>IF(ISNUMBER(BW143),IF(ABS(BW141-BW143)&lt;=0.15,0,ROUND(BW141-BW143,1)),"")</f>
        <v>0</v>
      </c>
      <c r="BX142" s="264">
        <f>IF(ISNUMBER(BX143),IF(ABS(BX141-BX143)&lt;=0.15,0,ROUND(BX141-BX143,1)),"")</f>
        <v>0</v>
      </c>
      <c r="BY142" s="153" t="n"/>
      <c r="BZ142" s="153" t="n"/>
      <c r="CA142" s="153" t="n"/>
      <c r="CB142" s="153" t="n"/>
      <c r="CC142" s="153" t="n"/>
      <c r="CD142" s="153" t="n"/>
      <c r="CE142" s="153" t="n"/>
      <c r="CF142" s="153" t="n"/>
      <c r="CG142" s="153" t="n"/>
    </row>
    <row r="143" ht="15" customHeight="1" s="251">
      <c r="B143" s="156" t="inlineStr">
        <is>
          <t xml:space="preserve">  Memo: net income as reported</t>
        </is>
      </c>
      <c r="C143" s="253" t="n">
        <v>49.082</v>
      </c>
      <c r="D143" s="253" t="n">
        <v>66.952</v>
      </c>
      <c r="E143" s="253" t="n">
        <v>83.026</v>
      </c>
      <c r="F143" s="253" t="n">
        <v>115.86</v>
      </c>
      <c r="G143" s="253" t="n">
        <v>160.853</v>
      </c>
      <c r="H143" s="253" t="n">
        <v>226.126</v>
      </c>
      <c r="I143" s="253" t="n">
        <v>17.152</v>
      </c>
      <c r="J143" s="253" t="n">
        <v>2.689</v>
      </c>
      <c r="K143" s="253" t="n">
        <v>29.471</v>
      </c>
      <c r="L143" s="253" t="n">
        <v>31.822</v>
      </c>
      <c r="M143" s="253" t="n">
        <v>48.421</v>
      </c>
      <c r="N143" s="253" t="n">
        <v>112.403</v>
      </c>
      <c r="O143" s="253" t="n">
        <v>53.115</v>
      </c>
      <c r="P143" s="253" t="n">
        <v>71.018</v>
      </c>
      <c r="Q143" s="253" t="n">
        <v>59.295</v>
      </c>
      <c r="R143" s="253" t="n">
        <v>83.371</v>
      </c>
      <c r="S143" s="253" t="n">
        <v>266.799</v>
      </c>
      <c r="T143" s="253" t="n">
        <v>23.696</v>
      </c>
      <c r="U143" s="253" t="n">
        <v>26.335</v>
      </c>
      <c r="V143" s="253" t="n">
        <v>29.432</v>
      </c>
      <c r="W143" s="253" t="n">
        <v>43.178</v>
      </c>
      <c r="X143" s="253" t="n">
        <v>122.641</v>
      </c>
      <c r="Y143" s="253" t="n">
        <v>27.658</v>
      </c>
      <c r="Z143" s="253" t="n">
        <v>40.755</v>
      </c>
      <c r="AA143" s="253" t="n">
        <v>51.517</v>
      </c>
      <c r="AB143" s="253" t="n">
        <v>66.748</v>
      </c>
      <c r="AC143" s="253" t="n">
        <v>186.678</v>
      </c>
      <c r="AD143" s="253" t="n">
        <v>178.222</v>
      </c>
      <c r="AE143" s="253" t="n">
        <v>65.59999999999999</v>
      </c>
      <c r="AF143" s="253" t="n">
        <v>129.59</v>
      </c>
      <c r="AG143" s="253" t="n">
        <v>185.517</v>
      </c>
      <c r="AH143" s="253" t="n">
        <v>558.929</v>
      </c>
      <c r="AI143" s="253" t="n">
        <v>290.124</v>
      </c>
      <c r="AJ143" s="253" t="n">
        <v>384.349</v>
      </c>
      <c r="AK143" s="253" t="n">
        <v>402.835</v>
      </c>
      <c r="AL143" s="253" t="n">
        <v>133.934</v>
      </c>
      <c r="AM143" s="253" t="n">
        <v>1211.242</v>
      </c>
      <c r="AN143" s="253" t="n">
        <v>344.052</v>
      </c>
      <c r="AO143" s="253" t="n">
        <v>270.65</v>
      </c>
      <c r="AP143" s="253" t="n">
        <v>665.244</v>
      </c>
      <c r="AQ143" s="253" t="n">
        <v>586.97</v>
      </c>
      <c r="AR143" s="253" t="n">
        <v>1866.916</v>
      </c>
      <c r="AS143" s="253" t="n">
        <v>709.067</v>
      </c>
      <c r="AT143" s="253" t="n">
        <v>720.196</v>
      </c>
      <c r="AU143" s="253" t="n">
        <v>789.976</v>
      </c>
      <c r="AV143" s="253" t="n">
        <v>542.1559999999999</v>
      </c>
      <c r="AW143" s="253" t="n">
        <v>2761.395</v>
      </c>
      <c r="AX143" s="253" t="n">
        <v>1706.715</v>
      </c>
      <c r="AY143" s="253" t="n">
        <v>1353.013</v>
      </c>
      <c r="AZ143" s="253" t="n">
        <v>1449.071</v>
      </c>
      <c r="BA143" s="253" t="n">
        <v>607.429</v>
      </c>
      <c r="BB143" s="253" t="n">
        <v>5116.228</v>
      </c>
      <c r="BC143" s="253" t="n">
        <v>1597.447</v>
      </c>
      <c r="BD143" s="253" t="n">
        <v>1440.951</v>
      </c>
      <c r="BE143" s="253" t="n">
        <v>1398.242</v>
      </c>
      <c r="BF143" s="253" t="n">
        <v>55.284</v>
      </c>
      <c r="BG143" s="253" t="n">
        <v>4491.924</v>
      </c>
      <c r="BH143" s="253" t="n">
        <v>1305.12</v>
      </c>
      <c r="BI143" s="253" t="n">
        <v>1487.61</v>
      </c>
      <c r="BJ143" s="253" t="n">
        <v>1677.422</v>
      </c>
      <c r="BK143" s="253" t="n">
        <v>937.838</v>
      </c>
      <c r="BL143" s="253" t="n">
        <v>5407.99</v>
      </c>
      <c r="BM143" s="253" t="n">
        <v>2332.209</v>
      </c>
      <c r="BN143" s="253" t="n">
        <v>2147.306</v>
      </c>
      <c r="BO143" s="253" t="n">
        <v>2363.509</v>
      </c>
      <c r="BP143" s="253" t="n">
        <v>1868.607</v>
      </c>
      <c r="BQ143" s="253" t="n">
        <v>8711.630999999999</v>
      </c>
      <c r="BR143" s="253" t="n">
        <v>2890.351</v>
      </c>
      <c r="BS143" s="253" t="n">
        <v>3125.413</v>
      </c>
      <c r="BT143" s="253" t="n">
        <v>2546.916</v>
      </c>
      <c r="BU143" s="253" t="n">
        <v>2418.521</v>
      </c>
      <c r="BV143" s="253" t="n">
        <v>10981.201</v>
      </c>
      <c r="BW143" s="253" t="n">
        <v>5282.791</v>
      </c>
      <c r="BX143" s="253" t="n">
        <v>3401.414</v>
      </c>
      <c r="BY143" s="153" t="n"/>
      <c r="BZ143" s="153" t="n"/>
      <c r="CA143" s="153" t="n"/>
      <c r="CB143" s="153" t="n"/>
      <c r="CC143" s="153" t="n"/>
      <c r="CD143" s="153" t="n"/>
      <c r="CE143" s="153" t="n"/>
      <c r="CF143" s="153" t="n"/>
      <c r="CG143" s="153" t="n"/>
    </row>
    <row r="144" ht="15" customHeight="1" s="251">
      <c r="B144" s="156" t="inlineStr">
        <is>
          <t xml:space="preserve">  Memo: non-content depreciation &amp; amortization</t>
        </is>
      </c>
      <c r="C144" s="264">
        <f>C110</f>
        <v>15.903</v>
      </c>
      <c r="D144" s="264">
        <f>D110</f>
        <v>21.394</v>
      </c>
      <c r="E144" s="264">
        <f>E110</f>
        <v>32.454</v>
      </c>
      <c r="F144" s="264">
        <f>F110</f>
        <v>38.044</v>
      </c>
      <c r="G144" s="264">
        <f>G110</f>
        <v>38.099</v>
      </c>
      <c r="H144" s="264">
        <f>H110</f>
        <v>43.747</v>
      </c>
      <c r="I144" s="264">
        <f>I110</f>
        <v>45.469</v>
      </c>
      <c r="J144" s="264">
        <f>J110</f>
        <v>12.051</v>
      </c>
      <c r="K144" s="264">
        <f>K110</f>
        <v>12.026</v>
      </c>
      <c r="L144" s="264">
        <f>L110</f>
        <v>11.452</v>
      </c>
      <c r="M144" s="264">
        <f>M110</f>
        <v>12.845</v>
      </c>
      <c r="N144" s="264">
        <f>N110</f>
        <v>48.374</v>
      </c>
      <c r="O144" s="264">
        <f>O110</f>
        <v>12.382</v>
      </c>
      <c r="P144" s="264">
        <f>P110</f>
        <v>12.977</v>
      </c>
      <c r="Q144" s="264">
        <f>Q110</f>
        <v>14.357</v>
      </c>
      <c r="R144" s="264">
        <f>R110</f>
        <v>14.312</v>
      </c>
      <c r="S144" s="264">
        <f>S110</f>
        <v>54.028</v>
      </c>
      <c r="T144" s="264">
        <f>T110</f>
        <v>15.167</v>
      </c>
      <c r="U144" s="264">
        <f>U110</f>
        <v>15.581</v>
      </c>
      <c r="V144" s="264">
        <f>V110</f>
        <v>16.047</v>
      </c>
      <c r="W144" s="264">
        <f>W110</f>
        <v>15.488</v>
      </c>
      <c r="X144" s="264">
        <f>X110</f>
        <v>62.283</v>
      </c>
      <c r="Y144" s="264">
        <f>Y110</f>
        <v>14.798</v>
      </c>
      <c r="Z144" s="264">
        <f>Z110</f>
        <v>14.131</v>
      </c>
      <c r="AA144" s="264">
        <f>AA110</f>
        <v>14.41</v>
      </c>
      <c r="AB144" s="264">
        <f>AB110</f>
        <v>14.189</v>
      </c>
      <c r="AC144" s="264">
        <f>AC110</f>
        <v>57.528</v>
      </c>
      <c r="AD144" s="264">
        <f>AD110</f>
        <v>15.049</v>
      </c>
      <c r="AE144" s="264">
        <f>AE110</f>
        <v>18.551</v>
      </c>
      <c r="AF144" s="264">
        <f>AF110</f>
        <v>19.238</v>
      </c>
      <c r="AG144" s="264">
        <f>AG110</f>
        <v>19.073</v>
      </c>
      <c r="AH144" s="264">
        <f>AH110</f>
        <v>71.911</v>
      </c>
      <c r="AI144" s="264">
        <f>AI110</f>
        <v>19.041</v>
      </c>
      <c r="AJ144" s="264">
        <f>AJ110</f>
        <v>19.736</v>
      </c>
      <c r="AK144" s="264">
        <f>AK110</f>
        <v>21.161</v>
      </c>
      <c r="AL144" s="264">
        <f>AL110</f>
        <v>23.219</v>
      </c>
      <c r="AM144" s="264">
        <f>AM110</f>
        <v>83.157</v>
      </c>
      <c r="AN144" s="264">
        <f>AN110</f>
        <v>23.561</v>
      </c>
      <c r="AO144" s="264">
        <f>AO110</f>
        <v>25.496</v>
      </c>
      <c r="AP144" s="264">
        <f>AP110</f>
        <v>26.704</v>
      </c>
      <c r="AQ144" s="264">
        <f>AQ110</f>
        <v>27.818</v>
      </c>
      <c r="AR144" s="264">
        <f>AR110</f>
        <v>103.579</v>
      </c>
      <c r="AS144" s="264">
        <f>AS110</f>
        <v>28.517</v>
      </c>
      <c r="AT144" s="264">
        <f>AT110</f>
        <v>26.661</v>
      </c>
      <c r="AU144" s="264">
        <f>AU110</f>
        <v>28.589</v>
      </c>
      <c r="AV144" s="264">
        <f>AV110</f>
        <v>31.943</v>
      </c>
      <c r="AW144" s="264">
        <f>AW110</f>
        <v>115.71</v>
      </c>
      <c r="AX144" s="264">
        <f>AX110</f>
        <v>35.741</v>
      </c>
      <c r="AY144" s="264">
        <f>AY110</f>
        <v>38.434</v>
      </c>
      <c r="AZ144" s="264">
        <f>AZ110</f>
        <v>70.253</v>
      </c>
      <c r="BA144" s="264">
        <f>BA110</f>
        <v>63.984</v>
      </c>
      <c r="BB144" s="264">
        <f>BB110</f>
        <v>208.412</v>
      </c>
      <c r="BC144" s="264">
        <f>BC110</f>
        <v>74.602</v>
      </c>
      <c r="BD144" s="264">
        <f>BD110</f>
        <v>83.505</v>
      </c>
      <c r="BE144" s="264">
        <f>BE110</f>
        <v>85.188</v>
      </c>
      <c r="BF144" s="264">
        <f>BF110</f>
        <v>93.387</v>
      </c>
      <c r="BG144" s="264">
        <f>BG110</f>
        <v>336.682</v>
      </c>
      <c r="BH144" s="264">
        <f>BH110</f>
        <v>90.335</v>
      </c>
      <c r="BI144" s="264">
        <f>BI110</f>
        <v>89.385</v>
      </c>
      <c r="BJ144" s="264">
        <f>BJ110</f>
        <v>90.66</v>
      </c>
      <c r="BK144" s="264">
        <f>BK110</f>
        <v>86.567</v>
      </c>
      <c r="BL144" s="264">
        <f>BL110</f>
        <v>356.947</v>
      </c>
      <c r="BM144" s="264">
        <f>BM110</f>
        <v>87.234</v>
      </c>
      <c r="BN144" s="264">
        <f>BN110</f>
        <v>81.227</v>
      </c>
      <c r="BO144" s="264">
        <f>BO110</f>
        <v>80.914</v>
      </c>
      <c r="BP144" s="264">
        <f>BP110</f>
        <v>79.539</v>
      </c>
      <c r="BQ144" s="264">
        <f>BQ110</f>
        <v>328.914</v>
      </c>
      <c r="BR144" s="264">
        <f>BR110</f>
        <v>80.067</v>
      </c>
      <c r="BS144" s="264">
        <f>BS110</f>
        <v>80.013</v>
      </c>
      <c r="BT144" s="264">
        <f>BT110</f>
        <v>87.326</v>
      </c>
      <c r="BU144" s="264">
        <f>BU110</f>
        <v>85.983</v>
      </c>
      <c r="BV144" s="264">
        <f>BV110</f>
        <v>333.389</v>
      </c>
      <c r="BW144" s="264">
        <f>BW110</f>
        <v>98.575</v>
      </c>
      <c r="BX144" s="264">
        <f>BX110</f>
        <v>100.53</v>
      </c>
      <c r="BY144" s="254">
        <f>BY110</f>
        <v>108.614712831084</v>
      </c>
      <c r="BZ144" s="254">
        <f>BZ110</f>
        <v>106.944310438531</v>
      </c>
      <c r="CA144" s="254">
        <f>CA110</f>
        <v>414.664023269615</v>
      </c>
      <c r="CB144" s="254">
        <f>CB110</f>
        <v>452.634538162795</v>
      </c>
      <c r="CC144" s="254">
        <f>CC110</f>
        <v>495.749696934653</v>
      </c>
      <c r="CD144" s="254">
        <f>CD110</f>
        <v>538.10911974089</v>
      </c>
      <c r="CE144" s="254">
        <f>CE110</f>
        <v>579.92144679407</v>
      </c>
      <c r="CF144" s="254">
        <f>CF110</f>
        <v>620.44803180492</v>
      </c>
      <c r="CG144" s="153" t="n"/>
    </row>
    <row r="145" ht="15" customHeight="1" s="251">
      <c r="B145" s="156" t="inlineStr">
        <is>
          <t xml:space="preserve">  Memo: stock-based compensation</t>
        </is>
      </c>
      <c r="C145" s="264">
        <f>C112</f>
        <v>12.696</v>
      </c>
      <c r="D145" s="264">
        <f>D112</f>
        <v>11.976</v>
      </c>
      <c r="E145" s="264">
        <f>E112</f>
        <v>12.264</v>
      </c>
      <c r="F145" s="264">
        <f>F112</f>
        <v>12.618</v>
      </c>
      <c r="G145" s="264">
        <f>G112</f>
        <v>27.996</v>
      </c>
      <c r="H145" s="264">
        <f>H112</f>
        <v>61.582</v>
      </c>
      <c r="I145" s="264">
        <f>I112</f>
        <v>73.948</v>
      </c>
      <c r="J145" s="264">
        <f>J112</f>
        <v>17.746</v>
      </c>
      <c r="K145" s="264">
        <f>K112</f>
        <v>17.955</v>
      </c>
      <c r="L145" s="264">
        <f>L112</f>
        <v>18.477</v>
      </c>
      <c r="M145" s="264">
        <f>M112</f>
        <v>18.922</v>
      </c>
      <c r="N145" s="264">
        <f>N112</f>
        <v>73.1</v>
      </c>
      <c r="O145" s="264">
        <f>O112</f>
        <v>25.825</v>
      </c>
      <c r="P145" s="264">
        <f>P112</f>
        <v>29.285</v>
      </c>
      <c r="Q145" s="264">
        <f>Q112</f>
        <v>29.878</v>
      </c>
      <c r="R145" s="264">
        <f>R112</f>
        <v>30.251</v>
      </c>
      <c r="S145" s="264">
        <f>S112</f>
        <v>115.239</v>
      </c>
      <c r="T145" s="264">
        <f>T112</f>
        <v>27.441</v>
      </c>
      <c r="U145" s="264">
        <f>U112</f>
        <v>28.59</v>
      </c>
      <c r="V145" s="264">
        <f>V112</f>
        <v>32.834</v>
      </c>
      <c r="W145" s="264">
        <f>W112</f>
        <v>35.86</v>
      </c>
      <c r="X145" s="264">
        <f>X112</f>
        <v>124.725</v>
      </c>
      <c r="Y145" s="264">
        <f>Y112</f>
        <v>42.422</v>
      </c>
      <c r="Z145" s="264">
        <f>Z112</f>
        <v>44.112</v>
      </c>
      <c r="AA145" s="264">
        <f>AA112</f>
        <v>43.495</v>
      </c>
      <c r="AB145" s="264">
        <f>AB112</f>
        <v>43.646</v>
      </c>
      <c r="AC145" s="264">
        <f>AC112</f>
        <v>173.675</v>
      </c>
      <c r="AD145" s="264">
        <f>AD112</f>
        <v>44.888</v>
      </c>
      <c r="AE145" s="264">
        <f>AE112</f>
        <v>44.028</v>
      </c>
      <c r="AF145" s="264">
        <f>AF112</f>
        <v>44.763</v>
      </c>
      <c r="AG145" s="264">
        <f>AG112</f>
        <v>48.53</v>
      </c>
      <c r="AH145" s="264">
        <f>AH112</f>
        <v>182.209</v>
      </c>
      <c r="AI145" s="264">
        <f>AI112</f>
        <v>68.395</v>
      </c>
      <c r="AJ145" s="264">
        <f>AJ112</f>
        <v>81.232</v>
      </c>
      <c r="AK145" s="264">
        <f>AK112</f>
        <v>82.316</v>
      </c>
      <c r="AL145" s="264">
        <f>AL112</f>
        <v>88.714</v>
      </c>
      <c r="AM145" s="264">
        <f>AM112</f>
        <v>320.657</v>
      </c>
      <c r="AN145" s="264">
        <f>AN112</f>
        <v>101.2</v>
      </c>
      <c r="AO145" s="264">
        <f>AO112</f>
        <v>103.848</v>
      </c>
      <c r="AP145" s="264">
        <f>AP112</f>
        <v>100.262</v>
      </c>
      <c r="AQ145" s="264">
        <f>AQ112</f>
        <v>100.066</v>
      </c>
      <c r="AR145" s="264">
        <f>AR112</f>
        <v>405.376</v>
      </c>
      <c r="AS145" s="264">
        <f>AS112</f>
        <v>97.019</v>
      </c>
      <c r="AT145" s="264">
        <f>AT112</f>
        <v>104.21</v>
      </c>
      <c r="AU145" s="264">
        <f>AU112</f>
        <v>106.357</v>
      </c>
      <c r="AV145" s="264">
        <f>AV112</f>
        <v>107.594</v>
      </c>
      <c r="AW145" s="264">
        <f>AW112</f>
        <v>415.18</v>
      </c>
      <c r="AX145" s="264">
        <f>AX112</f>
        <v>107.23</v>
      </c>
      <c r="AY145" s="264">
        <f>AY112</f>
        <v>101.583</v>
      </c>
      <c r="AZ145" s="264">
        <f>AZ112</f>
        <v>95.078</v>
      </c>
      <c r="BA145" s="264">
        <f>BA112</f>
        <v>99.329</v>
      </c>
      <c r="BB145" s="264">
        <f>BB112</f>
        <v>403.22</v>
      </c>
      <c r="BC145" s="264">
        <f>BC112</f>
        <v>119.209</v>
      </c>
      <c r="BD145" s="264">
        <f>BD112</f>
        <v>150.392</v>
      </c>
      <c r="BE145" s="264">
        <f>BE112</f>
        <v>152.062</v>
      </c>
      <c r="BF145" s="264">
        <f>BF112</f>
        <v>153.789</v>
      </c>
      <c r="BG145" s="264">
        <f>BG112</f>
        <v>575.452</v>
      </c>
      <c r="BH145" s="264">
        <f>BH112</f>
        <v>99.099</v>
      </c>
      <c r="BI145" s="264">
        <f>BI112</f>
        <v>78.03</v>
      </c>
      <c r="BJ145" s="264">
        <f>BJ112</f>
        <v>79.72</v>
      </c>
      <c r="BK145" s="264">
        <f>BK112</f>
        <v>82.519</v>
      </c>
      <c r="BL145" s="264">
        <f>BL112</f>
        <v>339.368</v>
      </c>
      <c r="BM145" s="264">
        <f>BM112</f>
        <v>76.345</v>
      </c>
      <c r="BN145" s="264">
        <f>BN112</f>
        <v>68.766</v>
      </c>
      <c r="BO145" s="264">
        <f>BO112</f>
        <v>65.65</v>
      </c>
      <c r="BP145" s="264">
        <f>BP112</f>
        <v>61.827</v>
      </c>
      <c r="BQ145" s="264">
        <f>BQ112</f>
        <v>272.588</v>
      </c>
      <c r="BR145" s="264">
        <f>BR112</f>
        <v>71.977</v>
      </c>
      <c r="BS145" s="264">
        <f>BS112</f>
        <v>80.862</v>
      </c>
      <c r="BT145" s="264">
        <f>BT112</f>
        <v>80.986</v>
      </c>
      <c r="BU145" s="264">
        <f>BU112</f>
        <v>134.624</v>
      </c>
      <c r="BV145" s="264">
        <f>BV112</f>
        <v>368.449</v>
      </c>
      <c r="BW145" s="264">
        <f>BW112</f>
        <v>140.405</v>
      </c>
      <c r="BX145" s="264">
        <f>BX112</f>
        <v>131.312</v>
      </c>
      <c r="BY145" s="254">
        <f>BY112</f>
        <v>143.976818495279</v>
      </c>
      <c r="BZ145" s="254">
        <f>BZ112</f>
        <v>239.334393760755</v>
      </c>
      <c r="CA145" s="254">
        <f>CA112</f>
        <v>655.028212256034</v>
      </c>
      <c r="CB145" s="254">
        <f>CB112</f>
        <v>622.372489973843</v>
      </c>
      <c r="CC145" s="254">
        <f>CC112</f>
        <v>681.655833285147</v>
      </c>
      <c r="CD145" s="254">
        <f>CD112</f>
        <v>739.900039643723</v>
      </c>
      <c r="CE145" s="254">
        <f>CE112</f>
        <v>797.391989341846</v>
      </c>
      <c r="CF145" s="254">
        <f>CF112</f>
        <v>853.116043731765</v>
      </c>
      <c r="CG145" s="153" t="n"/>
    </row>
    <row r="146" ht="15" customHeight="1" s="251">
      <c r="B146" s="25" t="inlineStr">
        <is>
          <t>(Earnings per share — split-adjusted: 7-for-1 Jul-2015, 10-for-1 Nov-2025)</t>
        </is>
      </c>
      <c r="CG146" s="153" t="n"/>
    </row>
    <row r="147" ht="15" customHeight="1" s="251">
      <c r="B147" s="25" t="inlineStr">
        <is>
          <t xml:space="preserve">  Weighted-average basic shares (m)</t>
        </is>
      </c>
      <c r="C147" s="253" t="n">
        <v>4380.39</v>
      </c>
      <c r="D147" s="253" t="n">
        <v>4695.32</v>
      </c>
      <c r="E147" s="253" t="n">
        <v>4267.27</v>
      </c>
      <c r="F147" s="253" t="n">
        <v>3959.2</v>
      </c>
      <c r="G147" s="253" t="n">
        <v>3677.03</v>
      </c>
      <c r="H147" s="253" t="n">
        <v>3699.29</v>
      </c>
      <c r="I147" s="253" t="n">
        <v>3886.47</v>
      </c>
      <c r="J147" s="253" t="n">
        <v>3918.04</v>
      </c>
      <c r="K147" s="253" t="n">
        <v>4073.44</v>
      </c>
      <c r="L147" s="253" t="n">
        <v>4137.56</v>
      </c>
      <c r="M147" s="253" t="n">
        <v>4162.9</v>
      </c>
      <c r="N147" s="253" t="n">
        <v>4073.86</v>
      </c>
      <c r="O147" s="253" t="n">
        <v>4187.19</v>
      </c>
      <c r="P147" s="253" t="n">
        <v>4199.72</v>
      </c>
      <c r="Q147" s="253" t="n">
        <v>4211.97</v>
      </c>
      <c r="R147" s="253" t="n">
        <v>4222.47</v>
      </c>
      <c r="S147" s="253" t="n">
        <v>4205.46</v>
      </c>
      <c r="T147" s="253" t="n">
        <v>4236.26</v>
      </c>
      <c r="U147" s="253" t="n">
        <v>4253.4</v>
      </c>
      <c r="V147" s="253" t="n">
        <v>4268.69</v>
      </c>
      <c r="W147" s="253" t="n">
        <v>4276.68</v>
      </c>
      <c r="X147" s="253" t="n">
        <v>4258.89</v>
      </c>
      <c r="Y147" s="253" t="n">
        <v>4281.17</v>
      </c>
      <c r="Z147" s="253" t="n">
        <v>4284.83</v>
      </c>
      <c r="AA147" s="253" t="n">
        <v>4289.37</v>
      </c>
      <c r="AB147" s="253" t="n">
        <v>4297.38</v>
      </c>
      <c r="AC147" s="253" t="n">
        <v>4288.22</v>
      </c>
      <c r="AD147" s="253" t="n">
        <v>4306</v>
      </c>
      <c r="AE147" s="253" t="n">
        <v>4313.96</v>
      </c>
      <c r="AF147" s="253" t="n">
        <v>4324.04</v>
      </c>
      <c r="AG147" s="253" t="n">
        <v>4331.08</v>
      </c>
      <c r="AH147" s="253" t="n">
        <v>4318.85</v>
      </c>
      <c r="AI147" s="253" t="n">
        <v>4341.74</v>
      </c>
      <c r="AJ147" s="253" t="n">
        <v>4350.97</v>
      </c>
      <c r="AK147" s="253" t="n">
        <v>4358.09</v>
      </c>
      <c r="AL147" s="253" t="n">
        <v>4363.85</v>
      </c>
      <c r="AM147" s="253" t="n">
        <v>4353.74</v>
      </c>
      <c r="AN147" s="253" t="n">
        <v>4369.47</v>
      </c>
      <c r="AO147" s="253" t="n">
        <v>4375.87</v>
      </c>
      <c r="AP147" s="253" t="n">
        <v>4380.9</v>
      </c>
      <c r="AQ147" s="253" t="n">
        <v>4385.47</v>
      </c>
      <c r="AR147" s="253" t="n">
        <v>4377.99</v>
      </c>
      <c r="AS147" s="253" t="n">
        <v>4393.52</v>
      </c>
      <c r="AT147" s="253" t="n">
        <v>4405.69</v>
      </c>
      <c r="AU147" s="253" t="n">
        <v>4415.26</v>
      </c>
      <c r="AV147" s="253" t="n">
        <v>4422.2</v>
      </c>
      <c r="AW147" s="253" t="n">
        <v>4409.22</v>
      </c>
      <c r="AX147" s="253" t="n">
        <v>4432.24</v>
      </c>
      <c r="AY147" s="253" t="n">
        <v>4431.59</v>
      </c>
      <c r="AZ147" s="253" t="n">
        <v>4427.78</v>
      </c>
      <c r="BA147" s="253" t="n">
        <v>4434.62</v>
      </c>
      <c r="BB147" s="253" t="n">
        <v>4431.55</v>
      </c>
      <c r="BC147" s="253" t="n">
        <v>4441.46</v>
      </c>
      <c r="BD147" s="253" t="n">
        <v>4445.57</v>
      </c>
      <c r="BE147" s="253" t="n">
        <v>4448.78</v>
      </c>
      <c r="BF147" s="253" t="n">
        <v>4452</v>
      </c>
      <c r="BG147" s="253" t="n">
        <v>4446.98</v>
      </c>
      <c r="BH147" s="253" t="n">
        <v>4452.44</v>
      </c>
      <c r="BI147" s="253" t="n">
        <v>4438.81</v>
      </c>
      <c r="BJ147" s="253" t="n">
        <v>4415.37</v>
      </c>
      <c r="BK147" s="253" t="n">
        <v>4359.23</v>
      </c>
      <c r="BL147" s="253" t="n">
        <v>4415.71</v>
      </c>
      <c r="BM147" s="253" t="n">
        <v>4320.9</v>
      </c>
      <c r="BN147" s="253" t="n">
        <v>4300.65</v>
      </c>
      <c r="BO147" s="253" t="n">
        <v>4282.39</v>
      </c>
      <c r="BP147" s="253" t="n">
        <v>4277.16</v>
      </c>
      <c r="BQ147" s="253" t="n">
        <v>4295.19</v>
      </c>
      <c r="BR147" s="253" t="n">
        <v>4272.7</v>
      </c>
      <c r="BS147" s="253" t="n">
        <v>4252.11</v>
      </c>
      <c r="BT147" s="253" t="n">
        <v>4244.55</v>
      </c>
      <c r="BU147" s="253" t="n">
        <v>4229.221</v>
      </c>
      <c r="BV147" s="253" t="n">
        <v>4249.512</v>
      </c>
      <c r="BW147" s="253" t="n">
        <v>4222.787</v>
      </c>
      <c r="BX147" s="253" t="n">
        <v>4189.303</v>
      </c>
      <c r="BY147" s="254">
        <f>BX313-$CA$276*0.25+$CA$277*0.25</f>
        <v>4141.04607004762</v>
      </c>
      <c r="BZ147" s="254">
        <f>BX313-$CA$276*0.75+$CA$277*0.75</f>
        <v>4095.25885814286</v>
      </c>
      <c r="CA147" s="254">
        <f>AVERAGE(BW147:BZ147)</f>
        <v>4162.09873204762</v>
      </c>
      <c r="CB147" s="254">
        <f>AVERAGE(CB278,CB279)</f>
        <v>3991.41197249018</v>
      </c>
      <c r="CC147" s="254">
        <f>AVERAGE(CC278,CC279)</f>
        <v>3819.55333534882</v>
      </c>
      <c r="CD147" s="254">
        <f>AVERAGE(CD278,CD279)</f>
        <v>3629.94005574409</v>
      </c>
      <c r="CE147" s="254">
        <f>AVERAGE(CE278,CE279)</f>
        <v>3427.20607879558</v>
      </c>
      <c r="CF147" s="254">
        <f>AVERAGE(CF278,CF279)</f>
        <v>3215.08758573296</v>
      </c>
      <c r="CG147" s="19" t="inlineStr">
        <is>
          <t>Q3/Q4-26E: shares outstanding at 30-Jun-2026 − 2H buybacks (half per quarter, mid-quarter) + plan issuance. 2027E+: average of beginning and ending shares.</t>
        </is>
      </c>
    </row>
    <row r="148" ht="15" customHeight="1" s="251">
      <c r="B148" s="25" t="inlineStr">
        <is>
          <t xml:space="preserve">  Weighted-average diluted shares (m)</t>
        </is>
      </c>
      <c r="C148" s="253" t="n">
        <v>4835.25</v>
      </c>
      <c r="D148" s="253" t="n">
        <v>4823.14</v>
      </c>
      <c r="E148" s="253" t="n">
        <v>4398.52</v>
      </c>
      <c r="F148" s="253" t="n">
        <v>4089.12</v>
      </c>
      <c r="G148" s="253" t="n">
        <v>3801.28</v>
      </c>
      <c r="H148" s="253" t="n">
        <v>3805.83</v>
      </c>
      <c r="I148" s="253" t="n">
        <v>4123.28</v>
      </c>
      <c r="J148" s="253" t="n">
        <v>4210.22</v>
      </c>
      <c r="K148" s="253" t="n">
        <v>4241.3</v>
      </c>
      <c r="L148" s="253" t="n">
        <v>4269.3</v>
      </c>
      <c r="M148" s="253" t="n">
        <v>4291.28</v>
      </c>
      <c r="N148" s="253" t="n">
        <v>4253.27</v>
      </c>
      <c r="O148" s="253" t="n">
        <v>4308.36</v>
      </c>
      <c r="P148" s="253" t="n">
        <v>4314.38</v>
      </c>
      <c r="Q148" s="253" t="n">
        <v>4327.4</v>
      </c>
      <c r="R148" s="253" t="n">
        <v>4325.16</v>
      </c>
      <c r="S148" s="253" t="n">
        <v>4318.93</v>
      </c>
      <c r="T148" s="253" t="n">
        <v>4338.11</v>
      </c>
      <c r="U148" s="253" t="n">
        <v>4360.97</v>
      </c>
      <c r="V148" s="253" t="n">
        <v>4376.06</v>
      </c>
      <c r="W148" s="253" t="n">
        <v>4382.57</v>
      </c>
      <c r="X148" s="253" t="n">
        <v>4364.56</v>
      </c>
      <c r="Y148" s="253" t="n">
        <v>4379.93</v>
      </c>
      <c r="Z148" s="253" t="n">
        <v>4381.54</v>
      </c>
      <c r="AA148" s="253" t="n">
        <v>4383.89</v>
      </c>
      <c r="AB148" s="253" t="n">
        <v>4400.63</v>
      </c>
      <c r="AC148" s="253" t="n">
        <v>4386.52</v>
      </c>
      <c r="AD148" s="253" t="n">
        <v>4454.58</v>
      </c>
      <c r="AE148" s="253" t="n">
        <v>4462.62</v>
      </c>
      <c r="AF148" s="253" t="n">
        <v>4473.62</v>
      </c>
      <c r="AG148" s="253" t="n">
        <v>4481.42</v>
      </c>
      <c r="AH148" s="253" t="n">
        <v>4468.14</v>
      </c>
      <c r="AI148" s="253" t="n">
        <v>4503.59</v>
      </c>
      <c r="AJ148" s="253" t="n">
        <v>4515.52</v>
      </c>
      <c r="AK148" s="253" t="n">
        <v>4519.19</v>
      </c>
      <c r="AL148" s="253" t="n">
        <v>4511.16</v>
      </c>
      <c r="AM148" s="253" t="n">
        <v>4512.44</v>
      </c>
      <c r="AN148" s="253" t="n">
        <v>4519.22</v>
      </c>
      <c r="AO148" s="253" t="n">
        <v>4521.95</v>
      </c>
      <c r="AP148" s="253" t="n">
        <v>4515.52</v>
      </c>
      <c r="AQ148" s="253" t="n">
        <v>4513.67</v>
      </c>
      <c r="AR148" s="253" t="n">
        <v>4517.65</v>
      </c>
      <c r="AS148" s="253" t="n">
        <v>4524.94</v>
      </c>
      <c r="AT148" s="253" t="n">
        <v>4539.45</v>
      </c>
      <c r="AU148" s="253" t="n">
        <v>4550.88</v>
      </c>
      <c r="AV148" s="253" t="n">
        <v>4552.83</v>
      </c>
      <c r="AW148" s="253" t="n">
        <v>4542.08</v>
      </c>
      <c r="AX148" s="253" t="n">
        <v>4556.41</v>
      </c>
      <c r="AY148" s="253" t="n">
        <v>4551.29</v>
      </c>
      <c r="AZ148" s="253" t="n">
        <v>4549.25</v>
      </c>
      <c r="BA148" s="253" t="n">
        <v>4557.95</v>
      </c>
      <c r="BB148" s="253" t="n">
        <v>4553.72</v>
      </c>
      <c r="BC148" s="253" t="n">
        <v>4529.84</v>
      </c>
      <c r="BD148" s="253" t="n">
        <v>4501.69</v>
      </c>
      <c r="BE148" s="253" t="n">
        <v>4503.44</v>
      </c>
      <c r="BF148" s="253" t="n">
        <v>4516.49</v>
      </c>
      <c r="BG148" s="253" t="n">
        <v>4512.9</v>
      </c>
      <c r="BH148" s="253" t="n">
        <v>4524.17</v>
      </c>
      <c r="BI148" s="253" t="n">
        <v>4515.72</v>
      </c>
      <c r="BJ148" s="253" t="n">
        <v>4500.11</v>
      </c>
      <c r="BK148" s="253" t="n">
        <v>4442.92</v>
      </c>
      <c r="BL148" s="253" t="n">
        <v>4494.98</v>
      </c>
      <c r="BM148" s="253" t="n">
        <v>4416.54</v>
      </c>
      <c r="BN148" s="253" t="n">
        <v>4397.39</v>
      </c>
      <c r="BO148" s="253" t="n">
        <v>4378.98</v>
      </c>
      <c r="BP148" s="253" t="n">
        <v>4377.86</v>
      </c>
      <c r="BQ148" s="253" t="n">
        <v>4392.61</v>
      </c>
      <c r="BR148" s="253" t="n">
        <v>4369.62</v>
      </c>
      <c r="BS148" s="253" t="n">
        <v>4348.83</v>
      </c>
      <c r="BT148" s="253" t="n">
        <v>4340.39</v>
      </c>
      <c r="BU148" s="253" t="n">
        <v>4317.144</v>
      </c>
      <c r="BV148" s="253" t="n">
        <v>4343.863</v>
      </c>
      <c r="BW148" s="253" t="n">
        <v>4298.437</v>
      </c>
      <c r="BX148" s="253" t="n">
        <v>4261.3</v>
      </c>
      <c r="BY148" s="254">
        <f>BY147+(BX148-BX147)</f>
        <v>4213.04307004762</v>
      </c>
      <c r="BZ148" s="254">
        <f>BZ147+(BX148-BX147)</f>
        <v>4167.25585814286</v>
      </c>
      <c r="CA148" s="254">
        <f>AVERAGE(BW148:BZ148)</f>
        <v>4235.00898204762</v>
      </c>
      <c r="CB148" s="254">
        <f>CB147+CB331</f>
        <v>4063.41197249018</v>
      </c>
      <c r="CC148" s="254">
        <f>CC147+CC331</f>
        <v>3891.55333534882</v>
      </c>
      <c r="CD148" s="254">
        <f>CD147+CD331</f>
        <v>3701.94005574409</v>
      </c>
      <c r="CE148" s="254">
        <f>CE147+CE331</f>
        <v>3499.20607879558</v>
      </c>
      <c r="CF148" s="254">
        <f>CF147+CF331</f>
        <v>3287.08758573296</v>
      </c>
      <c r="CG148" s="19" t="n"/>
      <c r="CI148" s="20">
        <f>IFERROR((CF148/CA148)^(1/5)-1,"n/m")</f>
        <v>-0.0494140563367874</v>
      </c>
      <c r="CJ148" s="20">
        <f>IFERROR((BV148/AW148)^(1/5)-1,"n/m")</f>
        <v>-0.00888450000365038</v>
      </c>
      <c r="CK148" s="20">
        <f>IFERROR((BV148/X148)^(1/10)-1,"n/m")</f>
        <v>-0.000475220846474222</v>
      </c>
      <c r="CL148" s="20">
        <f>IFERROR((BV148/C148)^(1/19)-1,"n/m")</f>
        <v>-0.00562458506208852</v>
      </c>
    </row>
    <row r="149" collapsed="1" ht="15" customHeight="1" s="251">
      <c r="B149" s="55" t="inlineStr">
        <is>
          <t>EPS – diluted ($)</t>
        </is>
      </c>
      <c r="C149" s="280">
        <f>IF(ISNUMBER(C148),IFERROR(C141/C148,""),"")</f>
        <v>0.0101508712062458</v>
      </c>
      <c r="D149" s="280">
        <f>IF(ISNUMBER(D148),IFERROR(D141/D148,""),"")</f>
        <v>0.0138814133531268</v>
      </c>
      <c r="E149" s="280">
        <f>IF(ISNUMBER(E148),IFERROR(E141/E148,""),"")</f>
        <v>0.0188758946190992</v>
      </c>
      <c r="F149" s="280">
        <f>IF(ISNUMBER(F148),IFERROR(F141/F148,""),"")</f>
        <v>0.0283337246155652</v>
      </c>
      <c r="G149" s="280">
        <f>IF(ISNUMBER(G148),IFERROR(G141/G148,""),"")</f>
        <v>0.042315483205657</v>
      </c>
      <c r="H149" s="280">
        <f>IF(ISNUMBER(H148),IFERROR(H141/H148,""),"")</f>
        <v>0.0594156859344743</v>
      </c>
      <c r="I149" s="280">
        <f>IF(ISNUMBER(I148),IFERROR(I141/I148,""),"")</f>
        <v>0.00415979511456903</v>
      </c>
      <c r="J149" s="280">
        <f>IF(ISNUMBER(J148),IFERROR(J141/J148,""),"")</f>
        <v>0.000638683964258388</v>
      </c>
      <c r="K149" s="280">
        <f>IF(ISNUMBER(K148),IFERROR(K141/K148,""),"")</f>
        <v>0.00694857708721385</v>
      </c>
      <c r="L149" s="280">
        <f>IF(ISNUMBER(L148),IFERROR(L141/L148,""),"")</f>
        <v>0.00745368093130022</v>
      </c>
      <c r="M149" s="280">
        <f>IF(ISNUMBER(M148),IFERROR(M141/M148,""),"")</f>
        <v>0.0112835797244645</v>
      </c>
      <c r="N149" s="280">
        <f>IF(ISNUMBER(N148),IFERROR(N141/N148,""),"")</f>
        <v>0.0264274311294604</v>
      </c>
      <c r="O149" s="280">
        <f>IF(ISNUMBER(O148),IFERROR(O141/O148,""),"")</f>
        <v>0.0123283569618138</v>
      </c>
      <c r="P149" s="280">
        <f>IF(ISNUMBER(P148),IFERROR(P141/P148,""),"")</f>
        <v>0.0164607660892179</v>
      </c>
      <c r="Q149" s="280">
        <f>IF(ISNUMBER(Q148),IFERROR(Q141/Q148,""),"")</f>
        <v>0.0137022230438601</v>
      </c>
      <c r="R149" s="280">
        <f>IF(ISNUMBER(R148),IFERROR(R141/R148,""),"")</f>
        <v>0.0192758186980366</v>
      </c>
      <c r="S149" s="280">
        <f>IF(ISNUMBER(S148),IFERROR(S141/S148,""),"")</f>
        <v>0.0617743283637381</v>
      </c>
      <c r="T149" s="280">
        <f>IF(ISNUMBER(T148),IFERROR(T141/T148,""),"")</f>
        <v>0.00546228657180197</v>
      </c>
      <c r="U149" s="280">
        <f>IF(ISNUMBER(U148),IFERROR(U141/U148,""),"")</f>
        <v>0.00603879412149132</v>
      </c>
      <c r="V149" s="280">
        <f>IF(ISNUMBER(V148),IFERROR(V141/V148,""),"")</f>
        <v>0.00672568474838096</v>
      </c>
      <c r="W149" s="280">
        <f>IF(ISNUMBER(W148),IFERROR(W141/W148,""),"")</f>
        <v>0.009852210004632</v>
      </c>
      <c r="X149" s="280">
        <f>IF(ISNUMBER(X148),IFERROR(X141/X148,""),"")</f>
        <v>0.0280992814854191</v>
      </c>
      <c r="Y149" s="280">
        <f>IF(ISNUMBER(Y148),IFERROR(Y141/Y148,""),"")</f>
        <v>0.00631471279221361</v>
      </c>
      <c r="Z149" s="280">
        <f>IF(ISNUMBER(Z148),IFERROR(Z141/Z148,""),"")</f>
        <v>0.0093015241216559</v>
      </c>
      <c r="AA149" s="280">
        <f>IF(ISNUMBER(AA148),IFERROR(AA141/AA148,""),"")</f>
        <v>0.0117514353690444</v>
      </c>
      <c r="AB149" s="280">
        <f>IF(ISNUMBER(AB148),IFERROR(AB141/AB148,""),"")</f>
        <v>0.0151678282427743</v>
      </c>
      <c r="AC149" s="280">
        <f>IF(ISNUMBER(AC148),IFERROR(AC141/AC148,""),"")</f>
        <v>0.0425571979610261</v>
      </c>
      <c r="AD149" s="280">
        <f>IF(ISNUMBER(AD148),IFERROR(AD141/AD148,""),"")</f>
        <v>0.0400087101365337</v>
      </c>
      <c r="AE149" s="280">
        <f>IF(ISNUMBER(AE148),IFERROR(AE141/AE148,""),"")</f>
        <v>0.0146998848210244</v>
      </c>
      <c r="AF149" s="280">
        <f>IF(ISNUMBER(AF148),IFERROR(AF141/AF148,""),"")</f>
        <v>0.0289675922407357</v>
      </c>
      <c r="AG149" s="280">
        <f>IF(ISNUMBER(AG148),IFERROR(AG141/AG148,""),"")</f>
        <v>0.0413969232966337</v>
      </c>
      <c r="AH149" s="280">
        <f>IF(ISNUMBER(AH148),IFERROR(AH141/AH148,""),"")</f>
        <v>0.125092096487576</v>
      </c>
      <c r="AI149" s="280">
        <f>IF(ISNUMBER(AI148),IFERROR(AI141/AI148,""),"")</f>
        <v>0.0644206066715665</v>
      </c>
      <c r="AJ149" s="280">
        <f>IF(ISNUMBER(AJ148),IFERROR(AJ141/AJ148,""),"")</f>
        <v>0.0851173286797534</v>
      </c>
      <c r="AK149" s="280">
        <f>IF(ISNUMBER(AK148),IFERROR(AK141/AK148,""),"")</f>
        <v>0.0891387615922322</v>
      </c>
      <c r="AL149" s="280">
        <f>IF(ISNUMBER(AL148),IFERROR(AL141/AL148,""),"")</f>
        <v>0.0296894811977408</v>
      </c>
      <c r="AM149" s="280">
        <f>IF(ISNUMBER(AM148),IFERROR(AM141/AM148,""),"")</f>
        <v>0.268422848835663</v>
      </c>
      <c r="AN149" s="280">
        <f>IF(ISNUMBER(AN148),IFERROR(AN141/AN148,""),"")</f>
        <v>0.0761308367373131</v>
      </c>
      <c r="AO149" s="280">
        <f>IF(ISNUMBER(AO148),IFERROR(AO141/AO148,""),"")</f>
        <v>0.0598524972633487</v>
      </c>
      <c r="AP149" s="280">
        <f>IF(ISNUMBER(AP148),IFERROR(AP141/AP148,""),"")</f>
        <v>0.147323896251152</v>
      </c>
      <c r="AQ149" s="280">
        <f>IF(ISNUMBER(AQ148),IFERROR(AQ141/AQ148,""),"")</f>
        <v>0.130042736841639</v>
      </c>
      <c r="AR149" s="280">
        <f>IF(ISNUMBER(AR148),IFERROR(AR141/AR148,""),"")</f>
        <v>0.413249366374111</v>
      </c>
      <c r="AS149" s="280">
        <f>IF(ISNUMBER(AS148),IFERROR(AS141/AS148,""),"")</f>
        <v>0.156701967318904</v>
      </c>
      <c r="AT149" s="280">
        <f>IF(ISNUMBER(AT148),IFERROR(AT141/AT148,""),"")</f>
        <v>0.158652700216987</v>
      </c>
      <c r="AU149" s="280">
        <f>IF(ISNUMBER(AU148),IFERROR(AU141/AU148,""),"")</f>
        <v>0.173587525929051</v>
      </c>
      <c r="AV149" s="280">
        <f>IF(ISNUMBER(AV148),IFERROR(AV141/AV148,""),"")</f>
        <v>0.119081099008748</v>
      </c>
      <c r="AW149" s="280">
        <f>IF(ISNUMBER(AW148),IFERROR(AW141/AW148,""),"")</f>
        <v>0.607958248203467</v>
      </c>
      <c r="AX149" s="280">
        <f>IF(ISNUMBER(AX148),IFERROR(AX141/AX148,""),"")</f>
        <v>0.374574500538801</v>
      </c>
      <c r="AY149" s="280">
        <f>IF(ISNUMBER(AY148),IFERROR(AY141/AY148,""),"")</f>
        <v>0.297281210382112</v>
      </c>
      <c r="AZ149" s="280">
        <f>IF(ISNUMBER(AZ148),IFERROR(AZ141/AZ148,""),"")</f>
        <v>0.318529647744134</v>
      </c>
      <c r="BA149" s="280">
        <f>IF(ISNUMBER(BA148),IFERROR(BA141/BA148,""),"")</f>
        <v>0.133268026195987</v>
      </c>
      <c r="BB149" s="280">
        <f>IF(ISNUMBER(BB148),IFERROR(BB141/BB148,""),"")</f>
        <v>1.1235271382518</v>
      </c>
      <c r="BC149" s="280">
        <f>IF(ISNUMBER(BC148),IFERROR(BC141/BC148,""),"")</f>
        <v>0.352649762464016</v>
      </c>
      <c r="BD149" s="280">
        <f>IF(ISNUMBER(BD148),IFERROR(BD141/BD148,""),"")</f>
        <v>0.320091121334432</v>
      </c>
      <c r="BE149" s="280">
        <f>IF(ISNUMBER(BE148),IFERROR(BE141/BE148,""),"")</f>
        <v>0.31048309736557</v>
      </c>
      <c r="BF149" s="280">
        <f>IF(ISNUMBER(BF148),IFERROR(BF141/BF148,""),"")</f>
        <v>0.0122404787788747</v>
      </c>
      <c r="BG149" s="280">
        <f>IF(ISNUMBER(BG148),IFERROR(BG141/BG148,""),"")</f>
        <v>0.99535199095925</v>
      </c>
      <c r="BH149" s="280">
        <f>IF(ISNUMBER(BH148),IFERROR(BH141/BH148,""),"")</f>
        <v>0.288477223446511</v>
      </c>
      <c r="BI149" s="280">
        <f>IF(ISNUMBER(BI148),IFERROR(BI141/BI148,""),"")</f>
        <v>0.329429194015572</v>
      </c>
      <c r="BJ149" s="280">
        <f>IF(ISNUMBER(BJ148),IFERROR(BJ141/BJ148,""),"")</f>
        <v>0.3727513327452</v>
      </c>
      <c r="BK149" s="280">
        <f>IF(ISNUMBER(BK148),IFERROR(BK141/BK148,""),"")</f>
        <v>0.211085952481701</v>
      </c>
      <c r="BL149" s="280">
        <f>IF(ISNUMBER(BL148),IFERROR(BL141/BL148,""),"")</f>
        <v>1.20311770018999</v>
      </c>
      <c r="BM149" s="280">
        <f>IF(ISNUMBER(BM148),IFERROR(BM141/BM148,""),"")</f>
        <v>0.528062465187681</v>
      </c>
      <c r="BN149" s="280">
        <f>IF(ISNUMBER(BN148),IFERROR(BN141/BN148,""),"")</f>
        <v>0.488313749747009</v>
      </c>
      <c r="BO149" s="280">
        <f>IF(ISNUMBER(BO148),IFERROR(BO141/BO148,""),"")</f>
        <v>0.539739619728795</v>
      </c>
      <c r="BP149" s="280">
        <f>IF(ISNUMBER(BP148),IFERROR(BP141/BP148,""),"")</f>
        <v>0.426831145810967</v>
      </c>
      <c r="BQ149" s="280">
        <f>IF(ISNUMBER(BQ148),IFERROR(BQ141/BQ148,""),"")</f>
        <v>1.98324708999888</v>
      </c>
      <c r="BR149" s="280">
        <f>IF(ISNUMBER(BR148),IFERROR(BR141/BR148,""),"")</f>
        <v>0.66146507018917</v>
      </c>
      <c r="BS149" s="280">
        <f>IF(ISNUMBER(BS148),IFERROR(BS141/BS148,""),"")</f>
        <v>0.718679047008046</v>
      </c>
      <c r="BT149" s="280">
        <f>IF(ISNUMBER(BT148),IFERROR(BT141/BT148,""),"")</f>
        <v>0.586794274247245</v>
      </c>
      <c r="BU149" s="280">
        <f>IF(ISNUMBER(BU148),IFERROR(BU141/BU148,""),"")</f>
        <v>0.560213187236747</v>
      </c>
      <c r="BV149" s="280">
        <f>IF(ISNUMBER(BV148),IFERROR(BV141/BV148,""),"")</f>
        <v>2.52798050951423</v>
      </c>
      <c r="BW149" s="280">
        <f>IF(ISNUMBER(BW148),IFERROR(BW141/BW148,""),"")</f>
        <v>1.22900277472951</v>
      </c>
      <c r="BX149" s="280">
        <f>IF(ISNUMBER(BX148),IFERROR(BX141/BX148,""),"")</f>
        <v>0.798210405275385</v>
      </c>
      <c r="BY149" s="280">
        <f>IF(ISNUMBER(BY148),IFERROR(BY141/BY148,""),"")</f>
        <v>0.819437196012568</v>
      </c>
      <c r="BZ149" s="280">
        <f>IF(ISNUMBER(BZ148),IFERROR(BZ141/BZ148,""),"")</f>
        <v>0.716102887987757</v>
      </c>
      <c r="CA149" s="280">
        <f>IF(ISNUMBER(CA148),IFERROR(CA141/CA148,""),"")</f>
        <v>3.57040875688749</v>
      </c>
      <c r="CB149" s="280">
        <f>IF(ISNUMBER(CB148),IFERROR(CB141/CB148,""),"")</f>
        <v>3.76903241188753</v>
      </c>
      <c r="CC149" s="280">
        <f>IF(ISNUMBER(CC148),IFERROR(CC141/CC148,""),"")</f>
        <v>4.52053161356865</v>
      </c>
      <c r="CD149" s="280">
        <f>IF(ISNUMBER(CD148),IFERROR(CD141/CD148,""),"")</f>
        <v>5.39561960368652</v>
      </c>
      <c r="CE149" s="280">
        <f>IF(ISNUMBER(CE148),IFERROR(CE141/CE148,""),"")</f>
        <v>6.33450668522</v>
      </c>
      <c r="CF149" s="280">
        <f>IF(ISNUMBER(CF148),IFERROR(CF141/CF148,""),"")</f>
        <v>7.424283979119</v>
      </c>
      <c r="CG149" s="19" t="inlineStr">
        <is>
          <t>Net income / weighted diluted shares (split-adjusted by the filing date of each source; Q4 from the Q4 letter three-month column).</t>
        </is>
      </c>
      <c r="CI149" s="20">
        <f>IFERROR((CF149/CA149)^(1/5)-1,"n/m")</f>
        <v>0.157676792547179</v>
      </c>
      <c r="CJ149" s="20">
        <f>IFERROR((BV149/AW149)^(1/5)-1,"n/m")</f>
        <v>0.329780601437084</v>
      </c>
      <c r="CK149" s="20">
        <f>IFERROR((BV149/X149)^(1/10)-1,"n/m")</f>
        <v>0.568223114050052</v>
      </c>
      <c r="CL149" s="20">
        <f>IFERROR((BV149/C149)^(1/19)-1,"n/m")</f>
        <v>0.336963327731835</v>
      </c>
    </row>
    <row r="150" ht="15" customHeight="1" s="251">
      <c r="B150" s="22" t="inlineStr">
        <is>
          <t xml:space="preserve">  EPS – diluted y/y %</t>
        </is>
      </c>
      <c r="C150" s="23" t="n"/>
      <c r="D150" s="255">
        <f>IF(AND(ISNUMBER(D149),ISNUMBER(C149)),IFERROR(D149/C149-1,""),"")</f>
        <v>0.367509553720434</v>
      </c>
      <c r="E150" s="255">
        <f>IF(AND(ISNUMBER(E149),ISNUMBER(D149)),IFERROR(E149/D149-1,""),"")</f>
        <v>0.359796307401751</v>
      </c>
      <c r="F150" s="255">
        <f>IF(AND(ISNUMBER(F149),ISNUMBER(E149)),IFERROR(F149/E149-1,""),"")</f>
        <v>0.501053337461228</v>
      </c>
      <c r="G150" s="255">
        <f>IF(AND(ISNUMBER(G149),ISNUMBER(F149)),IFERROR(G149/F149-1,""),"")</f>
        <v>0.493467017831143</v>
      </c>
      <c r="H150" s="255">
        <f>IF(AND(ISNUMBER(H149),ISNUMBER(G149)),IFERROR(H149/G149-1,""),"")</f>
        <v>0.404112193300706</v>
      </c>
      <c r="I150" s="255">
        <f>IF(AND(ISNUMBER(I149),ISNUMBER(H149)),IFERROR(I149/H149-1,""),"")</f>
        <v>-0.929988267422233</v>
      </c>
      <c r="J150" s="23" t="n"/>
      <c r="K150" s="23" t="n"/>
      <c r="L150" s="23" t="n"/>
      <c r="M150" s="23" t="n"/>
      <c r="N150" s="255">
        <f>IF(AND(ISNUMBER(N149),ISNUMBER(I149)),IFERROR(N149/I149-1,""),"")</f>
        <v>5.35306076419544</v>
      </c>
      <c r="O150" s="255">
        <f>IF(AND(ISNUMBER(O149),ISNUMBER(J149)),IFERROR(O149/J149-1,""),"")</f>
        <v>18.3027501107358</v>
      </c>
      <c r="P150" s="255">
        <f>IF(AND(ISNUMBER(P149),ISNUMBER(K149)),IFERROR(P149/K149-1,""),"")</f>
        <v>1.36894055899697</v>
      </c>
      <c r="Q150" s="255">
        <f>IF(AND(ISNUMBER(Q149),ISNUMBER(L149)),IFERROR(Q149/L149-1,""),"")</f>
        <v>0.838316285624778</v>
      </c>
      <c r="R150" s="255">
        <f>IF(AND(ISNUMBER(R149),ISNUMBER(M149)),IFERROR(R149/M149-1,""),"")</f>
        <v>0.708307041624722</v>
      </c>
      <c r="S150" s="255">
        <f>IF(AND(ISNUMBER(S149),ISNUMBER(N149)),IFERROR(S149/N149-1,""),"")</f>
        <v>1.33750787434176</v>
      </c>
      <c r="T150" s="255">
        <f>IF(AND(ISNUMBER(T149),ISNUMBER(O149)),IFERROR(T149/O149-1,""),"")</f>
        <v>-0.556933126715829</v>
      </c>
      <c r="U150" s="255">
        <f>IF(AND(ISNUMBER(U149),ISNUMBER(P149)),IFERROR(U149/P149-1,""),"")</f>
        <v>-0.633140153455747</v>
      </c>
      <c r="V150" s="255">
        <f>IF(AND(ISNUMBER(V149),ISNUMBER(Q149)),IFERROR(V149/Q149-1,""),"")</f>
        <v>-0.509153753602433</v>
      </c>
      <c r="W150" s="255">
        <f>IF(AND(ISNUMBER(W149),ISNUMBER(R149)),IFERROR(W149/R149-1,""),"")</f>
        <v>-0.488882409667221</v>
      </c>
      <c r="X150" s="255">
        <f>IF(AND(ISNUMBER(X149),ISNUMBER(S149)),IFERROR(X149/S149-1,""),"")</f>
        <v>-0.54513011748237</v>
      </c>
      <c r="Y150" s="255">
        <f>IF(AND(ISNUMBER(Y149),ISNUMBER(T149)),IFERROR(Y149/T149-1,""),"")</f>
        <v>0.156056664037389</v>
      </c>
      <c r="Z150" s="255">
        <f>IF(AND(ISNUMBER(Z149),ISNUMBER(U149)),IFERROR(Z149/U149-1,""),"")</f>
        <v>0.540294955337678</v>
      </c>
      <c r="AA150" s="255">
        <f>IF(AND(ISNUMBER(AA149),ISNUMBER(V149)),IFERROR(AA149/V149-1,""),"")</f>
        <v>0.747247426646524</v>
      </c>
      <c r="AB150" s="255">
        <f>IF(AND(ISNUMBER(AB149),ISNUMBER(W149)),IFERROR(AB149/W149-1,""),"")</f>
        <v>0.539535620499687</v>
      </c>
      <c r="AC150" s="255">
        <f>IF(AND(ISNUMBER(AC149),ISNUMBER(X149)),IFERROR(AC149/X149-1,""),"")</f>
        <v>0.514529757037002</v>
      </c>
      <c r="AD150" s="255">
        <f>IF(AND(ISNUMBER(AD149),ISNUMBER(Y149)),IFERROR(AD149/Y149-1,""),"")</f>
        <v>5.33579252976742</v>
      </c>
      <c r="AE150" s="255">
        <f>IF(AND(ISNUMBER(AE149),ISNUMBER(Z149)),IFERROR(AE149/Z149-1,""),"")</f>
        <v>0.580373778400465</v>
      </c>
      <c r="AF150" s="255">
        <f>IF(AND(ISNUMBER(AF149),ISNUMBER(AA149)),IFERROR(AF149/AA149-1,""),"")</f>
        <v>1.46502587394915</v>
      </c>
      <c r="AG150" s="255">
        <f>IF(AND(ISNUMBER(AG149),ISNUMBER(AB149)),IFERROR(AG149/AB149-1,""),"")</f>
        <v>1.72925844320227</v>
      </c>
      <c r="AH150" s="255">
        <f>IF(AND(ISNUMBER(AH149),ISNUMBER(AC149)),IFERROR(AH149/AC149-1,""),"")</f>
        <v>1.93938751799721</v>
      </c>
      <c r="AI150" s="255">
        <f>IF(AND(ISNUMBER(AI149),ISNUMBER(AD149)),IFERROR(AI149/AD149-1,""),"")</f>
        <v>0.610164547962799</v>
      </c>
      <c r="AJ150" s="255">
        <f>IF(AND(ISNUMBER(AJ149),ISNUMBER(AE149)),IFERROR(AJ149/AE149-1,""),"")</f>
        <v>4.790339837086</v>
      </c>
      <c r="AK150" s="255">
        <f>IF(AND(ISNUMBER(AK149),ISNUMBER(AF149)),IFERROR(AK149/AF149-1,""),"")</f>
        <v>2.07718918615821</v>
      </c>
      <c r="AL150" s="255">
        <f>IF(AND(ISNUMBER(AL149),ISNUMBER(AG149)),IFERROR(AL149/AG149-1,""),"")</f>
        <v>-0.282809473907085</v>
      </c>
      <c r="AM150" s="255">
        <f>IF(AND(ISNUMBER(AM149),ISNUMBER(AH149)),IFERROR(AM149/AH149-1,""),"")</f>
        <v>1.14580182419696</v>
      </c>
      <c r="AN150" s="255">
        <f>IF(AND(ISNUMBER(AN149),ISNUMBER(AI149)),IFERROR(AN149/AI149-1,""),"")</f>
        <v>0.181777705470061</v>
      </c>
      <c r="AO150" s="255">
        <f>IF(AND(ISNUMBER(AO149),ISNUMBER(AJ149)),IFERROR(AO149/AJ149-1,""),"")</f>
        <v>-0.296823594070502</v>
      </c>
      <c r="AP150" s="255">
        <f>IF(AND(ISNUMBER(AP149),ISNUMBER(AK149)),IFERROR(AP149/AK149-1,""),"")</f>
        <v>0.652747846386838</v>
      </c>
      <c r="AQ150" s="255">
        <f>IF(AND(ISNUMBER(AQ149),ISNUMBER(AL149)),IFERROR(AQ149/AL149-1,""),"")</f>
        <v>3.38009461921937</v>
      </c>
      <c r="AR150" s="255">
        <f>IF(AND(ISNUMBER(AR149),ISNUMBER(AM149)),IFERROR(AR149/AM149-1,""),"")</f>
        <v>0.539546160718661</v>
      </c>
      <c r="AS150" s="255">
        <f>IF(AND(ISNUMBER(AS149),ISNUMBER(AN149)),IFERROR(AS149/AN149-1,""),"")</f>
        <v>1.05832451125683</v>
      </c>
      <c r="AT150" s="255">
        <f>IF(AND(ISNUMBER(AT149),ISNUMBER(AO149)),IFERROR(AT149/AO149-1,""),"")</f>
        <v>1.65072816458971</v>
      </c>
      <c r="AU150" s="255">
        <f>IF(AND(ISNUMBER(AU149),ISNUMBER(AP149)),IFERROR(AU149/AP149-1,""),"")</f>
        <v>0.178271348682812</v>
      </c>
      <c r="AV150" s="255">
        <f>IF(AND(ISNUMBER(AV149),ISNUMBER(AQ149)),IFERROR(AV149/AQ149-1,""),"")</f>
        <v>-0.084292580263357</v>
      </c>
      <c r="AW150" s="255">
        <f>IF(AND(ISNUMBER(AW149),ISNUMBER(AR149)),IFERROR(AW149/AR149-1,""),"")</f>
        <v>0.471165590737018</v>
      </c>
      <c r="AX150" s="255">
        <f>IF(AND(ISNUMBER(AX149),ISNUMBER(AS149)),IFERROR(AX149/AS149-1,""),"")</f>
        <v>1.39036246288157</v>
      </c>
      <c r="AY150" s="255">
        <f>IF(AND(ISNUMBER(AY149),ISNUMBER(AT149)),IFERROR(AY149/AT149-1,""),"")</f>
        <v>0.873786011681647</v>
      </c>
      <c r="AZ150" s="255">
        <f>IF(AND(ISNUMBER(AZ149),ISNUMBER(AU149)),IFERROR(AZ149/AU149-1,""),"")</f>
        <v>0.834980054236867</v>
      </c>
      <c r="BA150" s="255">
        <f>IF(AND(ISNUMBER(BA149),ISNUMBER(AV149)),IFERROR(BA149/AV149-1,""),"")</f>
        <v>0.119136683363971</v>
      </c>
      <c r="BB150" s="255">
        <f>IF(AND(ISNUMBER(BB149),ISNUMBER(AW149)),IFERROR(BB149/AW149-1,""),"")</f>
        <v>0.848033383167111</v>
      </c>
      <c r="BC150" s="255">
        <f>IF(AND(ISNUMBER(BC149),ISNUMBER(AX149)),IFERROR(BC149/AX149-1,""),"")</f>
        <v>-0.0585323828590779</v>
      </c>
      <c r="BD150" s="255">
        <f>IF(AND(ISNUMBER(BD149),ISNUMBER(AY149)),IFERROR(BD149/AY149-1,""),"")</f>
        <v>0.0767283977450233</v>
      </c>
      <c r="BE150" s="255">
        <f>IF(AND(ISNUMBER(BE149),ISNUMBER(AZ149)),IFERROR(BE149/AZ149-1,""),"")</f>
        <v>-0.0252615429538529</v>
      </c>
      <c r="BF150" s="255">
        <f>IF(AND(ISNUMBER(BF149),ISNUMBER(BA149)),IFERROR(BF149/BA149-1,""),"")</f>
        <v>-0.908151421400407</v>
      </c>
      <c r="BG150" s="255">
        <f>IF(AND(ISNUMBER(BG149),ISNUMBER(BB149)),IFERROR(BG149/BB149-1,""),"")</f>
        <v>-0.114082822682852</v>
      </c>
      <c r="BH150" s="255">
        <f>IF(AND(ISNUMBER(BH149),ISNUMBER(BC149)),IFERROR(BH149/BC149-1,""),"")</f>
        <v>-0.181972443619763</v>
      </c>
      <c r="BI150" s="255">
        <f>IF(AND(ISNUMBER(BI149),ISNUMBER(BD149)),IFERROR(BI149/BD149-1,""),"")</f>
        <v>0.0291731699467657</v>
      </c>
      <c r="BJ150" s="255">
        <f>IF(AND(ISNUMBER(BJ149),ISNUMBER(BE149)),IFERROR(BJ149/BE149-1,""),"")</f>
        <v>0.200552738322867</v>
      </c>
      <c r="BK150" s="255">
        <f>IF(AND(ISNUMBER(BK149),ISNUMBER(BF149)),IFERROR(BK149/BF149-1,""),"")</f>
        <v>16.2449098025483</v>
      </c>
      <c r="BL150" s="255">
        <f>IF(AND(ISNUMBER(BL149),ISNUMBER(BG149)),IFERROR(BL149/BG149-1,""),"")</f>
        <v>0.208735915653828</v>
      </c>
      <c r="BM150" s="255">
        <f>IF(AND(ISNUMBER(BM149),ISNUMBER(BH149)),IFERROR(BM149/BH149-1,""),"")</f>
        <v>0.830517012326952</v>
      </c>
      <c r="BN150" s="255">
        <f>IF(AND(ISNUMBER(BN149),ISNUMBER(BI149)),IFERROR(BN149/BI149-1,""),"")</f>
        <v>0.482302596787843</v>
      </c>
      <c r="BO150" s="255">
        <f>IF(AND(ISNUMBER(BO149),ISNUMBER(BJ149)),IFERROR(BO149/BJ149-1,""),"")</f>
        <v>0.447988437100353</v>
      </c>
      <c r="BP150" s="255">
        <f>IF(AND(ISNUMBER(BP149),ISNUMBER(BK149)),IFERROR(BP149/BK149-1,""),"")</f>
        <v>1.02207271868538</v>
      </c>
      <c r="BQ150" s="255">
        <f>IF(AND(ISNUMBER(BQ149),ISNUMBER(BL149)),IFERROR(BQ149/BL149-1,""),"")</f>
        <v>0.648423167314138</v>
      </c>
      <c r="BR150" s="255">
        <f>IF(AND(ISNUMBER(BR149),ISNUMBER(BM149)),IFERROR(BR149/BM149-1,""),"")</f>
        <v>0.252626561810402</v>
      </c>
      <c r="BS150" s="255">
        <f>IF(AND(ISNUMBER(BS149),ISNUMBER(BN149)),IFERROR(BS149/BN149-1,""),"")</f>
        <v>0.471756728907157</v>
      </c>
      <c r="BT150" s="255">
        <f>IF(AND(ISNUMBER(BT149),ISNUMBER(BO149)),IFERROR(BT149/BO149-1,""),"")</f>
        <v>0.0871802861944686</v>
      </c>
      <c r="BU150" s="255">
        <f>IF(AND(ISNUMBER(BU149),ISNUMBER(BP149)),IFERROR(BU149/BP149-1,""),"")</f>
        <v>0.312493693899394</v>
      </c>
      <c r="BV150" s="255">
        <f>IF(AND(ISNUMBER(BV149),ISNUMBER(BQ149)),IFERROR(BV149/BQ149-1,""),"")</f>
        <v>0.27466744928674</v>
      </c>
      <c r="BW150" s="255">
        <f>IF(AND(ISNUMBER(BW149),ISNUMBER(BR149)),IFERROR(BW149/BR149-1,""),"")</f>
        <v>0.858001019431056</v>
      </c>
      <c r="BX150" s="255">
        <f>IF(AND(ISNUMBER(BX149),ISNUMBER(BS149)),IFERROR(BX149/BS149-1,""),"")</f>
        <v>0.110663248912625</v>
      </c>
      <c r="BY150" s="256">
        <f>IF(AND(ISNUMBER(BY149),ISNUMBER(BT149)),IFERROR(BY149/BT149-1,""),"")</f>
        <v>0.39646419874114</v>
      </c>
      <c r="BZ150" s="256">
        <f>IF(AND(ISNUMBER(BZ149),ISNUMBER(BU149)),IFERROR(BZ149/BU149-1,""),"")</f>
        <v>0.278268531163888</v>
      </c>
      <c r="CA150" s="256">
        <f>IF(AND(ISNUMBER(CA149),ISNUMBER(BV149)),IFERROR(CA149/BV149-1,""),"")</f>
        <v>0.412356125156035</v>
      </c>
      <c r="CB150" s="256">
        <f>IF(AND(ISNUMBER(CB149),ISNUMBER(CA149)),IFERROR(CB149/CA149-1,""),"")</f>
        <v>0.0556305085844524</v>
      </c>
      <c r="CC150" s="256">
        <f>IF(AND(ISNUMBER(CC149),ISNUMBER(CB149)),IFERROR(CC149/CB149-1,""),"")</f>
        <v>0.19938783208945</v>
      </c>
      <c r="CD150" s="256">
        <f>IF(AND(ISNUMBER(CD149),ISNUMBER(CC149)),IFERROR(CD149/CC149-1,""),"")</f>
        <v>0.19358076990132</v>
      </c>
      <c r="CE150" s="256">
        <f>IF(AND(ISNUMBER(CE149),ISNUMBER(CD149)),IFERROR(CE149/CD149-1,""),"")</f>
        <v>0.174009131572579</v>
      </c>
      <c r="CF150" s="256">
        <f>IF(AND(ISNUMBER(CF149),ISNUMBER(CE149)),IFERROR(CF149/CE149-1,""),"")</f>
        <v>0.17203822618764</v>
      </c>
      <c r="CG150" s="153" t="n"/>
    </row>
    <row r="151" ht="15" customHeight="1" s="251">
      <c r="B151" s="156" t="inlineStr">
        <is>
          <t xml:space="preserve">  Memo: EPS – diluted as reported, split-adjusted ($)</t>
        </is>
      </c>
      <c r="C151" s="281" t="n">
        <v>0.010143</v>
      </c>
      <c r="D151" s="281" t="n">
        <v>0.013857</v>
      </c>
      <c r="E151" s="281" t="n">
        <v>0.018857</v>
      </c>
      <c r="F151" s="281" t="n">
        <v>0.028286</v>
      </c>
      <c r="G151" s="281" t="n">
        <v>0.042286</v>
      </c>
      <c r="H151" s="281" t="n">
        <v>0.059429</v>
      </c>
      <c r="I151" s="281" t="n">
        <v>0.004143</v>
      </c>
      <c r="J151" s="281" t="n">
        <v>0.000714</v>
      </c>
      <c r="K151" s="281" t="n">
        <v>0.007</v>
      </c>
      <c r="L151" s="281" t="n">
        <v>0.007429</v>
      </c>
      <c r="M151" s="281" t="n">
        <v>0.011286</v>
      </c>
      <c r="N151" s="281" t="n">
        <v>0.026429</v>
      </c>
      <c r="O151" s="281" t="n">
        <v>0.012286</v>
      </c>
      <c r="P151" s="281" t="n">
        <v>0.016429</v>
      </c>
      <c r="Q151" s="281" t="n">
        <v>0.013714</v>
      </c>
      <c r="R151" s="281" t="n">
        <v>0.019286</v>
      </c>
      <c r="S151" s="281" t="n">
        <v>0.061714</v>
      </c>
      <c r="T151" s="281" t="n">
        <v>0.005429</v>
      </c>
      <c r="U151" s="281" t="n">
        <v>0.006</v>
      </c>
      <c r="V151" s="281" t="n">
        <v>0.007</v>
      </c>
      <c r="W151" s="281" t="n">
        <v>0.01</v>
      </c>
      <c r="X151" s="281" t="n">
        <v>0.028</v>
      </c>
      <c r="Y151" s="281" t="n">
        <v>0.006</v>
      </c>
      <c r="Z151" s="281" t="n">
        <v>0.008999999999999999</v>
      </c>
      <c r="AA151" s="281" t="n">
        <v>0.012</v>
      </c>
      <c r="AB151" s="281" t="n">
        <v>0.015</v>
      </c>
      <c r="AC151" s="281" t="n">
        <v>0.043</v>
      </c>
      <c r="AD151" s="281" t="n">
        <v>0.04</v>
      </c>
      <c r="AE151" s="281" t="n">
        <v>0.015</v>
      </c>
      <c r="AF151" s="281" t="n">
        <v>0.029</v>
      </c>
      <c r="AG151" s="281" t="n">
        <v>0.041</v>
      </c>
      <c r="AH151" s="281" t="n">
        <v>0.125</v>
      </c>
      <c r="AI151" s="281" t="n">
        <v>0.064</v>
      </c>
      <c r="AJ151" s="281" t="n">
        <v>0.08500000000000001</v>
      </c>
      <c r="AK151" s="281" t="n">
        <v>0.089</v>
      </c>
      <c r="AL151" s="281" t="n">
        <v>0.03</v>
      </c>
      <c r="AM151" s="281" t="n">
        <v>0.268</v>
      </c>
      <c r="AN151" s="281" t="n">
        <v>0.076</v>
      </c>
      <c r="AO151" s="281" t="n">
        <v>0.06</v>
      </c>
      <c r="AP151" s="281" t="n">
        <v>0.147</v>
      </c>
      <c r="AQ151" s="281" t="n">
        <v>0.13</v>
      </c>
      <c r="AR151" s="281" t="n">
        <v>0.413</v>
      </c>
      <c r="AS151" s="281" t="n">
        <v>0.157</v>
      </c>
      <c r="AT151" s="281" t="n">
        <v>0.159</v>
      </c>
      <c r="AU151" s="281" t="n">
        <v>0.174</v>
      </c>
      <c r="AV151" s="281" t="n">
        <v>0.119</v>
      </c>
      <c r="AW151" s="281" t="n">
        <v>0.608</v>
      </c>
      <c r="AX151" s="281" t="n">
        <v>0.375</v>
      </c>
      <c r="AY151" s="281" t="n">
        <v>0.297</v>
      </c>
      <c r="AZ151" s="281" t="n">
        <v>0.319</v>
      </c>
      <c r="BA151" s="281" t="n">
        <v>0.133</v>
      </c>
      <c r="BB151" s="281" t="n">
        <v>1.124</v>
      </c>
      <c r="BC151" s="281" t="n">
        <v>0.353</v>
      </c>
      <c r="BD151" s="281" t="n">
        <v>0.32</v>
      </c>
      <c r="BE151" s="281" t="n">
        <v>0.31</v>
      </c>
      <c r="BF151" s="281" t="n">
        <v>0.012</v>
      </c>
      <c r="BG151" s="281" t="n">
        <v>0.995</v>
      </c>
      <c r="BH151" s="281" t="n">
        <v>0.288</v>
      </c>
      <c r="BI151" s="281" t="n">
        <v>0.329</v>
      </c>
      <c r="BJ151" s="281" t="n">
        <v>0.373</v>
      </c>
      <c r="BK151" s="281" t="n">
        <v>0.211</v>
      </c>
      <c r="BL151" s="281" t="n">
        <v>1.203</v>
      </c>
      <c r="BM151" s="281" t="n">
        <v>0.528</v>
      </c>
      <c r="BN151" s="281" t="n">
        <v>0.488</v>
      </c>
      <c r="BO151" s="281" t="n">
        <v>0.54</v>
      </c>
      <c r="BP151" s="281" t="n">
        <v>0.427</v>
      </c>
      <c r="BQ151" s="281" t="n">
        <v>1.983</v>
      </c>
      <c r="BR151" s="281" t="n">
        <v>0.661</v>
      </c>
      <c r="BS151" s="281" t="n">
        <v>0.719</v>
      </c>
      <c r="BT151" s="281" t="n">
        <v>0.587</v>
      </c>
      <c r="BU151" s="281" t="n">
        <v>0.5600000000000001</v>
      </c>
      <c r="BV151" s="281" t="n">
        <v>2.53</v>
      </c>
      <c r="BW151" s="281" t="n">
        <v>1.23</v>
      </c>
      <c r="BX151" s="281" t="n">
        <v>0.8</v>
      </c>
      <c r="BY151" s="153" t="n"/>
      <c r="BZ151" s="153" t="n"/>
      <c r="CA151" s="153" t="n"/>
      <c r="CB151" s="153" t="n"/>
      <c r="CC151" s="153" t="n"/>
      <c r="CD151" s="153" t="n"/>
      <c r="CE151" s="153" t="n"/>
      <c r="CF151" s="153" t="n"/>
      <c r="CG151" s="153" t="n"/>
    </row>
    <row r="152" ht="15" customHeight="1" s="251">
      <c r="B152" s="57" t="inlineStr">
        <is>
          <t xml:space="preserve">  Check: model vs reported diluted EPS (should be 0.00; ±0.005 split rounding)</t>
        </is>
      </c>
      <c r="C152" s="282">
        <f>IF(AND(ISNUMBER(C151),ISNUMBER(C149)),IF(ABS(C149-C151)&lt;=0.0051,0,ROUND(C149-C151,3)),"n/p")</f>
        <v>0</v>
      </c>
      <c r="D152" s="282">
        <f>IF(AND(ISNUMBER(D151),ISNUMBER(D149)),IF(ABS(D149-D151)&lt;=0.0051,0,ROUND(D149-D151,3)),"n/p")</f>
        <v>0</v>
      </c>
      <c r="E152" s="282">
        <f>IF(AND(ISNUMBER(E151),ISNUMBER(E149)),IF(ABS(E149-E151)&lt;=0.0051,0,ROUND(E149-E151,3)),"n/p")</f>
        <v>0</v>
      </c>
      <c r="F152" s="282">
        <f>IF(AND(ISNUMBER(F151),ISNUMBER(F149)),IF(ABS(F149-F151)&lt;=0.0051,0,ROUND(F149-F151,3)),"n/p")</f>
        <v>0</v>
      </c>
      <c r="G152" s="282">
        <f>IF(AND(ISNUMBER(G151),ISNUMBER(G149)),IF(ABS(G149-G151)&lt;=0.0051,0,ROUND(G149-G151,3)),"n/p")</f>
        <v>0</v>
      </c>
      <c r="H152" s="282">
        <f>IF(AND(ISNUMBER(H151),ISNUMBER(H149)),IF(ABS(H149-H151)&lt;=0.0051,0,ROUND(H149-H151,3)),"n/p")</f>
        <v>0</v>
      </c>
      <c r="I152" s="282">
        <f>IF(AND(ISNUMBER(I151),ISNUMBER(I149)),IF(ABS(I149-I151)&lt;=0.0051,0,ROUND(I149-I151,3)),"n/p")</f>
        <v>0</v>
      </c>
      <c r="J152" s="282">
        <f>IF(AND(ISNUMBER(J151),ISNUMBER(J149)),IF(ABS(J149-J151)&lt;=0.0051,0,ROUND(J149-J151,3)),"n/p")</f>
        <v>0</v>
      </c>
      <c r="K152" s="282">
        <f>IF(AND(ISNUMBER(K151),ISNUMBER(K149)),IF(ABS(K149-K151)&lt;=0.0051,0,ROUND(K149-K151,3)),"n/p")</f>
        <v>0</v>
      </c>
      <c r="L152" s="282">
        <f>IF(AND(ISNUMBER(L151),ISNUMBER(L149)),IF(ABS(L149-L151)&lt;=0.0051,0,ROUND(L149-L151,3)),"n/p")</f>
        <v>0</v>
      </c>
      <c r="M152" s="282">
        <f>IF(AND(ISNUMBER(M151),ISNUMBER(M149)),IF(ABS(M149-M151)&lt;=0.0051,0,ROUND(M149-M151,3)),"n/p")</f>
        <v>0</v>
      </c>
      <c r="N152" s="282">
        <f>IF(AND(ISNUMBER(N151),ISNUMBER(N149)),IF(ABS(N149-N151)&lt;=0.0051,0,ROUND(N149-N151,3)),"n/p")</f>
        <v>0</v>
      </c>
      <c r="O152" s="282">
        <f>IF(AND(ISNUMBER(O151),ISNUMBER(O149)),IF(ABS(O149-O151)&lt;=0.0051,0,ROUND(O149-O151,3)),"n/p")</f>
        <v>0</v>
      </c>
      <c r="P152" s="282">
        <f>IF(AND(ISNUMBER(P151),ISNUMBER(P149)),IF(ABS(P149-P151)&lt;=0.0051,0,ROUND(P149-P151,3)),"n/p")</f>
        <v>0</v>
      </c>
      <c r="Q152" s="282">
        <f>IF(AND(ISNUMBER(Q151),ISNUMBER(Q149)),IF(ABS(Q149-Q151)&lt;=0.0051,0,ROUND(Q149-Q151,3)),"n/p")</f>
        <v>0</v>
      </c>
      <c r="R152" s="282">
        <f>IF(AND(ISNUMBER(R151),ISNUMBER(R149)),IF(ABS(R149-R151)&lt;=0.0051,0,ROUND(R149-R151,3)),"n/p")</f>
        <v>0</v>
      </c>
      <c r="S152" s="282">
        <f>IF(AND(ISNUMBER(S151),ISNUMBER(S149)),IF(ABS(S149-S151)&lt;=0.0051,0,ROUND(S149-S151,3)),"n/p")</f>
        <v>0</v>
      </c>
      <c r="T152" s="282">
        <f>IF(AND(ISNUMBER(T151),ISNUMBER(T149)),IF(ABS(T149-T151)&lt;=0.0051,0,ROUND(T149-T151,3)),"n/p")</f>
        <v>0</v>
      </c>
      <c r="U152" s="282">
        <f>IF(AND(ISNUMBER(U151),ISNUMBER(U149)),IF(ABS(U149-U151)&lt;=0.0051,0,ROUND(U149-U151,3)),"n/p")</f>
        <v>0</v>
      </c>
      <c r="V152" s="282">
        <f>IF(AND(ISNUMBER(V151),ISNUMBER(V149)),IF(ABS(V149-V151)&lt;=0.0051,0,ROUND(V149-V151,3)),"n/p")</f>
        <v>0</v>
      </c>
      <c r="W152" s="282">
        <f>IF(AND(ISNUMBER(W151),ISNUMBER(W149)),IF(ABS(W149-W151)&lt;=0.0051,0,ROUND(W149-W151,3)),"n/p")</f>
        <v>0</v>
      </c>
      <c r="X152" s="282">
        <f>IF(AND(ISNUMBER(X151),ISNUMBER(X149)),IF(ABS(X149-X151)&lt;=0.0051,0,ROUND(X149-X151,3)),"n/p")</f>
        <v>0</v>
      </c>
      <c r="Y152" s="282">
        <f>IF(AND(ISNUMBER(Y151),ISNUMBER(Y149)),IF(ABS(Y149-Y151)&lt;=0.0051,0,ROUND(Y149-Y151,3)),"n/p")</f>
        <v>0</v>
      </c>
      <c r="Z152" s="282">
        <f>IF(AND(ISNUMBER(Z151),ISNUMBER(Z149)),IF(ABS(Z149-Z151)&lt;=0.0051,0,ROUND(Z149-Z151,3)),"n/p")</f>
        <v>0</v>
      </c>
      <c r="AA152" s="282">
        <f>IF(AND(ISNUMBER(AA151),ISNUMBER(AA149)),IF(ABS(AA149-AA151)&lt;=0.0051,0,ROUND(AA149-AA151,3)),"n/p")</f>
        <v>0</v>
      </c>
      <c r="AB152" s="282">
        <f>IF(AND(ISNUMBER(AB151),ISNUMBER(AB149)),IF(ABS(AB149-AB151)&lt;=0.0051,0,ROUND(AB149-AB151,3)),"n/p")</f>
        <v>0</v>
      </c>
      <c r="AC152" s="282">
        <f>IF(AND(ISNUMBER(AC151),ISNUMBER(AC149)),IF(ABS(AC149-AC151)&lt;=0.0051,0,ROUND(AC149-AC151,3)),"n/p")</f>
        <v>0</v>
      </c>
      <c r="AD152" s="282">
        <f>IF(AND(ISNUMBER(AD151),ISNUMBER(AD149)),IF(ABS(AD149-AD151)&lt;=0.0051,0,ROUND(AD149-AD151,3)),"n/p")</f>
        <v>0</v>
      </c>
      <c r="AE152" s="282">
        <f>IF(AND(ISNUMBER(AE151),ISNUMBER(AE149)),IF(ABS(AE149-AE151)&lt;=0.0051,0,ROUND(AE149-AE151,3)),"n/p")</f>
        <v>0</v>
      </c>
      <c r="AF152" s="282">
        <f>IF(AND(ISNUMBER(AF151),ISNUMBER(AF149)),IF(ABS(AF149-AF151)&lt;=0.0051,0,ROUND(AF149-AF151,3)),"n/p")</f>
        <v>0</v>
      </c>
      <c r="AG152" s="282">
        <f>IF(AND(ISNUMBER(AG151),ISNUMBER(AG149)),IF(ABS(AG149-AG151)&lt;=0.0051,0,ROUND(AG149-AG151,3)),"n/p")</f>
        <v>0</v>
      </c>
      <c r="AH152" s="282">
        <f>IF(AND(ISNUMBER(AH151),ISNUMBER(AH149)),IF(ABS(AH149-AH151)&lt;=0.0051,0,ROUND(AH149-AH151,3)),"n/p")</f>
        <v>0</v>
      </c>
      <c r="AI152" s="282">
        <f>IF(AND(ISNUMBER(AI151),ISNUMBER(AI149)),IF(ABS(AI149-AI151)&lt;=0.0051,0,ROUND(AI149-AI151,3)),"n/p")</f>
        <v>0</v>
      </c>
      <c r="AJ152" s="282">
        <f>IF(AND(ISNUMBER(AJ151),ISNUMBER(AJ149)),IF(ABS(AJ149-AJ151)&lt;=0.0051,0,ROUND(AJ149-AJ151,3)),"n/p")</f>
        <v>0</v>
      </c>
      <c r="AK152" s="282">
        <f>IF(AND(ISNUMBER(AK151),ISNUMBER(AK149)),IF(ABS(AK149-AK151)&lt;=0.0051,0,ROUND(AK149-AK151,3)),"n/p")</f>
        <v>0</v>
      </c>
      <c r="AL152" s="282">
        <f>IF(AND(ISNUMBER(AL151),ISNUMBER(AL149)),IF(ABS(AL149-AL151)&lt;=0.0051,0,ROUND(AL149-AL151,3)),"n/p")</f>
        <v>0</v>
      </c>
      <c r="AM152" s="282">
        <f>IF(AND(ISNUMBER(AM151),ISNUMBER(AM149)),IF(ABS(AM149-AM151)&lt;=0.0051,0,ROUND(AM149-AM151,3)),"n/p")</f>
        <v>0</v>
      </c>
      <c r="AN152" s="282">
        <f>IF(AND(ISNUMBER(AN151),ISNUMBER(AN149)),IF(ABS(AN149-AN151)&lt;=0.0051,0,ROUND(AN149-AN151,3)),"n/p")</f>
        <v>0</v>
      </c>
      <c r="AO152" s="282">
        <f>IF(AND(ISNUMBER(AO151),ISNUMBER(AO149)),IF(ABS(AO149-AO151)&lt;=0.0051,0,ROUND(AO149-AO151,3)),"n/p")</f>
        <v>0</v>
      </c>
      <c r="AP152" s="282">
        <f>IF(AND(ISNUMBER(AP151),ISNUMBER(AP149)),IF(ABS(AP149-AP151)&lt;=0.0051,0,ROUND(AP149-AP151,3)),"n/p")</f>
        <v>0</v>
      </c>
      <c r="AQ152" s="282">
        <f>IF(AND(ISNUMBER(AQ151),ISNUMBER(AQ149)),IF(ABS(AQ149-AQ151)&lt;=0.0051,0,ROUND(AQ149-AQ151,3)),"n/p")</f>
        <v>0</v>
      </c>
      <c r="AR152" s="282">
        <f>IF(AND(ISNUMBER(AR151),ISNUMBER(AR149)),IF(ABS(AR149-AR151)&lt;=0.0051,0,ROUND(AR149-AR151,3)),"n/p")</f>
        <v>0</v>
      </c>
      <c r="AS152" s="282">
        <f>IF(AND(ISNUMBER(AS151),ISNUMBER(AS149)),IF(ABS(AS149-AS151)&lt;=0.0051,0,ROUND(AS149-AS151,3)),"n/p")</f>
        <v>0</v>
      </c>
      <c r="AT152" s="282">
        <f>IF(AND(ISNUMBER(AT151),ISNUMBER(AT149)),IF(ABS(AT149-AT151)&lt;=0.0051,0,ROUND(AT149-AT151,3)),"n/p")</f>
        <v>0</v>
      </c>
      <c r="AU152" s="282">
        <f>IF(AND(ISNUMBER(AU151),ISNUMBER(AU149)),IF(ABS(AU149-AU151)&lt;=0.0051,0,ROUND(AU149-AU151,3)),"n/p")</f>
        <v>0</v>
      </c>
      <c r="AV152" s="282">
        <f>IF(AND(ISNUMBER(AV151),ISNUMBER(AV149)),IF(ABS(AV149-AV151)&lt;=0.0051,0,ROUND(AV149-AV151,3)),"n/p")</f>
        <v>0</v>
      </c>
      <c r="AW152" s="282">
        <f>IF(AND(ISNUMBER(AW151),ISNUMBER(AW149)),IF(ABS(AW149-AW151)&lt;=0.0051,0,ROUND(AW149-AW151,3)),"n/p")</f>
        <v>0</v>
      </c>
      <c r="AX152" s="282">
        <f>IF(AND(ISNUMBER(AX151),ISNUMBER(AX149)),IF(ABS(AX149-AX151)&lt;=0.0051,0,ROUND(AX149-AX151,3)),"n/p")</f>
        <v>0</v>
      </c>
      <c r="AY152" s="282">
        <f>IF(AND(ISNUMBER(AY151),ISNUMBER(AY149)),IF(ABS(AY149-AY151)&lt;=0.0051,0,ROUND(AY149-AY151,3)),"n/p")</f>
        <v>0</v>
      </c>
      <c r="AZ152" s="282">
        <f>IF(AND(ISNUMBER(AZ151),ISNUMBER(AZ149)),IF(ABS(AZ149-AZ151)&lt;=0.0051,0,ROUND(AZ149-AZ151,3)),"n/p")</f>
        <v>0</v>
      </c>
      <c r="BA152" s="282">
        <f>IF(AND(ISNUMBER(BA151),ISNUMBER(BA149)),IF(ABS(BA149-BA151)&lt;=0.0051,0,ROUND(BA149-BA151,3)),"n/p")</f>
        <v>0</v>
      </c>
      <c r="BB152" s="282">
        <f>IF(AND(ISNUMBER(BB151),ISNUMBER(BB149)),IF(ABS(BB149-BB151)&lt;=0.0051,0,ROUND(BB149-BB151,3)),"n/p")</f>
        <v>0</v>
      </c>
      <c r="BC152" s="282">
        <f>IF(AND(ISNUMBER(BC151),ISNUMBER(BC149)),IF(ABS(BC149-BC151)&lt;=0.0051,0,ROUND(BC149-BC151,3)),"n/p")</f>
        <v>0</v>
      </c>
      <c r="BD152" s="282">
        <f>IF(AND(ISNUMBER(BD151),ISNUMBER(BD149)),IF(ABS(BD149-BD151)&lt;=0.0051,0,ROUND(BD149-BD151,3)),"n/p")</f>
        <v>0</v>
      </c>
      <c r="BE152" s="282">
        <f>IF(AND(ISNUMBER(BE151),ISNUMBER(BE149)),IF(ABS(BE149-BE151)&lt;=0.0051,0,ROUND(BE149-BE151,3)),"n/p")</f>
        <v>0</v>
      </c>
      <c r="BF152" s="282">
        <f>IF(AND(ISNUMBER(BF151),ISNUMBER(BF149)),IF(ABS(BF149-BF151)&lt;=0.0051,0,ROUND(BF149-BF151,3)),"n/p")</f>
        <v>0</v>
      </c>
      <c r="BG152" s="282">
        <f>IF(AND(ISNUMBER(BG151),ISNUMBER(BG149)),IF(ABS(BG149-BG151)&lt;=0.0051,0,ROUND(BG149-BG151,3)),"n/p")</f>
        <v>0</v>
      </c>
      <c r="BH152" s="282">
        <f>IF(AND(ISNUMBER(BH151),ISNUMBER(BH149)),IF(ABS(BH149-BH151)&lt;=0.0051,0,ROUND(BH149-BH151,3)),"n/p")</f>
        <v>0</v>
      </c>
      <c r="BI152" s="282">
        <f>IF(AND(ISNUMBER(BI151),ISNUMBER(BI149)),IF(ABS(BI149-BI151)&lt;=0.0051,0,ROUND(BI149-BI151,3)),"n/p")</f>
        <v>0</v>
      </c>
      <c r="BJ152" s="282">
        <f>IF(AND(ISNUMBER(BJ151),ISNUMBER(BJ149)),IF(ABS(BJ149-BJ151)&lt;=0.0051,0,ROUND(BJ149-BJ151,3)),"n/p")</f>
        <v>0</v>
      </c>
      <c r="BK152" s="282">
        <f>IF(AND(ISNUMBER(BK151),ISNUMBER(BK149)),IF(ABS(BK149-BK151)&lt;=0.0051,0,ROUND(BK149-BK151,3)),"n/p")</f>
        <v>0</v>
      </c>
      <c r="BL152" s="282">
        <f>IF(AND(ISNUMBER(BL151),ISNUMBER(BL149)),IF(ABS(BL149-BL151)&lt;=0.0051,0,ROUND(BL149-BL151,3)),"n/p")</f>
        <v>0</v>
      </c>
      <c r="BM152" s="282">
        <f>IF(AND(ISNUMBER(BM151),ISNUMBER(BM149)),IF(ABS(BM149-BM151)&lt;=0.0051,0,ROUND(BM149-BM151,3)),"n/p")</f>
        <v>0</v>
      </c>
      <c r="BN152" s="282">
        <f>IF(AND(ISNUMBER(BN151),ISNUMBER(BN149)),IF(ABS(BN149-BN151)&lt;=0.0051,0,ROUND(BN149-BN151,3)),"n/p")</f>
        <v>0</v>
      </c>
      <c r="BO152" s="282">
        <f>IF(AND(ISNUMBER(BO151),ISNUMBER(BO149)),IF(ABS(BO149-BO151)&lt;=0.0051,0,ROUND(BO149-BO151,3)),"n/p")</f>
        <v>0</v>
      </c>
      <c r="BP152" s="282">
        <f>IF(AND(ISNUMBER(BP151),ISNUMBER(BP149)),IF(ABS(BP149-BP151)&lt;=0.0051,0,ROUND(BP149-BP151,3)),"n/p")</f>
        <v>0</v>
      </c>
      <c r="BQ152" s="282">
        <f>IF(AND(ISNUMBER(BQ151),ISNUMBER(BQ149)),IF(ABS(BQ149-BQ151)&lt;=0.0051,0,ROUND(BQ149-BQ151,3)),"n/p")</f>
        <v>0</v>
      </c>
      <c r="BR152" s="282">
        <f>IF(AND(ISNUMBER(BR151),ISNUMBER(BR149)),IF(ABS(BR149-BR151)&lt;=0.0051,0,ROUND(BR149-BR151,3)),"n/p")</f>
        <v>0</v>
      </c>
      <c r="BS152" s="282">
        <f>IF(AND(ISNUMBER(BS151),ISNUMBER(BS149)),IF(ABS(BS149-BS151)&lt;=0.0051,0,ROUND(BS149-BS151,3)),"n/p")</f>
        <v>0</v>
      </c>
      <c r="BT152" s="282">
        <f>IF(AND(ISNUMBER(BT151),ISNUMBER(BT149)),IF(ABS(BT149-BT151)&lt;=0.0051,0,ROUND(BT149-BT151,3)),"n/p")</f>
        <v>0</v>
      </c>
      <c r="BU152" s="282">
        <f>IF(AND(ISNUMBER(BU151),ISNUMBER(BU149)),IF(ABS(BU149-BU151)&lt;=0.0051,0,ROUND(BU149-BU151,3)),"n/p")</f>
        <v>0</v>
      </c>
      <c r="BV152" s="282">
        <f>IF(AND(ISNUMBER(BV151),ISNUMBER(BV149)),IF(ABS(BV149-BV151)&lt;=0.0051,0,ROUND(BV149-BV151,3)),"n/p")</f>
        <v>0</v>
      </c>
      <c r="BW152" s="282">
        <f>IF(AND(ISNUMBER(BW151),ISNUMBER(BW149)),IF(ABS(BW149-BW151)&lt;=0.0051,0,ROUND(BW149-BW151,3)),"n/p")</f>
        <v>0</v>
      </c>
      <c r="BX152" s="282">
        <f>IF(AND(ISNUMBER(BX151),ISNUMBER(BX149)),IF(ABS(BX149-BX151)&lt;=0.0051,0,ROUND(BX149-BX151,3)),"n/p")</f>
        <v>0</v>
      </c>
      <c r="BY152" s="153" t="n"/>
      <c r="BZ152" s="153" t="n"/>
      <c r="CA152" s="153" t="n"/>
      <c r="CB152" s="153" t="n"/>
      <c r="CC152" s="153" t="n"/>
      <c r="CD152" s="153" t="n"/>
      <c r="CE152" s="153" t="n"/>
      <c r="CF152" s="153" t="n"/>
      <c r="CG152" s="153" t="n"/>
    </row>
    <row r="153" ht="15" customHeight="1" s="251">
      <c r="B153" s="25" t="inlineStr">
        <is>
          <t xml:space="preserve">  Dividends per share ($) — none paid</t>
        </is>
      </c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  <c r="AA153" s="34" t="n"/>
      <c r="AB153" s="34" t="n"/>
      <c r="AC153" s="34" t="n"/>
      <c r="AD153" s="34" t="n"/>
      <c r="AE153" s="34" t="n"/>
      <c r="AF153" s="34" t="n"/>
      <c r="AG153" s="34" t="n"/>
      <c r="AH153" s="34" t="n"/>
      <c r="AI153" s="34" t="n"/>
      <c r="AJ153" s="34" t="n"/>
      <c r="AK153" s="34" t="n"/>
      <c r="AL153" s="34" t="n"/>
      <c r="AM153" s="34" t="n"/>
      <c r="AN153" s="34" t="n"/>
      <c r="AO153" s="34" t="n"/>
      <c r="AP153" s="34" t="n"/>
      <c r="AQ153" s="34" t="n"/>
      <c r="AR153" s="34" t="n"/>
      <c r="AS153" s="34" t="n"/>
      <c r="AT153" s="34" t="n"/>
      <c r="AU153" s="34" t="n"/>
      <c r="AV153" s="34" t="n"/>
      <c r="AW153" s="34" t="n"/>
      <c r="AX153" s="34" t="n"/>
      <c r="AY153" s="34" t="n"/>
      <c r="AZ153" s="34" t="n"/>
      <c r="BA153" s="34" t="n"/>
      <c r="BB153" s="34" t="n"/>
      <c r="BC153" s="34" t="n"/>
      <c r="BD153" s="34" t="n"/>
      <c r="BE153" s="34" t="n"/>
      <c r="BF153" s="34" t="n"/>
      <c r="BG153" s="34" t="n"/>
      <c r="BH153" s="34" t="n"/>
      <c r="BI153" s="34" t="n"/>
      <c r="BJ153" s="34" t="n"/>
      <c r="BK153" s="34" t="n"/>
      <c r="BL153" s="34" t="n"/>
      <c r="BM153" s="34" t="n"/>
      <c r="BN153" s="34" t="n"/>
      <c r="BO153" s="34" t="n"/>
      <c r="BP153" s="34" t="n"/>
      <c r="BQ153" s="34" t="n"/>
      <c r="BR153" s="34" t="n"/>
      <c r="BS153" s="34" t="n"/>
      <c r="BT153" s="34" t="n"/>
      <c r="BU153" s="34" t="n"/>
      <c r="BV153" s="34" t="n"/>
      <c r="BW153" s="34" t="n"/>
      <c r="BX153" s="34" t="n"/>
      <c r="BY153" s="283">
        <f>0</f>
        <v>0</v>
      </c>
      <c r="BZ153" s="283">
        <f>0</f>
        <v>0</v>
      </c>
      <c r="CA153" s="283">
        <f>0</f>
        <v>0</v>
      </c>
      <c r="CB153" s="283">
        <f>0</f>
        <v>0</v>
      </c>
      <c r="CC153" s="283">
        <f>0</f>
        <v>0</v>
      </c>
      <c r="CD153" s="283">
        <f>0</f>
        <v>0</v>
      </c>
      <c r="CE153" s="283">
        <f>0</f>
        <v>0</v>
      </c>
      <c r="CF153" s="283">
        <f>0</f>
        <v>0</v>
      </c>
      <c r="CG153" s="19" t="n"/>
    </row>
    <row r="154" ht="15" customHeight="1" s="251">
      <c r="CO154" s="11" t="n"/>
      <c r="CP154" s="12" t="n"/>
      <c r="CQ154" s="12" t="n"/>
      <c r="CR154" s="12" t="n"/>
      <c r="CS154" s="13" t="n"/>
    </row>
    <row r="155" ht="15" customHeight="1" s="251">
      <c r="B155" s="10" t="inlineStr">
        <is>
          <t>RECONCILIATION: OPERATING INCOME → ADJUSTED OPERATING INCOME (model definition: one-offs the company quantified)</t>
        </is>
      </c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n"/>
      <c r="AN155" s="10" t="n"/>
      <c r="AO155" s="10" t="n"/>
      <c r="AP155" s="10" t="n"/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0" t="n"/>
      <c r="BC155" s="10" t="n"/>
      <c r="BD155" s="10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inlineStr">
        <is>
          <t>ADJUSTED OPERATING INCOME — model definition; Netflix publishes no adjusted operating income (its "adjusted operating margin" is the F/X-neutral YTD margin)</t>
        </is>
      </c>
    </row>
    <row r="156" collapsed="1" ht="15" customHeight="1" s="251">
      <c r="B156" s="16" t="inlineStr">
        <is>
          <t>Operating income (GAAP)</t>
        </is>
      </c>
      <c r="C156" s="278">
        <f>C131</f>
        <v>64.414</v>
      </c>
      <c r="D156" s="278">
        <f>D131</f>
        <v>91.1609999999999</v>
      </c>
      <c r="E156" s="278">
        <f>E131</f>
        <v>121.506</v>
      </c>
      <c r="F156" s="278">
        <f>F131</f>
        <v>191.939</v>
      </c>
      <c r="G156" s="278">
        <f>G131</f>
        <v>283.641</v>
      </c>
      <c r="H156" s="278">
        <f>H131</f>
        <v>376.068</v>
      </c>
      <c r="I156" s="278">
        <f>I131</f>
        <v>49.9920000000002</v>
      </c>
      <c r="J156" s="278">
        <f>J131</f>
        <v>31.822</v>
      </c>
      <c r="K156" s="278">
        <f>K131</f>
        <v>57.1170000000001</v>
      </c>
      <c r="L156" s="278">
        <f>L131</f>
        <v>57.12</v>
      </c>
      <c r="M156" s="278">
        <f>M131</f>
        <v>82.288</v>
      </c>
      <c r="N156" s="278">
        <f>N131</f>
        <v>228.347</v>
      </c>
      <c r="O156" s="278">
        <f>O131</f>
        <v>97.5949999999999</v>
      </c>
      <c r="P156" s="278">
        <f>P131</f>
        <v>129.6</v>
      </c>
      <c r="Q156" s="278">
        <f>Q131</f>
        <v>110.407</v>
      </c>
      <c r="R156" s="278">
        <f>R131</f>
        <v>65.0460000000001</v>
      </c>
      <c r="S156" s="278">
        <f>S131</f>
        <v>402.648</v>
      </c>
      <c r="T156" s="278">
        <f>T131</f>
        <v>97.4559999999998</v>
      </c>
      <c r="U156" s="278">
        <f>U131</f>
        <v>74.835</v>
      </c>
      <c r="V156" s="278">
        <f>V131</f>
        <v>73.641</v>
      </c>
      <c r="W156" s="278">
        <f>W131</f>
        <v>59.8940000000001</v>
      </c>
      <c r="X156" s="278">
        <f>X131</f>
        <v>305.826000000001</v>
      </c>
      <c r="Y156" s="278">
        <f>Y131</f>
        <v>49.4530000000001</v>
      </c>
      <c r="Z156" s="278">
        <f>Z131</f>
        <v>70.3700000000002</v>
      </c>
      <c r="AA156" s="278">
        <f>AA131</f>
        <v>106.036</v>
      </c>
      <c r="AB156" s="278">
        <f>AB131</f>
        <v>153.934</v>
      </c>
      <c r="AC156" s="278">
        <f>AC131</f>
        <v>379.793</v>
      </c>
      <c r="AD156" s="278">
        <f>AD131</f>
        <v>256.942</v>
      </c>
      <c r="AE156" s="278">
        <f>AE131</f>
        <v>127.807</v>
      </c>
      <c r="AF156" s="278">
        <f>AF131</f>
        <v>208.627</v>
      </c>
      <c r="AG156" s="278">
        <f>AG131</f>
        <v>245.303</v>
      </c>
      <c r="AH156" s="278">
        <f>AH131</f>
        <v>838.679</v>
      </c>
      <c r="AI156" s="278">
        <f>AI131</f>
        <v>446.578</v>
      </c>
      <c r="AJ156" s="278">
        <f>AJ131</f>
        <v>462.213</v>
      </c>
      <c r="AK156" s="278">
        <f>AK131</f>
        <v>480.668</v>
      </c>
      <c r="AL156" s="278">
        <f>AL131</f>
        <v>215.767</v>
      </c>
      <c r="AM156" s="278">
        <f>AM131</f>
        <v>1605.226</v>
      </c>
      <c r="AN156" s="278">
        <f>AN131</f>
        <v>459.084</v>
      </c>
      <c r="AO156" s="278">
        <f>AO131</f>
        <v>706.419</v>
      </c>
      <c r="AP156" s="278">
        <f>AP131</f>
        <v>980.239</v>
      </c>
      <c r="AQ156" s="278">
        <f>AQ131</f>
        <v>458.512</v>
      </c>
      <c r="AR156" s="278">
        <f>AR131</f>
        <v>2604.254</v>
      </c>
      <c r="AS156" s="278">
        <f>AS131</f>
        <v>958.256</v>
      </c>
      <c r="AT156" s="278">
        <f>AT131</f>
        <v>1357.928</v>
      </c>
      <c r="AU156" s="278">
        <f>AU131</f>
        <v>1314.863</v>
      </c>
      <c r="AV156" s="278">
        <f>AV131</f>
        <v>954.242</v>
      </c>
      <c r="AW156" s="278">
        <f>AW131</f>
        <v>4585.289</v>
      </c>
      <c r="AX156" s="278">
        <f>AX131</f>
        <v>1959.856</v>
      </c>
      <c r="AY156" s="278">
        <f>AY131</f>
        <v>1847.63</v>
      </c>
      <c r="AZ156" s="278">
        <f>AZ131</f>
        <v>1755.253</v>
      </c>
      <c r="BA156" s="278">
        <f>BA131</f>
        <v>631.77</v>
      </c>
      <c r="BB156" s="278">
        <f>BB131</f>
        <v>6194.509</v>
      </c>
      <c r="BC156" s="278">
        <f>BC131</f>
        <v>1971.626</v>
      </c>
      <c r="BD156" s="278">
        <f>BD131</f>
        <v>1578.283</v>
      </c>
      <c r="BE156" s="278">
        <f>BE131</f>
        <v>1533.018</v>
      </c>
      <c r="BF156" s="278">
        <f>BF131</f>
        <v>549.904</v>
      </c>
      <c r="BG156" s="278">
        <f>BG131</f>
        <v>5632.831</v>
      </c>
      <c r="BH156" s="278">
        <f>BH131</f>
        <v>1714.317</v>
      </c>
      <c r="BI156" s="278">
        <f>BI131</f>
        <v>1827.183</v>
      </c>
      <c r="BJ156" s="278">
        <f>BJ131</f>
        <v>1916.394</v>
      </c>
      <c r="BK156" s="278">
        <f>BK131</f>
        <v>1496.109</v>
      </c>
      <c r="BL156" s="278">
        <f>BL131</f>
        <v>6954.003</v>
      </c>
      <c r="BM156" s="278">
        <f>BM131</f>
        <v>2632.534</v>
      </c>
      <c r="BN156" s="278">
        <f>BN131</f>
        <v>2602.837</v>
      </c>
      <c r="BO156" s="278">
        <f>BO131</f>
        <v>2909.477</v>
      </c>
      <c r="BP156" s="278">
        <f>BP131</f>
        <v>2272.766</v>
      </c>
      <c r="BQ156" s="278">
        <f>BQ131</f>
        <v>10417.614</v>
      </c>
      <c r="BR156" s="278">
        <f>BR131</f>
        <v>3346.999</v>
      </c>
      <c r="BS156" s="278">
        <f>BS131</f>
        <v>3774.694</v>
      </c>
      <c r="BT156" s="278">
        <f>BT131</f>
        <v>3248.247</v>
      </c>
      <c r="BU156" s="278">
        <f>BU131</f>
        <v>2956.663</v>
      </c>
      <c r="BV156" s="278">
        <f>BV131</f>
        <v>13326.603</v>
      </c>
      <c r="BW156" s="278">
        <f>BW131</f>
        <v>3956.997</v>
      </c>
      <c r="BX156" s="278">
        <f>BX131</f>
        <v>4192.61</v>
      </c>
      <c r="BY156" s="279">
        <f>BY131</f>
        <v>4269.52</v>
      </c>
      <c r="BZ156" s="279">
        <f>BZ131</f>
        <v>3708.873</v>
      </c>
      <c r="CA156" s="279">
        <f>CA131</f>
        <v>16128</v>
      </c>
      <c r="CB156" s="279">
        <f>CB131</f>
        <v>18954.071285567</v>
      </c>
      <c r="CC156" s="279">
        <f>CC131</f>
        <v>21689.0492408911</v>
      </c>
      <c r="CD156" s="279">
        <f>CD131</f>
        <v>24551.2285881781</v>
      </c>
      <c r="CE156" s="279">
        <f>CE131</f>
        <v>27183.817818472</v>
      </c>
      <c r="CF156" s="279">
        <f>CF131</f>
        <v>29859.0615306118</v>
      </c>
      <c r="CG156" s="153" t="n"/>
    </row>
    <row r="157" ht="15" customHeight="1" s="251">
      <c r="B157" s="25" t="inlineStr">
        <is>
          <t xml:space="preserve">  (+) Restructuring (Q2-22)</t>
        </is>
      </c>
      <c r="C157" s="264">
        <f>C115</f>
        <v>0</v>
      </c>
      <c r="D157" s="264">
        <f>D115</f>
        <v>0</v>
      </c>
      <c r="E157" s="264">
        <f>E115</f>
        <v>0</v>
      </c>
      <c r="F157" s="264">
        <f>F115</f>
        <v>0</v>
      </c>
      <c r="G157" s="264">
        <f>G115</f>
        <v>0</v>
      </c>
      <c r="H157" s="264">
        <f>H115</f>
        <v>0</v>
      </c>
      <c r="I157" s="264">
        <f>I115</f>
        <v>0</v>
      </c>
      <c r="J157" s="264">
        <f>J115</f>
        <v>0</v>
      </c>
      <c r="K157" s="264">
        <f>K115</f>
        <v>0</v>
      </c>
      <c r="L157" s="264">
        <f>L115</f>
        <v>0</v>
      </c>
      <c r="M157" s="264">
        <f>M115</f>
        <v>0</v>
      </c>
      <c r="N157" s="264">
        <f>N115</f>
        <v>0</v>
      </c>
      <c r="O157" s="264">
        <f>O115</f>
        <v>0</v>
      </c>
      <c r="P157" s="264">
        <f>P115</f>
        <v>0</v>
      </c>
      <c r="Q157" s="264">
        <f>Q115</f>
        <v>0</v>
      </c>
      <c r="R157" s="264">
        <f>R115</f>
        <v>0</v>
      </c>
      <c r="S157" s="264">
        <f>S115</f>
        <v>0</v>
      </c>
      <c r="T157" s="264">
        <f>T115</f>
        <v>0</v>
      </c>
      <c r="U157" s="264">
        <f>U115</f>
        <v>0</v>
      </c>
      <c r="V157" s="264">
        <f>V115</f>
        <v>0</v>
      </c>
      <c r="W157" s="264">
        <f>W115</f>
        <v>0</v>
      </c>
      <c r="X157" s="264">
        <f>X115</f>
        <v>0</v>
      </c>
      <c r="Y157" s="264">
        <f>Y115</f>
        <v>0</v>
      </c>
      <c r="Z157" s="264">
        <f>Z115</f>
        <v>0</v>
      </c>
      <c r="AA157" s="264">
        <f>AA115</f>
        <v>0</v>
      </c>
      <c r="AB157" s="264">
        <f>AB115</f>
        <v>0</v>
      </c>
      <c r="AC157" s="264">
        <f>AC115</f>
        <v>0</v>
      </c>
      <c r="AD157" s="264">
        <f>AD115</f>
        <v>0</v>
      </c>
      <c r="AE157" s="264">
        <f>AE115</f>
        <v>0</v>
      </c>
      <c r="AF157" s="264">
        <f>AF115</f>
        <v>0</v>
      </c>
      <c r="AG157" s="264">
        <f>AG115</f>
        <v>0</v>
      </c>
      <c r="AH157" s="264">
        <f>AH115</f>
        <v>0</v>
      </c>
      <c r="AI157" s="264">
        <f>AI115</f>
        <v>0</v>
      </c>
      <c r="AJ157" s="264">
        <f>AJ115</f>
        <v>0</v>
      </c>
      <c r="AK157" s="264">
        <f>AK115</f>
        <v>0</v>
      </c>
      <c r="AL157" s="264">
        <f>AL115</f>
        <v>0</v>
      </c>
      <c r="AM157" s="264">
        <f>AM115</f>
        <v>0</v>
      </c>
      <c r="AN157" s="264">
        <f>AN115</f>
        <v>0</v>
      </c>
      <c r="AO157" s="264">
        <f>AO115</f>
        <v>0</v>
      </c>
      <c r="AP157" s="264">
        <f>AP115</f>
        <v>0</v>
      </c>
      <c r="AQ157" s="264">
        <f>AQ115</f>
        <v>0</v>
      </c>
      <c r="AR157" s="264">
        <f>AR115</f>
        <v>0</v>
      </c>
      <c r="AS157" s="264">
        <f>AS115</f>
        <v>0</v>
      </c>
      <c r="AT157" s="264">
        <f>AT115</f>
        <v>0</v>
      </c>
      <c r="AU157" s="264">
        <f>AU115</f>
        <v>0</v>
      </c>
      <c r="AV157" s="264">
        <f>AV115</f>
        <v>0</v>
      </c>
      <c r="AW157" s="264">
        <f>AW115</f>
        <v>0</v>
      </c>
      <c r="AX157" s="264">
        <f>AX115</f>
        <v>0</v>
      </c>
      <c r="AY157" s="264">
        <f>AY115</f>
        <v>0</v>
      </c>
      <c r="AZ157" s="264">
        <f>AZ115</f>
        <v>0</v>
      </c>
      <c r="BA157" s="264">
        <f>BA115</f>
        <v>0</v>
      </c>
      <c r="BB157" s="264">
        <f>BB115</f>
        <v>0</v>
      </c>
      <c r="BC157" s="264">
        <f>BC115</f>
        <v>0</v>
      </c>
      <c r="BD157" s="264">
        <f>BD115</f>
        <v>150</v>
      </c>
      <c r="BE157" s="264">
        <f>BE115</f>
        <v>0</v>
      </c>
      <c r="BF157" s="264">
        <f>BF115</f>
        <v>0</v>
      </c>
      <c r="BG157" s="264">
        <f>BG115</f>
        <v>150</v>
      </c>
      <c r="BH157" s="264">
        <f>BH115</f>
        <v>0</v>
      </c>
      <c r="BI157" s="264">
        <f>BI115</f>
        <v>0</v>
      </c>
      <c r="BJ157" s="264">
        <f>BJ115</f>
        <v>0</v>
      </c>
      <c r="BK157" s="264">
        <f>BK115</f>
        <v>0</v>
      </c>
      <c r="BL157" s="264">
        <f>BL115</f>
        <v>0</v>
      </c>
      <c r="BM157" s="264">
        <f>BM115</f>
        <v>0</v>
      </c>
      <c r="BN157" s="264">
        <f>BN115</f>
        <v>0</v>
      </c>
      <c r="BO157" s="264">
        <f>BO115</f>
        <v>0</v>
      </c>
      <c r="BP157" s="264">
        <f>BP115</f>
        <v>0</v>
      </c>
      <c r="BQ157" s="264">
        <f>BQ115</f>
        <v>0</v>
      </c>
      <c r="BR157" s="264">
        <f>BR115</f>
        <v>0</v>
      </c>
      <c r="BS157" s="264">
        <f>BS115</f>
        <v>0</v>
      </c>
      <c r="BT157" s="264">
        <f>BT115</f>
        <v>0</v>
      </c>
      <c r="BU157" s="264">
        <f>BU115</f>
        <v>0</v>
      </c>
      <c r="BV157" s="264">
        <f>BV115</f>
        <v>0</v>
      </c>
      <c r="BW157" s="264">
        <f>BW115</f>
        <v>0</v>
      </c>
      <c r="BX157" s="264">
        <f>BX115</f>
        <v>0</v>
      </c>
      <c r="BY157" s="254">
        <f>BY115</f>
        <v>0</v>
      </c>
      <c r="BZ157" s="254">
        <f>BZ115</f>
        <v>0</v>
      </c>
      <c r="CA157" s="254">
        <f>CA115</f>
        <v>0</v>
      </c>
      <c r="CB157" s="254">
        <f>CB115</f>
        <v>0</v>
      </c>
      <c r="CC157" s="254">
        <f>CC115</f>
        <v>0</v>
      </c>
      <c r="CD157" s="254">
        <f>CD115</f>
        <v>0</v>
      </c>
      <c r="CE157" s="254">
        <f>CE115</f>
        <v>0</v>
      </c>
      <c r="CF157" s="254">
        <f>CF115</f>
        <v>0</v>
      </c>
      <c r="CG157" s="19" t="n"/>
    </row>
    <row r="158" ht="15" customHeight="1" s="251">
      <c r="B158" s="25" t="inlineStr">
        <is>
          <t xml:space="preserve">  (+) Brazilian non-income tax expense (Q3-25)</t>
        </is>
      </c>
      <c r="C158" s="264">
        <f>C116</f>
        <v>0</v>
      </c>
      <c r="D158" s="264">
        <f>D116</f>
        <v>0</v>
      </c>
      <c r="E158" s="264">
        <f>E116</f>
        <v>0</v>
      </c>
      <c r="F158" s="264">
        <f>F116</f>
        <v>0</v>
      </c>
      <c r="G158" s="264">
        <f>G116</f>
        <v>0</v>
      </c>
      <c r="H158" s="264">
        <f>H116</f>
        <v>0</v>
      </c>
      <c r="I158" s="264">
        <f>I116</f>
        <v>0</v>
      </c>
      <c r="J158" s="264">
        <f>J116</f>
        <v>0</v>
      </c>
      <c r="K158" s="264">
        <f>K116</f>
        <v>0</v>
      </c>
      <c r="L158" s="264">
        <f>L116</f>
        <v>0</v>
      </c>
      <c r="M158" s="264">
        <f>M116</f>
        <v>0</v>
      </c>
      <c r="N158" s="264">
        <f>N116</f>
        <v>0</v>
      </c>
      <c r="O158" s="264">
        <f>O116</f>
        <v>0</v>
      </c>
      <c r="P158" s="264">
        <f>P116</f>
        <v>0</v>
      </c>
      <c r="Q158" s="264">
        <f>Q116</f>
        <v>0</v>
      </c>
      <c r="R158" s="264">
        <f>R116</f>
        <v>0</v>
      </c>
      <c r="S158" s="264">
        <f>S116</f>
        <v>0</v>
      </c>
      <c r="T158" s="264">
        <f>T116</f>
        <v>0</v>
      </c>
      <c r="U158" s="264">
        <f>U116</f>
        <v>0</v>
      </c>
      <c r="V158" s="264">
        <f>V116</f>
        <v>0</v>
      </c>
      <c r="W158" s="264">
        <f>W116</f>
        <v>0</v>
      </c>
      <c r="X158" s="264">
        <f>X116</f>
        <v>0</v>
      </c>
      <c r="Y158" s="264">
        <f>Y116</f>
        <v>0</v>
      </c>
      <c r="Z158" s="264">
        <f>Z116</f>
        <v>0</v>
      </c>
      <c r="AA158" s="264">
        <f>AA116</f>
        <v>0</v>
      </c>
      <c r="AB158" s="264">
        <f>AB116</f>
        <v>0</v>
      </c>
      <c r="AC158" s="264">
        <f>AC116</f>
        <v>0</v>
      </c>
      <c r="AD158" s="264">
        <f>AD116</f>
        <v>0</v>
      </c>
      <c r="AE158" s="264">
        <f>AE116</f>
        <v>0</v>
      </c>
      <c r="AF158" s="264">
        <f>AF116</f>
        <v>0</v>
      </c>
      <c r="AG158" s="264">
        <f>AG116</f>
        <v>0</v>
      </c>
      <c r="AH158" s="264">
        <f>AH116</f>
        <v>0</v>
      </c>
      <c r="AI158" s="264">
        <f>AI116</f>
        <v>0</v>
      </c>
      <c r="AJ158" s="264">
        <f>AJ116</f>
        <v>0</v>
      </c>
      <c r="AK158" s="264">
        <f>AK116</f>
        <v>0</v>
      </c>
      <c r="AL158" s="264">
        <f>AL116</f>
        <v>0</v>
      </c>
      <c r="AM158" s="264">
        <f>AM116</f>
        <v>0</v>
      </c>
      <c r="AN158" s="264">
        <f>AN116</f>
        <v>0</v>
      </c>
      <c r="AO158" s="264">
        <f>AO116</f>
        <v>0</v>
      </c>
      <c r="AP158" s="264">
        <f>AP116</f>
        <v>0</v>
      </c>
      <c r="AQ158" s="264">
        <f>AQ116</f>
        <v>0</v>
      </c>
      <c r="AR158" s="264">
        <f>AR116</f>
        <v>0</v>
      </c>
      <c r="AS158" s="264">
        <f>AS116</f>
        <v>0</v>
      </c>
      <c r="AT158" s="264">
        <f>AT116</f>
        <v>0</v>
      </c>
      <c r="AU158" s="264">
        <f>AU116</f>
        <v>0</v>
      </c>
      <c r="AV158" s="264">
        <f>AV116</f>
        <v>0</v>
      </c>
      <c r="AW158" s="264">
        <f>AW116</f>
        <v>0</v>
      </c>
      <c r="AX158" s="264">
        <f>AX116</f>
        <v>0</v>
      </c>
      <c r="AY158" s="264">
        <f>AY116</f>
        <v>0</v>
      </c>
      <c r="AZ158" s="264">
        <f>AZ116</f>
        <v>0</v>
      </c>
      <c r="BA158" s="264">
        <f>BA116</f>
        <v>0</v>
      </c>
      <c r="BB158" s="264">
        <f>BB116</f>
        <v>0</v>
      </c>
      <c r="BC158" s="264">
        <f>BC116</f>
        <v>0</v>
      </c>
      <c r="BD158" s="264">
        <f>BD116</f>
        <v>0</v>
      </c>
      <c r="BE158" s="264">
        <f>BE116</f>
        <v>0</v>
      </c>
      <c r="BF158" s="264">
        <f>BF116</f>
        <v>0</v>
      </c>
      <c r="BG158" s="264">
        <f>BG116</f>
        <v>0</v>
      </c>
      <c r="BH158" s="264">
        <f>BH116</f>
        <v>0</v>
      </c>
      <c r="BI158" s="264">
        <f>BI116</f>
        <v>0</v>
      </c>
      <c r="BJ158" s="264">
        <f>BJ116</f>
        <v>0</v>
      </c>
      <c r="BK158" s="264">
        <f>BK116</f>
        <v>0</v>
      </c>
      <c r="BL158" s="264">
        <f>BL116</f>
        <v>0</v>
      </c>
      <c r="BM158" s="264">
        <f>BM116</f>
        <v>0</v>
      </c>
      <c r="BN158" s="264">
        <f>BN116</f>
        <v>0</v>
      </c>
      <c r="BO158" s="264">
        <f>BO116</f>
        <v>0</v>
      </c>
      <c r="BP158" s="264">
        <f>BP116</f>
        <v>0</v>
      </c>
      <c r="BQ158" s="264">
        <f>BQ116</f>
        <v>0</v>
      </c>
      <c r="BR158" s="264">
        <f>BR116</f>
        <v>0</v>
      </c>
      <c r="BS158" s="264">
        <f>BS116</f>
        <v>0</v>
      </c>
      <c r="BT158" s="264">
        <f>BT116</f>
        <v>619</v>
      </c>
      <c r="BU158" s="264">
        <f>BU116</f>
        <v>0</v>
      </c>
      <c r="BV158" s="264">
        <f>BV116</f>
        <v>619</v>
      </c>
      <c r="BW158" s="264">
        <f>BW116</f>
        <v>0</v>
      </c>
      <c r="BX158" s="264">
        <f>BX116</f>
        <v>0</v>
      </c>
      <c r="BY158" s="254">
        <f>BY116</f>
        <v>0</v>
      </c>
      <c r="BZ158" s="254">
        <f>BZ116</f>
        <v>0</v>
      </c>
      <c r="CA158" s="254">
        <f>CA116</f>
        <v>0</v>
      </c>
      <c r="CB158" s="254">
        <f>CB116</f>
        <v>0</v>
      </c>
      <c r="CC158" s="254">
        <f>CC116</f>
        <v>0</v>
      </c>
      <c r="CD158" s="254">
        <f>CD116</f>
        <v>0</v>
      </c>
      <c r="CE158" s="254">
        <f>CE116</f>
        <v>0</v>
      </c>
      <c r="CF158" s="254">
        <f>CF116</f>
        <v>0</v>
      </c>
      <c r="CG158" s="19" t="n"/>
    </row>
    <row r="159" ht="15" customHeight="1" s="251">
      <c r="B159" s="16" t="inlineStr">
        <is>
          <t xml:space="preserve">  Total adjusting items (pre-tax)</t>
        </is>
      </c>
      <c r="C159" s="278">
        <f>IF(ISNUMBER(C156),N(C157)+N(C158),"")</f>
        <v>0</v>
      </c>
      <c r="D159" s="278">
        <f>IF(ISNUMBER(D156),N(D157)+N(D158),"")</f>
        <v>0</v>
      </c>
      <c r="E159" s="278">
        <f>IF(ISNUMBER(E156),N(E157)+N(E158),"")</f>
        <v>0</v>
      </c>
      <c r="F159" s="278">
        <f>IF(ISNUMBER(F156),N(F157)+N(F158),"")</f>
        <v>0</v>
      </c>
      <c r="G159" s="278">
        <f>IF(ISNUMBER(G156),N(G157)+N(G158),"")</f>
        <v>0</v>
      </c>
      <c r="H159" s="278">
        <f>IF(ISNUMBER(H156),N(H157)+N(H158),"")</f>
        <v>0</v>
      </c>
      <c r="I159" s="278">
        <f>IF(ISNUMBER(I156),N(I157)+N(I158),"")</f>
        <v>0</v>
      </c>
      <c r="J159" s="278">
        <f>IF(ISNUMBER(J156),N(J157)+N(J158),"")</f>
        <v>0</v>
      </c>
      <c r="K159" s="278">
        <f>IF(ISNUMBER(K156),N(K157)+N(K158),"")</f>
        <v>0</v>
      </c>
      <c r="L159" s="278">
        <f>IF(ISNUMBER(L156),N(L157)+N(L158),"")</f>
        <v>0</v>
      </c>
      <c r="M159" s="278">
        <f>IF(ISNUMBER(M156),N(M157)+N(M158),"")</f>
        <v>0</v>
      </c>
      <c r="N159" s="278">
        <f>IF(ISNUMBER(N156),N(N157)+N(N158),"")</f>
        <v>0</v>
      </c>
      <c r="O159" s="278">
        <f>IF(ISNUMBER(O156),N(O157)+N(O158),"")</f>
        <v>0</v>
      </c>
      <c r="P159" s="278">
        <f>IF(ISNUMBER(P156),N(P157)+N(P158),"")</f>
        <v>0</v>
      </c>
      <c r="Q159" s="278">
        <f>IF(ISNUMBER(Q156),N(Q157)+N(Q158),"")</f>
        <v>0</v>
      </c>
      <c r="R159" s="278">
        <f>IF(ISNUMBER(R156),N(R157)+N(R158),"")</f>
        <v>0</v>
      </c>
      <c r="S159" s="278">
        <f>IF(ISNUMBER(S156),N(S157)+N(S158),"")</f>
        <v>0</v>
      </c>
      <c r="T159" s="278">
        <f>IF(ISNUMBER(T156),N(T157)+N(T158),"")</f>
        <v>0</v>
      </c>
      <c r="U159" s="278">
        <f>IF(ISNUMBER(U156),N(U157)+N(U158),"")</f>
        <v>0</v>
      </c>
      <c r="V159" s="278">
        <f>IF(ISNUMBER(V156),N(V157)+N(V158),"")</f>
        <v>0</v>
      </c>
      <c r="W159" s="278">
        <f>IF(ISNUMBER(W156),N(W157)+N(W158),"")</f>
        <v>0</v>
      </c>
      <c r="X159" s="278">
        <f>IF(ISNUMBER(X156),N(X157)+N(X158),"")</f>
        <v>0</v>
      </c>
      <c r="Y159" s="278">
        <f>IF(ISNUMBER(Y156),N(Y157)+N(Y158),"")</f>
        <v>0</v>
      </c>
      <c r="Z159" s="278">
        <f>IF(ISNUMBER(Z156),N(Z157)+N(Z158),"")</f>
        <v>0</v>
      </c>
      <c r="AA159" s="278">
        <f>IF(ISNUMBER(AA156),N(AA157)+N(AA158),"")</f>
        <v>0</v>
      </c>
      <c r="AB159" s="278">
        <f>IF(ISNUMBER(AB156),N(AB157)+N(AB158),"")</f>
        <v>0</v>
      </c>
      <c r="AC159" s="278">
        <f>IF(ISNUMBER(AC156),N(AC157)+N(AC158),"")</f>
        <v>0</v>
      </c>
      <c r="AD159" s="278">
        <f>IF(ISNUMBER(AD156),N(AD157)+N(AD158),"")</f>
        <v>0</v>
      </c>
      <c r="AE159" s="278">
        <f>IF(ISNUMBER(AE156),N(AE157)+N(AE158),"")</f>
        <v>0</v>
      </c>
      <c r="AF159" s="278">
        <f>IF(ISNUMBER(AF156),N(AF157)+N(AF158),"")</f>
        <v>0</v>
      </c>
      <c r="AG159" s="278">
        <f>IF(ISNUMBER(AG156),N(AG157)+N(AG158),"")</f>
        <v>0</v>
      </c>
      <c r="AH159" s="278">
        <f>IF(ISNUMBER(AH156),N(AH157)+N(AH158),"")</f>
        <v>0</v>
      </c>
      <c r="AI159" s="278">
        <f>IF(ISNUMBER(AI156),N(AI157)+N(AI158),"")</f>
        <v>0</v>
      </c>
      <c r="AJ159" s="278">
        <f>IF(ISNUMBER(AJ156),N(AJ157)+N(AJ158),"")</f>
        <v>0</v>
      </c>
      <c r="AK159" s="278">
        <f>IF(ISNUMBER(AK156),N(AK157)+N(AK158),"")</f>
        <v>0</v>
      </c>
      <c r="AL159" s="278">
        <f>IF(ISNUMBER(AL156),N(AL157)+N(AL158),"")</f>
        <v>0</v>
      </c>
      <c r="AM159" s="278">
        <f>IF(ISNUMBER(AM156),N(AM157)+N(AM158),"")</f>
        <v>0</v>
      </c>
      <c r="AN159" s="278">
        <f>IF(ISNUMBER(AN156),N(AN157)+N(AN158),"")</f>
        <v>0</v>
      </c>
      <c r="AO159" s="278">
        <f>IF(ISNUMBER(AO156),N(AO157)+N(AO158),"")</f>
        <v>0</v>
      </c>
      <c r="AP159" s="278">
        <f>IF(ISNUMBER(AP156),N(AP157)+N(AP158),"")</f>
        <v>0</v>
      </c>
      <c r="AQ159" s="278">
        <f>IF(ISNUMBER(AQ156),N(AQ157)+N(AQ158),"")</f>
        <v>0</v>
      </c>
      <c r="AR159" s="278">
        <f>IF(ISNUMBER(AR156),N(AR157)+N(AR158),"")</f>
        <v>0</v>
      </c>
      <c r="AS159" s="278">
        <f>IF(ISNUMBER(AS156),N(AS157)+N(AS158),"")</f>
        <v>0</v>
      </c>
      <c r="AT159" s="278">
        <f>IF(ISNUMBER(AT156),N(AT157)+N(AT158),"")</f>
        <v>0</v>
      </c>
      <c r="AU159" s="278">
        <f>IF(ISNUMBER(AU156),N(AU157)+N(AU158),"")</f>
        <v>0</v>
      </c>
      <c r="AV159" s="278">
        <f>IF(ISNUMBER(AV156),N(AV157)+N(AV158),"")</f>
        <v>0</v>
      </c>
      <c r="AW159" s="278">
        <f>IF(ISNUMBER(AW156),N(AW157)+N(AW158),"")</f>
        <v>0</v>
      </c>
      <c r="AX159" s="278">
        <f>IF(ISNUMBER(AX156),N(AX157)+N(AX158),"")</f>
        <v>0</v>
      </c>
      <c r="AY159" s="278">
        <f>IF(ISNUMBER(AY156),N(AY157)+N(AY158),"")</f>
        <v>0</v>
      </c>
      <c r="AZ159" s="278">
        <f>IF(ISNUMBER(AZ156),N(AZ157)+N(AZ158),"")</f>
        <v>0</v>
      </c>
      <c r="BA159" s="278">
        <f>IF(ISNUMBER(BA156),N(BA157)+N(BA158),"")</f>
        <v>0</v>
      </c>
      <c r="BB159" s="278">
        <f>IF(ISNUMBER(BB156),N(BB157)+N(BB158),"")</f>
        <v>0</v>
      </c>
      <c r="BC159" s="278">
        <f>IF(ISNUMBER(BC156),N(BC157)+N(BC158),"")</f>
        <v>0</v>
      </c>
      <c r="BD159" s="278">
        <f>IF(ISNUMBER(BD156),N(BD157)+N(BD158),"")</f>
        <v>150</v>
      </c>
      <c r="BE159" s="278">
        <f>IF(ISNUMBER(BE156),N(BE157)+N(BE158),"")</f>
        <v>0</v>
      </c>
      <c r="BF159" s="278">
        <f>IF(ISNUMBER(BF156),N(BF157)+N(BF158),"")</f>
        <v>0</v>
      </c>
      <c r="BG159" s="278">
        <f>IF(ISNUMBER(BG156),N(BG157)+N(BG158),"")</f>
        <v>150</v>
      </c>
      <c r="BH159" s="278">
        <f>IF(ISNUMBER(BH156),N(BH157)+N(BH158),"")</f>
        <v>0</v>
      </c>
      <c r="BI159" s="278">
        <f>IF(ISNUMBER(BI156),N(BI157)+N(BI158),"")</f>
        <v>0</v>
      </c>
      <c r="BJ159" s="278">
        <f>IF(ISNUMBER(BJ156),N(BJ157)+N(BJ158),"")</f>
        <v>0</v>
      </c>
      <c r="BK159" s="278">
        <f>IF(ISNUMBER(BK156),N(BK157)+N(BK158),"")</f>
        <v>0</v>
      </c>
      <c r="BL159" s="278">
        <f>IF(ISNUMBER(BL156),N(BL157)+N(BL158),"")</f>
        <v>0</v>
      </c>
      <c r="BM159" s="278">
        <f>IF(ISNUMBER(BM156),N(BM157)+N(BM158),"")</f>
        <v>0</v>
      </c>
      <c r="BN159" s="278">
        <f>IF(ISNUMBER(BN156),N(BN157)+N(BN158),"")</f>
        <v>0</v>
      </c>
      <c r="BO159" s="278">
        <f>IF(ISNUMBER(BO156),N(BO157)+N(BO158),"")</f>
        <v>0</v>
      </c>
      <c r="BP159" s="278">
        <f>IF(ISNUMBER(BP156),N(BP157)+N(BP158),"")</f>
        <v>0</v>
      </c>
      <c r="BQ159" s="278">
        <f>IF(ISNUMBER(BQ156),N(BQ157)+N(BQ158),"")</f>
        <v>0</v>
      </c>
      <c r="BR159" s="278">
        <f>IF(ISNUMBER(BR156),N(BR157)+N(BR158),"")</f>
        <v>0</v>
      </c>
      <c r="BS159" s="278">
        <f>IF(ISNUMBER(BS156),N(BS157)+N(BS158),"")</f>
        <v>0</v>
      </c>
      <c r="BT159" s="278">
        <f>IF(ISNUMBER(BT156),N(BT157)+N(BT158),"")</f>
        <v>619</v>
      </c>
      <c r="BU159" s="278">
        <f>IF(ISNUMBER(BU156),N(BU157)+N(BU158),"")</f>
        <v>0</v>
      </c>
      <c r="BV159" s="278">
        <f>IF(ISNUMBER(BV156),N(BV157)+N(BV158),"")</f>
        <v>619</v>
      </c>
      <c r="BW159" s="278">
        <f>IF(ISNUMBER(BW156),N(BW157)+N(BW158),"")</f>
        <v>0</v>
      </c>
      <c r="BX159" s="278">
        <f>IF(ISNUMBER(BX156),N(BX157)+N(BX158),"")</f>
        <v>0</v>
      </c>
      <c r="BY159" s="279">
        <f>IF(ISNUMBER(BY156),N(BY157)+N(BY158),"")</f>
        <v>0</v>
      </c>
      <c r="BZ159" s="279">
        <f>IF(ISNUMBER(BZ156),N(BZ157)+N(BZ158),"")</f>
        <v>0</v>
      </c>
      <c r="CA159" s="279">
        <f>IF(ISNUMBER(CA156),N(CA157)+N(CA158),"")</f>
        <v>0</v>
      </c>
      <c r="CB159" s="279">
        <f>IF(ISNUMBER(CB156),N(CB157)+N(CB158),"")</f>
        <v>0</v>
      </c>
      <c r="CC159" s="279">
        <f>IF(ISNUMBER(CC156),N(CC157)+N(CC158),"")</f>
        <v>0</v>
      </c>
      <c r="CD159" s="279">
        <f>IF(ISNUMBER(CD156),N(CD157)+N(CD158),"")</f>
        <v>0</v>
      </c>
      <c r="CE159" s="279">
        <f>IF(ISNUMBER(CE156),N(CE157)+N(CE158),"")</f>
        <v>0</v>
      </c>
      <c r="CF159" s="279">
        <f>IF(ISNUMBER(CF156),N(CF157)+N(CF158),"")</f>
        <v>0</v>
      </c>
      <c r="CG159" s="153" t="n"/>
    </row>
    <row r="160" ht="15" customHeight="1" s="251">
      <c r="B160" s="55" t="inlineStr">
        <is>
          <t xml:space="preserve">  = Adjusted operating income (model)</t>
        </is>
      </c>
      <c r="C160" s="271">
        <f>IF(ISNUMBER(C156),C156+C159,"")</f>
        <v>64.414</v>
      </c>
      <c r="D160" s="271">
        <f>IF(ISNUMBER(D156),D156+D159,"")</f>
        <v>91.1609999999999</v>
      </c>
      <c r="E160" s="271">
        <f>IF(ISNUMBER(E156),E156+E159,"")</f>
        <v>121.506</v>
      </c>
      <c r="F160" s="271">
        <f>IF(ISNUMBER(F156),F156+F159,"")</f>
        <v>191.939</v>
      </c>
      <c r="G160" s="271">
        <f>IF(ISNUMBER(G156),G156+G159,"")</f>
        <v>283.641</v>
      </c>
      <c r="H160" s="271">
        <f>IF(ISNUMBER(H156),H156+H159,"")</f>
        <v>376.068</v>
      </c>
      <c r="I160" s="271">
        <f>IF(ISNUMBER(I156),I156+I159,"")</f>
        <v>49.9920000000002</v>
      </c>
      <c r="J160" s="271">
        <f>IF(ISNUMBER(J156),J156+J159,"")</f>
        <v>31.822</v>
      </c>
      <c r="K160" s="271">
        <f>IF(ISNUMBER(K156),K156+K159,"")</f>
        <v>57.1170000000001</v>
      </c>
      <c r="L160" s="271">
        <f>IF(ISNUMBER(L156),L156+L159,"")</f>
        <v>57.12</v>
      </c>
      <c r="M160" s="271">
        <f>IF(ISNUMBER(M156),M156+M159,"")</f>
        <v>82.288</v>
      </c>
      <c r="N160" s="271">
        <f>IF(ISNUMBER(N156),N156+N159,"")</f>
        <v>228.347</v>
      </c>
      <c r="O160" s="271">
        <f>IF(ISNUMBER(O156),O156+O159,"")</f>
        <v>97.5949999999999</v>
      </c>
      <c r="P160" s="271">
        <f>IF(ISNUMBER(P156),P156+P159,"")</f>
        <v>129.6</v>
      </c>
      <c r="Q160" s="271">
        <f>IF(ISNUMBER(Q156),Q156+Q159,"")</f>
        <v>110.407</v>
      </c>
      <c r="R160" s="271">
        <f>IF(ISNUMBER(R156),R156+R159,"")</f>
        <v>65.0460000000001</v>
      </c>
      <c r="S160" s="271">
        <f>IF(ISNUMBER(S156),S156+S159,"")</f>
        <v>402.648</v>
      </c>
      <c r="T160" s="271">
        <f>IF(ISNUMBER(T156),T156+T159,"")</f>
        <v>97.4559999999998</v>
      </c>
      <c r="U160" s="271">
        <f>IF(ISNUMBER(U156),U156+U159,"")</f>
        <v>74.835</v>
      </c>
      <c r="V160" s="271">
        <f>IF(ISNUMBER(V156),V156+V159,"")</f>
        <v>73.641</v>
      </c>
      <c r="W160" s="271">
        <f>IF(ISNUMBER(W156),W156+W159,"")</f>
        <v>59.8940000000001</v>
      </c>
      <c r="X160" s="271">
        <f>IF(ISNUMBER(X156),X156+X159,"")</f>
        <v>305.826000000001</v>
      </c>
      <c r="Y160" s="271">
        <f>IF(ISNUMBER(Y156),Y156+Y159,"")</f>
        <v>49.4530000000001</v>
      </c>
      <c r="Z160" s="271">
        <f>IF(ISNUMBER(Z156),Z156+Z159,"")</f>
        <v>70.3700000000002</v>
      </c>
      <c r="AA160" s="271">
        <f>IF(ISNUMBER(AA156),AA156+AA159,"")</f>
        <v>106.036</v>
      </c>
      <c r="AB160" s="271">
        <f>IF(ISNUMBER(AB156),AB156+AB159,"")</f>
        <v>153.934</v>
      </c>
      <c r="AC160" s="271">
        <f>IF(ISNUMBER(AC156),AC156+AC159,"")</f>
        <v>379.793</v>
      </c>
      <c r="AD160" s="271">
        <f>IF(ISNUMBER(AD156),AD156+AD159,"")</f>
        <v>256.942</v>
      </c>
      <c r="AE160" s="271">
        <f>IF(ISNUMBER(AE156),AE156+AE159,"")</f>
        <v>127.807</v>
      </c>
      <c r="AF160" s="271">
        <f>IF(ISNUMBER(AF156),AF156+AF159,"")</f>
        <v>208.627</v>
      </c>
      <c r="AG160" s="271">
        <f>IF(ISNUMBER(AG156),AG156+AG159,"")</f>
        <v>245.303</v>
      </c>
      <c r="AH160" s="271">
        <f>IF(ISNUMBER(AH156),AH156+AH159,"")</f>
        <v>838.679</v>
      </c>
      <c r="AI160" s="271">
        <f>IF(ISNUMBER(AI156),AI156+AI159,"")</f>
        <v>446.578</v>
      </c>
      <c r="AJ160" s="271">
        <f>IF(ISNUMBER(AJ156),AJ156+AJ159,"")</f>
        <v>462.213</v>
      </c>
      <c r="AK160" s="271">
        <f>IF(ISNUMBER(AK156),AK156+AK159,"")</f>
        <v>480.668</v>
      </c>
      <c r="AL160" s="271">
        <f>IF(ISNUMBER(AL156),AL156+AL159,"")</f>
        <v>215.767</v>
      </c>
      <c r="AM160" s="271">
        <f>IF(ISNUMBER(AM156),AM156+AM159,"")</f>
        <v>1605.226</v>
      </c>
      <c r="AN160" s="271">
        <f>IF(ISNUMBER(AN156),AN156+AN159,"")</f>
        <v>459.084</v>
      </c>
      <c r="AO160" s="271">
        <f>IF(ISNUMBER(AO156),AO156+AO159,"")</f>
        <v>706.419</v>
      </c>
      <c r="AP160" s="271">
        <f>IF(ISNUMBER(AP156),AP156+AP159,"")</f>
        <v>980.239</v>
      </c>
      <c r="AQ160" s="271">
        <f>IF(ISNUMBER(AQ156),AQ156+AQ159,"")</f>
        <v>458.512</v>
      </c>
      <c r="AR160" s="271">
        <f>IF(ISNUMBER(AR156),AR156+AR159,"")</f>
        <v>2604.254</v>
      </c>
      <c r="AS160" s="271">
        <f>IF(ISNUMBER(AS156),AS156+AS159,"")</f>
        <v>958.256</v>
      </c>
      <c r="AT160" s="271">
        <f>IF(ISNUMBER(AT156),AT156+AT159,"")</f>
        <v>1357.928</v>
      </c>
      <c r="AU160" s="271">
        <f>IF(ISNUMBER(AU156),AU156+AU159,"")</f>
        <v>1314.863</v>
      </c>
      <c r="AV160" s="271">
        <f>IF(ISNUMBER(AV156),AV156+AV159,"")</f>
        <v>954.242</v>
      </c>
      <c r="AW160" s="271">
        <f>IF(ISNUMBER(AW156),AW156+AW159,"")</f>
        <v>4585.289</v>
      </c>
      <c r="AX160" s="271">
        <f>IF(ISNUMBER(AX156),AX156+AX159,"")</f>
        <v>1959.856</v>
      </c>
      <c r="AY160" s="271">
        <f>IF(ISNUMBER(AY156),AY156+AY159,"")</f>
        <v>1847.63</v>
      </c>
      <c r="AZ160" s="271">
        <f>IF(ISNUMBER(AZ156),AZ156+AZ159,"")</f>
        <v>1755.253</v>
      </c>
      <c r="BA160" s="271">
        <f>IF(ISNUMBER(BA156),BA156+BA159,"")</f>
        <v>631.77</v>
      </c>
      <c r="BB160" s="271">
        <f>IF(ISNUMBER(BB156),BB156+BB159,"")</f>
        <v>6194.509</v>
      </c>
      <c r="BC160" s="271">
        <f>IF(ISNUMBER(BC156),BC156+BC159,"")</f>
        <v>1971.626</v>
      </c>
      <c r="BD160" s="271">
        <f>IF(ISNUMBER(BD156),BD156+BD159,"")</f>
        <v>1728.283</v>
      </c>
      <c r="BE160" s="271">
        <f>IF(ISNUMBER(BE156),BE156+BE159,"")</f>
        <v>1533.018</v>
      </c>
      <c r="BF160" s="271">
        <f>IF(ISNUMBER(BF156),BF156+BF159,"")</f>
        <v>549.904</v>
      </c>
      <c r="BG160" s="271">
        <f>IF(ISNUMBER(BG156),BG156+BG159,"")</f>
        <v>5782.831</v>
      </c>
      <c r="BH160" s="271">
        <f>IF(ISNUMBER(BH156),BH156+BH159,"")</f>
        <v>1714.317</v>
      </c>
      <c r="BI160" s="271">
        <f>IF(ISNUMBER(BI156),BI156+BI159,"")</f>
        <v>1827.183</v>
      </c>
      <c r="BJ160" s="271">
        <f>IF(ISNUMBER(BJ156),BJ156+BJ159,"")</f>
        <v>1916.394</v>
      </c>
      <c r="BK160" s="271">
        <f>IF(ISNUMBER(BK156),BK156+BK159,"")</f>
        <v>1496.109</v>
      </c>
      <c r="BL160" s="271">
        <f>IF(ISNUMBER(BL156),BL156+BL159,"")</f>
        <v>6954.003</v>
      </c>
      <c r="BM160" s="271">
        <f>IF(ISNUMBER(BM156),BM156+BM159,"")</f>
        <v>2632.534</v>
      </c>
      <c r="BN160" s="271">
        <f>IF(ISNUMBER(BN156),BN156+BN159,"")</f>
        <v>2602.837</v>
      </c>
      <c r="BO160" s="271">
        <f>IF(ISNUMBER(BO156),BO156+BO159,"")</f>
        <v>2909.477</v>
      </c>
      <c r="BP160" s="271">
        <f>IF(ISNUMBER(BP156),BP156+BP159,"")</f>
        <v>2272.766</v>
      </c>
      <c r="BQ160" s="271">
        <f>IF(ISNUMBER(BQ156),BQ156+BQ159,"")</f>
        <v>10417.614</v>
      </c>
      <c r="BR160" s="271">
        <f>IF(ISNUMBER(BR156),BR156+BR159,"")</f>
        <v>3346.999</v>
      </c>
      <c r="BS160" s="271">
        <f>IF(ISNUMBER(BS156),BS156+BS159,"")</f>
        <v>3774.694</v>
      </c>
      <c r="BT160" s="271">
        <f>IF(ISNUMBER(BT156),BT156+BT159,"")</f>
        <v>3867.247</v>
      </c>
      <c r="BU160" s="271">
        <f>IF(ISNUMBER(BU156),BU156+BU159,"")</f>
        <v>2956.663</v>
      </c>
      <c r="BV160" s="271">
        <f>IF(ISNUMBER(BV156),BV156+BV159,"")</f>
        <v>13945.603</v>
      </c>
      <c r="BW160" s="271">
        <f>IF(ISNUMBER(BW156),BW156+BW159,"")</f>
        <v>3956.997</v>
      </c>
      <c r="BX160" s="271">
        <f>IF(ISNUMBER(BX156),BX156+BX159,"")</f>
        <v>4192.61</v>
      </c>
      <c r="BY160" s="271">
        <f>IF(ISNUMBER(BY156),BY156+BY159,"")</f>
        <v>4269.52</v>
      </c>
      <c r="BZ160" s="271">
        <f>IF(ISNUMBER(BZ156),BZ156+BZ159,"")</f>
        <v>3708.873</v>
      </c>
      <c r="CA160" s="271">
        <f>IF(ISNUMBER(CA156),CA156+CA159,"")</f>
        <v>16128</v>
      </c>
      <c r="CB160" s="271">
        <f>IF(ISNUMBER(CB156),CB156+CB159,"")</f>
        <v>18954.071285567</v>
      </c>
      <c r="CC160" s="271">
        <f>IF(ISNUMBER(CC156),CC156+CC159,"")</f>
        <v>21689.0492408911</v>
      </c>
      <c r="CD160" s="271">
        <f>IF(ISNUMBER(CD156),CD156+CD159,"")</f>
        <v>24551.2285881781</v>
      </c>
      <c r="CE160" s="271">
        <f>IF(ISNUMBER(CE156),CE156+CE159,"")</f>
        <v>27183.817818472</v>
      </c>
      <c r="CF160" s="271">
        <f>IF(ISNUMBER(CF156),CF156+CF159,"")</f>
        <v>29859.0615306118</v>
      </c>
      <c r="CG160" s="153" t="n"/>
      <c r="CI160" s="20">
        <f>IFERROR((CF160/CA160)^(1/5)-1,"n/m")</f>
        <v>0.131095117723862</v>
      </c>
      <c r="CJ160" s="20">
        <f>IFERROR((BV160/AW160)^(1/5)-1,"n/m")</f>
        <v>0.249148632445342</v>
      </c>
      <c r="CK160" s="20">
        <f>IFERROR((BV160/X160)^(1/10)-1,"n/m")</f>
        <v>0.465197906001409</v>
      </c>
      <c r="CL160" s="20">
        <f>IFERROR((BV160/C160)^(1/19)-1,"n/m")</f>
        <v>0.327146270559025</v>
      </c>
    </row>
    <row r="161" ht="15" customHeight="1" s="251">
      <c r="B161" s="25" t="inlineStr">
        <is>
          <t xml:space="preserve">  Adjusted operating margin %</t>
        </is>
      </c>
      <c r="C161" s="215">
        <f>IF(AND(ISNUMBER(C160),ISNUMBER(C121)),IFERROR(C160/C121,""),"")</f>
        <v>0.064629863744908</v>
      </c>
      <c r="D161" s="215">
        <f>IF(AND(ISNUMBER(D160),ISNUMBER(D121)),IFERROR(D160/D121,""),"")</f>
        <v>0.075630942306735</v>
      </c>
      <c r="E161" s="215">
        <f>IF(AND(ISNUMBER(E160),ISNUMBER(E121)),IFERROR(E160/E121,""),"")</f>
        <v>0.0890374972245854</v>
      </c>
      <c r="F161" s="215">
        <f>IF(AND(ISNUMBER(F160),ISNUMBER(F121)),IFERROR(F160/F121,""),"")</f>
        <v>0.114915022670001</v>
      </c>
      <c r="G161" s="215">
        <f>IF(AND(ISNUMBER(G160),ISNUMBER(G121)),IFERROR(G160/G121,""),"")</f>
        <v>0.131155886942951</v>
      </c>
      <c r="H161" s="215">
        <f>IF(AND(ISNUMBER(H160),ISNUMBER(H121)),IFERROR(H160/H121,""),"")</f>
        <v>0.117353397967969</v>
      </c>
      <c r="I161" s="215">
        <f>IF(AND(ISNUMBER(I160),ISNUMBER(I121)),IFERROR(I160/I121,""),"")</f>
        <v>0.0138509542895236</v>
      </c>
      <c r="J161" s="215">
        <f>IF(AND(ISNUMBER(J160),ISNUMBER(J121)),IFERROR(J160/J121,""),"")</f>
        <v>0.0310773554852186</v>
      </c>
      <c r="K161" s="215">
        <f>IF(AND(ISNUMBER(K160),ISNUMBER(K121)),IFERROR(K160/K121,""),"")</f>
        <v>0.0534117220200268</v>
      </c>
      <c r="L161" s="215">
        <f>IF(AND(ISNUMBER(L160),ISNUMBER(L121)),IFERROR(L160/L121,""),"")</f>
        <v>0.0516456163161088</v>
      </c>
      <c r="M161" s="215">
        <f>IF(AND(ISNUMBER(M160),ISNUMBER(M121)),IFERROR(M160/M121,""),"")</f>
        <v>0.0700186346502386</v>
      </c>
      <c r="N161" s="215">
        <f>IF(AND(ISNUMBER(N160),ISNUMBER(N121)),IFERROR(N160/N121,""),"")</f>
        <v>0.0521988258481649</v>
      </c>
      <c r="O161" s="215">
        <f>IF(AND(ISNUMBER(O160),ISNUMBER(O121)),IFERROR(O160/O121,""),"")</f>
        <v>0.0768410717674115</v>
      </c>
      <c r="P161" s="215">
        <f>IF(AND(ISNUMBER(P160),ISNUMBER(P121)),IFERROR(P160/P121,""),"")</f>
        <v>0.0966870510225625</v>
      </c>
      <c r="Q161" s="215">
        <f>IF(AND(ISNUMBER(Q160),ISNUMBER(Q121)),IFERROR(Q160/Q121,""),"")</f>
        <v>0.0783343928618053</v>
      </c>
      <c r="R161" s="215">
        <f>IF(AND(ISNUMBER(R160),ISNUMBER(R121)),IFERROR(R160/R121,""),"")</f>
        <v>0.0438100446681144</v>
      </c>
      <c r="S161" s="215">
        <f>IF(AND(ISNUMBER(S160),ISNUMBER(S121)),IFERROR(S160/S121,""),"")</f>
        <v>0.0731468051772898</v>
      </c>
      <c r="T161" s="215">
        <f>IF(AND(ISNUMBER(T160),ISNUMBER(T121)),IFERROR(T160/T121,""),"")</f>
        <v>0.0619504185607155</v>
      </c>
      <c r="U161" s="215">
        <f>IF(AND(ISNUMBER(U160),ISNUMBER(U121)),IFERROR(U160/U121,""),"")</f>
        <v>0.0455008652065369</v>
      </c>
      <c r="V161" s="215">
        <f>IF(AND(ISNUMBER(V160),ISNUMBER(V121)),IFERROR(V160/V121,""),"")</f>
        <v>0.0423624633633521</v>
      </c>
      <c r="W161" s="215">
        <f>IF(AND(ISNUMBER(W160),ISNUMBER(W121)),IFERROR(W160/W121,""),"")</f>
        <v>0.0328486348900613</v>
      </c>
      <c r="X161" s="215">
        <f>IF(AND(ISNUMBER(X160),ISNUMBER(X121)),IFERROR(X160/X121,""),"")</f>
        <v>0.0451103331788975</v>
      </c>
      <c r="Y161" s="215">
        <f>IF(AND(ISNUMBER(Y160),ISNUMBER(Y121)),IFERROR(Y160/Y121,""),"")</f>
        <v>0.0252603006738397</v>
      </c>
      <c r="Z161" s="215">
        <f>IF(AND(ISNUMBER(Z160),ISNUMBER(Z121)),IFERROR(Z160/Z121,""),"")</f>
        <v>0.0334266892899691</v>
      </c>
      <c r="AA161" s="215">
        <f>IF(AND(ISNUMBER(AA160),ISNUMBER(AA121)),IFERROR(AA160/AA121,""),"")</f>
        <v>0.0463001290723731</v>
      </c>
      <c r="AB161" s="215">
        <f>IF(AND(ISNUMBER(AB160),ISNUMBER(AB121)),IFERROR(AB160/AB121,""),"")</f>
        <v>0.0621317669414956</v>
      </c>
      <c r="AC161" s="215">
        <f>IF(AND(ISNUMBER(AC160),ISNUMBER(AC121)),IFERROR(AC160/AC121,""),"")</f>
        <v>0.0430084062713709</v>
      </c>
      <c r="AD161" s="215">
        <f>IF(AND(ISNUMBER(AD160),ISNUMBER(AD121)),IFERROR(AD160/AD121,""),"")</f>
        <v>0.0974507279164543</v>
      </c>
      <c r="AE161" s="215">
        <f>IF(AND(ISNUMBER(AE160),ISNUMBER(AE121)),IFERROR(AE160/AE121,""),"")</f>
        <v>0.0458835583586792</v>
      </c>
      <c r="AF161" s="215">
        <f>IF(AND(ISNUMBER(AF160),ISNUMBER(AF121)),IFERROR(AF160/AF121,""),"")</f>
        <v>0.0698950938721058</v>
      </c>
      <c r="AG161" s="215">
        <f>IF(AND(ISNUMBER(AG160),ISNUMBER(AG121)),IFERROR(AG160/AG121,""),"")</f>
        <v>0.0746565096910756</v>
      </c>
      <c r="AH161" s="215">
        <f>IF(AND(ISNUMBER(AH160),ISNUMBER(AH121)),IFERROR(AH160/AH121,""),"")</f>
        <v>0.0717266386338226</v>
      </c>
      <c r="AI161" s="215">
        <f>IF(AND(ISNUMBER(AI160),ISNUMBER(AI121)),IFERROR(AI160/AI121,""),"")</f>
        <v>0.12066883985759</v>
      </c>
      <c r="AJ161" s="215">
        <f>IF(AND(ISNUMBER(AJ160),ISNUMBER(AJ121)),IFERROR(AJ160/AJ121,""),"")</f>
        <v>0.118295638642838</v>
      </c>
      <c r="AK161" s="215">
        <f>IF(AND(ISNUMBER(AK160),ISNUMBER(AK121)),IFERROR(AK160/AK121,""),"")</f>
        <v>0.120185809079121</v>
      </c>
      <c r="AL161" s="215">
        <f>IF(AND(ISNUMBER(AL160),ISNUMBER(AL121)),IFERROR(AL160/AL121,""),"")</f>
        <v>0.0515345579160996</v>
      </c>
      <c r="AM161" s="215">
        <f>IF(AND(ISNUMBER(AM160),ISNUMBER(AM121)),IFERROR(AM160/AM121,""),"")</f>
        <v>0.101632983611029</v>
      </c>
      <c r="AN161" s="215">
        <f>IF(AND(ISNUMBER(AN160),ISNUMBER(AN121)),IFERROR(AN160/AN121,""),"")</f>
        <v>0.101544970661306</v>
      </c>
      <c r="AO161" s="215">
        <f>IF(AND(ISNUMBER(AO160),ISNUMBER(AO121)),IFERROR(AO160/AO121,""),"")</f>
        <v>0.143490220421375</v>
      </c>
      <c r="AP161" s="215">
        <f>IF(AND(ISNUMBER(AP160),ISNUMBER(AP121)),IFERROR(AP160/AP121,""),"")</f>
        <v>0.186893566232372</v>
      </c>
      <c r="AQ161" s="215">
        <f>IF(AND(ISNUMBER(AQ160),ISNUMBER(AQ121)),IFERROR(AQ160/AQ121,""),"")</f>
        <v>0.0838623749276169</v>
      </c>
      <c r="AR161" s="215">
        <f>IF(AND(ISNUMBER(AR160),ISNUMBER(AR121)),IFERROR(AR160/AR121,""),"")</f>
        <v>0.129202036450174</v>
      </c>
      <c r="AS161" s="215">
        <f>IF(AND(ISNUMBER(AS160),ISNUMBER(AS121)),IFERROR(AS160/AS121,""),"")</f>
        <v>0.166142048871897</v>
      </c>
      <c r="AT161" s="215">
        <f>IF(AND(ISNUMBER(AT160),ISNUMBER(AT121)),IFERROR(AT160/AT121,""),"")</f>
        <v>0.220862855111164</v>
      </c>
      <c r="AU161" s="215">
        <f>IF(AND(ISNUMBER(AU160),ISNUMBER(AU121)),IFERROR(AU160/AU121,""),"")</f>
        <v>0.204309689934345</v>
      </c>
      <c r="AV161" s="215">
        <f>IF(AND(ISNUMBER(AV160),ISNUMBER(AV121)),IFERROR(AV160/AV121,""),"")</f>
        <v>0.143615069557383</v>
      </c>
      <c r="AW161" s="215">
        <f>IF(AND(ISNUMBER(AW160),ISNUMBER(AW121)),IFERROR(AW160/AW121,""),"")</f>
        <v>0.183440499573213</v>
      </c>
      <c r="AX161" s="215">
        <f>IF(AND(ISNUMBER(AX160),ISNUMBER(AX121)),IFERROR(AX160/AX121,""),"")</f>
        <v>0.27359749343946</v>
      </c>
      <c r="AY161" s="215">
        <f>IF(AND(ISNUMBER(AY160),ISNUMBER(AY121)),IFERROR(AY160/AY121,""),"")</f>
        <v>0.251659782093627</v>
      </c>
      <c r="AZ161" s="215">
        <f>IF(AND(ISNUMBER(AZ160),ISNUMBER(AZ121)),IFERROR(AZ160/AZ121,""),"")</f>
        <v>0.234550777066298</v>
      </c>
      <c r="BA161" s="215">
        <f>IF(AND(ISNUMBER(BA160),ISNUMBER(BA121)),IFERROR(BA160/BA121,""),"")</f>
        <v>0.0819488831567203</v>
      </c>
      <c r="BB161" s="215">
        <f>IF(AND(ISNUMBER(BB160),ISNUMBER(BB121)),IFERROR(BB160/BB121,""),"")</f>
        <v>0.208584468286654</v>
      </c>
      <c r="BC161" s="215">
        <f>IF(AND(ISNUMBER(BC160),ISNUMBER(BC121)),IFERROR(BC160/BC121,""),"")</f>
        <v>0.250595372232045</v>
      </c>
      <c r="BD161" s="215">
        <f>IF(AND(ISNUMBER(BD160),ISNUMBER(BD121)),IFERROR(BD160/BD121,""),"")</f>
        <v>0.216844720814851</v>
      </c>
      <c r="BE161" s="215">
        <f>IF(AND(ISNUMBER(BE160),ISNUMBER(BE121)),IFERROR(BE160/BE121,""),"")</f>
        <v>0.193426381307433</v>
      </c>
      <c r="BF161" s="215">
        <f>IF(AND(ISNUMBER(BF160),ISNUMBER(BF121)),IFERROR(BF160/BF121,""),"")</f>
        <v>0.0700331492922934</v>
      </c>
      <c r="BG161" s="215">
        <f>IF(AND(ISNUMBER(BG160),ISNUMBER(BG121)),IFERROR(BG160/BG121,""),"")</f>
        <v>0.182910972606834</v>
      </c>
      <c r="BH161" s="215">
        <f>IF(AND(ISNUMBER(BH160),ISNUMBER(BH121)),IFERROR(BH160/BH121,""),"")</f>
        <v>0.210049178441765</v>
      </c>
      <c r="BI161" s="215">
        <f>IF(AND(ISNUMBER(BI160),ISNUMBER(BI121)),IFERROR(BI160/BI121,""),"")</f>
        <v>0.223172813604874</v>
      </c>
      <c r="BJ161" s="215">
        <f>IF(AND(ISNUMBER(BJ160),ISNUMBER(BJ121)),IFERROR(BJ160/BJ121,""),"")</f>
        <v>0.224358286929438</v>
      </c>
      <c r="BK161" s="215">
        <f>IF(AND(ISNUMBER(BK160),ISNUMBER(BK121)),IFERROR(BK160/BK121,""),"")</f>
        <v>0.169380577561539</v>
      </c>
      <c r="BL161" s="215">
        <f>IF(AND(ISNUMBER(BL160),ISNUMBER(BL121)),IFERROR(BL160/BL121,""),"")</f>
        <v>0.20620768485359</v>
      </c>
      <c r="BM161" s="215">
        <f>IF(AND(ISNUMBER(BM160),ISNUMBER(BM121)),IFERROR(BM160/BM121,""),"")</f>
        <v>0.280940276016921</v>
      </c>
      <c r="BN161" s="215">
        <f>IF(AND(ISNUMBER(BN160),ISNUMBER(BN121)),IFERROR(BN160/BN121,""),"")</f>
        <v>0.272282936739158</v>
      </c>
      <c r="BO161" s="215">
        <f>IF(AND(ISNUMBER(BO160),ISNUMBER(BO121)),IFERROR(BO160/BO121,""),"")</f>
        <v>0.296138926540578</v>
      </c>
      <c r="BP161" s="215">
        <f>IF(AND(ISNUMBER(BP160),ISNUMBER(BP121)),IFERROR(BP160/BP121,""),"")</f>
        <v>0.221808726539458</v>
      </c>
      <c r="BQ161" s="215">
        <f>IF(AND(ISNUMBER(BQ160),ISNUMBER(BQ121)),IFERROR(BQ160/BQ121,""),"")</f>
        <v>0.267111691541179</v>
      </c>
      <c r="BR161" s="215">
        <f>IF(AND(ISNUMBER(BR160),ISNUMBER(BR121)),IFERROR(BR160/BR121,""),"")</f>
        <v>0.317467720390435</v>
      </c>
      <c r="BS161" s="215">
        <f>IF(AND(ISNUMBER(BS160),ISNUMBER(BS121)),IFERROR(BS160/BS121,""),"")</f>
        <v>0.340701998688349</v>
      </c>
      <c r="BT161" s="215">
        <f>IF(AND(ISNUMBER(BT160),ISNUMBER(BT121)),IFERROR(BT160/BT121,""),"")</f>
        <v>0.335981221004792</v>
      </c>
      <c r="BU161" s="215">
        <f>IF(AND(ISNUMBER(BU160),ISNUMBER(BU121)),IFERROR(BU160/BU121,""),"")</f>
        <v>0.245350708942721</v>
      </c>
      <c r="BV161" s="215">
        <f>IF(AND(ISNUMBER(BV160),ISNUMBER(BV121)),IFERROR(BV160/BV121,""),"")</f>
        <v>0.30864687800085</v>
      </c>
      <c r="BW161" s="215">
        <f>IF(AND(ISNUMBER(BW160),ISNUMBER(BW121)),IFERROR(BW160/BW121,""),"")</f>
        <v>0.323026571057695</v>
      </c>
      <c r="BX161" s="215">
        <f>IF(AND(ISNUMBER(BX160),ISNUMBER(BX121)),IFERROR(BX160/BX121,""),"")</f>
        <v>0.333808176441635</v>
      </c>
      <c r="BY161" s="256">
        <f>IF(AND(ISNUMBER(BY160),ISNUMBER(BY121)),IFERROR(BY160/BY121,""),"")</f>
        <v>0.332</v>
      </c>
      <c r="BZ161" s="256">
        <f>IF(AND(ISNUMBER(BZ160),ISNUMBER(BZ121)),IFERROR(BZ160/BZ121,""),"")</f>
        <v>0.274115993689721</v>
      </c>
      <c r="CA161" s="256">
        <f>IF(AND(ISNUMBER(CA160),ISNUMBER(CA121)),IFERROR(CA160/CA121,""),"")</f>
        <v>0.315</v>
      </c>
      <c r="CB161" s="256">
        <f>IF(AND(ISNUMBER(CB160),ISNUMBER(CB121)),IFERROR(CB160/CB121,""),"")</f>
        <v>0.335</v>
      </c>
      <c r="CC161" s="256">
        <f>IF(AND(ISNUMBER(CC160),ISNUMBER(CC121)),IFERROR(CC160/CC121,""),"")</f>
        <v>0.35</v>
      </c>
      <c r="CD161" s="256">
        <f>IF(AND(ISNUMBER(CD160),ISNUMBER(CD121)),IFERROR(CD160/CD121,""),"")</f>
        <v>0.365</v>
      </c>
      <c r="CE161" s="256">
        <f>IF(AND(ISNUMBER(CE160),ISNUMBER(CE121)),IFERROR(CE160/CE121,""),"")</f>
        <v>0.375</v>
      </c>
      <c r="CF161" s="256">
        <f>IF(AND(ISNUMBER(CF160),ISNUMBER(CF121)),IFERROR(CF160/CF121,""),"")</f>
        <v>0.385</v>
      </c>
      <c r="CG161" s="153" t="n"/>
      <c r="CI161" s="37">
        <f>IFERROR(AVERAGE(CB161,CC161,CD161,CE161,CF161),"n/m")</f>
        <v>0.362</v>
      </c>
      <c r="CJ161" s="37">
        <f>IFERROR(AVERAGE(BB161,BG161,BL161,BQ161,BV161),"n/m")</f>
        <v>0.234692339057821</v>
      </c>
      <c r="CK161" s="37">
        <f>IFERROR(AVERAGE(AC161,AH161,AM161,AR161,AW161,BB161,BG161,BL161,BQ161,BV161),"n/m")</f>
        <v>0.170247225982872</v>
      </c>
      <c r="CL161" s="37">
        <f>IFERROR(AVERAGE(C161,D161,E161,F161,G161,H161,I161,N161,S161,X161,AC161,AH161,AM161,AR161,AW161,BB161,BG161,BL161,BQ161,BV161),"n/m")</f>
        <v>0.123975089458987</v>
      </c>
    </row>
    <row r="162" ht="15" customHeight="1" s="251">
      <c r="B162" s="57" t="inlineStr">
        <is>
          <t xml:space="preserve">  Check: model vs company-published (n/p — no company adjusted operating income)</t>
        </is>
      </c>
      <c r="C162" s="264" t="str">
        <f>"n/p"</f>
        <v>n/p</v>
      </c>
      <c r="D162" s="264" t="str">
        <f>"n/p"</f>
        <v>n/p</v>
      </c>
      <c r="E162" s="264" t="str">
        <f>"n/p"</f>
        <v>n/p</v>
      </c>
      <c r="F162" s="264" t="str">
        <f>"n/p"</f>
        <v>n/p</v>
      </c>
      <c r="G162" s="264" t="str">
        <f>"n/p"</f>
        <v>n/p</v>
      </c>
      <c r="H162" s="264" t="str">
        <f>"n/p"</f>
        <v>n/p</v>
      </c>
      <c r="I162" s="264" t="str">
        <f>"n/p"</f>
        <v>n/p</v>
      </c>
      <c r="J162" s="264" t="str">
        <f>"n/p"</f>
        <v>n/p</v>
      </c>
      <c r="K162" s="264" t="str">
        <f>"n/p"</f>
        <v>n/p</v>
      </c>
      <c r="L162" s="264" t="str">
        <f>"n/p"</f>
        <v>n/p</v>
      </c>
      <c r="M162" s="264" t="str">
        <f>"n/p"</f>
        <v>n/p</v>
      </c>
      <c r="N162" s="264" t="str">
        <f>"n/p"</f>
        <v>n/p</v>
      </c>
      <c r="O162" s="264" t="str">
        <f>"n/p"</f>
        <v>n/p</v>
      </c>
      <c r="P162" s="264" t="str">
        <f>"n/p"</f>
        <v>n/p</v>
      </c>
      <c r="Q162" s="264" t="str">
        <f>"n/p"</f>
        <v>n/p</v>
      </c>
      <c r="R162" s="264" t="str">
        <f>"n/p"</f>
        <v>n/p</v>
      </c>
      <c r="S162" s="264" t="str">
        <f>"n/p"</f>
        <v>n/p</v>
      </c>
      <c r="T162" s="264" t="str">
        <f>"n/p"</f>
        <v>n/p</v>
      </c>
      <c r="U162" s="264" t="str">
        <f>"n/p"</f>
        <v>n/p</v>
      </c>
      <c r="V162" s="264" t="str">
        <f>"n/p"</f>
        <v>n/p</v>
      </c>
      <c r="W162" s="264" t="str">
        <f>"n/p"</f>
        <v>n/p</v>
      </c>
      <c r="X162" s="264" t="str">
        <f>"n/p"</f>
        <v>n/p</v>
      </c>
      <c r="Y162" s="264" t="str">
        <f>"n/p"</f>
        <v>n/p</v>
      </c>
      <c r="Z162" s="264" t="str">
        <f>"n/p"</f>
        <v>n/p</v>
      </c>
      <c r="AA162" s="264" t="str">
        <f>"n/p"</f>
        <v>n/p</v>
      </c>
      <c r="AB162" s="264" t="str">
        <f>"n/p"</f>
        <v>n/p</v>
      </c>
      <c r="AC162" s="264" t="str">
        <f>"n/p"</f>
        <v>n/p</v>
      </c>
      <c r="AD162" s="264" t="str">
        <f>"n/p"</f>
        <v>n/p</v>
      </c>
      <c r="AE162" s="264" t="str">
        <f>"n/p"</f>
        <v>n/p</v>
      </c>
      <c r="AF162" s="264" t="str">
        <f>"n/p"</f>
        <v>n/p</v>
      </c>
      <c r="AG162" s="264" t="str">
        <f>"n/p"</f>
        <v>n/p</v>
      </c>
      <c r="AH162" s="264" t="str">
        <f>"n/p"</f>
        <v>n/p</v>
      </c>
      <c r="AI162" s="264" t="str">
        <f>"n/p"</f>
        <v>n/p</v>
      </c>
      <c r="AJ162" s="264" t="str">
        <f>"n/p"</f>
        <v>n/p</v>
      </c>
      <c r="AK162" s="264" t="str">
        <f>"n/p"</f>
        <v>n/p</v>
      </c>
      <c r="AL162" s="264" t="str">
        <f>"n/p"</f>
        <v>n/p</v>
      </c>
      <c r="AM162" s="264" t="str">
        <f>"n/p"</f>
        <v>n/p</v>
      </c>
      <c r="AN162" s="264" t="str">
        <f>"n/p"</f>
        <v>n/p</v>
      </c>
      <c r="AO162" s="264" t="str">
        <f>"n/p"</f>
        <v>n/p</v>
      </c>
      <c r="AP162" s="264" t="str">
        <f>"n/p"</f>
        <v>n/p</v>
      </c>
      <c r="AQ162" s="264" t="str">
        <f>"n/p"</f>
        <v>n/p</v>
      </c>
      <c r="AR162" s="264" t="str">
        <f>"n/p"</f>
        <v>n/p</v>
      </c>
      <c r="AS162" s="264" t="str">
        <f>"n/p"</f>
        <v>n/p</v>
      </c>
      <c r="AT162" s="264" t="str">
        <f>"n/p"</f>
        <v>n/p</v>
      </c>
      <c r="AU162" s="264" t="str">
        <f>"n/p"</f>
        <v>n/p</v>
      </c>
      <c r="AV162" s="264" t="str">
        <f>"n/p"</f>
        <v>n/p</v>
      </c>
      <c r="AW162" s="264" t="str">
        <f>"n/p"</f>
        <v>n/p</v>
      </c>
      <c r="AX162" s="264" t="str">
        <f>"n/p"</f>
        <v>n/p</v>
      </c>
      <c r="AY162" s="264" t="str">
        <f>"n/p"</f>
        <v>n/p</v>
      </c>
      <c r="AZ162" s="264" t="str">
        <f>"n/p"</f>
        <v>n/p</v>
      </c>
      <c r="BA162" s="264" t="str">
        <f>"n/p"</f>
        <v>n/p</v>
      </c>
      <c r="BB162" s="264" t="str">
        <f>"n/p"</f>
        <v>n/p</v>
      </c>
      <c r="BC162" s="264" t="str">
        <f>"n/p"</f>
        <v>n/p</v>
      </c>
      <c r="BD162" s="264" t="str">
        <f>"n/p"</f>
        <v>n/p</v>
      </c>
      <c r="BE162" s="264" t="str">
        <f>"n/p"</f>
        <v>n/p</v>
      </c>
      <c r="BF162" s="264" t="str">
        <f>"n/p"</f>
        <v>n/p</v>
      </c>
      <c r="BG162" s="264" t="str">
        <f>"n/p"</f>
        <v>n/p</v>
      </c>
      <c r="BH162" s="264" t="str">
        <f>"n/p"</f>
        <v>n/p</v>
      </c>
      <c r="BI162" s="264" t="str">
        <f>"n/p"</f>
        <v>n/p</v>
      </c>
      <c r="BJ162" s="264" t="str">
        <f>"n/p"</f>
        <v>n/p</v>
      </c>
      <c r="BK162" s="264" t="str">
        <f>"n/p"</f>
        <v>n/p</v>
      </c>
      <c r="BL162" s="264" t="str">
        <f>"n/p"</f>
        <v>n/p</v>
      </c>
      <c r="BM162" s="264" t="str">
        <f>"n/p"</f>
        <v>n/p</v>
      </c>
      <c r="BN162" s="264" t="str">
        <f>"n/p"</f>
        <v>n/p</v>
      </c>
      <c r="BO162" s="264" t="str">
        <f>"n/p"</f>
        <v>n/p</v>
      </c>
      <c r="BP162" s="264" t="str">
        <f>"n/p"</f>
        <v>n/p</v>
      </c>
      <c r="BQ162" s="264" t="str">
        <f>"n/p"</f>
        <v>n/p</v>
      </c>
      <c r="BR162" s="264" t="str">
        <f>"n/p"</f>
        <v>n/p</v>
      </c>
      <c r="BS162" s="264" t="str">
        <f>"n/p"</f>
        <v>n/p</v>
      </c>
      <c r="BT162" s="264" t="str">
        <f>"n/p"</f>
        <v>n/p</v>
      </c>
      <c r="BU162" s="264" t="str">
        <f>"n/p"</f>
        <v>n/p</v>
      </c>
      <c r="BV162" s="264" t="str">
        <f>"n/p"</f>
        <v>n/p</v>
      </c>
      <c r="BW162" s="264" t="str">
        <f>"n/p"</f>
        <v>n/p</v>
      </c>
      <c r="BX162" s="264" t="str">
        <f>"n/p"</f>
        <v>n/p</v>
      </c>
      <c r="BY162" s="153" t="n"/>
      <c r="BZ162" s="153" t="n"/>
      <c r="CA162" s="153" t="n"/>
      <c r="CB162" s="153" t="n"/>
      <c r="CC162" s="153" t="n"/>
      <c r="CD162" s="153" t="n"/>
      <c r="CE162" s="153" t="n"/>
      <c r="CF162" s="153" t="n"/>
      <c r="CG162" s="153" t="n"/>
    </row>
    <row r="163" ht="15" customHeight="1" s="251">
      <c r="B163" s="158" t="inlineStr">
        <is>
          <t xml:space="preserve">  Definition / basis</t>
        </is>
      </c>
      <c r="C163" s="284" t="inlineStr">
        <is>
          <t>Model definition: Netflix publishes no adjusted operating income; only one-offs the company itself quantified in its letters are added back</t>
        </is>
      </c>
      <c r="BD163" s="284" t="inlineStr">
        <is>
          <t>Q2-22: restructuring ~$150m (severance ~$70m + real-estate lease impairment ~$80m) quantified in the letter</t>
        </is>
      </c>
      <c r="BT163" s="284" t="inlineStr">
        <is>
          <t>Q3-25: Brazilian non-income tax expense ~$619m quantified in the letter</t>
        </is>
      </c>
      <c r="BY163" s="153" t="n"/>
      <c r="BZ163" s="153" t="n"/>
      <c r="CA163" s="153" t="n"/>
      <c r="CB163" s="153" t="n"/>
      <c r="CC163" s="153" t="n"/>
      <c r="CD163" s="153" t="n"/>
      <c r="CE163" s="153" t="n"/>
      <c r="CF163" s="153" t="n"/>
      <c r="CG163" s="19" t="inlineStr">
        <is>
          <t>Definition notes in the columns where they apply (cell comments quote the company wording).</t>
        </is>
      </c>
    </row>
    <row r="164" ht="15" customHeight="1" s="251">
      <c r="B164" s="22" t="inlineStr">
        <is>
          <t xml:space="preserve">  Adjusted operating income y/y %</t>
        </is>
      </c>
      <c r="C164" s="23" t="n"/>
      <c r="D164" s="255">
        <f>IF(AND(ISNUMBER(D160),ISNUMBER(C160)),IFERROR(D160/C160-1,""),"")</f>
        <v>0.415235818300369</v>
      </c>
      <c r="E164" s="255">
        <f>IF(AND(ISNUMBER(E160),ISNUMBER(D160)),IFERROR(E160/D160-1,""),"")</f>
        <v>0.332872609997698</v>
      </c>
      <c r="F164" s="255">
        <f>IF(AND(ISNUMBER(F160),ISNUMBER(E160)),IFERROR(F160/E160-1,""),"")</f>
        <v>0.579666847727685</v>
      </c>
      <c r="G164" s="255">
        <f>IF(AND(ISNUMBER(G160),ISNUMBER(F160)),IFERROR(G160/F160-1,""),"")</f>
        <v>0.477766373691641</v>
      </c>
      <c r="H164" s="255">
        <f>IF(AND(ISNUMBER(H160),ISNUMBER(G160)),IFERROR(H160/G160-1,""),"")</f>
        <v>0.325859096534</v>
      </c>
      <c r="I164" s="255">
        <f>IF(AND(ISNUMBER(I160),ISNUMBER(H160)),IFERROR(I160/H160-1,""),"")</f>
        <v>-0.867066594339321</v>
      </c>
      <c r="J164" s="23" t="n"/>
      <c r="K164" s="23" t="n"/>
      <c r="L164" s="23" t="n"/>
      <c r="M164" s="23" t="n"/>
      <c r="N164" s="255">
        <f>IF(AND(ISNUMBER(N160),ISNUMBER(I160)),IFERROR(N160/I160-1,""),"")</f>
        <v>3.56767082733236</v>
      </c>
      <c r="O164" s="255">
        <f>IF(AND(ISNUMBER(O160),ISNUMBER(J160)),IFERROR(O160/J160-1,""),"")</f>
        <v>2.06690340016341</v>
      </c>
      <c r="P164" s="255">
        <f>IF(AND(ISNUMBER(P160),ISNUMBER(K160)),IFERROR(P160/K160-1,""),"")</f>
        <v>1.2690267345974</v>
      </c>
      <c r="Q164" s="255">
        <f>IF(AND(ISNUMBER(Q160),ISNUMBER(L160)),IFERROR(Q160/L160-1,""),"")</f>
        <v>0.932895658263304</v>
      </c>
      <c r="R164" s="255">
        <f>IF(AND(ISNUMBER(R160),ISNUMBER(M160)),IFERROR(R160/M160-1,""),"")</f>
        <v>-0.209532374100718</v>
      </c>
      <c r="S164" s="255">
        <f>IF(AND(ISNUMBER(S160),ISNUMBER(N160)),IFERROR(S160/N160-1,""),"")</f>
        <v>0.763316356247288</v>
      </c>
      <c r="T164" s="255">
        <f>IF(AND(ISNUMBER(T160),ISNUMBER(O160)),IFERROR(T160/O160-1,""),"")</f>
        <v>-0.00142425329166518</v>
      </c>
      <c r="U164" s="255">
        <f>IF(AND(ISNUMBER(U160),ISNUMBER(P160)),IFERROR(U160/P160-1,""),"")</f>
        <v>-0.422569444444444</v>
      </c>
      <c r="V164" s="255">
        <f>IF(AND(ISNUMBER(V160),ISNUMBER(Q160)),IFERROR(V160/Q160-1,""),"")</f>
        <v>-0.333004247919063</v>
      </c>
      <c r="W164" s="255">
        <f>IF(AND(ISNUMBER(W160),ISNUMBER(R160)),IFERROR(W160/R160-1,""),"")</f>
        <v>-0.0792054853488302</v>
      </c>
      <c r="X164" s="255">
        <f>IF(AND(ISNUMBER(X160),ISNUMBER(S160)),IFERROR(X160/S160-1,""),"")</f>
        <v>-0.24046313405257</v>
      </c>
      <c r="Y164" s="255">
        <f>IF(AND(ISNUMBER(Y160),ISNUMBER(T160)),IFERROR(Y160/T160-1,""),"")</f>
        <v>-0.492560745362007</v>
      </c>
      <c r="Z164" s="255">
        <f>IF(AND(ISNUMBER(Z160),ISNUMBER(U160)),IFERROR(Z160/U160-1,""),"")</f>
        <v>-0.059664595443306</v>
      </c>
      <c r="AA164" s="255">
        <f>IF(AND(ISNUMBER(AA160),ISNUMBER(V160)),IFERROR(AA160/V160-1,""),"")</f>
        <v>0.439904401080921</v>
      </c>
      <c r="AB164" s="255">
        <f>IF(AND(ISNUMBER(AB160),ISNUMBER(W160)),IFERROR(AB160/W160-1,""),"")</f>
        <v>1.57010718936788</v>
      </c>
      <c r="AC164" s="255">
        <f>IF(AND(ISNUMBER(AC160),ISNUMBER(X160)),IFERROR(AC160/X160-1,""),"")</f>
        <v>0.241859750315537</v>
      </c>
      <c r="AD164" s="255">
        <f>IF(AND(ISNUMBER(AD160),ISNUMBER(Y160)),IFERROR(AD160/Y160-1,""),"")</f>
        <v>4.19568074737629</v>
      </c>
      <c r="AE164" s="255">
        <f>IF(AND(ISNUMBER(AE160),ISNUMBER(Z160)),IFERROR(AE160/Z160-1,""),"")</f>
        <v>0.816214295864709</v>
      </c>
      <c r="AF164" s="255">
        <f>IF(AND(ISNUMBER(AF160),ISNUMBER(AA160)),IFERROR(AF160/AA160-1,""),"")</f>
        <v>0.967511033988455</v>
      </c>
      <c r="AG164" s="255">
        <f>IF(AND(ISNUMBER(AG160),ISNUMBER(AB160)),IFERROR(AG160/AB160-1,""),"")</f>
        <v>0.593559577481259</v>
      </c>
      <c r="AH164" s="255">
        <f>IF(AND(ISNUMBER(AH160),ISNUMBER(AC160)),IFERROR(AH160/AC160-1,""),"")</f>
        <v>1.20825291672042</v>
      </c>
      <c r="AI164" s="255">
        <f>IF(AND(ISNUMBER(AI160),ISNUMBER(AD160)),IFERROR(AI160/AD160-1,""),"")</f>
        <v>0.738049832257862</v>
      </c>
      <c r="AJ164" s="255">
        <f>IF(AND(ISNUMBER(AJ160),ISNUMBER(AE160)),IFERROR(AJ160/AE160-1,""),"")</f>
        <v>2.61649205442582</v>
      </c>
      <c r="AK164" s="255">
        <f>IF(AND(ISNUMBER(AK160),ISNUMBER(AF160)),IFERROR(AK160/AF160-1,""),"")</f>
        <v>1.30395873976043</v>
      </c>
      <c r="AL164" s="255">
        <f>IF(AND(ISNUMBER(AL160),ISNUMBER(AG160)),IFERROR(AL160/AG160-1,""),"")</f>
        <v>-0.120406191526398</v>
      </c>
      <c r="AM164" s="255">
        <f>IF(AND(ISNUMBER(AM160),ISNUMBER(AH160)),IFERROR(AM160/AH160-1,""),"")</f>
        <v>0.913993315678586</v>
      </c>
      <c r="AN164" s="255">
        <f>IF(AND(ISNUMBER(AN160),ISNUMBER(AI160)),IFERROR(AN160/AI160-1,""),"")</f>
        <v>0.0280040664788683</v>
      </c>
      <c r="AO164" s="255">
        <f>IF(AND(ISNUMBER(AO160),ISNUMBER(AJ160)),IFERROR(AO160/AJ160-1,""),"")</f>
        <v>0.528340829877134</v>
      </c>
      <c r="AP164" s="255">
        <f>IF(AND(ISNUMBER(AP160),ISNUMBER(AK160)),IFERROR(AP160/AK160-1,""),"")</f>
        <v>1.03932652059218</v>
      </c>
      <c r="AQ164" s="255">
        <f>IF(AND(ISNUMBER(AQ160),ISNUMBER(AL160)),IFERROR(AQ160/AL160-1,""),"")</f>
        <v>1.12503302173177</v>
      </c>
      <c r="AR164" s="255">
        <f>IF(AND(ISNUMBER(AR160),ISNUMBER(AM160)),IFERROR(AR160/AM160-1,""),"")</f>
        <v>0.62235971757248</v>
      </c>
      <c r="AS164" s="255">
        <f>IF(AND(ISNUMBER(AS160),ISNUMBER(AN160)),IFERROR(AS160/AN160-1,""),"")</f>
        <v>1.08732171018811</v>
      </c>
      <c r="AT164" s="255">
        <f>IF(AND(ISNUMBER(AT160),ISNUMBER(AO160)),IFERROR(AT160/AO160-1,""),"")</f>
        <v>0.922269927620861</v>
      </c>
      <c r="AU164" s="255">
        <f>IF(AND(ISNUMBER(AU160),ISNUMBER(AP160)),IFERROR(AU160/AP160-1,""),"")</f>
        <v>0.341369808791529</v>
      </c>
      <c r="AV164" s="255">
        <f>IF(AND(ISNUMBER(AV160),ISNUMBER(AQ160)),IFERROR(AV160/AQ160-1,""),"")</f>
        <v>1.08117126705517</v>
      </c>
      <c r="AW164" s="255">
        <f>IF(AND(ISNUMBER(AW160),ISNUMBER(AR160)),IFERROR(AW160/AR160-1,""),"")</f>
        <v>0.760691929435455</v>
      </c>
      <c r="AX164" s="255">
        <f>IF(AND(ISNUMBER(AX160),ISNUMBER(AS160)),IFERROR(AX160/AS160-1,""),"")</f>
        <v>1.04523217177873</v>
      </c>
      <c r="AY164" s="255">
        <f>IF(AND(ISNUMBER(AY160),ISNUMBER(AT160)),IFERROR(AY160/AT160-1,""),"")</f>
        <v>0.360624421913386</v>
      </c>
      <c r="AZ164" s="255">
        <f>IF(AND(ISNUMBER(AZ160),ISNUMBER(AU160)),IFERROR(AZ160/AU160-1,""),"")</f>
        <v>0.334932232483536</v>
      </c>
      <c r="BA164" s="255">
        <f>IF(AND(ISNUMBER(BA160),ISNUMBER(AV160)),IFERROR(BA160/AV160-1,""),"")</f>
        <v>-0.337935240746058</v>
      </c>
      <c r="BB164" s="255">
        <f>IF(AND(ISNUMBER(BB160),ISNUMBER(AW160)),IFERROR(BB160/AW160-1,""),"")</f>
        <v>0.350952797086508</v>
      </c>
      <c r="BC164" s="255">
        <f>IF(AND(ISNUMBER(BC160),ISNUMBER(AX160)),IFERROR(BC160/AX160-1,""),"")</f>
        <v>0.00600554326440306</v>
      </c>
      <c r="BD164" s="255">
        <f>IF(AND(ISNUMBER(BD160),ISNUMBER(AY160)),IFERROR(BD160/AY160-1,""),"")</f>
        <v>-0.0645946428668083</v>
      </c>
      <c r="BE164" s="255">
        <f>IF(AND(ISNUMBER(BE160),ISNUMBER(AZ160)),IFERROR(BE160/AZ160-1,""),"")</f>
        <v>-0.126611377391179</v>
      </c>
      <c r="BF164" s="255">
        <f>IF(AND(ISNUMBER(BF160),ISNUMBER(BA160)),IFERROR(BF160/BA160-1,""),"")</f>
        <v>-0.129581968121311</v>
      </c>
      <c r="BG164" s="255">
        <f>IF(AND(ISNUMBER(BG160),ISNUMBER(BB160)),IFERROR(BG160/BB160-1,""),"")</f>
        <v>-0.0664585361002786</v>
      </c>
      <c r="BH164" s="255">
        <f>IF(AND(ISNUMBER(BH160),ISNUMBER(BC160)),IFERROR(BH160/BC160-1,""),"")</f>
        <v>-0.130505988458258</v>
      </c>
      <c r="BI164" s="255">
        <f>IF(AND(ISNUMBER(BI160),ISNUMBER(BD160)),IFERROR(BI160/BD160-1,""),"")</f>
        <v>0.05722442447215</v>
      </c>
      <c r="BJ164" s="255">
        <f>IF(AND(ISNUMBER(BJ160),ISNUMBER(BE160)),IFERROR(BJ160/BE160-1,""),"")</f>
        <v>0.250079255429486</v>
      </c>
      <c r="BK164" s="255">
        <f>IF(AND(ISNUMBER(BK160),ISNUMBER(BF160)),IFERROR(BK160/BF160-1,""),"")</f>
        <v>1.72067306293462</v>
      </c>
      <c r="BL164" s="255">
        <f>IF(AND(ISNUMBER(BL160),ISNUMBER(BG160)),IFERROR(BL160/BG160-1,""),"")</f>
        <v>0.202525717939881</v>
      </c>
      <c r="BM164" s="255">
        <f>IF(AND(ISNUMBER(BM160),ISNUMBER(BH160)),IFERROR(BM160/BH160-1,""),"")</f>
        <v>0.535616808326582</v>
      </c>
      <c r="BN164" s="255">
        <f>IF(AND(ISNUMBER(BN160),ISNUMBER(BI160)),IFERROR(BN160/BI160-1,""),"")</f>
        <v>0.424508108930523</v>
      </c>
      <c r="BO164" s="255">
        <f>IF(AND(ISNUMBER(BO160),ISNUMBER(BJ160)),IFERROR(BO160/BJ160-1,""),"")</f>
        <v>0.518203981018517</v>
      </c>
      <c r="BP164" s="255">
        <f>IF(AND(ISNUMBER(BP160),ISNUMBER(BK160)),IFERROR(BP160/BK160-1,""),"")</f>
        <v>0.519117925231384</v>
      </c>
      <c r="BQ164" s="255">
        <f>IF(AND(ISNUMBER(BQ160),ISNUMBER(BL160)),IFERROR(BQ160/BL160-1,""),"")</f>
        <v>0.498074418432088</v>
      </c>
      <c r="BR164" s="255">
        <f>IF(AND(ISNUMBER(BR160),ISNUMBER(BM160)),IFERROR(BR160/BM160-1,""),"")</f>
        <v>0.271398204163745</v>
      </c>
      <c r="BS164" s="255">
        <f>IF(AND(ISNUMBER(BS160),ISNUMBER(BN160)),IFERROR(BS160/BN160-1,""),"")</f>
        <v>0.450222968245803</v>
      </c>
      <c r="BT164" s="255">
        <f>IF(AND(ISNUMBER(BT160),ISNUMBER(BO160)),IFERROR(BT160/BO160-1,""),"")</f>
        <v>0.329189747848153</v>
      </c>
      <c r="BU164" s="255">
        <f>IF(AND(ISNUMBER(BU160),ISNUMBER(BP160)),IFERROR(BU160/BP160-1,""),"")</f>
        <v>0.300909552501225</v>
      </c>
      <c r="BV164" s="255">
        <f>IF(AND(ISNUMBER(BV160),ISNUMBER(BQ160)),IFERROR(BV160/BQ160-1,""),"")</f>
        <v>0.338656145255526</v>
      </c>
      <c r="BW164" s="255">
        <f>IF(AND(ISNUMBER(BW160),ISNUMBER(BR160)),IFERROR(BW160/BR160-1,""),"")</f>
        <v>0.182252220571324</v>
      </c>
      <c r="BX164" s="255">
        <f>IF(AND(ISNUMBER(BX160),ISNUMBER(BS160)),IFERROR(BX160/BS160-1,""),"")</f>
        <v>0.110715199695658</v>
      </c>
      <c r="BY164" s="256">
        <f>IF(AND(ISNUMBER(BY160),ISNUMBER(BT160)),IFERROR(BY160/BT160-1,""),"")</f>
        <v>0.104020508646073</v>
      </c>
      <c r="BZ164" s="256">
        <f>IF(AND(ISNUMBER(BZ160),ISNUMBER(BU160)),IFERROR(BZ160/BU160-1,""),"")</f>
        <v>0.254411814941371</v>
      </c>
      <c r="CA164" s="256">
        <f>IF(AND(ISNUMBER(CA160),ISNUMBER(BV160)),IFERROR(CA160/BV160-1,""),"")</f>
        <v>0.156493555710714</v>
      </c>
      <c r="CB164" s="256">
        <f>IF(AND(ISNUMBER(CB160),ISNUMBER(CA160)),IFERROR(CB160/CA160-1,""),"")</f>
        <v>0.17522763427375</v>
      </c>
      <c r="CC164" s="256">
        <f>IF(AND(ISNUMBER(CC160),ISNUMBER(CB160)),IFERROR(CC160/CB160-1,""),"")</f>
        <v>0.144295012618561</v>
      </c>
      <c r="CD164" s="256">
        <f>IF(AND(ISNUMBER(CD160),ISNUMBER(CC160)),IFERROR(CD160/CC160-1,""),"")</f>
        <v>0.131964260650526</v>
      </c>
      <c r="CE164" s="256">
        <f>IF(AND(ISNUMBER(CE160),ISNUMBER(CD160)),IFERROR(CE160/CD160-1,""),"")</f>
        <v>0.107228411027934</v>
      </c>
      <c r="CF164" s="256">
        <f>IF(AND(ISNUMBER(CF160),ISNUMBER(CE160)),IFERROR(CF160/CE160-1,""),"")</f>
        <v>0.0984130974539521</v>
      </c>
      <c r="CG164" s="153" t="n"/>
    </row>
    <row r="165" ht="15" customHeight="1" s="251">
      <c r="B165" s="25" t="inlineStr">
        <is>
          <t xml:space="preserve">  Incremental adjusted operating margin (Δ adjusted OI / Δ revenue)</t>
        </is>
      </c>
      <c r="C165" s="36" t="n"/>
      <c r="D165" s="215">
        <f>IFERROR((D160-C160)/(D121-C121),"")</f>
        <v>0.128172321257427</v>
      </c>
      <c r="E165" s="215">
        <f>IFERROR((E160-D160)/(E121-D121),"")</f>
        <v>0.190464533865593</v>
      </c>
      <c r="F165" s="215">
        <f>IFERROR((F160-E160)/(F121-E121),"")</f>
        <v>0.23046844323447</v>
      </c>
      <c r="G165" s="215">
        <f>IFERROR((G160-F160)/(G121-F121),"")</f>
        <v>0.186251411580239</v>
      </c>
      <c r="H165" s="215">
        <f>IFERROR((H160-G160)/(H121-G121),"")</f>
        <v>0.0887056217560888</v>
      </c>
      <c r="I165" s="215">
        <f>IFERROR((I160-H160)/(I121-H121),"")</f>
        <v>-0.805712803152914</v>
      </c>
      <c r="J165" s="36" t="n"/>
      <c r="K165" s="36" t="n"/>
      <c r="L165" s="36" t="n"/>
      <c r="M165" s="36" t="n"/>
      <c r="N165" s="215">
        <f>IFERROR((N160-I160)/(N121-I121),"")</f>
        <v>0.233058488396404</v>
      </c>
      <c r="O165" s="215">
        <f>IFERROR((O160-J160)/(O121-J121),"")</f>
        <v>0.267230871741533</v>
      </c>
      <c r="P165" s="215">
        <f>IFERROR((P160-K160)/(P121-K121),"")</f>
        <v>0.267430405667164</v>
      </c>
      <c r="Q165" s="215">
        <f>IFERROR((Q160-L160)/(Q121-L121),"")</f>
        <v>0.175613726918298</v>
      </c>
      <c r="R165" s="215">
        <f>IFERROR((R160-M160)/(R121-M121),"")</f>
        <v>-0.0557095683978568</v>
      </c>
      <c r="S165" s="215">
        <f>IFERROR((S160-N160)/(S121-N121),"")</f>
        <v>0.15423584232816</v>
      </c>
      <c r="T165" s="215">
        <f>IFERROR((T160-O160)/(T121-O121),"")</f>
        <v>-0.000458685322069914</v>
      </c>
      <c r="U165" s="215">
        <f>IFERROR((U160-P160)/(U121-P121),"")</f>
        <v>-0.179978112768537</v>
      </c>
      <c r="V165" s="215">
        <f>IFERROR((V160-Q160)/(V121-Q121),"")</f>
        <v>-0.111776920434266</v>
      </c>
      <c r="W165" s="215">
        <f>IFERROR((W160-R160)/(W121-R121),"")</f>
        <v>-0.0152153689402106</v>
      </c>
      <c r="X165" s="215">
        <f>IFERROR((X160-S160)/(X121-S121),"")</f>
        <v>-0.0759474606916072</v>
      </c>
      <c r="Y165" s="215">
        <f>IFERROR((Y160-T160)/(Y121-T121),"")</f>
        <v>-0.124810520869354</v>
      </c>
      <c r="Z165" s="215">
        <f>IFERROR((Z160-U160)/(Z121-U121),"")</f>
        <v>-0.00969577207878179</v>
      </c>
      <c r="AA165" s="215">
        <f>IFERROR((AA160-V160)/(AA121-V121),"")</f>
        <v>0.0587043543970732</v>
      </c>
      <c r="AB165" s="215">
        <f>IFERROR((AB160-W160)/(AB121-W121),"")</f>
        <v>0.143746331441988</v>
      </c>
      <c r="AC165" s="215">
        <f>IFERROR((AC160-X160)/(AC121-X121),"")</f>
        <v>0.0360610932946167</v>
      </c>
      <c r="AD165" s="215">
        <f>IFERROR((AD160-Y160)/(AD121-Y121),"")</f>
        <v>0.305625726359886</v>
      </c>
      <c r="AE165" s="215">
        <f>IFERROR((AE160-Z160)/(AE121-Z121),"")</f>
        <v>0.0844338929232937</v>
      </c>
      <c r="AF165" s="215">
        <f>IFERROR((AF160-AA160)/(AF121-AA121),"")</f>
        <v>0.147682859943772</v>
      </c>
      <c r="AG165" s="215">
        <f>IFERROR((AG160-AB160)/(AG121-AB121),"")</f>
        <v>0.113050503950687</v>
      </c>
      <c r="AH165" s="215">
        <f>IFERROR((AH160-AC160)/(AH121-AC121),"")</f>
        <v>0.160335061235956</v>
      </c>
      <c r="AI165" s="215">
        <f>IFERROR((AI160-AD160)/(AI121-AD121),"")</f>
        <v>0.178192311559347</v>
      </c>
      <c r="AJ165" s="215">
        <f>IFERROR((AJ160-AE160)/(AJ121-AE121),"")</f>
        <v>0.298096105743774</v>
      </c>
      <c r="AK165" s="215">
        <f>IFERROR((AK160-AF160)/(AK121-AF121),"")</f>
        <v>0.26814881987945</v>
      </c>
      <c r="AL165" s="215">
        <f>IFERROR((AL160-AG160)/(AL121-AG121),"")</f>
        <v>-0.0327782253858122</v>
      </c>
      <c r="AM165" s="215">
        <f>IFERROR((AM160-AH160)/(AM121-AH121),"")</f>
        <v>0.186888474527675</v>
      </c>
      <c r="AN165" s="215">
        <f>IFERROR((AN160-AI160)/(AN121-AI121),"")</f>
        <v>0.0152486904610944</v>
      </c>
      <c r="AO165" s="215">
        <f>IFERROR((AO160-AJ160)/(AO121-AJ121),"")</f>
        <v>0.240396674299057</v>
      </c>
      <c r="AP165" s="215">
        <f>IFERROR((AP160-AK160)/(AP121-AK121),"")</f>
        <v>0.401090779755783</v>
      </c>
      <c r="AQ165" s="215">
        <f>IFERROR((AQ160-AL160)/(AQ121-AL121),"")</f>
        <v>0.189556713178973</v>
      </c>
      <c r="AR165" s="215">
        <f>IFERROR((AR160-AM160)/(AR121-AM121),"")</f>
        <v>0.22902423737525</v>
      </c>
      <c r="AS165" s="215">
        <f>IFERROR((AS160-AN160)/(AS121-AN121),"")</f>
        <v>0.400394963018339</v>
      </c>
      <c r="AT165" s="215">
        <f>IFERROR((AT160-AO160)/(AT121-AO121),"")</f>
        <v>0.53177028494005</v>
      </c>
      <c r="AU165" s="215">
        <f>IFERROR((AU160-AP160)/(AU121-AP121),"")</f>
        <v>0.281023773611526</v>
      </c>
      <c r="AV165" s="215">
        <f>IFERROR((AV160-AQ160)/(AV121-AQ121),"")</f>
        <v>0.421178105841252</v>
      </c>
      <c r="AW165" s="215">
        <f>IFERROR((AW160-AR160)/(AW121-AR121),"")</f>
        <v>0.409337820472687</v>
      </c>
      <c r="AX165" s="215">
        <f>IFERROR((AX160-AS160)/(AX121-AS121),"")</f>
        <v>0.717688778445834</v>
      </c>
      <c r="AY165" s="215">
        <f>IFERROR((AY160-AT160)/(AY121-AT121),"")</f>
        <v>0.410310593041757</v>
      </c>
      <c r="AZ165" s="215">
        <f>IFERROR((AZ160-AU160)/(AZ121-AU121),"")</f>
        <v>0.420287642079345</v>
      </c>
      <c r="BA165" s="215">
        <f>IFERROR((BA160-AV160)/(BA121-AV121),"")</f>
        <v>-0.302825868927462</v>
      </c>
      <c r="BB165" s="215">
        <f>IFERROR((BB160-AW160)/(BB121-AW121),"")</f>
        <v>0.342257030729586</v>
      </c>
      <c r="BC165" s="215">
        <f>IFERROR((BC160-AX160)/(BC121-AX121),"")</f>
        <v>0.016707240040597</v>
      </c>
      <c r="BD165" s="215">
        <f>IFERROR((BD160-AY160)/(BD121-AY121),"")</f>
        <v>-0.189932905131422</v>
      </c>
      <c r="BE165" s="215">
        <f>IFERROR((BE160-AZ160)/(BE121-AZ121),"")</f>
        <v>-0.502655375665539</v>
      </c>
      <c r="BF165" s="215">
        <f>IFERROR((BF160-BA160)/(BF121-BA121),"")</f>
        <v>-0.573552387291139</v>
      </c>
      <c r="BG165" s="215">
        <f>IFERROR((BG160-BB160)/(BG121-BB121),"")</f>
        <v>-0.214672113452219</v>
      </c>
      <c r="BH165" s="215">
        <f>IFERROR((BH160-BC160)/(BH121-BC121),"")</f>
        <v>-0.875987281095953</v>
      </c>
      <c r="BI165" s="215">
        <f>IFERROR((BI160-BD160)/(BI121-BD121),"")</f>
        <v>0.455424571744338</v>
      </c>
      <c r="BJ165" s="215">
        <f>IFERROR((BJ160-BE160)/(BJ121-BE121),"")</f>
        <v>0.622283830482779</v>
      </c>
      <c r="BK165" s="215">
        <f>IFERROR((BK160-BF160)/(BK121-BF121),"")</f>
        <v>0.964755315200679</v>
      </c>
      <c r="BL165" s="215">
        <f>IFERROR((BL160-BG160)/(BL121-BG121),"")</f>
        <v>0.555651128906839</v>
      </c>
      <c r="BM165" s="215">
        <f>IFERROR((BM160-BH160)/(BM121-BH121),"")</f>
        <v>0.759524276285696</v>
      </c>
      <c r="BN165" s="215">
        <f>IFERROR((BN160-BI160)/(BN121-BI121),"")</f>
        <v>0.565341772539393</v>
      </c>
      <c r="BO165" s="215">
        <f>IFERROR((BO160-BJ160)/(BO121-BJ121),"")</f>
        <v>0.774010841481331</v>
      </c>
      <c r="BP165" s="215">
        <f>IFERROR((BP160-BK160)/(BP121-BK121),"")</f>
        <v>0.549383598078219</v>
      </c>
      <c r="BQ165" s="215">
        <f>IFERROR((BQ160-BL160)/(BQ121-BL121),"")</f>
        <v>0.656276663049539</v>
      </c>
      <c r="BR165" s="215">
        <f>IFERROR((BR160-BM160)/(BR121-BM121),"")</f>
        <v>0.609424059653981</v>
      </c>
      <c r="BS165" s="215">
        <f>IFERROR((BS160-BN160)/(BS121-BN121),"")</f>
        <v>0.771031597730311</v>
      </c>
      <c r="BT165" s="215">
        <f>IFERROR((BT160-BO160)/(BT121-BO121),"")</f>
        <v>0.568205818211158</v>
      </c>
      <c r="BU165" s="215">
        <f>IFERROR((BU160-BP160)/(BU121-BP121),"")</f>
        <v>0.379048013882784</v>
      </c>
      <c r="BV165" s="215">
        <f>IFERROR((BV160-BQ160)/(BV121-BQ121),"")</f>
        <v>0.570680856088656</v>
      </c>
      <c r="BW165" s="215">
        <f>IFERROR((BW160-BR160)/(BW121-BR121),"")</f>
        <v>0.357360119417255</v>
      </c>
      <c r="BX165" s="215">
        <f>IFERROR((BX160-BS160)/(BX121-BS121),"")</f>
        <v>0.282228459209116</v>
      </c>
      <c r="BY165" s="256">
        <f>IFERROR((BY160-BT160)/(BY121-BT121),"")</f>
        <v>0.298047778272541</v>
      </c>
      <c r="BZ165" s="256">
        <f>IFERROR((BZ160-BU160)/(BZ121-BU121),"")</f>
        <v>0.508406987833405</v>
      </c>
      <c r="CA165" s="256">
        <f>IFERROR((CA160-BV160)/(CA121-BV121),"")</f>
        <v>0.362707338784145</v>
      </c>
      <c r="CB165" s="256">
        <f>IFERROR((CB160-CA160)/(CB121-CA121),"")</f>
        <v>0.525358729284151</v>
      </c>
      <c r="CC165" s="256">
        <f>IFERROR((CC160-CB160)/(CC121-CB121),"")</f>
        <v>0.507474036182226</v>
      </c>
      <c r="CD165" s="256">
        <f>IFERROR((CD160-CC160)/(CD121-CC121),"")</f>
        <v>0.540551151582852</v>
      </c>
      <c r="CE165" s="256">
        <f>IFERROR((CE160-CD160)/(CE121-CD121),"")</f>
        <v>0.503696285919816</v>
      </c>
      <c r="CF165" s="256">
        <f>IFERROR((CF160-CE160)/(CF121-CE121),"")</f>
        <v>0.528096549250032</v>
      </c>
      <c r="CG165" s="153" t="n"/>
    </row>
    <row r="166" ht="15" customHeight="1" s="251">
      <c r="CO166" s="11" t="n"/>
      <c r="CP166" s="12" t="n"/>
      <c r="CQ166" s="12" t="n"/>
      <c r="CR166" s="12" t="n"/>
      <c r="CS166" s="13" t="n"/>
    </row>
    <row r="167" ht="15" customHeight="1" s="251">
      <c r="B167" s="10" t="inlineStr">
        <is>
          <t>RECONCILIATION: NET INCOME → EBITDA → ADJUSTED EBITDA (company definition, published Q2-14 – Q1-23)</t>
        </is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n"/>
      <c r="AN167" s="10" t="n"/>
      <c r="AO167" s="10" t="n"/>
      <c r="AP167" s="10" t="n"/>
      <c r="AQ167" s="10" t="n"/>
      <c r="AR167" s="10" t="n"/>
      <c r="AS167" s="10" t="n"/>
      <c r="AT167" s="10" t="n"/>
      <c r="AU167" s="10" t="n"/>
      <c r="AV167" s="10" t="n"/>
      <c r="AW167" s="10" t="n"/>
      <c r="AX167" s="10" t="n"/>
      <c r="AY167" s="10" t="n"/>
      <c r="AZ167" s="10" t="n"/>
      <c r="BA167" s="10" t="n"/>
      <c r="BB167" s="10" t="n"/>
      <c r="BC167" s="10" t="n"/>
      <c r="BD167" s="10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inlineStr">
        <is>
          <t>ADJUSTED EBITDA — GAAP net income + interest and other (income) expense + taxes + D&amp;A of property, equipment &amp; intangibles + stock-based compensation (content amortization stays a cost)</t>
        </is>
      </c>
    </row>
    <row r="168" ht="15" customHeight="1" s="251">
      <c r="B168" s="16" t="inlineStr">
        <is>
          <t>Net income (GAAP)</t>
        </is>
      </c>
      <c r="C168" s="278">
        <f>C141</f>
        <v>49.082</v>
      </c>
      <c r="D168" s="278">
        <f>D141</f>
        <v>66.9519999999999</v>
      </c>
      <c r="E168" s="278">
        <f>E141</f>
        <v>83.026</v>
      </c>
      <c r="F168" s="278">
        <f>F141</f>
        <v>115.86</v>
      </c>
      <c r="G168" s="278">
        <f>G141</f>
        <v>160.853</v>
      </c>
      <c r="H168" s="278">
        <f>H141</f>
        <v>226.126</v>
      </c>
      <c r="I168" s="278">
        <f>I141</f>
        <v>17.1520000000002</v>
      </c>
      <c r="J168" s="278">
        <f>J141</f>
        <v>2.68899999999995</v>
      </c>
      <c r="K168" s="278">
        <f>K141</f>
        <v>29.4710000000001</v>
      </c>
      <c r="L168" s="278">
        <f>L141</f>
        <v>31.822</v>
      </c>
      <c r="M168" s="278">
        <f>M141</f>
        <v>48.421</v>
      </c>
      <c r="N168" s="278">
        <f>N141</f>
        <v>112.403</v>
      </c>
      <c r="O168" s="278">
        <f>O141</f>
        <v>53.1149999999999</v>
      </c>
      <c r="P168" s="278">
        <f>P141</f>
        <v>71.0179999999999</v>
      </c>
      <c r="Q168" s="278">
        <f>Q141</f>
        <v>59.295</v>
      </c>
      <c r="R168" s="278">
        <f>R141</f>
        <v>83.3710000000001</v>
      </c>
      <c r="S168" s="278">
        <f>S141</f>
        <v>266.799</v>
      </c>
      <c r="T168" s="278">
        <f>T141</f>
        <v>23.6959999999998</v>
      </c>
      <c r="U168" s="278">
        <f>U141</f>
        <v>26.335</v>
      </c>
      <c r="V168" s="278">
        <f>V141</f>
        <v>29.432</v>
      </c>
      <c r="W168" s="278">
        <f>W141</f>
        <v>43.1780000000001</v>
      </c>
      <c r="X168" s="278">
        <f>X141</f>
        <v>122.641000000001</v>
      </c>
      <c r="Y168" s="278">
        <f>Y141</f>
        <v>27.6580000000001</v>
      </c>
      <c r="Z168" s="278">
        <f>Z141</f>
        <v>40.7550000000002</v>
      </c>
      <c r="AA168" s="278">
        <f>AA141</f>
        <v>51.5170000000001</v>
      </c>
      <c r="AB168" s="278">
        <f>AB141</f>
        <v>66.7480000000001</v>
      </c>
      <c r="AC168" s="278">
        <f>AC141</f>
        <v>186.678</v>
      </c>
      <c r="AD168" s="278">
        <f>AD141</f>
        <v>178.222</v>
      </c>
      <c r="AE168" s="278">
        <f>AE141</f>
        <v>65.5999999999999</v>
      </c>
      <c r="AF168" s="278">
        <f>AF141</f>
        <v>129.59</v>
      </c>
      <c r="AG168" s="278">
        <f>AG141</f>
        <v>185.517</v>
      </c>
      <c r="AH168" s="278">
        <f>AH141</f>
        <v>558.929</v>
      </c>
      <c r="AI168" s="278">
        <f>AI141</f>
        <v>290.124</v>
      </c>
      <c r="AJ168" s="278">
        <f>AJ141</f>
        <v>384.349</v>
      </c>
      <c r="AK168" s="278">
        <f>AK141</f>
        <v>402.835</v>
      </c>
      <c r="AL168" s="278">
        <f>AL141</f>
        <v>133.934</v>
      </c>
      <c r="AM168" s="278">
        <f>AM141</f>
        <v>1211.242</v>
      </c>
      <c r="AN168" s="278">
        <f>AN141</f>
        <v>344.052</v>
      </c>
      <c r="AO168" s="278">
        <f>AO141</f>
        <v>270.65</v>
      </c>
      <c r="AP168" s="278">
        <f>AP141</f>
        <v>665.244</v>
      </c>
      <c r="AQ168" s="278">
        <f>AQ141</f>
        <v>586.97</v>
      </c>
      <c r="AR168" s="278">
        <f>AR141</f>
        <v>1866.916</v>
      </c>
      <c r="AS168" s="278">
        <f>AS141</f>
        <v>709.067</v>
      </c>
      <c r="AT168" s="278">
        <f>AT141</f>
        <v>720.196</v>
      </c>
      <c r="AU168" s="278">
        <f>AU141</f>
        <v>789.976</v>
      </c>
      <c r="AV168" s="278">
        <f>AV141</f>
        <v>542.156</v>
      </c>
      <c r="AW168" s="278">
        <f>AW141</f>
        <v>2761.395</v>
      </c>
      <c r="AX168" s="278">
        <f>AX141</f>
        <v>1706.715</v>
      </c>
      <c r="AY168" s="278">
        <f>AY141</f>
        <v>1353.013</v>
      </c>
      <c r="AZ168" s="278">
        <f>AZ141</f>
        <v>1449.071</v>
      </c>
      <c r="BA168" s="278">
        <f>BA141</f>
        <v>607.429000000001</v>
      </c>
      <c r="BB168" s="278">
        <f>BB141</f>
        <v>5116.228</v>
      </c>
      <c r="BC168" s="278">
        <f>BC141</f>
        <v>1597.447</v>
      </c>
      <c r="BD168" s="278">
        <f>BD141</f>
        <v>1440.951</v>
      </c>
      <c r="BE168" s="278">
        <f>BE141</f>
        <v>1398.242</v>
      </c>
      <c r="BF168" s="278">
        <f>BF141</f>
        <v>55.2839999999999</v>
      </c>
      <c r="BG168" s="278">
        <f>BG141</f>
        <v>4491.924</v>
      </c>
      <c r="BH168" s="278">
        <f>BH141</f>
        <v>1305.12</v>
      </c>
      <c r="BI168" s="278">
        <f>BI141</f>
        <v>1487.61</v>
      </c>
      <c r="BJ168" s="278">
        <f>BJ141</f>
        <v>1677.422</v>
      </c>
      <c r="BK168" s="278">
        <f>BK141</f>
        <v>937.838000000001</v>
      </c>
      <c r="BL168" s="278">
        <f>BL141</f>
        <v>5407.99</v>
      </c>
      <c r="BM168" s="278">
        <f>BM141</f>
        <v>2332.209</v>
      </c>
      <c r="BN168" s="278">
        <f>BN141</f>
        <v>2147.306</v>
      </c>
      <c r="BO168" s="278">
        <f>BO141</f>
        <v>2363.509</v>
      </c>
      <c r="BP168" s="278">
        <f>BP141</f>
        <v>1868.607</v>
      </c>
      <c r="BQ168" s="278">
        <f>BQ141</f>
        <v>8711.631</v>
      </c>
      <c r="BR168" s="278">
        <f>BR141</f>
        <v>2890.351</v>
      </c>
      <c r="BS168" s="278">
        <f>BS141</f>
        <v>3125.413</v>
      </c>
      <c r="BT168" s="278">
        <f>BT141</f>
        <v>2546.916</v>
      </c>
      <c r="BU168" s="278">
        <f>BU141</f>
        <v>2418.521</v>
      </c>
      <c r="BV168" s="278">
        <f>BV141</f>
        <v>10981.201</v>
      </c>
      <c r="BW168" s="278">
        <f>BW141</f>
        <v>5282.791</v>
      </c>
      <c r="BX168" s="278">
        <f>BX141</f>
        <v>3401.414</v>
      </c>
      <c r="BY168" s="279">
        <f>BY141</f>
        <v>3452.3242</v>
      </c>
      <c r="BZ168" s="279">
        <f>BZ141</f>
        <v>2984.183955</v>
      </c>
      <c r="CA168" s="279">
        <f>CA141</f>
        <v>15120.713155</v>
      </c>
      <c r="CB168" s="279">
        <f>CB141</f>
        <v>15315.1314271673</v>
      </c>
      <c r="CC168" s="279">
        <f>CC141</f>
        <v>17591.8898783329</v>
      </c>
      <c r="CD168" s="279">
        <f>CD141</f>
        <v>19974.2603364452</v>
      </c>
      <c r="CE168" s="279">
        <f>CE141</f>
        <v>22165.7442990931</v>
      </c>
      <c r="CF168" s="279">
        <f>CF141</f>
        <v>24404.2717007181</v>
      </c>
      <c r="CG168" s="153" t="n"/>
    </row>
    <row r="169" ht="15" customHeight="1" s="251">
      <c r="B169" s="25" t="inlineStr">
        <is>
          <t xml:space="preserve">  (+) Provision for income taxes</t>
        </is>
      </c>
      <c r="C169" s="264">
        <f>C139</f>
        <v>31.236</v>
      </c>
      <c r="D169" s="264">
        <f>D139</f>
        <v>44.549</v>
      </c>
      <c r="E169" s="264">
        <f>E139</f>
        <v>48.474</v>
      </c>
      <c r="F169" s="264">
        <f>F139</f>
        <v>76.332</v>
      </c>
      <c r="G169" s="264">
        <f>G139</f>
        <v>106.843</v>
      </c>
      <c r="H169" s="264">
        <f>H139</f>
        <v>133.396</v>
      </c>
      <c r="I169" s="264">
        <f>I139</f>
        <v>13.328</v>
      </c>
      <c r="J169" s="264">
        <f>J139</f>
        <v>-1.759</v>
      </c>
      <c r="K169" s="264">
        <f>K139</f>
        <v>17.178</v>
      </c>
      <c r="L169" s="264">
        <f>L139</f>
        <v>17.669</v>
      </c>
      <c r="M169" s="264">
        <f>M139</f>
        <v>25.583</v>
      </c>
      <c r="N169" s="264">
        <f>N139</f>
        <v>58.671</v>
      </c>
      <c r="O169" s="264">
        <f>O139</f>
        <v>35.829</v>
      </c>
      <c r="P169" s="264">
        <f>P139</f>
        <v>46.354</v>
      </c>
      <c r="Q169" s="264">
        <f>Q139</f>
        <v>38.242</v>
      </c>
      <c r="R169" s="264">
        <f>R139</f>
        <v>-37.855</v>
      </c>
      <c r="S169" s="264">
        <f>S139</f>
        <v>82.57</v>
      </c>
      <c r="T169" s="264">
        <f>T139</f>
        <v>14.73</v>
      </c>
      <c r="U169" s="264">
        <f>U139</f>
        <v>14.155</v>
      </c>
      <c r="V169" s="264">
        <f>V139</f>
        <v>12.806</v>
      </c>
      <c r="W169" s="264">
        <f>W139</f>
        <v>-22.447</v>
      </c>
      <c r="X169" s="264">
        <f>X139</f>
        <v>19.244</v>
      </c>
      <c r="Y169" s="264">
        <f>Y139</f>
        <v>12.221</v>
      </c>
      <c r="Z169" s="264">
        <f>Z139</f>
        <v>10.477</v>
      </c>
      <c r="AA169" s="264">
        <f>AA139</f>
        <v>27.61</v>
      </c>
      <c r="AB169" s="264">
        <f>AB139</f>
        <v>23.521</v>
      </c>
      <c r="AC169" s="264">
        <f>AC139</f>
        <v>73.829</v>
      </c>
      <c r="AD169" s="264">
        <f>AD139</f>
        <v>45.57</v>
      </c>
      <c r="AE169" s="264">
        <f>AE139</f>
        <v>-51.638</v>
      </c>
      <c r="AF169" s="264">
        <f>AF139</f>
        <v>-13.353</v>
      </c>
      <c r="AG169" s="264">
        <f>AG139</f>
        <v>-54.187</v>
      </c>
      <c r="AH169" s="264">
        <f>AH139</f>
        <v>-73.608</v>
      </c>
      <c r="AI169" s="264">
        <f>AI139</f>
        <v>9.492</v>
      </c>
      <c r="AJ169" s="264">
        <f>AJ139</f>
        <v>44.287</v>
      </c>
      <c r="AK169" s="264">
        <f>AK139</f>
        <v>-24.025</v>
      </c>
      <c r="AL169" s="264">
        <f>AL139</f>
        <v>-14.538</v>
      </c>
      <c r="AM169" s="264">
        <f>AM139</f>
        <v>15.216</v>
      </c>
      <c r="AN169" s="264">
        <f>AN139</f>
        <v>55.607</v>
      </c>
      <c r="AO169" s="264">
        <f>AO139</f>
        <v>230.266</v>
      </c>
      <c r="AP169" s="264">
        <f>AP139</f>
        <v>347.079</v>
      </c>
      <c r="AQ169" s="264">
        <f>AQ139</f>
        <v>-437.637</v>
      </c>
      <c r="AR169" s="264">
        <f>AR139</f>
        <v>195.315</v>
      </c>
      <c r="AS169" s="264">
        <f>AS139</f>
        <v>86.803</v>
      </c>
      <c r="AT169" s="264">
        <f>AT139</f>
        <v>315.406</v>
      </c>
      <c r="AU169" s="264">
        <f>AU139</f>
        <v>71.484</v>
      </c>
      <c r="AV169" s="264">
        <f>AV139</f>
        <v>-35.739</v>
      </c>
      <c r="AW169" s="264">
        <f>AW139</f>
        <v>437.954</v>
      </c>
      <c r="AX169" s="264">
        <f>AX139</f>
        <v>327.787</v>
      </c>
      <c r="AY169" s="264">
        <f>AY139</f>
        <v>240.776</v>
      </c>
      <c r="AZ169" s="264">
        <f>AZ139</f>
        <v>211.888</v>
      </c>
      <c r="BA169" s="264">
        <f>BA139</f>
        <v>-56.576</v>
      </c>
      <c r="BB169" s="264">
        <f>BB139</f>
        <v>723.875</v>
      </c>
      <c r="BC169" s="264">
        <f>BC139</f>
        <v>382.245</v>
      </c>
      <c r="BD169" s="264">
        <f>BD139</f>
        <v>182.103</v>
      </c>
      <c r="BE169" s="264">
        <f>BE139</f>
        <v>223.605</v>
      </c>
      <c r="BF169" s="264">
        <f>BF139</f>
        <v>-15.948</v>
      </c>
      <c r="BG169" s="264">
        <f>BG139</f>
        <v>772.005</v>
      </c>
      <c r="BH169" s="264">
        <f>BH139</f>
        <v>163.754</v>
      </c>
      <c r="BI169" s="264">
        <f>BI139</f>
        <v>191.722</v>
      </c>
      <c r="BJ169" s="264">
        <f>BJ139</f>
        <v>231.627</v>
      </c>
      <c r="BK169" s="264">
        <f>BK139</f>
        <v>210.312</v>
      </c>
      <c r="BL169" s="264">
        <f>BL139</f>
        <v>797.415</v>
      </c>
      <c r="BM169" s="264">
        <f>BM139</f>
        <v>282.37</v>
      </c>
      <c r="BN169" s="264">
        <f>BN139</f>
        <v>366.55</v>
      </c>
      <c r="BO169" s="264">
        <f>BO139</f>
        <v>339.445</v>
      </c>
      <c r="BP169" s="264">
        <f>BP139</f>
        <v>265.661</v>
      </c>
      <c r="BQ169" s="264">
        <f>BQ139</f>
        <v>1254.026</v>
      </c>
      <c r="BR169" s="264">
        <f>BR139</f>
        <v>323.375</v>
      </c>
      <c r="BS169" s="264">
        <f>BS139</f>
        <v>506.262</v>
      </c>
      <c r="BT169" s="264">
        <f>BT139</f>
        <v>562.494</v>
      </c>
      <c r="BU169" s="264">
        <f>BU139</f>
        <v>349.22</v>
      </c>
      <c r="BV169" s="264">
        <f>BV139</f>
        <v>1741.351</v>
      </c>
      <c r="BW169" s="264">
        <f>BW139</f>
        <v>1264.295</v>
      </c>
      <c r="BX169" s="264">
        <f>BX139</f>
        <v>667.172</v>
      </c>
      <c r="BY169" s="254">
        <f>BY139</f>
        <v>682.1958</v>
      </c>
      <c r="BZ169" s="254">
        <f>BZ139</f>
        <v>589.689045</v>
      </c>
      <c r="CA169" s="254">
        <f>CA139</f>
        <v>3203.351845</v>
      </c>
      <c r="CB169" s="254">
        <f>CB139</f>
        <v>3136.83414773306</v>
      </c>
      <c r="CC169" s="254">
        <f>CC139</f>
        <v>3603.15816785131</v>
      </c>
      <c r="CD169" s="254">
        <f>CD139</f>
        <v>4091.11356288637</v>
      </c>
      <c r="CE169" s="254">
        <f>CE139</f>
        <v>4539.97172391063</v>
      </c>
      <c r="CF169" s="254">
        <f>CF139</f>
        <v>4998.4652880989</v>
      </c>
      <c r="CG169" s="19" t="n"/>
    </row>
    <row r="170" ht="15" customHeight="1" s="251">
      <c r="B170" s="25" t="inlineStr">
        <is>
          <t xml:space="preserve">  (+) Interest and other (income) expense, incl. debt extinguishment</t>
        </is>
      </c>
      <c r="C170" s="264">
        <f>IF(ISNUMBER(C135),C135-C136-N(C137),"")</f>
        <v>-15.904</v>
      </c>
      <c r="D170" s="264">
        <f>IF(ISNUMBER(D135),D135-D136-N(D137),"")</f>
        <v>-20.34</v>
      </c>
      <c r="E170" s="264">
        <f>IF(ISNUMBER(E135),E135-E136-N(E137),"")</f>
        <v>-9.994</v>
      </c>
      <c r="F170" s="264">
        <f>IF(ISNUMBER(F135),F135-F136-N(F137),"")</f>
        <v>-0.253</v>
      </c>
      <c r="G170" s="264">
        <f>IF(ISNUMBER(G135),G135-G136-N(G137),"")</f>
        <v>15.945</v>
      </c>
      <c r="H170" s="264">
        <f>IF(ISNUMBER(H135),H135-H136-N(H137),"")</f>
        <v>16.546</v>
      </c>
      <c r="I170" s="264">
        <f>IF(ISNUMBER(I135),I135-I136-N(I137),"")</f>
        <v>19.512</v>
      </c>
      <c r="J170" s="264">
        <f>IF(ISNUMBER(J135),J135-J136-N(J137),"")</f>
        <v>30.892</v>
      </c>
      <c r="K170" s="264">
        <f>IF(ISNUMBER(K135),K135-K136-N(K137),"")</f>
        <v>10.468</v>
      </c>
      <c r="L170" s="264">
        <f>IF(ISNUMBER(L135),L135-L136-N(L137),"")</f>
        <v>7.629</v>
      </c>
      <c r="M170" s="264">
        <f>IF(ISNUMBER(M135),M135-M136-N(M137),"")</f>
        <v>8.284</v>
      </c>
      <c r="N170" s="264">
        <f>IF(ISNUMBER(N135),N135-N136-N(N137),"")</f>
        <v>57.273</v>
      </c>
      <c r="O170" s="264">
        <f>IF(ISNUMBER(O135),O135-O136-N(O137),"")</f>
        <v>8.651</v>
      </c>
      <c r="P170" s="264">
        <f>IF(ISNUMBER(P135),P135-P136-N(P137),"")</f>
        <v>12.228</v>
      </c>
      <c r="Q170" s="264">
        <f>IF(ISNUMBER(Q135),Q135-Q136-N(Q137),"")</f>
        <v>12.87</v>
      </c>
      <c r="R170" s="264">
        <f>IF(ISNUMBER(R135),R135-R136-N(R137),"")</f>
        <v>19.53</v>
      </c>
      <c r="S170" s="264">
        <f>IF(ISNUMBER(S135),S135-S136-N(S137),"")</f>
        <v>53.279</v>
      </c>
      <c r="T170" s="264">
        <f>IF(ISNUMBER(T135),T135-T136-N(T137),"")</f>
        <v>59.03</v>
      </c>
      <c r="U170" s="264">
        <f>IF(ISNUMBER(U135),U135-U136-N(U137),"")</f>
        <v>34.345</v>
      </c>
      <c r="V170" s="264">
        <f>IF(ISNUMBER(V135),V135-V136-N(V137),"")</f>
        <v>31.403</v>
      </c>
      <c r="W170" s="264">
        <f>IF(ISNUMBER(W135),W135-W136-N(W137),"")</f>
        <v>39.163</v>
      </c>
      <c r="X170" s="264">
        <f>IF(ISNUMBER(X135),X135-X136-N(X137),"")</f>
        <v>163.941</v>
      </c>
      <c r="Y170" s="264">
        <f>IF(ISNUMBER(Y135),Y135-Y136-N(Y137),"")</f>
        <v>9.574</v>
      </c>
      <c r="Z170" s="264">
        <f>IF(ISNUMBER(Z135),Z135-Z136-N(Z137),"")</f>
        <v>19.138</v>
      </c>
      <c r="AA170" s="264">
        <f>IF(ISNUMBER(AA135),AA135-AA136-N(AA137),"")</f>
        <v>26.909</v>
      </c>
      <c r="AB170" s="264">
        <f>IF(ISNUMBER(AB135),AB135-AB136-N(AB137),"")</f>
        <v>63.665</v>
      </c>
      <c r="AC170" s="264">
        <f>IF(ISNUMBER(AC135),AC135-AC136-N(AC137),"")</f>
        <v>119.286</v>
      </c>
      <c r="AD170" s="264">
        <f>IF(ISNUMBER(AD135),AD135-AD136-N(AD137),"")</f>
        <v>33.15</v>
      </c>
      <c r="AE170" s="264">
        <f>IF(ISNUMBER(AE135),AE135-AE136-N(AE137),"")</f>
        <v>113.845</v>
      </c>
      <c r="AF170" s="264">
        <f>IF(ISNUMBER(AF135),AF135-AF136-N(AF137),"")</f>
        <v>92.39</v>
      </c>
      <c r="AG170" s="264">
        <f>IF(ISNUMBER(AG135),AG135-AG136-N(AG137),"")</f>
        <v>113.973</v>
      </c>
      <c r="AH170" s="264">
        <f>IF(ISNUMBER(AH135),AH135-AH136-N(AH137),"")</f>
        <v>353.358</v>
      </c>
      <c r="AI170" s="264">
        <f>IF(ISNUMBER(AI135),AI135-AI136-N(AI137),"")</f>
        <v>146.962</v>
      </c>
      <c r="AJ170" s="264">
        <f>IF(ISNUMBER(AJ135),AJ135-AJ136-N(AJ137),"")</f>
        <v>33.577</v>
      </c>
      <c r="AK170" s="264">
        <f>IF(ISNUMBER(AK135),AK135-AK136-N(AK137),"")</f>
        <v>101.858</v>
      </c>
      <c r="AL170" s="264">
        <f>IF(ISNUMBER(AL135),AL135-AL136-N(AL137),"")</f>
        <v>96.371</v>
      </c>
      <c r="AM170" s="264">
        <f>IF(ISNUMBER(AM135),AM135-AM136-N(AM137),"")</f>
        <v>378.768</v>
      </c>
      <c r="AN170" s="264">
        <f>IF(ISNUMBER(AN135),AN135-AN136-N(AN137),"")</f>
        <v>59.425</v>
      </c>
      <c r="AO170" s="264">
        <f>IF(ISNUMBER(AO135),AO135-AO136-N(AO137),"")</f>
        <v>205.503</v>
      </c>
      <c r="AP170" s="264">
        <f>IF(ISNUMBER(AP135),AP135-AP136-N(AP137),"")</f>
        <v>-32.084</v>
      </c>
      <c r="AQ170" s="264">
        <f>IF(ISNUMBER(AQ135),AQ135-AQ136-N(AQ137),"")</f>
        <v>309.179</v>
      </c>
      <c r="AR170" s="264">
        <f>IF(ISNUMBER(AR135),AR135-AR136-N(AR137),"")</f>
        <v>542.023</v>
      </c>
      <c r="AS170" s="264">
        <f>IF(ISNUMBER(AS135),AS135-AS136-N(AS137),"")</f>
        <v>162.386</v>
      </c>
      <c r="AT170" s="264">
        <f>IF(ISNUMBER(AT135),AT135-AT136-N(AT137),"")</f>
        <v>322.326</v>
      </c>
      <c r="AU170" s="264">
        <f>IF(ISNUMBER(AU135),AU135-AU136-N(AU137),"")</f>
        <v>453.403</v>
      </c>
      <c r="AV170" s="264">
        <f>IF(ISNUMBER(AV135),AV135-AV136-N(AV137),"")</f>
        <v>447.825</v>
      </c>
      <c r="AW170" s="264">
        <f>IF(ISNUMBER(AW135),AW135-AW136-N(AW137),"")</f>
        <v>1385.94</v>
      </c>
      <c r="AX170" s="264">
        <f>IF(ISNUMBER(AX135),AX135-AX136-N(AX137),"")</f>
        <v>-74.646</v>
      </c>
      <c r="AY170" s="264">
        <f>IF(ISNUMBER(AY135),AY135-AY136-N(AY137),"")</f>
        <v>253.841</v>
      </c>
      <c r="AZ170" s="264">
        <f>IF(ISNUMBER(AZ135),AZ135-AZ136-N(AZ137),"")</f>
        <v>94.294</v>
      </c>
      <c r="BA170" s="264">
        <f>IF(ISNUMBER(BA135),BA135-BA136-N(BA137),"")</f>
        <v>80.917</v>
      </c>
      <c r="BB170" s="264">
        <f>IF(ISNUMBER(BB135),BB135-BB136-N(BB137),"")</f>
        <v>354.406</v>
      </c>
      <c r="BC170" s="264">
        <f>IF(ISNUMBER(BC135),BC135-BC136-N(BC137),"")</f>
        <v>-8.066</v>
      </c>
      <c r="BD170" s="264">
        <f>IF(ISNUMBER(BD135),BD135-BD136-N(BD137),"")</f>
        <v>-44.771</v>
      </c>
      <c r="BE170" s="264">
        <f>IF(ISNUMBER(BE135),BE135-BE136-N(BE137),"")</f>
        <v>-88.829</v>
      </c>
      <c r="BF170" s="264">
        <f>IF(ISNUMBER(BF135),BF135-BF136-N(BF137),"")</f>
        <v>510.568</v>
      </c>
      <c r="BG170" s="264">
        <f>IF(ISNUMBER(BG135),BG135-BG136-N(BG137),"")</f>
        <v>368.902</v>
      </c>
      <c r="BH170" s="264">
        <f>IF(ISNUMBER(BH135),BH135-BH136-N(BH137),"")</f>
        <v>245.443</v>
      </c>
      <c r="BI170" s="264">
        <f>IF(ISNUMBER(BI135),BI135-BI136-N(BI137),"")</f>
        <v>147.851</v>
      </c>
      <c r="BJ170" s="264">
        <f>IF(ISNUMBER(BJ135),BJ135-BJ136-N(BJ137),"")</f>
        <v>7.345</v>
      </c>
      <c r="BK170" s="264">
        <f>IF(ISNUMBER(BK135),BK135-BK136-N(BK137),"")</f>
        <v>347.959</v>
      </c>
      <c r="BL170" s="264">
        <f>IF(ISNUMBER(BL135),BL135-BL136-N(BL137),"")</f>
        <v>748.598</v>
      </c>
      <c r="BM170" s="264">
        <f>IF(ISNUMBER(BM135),BM135-BM136-N(BM137),"")</f>
        <v>17.955</v>
      </c>
      <c r="BN170" s="264">
        <f>IF(ISNUMBER(BN135),BN135-BN136-N(BN137),"")</f>
        <v>88.981</v>
      </c>
      <c r="BO170" s="264">
        <f>IF(ISNUMBER(BO135),BO135-BO136-N(BO137),"")</f>
        <v>206.523</v>
      </c>
      <c r="BP170" s="264">
        <f>IF(ISNUMBER(BP135),BP135-BP136-N(BP137),"")</f>
        <v>138.498</v>
      </c>
      <c r="BQ170" s="264">
        <f>IF(ISNUMBER(BQ135),BQ135-BQ136-N(BQ137),"")</f>
        <v>451.957</v>
      </c>
      <c r="BR170" s="264">
        <f>IF(ISNUMBER(BR135),BR135-BR136-N(BR137),"")</f>
        <v>133.273</v>
      </c>
      <c r="BS170" s="264">
        <f>IF(ISNUMBER(BS135),BS135-BS136-N(BS137),"")</f>
        <v>143.019</v>
      </c>
      <c r="BT170" s="264">
        <f>IF(ISNUMBER(BT135),BT135-BT136-N(BT137),"")</f>
        <v>138.837</v>
      </c>
      <c r="BU170" s="264">
        <f>IF(ISNUMBER(BU135),BU135-BU136-N(BU137),"")</f>
        <v>188.922</v>
      </c>
      <c r="BV170" s="264">
        <f>IF(ISNUMBER(BV135),BV135-BV136-N(BV137),"")</f>
        <v>604.051</v>
      </c>
      <c r="BW170" s="264">
        <f>IF(ISNUMBER(BW135),BW135-BW136-N(BW137),"")</f>
        <v>-2590.089</v>
      </c>
      <c r="BX170" s="264">
        <f>IF(ISNUMBER(BX135),BX135-BX136-N(BX137),"")</f>
        <v>124.024</v>
      </c>
      <c r="BY170" s="254">
        <f>IF(ISNUMBER(BY135),BY135-BY136-N(BY137),"")</f>
        <v>135</v>
      </c>
      <c r="BZ170" s="254">
        <f>IF(ISNUMBER(BZ135),BZ135-BZ136-N(BZ137),"")</f>
        <v>135</v>
      </c>
      <c r="CA170" s="254">
        <f>IF(ISNUMBER(CA135),CA135-CA136-N(CA137),"")</f>
        <v>-2196.065</v>
      </c>
      <c r="CB170" s="254">
        <f>IF(ISNUMBER(CB135),CB135-CB136-N(CB137),"")</f>
        <v>502.105710666667</v>
      </c>
      <c r="CC170" s="254">
        <f>IF(ISNUMBER(CC135),CC135-CC136-N(CC137),"")</f>
        <v>494.001194706878</v>
      </c>
      <c r="CD170" s="254">
        <f>IF(ISNUMBER(CD135),CD135-CD136-N(CD137),"")</f>
        <v>485.854688846535</v>
      </c>
      <c r="CE170" s="254">
        <f>IF(ISNUMBER(CE135),CE135-CE136-N(CE137),"")</f>
        <v>478.101795468287</v>
      </c>
      <c r="CF170" s="254">
        <f>IF(ISNUMBER(CF135),CF135-CF136-N(CF137),"")</f>
        <v>456.324541794756</v>
      </c>
      <c r="CG170" s="19" t="n"/>
    </row>
    <row r="171" ht="15" customHeight="1" s="251">
      <c r="B171" s="16" t="inlineStr">
        <is>
          <t xml:space="preserve">  = Operating income</t>
        </is>
      </c>
      <c r="C171" s="278">
        <f>IF(ISNUMBER(C168),C168+C169+C170,"")</f>
        <v>64.414</v>
      </c>
      <c r="D171" s="278">
        <f>IF(ISNUMBER(D168),D168+D169+D170,"")</f>
        <v>91.1609999999999</v>
      </c>
      <c r="E171" s="278">
        <f>IF(ISNUMBER(E168),E168+E169+E170,"")</f>
        <v>121.506</v>
      </c>
      <c r="F171" s="278">
        <f>IF(ISNUMBER(F168),F168+F169+F170,"")</f>
        <v>191.939</v>
      </c>
      <c r="G171" s="278">
        <f>IF(ISNUMBER(G168),G168+G169+G170,"")</f>
        <v>283.641</v>
      </c>
      <c r="H171" s="278">
        <f>IF(ISNUMBER(H168),H168+H169+H170,"")</f>
        <v>376.068</v>
      </c>
      <c r="I171" s="278">
        <f>IF(ISNUMBER(I168),I168+I169+I170,"")</f>
        <v>49.9920000000002</v>
      </c>
      <c r="J171" s="278">
        <f>IF(ISNUMBER(J168),J168+J169+J170,"")</f>
        <v>31.822</v>
      </c>
      <c r="K171" s="278">
        <f>IF(ISNUMBER(K168),K168+K169+K170,"")</f>
        <v>57.1170000000001</v>
      </c>
      <c r="L171" s="278">
        <f>IF(ISNUMBER(L168),L168+L169+L170,"")</f>
        <v>57.12</v>
      </c>
      <c r="M171" s="278">
        <f>IF(ISNUMBER(M168),M168+M169+M170,"")</f>
        <v>82.288</v>
      </c>
      <c r="N171" s="278">
        <f>IF(ISNUMBER(N168),N168+N169+N170,"")</f>
        <v>228.347</v>
      </c>
      <c r="O171" s="278">
        <f>IF(ISNUMBER(O168),O168+O169+O170,"")</f>
        <v>97.5949999999999</v>
      </c>
      <c r="P171" s="278">
        <f>IF(ISNUMBER(P168),P168+P169+P170,"")</f>
        <v>129.6</v>
      </c>
      <c r="Q171" s="278">
        <f>IF(ISNUMBER(Q168),Q168+Q169+Q170,"")</f>
        <v>110.407</v>
      </c>
      <c r="R171" s="278">
        <f>IF(ISNUMBER(R168),R168+R169+R170,"")</f>
        <v>65.0460000000001</v>
      </c>
      <c r="S171" s="278">
        <f>IF(ISNUMBER(S168),S168+S169+S170,"")</f>
        <v>402.648</v>
      </c>
      <c r="T171" s="278">
        <f>IF(ISNUMBER(T168),T168+T169+T170,"")</f>
        <v>97.4559999999998</v>
      </c>
      <c r="U171" s="278">
        <f>IF(ISNUMBER(U168),U168+U169+U170,"")</f>
        <v>74.835</v>
      </c>
      <c r="V171" s="278">
        <f>IF(ISNUMBER(V168),V168+V169+V170,"")</f>
        <v>73.641</v>
      </c>
      <c r="W171" s="278">
        <f>IF(ISNUMBER(W168),W168+W169+W170,"")</f>
        <v>59.8940000000001</v>
      </c>
      <c r="X171" s="278">
        <f>IF(ISNUMBER(X168),X168+X169+X170,"")</f>
        <v>305.826000000001</v>
      </c>
      <c r="Y171" s="278">
        <f>IF(ISNUMBER(Y168),Y168+Y169+Y170,"")</f>
        <v>49.4530000000001</v>
      </c>
      <c r="Z171" s="278">
        <f>IF(ISNUMBER(Z168),Z168+Z169+Z170,"")</f>
        <v>70.3700000000002</v>
      </c>
      <c r="AA171" s="278">
        <f>IF(ISNUMBER(AA168),AA168+AA169+AA170,"")</f>
        <v>106.036</v>
      </c>
      <c r="AB171" s="278">
        <f>IF(ISNUMBER(AB168),AB168+AB169+AB170,"")</f>
        <v>153.934</v>
      </c>
      <c r="AC171" s="278">
        <f>IF(ISNUMBER(AC168),AC168+AC169+AC170,"")</f>
        <v>379.793</v>
      </c>
      <c r="AD171" s="278">
        <f>IF(ISNUMBER(AD168),AD168+AD169+AD170,"")</f>
        <v>256.942</v>
      </c>
      <c r="AE171" s="278">
        <f>IF(ISNUMBER(AE168),AE168+AE169+AE170,"")</f>
        <v>127.807</v>
      </c>
      <c r="AF171" s="278">
        <f>IF(ISNUMBER(AF168),AF168+AF169+AF170,"")</f>
        <v>208.627</v>
      </c>
      <c r="AG171" s="278">
        <f>IF(ISNUMBER(AG168),AG168+AG169+AG170,"")</f>
        <v>245.303</v>
      </c>
      <c r="AH171" s="278">
        <f>IF(ISNUMBER(AH168),AH168+AH169+AH170,"")</f>
        <v>838.679</v>
      </c>
      <c r="AI171" s="278">
        <f>IF(ISNUMBER(AI168),AI168+AI169+AI170,"")</f>
        <v>446.578</v>
      </c>
      <c r="AJ171" s="278">
        <f>IF(ISNUMBER(AJ168),AJ168+AJ169+AJ170,"")</f>
        <v>462.213</v>
      </c>
      <c r="AK171" s="278">
        <f>IF(ISNUMBER(AK168),AK168+AK169+AK170,"")</f>
        <v>480.668</v>
      </c>
      <c r="AL171" s="278">
        <f>IF(ISNUMBER(AL168),AL168+AL169+AL170,"")</f>
        <v>215.767</v>
      </c>
      <c r="AM171" s="278">
        <f>IF(ISNUMBER(AM168),AM168+AM169+AM170,"")</f>
        <v>1605.226</v>
      </c>
      <c r="AN171" s="278">
        <f>IF(ISNUMBER(AN168),AN168+AN169+AN170,"")</f>
        <v>459.084</v>
      </c>
      <c r="AO171" s="278">
        <f>IF(ISNUMBER(AO168),AO168+AO169+AO170,"")</f>
        <v>706.419</v>
      </c>
      <c r="AP171" s="278">
        <f>IF(ISNUMBER(AP168),AP168+AP169+AP170,"")</f>
        <v>980.239</v>
      </c>
      <c r="AQ171" s="278">
        <f>IF(ISNUMBER(AQ168),AQ168+AQ169+AQ170,"")</f>
        <v>458.512</v>
      </c>
      <c r="AR171" s="278">
        <f>IF(ISNUMBER(AR168),AR168+AR169+AR170,"")</f>
        <v>2604.254</v>
      </c>
      <c r="AS171" s="278">
        <f>IF(ISNUMBER(AS168),AS168+AS169+AS170,"")</f>
        <v>958.256</v>
      </c>
      <c r="AT171" s="278">
        <f>IF(ISNUMBER(AT168),AT168+AT169+AT170,"")</f>
        <v>1357.928</v>
      </c>
      <c r="AU171" s="278">
        <f>IF(ISNUMBER(AU168),AU168+AU169+AU170,"")</f>
        <v>1314.863</v>
      </c>
      <c r="AV171" s="278">
        <f>IF(ISNUMBER(AV168),AV168+AV169+AV170,"")</f>
        <v>954.242</v>
      </c>
      <c r="AW171" s="278">
        <f>IF(ISNUMBER(AW168),AW168+AW169+AW170,"")</f>
        <v>4585.289</v>
      </c>
      <c r="AX171" s="278">
        <f>IF(ISNUMBER(AX168),AX168+AX169+AX170,"")</f>
        <v>1959.856</v>
      </c>
      <c r="AY171" s="278">
        <f>IF(ISNUMBER(AY168),AY168+AY169+AY170,"")</f>
        <v>1847.63</v>
      </c>
      <c r="AZ171" s="278">
        <f>IF(ISNUMBER(AZ168),AZ168+AZ169+AZ170,"")</f>
        <v>1755.253</v>
      </c>
      <c r="BA171" s="278">
        <f>IF(ISNUMBER(BA168),BA168+BA169+BA170,"")</f>
        <v>631.770000000001</v>
      </c>
      <c r="BB171" s="278">
        <f>IF(ISNUMBER(BB168),BB168+BB169+BB170,"")</f>
        <v>6194.509</v>
      </c>
      <c r="BC171" s="278">
        <f>IF(ISNUMBER(BC168),BC168+BC169+BC170,"")</f>
        <v>1971.626</v>
      </c>
      <c r="BD171" s="278">
        <f>IF(ISNUMBER(BD168),BD168+BD169+BD170,"")</f>
        <v>1578.283</v>
      </c>
      <c r="BE171" s="278">
        <f>IF(ISNUMBER(BE168),BE168+BE169+BE170,"")</f>
        <v>1533.018</v>
      </c>
      <c r="BF171" s="278">
        <f>IF(ISNUMBER(BF168),BF168+BF169+BF170,"")</f>
        <v>549.904</v>
      </c>
      <c r="BG171" s="278">
        <f>IF(ISNUMBER(BG168),BG168+BG169+BG170,"")</f>
        <v>5632.831</v>
      </c>
      <c r="BH171" s="278">
        <f>IF(ISNUMBER(BH168),BH168+BH169+BH170,"")</f>
        <v>1714.317</v>
      </c>
      <c r="BI171" s="278">
        <f>IF(ISNUMBER(BI168),BI168+BI169+BI170,"")</f>
        <v>1827.183</v>
      </c>
      <c r="BJ171" s="278">
        <f>IF(ISNUMBER(BJ168),BJ168+BJ169+BJ170,"")</f>
        <v>1916.394</v>
      </c>
      <c r="BK171" s="278">
        <f>IF(ISNUMBER(BK168),BK168+BK169+BK170,"")</f>
        <v>1496.109</v>
      </c>
      <c r="BL171" s="278">
        <f>IF(ISNUMBER(BL168),BL168+BL169+BL170,"")</f>
        <v>6954.003</v>
      </c>
      <c r="BM171" s="278">
        <f>IF(ISNUMBER(BM168),BM168+BM169+BM170,"")</f>
        <v>2632.534</v>
      </c>
      <c r="BN171" s="278">
        <f>IF(ISNUMBER(BN168),BN168+BN169+BN170,"")</f>
        <v>2602.837</v>
      </c>
      <c r="BO171" s="278">
        <f>IF(ISNUMBER(BO168),BO168+BO169+BO170,"")</f>
        <v>2909.477</v>
      </c>
      <c r="BP171" s="278">
        <f>IF(ISNUMBER(BP168),BP168+BP169+BP170,"")</f>
        <v>2272.766</v>
      </c>
      <c r="BQ171" s="278">
        <f>IF(ISNUMBER(BQ168),BQ168+BQ169+BQ170,"")</f>
        <v>10417.614</v>
      </c>
      <c r="BR171" s="278">
        <f>IF(ISNUMBER(BR168),BR168+BR169+BR170,"")</f>
        <v>3346.999</v>
      </c>
      <c r="BS171" s="278">
        <f>IF(ISNUMBER(BS168),BS168+BS169+BS170,"")</f>
        <v>3774.694</v>
      </c>
      <c r="BT171" s="278">
        <f>IF(ISNUMBER(BT168),BT168+BT169+BT170,"")</f>
        <v>3248.247</v>
      </c>
      <c r="BU171" s="278">
        <f>IF(ISNUMBER(BU168),BU168+BU169+BU170,"")</f>
        <v>2956.663</v>
      </c>
      <c r="BV171" s="278">
        <f>IF(ISNUMBER(BV168),BV168+BV169+BV170,"")</f>
        <v>13326.603</v>
      </c>
      <c r="BW171" s="278">
        <f>IF(ISNUMBER(BW168),BW168+BW169+BW170,"")</f>
        <v>3956.997</v>
      </c>
      <c r="BX171" s="278">
        <f>IF(ISNUMBER(BX168),BX168+BX169+BX170,"")</f>
        <v>4192.61</v>
      </c>
      <c r="BY171" s="279">
        <f>IF(ISNUMBER(BY168),BY168+BY169+BY170,"")</f>
        <v>4269.52</v>
      </c>
      <c r="BZ171" s="279">
        <f>IF(ISNUMBER(BZ168),BZ168+BZ169+BZ170,"")</f>
        <v>3708.873</v>
      </c>
      <c r="CA171" s="279">
        <f>IF(ISNUMBER(CA168),CA168+CA169+CA170,"")</f>
        <v>16128</v>
      </c>
      <c r="CB171" s="279">
        <f>IF(ISNUMBER(CB168),CB168+CB169+CB170,"")</f>
        <v>18954.071285567</v>
      </c>
      <c r="CC171" s="279">
        <f>IF(ISNUMBER(CC168),CC168+CC169+CC170,"")</f>
        <v>21689.0492408911</v>
      </c>
      <c r="CD171" s="279">
        <f>IF(ISNUMBER(CD168),CD168+CD169+CD170,"")</f>
        <v>24551.2285881781</v>
      </c>
      <c r="CE171" s="279">
        <f>IF(ISNUMBER(CE168),CE168+CE169+CE170,"")</f>
        <v>27183.817818472</v>
      </c>
      <c r="CF171" s="279">
        <f>IF(ISNUMBER(CF168),CF168+CF169+CF170,"")</f>
        <v>29859.0615306118</v>
      </c>
      <c r="CG171" s="153" t="n"/>
    </row>
    <row r="172" ht="15" customHeight="1" s="251">
      <c r="B172" s="25" t="inlineStr">
        <is>
          <t xml:space="preserve">  (+) Depreciation &amp; amortization of property, equipment &amp; intangibles</t>
        </is>
      </c>
      <c r="C172" s="264">
        <f>C110</f>
        <v>15.903</v>
      </c>
      <c r="D172" s="264">
        <f>D110</f>
        <v>21.394</v>
      </c>
      <c r="E172" s="264">
        <f>E110</f>
        <v>32.454</v>
      </c>
      <c r="F172" s="264">
        <f>F110</f>
        <v>38.044</v>
      </c>
      <c r="G172" s="264">
        <f>G110</f>
        <v>38.099</v>
      </c>
      <c r="H172" s="264">
        <f>H110</f>
        <v>43.747</v>
      </c>
      <c r="I172" s="264">
        <f>I110</f>
        <v>45.469</v>
      </c>
      <c r="J172" s="264">
        <f>J110</f>
        <v>12.051</v>
      </c>
      <c r="K172" s="264">
        <f>K110</f>
        <v>12.026</v>
      </c>
      <c r="L172" s="264">
        <f>L110</f>
        <v>11.452</v>
      </c>
      <c r="M172" s="264">
        <f>M110</f>
        <v>12.845</v>
      </c>
      <c r="N172" s="264">
        <f>N110</f>
        <v>48.374</v>
      </c>
      <c r="O172" s="264">
        <f>O110</f>
        <v>12.382</v>
      </c>
      <c r="P172" s="264">
        <f>P110</f>
        <v>12.977</v>
      </c>
      <c r="Q172" s="264">
        <f>Q110</f>
        <v>14.357</v>
      </c>
      <c r="R172" s="264">
        <f>R110</f>
        <v>14.312</v>
      </c>
      <c r="S172" s="264">
        <f>S110</f>
        <v>54.028</v>
      </c>
      <c r="T172" s="264">
        <f>T110</f>
        <v>15.167</v>
      </c>
      <c r="U172" s="264">
        <f>U110</f>
        <v>15.581</v>
      </c>
      <c r="V172" s="264">
        <f>V110</f>
        <v>16.047</v>
      </c>
      <c r="W172" s="264">
        <f>W110</f>
        <v>15.488</v>
      </c>
      <c r="X172" s="264">
        <f>X110</f>
        <v>62.283</v>
      </c>
      <c r="Y172" s="264">
        <f>Y110</f>
        <v>14.798</v>
      </c>
      <c r="Z172" s="264">
        <f>Z110</f>
        <v>14.131</v>
      </c>
      <c r="AA172" s="264">
        <f>AA110</f>
        <v>14.41</v>
      </c>
      <c r="AB172" s="264">
        <f>AB110</f>
        <v>14.189</v>
      </c>
      <c r="AC172" s="264">
        <f>AC110</f>
        <v>57.528</v>
      </c>
      <c r="AD172" s="264">
        <f>AD110</f>
        <v>15.049</v>
      </c>
      <c r="AE172" s="264">
        <f>AE110</f>
        <v>18.551</v>
      </c>
      <c r="AF172" s="264">
        <f>AF110</f>
        <v>19.238</v>
      </c>
      <c r="AG172" s="264">
        <f>AG110</f>
        <v>19.073</v>
      </c>
      <c r="AH172" s="264">
        <f>AH110</f>
        <v>71.911</v>
      </c>
      <c r="AI172" s="264">
        <f>AI110</f>
        <v>19.041</v>
      </c>
      <c r="AJ172" s="264">
        <f>AJ110</f>
        <v>19.736</v>
      </c>
      <c r="AK172" s="264">
        <f>AK110</f>
        <v>21.161</v>
      </c>
      <c r="AL172" s="264">
        <f>AL110</f>
        <v>23.219</v>
      </c>
      <c r="AM172" s="264">
        <f>AM110</f>
        <v>83.157</v>
      </c>
      <c r="AN172" s="264">
        <f>AN110</f>
        <v>23.561</v>
      </c>
      <c r="AO172" s="264">
        <f>AO110</f>
        <v>25.496</v>
      </c>
      <c r="AP172" s="264">
        <f>AP110</f>
        <v>26.704</v>
      </c>
      <c r="AQ172" s="264">
        <f>AQ110</f>
        <v>27.818</v>
      </c>
      <c r="AR172" s="264">
        <f>AR110</f>
        <v>103.579</v>
      </c>
      <c r="AS172" s="264">
        <f>AS110</f>
        <v>28.517</v>
      </c>
      <c r="AT172" s="264">
        <f>AT110</f>
        <v>26.661</v>
      </c>
      <c r="AU172" s="264">
        <f>AU110</f>
        <v>28.589</v>
      </c>
      <c r="AV172" s="264">
        <f>AV110</f>
        <v>31.943</v>
      </c>
      <c r="AW172" s="264">
        <f>AW110</f>
        <v>115.71</v>
      </c>
      <c r="AX172" s="264">
        <f>AX110</f>
        <v>35.741</v>
      </c>
      <c r="AY172" s="264">
        <f>AY110</f>
        <v>38.434</v>
      </c>
      <c r="AZ172" s="264">
        <f>AZ110</f>
        <v>70.253</v>
      </c>
      <c r="BA172" s="264">
        <f>BA110</f>
        <v>63.984</v>
      </c>
      <c r="BB172" s="264">
        <f>BB110</f>
        <v>208.412</v>
      </c>
      <c r="BC172" s="264">
        <f>BC110</f>
        <v>74.602</v>
      </c>
      <c r="BD172" s="264">
        <f>BD110</f>
        <v>83.505</v>
      </c>
      <c r="BE172" s="264">
        <f>BE110</f>
        <v>85.188</v>
      </c>
      <c r="BF172" s="264">
        <f>BF110</f>
        <v>93.387</v>
      </c>
      <c r="BG172" s="264">
        <f>BG110</f>
        <v>336.682</v>
      </c>
      <c r="BH172" s="264">
        <f>BH110</f>
        <v>90.335</v>
      </c>
      <c r="BI172" s="264">
        <f>BI110</f>
        <v>89.385</v>
      </c>
      <c r="BJ172" s="264">
        <f>BJ110</f>
        <v>90.66</v>
      </c>
      <c r="BK172" s="264">
        <f>BK110</f>
        <v>86.567</v>
      </c>
      <c r="BL172" s="264">
        <f>BL110</f>
        <v>356.947</v>
      </c>
      <c r="BM172" s="264">
        <f>BM110</f>
        <v>87.234</v>
      </c>
      <c r="BN172" s="264">
        <f>BN110</f>
        <v>81.227</v>
      </c>
      <c r="BO172" s="264">
        <f>BO110</f>
        <v>80.914</v>
      </c>
      <c r="BP172" s="264">
        <f>BP110</f>
        <v>79.539</v>
      </c>
      <c r="BQ172" s="264">
        <f>BQ110</f>
        <v>328.914</v>
      </c>
      <c r="BR172" s="264">
        <f>BR110</f>
        <v>80.067</v>
      </c>
      <c r="BS172" s="264">
        <f>BS110</f>
        <v>80.013</v>
      </c>
      <c r="BT172" s="264">
        <f>BT110</f>
        <v>87.326</v>
      </c>
      <c r="BU172" s="264">
        <f>BU110</f>
        <v>85.983</v>
      </c>
      <c r="BV172" s="264">
        <f>BV110</f>
        <v>333.389</v>
      </c>
      <c r="BW172" s="264">
        <f>BW110</f>
        <v>98.575</v>
      </c>
      <c r="BX172" s="264">
        <f>BX110</f>
        <v>100.53</v>
      </c>
      <c r="BY172" s="254">
        <f>BY110</f>
        <v>108.614712831084</v>
      </c>
      <c r="BZ172" s="254">
        <f>BZ110</f>
        <v>106.944310438531</v>
      </c>
      <c r="CA172" s="254">
        <f>CA110</f>
        <v>414.664023269615</v>
      </c>
      <c r="CB172" s="254">
        <f>CB110</f>
        <v>452.634538162795</v>
      </c>
      <c r="CC172" s="254">
        <f>CC110</f>
        <v>495.749696934653</v>
      </c>
      <c r="CD172" s="254">
        <f>CD110</f>
        <v>538.10911974089</v>
      </c>
      <c r="CE172" s="254">
        <f>CE110</f>
        <v>579.92144679407</v>
      </c>
      <c r="CF172" s="254">
        <f>CF110</f>
        <v>620.44803180492</v>
      </c>
      <c r="CG172" s="19" t="n"/>
    </row>
    <row r="173" ht="15" customHeight="1" s="251">
      <c r="B173" s="55" t="inlineStr">
        <is>
          <t xml:space="preserve">  = EBITDA</t>
        </is>
      </c>
      <c r="C173" s="271">
        <f>IF(AND(ISNUMBER(C171),ISNUMBER(C172)),C171+C172,"")</f>
        <v>80.317</v>
      </c>
      <c r="D173" s="271">
        <f>IF(AND(ISNUMBER(D171),ISNUMBER(D172)),D171+D172,"")</f>
        <v>112.555</v>
      </c>
      <c r="E173" s="271">
        <f>IF(AND(ISNUMBER(E171),ISNUMBER(E172)),E171+E172,"")</f>
        <v>153.96</v>
      </c>
      <c r="F173" s="271">
        <f>IF(AND(ISNUMBER(F171),ISNUMBER(F172)),F171+F172,"")</f>
        <v>229.983</v>
      </c>
      <c r="G173" s="271">
        <f>IF(AND(ISNUMBER(G171),ISNUMBER(G172)),G171+G172,"")</f>
        <v>321.74</v>
      </c>
      <c r="H173" s="271">
        <f>IF(AND(ISNUMBER(H171),ISNUMBER(H172)),H171+H172,"")</f>
        <v>419.815</v>
      </c>
      <c r="I173" s="271">
        <f>IF(AND(ISNUMBER(I171),ISNUMBER(I172)),I171+I172,"")</f>
        <v>95.4610000000002</v>
      </c>
      <c r="J173" s="271">
        <f>IF(AND(ISNUMBER(J171),ISNUMBER(J172)),J171+J172,"")</f>
        <v>43.873</v>
      </c>
      <c r="K173" s="271">
        <f>IF(AND(ISNUMBER(K171),ISNUMBER(K172)),K171+K172,"")</f>
        <v>69.1430000000001</v>
      </c>
      <c r="L173" s="271">
        <f>IF(AND(ISNUMBER(L171),ISNUMBER(L172)),L171+L172,"")</f>
        <v>68.572</v>
      </c>
      <c r="M173" s="271">
        <f>IF(AND(ISNUMBER(M171),ISNUMBER(M172)),M171+M172,"")</f>
        <v>95.133</v>
      </c>
      <c r="N173" s="271">
        <f>IF(AND(ISNUMBER(N171),ISNUMBER(N172)),N171+N172,"")</f>
        <v>276.721</v>
      </c>
      <c r="O173" s="271">
        <f>IF(AND(ISNUMBER(O171),ISNUMBER(O172)),O171+O172,"")</f>
        <v>109.977</v>
      </c>
      <c r="P173" s="271">
        <f>IF(AND(ISNUMBER(P171),ISNUMBER(P172)),P171+P172,"")</f>
        <v>142.577</v>
      </c>
      <c r="Q173" s="271">
        <f>IF(AND(ISNUMBER(Q171),ISNUMBER(Q172)),Q171+Q172,"")</f>
        <v>124.764</v>
      </c>
      <c r="R173" s="271">
        <f>IF(AND(ISNUMBER(R171),ISNUMBER(R172)),R171+R172,"")</f>
        <v>79.3580000000001</v>
      </c>
      <c r="S173" s="271">
        <f>IF(AND(ISNUMBER(S171),ISNUMBER(S172)),S171+S172,"")</f>
        <v>456.676</v>
      </c>
      <c r="T173" s="271">
        <f>IF(AND(ISNUMBER(T171),ISNUMBER(T172)),T171+T172,"")</f>
        <v>112.623</v>
      </c>
      <c r="U173" s="271">
        <f>IF(AND(ISNUMBER(U171),ISNUMBER(U172)),U171+U172,"")</f>
        <v>90.416</v>
      </c>
      <c r="V173" s="271">
        <f>IF(AND(ISNUMBER(V171),ISNUMBER(V172)),V171+V172,"")</f>
        <v>89.688</v>
      </c>
      <c r="W173" s="271">
        <f>IF(AND(ISNUMBER(W171),ISNUMBER(W172)),W171+W172,"")</f>
        <v>75.3820000000001</v>
      </c>
      <c r="X173" s="271">
        <f>IF(AND(ISNUMBER(X171),ISNUMBER(X172)),X171+X172,"")</f>
        <v>368.109000000001</v>
      </c>
      <c r="Y173" s="271">
        <f>IF(AND(ISNUMBER(Y171),ISNUMBER(Y172)),Y171+Y172,"")</f>
        <v>64.2510000000002</v>
      </c>
      <c r="Z173" s="271">
        <f>IF(AND(ISNUMBER(Z171),ISNUMBER(Z172)),Z171+Z172,"")</f>
        <v>84.5010000000002</v>
      </c>
      <c r="AA173" s="271">
        <f>IF(AND(ISNUMBER(AA171),ISNUMBER(AA172)),AA171+AA172,"")</f>
        <v>120.446</v>
      </c>
      <c r="AB173" s="271">
        <f>IF(AND(ISNUMBER(AB171),ISNUMBER(AB172)),AB171+AB172,"")</f>
        <v>168.123</v>
      </c>
      <c r="AC173" s="271">
        <f>IF(AND(ISNUMBER(AC171),ISNUMBER(AC172)),AC171+AC172,"")</f>
        <v>437.321</v>
      </c>
      <c r="AD173" s="271">
        <f>IF(AND(ISNUMBER(AD171),ISNUMBER(AD172)),AD171+AD172,"")</f>
        <v>271.991</v>
      </c>
      <c r="AE173" s="271">
        <f>IF(AND(ISNUMBER(AE171),ISNUMBER(AE172)),AE171+AE172,"")</f>
        <v>146.358</v>
      </c>
      <c r="AF173" s="271">
        <f>IF(AND(ISNUMBER(AF171),ISNUMBER(AF172)),AF171+AF172,"")</f>
        <v>227.865</v>
      </c>
      <c r="AG173" s="271">
        <f>IF(AND(ISNUMBER(AG171),ISNUMBER(AG172)),AG171+AG172,"")</f>
        <v>264.376</v>
      </c>
      <c r="AH173" s="271">
        <f>IF(AND(ISNUMBER(AH171),ISNUMBER(AH172)),AH171+AH172,"")</f>
        <v>910.59</v>
      </c>
      <c r="AI173" s="271">
        <f>IF(AND(ISNUMBER(AI171),ISNUMBER(AI172)),AI171+AI172,"")</f>
        <v>465.619</v>
      </c>
      <c r="AJ173" s="271">
        <f>IF(AND(ISNUMBER(AJ171),ISNUMBER(AJ172)),AJ171+AJ172,"")</f>
        <v>481.949</v>
      </c>
      <c r="AK173" s="271">
        <f>IF(AND(ISNUMBER(AK171),ISNUMBER(AK172)),AK171+AK172,"")</f>
        <v>501.829</v>
      </c>
      <c r="AL173" s="271">
        <f>IF(AND(ISNUMBER(AL171),ISNUMBER(AL172)),AL171+AL172,"")</f>
        <v>238.986</v>
      </c>
      <c r="AM173" s="271">
        <f>IF(AND(ISNUMBER(AM171),ISNUMBER(AM172)),AM171+AM172,"")</f>
        <v>1688.383</v>
      </c>
      <c r="AN173" s="271">
        <f>IF(AND(ISNUMBER(AN171),ISNUMBER(AN172)),AN171+AN172,"")</f>
        <v>482.645</v>
      </c>
      <c r="AO173" s="271">
        <f>IF(AND(ISNUMBER(AO171),ISNUMBER(AO172)),AO171+AO172,"")</f>
        <v>731.915</v>
      </c>
      <c r="AP173" s="271">
        <f>IF(AND(ISNUMBER(AP171),ISNUMBER(AP172)),AP171+AP172,"")</f>
        <v>1006.943</v>
      </c>
      <c r="AQ173" s="271">
        <f>IF(AND(ISNUMBER(AQ171),ISNUMBER(AQ172)),AQ171+AQ172,"")</f>
        <v>486.33</v>
      </c>
      <c r="AR173" s="271">
        <f>IF(AND(ISNUMBER(AR171),ISNUMBER(AR172)),AR171+AR172,"")</f>
        <v>2707.833</v>
      </c>
      <c r="AS173" s="271">
        <f>IF(AND(ISNUMBER(AS171),ISNUMBER(AS172)),AS171+AS172,"")</f>
        <v>986.773</v>
      </c>
      <c r="AT173" s="271">
        <f>IF(AND(ISNUMBER(AT171),ISNUMBER(AT172)),AT171+AT172,"")</f>
        <v>1384.589</v>
      </c>
      <c r="AU173" s="271">
        <f>IF(AND(ISNUMBER(AU171),ISNUMBER(AU172)),AU171+AU172,"")</f>
        <v>1343.452</v>
      </c>
      <c r="AV173" s="271">
        <f>IF(AND(ISNUMBER(AV171),ISNUMBER(AV172)),AV171+AV172,"")</f>
        <v>986.185</v>
      </c>
      <c r="AW173" s="271">
        <f>IF(AND(ISNUMBER(AW171),ISNUMBER(AW172)),AW171+AW172,"")</f>
        <v>4700.999</v>
      </c>
      <c r="AX173" s="271">
        <f>IF(AND(ISNUMBER(AX171),ISNUMBER(AX172)),AX171+AX172,"")</f>
        <v>1995.597</v>
      </c>
      <c r="AY173" s="271">
        <f>IF(AND(ISNUMBER(AY171),ISNUMBER(AY172)),AY171+AY172,"")</f>
        <v>1886.064</v>
      </c>
      <c r="AZ173" s="271">
        <f>IF(AND(ISNUMBER(AZ171),ISNUMBER(AZ172)),AZ171+AZ172,"")</f>
        <v>1825.506</v>
      </c>
      <c r="BA173" s="271">
        <f>IF(AND(ISNUMBER(BA171),ISNUMBER(BA172)),BA171+BA172,"")</f>
        <v>695.754000000001</v>
      </c>
      <c r="BB173" s="271">
        <f>IF(AND(ISNUMBER(BB171),ISNUMBER(BB172)),BB171+BB172,"")</f>
        <v>6402.921</v>
      </c>
      <c r="BC173" s="271">
        <f>IF(AND(ISNUMBER(BC171),ISNUMBER(BC172)),BC171+BC172,"")</f>
        <v>2046.228</v>
      </c>
      <c r="BD173" s="271">
        <f>IF(AND(ISNUMBER(BD171),ISNUMBER(BD172)),BD171+BD172,"")</f>
        <v>1661.788</v>
      </c>
      <c r="BE173" s="271">
        <f>IF(AND(ISNUMBER(BE171),ISNUMBER(BE172)),BE171+BE172,"")</f>
        <v>1618.206</v>
      </c>
      <c r="BF173" s="271">
        <f>IF(AND(ISNUMBER(BF171),ISNUMBER(BF172)),BF171+BF172,"")</f>
        <v>643.291</v>
      </c>
      <c r="BG173" s="271">
        <f>IF(AND(ISNUMBER(BG171),ISNUMBER(BG172)),BG171+BG172,"")</f>
        <v>5969.513</v>
      </c>
      <c r="BH173" s="271">
        <f>IF(AND(ISNUMBER(BH171),ISNUMBER(BH172)),BH171+BH172,"")</f>
        <v>1804.652</v>
      </c>
      <c r="BI173" s="271">
        <f>IF(AND(ISNUMBER(BI171),ISNUMBER(BI172)),BI171+BI172,"")</f>
        <v>1916.568</v>
      </c>
      <c r="BJ173" s="271">
        <f>IF(AND(ISNUMBER(BJ171),ISNUMBER(BJ172)),BJ171+BJ172,"")</f>
        <v>2007.054</v>
      </c>
      <c r="BK173" s="271">
        <f>IF(AND(ISNUMBER(BK171),ISNUMBER(BK172)),BK171+BK172,"")</f>
        <v>1582.676</v>
      </c>
      <c r="BL173" s="271">
        <f>IF(AND(ISNUMBER(BL171),ISNUMBER(BL172)),BL171+BL172,"")</f>
        <v>7310.95</v>
      </c>
      <c r="BM173" s="271">
        <f>IF(AND(ISNUMBER(BM171),ISNUMBER(BM172)),BM171+BM172,"")</f>
        <v>2719.768</v>
      </c>
      <c r="BN173" s="271">
        <f>IF(AND(ISNUMBER(BN171),ISNUMBER(BN172)),BN171+BN172,"")</f>
        <v>2684.064</v>
      </c>
      <c r="BO173" s="271">
        <f>IF(AND(ISNUMBER(BO171),ISNUMBER(BO172)),BO171+BO172,"")</f>
        <v>2990.391</v>
      </c>
      <c r="BP173" s="271">
        <f>IF(AND(ISNUMBER(BP171),ISNUMBER(BP172)),BP171+BP172,"")</f>
        <v>2352.305</v>
      </c>
      <c r="BQ173" s="271">
        <f>IF(AND(ISNUMBER(BQ171),ISNUMBER(BQ172)),BQ171+BQ172,"")</f>
        <v>10746.528</v>
      </c>
      <c r="BR173" s="271">
        <f>IF(AND(ISNUMBER(BR171),ISNUMBER(BR172)),BR171+BR172,"")</f>
        <v>3427.066</v>
      </c>
      <c r="BS173" s="271">
        <f>IF(AND(ISNUMBER(BS171),ISNUMBER(BS172)),BS171+BS172,"")</f>
        <v>3854.707</v>
      </c>
      <c r="BT173" s="271">
        <f>IF(AND(ISNUMBER(BT171),ISNUMBER(BT172)),BT171+BT172,"")</f>
        <v>3335.573</v>
      </c>
      <c r="BU173" s="271">
        <f>IF(AND(ISNUMBER(BU171),ISNUMBER(BU172)),BU171+BU172,"")</f>
        <v>3042.646</v>
      </c>
      <c r="BV173" s="271">
        <f>IF(AND(ISNUMBER(BV171),ISNUMBER(BV172)),BV171+BV172,"")</f>
        <v>13659.992</v>
      </c>
      <c r="BW173" s="271">
        <f>IF(AND(ISNUMBER(BW171),ISNUMBER(BW172)),BW171+BW172,"")</f>
        <v>4055.572</v>
      </c>
      <c r="BX173" s="271">
        <f>IF(AND(ISNUMBER(BX171),ISNUMBER(BX172)),BX171+BX172,"")</f>
        <v>4293.14</v>
      </c>
      <c r="BY173" s="271">
        <f>IF(AND(ISNUMBER(BY171),ISNUMBER(BY172)),BY171+BY172,"")</f>
        <v>4378.13471283109</v>
      </c>
      <c r="BZ173" s="271">
        <f>IF(AND(ISNUMBER(BZ171),ISNUMBER(BZ172)),BZ171+BZ172,"")</f>
        <v>3815.81731043853</v>
      </c>
      <c r="CA173" s="271">
        <f>IF(AND(ISNUMBER(CA171),ISNUMBER(CA172)),CA171+CA172,"")</f>
        <v>16542.6640232696</v>
      </c>
      <c r="CB173" s="271">
        <f>IF(AND(ISNUMBER(CB171),ISNUMBER(CB172)),CB171+CB172,"")</f>
        <v>19406.7058237298</v>
      </c>
      <c r="CC173" s="271">
        <f>IF(AND(ISNUMBER(CC171),ISNUMBER(CC172)),CC171+CC172,"")</f>
        <v>22184.7989378257</v>
      </c>
      <c r="CD173" s="271">
        <f>IF(AND(ISNUMBER(CD171),ISNUMBER(CD172)),CD171+CD172,"")</f>
        <v>25089.337707919</v>
      </c>
      <c r="CE173" s="271">
        <f>IF(AND(ISNUMBER(CE171),ISNUMBER(CE172)),CE171+CE172,"")</f>
        <v>27763.7392652661</v>
      </c>
      <c r="CF173" s="271">
        <f>IF(AND(ISNUMBER(CF171),ISNUMBER(CF172)),CF171+CF172,"")</f>
        <v>30479.5095624167</v>
      </c>
      <c r="CG173" s="153" t="n"/>
      <c r="CI173" s="20">
        <f>IFERROR((CF173/CA173)^(1/5)-1,"n/m")</f>
        <v>0.130005364004314</v>
      </c>
      <c r="CJ173" s="20">
        <f>IFERROR((BV173/AW173)^(1/5)-1,"n/m")</f>
        <v>0.237804500043458</v>
      </c>
      <c r="CK173" s="20">
        <f>IFERROR((BV173/X173)^(1/10)-1,"n/m")</f>
        <v>0.43531558623084</v>
      </c>
      <c r="CL173" s="20">
        <f>IFERROR((BV173/C173)^(1/19)-1,"n/m")</f>
        <v>0.310395102879387</v>
      </c>
    </row>
    <row r="174" ht="15" customHeight="1" s="251">
      <c r="B174" s="25" t="inlineStr">
        <is>
          <t xml:space="preserve">  (+) Stock-based compensation</t>
        </is>
      </c>
      <c r="C174" s="264">
        <f>C112</f>
        <v>12.696</v>
      </c>
      <c r="D174" s="264">
        <f>D112</f>
        <v>11.976</v>
      </c>
      <c r="E174" s="264">
        <f>E112</f>
        <v>12.264</v>
      </c>
      <c r="F174" s="264">
        <f>F112</f>
        <v>12.618</v>
      </c>
      <c r="G174" s="264">
        <f>G112</f>
        <v>27.996</v>
      </c>
      <c r="H174" s="264">
        <f>H112</f>
        <v>61.582</v>
      </c>
      <c r="I174" s="264">
        <f>I112</f>
        <v>73.948</v>
      </c>
      <c r="J174" s="264">
        <f>J112</f>
        <v>17.746</v>
      </c>
      <c r="K174" s="264">
        <f>K112</f>
        <v>17.955</v>
      </c>
      <c r="L174" s="264">
        <f>L112</f>
        <v>18.477</v>
      </c>
      <c r="M174" s="264">
        <f>M112</f>
        <v>18.922</v>
      </c>
      <c r="N174" s="264">
        <f>N112</f>
        <v>73.1</v>
      </c>
      <c r="O174" s="264">
        <f>O112</f>
        <v>25.825</v>
      </c>
      <c r="P174" s="264">
        <f>P112</f>
        <v>29.285</v>
      </c>
      <c r="Q174" s="264">
        <f>Q112</f>
        <v>29.878</v>
      </c>
      <c r="R174" s="264">
        <f>R112</f>
        <v>30.251</v>
      </c>
      <c r="S174" s="264">
        <f>S112</f>
        <v>115.239</v>
      </c>
      <c r="T174" s="264">
        <f>T112</f>
        <v>27.441</v>
      </c>
      <c r="U174" s="264">
        <f>U112</f>
        <v>28.59</v>
      </c>
      <c r="V174" s="264">
        <f>V112</f>
        <v>32.834</v>
      </c>
      <c r="W174" s="264">
        <f>W112</f>
        <v>35.86</v>
      </c>
      <c r="X174" s="264">
        <f>X112</f>
        <v>124.725</v>
      </c>
      <c r="Y174" s="264">
        <f>Y112</f>
        <v>42.422</v>
      </c>
      <c r="Z174" s="264">
        <f>Z112</f>
        <v>44.112</v>
      </c>
      <c r="AA174" s="264">
        <f>AA112</f>
        <v>43.495</v>
      </c>
      <c r="AB174" s="264">
        <f>AB112</f>
        <v>43.646</v>
      </c>
      <c r="AC174" s="264">
        <f>AC112</f>
        <v>173.675</v>
      </c>
      <c r="AD174" s="264">
        <f>AD112</f>
        <v>44.888</v>
      </c>
      <c r="AE174" s="264">
        <f>AE112</f>
        <v>44.028</v>
      </c>
      <c r="AF174" s="264">
        <f>AF112</f>
        <v>44.763</v>
      </c>
      <c r="AG174" s="264">
        <f>AG112</f>
        <v>48.53</v>
      </c>
      <c r="AH174" s="264">
        <f>AH112</f>
        <v>182.209</v>
      </c>
      <c r="AI174" s="264">
        <f>AI112</f>
        <v>68.395</v>
      </c>
      <c r="AJ174" s="264">
        <f>AJ112</f>
        <v>81.232</v>
      </c>
      <c r="AK174" s="264">
        <f>AK112</f>
        <v>82.316</v>
      </c>
      <c r="AL174" s="264">
        <f>AL112</f>
        <v>88.714</v>
      </c>
      <c r="AM174" s="264">
        <f>AM112</f>
        <v>320.657</v>
      </c>
      <c r="AN174" s="264">
        <f>AN112</f>
        <v>101.2</v>
      </c>
      <c r="AO174" s="264">
        <f>AO112</f>
        <v>103.848</v>
      </c>
      <c r="AP174" s="264">
        <f>AP112</f>
        <v>100.262</v>
      </c>
      <c r="AQ174" s="264">
        <f>AQ112</f>
        <v>100.066</v>
      </c>
      <c r="AR174" s="264">
        <f>AR112</f>
        <v>405.376</v>
      </c>
      <c r="AS174" s="264">
        <f>AS112</f>
        <v>97.019</v>
      </c>
      <c r="AT174" s="264">
        <f>AT112</f>
        <v>104.21</v>
      </c>
      <c r="AU174" s="264">
        <f>AU112</f>
        <v>106.357</v>
      </c>
      <c r="AV174" s="264">
        <f>AV112</f>
        <v>107.594</v>
      </c>
      <c r="AW174" s="264">
        <f>AW112</f>
        <v>415.18</v>
      </c>
      <c r="AX174" s="264">
        <f>AX112</f>
        <v>107.23</v>
      </c>
      <c r="AY174" s="264">
        <f>AY112</f>
        <v>101.583</v>
      </c>
      <c r="AZ174" s="264">
        <f>AZ112</f>
        <v>95.078</v>
      </c>
      <c r="BA174" s="264">
        <f>BA112</f>
        <v>99.329</v>
      </c>
      <c r="BB174" s="264">
        <f>BB112</f>
        <v>403.22</v>
      </c>
      <c r="BC174" s="264">
        <f>BC112</f>
        <v>119.209</v>
      </c>
      <c r="BD174" s="264">
        <f>BD112</f>
        <v>150.392</v>
      </c>
      <c r="BE174" s="264">
        <f>BE112</f>
        <v>152.062</v>
      </c>
      <c r="BF174" s="264">
        <f>BF112</f>
        <v>153.789</v>
      </c>
      <c r="BG174" s="264">
        <f>BG112</f>
        <v>575.452</v>
      </c>
      <c r="BH174" s="264">
        <f>BH112</f>
        <v>99.099</v>
      </c>
      <c r="BI174" s="264">
        <f>BI112</f>
        <v>78.03</v>
      </c>
      <c r="BJ174" s="264">
        <f>BJ112</f>
        <v>79.72</v>
      </c>
      <c r="BK174" s="264">
        <f>BK112</f>
        <v>82.519</v>
      </c>
      <c r="BL174" s="264">
        <f>BL112</f>
        <v>339.368</v>
      </c>
      <c r="BM174" s="264">
        <f>BM112</f>
        <v>76.345</v>
      </c>
      <c r="BN174" s="264">
        <f>BN112</f>
        <v>68.766</v>
      </c>
      <c r="BO174" s="264">
        <f>BO112</f>
        <v>65.65</v>
      </c>
      <c r="BP174" s="264">
        <f>BP112</f>
        <v>61.827</v>
      </c>
      <c r="BQ174" s="264">
        <f>BQ112</f>
        <v>272.588</v>
      </c>
      <c r="BR174" s="264">
        <f>BR112</f>
        <v>71.977</v>
      </c>
      <c r="BS174" s="264">
        <f>BS112</f>
        <v>80.862</v>
      </c>
      <c r="BT174" s="264">
        <f>BT112</f>
        <v>80.986</v>
      </c>
      <c r="BU174" s="264">
        <f>BU112</f>
        <v>134.624</v>
      </c>
      <c r="BV174" s="264">
        <f>BV112</f>
        <v>368.449</v>
      </c>
      <c r="BW174" s="264">
        <f>BW112</f>
        <v>140.405</v>
      </c>
      <c r="BX174" s="264">
        <f>BX112</f>
        <v>131.312</v>
      </c>
      <c r="BY174" s="254">
        <f>BY112</f>
        <v>143.976818495279</v>
      </c>
      <c r="BZ174" s="254">
        <f>BZ112</f>
        <v>239.334393760755</v>
      </c>
      <c r="CA174" s="254">
        <f>CA112</f>
        <v>655.028212256034</v>
      </c>
      <c r="CB174" s="254">
        <f>CB112</f>
        <v>622.372489973843</v>
      </c>
      <c r="CC174" s="254">
        <f>CC112</f>
        <v>681.655833285147</v>
      </c>
      <c r="CD174" s="254">
        <f>CD112</f>
        <v>739.900039643723</v>
      </c>
      <c r="CE174" s="254">
        <f>CE112</f>
        <v>797.391989341846</v>
      </c>
      <c r="CF174" s="254">
        <f>CF112</f>
        <v>853.116043731765</v>
      </c>
      <c r="CG174" s="19" t="n"/>
    </row>
    <row r="175" ht="15" customHeight="1" s="251">
      <c r="B175" s="55" t="inlineStr">
        <is>
          <t xml:space="preserve">  = Adjusted EBITDA (company definition)</t>
        </is>
      </c>
      <c r="C175" s="271">
        <f>IF(AND(ISNUMBER(C173),ISNUMBER(C174)),C173+C174,"")</f>
        <v>93.013</v>
      </c>
      <c r="D175" s="271">
        <f>IF(AND(ISNUMBER(D173),ISNUMBER(D174)),D173+D174,"")</f>
        <v>124.531</v>
      </c>
      <c r="E175" s="271">
        <f>IF(AND(ISNUMBER(E173),ISNUMBER(E174)),E173+E174,"")</f>
        <v>166.224</v>
      </c>
      <c r="F175" s="271">
        <f>IF(AND(ISNUMBER(F173),ISNUMBER(F174)),F173+F174,"")</f>
        <v>242.601</v>
      </c>
      <c r="G175" s="271">
        <f>IF(AND(ISNUMBER(G173),ISNUMBER(G174)),G173+G174,"")</f>
        <v>349.736</v>
      </c>
      <c r="H175" s="271">
        <f>IF(AND(ISNUMBER(H173),ISNUMBER(H174)),H173+H174,"")</f>
        <v>481.397</v>
      </c>
      <c r="I175" s="271">
        <f>IF(AND(ISNUMBER(I173),ISNUMBER(I174)),I173+I174,"")</f>
        <v>169.409</v>
      </c>
      <c r="J175" s="271">
        <f>IF(AND(ISNUMBER(J173),ISNUMBER(J174)),J173+J174,"")</f>
        <v>61.619</v>
      </c>
      <c r="K175" s="271">
        <f>IF(AND(ISNUMBER(K173),ISNUMBER(K174)),K173+K174,"")</f>
        <v>87.0980000000001</v>
      </c>
      <c r="L175" s="271">
        <f>IF(AND(ISNUMBER(L173),ISNUMBER(L174)),L173+L174,"")</f>
        <v>87.049</v>
      </c>
      <c r="M175" s="271">
        <f>IF(AND(ISNUMBER(M173),ISNUMBER(M174)),M173+M174,"")</f>
        <v>114.055</v>
      </c>
      <c r="N175" s="271">
        <f>IF(AND(ISNUMBER(N173),ISNUMBER(N174)),N173+N174,"")</f>
        <v>349.821</v>
      </c>
      <c r="O175" s="271">
        <f>IF(AND(ISNUMBER(O173),ISNUMBER(O174)),O173+O174,"")</f>
        <v>135.802</v>
      </c>
      <c r="P175" s="271">
        <f>IF(AND(ISNUMBER(P173),ISNUMBER(P174)),P173+P174,"")</f>
        <v>171.862</v>
      </c>
      <c r="Q175" s="271">
        <f>IF(AND(ISNUMBER(Q173),ISNUMBER(Q174)),Q173+Q174,"")</f>
        <v>154.642</v>
      </c>
      <c r="R175" s="271">
        <f>IF(AND(ISNUMBER(R173),ISNUMBER(R174)),R173+R174,"")</f>
        <v>109.609</v>
      </c>
      <c r="S175" s="271">
        <f>IF(AND(ISNUMBER(S173),ISNUMBER(S174)),S173+S174,"")</f>
        <v>571.915</v>
      </c>
      <c r="T175" s="271">
        <f>IF(AND(ISNUMBER(T173),ISNUMBER(T174)),T173+T174,"")</f>
        <v>140.064</v>
      </c>
      <c r="U175" s="271">
        <f>IF(AND(ISNUMBER(U173),ISNUMBER(U174)),U173+U174,"")</f>
        <v>119.006</v>
      </c>
      <c r="V175" s="271">
        <f>IF(AND(ISNUMBER(V173),ISNUMBER(V174)),V173+V174,"")</f>
        <v>122.522</v>
      </c>
      <c r="W175" s="271">
        <f>IF(AND(ISNUMBER(W173),ISNUMBER(W174)),W173+W174,"")</f>
        <v>111.242</v>
      </c>
      <c r="X175" s="271">
        <f>IF(AND(ISNUMBER(X173),ISNUMBER(X174)),X173+X174,"")</f>
        <v>492.834000000001</v>
      </c>
      <c r="Y175" s="271">
        <f>IF(AND(ISNUMBER(Y173),ISNUMBER(Y174)),Y173+Y174,"")</f>
        <v>106.673</v>
      </c>
      <c r="Z175" s="271">
        <f>IF(AND(ISNUMBER(Z173),ISNUMBER(Z174)),Z173+Z174,"")</f>
        <v>128.613</v>
      </c>
      <c r="AA175" s="271">
        <f>IF(AND(ISNUMBER(AA173),ISNUMBER(AA174)),AA173+AA174,"")</f>
        <v>163.941</v>
      </c>
      <c r="AB175" s="271">
        <f>IF(AND(ISNUMBER(AB173),ISNUMBER(AB174)),AB173+AB174,"")</f>
        <v>211.769</v>
      </c>
      <c r="AC175" s="271">
        <f>IF(AND(ISNUMBER(AC173),ISNUMBER(AC174)),AC173+AC174,"")</f>
        <v>610.996</v>
      </c>
      <c r="AD175" s="271">
        <f>IF(AND(ISNUMBER(AD173),ISNUMBER(AD174)),AD173+AD174,"")</f>
        <v>316.879</v>
      </c>
      <c r="AE175" s="271">
        <f>IF(AND(ISNUMBER(AE173),ISNUMBER(AE174)),AE173+AE174,"")</f>
        <v>190.386</v>
      </c>
      <c r="AF175" s="271">
        <f>IF(AND(ISNUMBER(AF173),ISNUMBER(AF174)),AF173+AF174,"")</f>
        <v>272.628</v>
      </c>
      <c r="AG175" s="271">
        <f>IF(AND(ISNUMBER(AG173),ISNUMBER(AG174)),AG173+AG174,"")</f>
        <v>312.906</v>
      </c>
      <c r="AH175" s="271">
        <f>IF(AND(ISNUMBER(AH173),ISNUMBER(AH174)),AH173+AH174,"")</f>
        <v>1092.799</v>
      </c>
      <c r="AI175" s="271">
        <f>IF(AND(ISNUMBER(AI173),ISNUMBER(AI174)),AI173+AI174,"")</f>
        <v>534.014</v>
      </c>
      <c r="AJ175" s="271">
        <f>IF(AND(ISNUMBER(AJ173),ISNUMBER(AJ174)),AJ173+AJ174,"")</f>
        <v>563.181</v>
      </c>
      <c r="AK175" s="271">
        <f>IF(AND(ISNUMBER(AK173),ISNUMBER(AK174)),AK173+AK174,"")</f>
        <v>584.145</v>
      </c>
      <c r="AL175" s="271">
        <f>IF(AND(ISNUMBER(AL173),ISNUMBER(AL174)),AL173+AL174,"")</f>
        <v>327.7</v>
      </c>
      <c r="AM175" s="271">
        <f>IF(AND(ISNUMBER(AM173),ISNUMBER(AM174)),AM173+AM174,"")</f>
        <v>2009.04</v>
      </c>
      <c r="AN175" s="271">
        <f>IF(AND(ISNUMBER(AN173),ISNUMBER(AN174)),AN173+AN174,"")</f>
        <v>583.845</v>
      </c>
      <c r="AO175" s="271">
        <f>IF(AND(ISNUMBER(AO173),ISNUMBER(AO174)),AO173+AO174,"")</f>
        <v>835.763</v>
      </c>
      <c r="AP175" s="271">
        <f>IF(AND(ISNUMBER(AP173),ISNUMBER(AP174)),AP173+AP174,"")</f>
        <v>1107.205</v>
      </c>
      <c r="AQ175" s="271">
        <f>IF(AND(ISNUMBER(AQ173),ISNUMBER(AQ174)),AQ173+AQ174,"")</f>
        <v>586.396</v>
      </c>
      <c r="AR175" s="271">
        <f>IF(AND(ISNUMBER(AR173),ISNUMBER(AR174)),AR173+AR174,"")</f>
        <v>3113.209</v>
      </c>
      <c r="AS175" s="271">
        <f>IF(AND(ISNUMBER(AS173),ISNUMBER(AS174)),AS173+AS174,"")</f>
        <v>1083.792</v>
      </c>
      <c r="AT175" s="271">
        <f>IF(AND(ISNUMBER(AT173),ISNUMBER(AT174)),AT173+AT174,"")</f>
        <v>1488.799</v>
      </c>
      <c r="AU175" s="271">
        <f>IF(AND(ISNUMBER(AU173),ISNUMBER(AU174)),AU173+AU174,"")</f>
        <v>1449.809</v>
      </c>
      <c r="AV175" s="271">
        <f>IF(AND(ISNUMBER(AV173),ISNUMBER(AV174)),AV173+AV174,"")</f>
        <v>1093.779</v>
      </c>
      <c r="AW175" s="271">
        <f>IF(AND(ISNUMBER(AW173),ISNUMBER(AW174)),AW173+AW174,"")</f>
        <v>5116.179</v>
      </c>
      <c r="AX175" s="271">
        <f>IF(AND(ISNUMBER(AX173),ISNUMBER(AX174)),AX173+AX174,"")</f>
        <v>2102.827</v>
      </c>
      <c r="AY175" s="271">
        <f>IF(AND(ISNUMBER(AY173),ISNUMBER(AY174)),AY173+AY174,"")</f>
        <v>1987.647</v>
      </c>
      <c r="AZ175" s="271">
        <f>IF(AND(ISNUMBER(AZ173),ISNUMBER(AZ174)),AZ173+AZ174,"")</f>
        <v>1920.584</v>
      </c>
      <c r="BA175" s="271">
        <f>IF(AND(ISNUMBER(BA173),ISNUMBER(BA174)),BA173+BA174,"")</f>
        <v>795.083000000001</v>
      </c>
      <c r="BB175" s="271">
        <f>IF(AND(ISNUMBER(BB173),ISNUMBER(BB174)),BB173+BB174,"")</f>
        <v>6806.141</v>
      </c>
      <c r="BC175" s="271">
        <f>IF(AND(ISNUMBER(BC173),ISNUMBER(BC174)),BC173+BC174,"")</f>
        <v>2165.437</v>
      </c>
      <c r="BD175" s="271">
        <f>IF(AND(ISNUMBER(BD173),ISNUMBER(BD174)),BD173+BD174,"")</f>
        <v>1812.18</v>
      </c>
      <c r="BE175" s="271">
        <f>IF(AND(ISNUMBER(BE173),ISNUMBER(BE174)),BE173+BE174,"")</f>
        <v>1770.268</v>
      </c>
      <c r="BF175" s="271">
        <f>IF(AND(ISNUMBER(BF173),ISNUMBER(BF174)),BF173+BF174,"")</f>
        <v>797.08</v>
      </c>
      <c r="BG175" s="271">
        <f>IF(AND(ISNUMBER(BG173),ISNUMBER(BG174)),BG173+BG174,"")</f>
        <v>6544.965</v>
      </c>
      <c r="BH175" s="271">
        <f>IF(AND(ISNUMBER(BH173),ISNUMBER(BH174)),BH173+BH174,"")</f>
        <v>1903.751</v>
      </c>
      <c r="BI175" s="271">
        <f>IF(AND(ISNUMBER(BI173),ISNUMBER(BI174)),BI173+BI174,"")</f>
        <v>1994.598</v>
      </c>
      <c r="BJ175" s="271">
        <f>IF(AND(ISNUMBER(BJ173),ISNUMBER(BJ174)),BJ173+BJ174,"")</f>
        <v>2086.774</v>
      </c>
      <c r="BK175" s="271">
        <f>IF(AND(ISNUMBER(BK173),ISNUMBER(BK174)),BK173+BK174,"")</f>
        <v>1665.195</v>
      </c>
      <c r="BL175" s="271">
        <f>IF(AND(ISNUMBER(BL173),ISNUMBER(BL174)),BL173+BL174,"")</f>
        <v>7650.318</v>
      </c>
      <c r="BM175" s="271">
        <f>IF(AND(ISNUMBER(BM173),ISNUMBER(BM174)),BM173+BM174,"")</f>
        <v>2796.113</v>
      </c>
      <c r="BN175" s="271">
        <f>IF(AND(ISNUMBER(BN173),ISNUMBER(BN174)),BN173+BN174,"")</f>
        <v>2752.83</v>
      </c>
      <c r="BO175" s="271">
        <f>IF(AND(ISNUMBER(BO173),ISNUMBER(BO174)),BO173+BO174,"")</f>
        <v>3056.041</v>
      </c>
      <c r="BP175" s="271">
        <f>IF(AND(ISNUMBER(BP173),ISNUMBER(BP174)),BP173+BP174,"")</f>
        <v>2414.132</v>
      </c>
      <c r="BQ175" s="271">
        <f>IF(AND(ISNUMBER(BQ173),ISNUMBER(BQ174)),BQ173+BQ174,"")</f>
        <v>11019.116</v>
      </c>
      <c r="BR175" s="271">
        <f>IF(AND(ISNUMBER(BR173),ISNUMBER(BR174)),BR173+BR174,"")</f>
        <v>3499.043</v>
      </c>
      <c r="BS175" s="271">
        <f>IF(AND(ISNUMBER(BS173),ISNUMBER(BS174)),BS173+BS174,"")</f>
        <v>3935.569</v>
      </c>
      <c r="BT175" s="271">
        <f>IF(AND(ISNUMBER(BT173),ISNUMBER(BT174)),BT173+BT174,"")</f>
        <v>3416.559</v>
      </c>
      <c r="BU175" s="271">
        <f>IF(AND(ISNUMBER(BU173),ISNUMBER(BU174)),BU173+BU174,"")</f>
        <v>3177.27</v>
      </c>
      <c r="BV175" s="271">
        <f>IF(AND(ISNUMBER(BV173),ISNUMBER(BV174)),BV173+BV174,"")</f>
        <v>14028.441</v>
      </c>
      <c r="BW175" s="271">
        <f>IF(AND(ISNUMBER(BW173),ISNUMBER(BW174)),BW173+BW174,"")</f>
        <v>4195.977</v>
      </c>
      <c r="BX175" s="271">
        <f>IF(AND(ISNUMBER(BX173),ISNUMBER(BX174)),BX173+BX174,"")</f>
        <v>4424.452</v>
      </c>
      <c r="BY175" s="271">
        <f>IF(AND(ISNUMBER(BY173),ISNUMBER(BY174)),BY173+BY174,"")</f>
        <v>4522.11153132636</v>
      </c>
      <c r="BZ175" s="271">
        <f>IF(AND(ISNUMBER(BZ173),ISNUMBER(BZ174)),BZ173+BZ174,"")</f>
        <v>4055.15170419928</v>
      </c>
      <c r="CA175" s="271">
        <f>IF(AND(ISNUMBER(CA173),ISNUMBER(CA174)),CA173+CA174,"")</f>
        <v>17197.6922355257</v>
      </c>
      <c r="CB175" s="271">
        <f>IF(AND(ISNUMBER(CB173),ISNUMBER(CB174)),CB173+CB174,"")</f>
        <v>20029.0783137037</v>
      </c>
      <c r="CC175" s="271">
        <f>IF(AND(ISNUMBER(CC173),ISNUMBER(CC174)),CC173+CC174,"")</f>
        <v>22866.4547711109</v>
      </c>
      <c r="CD175" s="271">
        <f>IF(AND(ISNUMBER(CD173),ISNUMBER(CD174)),CD173+CD174,"")</f>
        <v>25829.2377475627</v>
      </c>
      <c r="CE175" s="271">
        <f>IF(AND(ISNUMBER(CE173),ISNUMBER(CE174)),CE173+CE174,"")</f>
        <v>28561.1312546079</v>
      </c>
      <c r="CF175" s="271">
        <f>IF(AND(ISNUMBER(CF173),ISNUMBER(CF174)),CF173+CF174,"")</f>
        <v>31332.6256061485</v>
      </c>
      <c r="CG175" s="153" t="inlineStr">
        <is>
          <t>Company definition (letters Q2-15 – Q1-23, quarters Q2-14 – Q1-23); rebuilt on the same definition in every other period. Leverage and EV / EBITDA use it.</t>
        </is>
      </c>
      <c r="CI175" s="20">
        <f>IFERROR((CF175/CA175)^(1/5)-1,"n/m")</f>
        <v>0.127470852668705</v>
      </c>
      <c r="CJ175" s="20">
        <f>IFERROR((BV175/AW175)^(1/5)-1,"n/m")</f>
        <v>0.223524685102956</v>
      </c>
      <c r="CK175" s="20">
        <f>IFERROR((BV175/X175)^(1/10)-1,"n/m")</f>
        <v>0.397754421831002</v>
      </c>
      <c r="CL175" s="20">
        <f>IFERROR((BV175/C175)^(1/19)-1,"n/m")</f>
        <v>0.302135240118084</v>
      </c>
    </row>
    <row r="176" ht="15" customHeight="1" s="251">
      <c r="B176" s="25" t="inlineStr">
        <is>
          <t xml:space="preserve">  Adjusted EBITDA margin %</t>
        </is>
      </c>
      <c r="C176" s="215">
        <f>IF(AND(ISNUMBER(C175),ISNUMBER(C121)),IFERROR(C175/C121,""),"")</f>
        <v>0.0933247045130736</v>
      </c>
      <c r="D176" s="215">
        <f>IF(AND(ISNUMBER(D175),ISNUMBER(D121)),IFERROR(D175/D121,""),"")</f>
        <v>0.103316076791611</v>
      </c>
      <c r="E176" s="215">
        <f>IF(AND(ISNUMBER(E175),ISNUMBER(E121)),IFERROR(E175/E121,""),"")</f>
        <v>0.121806074915309</v>
      </c>
      <c r="F176" s="215">
        <f>IF(AND(ISNUMBER(F175),ISNUMBER(F121)),IFERROR(F175/F121,""),"")</f>
        <v>0.145246663860731</v>
      </c>
      <c r="G176" s="215">
        <f>IF(AND(ISNUMBER(G175),ISNUMBER(G121)),IFERROR(G175/G121,""),"")</f>
        <v>0.161718282180221</v>
      </c>
      <c r="H176" s="215">
        <f>IF(AND(ISNUMBER(H175),ISNUMBER(H121)),IFERROR(H175/H121,""),"")</f>
        <v>0.150221698526826</v>
      </c>
      <c r="I176" s="215">
        <f>IF(AND(ISNUMBER(I175),ISNUMBER(I121)),IFERROR(I175/I121,""),"")</f>
        <v>0.0469370362304747</v>
      </c>
      <c r="J176" s="215">
        <f>IF(AND(ISNUMBER(J175),ISNUMBER(J121)),IFERROR(J175/J121,""),"")</f>
        <v>0.0601770965886396</v>
      </c>
      <c r="K176" s="215">
        <f>IF(AND(ISNUMBER(K175),ISNUMBER(K121)),IFERROR(K175/K121,""),"")</f>
        <v>0.081447803009617</v>
      </c>
      <c r="L176" s="215">
        <f>IF(AND(ISNUMBER(L175),ISNUMBER(L121)),IFERROR(L175/L121,""),"")</f>
        <v>0.0787062194450447</v>
      </c>
      <c r="M176" s="215">
        <f>IF(AND(ISNUMBER(M175),ISNUMBER(M121)),IFERROR(M175/M121,""),"")</f>
        <v>0.0970490882635739</v>
      </c>
      <c r="N176" s="215">
        <f>IF(AND(ISNUMBER(N175),ISNUMBER(N121)),IFERROR(N175/N121,""),"")</f>
        <v>0.0799670915625382</v>
      </c>
      <c r="O176" s="215">
        <f>IF(AND(ISNUMBER(O175),ISNUMBER(O121)),IFERROR(O175/O121,""),"")</f>
        <v>0.106923215617173</v>
      </c>
      <c r="P176" s="215">
        <f>IF(AND(ISNUMBER(P175),ISNUMBER(P121)),IFERROR(P175/P121,""),"")</f>
        <v>0.128216280577466</v>
      </c>
      <c r="Q176" s="215">
        <f>IF(AND(ISNUMBER(Q175),ISNUMBER(Q121)),IFERROR(Q175/Q121,""),"")</f>
        <v>0.109719376316133</v>
      </c>
      <c r="R176" s="215">
        <f>IF(AND(ISNUMBER(R175),ISNUMBER(R121)),IFERROR(R175/R121,""),"")</f>
        <v>0.0738242964367885</v>
      </c>
      <c r="S176" s="215">
        <f>IF(AND(ISNUMBER(S175),ISNUMBER(S121)),IFERROR(S175/S121,""),"")</f>
        <v>0.103896592266619</v>
      </c>
      <c r="T176" s="215">
        <f>IF(AND(ISNUMBER(T175),ISNUMBER(T121)),IFERROR(T175/T121,""),"")</f>
        <v>0.0890352920834845</v>
      </c>
      <c r="U176" s="215">
        <f>IF(AND(ISNUMBER(U175),ISNUMBER(U121)),IFERROR(U175/U121,""),"")</f>
        <v>0.0723575327690136</v>
      </c>
      <c r="V176" s="215">
        <f>IF(AND(ISNUMBER(V175),ISNUMBER(V121)),IFERROR(V175/V121,""),"")</f>
        <v>0.0704815759726868</v>
      </c>
      <c r="W176" s="215">
        <f>IF(AND(ISNUMBER(W175),ISNUMBER(W121)),IFERROR(W175/W121,""),"")</f>
        <v>0.0610102488135739</v>
      </c>
      <c r="X176" s="215">
        <f>IF(AND(ISNUMBER(X175),ISNUMBER(X121)),IFERROR(X175/X121,""),"")</f>
        <v>0.0726946235502827</v>
      </c>
      <c r="Y176" s="215">
        <f>IF(AND(ISNUMBER(Y175),ISNUMBER(Y121)),IFERROR(Y175/Y121,""),"")</f>
        <v>0.0544879391296887</v>
      </c>
      <c r="Z176" s="215">
        <f>IF(AND(ISNUMBER(Z175),ISNUMBER(Z121)),IFERROR(Z175/Z121,""),"")</f>
        <v>0.0610928917102572</v>
      </c>
      <c r="AA176" s="215">
        <f>IF(AND(ISNUMBER(AA175),ISNUMBER(AA121)),IFERROR(AA175/AA121,""),"")</f>
        <v>0.0715840795602807</v>
      </c>
      <c r="AB176" s="215">
        <f>IF(AND(ISNUMBER(AB175),ISNUMBER(AB121)),IFERROR(AB175/AB121,""),"")</f>
        <v>0.085475477499666</v>
      </c>
      <c r="AC176" s="215">
        <f>IF(AND(ISNUMBER(AC175),ISNUMBER(AC121)),IFERROR(AC175/AC121,""),"")</f>
        <v>0.0691902278298507</v>
      </c>
      <c r="AD176" s="215">
        <f>IF(AND(ISNUMBER(AD175),ISNUMBER(AD121)),IFERROR(AD175/AD121,""),"")</f>
        <v>0.120183112186556</v>
      </c>
      <c r="AE176" s="215">
        <f>IF(AND(ISNUMBER(AE175),ISNUMBER(AE121)),IFERROR(AE175/AE121,""),"")</f>
        <v>0.0683498332773283</v>
      </c>
      <c r="AF176" s="215">
        <f>IF(AND(ISNUMBER(AF175),ISNUMBER(AF121)),IFERROR(AF175/AF121,""),"")</f>
        <v>0.0913369777265861</v>
      </c>
      <c r="AG176" s="215">
        <f>IF(AND(ISNUMBER(AG175),ISNUMBER(AG121)),IFERROR(AG175/AG121,""),"")</f>
        <v>0.0952310808322593</v>
      </c>
      <c r="AH176" s="215">
        <f>IF(AND(ISNUMBER(AH175),ISNUMBER(AH121)),IFERROR(AH175/AH121,""),"")</f>
        <v>0.0934598326325122</v>
      </c>
      <c r="AI176" s="215">
        <f>IF(AND(ISNUMBER(AI175),ISNUMBER(AI121)),IFERROR(AI175/AI121,""),"")</f>
        <v>0.144294725328411</v>
      </c>
      <c r="AJ176" s="215">
        <f>IF(AND(ISNUMBER(AJ175),ISNUMBER(AJ121)),IFERROR(AJ175/AJ121,""),"")</f>
        <v>0.144136699025151</v>
      </c>
      <c r="AK176" s="215">
        <f>IF(AND(ISNUMBER(AK175),ISNUMBER(AK121)),IFERROR(AK175/AK121,""),"")</f>
        <v>0.146059108250441</v>
      </c>
      <c r="AL176" s="215">
        <f>IF(AND(ISNUMBER(AL175),ISNUMBER(AL121)),IFERROR(AL175/AL121,""),"")</f>
        <v>0.0782690338610901</v>
      </c>
      <c r="AM176" s="215">
        <f>IF(AND(ISNUMBER(AM175),ISNUMBER(AM121)),IFERROR(AM175/AM121,""),"")</f>
        <v>0.127199988907419</v>
      </c>
      <c r="AN176" s="215">
        <f>IF(AND(ISNUMBER(AN175),ISNUMBER(AN121)),IFERROR(AN175/AN121,""),"")</f>
        <v>0.129140905358824</v>
      </c>
      <c r="AO176" s="215">
        <f>IF(AND(ISNUMBER(AO175),ISNUMBER(AO121)),IFERROR(AO175/AO121,""),"")</f>
        <v>0.169763011881093</v>
      </c>
      <c r="AP176" s="215">
        <f>IF(AND(ISNUMBER(AP175),ISNUMBER(AP121)),IFERROR(AP175/AP121,""),"")</f>
        <v>0.211101059027761</v>
      </c>
      <c r="AQ176" s="215">
        <f>IF(AND(ISNUMBER(AQ175),ISNUMBER(AQ121)),IFERROR(AQ175/AQ121,""),"")</f>
        <v>0.107252506385994</v>
      </c>
      <c r="AR176" s="215">
        <f>IF(AND(ISNUMBER(AR175),ISNUMBER(AR121)),IFERROR(AR175/AR121,""),"")</f>
        <v>0.154452270283548</v>
      </c>
      <c r="AS176" s="215">
        <f>IF(AND(ISNUMBER(AS175),ISNUMBER(AS121)),IFERROR(AS175/AS121,""),"")</f>
        <v>0.187907431240682</v>
      </c>
      <c r="AT176" s="215">
        <f>IF(AND(ISNUMBER(AT175),ISNUMBER(AT121)),IFERROR(AT175/AT121,""),"")</f>
        <v>0.242148624836255</v>
      </c>
      <c r="AU176" s="215">
        <f>IF(AND(ISNUMBER(AU175),ISNUMBER(AU121)),IFERROR(AU175/AU121,""),"")</f>
        <v>0.225278243629962</v>
      </c>
      <c r="AV176" s="215">
        <f>IF(AND(ISNUMBER(AV175),ISNUMBER(AV121)),IFERROR(AV175/AV121,""),"")</f>
        <v>0.164615629122807</v>
      </c>
      <c r="AW176" s="215">
        <f>IF(AND(ISNUMBER(AW175),ISNUMBER(AW121)),IFERROR(AW175/AW121,""),"")</f>
        <v>0.204679450230068</v>
      </c>
      <c r="AX176" s="215">
        <f>IF(AND(ISNUMBER(AX175),ISNUMBER(AX121)),IFERROR(AX175/AX121,""),"")</f>
        <v>0.293556361455545</v>
      </c>
      <c r="AY176" s="215">
        <f>IF(AND(ISNUMBER(AY175),ISNUMBER(AY121)),IFERROR(AY175/AY121,""),"")</f>
        <v>0.270731050534496</v>
      </c>
      <c r="AZ176" s="215">
        <f>IF(AND(ISNUMBER(AZ175),ISNUMBER(AZ121)),IFERROR(AZ175/AZ121,""),"")</f>
        <v>0.256643611844617</v>
      </c>
      <c r="BA176" s="215">
        <f>IF(AND(ISNUMBER(BA175),ISNUMBER(BA121)),IFERROR(BA175/BA121,""),"")</f>
        <v>0.10313272847222</v>
      </c>
      <c r="BB176" s="215">
        <f>IF(AND(ISNUMBER(BB175),ISNUMBER(BB121)),IFERROR(BB175/BB121,""),"")</f>
        <v>0.229179633376753</v>
      </c>
      <c r="BC176" s="215">
        <f>IF(AND(ISNUMBER(BC175),ISNUMBER(BC121)),IFERROR(BC175/BC121,""),"")</f>
        <v>0.275228918192417</v>
      </c>
      <c r="BD176" s="215">
        <f>IF(AND(ISNUMBER(BD175),ISNUMBER(BD121)),IFERROR(BD175/BD121,""),"")</f>
        <v>0.227371134337523</v>
      </c>
      <c r="BE176" s="215">
        <f>IF(AND(ISNUMBER(BE175),ISNUMBER(BE121)),IFERROR(BE175/BE121,""),"")</f>
        <v>0.223361065026208</v>
      </c>
      <c r="BF176" s="215">
        <f>IF(AND(ISNUMBER(BF175),ISNUMBER(BF121)),IFERROR(BF175/BF121,""),"")</f>
        <v>0.101512305125806</v>
      </c>
      <c r="BG176" s="215">
        <f>IF(AND(ISNUMBER(BG175),ISNUMBER(BG121)),IFERROR(BG175/BG121,""),"")</f>
        <v>0.207017274727152</v>
      </c>
      <c r="BH176" s="215">
        <f>IF(AND(ISNUMBER(BH175),ISNUMBER(BH121)),IFERROR(BH175/BH121,""),"")</f>
        <v>0.233259854220479</v>
      </c>
      <c r="BI176" s="215">
        <f>IF(AND(ISNUMBER(BI175),ISNUMBER(BI121)),IFERROR(BI175/BI121,""),"")</f>
        <v>0.243620944191499</v>
      </c>
      <c r="BJ176" s="215">
        <f>IF(AND(ISNUMBER(BJ175),ISNUMBER(BJ121)),IFERROR(BJ175/BJ121,""),"")</f>
        <v>0.24430521064504</v>
      </c>
      <c r="BK176" s="215">
        <f>IF(AND(ISNUMBER(BK175),ISNUMBER(BK121)),IFERROR(BK175/BK121,""),"")</f>
        <v>0.188523490502755</v>
      </c>
      <c r="BL176" s="215">
        <f>IF(AND(ISNUMBER(BL175),ISNUMBER(BL121)),IFERROR(BL175/BL121,""),"")</f>
        <v>0.226855577021428</v>
      </c>
      <c r="BM176" s="215">
        <f>IF(AND(ISNUMBER(BM175),ISNUMBER(BM121)),IFERROR(BM175/BM121,""),"")</f>
        <v>0.298397193728363</v>
      </c>
      <c r="BN176" s="215">
        <f>IF(AND(ISNUMBER(BN175),ISNUMBER(BN121)),IFERROR(BN175/BN121,""),"")</f>
        <v>0.28797371358393</v>
      </c>
      <c r="BO176" s="215">
        <f>IF(AND(ISNUMBER(BO175),ISNUMBER(BO121)),IFERROR(BO175/BO121,""),"")</f>
        <v>0.311056832964823</v>
      </c>
      <c r="BP176" s="215">
        <f>IF(AND(ISNUMBER(BP175),ISNUMBER(BP121)),IFERROR(BP175/BP121,""),"")</f>
        <v>0.235605224918955</v>
      </c>
      <c r="BQ176" s="215">
        <f>IF(AND(ISNUMBER(BQ175),ISNUMBER(BQ121)),IFERROR(BQ175/BQ121,""),"")</f>
        <v>0.282534437736747</v>
      </c>
      <c r="BR176" s="215">
        <f>IF(AND(ISNUMBER(BR175),ISNUMBER(BR121)),IFERROR(BR175/BR121,""),"")</f>
        <v>0.331889314803533</v>
      </c>
      <c r="BS176" s="215">
        <f>IF(AND(ISNUMBER(BS175),ISNUMBER(BS121)),IFERROR(BS175/BS121,""),"")</f>
        <v>0.355222495989319</v>
      </c>
      <c r="BT176" s="215">
        <f>IF(AND(ISNUMBER(BT175),ISNUMBER(BT121)),IFERROR(BT175/BT121,""),"")</f>
        <v>0.29682605337981</v>
      </c>
      <c r="BU176" s="215">
        <f>IF(AND(ISNUMBER(BU175),ISNUMBER(BU121)),IFERROR(BU175/BU121,""),"")</f>
        <v>0.26365718615968</v>
      </c>
      <c r="BV176" s="215">
        <f>IF(AND(ISNUMBER(BV175),ISNUMBER(BV121)),IFERROR(BV175/BV121,""),"")</f>
        <v>0.310480265203958</v>
      </c>
      <c r="BW176" s="215">
        <f>IF(AND(ISNUMBER(BW175),ISNUMBER(BW121)),IFERROR(BW175/BW121,""),"")</f>
        <v>0.342535529480299</v>
      </c>
      <c r="BX176" s="215">
        <f>IF(AND(ISNUMBER(BX175),ISNUMBER(BX121)),IFERROR(BX175/BX121,""),"")</f>
        <v>0.352267025521941</v>
      </c>
      <c r="BY176" s="256">
        <f>IF(AND(ISNUMBER(BY175),ISNUMBER(BY121)),IFERROR(BY175/BY121,""),"")</f>
        <v>0.351641643182454</v>
      </c>
      <c r="BZ176" s="256">
        <f>IF(AND(ISNUMBER(BZ175),ISNUMBER(BZ121)),IFERROR(BZ175/BZ121,""),"")</f>
        <v>0.299708816926099</v>
      </c>
      <c r="CA176" s="256">
        <f>IF(AND(ISNUMBER(CA175),ISNUMBER(CA121)),IFERROR(CA175/CA121,""),"")</f>
        <v>0.33589242647511</v>
      </c>
      <c r="CB176" s="256">
        <f>IF(AND(ISNUMBER(CB175),ISNUMBER(CB121)),IFERROR(CB175/CB121,""),"")</f>
        <v>0.354</v>
      </c>
      <c r="CC176" s="256">
        <f>IF(AND(ISNUMBER(CC175),ISNUMBER(CC121)),IFERROR(CC175/CC121,""),"")</f>
        <v>0.369</v>
      </c>
      <c r="CD176" s="256">
        <f>IF(AND(ISNUMBER(CD175),ISNUMBER(CD121)),IFERROR(CD175/CD121,""),"")</f>
        <v>0.384</v>
      </c>
      <c r="CE176" s="256">
        <f>IF(AND(ISNUMBER(CE175),ISNUMBER(CE121)),IFERROR(CE175/CE121,""),"")</f>
        <v>0.394</v>
      </c>
      <c r="CF176" s="256">
        <f>IF(AND(ISNUMBER(CF175),ISNUMBER(CF121)),IFERROR(CF175/CF121,""),"")</f>
        <v>0.404</v>
      </c>
      <c r="CG176" s="153" t="n"/>
      <c r="CI176" s="37">
        <f>IFERROR(AVERAGE(CB176,CC176,CD176,CE176,CF176),"n/m")</f>
        <v>0.381</v>
      </c>
      <c r="CJ176" s="37">
        <f>IFERROR(AVERAGE(BB176,BG176,BL176,BQ176,BV176),"n/m")</f>
        <v>0.251213437613208</v>
      </c>
      <c r="CK176" s="37">
        <f>IFERROR(AVERAGE(AC176,AH176,AM176,AR176,AW176,BB176,BG176,BL176,BQ176,BV176),"n/m")</f>
        <v>0.190504895794944</v>
      </c>
      <c r="CL176" s="37">
        <f>IFERROR(AVERAGE(C176,D176,E176,F176,G176,H176,I176,N176,S176,X176,AC176,AH176,AM176,AR176,AW176,BB176,BG176,BL176,BQ176,BV176),"n/m")</f>
        <v>0.149208890117356</v>
      </c>
    </row>
    <row r="177" ht="15" customHeight="1" s="251">
      <c r="B177" s="156" t="inlineStr">
        <is>
          <t xml:space="preserve">  Company-published adjusted EBITDA</t>
        </is>
      </c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253" t="n">
        <v>171.862</v>
      </c>
      <c r="Q177" s="253" t="n">
        <v>154.642</v>
      </c>
      <c r="R177" s="253" t="n">
        <v>109.609</v>
      </c>
      <c r="S177" s="34" t="n"/>
      <c r="T177" s="253" t="n">
        <v>140.064</v>
      </c>
      <c r="U177" s="253" t="n">
        <v>119.006</v>
      </c>
      <c r="V177" s="253" t="n">
        <v>122.522</v>
      </c>
      <c r="W177" s="253" t="n">
        <v>111.242</v>
      </c>
      <c r="X177" s="34" t="n"/>
      <c r="Y177" s="253" t="n">
        <v>106.673</v>
      </c>
      <c r="Z177" s="253" t="n">
        <v>128.613</v>
      </c>
      <c r="AA177" s="253" t="n">
        <v>163.941</v>
      </c>
      <c r="AB177" s="253" t="n">
        <v>211.769</v>
      </c>
      <c r="AC177" s="34" t="n"/>
      <c r="AD177" s="253" t="n">
        <v>316.879</v>
      </c>
      <c r="AE177" s="253" t="n">
        <v>190.386</v>
      </c>
      <c r="AF177" s="253" t="n">
        <v>272.628</v>
      </c>
      <c r="AG177" s="253" t="n">
        <v>312.906</v>
      </c>
      <c r="AH177" s="34" t="n"/>
      <c r="AI177" s="253" t="n">
        <v>534.014</v>
      </c>
      <c r="AJ177" s="253" t="n">
        <v>563.181</v>
      </c>
      <c r="AK177" s="253" t="n">
        <v>584.145</v>
      </c>
      <c r="AL177" s="253" t="n">
        <v>327.7</v>
      </c>
      <c r="AM177" s="34" t="n"/>
      <c r="AN177" s="253" t="n">
        <v>583.845</v>
      </c>
      <c r="AO177" s="253" t="n">
        <v>835.763</v>
      </c>
      <c r="AP177" s="253" t="n">
        <v>1107.205</v>
      </c>
      <c r="AQ177" s="253" t="n">
        <v>586.396</v>
      </c>
      <c r="AR177" s="34" t="n"/>
      <c r="AS177" s="253" t="n">
        <v>1083.792</v>
      </c>
      <c r="AT177" s="253" t="n">
        <v>1488.799</v>
      </c>
      <c r="AU177" s="253" t="n">
        <v>1449.809</v>
      </c>
      <c r="AV177" s="34" t="n"/>
      <c r="AW177" s="34" t="n"/>
      <c r="AX177" s="34" t="n"/>
      <c r="AY177" s="253" t="n">
        <v>1987.647</v>
      </c>
      <c r="AZ177" s="253" t="n">
        <v>1920.584</v>
      </c>
      <c r="BA177" s="253" t="n">
        <v>795.083</v>
      </c>
      <c r="BB177" s="34" t="n"/>
      <c r="BC177" s="253" t="n">
        <v>2165.437</v>
      </c>
      <c r="BD177" s="253" t="n">
        <v>1812.18</v>
      </c>
      <c r="BE177" s="253" t="n">
        <v>1770.268</v>
      </c>
      <c r="BF177" s="253" t="n">
        <v>797.08</v>
      </c>
      <c r="BG177" s="253" t="n">
        <v>6544.965</v>
      </c>
      <c r="BH177" s="253" t="n">
        <v>1903.751</v>
      </c>
      <c r="BI177" s="34" t="n"/>
      <c r="BJ177" s="34" t="n"/>
      <c r="BK177" s="34" t="n"/>
      <c r="BL177" s="34" t="n"/>
      <c r="BM177" s="34" t="n"/>
      <c r="BN177" s="34" t="n"/>
      <c r="BO177" s="34" t="n"/>
      <c r="BP177" s="34" t="n"/>
      <c r="BQ177" s="34" t="n"/>
      <c r="BR177" s="34" t="n"/>
      <c r="BS177" s="34" t="n"/>
      <c r="BT177" s="34" t="n"/>
      <c r="BU177" s="34" t="n"/>
      <c r="BV177" s="34" t="n"/>
      <c r="BW177" s="34" t="n"/>
      <c r="BX177" s="34" t="n"/>
      <c r="BY177" s="153" t="n"/>
      <c r="BZ177" s="153" t="n"/>
      <c r="CA177" s="153" t="n"/>
      <c r="CB177" s="153" t="n"/>
      <c r="CC177" s="153" t="n"/>
      <c r="CD177" s="153" t="n"/>
      <c r="CE177" s="153" t="n"/>
      <c r="CF177" s="153" t="n"/>
      <c r="CG177" s="153" t="n"/>
    </row>
    <row r="178" ht="15" customHeight="1" s="251">
      <c r="B178" s="57" t="inlineStr">
        <is>
          <t xml:space="preserve">  Check: model vs company-published adjusted EBITDA (should be 0)</t>
        </is>
      </c>
      <c r="C178" s="264" t="str">
        <f>IF(AND(ISNUMBER(C177),ISNUMBER(C175)),IF(ABS(C175-C177)&lt;=0.15,0,ROUND(C175-C177,1)),"n/p")</f>
        <v>n/p</v>
      </c>
      <c r="D178" s="264" t="str">
        <f>IF(AND(ISNUMBER(D177),ISNUMBER(D175)),IF(ABS(D175-D177)&lt;=0.15,0,ROUND(D175-D177,1)),"n/p")</f>
        <v>n/p</v>
      </c>
      <c r="E178" s="264" t="str">
        <f>IF(AND(ISNUMBER(E177),ISNUMBER(E175)),IF(ABS(E175-E177)&lt;=0.15,0,ROUND(E175-E177,1)),"n/p")</f>
        <v>n/p</v>
      </c>
      <c r="F178" s="264" t="str">
        <f>IF(AND(ISNUMBER(F177),ISNUMBER(F175)),IF(ABS(F175-F177)&lt;=0.15,0,ROUND(F175-F177,1)),"n/p")</f>
        <v>n/p</v>
      </c>
      <c r="G178" s="264" t="str">
        <f>IF(AND(ISNUMBER(G177),ISNUMBER(G175)),IF(ABS(G175-G177)&lt;=0.15,0,ROUND(G175-G177,1)),"n/p")</f>
        <v>n/p</v>
      </c>
      <c r="H178" s="264" t="str">
        <f>IF(AND(ISNUMBER(H177),ISNUMBER(H175)),IF(ABS(H175-H177)&lt;=0.15,0,ROUND(H175-H177,1)),"n/p")</f>
        <v>n/p</v>
      </c>
      <c r="I178" s="264" t="str">
        <f>IF(AND(ISNUMBER(I177),ISNUMBER(I175)),IF(ABS(I175-I177)&lt;=0.15,0,ROUND(I175-I177,1)),"n/p")</f>
        <v>n/p</v>
      </c>
      <c r="J178" s="264" t="str">
        <f>IF(AND(ISNUMBER(J177),ISNUMBER(J175)),IF(ABS(J175-J177)&lt;=0.15,0,ROUND(J175-J177,1)),"n/p")</f>
        <v>n/p</v>
      </c>
      <c r="K178" s="264" t="str">
        <f>IF(AND(ISNUMBER(K177),ISNUMBER(K175)),IF(ABS(K175-K177)&lt;=0.15,0,ROUND(K175-K177,1)),"n/p")</f>
        <v>n/p</v>
      </c>
      <c r="L178" s="264" t="str">
        <f>IF(AND(ISNUMBER(L177),ISNUMBER(L175)),IF(ABS(L175-L177)&lt;=0.15,0,ROUND(L175-L177,1)),"n/p")</f>
        <v>n/p</v>
      </c>
      <c r="M178" s="264" t="str">
        <f>IF(AND(ISNUMBER(M177),ISNUMBER(M175)),IF(ABS(M175-M177)&lt;=0.15,0,ROUND(M175-M177,1)),"n/p")</f>
        <v>n/p</v>
      </c>
      <c r="N178" s="264" t="str">
        <f>IF(AND(ISNUMBER(N177),ISNUMBER(N175)),IF(ABS(N175-N177)&lt;=0.15,0,ROUND(N175-N177,1)),"n/p")</f>
        <v>n/p</v>
      </c>
      <c r="O178" s="264" t="str">
        <f>IF(AND(ISNUMBER(O177),ISNUMBER(O175)),IF(ABS(O175-O177)&lt;=0.15,0,ROUND(O175-O177,1)),"n/p")</f>
        <v>n/p</v>
      </c>
      <c r="P178" s="264">
        <f>IF(AND(ISNUMBER(P177),ISNUMBER(P175)),IF(ABS(P175-P177)&lt;=0.15,0,ROUND(P175-P177,1)),"n/p")</f>
        <v>0</v>
      </c>
      <c r="Q178" s="264">
        <f>IF(AND(ISNUMBER(Q177),ISNUMBER(Q175)),IF(ABS(Q175-Q177)&lt;=0.15,0,ROUND(Q175-Q177,1)),"n/p")</f>
        <v>0</v>
      </c>
      <c r="R178" s="264">
        <f>IF(AND(ISNUMBER(R177),ISNUMBER(R175)),IF(ABS(R175-R177)&lt;=0.15,0,ROUND(R175-R177,1)),"n/p")</f>
        <v>0</v>
      </c>
      <c r="S178" s="264" t="str">
        <f>IF(AND(ISNUMBER(S177),ISNUMBER(S175)),IF(ABS(S175-S177)&lt;=0.15,0,ROUND(S175-S177,1)),"n/p")</f>
        <v>n/p</v>
      </c>
      <c r="T178" s="264">
        <f>IF(AND(ISNUMBER(T177),ISNUMBER(T175)),IF(ABS(T175-T177)&lt;=0.15,0,ROUND(T175-T177,1)),"n/p")</f>
        <v>0</v>
      </c>
      <c r="U178" s="264">
        <f>IF(AND(ISNUMBER(U177),ISNUMBER(U175)),IF(ABS(U175-U177)&lt;=0.15,0,ROUND(U175-U177,1)),"n/p")</f>
        <v>0</v>
      </c>
      <c r="V178" s="264">
        <f>IF(AND(ISNUMBER(V177),ISNUMBER(V175)),IF(ABS(V175-V177)&lt;=0.15,0,ROUND(V175-V177,1)),"n/p")</f>
        <v>0</v>
      </c>
      <c r="W178" s="264">
        <f>IF(AND(ISNUMBER(W177),ISNUMBER(W175)),IF(ABS(W175-W177)&lt;=0.15,0,ROUND(W175-W177,1)),"n/p")</f>
        <v>0</v>
      </c>
      <c r="X178" s="264" t="str">
        <f>IF(AND(ISNUMBER(X177),ISNUMBER(X175)),IF(ABS(X175-X177)&lt;=0.15,0,ROUND(X175-X177,1)),"n/p")</f>
        <v>n/p</v>
      </c>
      <c r="Y178" s="264">
        <f>IF(AND(ISNUMBER(Y177),ISNUMBER(Y175)),IF(ABS(Y175-Y177)&lt;=0.15,0,ROUND(Y175-Y177,1)),"n/p")</f>
        <v>0</v>
      </c>
      <c r="Z178" s="264">
        <f>IF(AND(ISNUMBER(Z177),ISNUMBER(Z175)),IF(ABS(Z175-Z177)&lt;=0.15,0,ROUND(Z175-Z177,1)),"n/p")</f>
        <v>0</v>
      </c>
      <c r="AA178" s="264">
        <f>IF(AND(ISNUMBER(AA177),ISNUMBER(AA175)),IF(ABS(AA175-AA177)&lt;=0.15,0,ROUND(AA175-AA177,1)),"n/p")</f>
        <v>0</v>
      </c>
      <c r="AB178" s="264">
        <f>IF(AND(ISNUMBER(AB177),ISNUMBER(AB175)),IF(ABS(AB175-AB177)&lt;=0.15,0,ROUND(AB175-AB177,1)),"n/p")</f>
        <v>0</v>
      </c>
      <c r="AC178" s="264" t="str">
        <f>IF(AND(ISNUMBER(AC177),ISNUMBER(AC175)),IF(ABS(AC175-AC177)&lt;=0.15,0,ROUND(AC175-AC177,1)),"n/p")</f>
        <v>n/p</v>
      </c>
      <c r="AD178" s="264">
        <f>IF(AND(ISNUMBER(AD177),ISNUMBER(AD175)),IF(ABS(AD175-AD177)&lt;=0.15,0,ROUND(AD175-AD177,1)),"n/p")</f>
        <v>0</v>
      </c>
      <c r="AE178" s="264">
        <f>IF(AND(ISNUMBER(AE177),ISNUMBER(AE175)),IF(ABS(AE175-AE177)&lt;=0.15,0,ROUND(AE175-AE177,1)),"n/p")</f>
        <v>0</v>
      </c>
      <c r="AF178" s="264">
        <f>IF(AND(ISNUMBER(AF177),ISNUMBER(AF175)),IF(ABS(AF175-AF177)&lt;=0.15,0,ROUND(AF175-AF177,1)),"n/p")</f>
        <v>0</v>
      </c>
      <c r="AG178" s="264">
        <f>IF(AND(ISNUMBER(AG177),ISNUMBER(AG175)),IF(ABS(AG175-AG177)&lt;=0.15,0,ROUND(AG175-AG177,1)),"n/p")</f>
        <v>0</v>
      </c>
      <c r="AH178" s="264" t="str">
        <f>IF(AND(ISNUMBER(AH177),ISNUMBER(AH175)),IF(ABS(AH175-AH177)&lt;=0.15,0,ROUND(AH175-AH177,1)),"n/p")</f>
        <v>n/p</v>
      </c>
      <c r="AI178" s="264">
        <f>IF(AND(ISNUMBER(AI177),ISNUMBER(AI175)),IF(ABS(AI175-AI177)&lt;=0.15,0,ROUND(AI175-AI177,1)),"n/p")</f>
        <v>0</v>
      </c>
      <c r="AJ178" s="264">
        <f>IF(AND(ISNUMBER(AJ177),ISNUMBER(AJ175)),IF(ABS(AJ175-AJ177)&lt;=0.15,0,ROUND(AJ175-AJ177,1)),"n/p")</f>
        <v>0</v>
      </c>
      <c r="AK178" s="264">
        <f>IF(AND(ISNUMBER(AK177),ISNUMBER(AK175)),IF(ABS(AK175-AK177)&lt;=0.15,0,ROUND(AK175-AK177,1)),"n/p")</f>
        <v>0</v>
      </c>
      <c r="AL178" s="264">
        <f>IF(AND(ISNUMBER(AL177),ISNUMBER(AL175)),IF(ABS(AL175-AL177)&lt;=0.15,0,ROUND(AL175-AL177,1)),"n/p")</f>
        <v>0</v>
      </c>
      <c r="AM178" s="264" t="str">
        <f>IF(AND(ISNUMBER(AM177),ISNUMBER(AM175)),IF(ABS(AM175-AM177)&lt;=0.15,0,ROUND(AM175-AM177,1)),"n/p")</f>
        <v>n/p</v>
      </c>
      <c r="AN178" s="264">
        <f>IF(AND(ISNUMBER(AN177),ISNUMBER(AN175)),IF(ABS(AN175-AN177)&lt;=0.15,0,ROUND(AN175-AN177,1)),"n/p")</f>
        <v>0</v>
      </c>
      <c r="AO178" s="264">
        <f>IF(AND(ISNUMBER(AO177),ISNUMBER(AO175)),IF(ABS(AO175-AO177)&lt;=0.15,0,ROUND(AO175-AO177,1)),"n/p")</f>
        <v>0</v>
      </c>
      <c r="AP178" s="264">
        <f>IF(AND(ISNUMBER(AP177),ISNUMBER(AP175)),IF(ABS(AP175-AP177)&lt;=0.15,0,ROUND(AP175-AP177,1)),"n/p")</f>
        <v>0</v>
      </c>
      <c r="AQ178" s="264">
        <f>IF(AND(ISNUMBER(AQ177),ISNUMBER(AQ175)),IF(ABS(AQ175-AQ177)&lt;=0.15,0,ROUND(AQ175-AQ177,1)),"n/p")</f>
        <v>0</v>
      </c>
      <c r="AR178" s="264" t="str">
        <f>IF(AND(ISNUMBER(AR177),ISNUMBER(AR175)),IF(ABS(AR175-AR177)&lt;=0.15,0,ROUND(AR175-AR177,1)),"n/p")</f>
        <v>n/p</v>
      </c>
      <c r="AS178" s="264">
        <f>IF(AND(ISNUMBER(AS177),ISNUMBER(AS175)),IF(ABS(AS175-AS177)&lt;=0.15,0,ROUND(AS175-AS177,1)),"n/p")</f>
        <v>0</v>
      </c>
      <c r="AT178" s="264">
        <f>IF(AND(ISNUMBER(AT177),ISNUMBER(AT175)),IF(ABS(AT175-AT177)&lt;=0.15,0,ROUND(AT175-AT177,1)),"n/p")</f>
        <v>0</v>
      </c>
      <c r="AU178" s="264">
        <f>IF(AND(ISNUMBER(AU177),ISNUMBER(AU175)),IF(ABS(AU175-AU177)&lt;=0.15,0,ROUND(AU175-AU177,1)),"n/p")</f>
        <v>0</v>
      </c>
      <c r="AV178" s="264" t="str">
        <f>IF(AND(ISNUMBER(AV177),ISNUMBER(AV175)),IF(ABS(AV175-AV177)&lt;=0.15,0,ROUND(AV175-AV177,1)),"n/p")</f>
        <v>n/p</v>
      </c>
      <c r="AW178" s="264" t="str">
        <f>IF(AND(ISNUMBER(AW177),ISNUMBER(AW175)),IF(ABS(AW175-AW177)&lt;=0.15,0,ROUND(AW175-AW177,1)),"n/p")</f>
        <v>n/p</v>
      </c>
      <c r="AX178" s="264" t="str">
        <f>IF(AND(ISNUMBER(AX177),ISNUMBER(AX175)),IF(ABS(AX175-AX177)&lt;=0.15,0,ROUND(AX175-AX177,1)),"n/p")</f>
        <v>n/p</v>
      </c>
      <c r="AY178" s="264">
        <f>IF(AND(ISNUMBER(AY177),ISNUMBER(AY175)),IF(ABS(AY175-AY177)&lt;=0.15,0,ROUND(AY175-AY177,1)),"n/p")</f>
        <v>0</v>
      </c>
      <c r="AZ178" s="264">
        <f>IF(AND(ISNUMBER(AZ177),ISNUMBER(AZ175)),IF(ABS(AZ175-AZ177)&lt;=0.15,0,ROUND(AZ175-AZ177,1)),"n/p")</f>
        <v>0</v>
      </c>
      <c r="BA178" s="264">
        <f>IF(AND(ISNUMBER(BA177),ISNUMBER(BA175)),IF(ABS(BA175-BA177)&lt;=0.15,0,ROUND(BA175-BA177,1)),"n/p")</f>
        <v>0</v>
      </c>
      <c r="BB178" s="264" t="str">
        <f>IF(AND(ISNUMBER(BB177),ISNUMBER(BB175)),IF(ABS(BB175-BB177)&lt;=0.15,0,ROUND(BB175-BB177,1)),"n/p")</f>
        <v>n/p</v>
      </c>
      <c r="BC178" s="264">
        <f>IF(AND(ISNUMBER(BC177),ISNUMBER(BC175)),IF(ABS(BC175-BC177)&lt;=0.15,0,ROUND(BC175-BC177,1)),"n/p")</f>
        <v>0</v>
      </c>
      <c r="BD178" s="264">
        <f>IF(AND(ISNUMBER(BD177),ISNUMBER(BD175)),IF(ABS(BD175-BD177)&lt;=0.15,0,ROUND(BD175-BD177,1)),"n/p")</f>
        <v>0</v>
      </c>
      <c r="BE178" s="264">
        <f>IF(AND(ISNUMBER(BE177),ISNUMBER(BE175)),IF(ABS(BE175-BE177)&lt;=0.15,0,ROUND(BE175-BE177,1)),"n/p")</f>
        <v>0</v>
      </c>
      <c r="BF178" s="264">
        <f>IF(AND(ISNUMBER(BF177),ISNUMBER(BF175)),IF(ABS(BF175-BF177)&lt;=0.15,0,ROUND(BF175-BF177,1)),"n/p")</f>
        <v>0</v>
      </c>
      <c r="BG178" s="264">
        <f>IF(AND(ISNUMBER(BG177),ISNUMBER(BG175)),IF(ABS(BG175-BG177)&lt;=0.15,0,ROUND(BG175-BG177,1)),"n/p")</f>
        <v>0</v>
      </c>
      <c r="BH178" s="264">
        <f>IF(AND(ISNUMBER(BH177),ISNUMBER(BH175)),IF(ABS(BH175-BH177)&lt;=0.15,0,ROUND(BH175-BH177,1)),"n/p")</f>
        <v>0</v>
      </c>
      <c r="BI178" s="264" t="str">
        <f>IF(AND(ISNUMBER(BI177),ISNUMBER(BI175)),IF(ABS(BI175-BI177)&lt;=0.15,0,ROUND(BI175-BI177,1)),"n/p")</f>
        <v>n/p</v>
      </c>
      <c r="BJ178" s="264" t="str">
        <f>IF(AND(ISNUMBER(BJ177),ISNUMBER(BJ175)),IF(ABS(BJ175-BJ177)&lt;=0.15,0,ROUND(BJ175-BJ177,1)),"n/p")</f>
        <v>n/p</v>
      </c>
      <c r="BK178" s="264" t="str">
        <f>IF(AND(ISNUMBER(BK177),ISNUMBER(BK175)),IF(ABS(BK175-BK177)&lt;=0.15,0,ROUND(BK175-BK177,1)),"n/p")</f>
        <v>n/p</v>
      </c>
      <c r="BL178" s="264" t="str">
        <f>IF(AND(ISNUMBER(BL177),ISNUMBER(BL175)),IF(ABS(BL175-BL177)&lt;=0.15,0,ROUND(BL175-BL177,1)),"n/p")</f>
        <v>n/p</v>
      </c>
      <c r="BM178" s="264" t="str">
        <f>IF(AND(ISNUMBER(BM177),ISNUMBER(BM175)),IF(ABS(BM175-BM177)&lt;=0.15,0,ROUND(BM175-BM177,1)),"n/p")</f>
        <v>n/p</v>
      </c>
      <c r="BN178" s="264" t="str">
        <f>IF(AND(ISNUMBER(BN177),ISNUMBER(BN175)),IF(ABS(BN175-BN177)&lt;=0.15,0,ROUND(BN175-BN177,1)),"n/p")</f>
        <v>n/p</v>
      </c>
      <c r="BO178" s="264" t="str">
        <f>IF(AND(ISNUMBER(BO177),ISNUMBER(BO175)),IF(ABS(BO175-BO177)&lt;=0.15,0,ROUND(BO175-BO177,1)),"n/p")</f>
        <v>n/p</v>
      </c>
      <c r="BP178" s="264" t="str">
        <f>IF(AND(ISNUMBER(BP177),ISNUMBER(BP175)),IF(ABS(BP175-BP177)&lt;=0.15,0,ROUND(BP175-BP177,1)),"n/p")</f>
        <v>n/p</v>
      </c>
      <c r="BQ178" s="264" t="str">
        <f>IF(AND(ISNUMBER(BQ177),ISNUMBER(BQ175)),IF(ABS(BQ175-BQ177)&lt;=0.15,0,ROUND(BQ175-BQ177,1)),"n/p")</f>
        <v>n/p</v>
      </c>
      <c r="BR178" s="264" t="str">
        <f>IF(AND(ISNUMBER(BR177),ISNUMBER(BR175)),IF(ABS(BR175-BR177)&lt;=0.15,0,ROUND(BR175-BR177,1)),"n/p")</f>
        <v>n/p</v>
      </c>
      <c r="BS178" s="264" t="str">
        <f>IF(AND(ISNUMBER(BS177),ISNUMBER(BS175)),IF(ABS(BS175-BS177)&lt;=0.15,0,ROUND(BS175-BS177,1)),"n/p")</f>
        <v>n/p</v>
      </c>
      <c r="BT178" s="264" t="str">
        <f>IF(AND(ISNUMBER(BT177),ISNUMBER(BT175)),IF(ABS(BT175-BT177)&lt;=0.15,0,ROUND(BT175-BT177,1)),"n/p")</f>
        <v>n/p</v>
      </c>
      <c r="BU178" s="264" t="str">
        <f>IF(AND(ISNUMBER(BU177),ISNUMBER(BU175)),IF(ABS(BU175-BU177)&lt;=0.15,0,ROUND(BU175-BU177,1)),"n/p")</f>
        <v>n/p</v>
      </c>
      <c r="BV178" s="264" t="str">
        <f>IF(AND(ISNUMBER(BV177),ISNUMBER(BV175)),IF(ABS(BV175-BV177)&lt;=0.15,0,ROUND(BV175-BV177,1)),"n/p")</f>
        <v>n/p</v>
      </c>
      <c r="BW178" s="264" t="str">
        <f>IF(AND(ISNUMBER(BW177),ISNUMBER(BW175)),IF(ABS(BW175-BW177)&lt;=0.15,0,ROUND(BW175-BW177,1)),"n/p")</f>
        <v>n/p</v>
      </c>
      <c r="BX178" s="264" t="str">
        <f>IF(AND(ISNUMBER(BX177),ISNUMBER(BX175)),IF(ABS(BX175-BX177)&lt;=0.15,0,ROUND(BX175-BX177,1)),"n/p")</f>
        <v>n/p</v>
      </c>
      <c r="BY178" s="153" t="n"/>
      <c r="BZ178" s="153" t="n"/>
      <c r="CA178" s="153" t="n"/>
      <c r="CB178" s="153" t="n"/>
      <c r="CC178" s="153" t="n"/>
      <c r="CD178" s="153" t="n"/>
      <c r="CE178" s="153" t="n"/>
      <c r="CF178" s="153" t="n"/>
      <c r="CG178" s="153" t="n"/>
    </row>
    <row r="179" ht="15" customHeight="1" s="251">
      <c r="B179" s="158" t="inlineStr">
        <is>
          <t xml:space="preserve">  Definition / basis</t>
        </is>
      </c>
      <c r="C179" s="284" t="inlineStr">
        <is>
          <t>2006 – Q1-14: not published — rebuilt on the company definition (NI + interest &amp; other + tax + D&amp;A + SBC)</t>
        </is>
      </c>
      <c r="P179" s="284" t="inlineStr">
        <is>
          <t>Q2-14 – Q1-23: company-published adjusted EBITDA (letters Q2-15 – Q1-23; checked)</t>
        </is>
      </c>
      <c r="BI179" s="284" t="inlineStr">
        <is>
          <t>Q2-23+: no longer published — model rebuild on the same definition</t>
        </is>
      </c>
      <c r="BY179" s="153" t="n"/>
      <c r="BZ179" s="153" t="n"/>
      <c r="CA179" s="153" t="n"/>
      <c r="CB179" s="153" t="n"/>
      <c r="CC179" s="153" t="n"/>
      <c r="CD179" s="153" t="n"/>
      <c r="CE179" s="153" t="n"/>
      <c r="CF179" s="153" t="n"/>
      <c r="CG179" s="19" t="n"/>
    </row>
    <row r="180" ht="15" customHeight="1" s="251">
      <c r="B180" s="25" t="inlineStr">
        <is>
          <t xml:space="preserve">  (+) Company-quantified operating one-offs (bridge above)</t>
        </is>
      </c>
      <c r="C180" s="264">
        <f>C159</f>
        <v>0</v>
      </c>
      <c r="D180" s="264">
        <f>D159</f>
        <v>0</v>
      </c>
      <c r="E180" s="264">
        <f>E159</f>
        <v>0</v>
      </c>
      <c r="F180" s="264">
        <f>F159</f>
        <v>0</v>
      </c>
      <c r="G180" s="264">
        <f>G159</f>
        <v>0</v>
      </c>
      <c r="H180" s="264">
        <f>H159</f>
        <v>0</v>
      </c>
      <c r="I180" s="264">
        <f>I159</f>
        <v>0</v>
      </c>
      <c r="J180" s="264">
        <f>J159</f>
        <v>0</v>
      </c>
      <c r="K180" s="264">
        <f>K159</f>
        <v>0</v>
      </c>
      <c r="L180" s="264">
        <f>L159</f>
        <v>0</v>
      </c>
      <c r="M180" s="264">
        <f>M159</f>
        <v>0</v>
      </c>
      <c r="N180" s="264">
        <f>N159</f>
        <v>0</v>
      </c>
      <c r="O180" s="264">
        <f>O159</f>
        <v>0</v>
      </c>
      <c r="P180" s="264">
        <f>P159</f>
        <v>0</v>
      </c>
      <c r="Q180" s="264">
        <f>Q159</f>
        <v>0</v>
      </c>
      <c r="R180" s="264">
        <f>R159</f>
        <v>0</v>
      </c>
      <c r="S180" s="264">
        <f>S159</f>
        <v>0</v>
      </c>
      <c r="T180" s="264">
        <f>T159</f>
        <v>0</v>
      </c>
      <c r="U180" s="264">
        <f>U159</f>
        <v>0</v>
      </c>
      <c r="V180" s="264">
        <f>V159</f>
        <v>0</v>
      </c>
      <c r="W180" s="264">
        <f>W159</f>
        <v>0</v>
      </c>
      <c r="X180" s="264">
        <f>X159</f>
        <v>0</v>
      </c>
      <c r="Y180" s="264">
        <f>Y159</f>
        <v>0</v>
      </c>
      <c r="Z180" s="264">
        <f>Z159</f>
        <v>0</v>
      </c>
      <c r="AA180" s="264">
        <f>AA159</f>
        <v>0</v>
      </c>
      <c r="AB180" s="264">
        <f>AB159</f>
        <v>0</v>
      </c>
      <c r="AC180" s="264">
        <f>AC159</f>
        <v>0</v>
      </c>
      <c r="AD180" s="264">
        <f>AD159</f>
        <v>0</v>
      </c>
      <c r="AE180" s="264">
        <f>AE159</f>
        <v>0</v>
      </c>
      <c r="AF180" s="264">
        <f>AF159</f>
        <v>0</v>
      </c>
      <c r="AG180" s="264">
        <f>AG159</f>
        <v>0</v>
      </c>
      <c r="AH180" s="264">
        <f>AH159</f>
        <v>0</v>
      </c>
      <c r="AI180" s="264">
        <f>AI159</f>
        <v>0</v>
      </c>
      <c r="AJ180" s="264">
        <f>AJ159</f>
        <v>0</v>
      </c>
      <c r="AK180" s="264">
        <f>AK159</f>
        <v>0</v>
      </c>
      <c r="AL180" s="264">
        <f>AL159</f>
        <v>0</v>
      </c>
      <c r="AM180" s="264">
        <f>AM159</f>
        <v>0</v>
      </c>
      <c r="AN180" s="264">
        <f>AN159</f>
        <v>0</v>
      </c>
      <c r="AO180" s="264">
        <f>AO159</f>
        <v>0</v>
      </c>
      <c r="AP180" s="264">
        <f>AP159</f>
        <v>0</v>
      </c>
      <c r="AQ180" s="264">
        <f>AQ159</f>
        <v>0</v>
      </c>
      <c r="AR180" s="264">
        <f>AR159</f>
        <v>0</v>
      </c>
      <c r="AS180" s="264">
        <f>AS159</f>
        <v>0</v>
      </c>
      <c r="AT180" s="264">
        <f>AT159</f>
        <v>0</v>
      </c>
      <c r="AU180" s="264">
        <f>AU159</f>
        <v>0</v>
      </c>
      <c r="AV180" s="264">
        <f>AV159</f>
        <v>0</v>
      </c>
      <c r="AW180" s="264">
        <f>AW159</f>
        <v>0</v>
      </c>
      <c r="AX180" s="264">
        <f>AX159</f>
        <v>0</v>
      </c>
      <c r="AY180" s="264">
        <f>AY159</f>
        <v>0</v>
      </c>
      <c r="AZ180" s="264">
        <f>AZ159</f>
        <v>0</v>
      </c>
      <c r="BA180" s="264">
        <f>BA159</f>
        <v>0</v>
      </c>
      <c r="BB180" s="264">
        <f>BB159</f>
        <v>0</v>
      </c>
      <c r="BC180" s="264">
        <f>BC159</f>
        <v>0</v>
      </c>
      <c r="BD180" s="264">
        <f>BD159</f>
        <v>150</v>
      </c>
      <c r="BE180" s="264">
        <f>BE159</f>
        <v>0</v>
      </c>
      <c r="BF180" s="264">
        <f>BF159</f>
        <v>0</v>
      </c>
      <c r="BG180" s="264">
        <f>BG159</f>
        <v>150</v>
      </c>
      <c r="BH180" s="264">
        <f>BH159</f>
        <v>0</v>
      </c>
      <c r="BI180" s="264">
        <f>BI159</f>
        <v>0</v>
      </c>
      <c r="BJ180" s="264">
        <f>BJ159</f>
        <v>0</v>
      </c>
      <c r="BK180" s="264">
        <f>BK159</f>
        <v>0</v>
      </c>
      <c r="BL180" s="264">
        <f>BL159</f>
        <v>0</v>
      </c>
      <c r="BM180" s="264">
        <f>BM159</f>
        <v>0</v>
      </c>
      <c r="BN180" s="264">
        <f>BN159</f>
        <v>0</v>
      </c>
      <c r="BO180" s="264">
        <f>BO159</f>
        <v>0</v>
      </c>
      <c r="BP180" s="264">
        <f>BP159</f>
        <v>0</v>
      </c>
      <c r="BQ180" s="264">
        <f>BQ159</f>
        <v>0</v>
      </c>
      <c r="BR180" s="264">
        <f>BR159</f>
        <v>0</v>
      </c>
      <c r="BS180" s="264">
        <f>BS159</f>
        <v>0</v>
      </c>
      <c r="BT180" s="264">
        <f>BT159</f>
        <v>619</v>
      </c>
      <c r="BU180" s="264">
        <f>BU159</f>
        <v>0</v>
      </c>
      <c r="BV180" s="264">
        <f>BV159</f>
        <v>619</v>
      </c>
      <c r="BW180" s="264">
        <f>BW159</f>
        <v>0</v>
      </c>
      <c r="BX180" s="264">
        <f>BX159</f>
        <v>0</v>
      </c>
      <c r="BY180" s="254">
        <f>BY159</f>
        <v>0</v>
      </c>
      <c r="BZ180" s="254">
        <f>BZ159</f>
        <v>0</v>
      </c>
      <c r="CA180" s="254">
        <f>CA159</f>
        <v>0</v>
      </c>
      <c r="CB180" s="254">
        <f>CB159</f>
        <v>0</v>
      </c>
      <c r="CC180" s="254">
        <f>CC159</f>
        <v>0</v>
      </c>
      <c r="CD180" s="254">
        <f>CD159</f>
        <v>0</v>
      </c>
      <c r="CE180" s="254">
        <f>CE159</f>
        <v>0</v>
      </c>
      <c r="CF180" s="254">
        <f>CF159</f>
        <v>0</v>
      </c>
      <c r="CG180" s="19" t="n"/>
    </row>
    <row r="181" ht="15" customHeight="1" s="251">
      <c r="B181" s="16" t="inlineStr">
        <is>
          <t xml:space="preserve">  = Adjusted EBITDA excl. one-offs (model)</t>
        </is>
      </c>
      <c r="C181" s="278">
        <f>IF(ISNUMBER(C175),C175+C180,"")</f>
        <v>93.013</v>
      </c>
      <c r="D181" s="278">
        <f>IF(ISNUMBER(D175),D175+D180,"")</f>
        <v>124.531</v>
      </c>
      <c r="E181" s="278">
        <f>IF(ISNUMBER(E175),E175+E180,"")</f>
        <v>166.224</v>
      </c>
      <c r="F181" s="278">
        <f>IF(ISNUMBER(F175),F175+F180,"")</f>
        <v>242.601</v>
      </c>
      <c r="G181" s="278">
        <f>IF(ISNUMBER(G175),G175+G180,"")</f>
        <v>349.736</v>
      </c>
      <c r="H181" s="278">
        <f>IF(ISNUMBER(H175),H175+H180,"")</f>
        <v>481.397</v>
      </c>
      <c r="I181" s="278">
        <f>IF(ISNUMBER(I175),I175+I180,"")</f>
        <v>169.409</v>
      </c>
      <c r="J181" s="278">
        <f>IF(ISNUMBER(J175),J175+J180,"")</f>
        <v>61.619</v>
      </c>
      <c r="K181" s="278">
        <f>IF(ISNUMBER(K175),K175+K180,"")</f>
        <v>87.0980000000001</v>
      </c>
      <c r="L181" s="278">
        <f>IF(ISNUMBER(L175),L175+L180,"")</f>
        <v>87.049</v>
      </c>
      <c r="M181" s="278">
        <f>IF(ISNUMBER(M175),M175+M180,"")</f>
        <v>114.055</v>
      </c>
      <c r="N181" s="278">
        <f>IF(ISNUMBER(N175),N175+N180,"")</f>
        <v>349.821</v>
      </c>
      <c r="O181" s="278">
        <f>IF(ISNUMBER(O175),O175+O180,"")</f>
        <v>135.802</v>
      </c>
      <c r="P181" s="278">
        <f>IF(ISNUMBER(P175),P175+P180,"")</f>
        <v>171.862</v>
      </c>
      <c r="Q181" s="278">
        <f>IF(ISNUMBER(Q175),Q175+Q180,"")</f>
        <v>154.642</v>
      </c>
      <c r="R181" s="278">
        <f>IF(ISNUMBER(R175),R175+R180,"")</f>
        <v>109.609</v>
      </c>
      <c r="S181" s="278">
        <f>IF(ISNUMBER(S175),S175+S180,"")</f>
        <v>571.915</v>
      </c>
      <c r="T181" s="278">
        <f>IF(ISNUMBER(T175),T175+T180,"")</f>
        <v>140.064</v>
      </c>
      <c r="U181" s="278">
        <f>IF(ISNUMBER(U175),U175+U180,"")</f>
        <v>119.006</v>
      </c>
      <c r="V181" s="278">
        <f>IF(ISNUMBER(V175),V175+V180,"")</f>
        <v>122.522</v>
      </c>
      <c r="W181" s="278">
        <f>IF(ISNUMBER(W175),W175+W180,"")</f>
        <v>111.242</v>
      </c>
      <c r="X181" s="278">
        <f>IF(ISNUMBER(X175),X175+X180,"")</f>
        <v>492.834000000001</v>
      </c>
      <c r="Y181" s="278">
        <f>IF(ISNUMBER(Y175),Y175+Y180,"")</f>
        <v>106.673</v>
      </c>
      <c r="Z181" s="278">
        <f>IF(ISNUMBER(Z175),Z175+Z180,"")</f>
        <v>128.613</v>
      </c>
      <c r="AA181" s="278">
        <f>IF(ISNUMBER(AA175),AA175+AA180,"")</f>
        <v>163.941</v>
      </c>
      <c r="AB181" s="278">
        <f>IF(ISNUMBER(AB175),AB175+AB180,"")</f>
        <v>211.769</v>
      </c>
      <c r="AC181" s="278">
        <f>IF(ISNUMBER(AC175),AC175+AC180,"")</f>
        <v>610.996</v>
      </c>
      <c r="AD181" s="278">
        <f>IF(ISNUMBER(AD175),AD175+AD180,"")</f>
        <v>316.879</v>
      </c>
      <c r="AE181" s="278">
        <f>IF(ISNUMBER(AE175),AE175+AE180,"")</f>
        <v>190.386</v>
      </c>
      <c r="AF181" s="278">
        <f>IF(ISNUMBER(AF175),AF175+AF180,"")</f>
        <v>272.628</v>
      </c>
      <c r="AG181" s="278">
        <f>IF(ISNUMBER(AG175),AG175+AG180,"")</f>
        <v>312.906</v>
      </c>
      <c r="AH181" s="278">
        <f>IF(ISNUMBER(AH175),AH175+AH180,"")</f>
        <v>1092.799</v>
      </c>
      <c r="AI181" s="278">
        <f>IF(ISNUMBER(AI175),AI175+AI180,"")</f>
        <v>534.014</v>
      </c>
      <c r="AJ181" s="278">
        <f>IF(ISNUMBER(AJ175),AJ175+AJ180,"")</f>
        <v>563.181</v>
      </c>
      <c r="AK181" s="278">
        <f>IF(ISNUMBER(AK175),AK175+AK180,"")</f>
        <v>584.145</v>
      </c>
      <c r="AL181" s="278">
        <f>IF(ISNUMBER(AL175),AL175+AL180,"")</f>
        <v>327.7</v>
      </c>
      <c r="AM181" s="278">
        <f>IF(ISNUMBER(AM175),AM175+AM180,"")</f>
        <v>2009.04</v>
      </c>
      <c r="AN181" s="278">
        <f>IF(ISNUMBER(AN175),AN175+AN180,"")</f>
        <v>583.845</v>
      </c>
      <c r="AO181" s="278">
        <f>IF(ISNUMBER(AO175),AO175+AO180,"")</f>
        <v>835.763</v>
      </c>
      <c r="AP181" s="278">
        <f>IF(ISNUMBER(AP175),AP175+AP180,"")</f>
        <v>1107.205</v>
      </c>
      <c r="AQ181" s="278">
        <f>IF(ISNUMBER(AQ175),AQ175+AQ180,"")</f>
        <v>586.396</v>
      </c>
      <c r="AR181" s="278">
        <f>IF(ISNUMBER(AR175),AR175+AR180,"")</f>
        <v>3113.209</v>
      </c>
      <c r="AS181" s="278">
        <f>IF(ISNUMBER(AS175),AS175+AS180,"")</f>
        <v>1083.792</v>
      </c>
      <c r="AT181" s="278">
        <f>IF(ISNUMBER(AT175),AT175+AT180,"")</f>
        <v>1488.799</v>
      </c>
      <c r="AU181" s="278">
        <f>IF(ISNUMBER(AU175),AU175+AU180,"")</f>
        <v>1449.809</v>
      </c>
      <c r="AV181" s="278">
        <f>IF(ISNUMBER(AV175),AV175+AV180,"")</f>
        <v>1093.779</v>
      </c>
      <c r="AW181" s="278">
        <f>IF(ISNUMBER(AW175),AW175+AW180,"")</f>
        <v>5116.179</v>
      </c>
      <c r="AX181" s="278">
        <f>IF(ISNUMBER(AX175),AX175+AX180,"")</f>
        <v>2102.827</v>
      </c>
      <c r="AY181" s="278">
        <f>IF(ISNUMBER(AY175),AY175+AY180,"")</f>
        <v>1987.647</v>
      </c>
      <c r="AZ181" s="278">
        <f>IF(ISNUMBER(AZ175),AZ175+AZ180,"")</f>
        <v>1920.584</v>
      </c>
      <c r="BA181" s="278">
        <f>IF(ISNUMBER(BA175),BA175+BA180,"")</f>
        <v>795.083000000001</v>
      </c>
      <c r="BB181" s="278">
        <f>IF(ISNUMBER(BB175),BB175+BB180,"")</f>
        <v>6806.141</v>
      </c>
      <c r="BC181" s="278">
        <f>IF(ISNUMBER(BC175),BC175+BC180,"")</f>
        <v>2165.437</v>
      </c>
      <c r="BD181" s="278">
        <f>IF(ISNUMBER(BD175),BD175+BD180,"")</f>
        <v>1962.18</v>
      </c>
      <c r="BE181" s="278">
        <f>IF(ISNUMBER(BE175),BE175+BE180,"")</f>
        <v>1770.268</v>
      </c>
      <c r="BF181" s="278">
        <f>IF(ISNUMBER(BF175),BF175+BF180,"")</f>
        <v>797.08</v>
      </c>
      <c r="BG181" s="278">
        <f>IF(ISNUMBER(BG175),BG175+BG180,"")</f>
        <v>6694.965</v>
      </c>
      <c r="BH181" s="278">
        <f>IF(ISNUMBER(BH175),BH175+BH180,"")</f>
        <v>1903.751</v>
      </c>
      <c r="BI181" s="278">
        <f>IF(ISNUMBER(BI175),BI175+BI180,"")</f>
        <v>1994.598</v>
      </c>
      <c r="BJ181" s="278">
        <f>IF(ISNUMBER(BJ175),BJ175+BJ180,"")</f>
        <v>2086.774</v>
      </c>
      <c r="BK181" s="278">
        <f>IF(ISNUMBER(BK175),BK175+BK180,"")</f>
        <v>1665.195</v>
      </c>
      <c r="BL181" s="278">
        <f>IF(ISNUMBER(BL175),BL175+BL180,"")</f>
        <v>7650.318</v>
      </c>
      <c r="BM181" s="278">
        <f>IF(ISNUMBER(BM175),BM175+BM180,"")</f>
        <v>2796.113</v>
      </c>
      <c r="BN181" s="278">
        <f>IF(ISNUMBER(BN175),BN175+BN180,"")</f>
        <v>2752.83</v>
      </c>
      <c r="BO181" s="278">
        <f>IF(ISNUMBER(BO175),BO175+BO180,"")</f>
        <v>3056.041</v>
      </c>
      <c r="BP181" s="278">
        <f>IF(ISNUMBER(BP175),BP175+BP180,"")</f>
        <v>2414.132</v>
      </c>
      <c r="BQ181" s="278">
        <f>IF(ISNUMBER(BQ175),BQ175+BQ180,"")</f>
        <v>11019.116</v>
      </c>
      <c r="BR181" s="278">
        <f>IF(ISNUMBER(BR175),BR175+BR180,"")</f>
        <v>3499.043</v>
      </c>
      <c r="BS181" s="278">
        <f>IF(ISNUMBER(BS175),BS175+BS180,"")</f>
        <v>3935.569</v>
      </c>
      <c r="BT181" s="278">
        <f>IF(ISNUMBER(BT175),BT175+BT180,"")</f>
        <v>4035.559</v>
      </c>
      <c r="BU181" s="278">
        <f>IF(ISNUMBER(BU175),BU175+BU180,"")</f>
        <v>3177.27</v>
      </c>
      <c r="BV181" s="278">
        <f>IF(ISNUMBER(BV175),BV175+BV180,"")</f>
        <v>14647.441</v>
      </c>
      <c r="BW181" s="278">
        <f>IF(ISNUMBER(BW175),BW175+BW180,"")</f>
        <v>4195.977</v>
      </c>
      <c r="BX181" s="278">
        <f>IF(ISNUMBER(BX175),BX175+BX180,"")</f>
        <v>4424.452</v>
      </c>
      <c r="BY181" s="279">
        <f>IF(ISNUMBER(BY175),BY175+BY180,"")</f>
        <v>4522.11153132636</v>
      </c>
      <c r="BZ181" s="279">
        <f>IF(ISNUMBER(BZ175),BZ175+BZ180,"")</f>
        <v>4055.15170419928</v>
      </c>
      <c r="CA181" s="279">
        <f>IF(ISNUMBER(CA175),CA175+CA180,"")</f>
        <v>17197.6922355257</v>
      </c>
      <c r="CB181" s="279">
        <f>IF(ISNUMBER(CB175),CB175+CB180,"")</f>
        <v>20029.0783137037</v>
      </c>
      <c r="CC181" s="279">
        <f>IF(ISNUMBER(CC175),CC175+CC180,"")</f>
        <v>22866.4547711109</v>
      </c>
      <c r="CD181" s="279">
        <f>IF(ISNUMBER(CD175),CD175+CD180,"")</f>
        <v>25829.2377475627</v>
      </c>
      <c r="CE181" s="279">
        <f>IF(ISNUMBER(CE175),CE175+CE180,"")</f>
        <v>28561.1312546079</v>
      </c>
      <c r="CF181" s="279">
        <f>IF(ISNUMBER(CF175),CF175+CF180,"")</f>
        <v>31332.6256061485</v>
      </c>
      <c r="CG181" s="153" t="n"/>
    </row>
    <row r="182" ht="15" customHeight="1" s="251">
      <c r="B182" s="25" t="inlineStr">
        <is>
          <t>To adjusted EBIT, full-cost (for NOPAT, ROIC and the DCF):</t>
        </is>
      </c>
      <c r="CG182" s="153" t="n"/>
    </row>
    <row r="183" ht="15" customHeight="1" s="251">
      <c r="B183" s="25" t="inlineStr">
        <is>
          <t xml:space="preserve">  (−) Non-content D&amp;A and stock-based compensation</t>
        </is>
      </c>
      <c r="C183" s="264">
        <f>IF(ISNUMBER(C172),-C172-C174,"")</f>
        <v>-28.599</v>
      </c>
      <c r="D183" s="264">
        <f>IF(ISNUMBER(D172),-D172-D174,"")</f>
        <v>-33.37</v>
      </c>
      <c r="E183" s="264">
        <f>IF(ISNUMBER(E172),-E172-E174,"")</f>
        <v>-44.718</v>
      </c>
      <c r="F183" s="264">
        <f>IF(ISNUMBER(F172),-F172-F174,"")</f>
        <v>-50.662</v>
      </c>
      <c r="G183" s="264">
        <f>IF(ISNUMBER(G172),-G172-G174,"")</f>
        <v>-66.095</v>
      </c>
      <c r="H183" s="264">
        <f>IF(ISNUMBER(H172),-H172-H174,"")</f>
        <v>-105.329</v>
      </c>
      <c r="I183" s="264">
        <f>IF(ISNUMBER(I172),-I172-I174,"")</f>
        <v>-119.417</v>
      </c>
      <c r="J183" s="264">
        <f>IF(ISNUMBER(J172),-J172-J174,"")</f>
        <v>-29.797</v>
      </c>
      <c r="K183" s="264">
        <f>IF(ISNUMBER(K172),-K172-K174,"")</f>
        <v>-29.981</v>
      </c>
      <c r="L183" s="264">
        <f>IF(ISNUMBER(L172),-L172-L174,"")</f>
        <v>-29.929</v>
      </c>
      <c r="M183" s="264">
        <f>IF(ISNUMBER(M172),-M172-M174,"")</f>
        <v>-31.767</v>
      </c>
      <c r="N183" s="264">
        <f>IF(ISNUMBER(N172),-N172-N174,"")</f>
        <v>-121.474</v>
      </c>
      <c r="O183" s="264">
        <f>IF(ISNUMBER(O172),-O172-O174,"")</f>
        <v>-38.207</v>
      </c>
      <c r="P183" s="264">
        <f>IF(ISNUMBER(P172),-P172-P174,"")</f>
        <v>-42.262</v>
      </c>
      <c r="Q183" s="264">
        <f>IF(ISNUMBER(Q172),-Q172-Q174,"")</f>
        <v>-44.235</v>
      </c>
      <c r="R183" s="264">
        <f>IF(ISNUMBER(R172),-R172-R174,"")</f>
        <v>-44.563</v>
      </c>
      <c r="S183" s="264">
        <f>IF(ISNUMBER(S172),-S172-S174,"")</f>
        <v>-169.267</v>
      </c>
      <c r="T183" s="264">
        <f>IF(ISNUMBER(T172),-T172-T174,"")</f>
        <v>-42.608</v>
      </c>
      <c r="U183" s="264">
        <f>IF(ISNUMBER(U172),-U172-U174,"")</f>
        <v>-44.171</v>
      </c>
      <c r="V183" s="264">
        <f>IF(ISNUMBER(V172),-V172-V174,"")</f>
        <v>-48.881</v>
      </c>
      <c r="W183" s="264">
        <f>IF(ISNUMBER(W172),-W172-W174,"")</f>
        <v>-51.348</v>
      </c>
      <c r="X183" s="264">
        <f>IF(ISNUMBER(X172),-X172-X174,"")</f>
        <v>-187.008</v>
      </c>
      <c r="Y183" s="264">
        <f>IF(ISNUMBER(Y172),-Y172-Y174,"")</f>
        <v>-57.22</v>
      </c>
      <c r="Z183" s="264">
        <f>IF(ISNUMBER(Z172),-Z172-Z174,"")</f>
        <v>-58.243</v>
      </c>
      <c r="AA183" s="264">
        <f>IF(ISNUMBER(AA172),-AA172-AA174,"")</f>
        <v>-57.905</v>
      </c>
      <c r="AB183" s="264">
        <f>IF(ISNUMBER(AB172),-AB172-AB174,"")</f>
        <v>-57.835</v>
      </c>
      <c r="AC183" s="264">
        <f>IF(ISNUMBER(AC172),-AC172-AC174,"")</f>
        <v>-231.203</v>
      </c>
      <c r="AD183" s="264">
        <f>IF(ISNUMBER(AD172),-AD172-AD174,"")</f>
        <v>-59.937</v>
      </c>
      <c r="AE183" s="264">
        <f>IF(ISNUMBER(AE172),-AE172-AE174,"")</f>
        <v>-62.579</v>
      </c>
      <c r="AF183" s="264">
        <f>IF(ISNUMBER(AF172),-AF172-AF174,"")</f>
        <v>-64.001</v>
      </c>
      <c r="AG183" s="264">
        <f>IF(ISNUMBER(AG172),-AG172-AG174,"")</f>
        <v>-67.603</v>
      </c>
      <c r="AH183" s="264">
        <f>IF(ISNUMBER(AH172),-AH172-AH174,"")</f>
        <v>-254.12</v>
      </c>
      <c r="AI183" s="264">
        <f>IF(ISNUMBER(AI172),-AI172-AI174,"")</f>
        <v>-87.436</v>
      </c>
      <c r="AJ183" s="264">
        <f>IF(ISNUMBER(AJ172),-AJ172-AJ174,"")</f>
        <v>-100.968</v>
      </c>
      <c r="AK183" s="264">
        <f>IF(ISNUMBER(AK172),-AK172-AK174,"")</f>
        <v>-103.477</v>
      </c>
      <c r="AL183" s="264">
        <f>IF(ISNUMBER(AL172),-AL172-AL174,"")</f>
        <v>-111.933</v>
      </c>
      <c r="AM183" s="264">
        <f>IF(ISNUMBER(AM172),-AM172-AM174,"")</f>
        <v>-403.814</v>
      </c>
      <c r="AN183" s="264">
        <f>IF(ISNUMBER(AN172),-AN172-AN174,"")</f>
        <v>-124.761</v>
      </c>
      <c r="AO183" s="264">
        <f>IF(ISNUMBER(AO172),-AO172-AO174,"")</f>
        <v>-129.344</v>
      </c>
      <c r="AP183" s="264">
        <f>IF(ISNUMBER(AP172),-AP172-AP174,"")</f>
        <v>-126.966</v>
      </c>
      <c r="AQ183" s="264">
        <f>IF(ISNUMBER(AQ172),-AQ172-AQ174,"")</f>
        <v>-127.884</v>
      </c>
      <c r="AR183" s="264">
        <f>IF(ISNUMBER(AR172),-AR172-AR174,"")</f>
        <v>-508.955</v>
      </c>
      <c r="AS183" s="264">
        <f>IF(ISNUMBER(AS172),-AS172-AS174,"")</f>
        <v>-125.536</v>
      </c>
      <c r="AT183" s="264">
        <f>IF(ISNUMBER(AT172),-AT172-AT174,"")</f>
        <v>-130.871</v>
      </c>
      <c r="AU183" s="264">
        <f>IF(ISNUMBER(AU172),-AU172-AU174,"")</f>
        <v>-134.946</v>
      </c>
      <c r="AV183" s="264">
        <f>IF(ISNUMBER(AV172),-AV172-AV174,"")</f>
        <v>-139.537</v>
      </c>
      <c r="AW183" s="264">
        <f>IF(ISNUMBER(AW172),-AW172-AW174,"")</f>
        <v>-530.89</v>
      </c>
      <c r="AX183" s="264">
        <f>IF(ISNUMBER(AX172),-AX172-AX174,"")</f>
        <v>-142.971</v>
      </c>
      <c r="AY183" s="264">
        <f>IF(ISNUMBER(AY172),-AY172-AY174,"")</f>
        <v>-140.017</v>
      </c>
      <c r="AZ183" s="264">
        <f>IF(ISNUMBER(AZ172),-AZ172-AZ174,"")</f>
        <v>-165.331</v>
      </c>
      <c r="BA183" s="264">
        <f>IF(ISNUMBER(BA172),-BA172-BA174,"")</f>
        <v>-163.313</v>
      </c>
      <c r="BB183" s="264">
        <f>IF(ISNUMBER(BB172),-BB172-BB174,"")</f>
        <v>-611.632</v>
      </c>
      <c r="BC183" s="264">
        <f>IF(ISNUMBER(BC172),-BC172-BC174,"")</f>
        <v>-193.811</v>
      </c>
      <c r="BD183" s="264">
        <f>IF(ISNUMBER(BD172),-BD172-BD174,"")</f>
        <v>-233.897</v>
      </c>
      <c r="BE183" s="264">
        <f>IF(ISNUMBER(BE172),-BE172-BE174,"")</f>
        <v>-237.25</v>
      </c>
      <c r="BF183" s="264">
        <f>IF(ISNUMBER(BF172),-BF172-BF174,"")</f>
        <v>-247.176</v>
      </c>
      <c r="BG183" s="264">
        <f>IF(ISNUMBER(BG172),-BG172-BG174,"")</f>
        <v>-912.134</v>
      </c>
      <c r="BH183" s="264">
        <f>IF(ISNUMBER(BH172),-BH172-BH174,"")</f>
        <v>-189.434</v>
      </c>
      <c r="BI183" s="264">
        <f>IF(ISNUMBER(BI172),-BI172-BI174,"")</f>
        <v>-167.415</v>
      </c>
      <c r="BJ183" s="264">
        <f>IF(ISNUMBER(BJ172),-BJ172-BJ174,"")</f>
        <v>-170.38</v>
      </c>
      <c r="BK183" s="264">
        <f>IF(ISNUMBER(BK172),-BK172-BK174,"")</f>
        <v>-169.086</v>
      </c>
      <c r="BL183" s="264">
        <f>IF(ISNUMBER(BL172),-BL172-BL174,"")</f>
        <v>-696.315</v>
      </c>
      <c r="BM183" s="264">
        <f>IF(ISNUMBER(BM172),-BM172-BM174,"")</f>
        <v>-163.579</v>
      </c>
      <c r="BN183" s="264">
        <f>IF(ISNUMBER(BN172),-BN172-BN174,"")</f>
        <v>-149.993</v>
      </c>
      <c r="BO183" s="264">
        <f>IF(ISNUMBER(BO172),-BO172-BO174,"")</f>
        <v>-146.564</v>
      </c>
      <c r="BP183" s="264">
        <f>IF(ISNUMBER(BP172),-BP172-BP174,"")</f>
        <v>-141.366</v>
      </c>
      <c r="BQ183" s="264">
        <f>IF(ISNUMBER(BQ172),-BQ172-BQ174,"")</f>
        <v>-601.502</v>
      </c>
      <c r="BR183" s="264">
        <f>IF(ISNUMBER(BR172),-BR172-BR174,"")</f>
        <v>-152.044</v>
      </c>
      <c r="BS183" s="264">
        <f>IF(ISNUMBER(BS172),-BS172-BS174,"")</f>
        <v>-160.875</v>
      </c>
      <c r="BT183" s="264">
        <f>IF(ISNUMBER(BT172),-BT172-BT174,"")</f>
        <v>-168.312</v>
      </c>
      <c r="BU183" s="264">
        <f>IF(ISNUMBER(BU172),-BU172-BU174,"")</f>
        <v>-220.607</v>
      </c>
      <c r="BV183" s="264">
        <f>IF(ISNUMBER(BV172),-BV172-BV174,"")</f>
        <v>-701.838</v>
      </c>
      <c r="BW183" s="264">
        <f>IF(ISNUMBER(BW172),-BW172-BW174,"")</f>
        <v>-238.98</v>
      </c>
      <c r="BX183" s="264">
        <f>IF(ISNUMBER(BX172),-BX172-BX174,"")</f>
        <v>-231.842</v>
      </c>
      <c r="BY183" s="254">
        <f>IF(ISNUMBER(BY172),-BY172-BY174,"")</f>
        <v>-252.591531326364</v>
      </c>
      <c r="BZ183" s="254">
        <f>IF(ISNUMBER(BZ172),-BZ172-BZ174,"")</f>
        <v>-346.278704199285</v>
      </c>
      <c r="CA183" s="254">
        <f>IF(ISNUMBER(CA172),-CA172-CA174,"")</f>
        <v>-1069.69223552565</v>
      </c>
      <c r="CB183" s="254">
        <f>IF(ISNUMBER(CB172),-CB172-CB174,"")</f>
        <v>-1075.00702813664</v>
      </c>
      <c r="CC183" s="254">
        <f>IF(ISNUMBER(CC172),-CC172-CC174,"")</f>
        <v>-1177.4055302198</v>
      </c>
      <c r="CD183" s="254">
        <f>IF(ISNUMBER(CD172),-CD172-CD174,"")</f>
        <v>-1278.00915938461</v>
      </c>
      <c r="CE183" s="254">
        <f>IF(ISNUMBER(CE172),-CE172-CE174,"")</f>
        <v>-1377.31343613592</v>
      </c>
      <c r="CF183" s="254">
        <f>IF(ISNUMBER(CF172),-CF172-CF174,"")</f>
        <v>-1473.56407553668</v>
      </c>
      <c r="CG183" s="19" t="n"/>
    </row>
    <row r="184" ht="15" customHeight="1" s="251">
      <c r="B184" s="55" t="inlineStr">
        <is>
          <t xml:space="preserve">  = Adjusted EBIT, full-cost (= adjusted operating income: after content amortization, D&amp;A and SBC)</t>
        </is>
      </c>
      <c r="C184" s="271">
        <f>IF(ISNUMBER(C181),C181+C183,"")</f>
        <v>64.414</v>
      </c>
      <c r="D184" s="271">
        <f>IF(ISNUMBER(D181),D181+D183,"")</f>
        <v>91.1609999999999</v>
      </c>
      <c r="E184" s="271">
        <f>IF(ISNUMBER(E181),E181+E183,"")</f>
        <v>121.506</v>
      </c>
      <c r="F184" s="271">
        <f>IF(ISNUMBER(F181),F181+F183,"")</f>
        <v>191.939</v>
      </c>
      <c r="G184" s="271">
        <f>IF(ISNUMBER(G181),G181+G183,"")</f>
        <v>283.641</v>
      </c>
      <c r="H184" s="271">
        <f>IF(ISNUMBER(H181),H181+H183,"")</f>
        <v>376.068</v>
      </c>
      <c r="I184" s="271">
        <f>IF(ISNUMBER(I181),I181+I183,"")</f>
        <v>49.9920000000002</v>
      </c>
      <c r="J184" s="271">
        <f>IF(ISNUMBER(J181),J181+J183,"")</f>
        <v>31.822</v>
      </c>
      <c r="K184" s="271">
        <f>IF(ISNUMBER(K181),K181+K183,"")</f>
        <v>57.1170000000001</v>
      </c>
      <c r="L184" s="271">
        <f>IF(ISNUMBER(L181),L181+L183,"")</f>
        <v>57.12</v>
      </c>
      <c r="M184" s="271">
        <f>IF(ISNUMBER(M181),M181+M183,"")</f>
        <v>82.288</v>
      </c>
      <c r="N184" s="271">
        <f>IF(ISNUMBER(N181),N181+N183,"")</f>
        <v>228.347</v>
      </c>
      <c r="O184" s="271">
        <f>IF(ISNUMBER(O181),O181+O183,"")</f>
        <v>97.5949999999999</v>
      </c>
      <c r="P184" s="271">
        <f>IF(ISNUMBER(P181),P181+P183,"")</f>
        <v>129.6</v>
      </c>
      <c r="Q184" s="271">
        <f>IF(ISNUMBER(Q181),Q181+Q183,"")</f>
        <v>110.407</v>
      </c>
      <c r="R184" s="271">
        <f>IF(ISNUMBER(R181),R181+R183,"")</f>
        <v>65.0460000000001</v>
      </c>
      <c r="S184" s="271">
        <f>IF(ISNUMBER(S181),S181+S183,"")</f>
        <v>402.648</v>
      </c>
      <c r="T184" s="271">
        <f>IF(ISNUMBER(T181),T181+T183,"")</f>
        <v>97.4559999999998</v>
      </c>
      <c r="U184" s="271">
        <f>IF(ISNUMBER(U181),U181+U183,"")</f>
        <v>74.835</v>
      </c>
      <c r="V184" s="271">
        <f>IF(ISNUMBER(V181),V181+V183,"")</f>
        <v>73.641</v>
      </c>
      <c r="W184" s="271">
        <f>IF(ISNUMBER(W181),W181+W183,"")</f>
        <v>59.8940000000001</v>
      </c>
      <c r="X184" s="271">
        <f>IF(ISNUMBER(X181),X181+X183,"")</f>
        <v>305.826000000001</v>
      </c>
      <c r="Y184" s="271">
        <f>IF(ISNUMBER(Y181),Y181+Y183,"")</f>
        <v>49.4530000000001</v>
      </c>
      <c r="Z184" s="271">
        <f>IF(ISNUMBER(Z181),Z181+Z183,"")</f>
        <v>70.3700000000002</v>
      </c>
      <c r="AA184" s="271">
        <f>IF(ISNUMBER(AA181),AA181+AA183,"")</f>
        <v>106.036</v>
      </c>
      <c r="AB184" s="271">
        <f>IF(ISNUMBER(AB181),AB181+AB183,"")</f>
        <v>153.934</v>
      </c>
      <c r="AC184" s="271">
        <f>IF(ISNUMBER(AC181),AC181+AC183,"")</f>
        <v>379.793</v>
      </c>
      <c r="AD184" s="271">
        <f>IF(ISNUMBER(AD181),AD181+AD183,"")</f>
        <v>256.942</v>
      </c>
      <c r="AE184" s="271">
        <f>IF(ISNUMBER(AE181),AE181+AE183,"")</f>
        <v>127.807</v>
      </c>
      <c r="AF184" s="271">
        <f>IF(ISNUMBER(AF181),AF181+AF183,"")</f>
        <v>208.627</v>
      </c>
      <c r="AG184" s="271">
        <f>IF(ISNUMBER(AG181),AG181+AG183,"")</f>
        <v>245.303</v>
      </c>
      <c r="AH184" s="271">
        <f>IF(ISNUMBER(AH181),AH181+AH183,"")</f>
        <v>838.679</v>
      </c>
      <c r="AI184" s="271">
        <f>IF(ISNUMBER(AI181),AI181+AI183,"")</f>
        <v>446.578</v>
      </c>
      <c r="AJ184" s="271">
        <f>IF(ISNUMBER(AJ181),AJ181+AJ183,"")</f>
        <v>462.213</v>
      </c>
      <c r="AK184" s="271">
        <f>IF(ISNUMBER(AK181),AK181+AK183,"")</f>
        <v>480.668</v>
      </c>
      <c r="AL184" s="271">
        <f>IF(ISNUMBER(AL181),AL181+AL183,"")</f>
        <v>215.767</v>
      </c>
      <c r="AM184" s="271">
        <f>IF(ISNUMBER(AM181),AM181+AM183,"")</f>
        <v>1605.226</v>
      </c>
      <c r="AN184" s="271">
        <f>IF(ISNUMBER(AN181),AN181+AN183,"")</f>
        <v>459.084</v>
      </c>
      <c r="AO184" s="271">
        <f>IF(ISNUMBER(AO181),AO181+AO183,"")</f>
        <v>706.419</v>
      </c>
      <c r="AP184" s="271">
        <f>IF(ISNUMBER(AP181),AP181+AP183,"")</f>
        <v>980.239</v>
      </c>
      <c r="AQ184" s="271">
        <f>IF(ISNUMBER(AQ181),AQ181+AQ183,"")</f>
        <v>458.512</v>
      </c>
      <c r="AR184" s="271">
        <f>IF(ISNUMBER(AR181),AR181+AR183,"")</f>
        <v>2604.254</v>
      </c>
      <c r="AS184" s="271">
        <f>IF(ISNUMBER(AS181),AS181+AS183,"")</f>
        <v>958.256</v>
      </c>
      <c r="AT184" s="271">
        <f>IF(ISNUMBER(AT181),AT181+AT183,"")</f>
        <v>1357.928</v>
      </c>
      <c r="AU184" s="271">
        <f>IF(ISNUMBER(AU181),AU181+AU183,"")</f>
        <v>1314.863</v>
      </c>
      <c r="AV184" s="271">
        <f>IF(ISNUMBER(AV181),AV181+AV183,"")</f>
        <v>954.242</v>
      </c>
      <c r="AW184" s="271">
        <f>IF(ISNUMBER(AW181),AW181+AW183,"")</f>
        <v>4585.289</v>
      </c>
      <c r="AX184" s="271">
        <f>IF(ISNUMBER(AX181),AX181+AX183,"")</f>
        <v>1959.856</v>
      </c>
      <c r="AY184" s="271">
        <f>IF(ISNUMBER(AY181),AY181+AY183,"")</f>
        <v>1847.63</v>
      </c>
      <c r="AZ184" s="271">
        <f>IF(ISNUMBER(AZ181),AZ181+AZ183,"")</f>
        <v>1755.253</v>
      </c>
      <c r="BA184" s="271">
        <f>IF(ISNUMBER(BA181),BA181+BA183,"")</f>
        <v>631.770000000001</v>
      </c>
      <c r="BB184" s="271">
        <f>IF(ISNUMBER(BB181),BB181+BB183,"")</f>
        <v>6194.509</v>
      </c>
      <c r="BC184" s="271">
        <f>IF(ISNUMBER(BC181),BC181+BC183,"")</f>
        <v>1971.626</v>
      </c>
      <c r="BD184" s="271">
        <f>IF(ISNUMBER(BD181),BD181+BD183,"")</f>
        <v>1728.283</v>
      </c>
      <c r="BE184" s="271">
        <f>IF(ISNUMBER(BE181),BE181+BE183,"")</f>
        <v>1533.018</v>
      </c>
      <c r="BF184" s="271">
        <f>IF(ISNUMBER(BF181),BF181+BF183,"")</f>
        <v>549.904</v>
      </c>
      <c r="BG184" s="271">
        <f>IF(ISNUMBER(BG181),BG181+BG183,"")</f>
        <v>5782.831</v>
      </c>
      <c r="BH184" s="271">
        <f>IF(ISNUMBER(BH181),BH181+BH183,"")</f>
        <v>1714.317</v>
      </c>
      <c r="BI184" s="271">
        <f>IF(ISNUMBER(BI181),BI181+BI183,"")</f>
        <v>1827.183</v>
      </c>
      <c r="BJ184" s="271">
        <f>IF(ISNUMBER(BJ181),BJ181+BJ183,"")</f>
        <v>1916.394</v>
      </c>
      <c r="BK184" s="271">
        <f>IF(ISNUMBER(BK181),BK181+BK183,"")</f>
        <v>1496.109</v>
      </c>
      <c r="BL184" s="271">
        <f>IF(ISNUMBER(BL181),BL181+BL183,"")</f>
        <v>6954.003</v>
      </c>
      <c r="BM184" s="271">
        <f>IF(ISNUMBER(BM181),BM181+BM183,"")</f>
        <v>2632.534</v>
      </c>
      <c r="BN184" s="271">
        <f>IF(ISNUMBER(BN181),BN181+BN183,"")</f>
        <v>2602.837</v>
      </c>
      <c r="BO184" s="271">
        <f>IF(ISNUMBER(BO181),BO181+BO183,"")</f>
        <v>2909.477</v>
      </c>
      <c r="BP184" s="271">
        <f>IF(ISNUMBER(BP181),BP181+BP183,"")</f>
        <v>2272.766</v>
      </c>
      <c r="BQ184" s="271">
        <f>IF(ISNUMBER(BQ181),BQ181+BQ183,"")</f>
        <v>10417.614</v>
      </c>
      <c r="BR184" s="271">
        <f>IF(ISNUMBER(BR181),BR181+BR183,"")</f>
        <v>3346.999</v>
      </c>
      <c r="BS184" s="271">
        <f>IF(ISNUMBER(BS181),BS181+BS183,"")</f>
        <v>3774.694</v>
      </c>
      <c r="BT184" s="271">
        <f>IF(ISNUMBER(BT181),BT181+BT183,"")</f>
        <v>3867.247</v>
      </c>
      <c r="BU184" s="271">
        <f>IF(ISNUMBER(BU181),BU181+BU183,"")</f>
        <v>2956.663</v>
      </c>
      <c r="BV184" s="271">
        <f>IF(ISNUMBER(BV181),BV181+BV183,"")</f>
        <v>13945.603</v>
      </c>
      <c r="BW184" s="271">
        <f>IF(ISNUMBER(BW181),BW181+BW183,"")</f>
        <v>3956.997</v>
      </c>
      <c r="BX184" s="271">
        <f>IF(ISNUMBER(BX181),BX181+BX183,"")</f>
        <v>4192.61</v>
      </c>
      <c r="BY184" s="271">
        <f>IF(ISNUMBER(BY181),BY181+BY183,"")</f>
        <v>4269.52</v>
      </c>
      <c r="BZ184" s="271">
        <f>IF(ISNUMBER(BZ181),BZ181+BZ183,"")</f>
        <v>3708.873</v>
      </c>
      <c r="CA184" s="271">
        <f>IF(ISNUMBER(CA181),CA181+CA183,"")</f>
        <v>16128</v>
      </c>
      <c r="CB184" s="271">
        <f>IF(ISNUMBER(CB181),CB181+CB183,"")</f>
        <v>18954.071285567</v>
      </c>
      <c r="CC184" s="271">
        <f>IF(ISNUMBER(CC181),CC181+CC183,"")</f>
        <v>21689.0492408911</v>
      </c>
      <c r="CD184" s="271">
        <f>IF(ISNUMBER(CD181),CD181+CD183,"")</f>
        <v>24551.2285881781</v>
      </c>
      <c r="CE184" s="271">
        <f>IF(ISNUMBER(CE181),CE181+CE183,"")</f>
        <v>27183.817818472</v>
      </c>
      <c r="CF184" s="271">
        <f>IF(ISNUMBER(CF181),CF181+CF183,"")</f>
        <v>29859.0615306118</v>
      </c>
      <c r="CG184" s="153" t="n"/>
    </row>
    <row r="185" ht="15" customHeight="1" s="251">
      <c r="B185" s="25" t="inlineStr">
        <is>
          <t xml:space="preserve">  Adjusted EBIT (full-cost) margin %</t>
        </is>
      </c>
      <c r="C185" s="215">
        <f>IF(AND(ISNUMBER(C184),ISNUMBER(C121)),IFERROR(C184/C121,""),"")</f>
        <v>0.064629863744908</v>
      </c>
      <c r="D185" s="215">
        <f>IF(AND(ISNUMBER(D184),ISNUMBER(D121)),IFERROR(D184/D121,""),"")</f>
        <v>0.075630942306735</v>
      </c>
      <c r="E185" s="215">
        <f>IF(AND(ISNUMBER(E184),ISNUMBER(E121)),IFERROR(E184/E121,""),"")</f>
        <v>0.0890374972245855</v>
      </c>
      <c r="F185" s="215">
        <f>IF(AND(ISNUMBER(F184),ISNUMBER(F121)),IFERROR(F184/F121,""),"")</f>
        <v>0.114915022670001</v>
      </c>
      <c r="G185" s="215">
        <f>IF(AND(ISNUMBER(G184),ISNUMBER(G121)),IFERROR(G184/G121,""),"")</f>
        <v>0.131155886942951</v>
      </c>
      <c r="H185" s="215">
        <f>IF(AND(ISNUMBER(H184),ISNUMBER(H121)),IFERROR(H184/H121,""),"")</f>
        <v>0.117353397967969</v>
      </c>
      <c r="I185" s="215">
        <f>IF(AND(ISNUMBER(I184),ISNUMBER(I121)),IFERROR(I184/I121,""),"")</f>
        <v>0.0138509542895236</v>
      </c>
      <c r="J185" s="215">
        <f>IF(AND(ISNUMBER(J184),ISNUMBER(J121)),IFERROR(J184/J121,""),"")</f>
        <v>0.0310773554852186</v>
      </c>
      <c r="K185" s="215">
        <f>IF(AND(ISNUMBER(K184),ISNUMBER(K121)),IFERROR(K184/K121,""),"")</f>
        <v>0.0534117220200268</v>
      </c>
      <c r="L185" s="215">
        <f>IF(AND(ISNUMBER(L184),ISNUMBER(L121)),IFERROR(L184/L121,""),"")</f>
        <v>0.0516456163161088</v>
      </c>
      <c r="M185" s="215">
        <f>IF(AND(ISNUMBER(M184),ISNUMBER(M121)),IFERROR(M184/M121,""),"")</f>
        <v>0.0700186346502386</v>
      </c>
      <c r="N185" s="215">
        <f>IF(AND(ISNUMBER(N184),ISNUMBER(N121)),IFERROR(N184/N121,""),"")</f>
        <v>0.0521988258481649</v>
      </c>
      <c r="O185" s="215">
        <f>IF(AND(ISNUMBER(O184),ISNUMBER(O121)),IFERROR(O184/O121,""),"")</f>
        <v>0.0768410717674115</v>
      </c>
      <c r="P185" s="215">
        <f>IF(AND(ISNUMBER(P184),ISNUMBER(P121)),IFERROR(P184/P121,""),"")</f>
        <v>0.0966870510225625</v>
      </c>
      <c r="Q185" s="215">
        <f>IF(AND(ISNUMBER(Q184),ISNUMBER(Q121)),IFERROR(Q184/Q121,""),"")</f>
        <v>0.0783343928618053</v>
      </c>
      <c r="R185" s="215">
        <f>IF(AND(ISNUMBER(R184),ISNUMBER(R121)),IFERROR(R184/R121,""),"")</f>
        <v>0.0438100446681144</v>
      </c>
      <c r="S185" s="215">
        <f>IF(AND(ISNUMBER(S184),ISNUMBER(S121)),IFERROR(S184/S121,""),"")</f>
        <v>0.0731468051772898</v>
      </c>
      <c r="T185" s="215">
        <f>IF(AND(ISNUMBER(T184),ISNUMBER(T121)),IFERROR(T184/T121,""),"")</f>
        <v>0.0619504185607155</v>
      </c>
      <c r="U185" s="215">
        <f>IF(AND(ISNUMBER(U184),ISNUMBER(U121)),IFERROR(U184/U121,""),"")</f>
        <v>0.0455008652065369</v>
      </c>
      <c r="V185" s="215">
        <f>IF(AND(ISNUMBER(V184),ISNUMBER(V121)),IFERROR(V184/V121,""),"")</f>
        <v>0.0423624633633521</v>
      </c>
      <c r="W185" s="215">
        <f>IF(AND(ISNUMBER(W184),ISNUMBER(W121)),IFERROR(W184/W121,""),"")</f>
        <v>0.0328486348900613</v>
      </c>
      <c r="X185" s="215">
        <f>IF(AND(ISNUMBER(X184),ISNUMBER(X121)),IFERROR(X184/X121,""),"")</f>
        <v>0.0451103331788975</v>
      </c>
      <c r="Y185" s="215">
        <f>IF(AND(ISNUMBER(Y184),ISNUMBER(Y121)),IFERROR(Y184/Y121,""),"")</f>
        <v>0.0252603006738397</v>
      </c>
      <c r="Z185" s="215">
        <f>IF(AND(ISNUMBER(Z184),ISNUMBER(Z121)),IFERROR(Z184/Z121,""),"")</f>
        <v>0.0334266892899691</v>
      </c>
      <c r="AA185" s="215">
        <f>IF(AND(ISNUMBER(AA184),ISNUMBER(AA121)),IFERROR(AA184/AA121,""),"")</f>
        <v>0.0463001290723731</v>
      </c>
      <c r="AB185" s="215">
        <f>IF(AND(ISNUMBER(AB184),ISNUMBER(AB121)),IFERROR(AB184/AB121,""),"")</f>
        <v>0.0621317669414956</v>
      </c>
      <c r="AC185" s="215">
        <f>IF(AND(ISNUMBER(AC184),ISNUMBER(AC121)),IFERROR(AC184/AC121,""),"")</f>
        <v>0.0430084062713709</v>
      </c>
      <c r="AD185" s="215">
        <f>IF(AND(ISNUMBER(AD184),ISNUMBER(AD121)),IFERROR(AD184/AD121,""),"")</f>
        <v>0.0974507279164542</v>
      </c>
      <c r="AE185" s="215">
        <f>IF(AND(ISNUMBER(AE184),ISNUMBER(AE121)),IFERROR(AE184/AE121,""),"")</f>
        <v>0.0458835583586792</v>
      </c>
      <c r="AF185" s="215">
        <f>IF(AND(ISNUMBER(AF184),ISNUMBER(AF121)),IFERROR(AF184/AF121,""),"")</f>
        <v>0.0698950938721058</v>
      </c>
      <c r="AG185" s="215">
        <f>IF(AND(ISNUMBER(AG184),ISNUMBER(AG121)),IFERROR(AG184/AG121,""),"")</f>
        <v>0.0746565096910756</v>
      </c>
      <c r="AH185" s="215">
        <f>IF(AND(ISNUMBER(AH184),ISNUMBER(AH121)),IFERROR(AH184/AH121,""),"")</f>
        <v>0.0717266386338226</v>
      </c>
      <c r="AI185" s="215">
        <f>IF(AND(ISNUMBER(AI184),ISNUMBER(AI121)),IFERROR(AI184/AI121,""),"")</f>
        <v>0.12066883985759</v>
      </c>
      <c r="AJ185" s="215">
        <f>IF(AND(ISNUMBER(AJ184),ISNUMBER(AJ121)),IFERROR(AJ184/AJ121,""),"")</f>
        <v>0.118295638642838</v>
      </c>
      <c r="AK185" s="215">
        <f>IF(AND(ISNUMBER(AK184),ISNUMBER(AK121)),IFERROR(AK184/AK121,""),"")</f>
        <v>0.120185809079121</v>
      </c>
      <c r="AL185" s="215">
        <f>IF(AND(ISNUMBER(AL184),ISNUMBER(AL121)),IFERROR(AL184/AL121,""),"")</f>
        <v>0.0515345579160996</v>
      </c>
      <c r="AM185" s="215">
        <f>IF(AND(ISNUMBER(AM184),ISNUMBER(AM121)),IFERROR(AM184/AM121,""),"")</f>
        <v>0.101632983611029</v>
      </c>
      <c r="AN185" s="215">
        <f>IF(AND(ISNUMBER(AN184),ISNUMBER(AN121)),IFERROR(AN184/AN121,""),"")</f>
        <v>0.101544970661306</v>
      </c>
      <c r="AO185" s="215">
        <f>IF(AND(ISNUMBER(AO184),ISNUMBER(AO121)),IFERROR(AO184/AO121,""),"")</f>
        <v>0.143490220421375</v>
      </c>
      <c r="AP185" s="215">
        <f>IF(AND(ISNUMBER(AP184),ISNUMBER(AP121)),IFERROR(AP184/AP121,""),"")</f>
        <v>0.186893566232372</v>
      </c>
      <c r="AQ185" s="215">
        <f>IF(AND(ISNUMBER(AQ184),ISNUMBER(AQ121)),IFERROR(AQ184/AQ121,""),"")</f>
        <v>0.0838623749276169</v>
      </c>
      <c r="AR185" s="215">
        <f>IF(AND(ISNUMBER(AR184),ISNUMBER(AR121)),IFERROR(AR184/AR121,""),"")</f>
        <v>0.129202036450174</v>
      </c>
      <c r="AS185" s="215">
        <f>IF(AND(ISNUMBER(AS184),ISNUMBER(AS121)),IFERROR(AS184/AS121,""),"")</f>
        <v>0.166142048871897</v>
      </c>
      <c r="AT185" s="215">
        <f>IF(AND(ISNUMBER(AT184),ISNUMBER(AT121)),IFERROR(AT184/AT121,""),"")</f>
        <v>0.220862855111164</v>
      </c>
      <c r="AU185" s="215">
        <f>IF(AND(ISNUMBER(AU184),ISNUMBER(AU121)),IFERROR(AU184/AU121,""),"")</f>
        <v>0.204309689934345</v>
      </c>
      <c r="AV185" s="215">
        <f>IF(AND(ISNUMBER(AV184),ISNUMBER(AV121)),IFERROR(AV184/AV121,""),"")</f>
        <v>0.143615069557383</v>
      </c>
      <c r="AW185" s="215">
        <f>IF(AND(ISNUMBER(AW184),ISNUMBER(AW121)),IFERROR(AW184/AW121,""),"")</f>
        <v>0.183440499573213</v>
      </c>
      <c r="AX185" s="215">
        <f>IF(AND(ISNUMBER(AX184),ISNUMBER(AX121)),IFERROR(AX184/AX121,""),"")</f>
        <v>0.27359749343946</v>
      </c>
      <c r="AY185" s="215">
        <f>IF(AND(ISNUMBER(AY184),ISNUMBER(AY121)),IFERROR(AY184/AY121,""),"")</f>
        <v>0.251659782093627</v>
      </c>
      <c r="AZ185" s="215">
        <f>IF(AND(ISNUMBER(AZ184),ISNUMBER(AZ121)),IFERROR(AZ184/AZ121,""),"")</f>
        <v>0.234550777066298</v>
      </c>
      <c r="BA185" s="215">
        <f>IF(AND(ISNUMBER(BA184),ISNUMBER(BA121)),IFERROR(BA184/BA121,""),"")</f>
        <v>0.0819488831567203</v>
      </c>
      <c r="BB185" s="215">
        <f>IF(AND(ISNUMBER(BB184),ISNUMBER(BB121)),IFERROR(BB184/BB121,""),"")</f>
        <v>0.208584468286654</v>
      </c>
      <c r="BC185" s="215">
        <f>IF(AND(ISNUMBER(BC184),ISNUMBER(BC121)),IFERROR(BC184/BC121,""),"")</f>
        <v>0.250595372232045</v>
      </c>
      <c r="BD185" s="215">
        <f>IF(AND(ISNUMBER(BD184),ISNUMBER(BD121)),IFERROR(BD184/BD121,""),"")</f>
        <v>0.216844720814851</v>
      </c>
      <c r="BE185" s="215">
        <f>IF(AND(ISNUMBER(BE184),ISNUMBER(BE121)),IFERROR(BE184/BE121,""),"")</f>
        <v>0.193426381307434</v>
      </c>
      <c r="BF185" s="215">
        <f>IF(AND(ISNUMBER(BF184),ISNUMBER(BF121)),IFERROR(BF184/BF121,""),"")</f>
        <v>0.0700331492922934</v>
      </c>
      <c r="BG185" s="215">
        <f>IF(AND(ISNUMBER(BG184),ISNUMBER(BG121)),IFERROR(BG184/BG121,""),"")</f>
        <v>0.182910972606834</v>
      </c>
      <c r="BH185" s="215">
        <f>IF(AND(ISNUMBER(BH184),ISNUMBER(BH121)),IFERROR(BH184/BH121,""),"")</f>
        <v>0.210049178441765</v>
      </c>
      <c r="BI185" s="215">
        <f>IF(AND(ISNUMBER(BI184),ISNUMBER(BI121)),IFERROR(BI184/BI121,""),"")</f>
        <v>0.223172813604874</v>
      </c>
      <c r="BJ185" s="215">
        <f>IF(AND(ISNUMBER(BJ184),ISNUMBER(BJ121)),IFERROR(BJ184/BJ121,""),"")</f>
        <v>0.224358286929438</v>
      </c>
      <c r="BK185" s="215">
        <f>IF(AND(ISNUMBER(BK184),ISNUMBER(BK121)),IFERROR(BK184/BK121,""),"")</f>
        <v>0.169380577561539</v>
      </c>
      <c r="BL185" s="215">
        <f>IF(AND(ISNUMBER(BL184),ISNUMBER(BL121)),IFERROR(BL184/BL121,""),"")</f>
        <v>0.20620768485359</v>
      </c>
      <c r="BM185" s="215">
        <f>IF(AND(ISNUMBER(BM184),ISNUMBER(BM121)),IFERROR(BM184/BM121,""),"")</f>
        <v>0.280940276016921</v>
      </c>
      <c r="BN185" s="215">
        <f>IF(AND(ISNUMBER(BN184),ISNUMBER(BN121)),IFERROR(BN184/BN121,""),"")</f>
        <v>0.272282936739158</v>
      </c>
      <c r="BO185" s="215">
        <f>IF(AND(ISNUMBER(BO184),ISNUMBER(BO121)),IFERROR(BO184/BO121,""),"")</f>
        <v>0.296138926540578</v>
      </c>
      <c r="BP185" s="215">
        <f>IF(AND(ISNUMBER(BP184),ISNUMBER(BP121)),IFERROR(BP184/BP121,""),"")</f>
        <v>0.221808726539458</v>
      </c>
      <c r="BQ185" s="215">
        <f>IF(AND(ISNUMBER(BQ184),ISNUMBER(BQ121)),IFERROR(BQ184/BQ121,""),"")</f>
        <v>0.267111691541179</v>
      </c>
      <c r="BR185" s="215">
        <f>IF(AND(ISNUMBER(BR184),ISNUMBER(BR121)),IFERROR(BR184/BR121,""),"")</f>
        <v>0.317467720390435</v>
      </c>
      <c r="BS185" s="215">
        <f>IF(AND(ISNUMBER(BS184),ISNUMBER(BS121)),IFERROR(BS184/BS121,""),"")</f>
        <v>0.340701998688349</v>
      </c>
      <c r="BT185" s="215">
        <f>IF(AND(ISNUMBER(BT184),ISNUMBER(BT121)),IFERROR(BT184/BT121,""),"")</f>
        <v>0.335981221004792</v>
      </c>
      <c r="BU185" s="215">
        <f>IF(AND(ISNUMBER(BU184),ISNUMBER(BU121)),IFERROR(BU184/BU121,""),"")</f>
        <v>0.245350708942721</v>
      </c>
      <c r="BV185" s="215">
        <f>IF(AND(ISNUMBER(BV184),ISNUMBER(BV121)),IFERROR(BV184/BV121,""),"")</f>
        <v>0.30864687800085</v>
      </c>
      <c r="BW185" s="215">
        <f>IF(AND(ISNUMBER(BW184),ISNUMBER(BW121)),IFERROR(BW184/BW121,""),"")</f>
        <v>0.323026571057695</v>
      </c>
      <c r="BX185" s="215">
        <f>IF(AND(ISNUMBER(BX184),ISNUMBER(BX121)),IFERROR(BX184/BX121,""),"")</f>
        <v>0.333808176441635</v>
      </c>
      <c r="BY185" s="256">
        <f>IF(AND(ISNUMBER(BY184),ISNUMBER(BY121)),IFERROR(BY184/BY121,""),"")</f>
        <v>0.332</v>
      </c>
      <c r="BZ185" s="256">
        <f>IF(AND(ISNUMBER(BZ184),ISNUMBER(BZ121)),IFERROR(BZ184/BZ121,""),"")</f>
        <v>0.274115993689721</v>
      </c>
      <c r="CA185" s="256">
        <f>IF(AND(ISNUMBER(CA184),ISNUMBER(CA121)),IFERROR(CA184/CA121,""),"")</f>
        <v>0.315</v>
      </c>
      <c r="CB185" s="256">
        <f>IF(AND(ISNUMBER(CB184),ISNUMBER(CB121)),IFERROR(CB184/CB121,""),"")</f>
        <v>0.335</v>
      </c>
      <c r="CC185" s="256">
        <f>IF(AND(ISNUMBER(CC184),ISNUMBER(CC121)),IFERROR(CC184/CC121,""),"")</f>
        <v>0.35</v>
      </c>
      <c r="CD185" s="256">
        <f>IF(AND(ISNUMBER(CD184),ISNUMBER(CD121)),IFERROR(CD184/CD121,""),"")</f>
        <v>0.365</v>
      </c>
      <c r="CE185" s="256">
        <f>IF(AND(ISNUMBER(CE184),ISNUMBER(CE121)),IFERROR(CE184/CE121,""),"")</f>
        <v>0.375</v>
      </c>
      <c r="CF185" s="256">
        <f>IF(AND(ISNUMBER(CF184),ISNUMBER(CF121)),IFERROR(CF184/CF121,""),"")</f>
        <v>0.385</v>
      </c>
      <c r="CG185" s="153" t="n"/>
      <c r="CI185" s="37">
        <f>IFERROR(AVERAGE(CB185,CC185,CD185,CE185,CF185),"n/m")</f>
        <v>0.362</v>
      </c>
      <c r="CJ185" s="37">
        <f>IFERROR(AVERAGE(BB185,BG185,BL185,BQ185,BV185),"n/m")</f>
        <v>0.234692339057821</v>
      </c>
      <c r="CK185" s="37">
        <f>IFERROR(AVERAGE(AC185,AH185,AM185,AR185,AW185,BB185,BG185,BL185,BQ185,BV185),"n/m")</f>
        <v>0.170247225982872</v>
      </c>
      <c r="CL185" s="37">
        <f>IFERROR(AVERAGE(C185,D185,E185,F185,G185,H185,I185,N185,S185,X185,AC185,AH185,AM185,AR185,AW185,BB185,BG185,BL185,BQ185,BV185),"n/m")</f>
        <v>0.123975089458987</v>
      </c>
    </row>
    <row r="186" ht="15" customHeight="1" s="251">
      <c r="B186" s="57" t="inlineStr">
        <is>
          <t xml:space="preserve">  Check: adjusted EBIT vs adjusted operating income bridge (should be 0)</t>
        </is>
      </c>
      <c r="C186" s="264">
        <f>IF(ISNUMBER(C184),ROUND(C184-C160,1),"")</f>
        <v>0</v>
      </c>
      <c r="D186" s="264">
        <f>IF(ISNUMBER(D184),ROUND(D184-D160,1),"")</f>
        <v>0</v>
      </c>
      <c r="E186" s="264">
        <f>IF(ISNUMBER(E184),ROUND(E184-E160,1),"")</f>
        <v>0</v>
      </c>
      <c r="F186" s="264">
        <f>IF(ISNUMBER(F184),ROUND(F184-F160,1),"")</f>
        <v>0</v>
      </c>
      <c r="G186" s="264">
        <f>IF(ISNUMBER(G184),ROUND(G184-G160,1),"")</f>
        <v>0</v>
      </c>
      <c r="H186" s="264">
        <f>IF(ISNUMBER(H184),ROUND(H184-H160,1),"")</f>
        <v>0</v>
      </c>
      <c r="I186" s="264">
        <f>IF(ISNUMBER(I184),ROUND(I184-I160,1),"")</f>
        <v>0</v>
      </c>
      <c r="J186" s="264">
        <f>IF(ISNUMBER(J184),ROUND(J184-J160,1),"")</f>
        <v>0</v>
      </c>
      <c r="K186" s="264">
        <f>IF(ISNUMBER(K184),ROUND(K184-K160,1),"")</f>
        <v>0</v>
      </c>
      <c r="L186" s="264">
        <f>IF(ISNUMBER(L184),ROUND(L184-L160,1),"")</f>
        <v>0</v>
      </c>
      <c r="M186" s="264">
        <f>IF(ISNUMBER(M184),ROUND(M184-M160,1),"")</f>
        <v>0</v>
      </c>
      <c r="N186" s="264">
        <f>IF(ISNUMBER(N184),ROUND(N184-N160,1),"")</f>
        <v>0</v>
      </c>
      <c r="O186" s="264">
        <f>IF(ISNUMBER(O184),ROUND(O184-O160,1),"")</f>
        <v>0</v>
      </c>
      <c r="P186" s="264">
        <f>IF(ISNUMBER(P184),ROUND(P184-P160,1),"")</f>
        <v>0</v>
      </c>
      <c r="Q186" s="264">
        <f>IF(ISNUMBER(Q184),ROUND(Q184-Q160,1),"")</f>
        <v>0</v>
      </c>
      <c r="R186" s="264">
        <f>IF(ISNUMBER(R184),ROUND(R184-R160,1),"")</f>
        <v>0</v>
      </c>
      <c r="S186" s="264">
        <f>IF(ISNUMBER(S184),ROUND(S184-S160,1),"")</f>
        <v>0</v>
      </c>
      <c r="T186" s="264">
        <f>IF(ISNUMBER(T184),ROUND(T184-T160,1),"")</f>
        <v>0</v>
      </c>
      <c r="U186" s="264">
        <f>IF(ISNUMBER(U184),ROUND(U184-U160,1),"")</f>
        <v>0</v>
      </c>
      <c r="V186" s="264">
        <f>IF(ISNUMBER(V184),ROUND(V184-V160,1),"")</f>
        <v>0</v>
      </c>
      <c r="W186" s="264">
        <f>IF(ISNUMBER(W184),ROUND(W184-W160,1),"")</f>
        <v>0</v>
      </c>
      <c r="X186" s="264">
        <f>IF(ISNUMBER(X184),ROUND(X184-X160,1),"")</f>
        <v>0</v>
      </c>
      <c r="Y186" s="264">
        <f>IF(ISNUMBER(Y184),ROUND(Y184-Y160,1),"")</f>
        <v>0</v>
      </c>
      <c r="Z186" s="264">
        <f>IF(ISNUMBER(Z184),ROUND(Z184-Z160,1),"")</f>
        <v>0</v>
      </c>
      <c r="AA186" s="264">
        <f>IF(ISNUMBER(AA184),ROUND(AA184-AA160,1),"")</f>
        <v>0</v>
      </c>
      <c r="AB186" s="264">
        <f>IF(ISNUMBER(AB184),ROUND(AB184-AB160,1),"")</f>
        <v>0</v>
      </c>
      <c r="AC186" s="264">
        <f>IF(ISNUMBER(AC184),ROUND(AC184-AC160,1),"")</f>
        <v>0</v>
      </c>
      <c r="AD186" s="264">
        <f>IF(ISNUMBER(AD184),ROUND(AD184-AD160,1),"")</f>
        <v>0</v>
      </c>
      <c r="AE186" s="264">
        <f>IF(ISNUMBER(AE184),ROUND(AE184-AE160,1),"")</f>
        <v>0</v>
      </c>
      <c r="AF186" s="264">
        <f>IF(ISNUMBER(AF184),ROUND(AF184-AF160,1),"")</f>
        <v>0</v>
      </c>
      <c r="AG186" s="264">
        <f>IF(ISNUMBER(AG184),ROUND(AG184-AG160,1),"")</f>
        <v>0</v>
      </c>
      <c r="AH186" s="264">
        <f>IF(ISNUMBER(AH184),ROUND(AH184-AH160,1),"")</f>
        <v>0</v>
      </c>
      <c r="AI186" s="264">
        <f>IF(ISNUMBER(AI184),ROUND(AI184-AI160,1),"")</f>
        <v>0</v>
      </c>
      <c r="AJ186" s="264">
        <f>IF(ISNUMBER(AJ184),ROUND(AJ184-AJ160,1),"")</f>
        <v>0</v>
      </c>
      <c r="AK186" s="264">
        <f>IF(ISNUMBER(AK184),ROUND(AK184-AK160,1),"")</f>
        <v>0</v>
      </c>
      <c r="AL186" s="264">
        <f>IF(ISNUMBER(AL184),ROUND(AL184-AL160,1),"")</f>
        <v>0</v>
      </c>
      <c r="AM186" s="264">
        <f>IF(ISNUMBER(AM184),ROUND(AM184-AM160,1),"")</f>
        <v>0</v>
      </c>
      <c r="AN186" s="264">
        <f>IF(ISNUMBER(AN184),ROUND(AN184-AN160,1),"")</f>
        <v>0</v>
      </c>
      <c r="AO186" s="264">
        <f>IF(ISNUMBER(AO184),ROUND(AO184-AO160,1),"")</f>
        <v>0</v>
      </c>
      <c r="AP186" s="264">
        <f>IF(ISNUMBER(AP184),ROUND(AP184-AP160,1),"")</f>
        <v>0</v>
      </c>
      <c r="AQ186" s="264">
        <f>IF(ISNUMBER(AQ184),ROUND(AQ184-AQ160,1),"")</f>
        <v>0</v>
      </c>
      <c r="AR186" s="264">
        <f>IF(ISNUMBER(AR184),ROUND(AR184-AR160,1),"")</f>
        <v>0</v>
      </c>
      <c r="AS186" s="264">
        <f>IF(ISNUMBER(AS184),ROUND(AS184-AS160,1),"")</f>
        <v>0</v>
      </c>
      <c r="AT186" s="264">
        <f>IF(ISNUMBER(AT184),ROUND(AT184-AT160,1),"")</f>
        <v>0</v>
      </c>
      <c r="AU186" s="264">
        <f>IF(ISNUMBER(AU184),ROUND(AU184-AU160,1),"")</f>
        <v>0</v>
      </c>
      <c r="AV186" s="264">
        <f>IF(ISNUMBER(AV184),ROUND(AV184-AV160,1),"")</f>
        <v>0</v>
      </c>
      <c r="AW186" s="264">
        <f>IF(ISNUMBER(AW184),ROUND(AW184-AW160,1),"")</f>
        <v>0</v>
      </c>
      <c r="AX186" s="264">
        <f>IF(ISNUMBER(AX184),ROUND(AX184-AX160,1),"")</f>
        <v>0</v>
      </c>
      <c r="AY186" s="264">
        <f>IF(ISNUMBER(AY184),ROUND(AY184-AY160,1),"")</f>
        <v>0</v>
      </c>
      <c r="AZ186" s="264">
        <f>IF(ISNUMBER(AZ184),ROUND(AZ184-AZ160,1),"")</f>
        <v>0</v>
      </c>
      <c r="BA186" s="264">
        <f>IF(ISNUMBER(BA184),ROUND(BA184-BA160,1),"")</f>
        <v>0</v>
      </c>
      <c r="BB186" s="264">
        <f>IF(ISNUMBER(BB184),ROUND(BB184-BB160,1),"")</f>
        <v>0</v>
      </c>
      <c r="BC186" s="264">
        <f>IF(ISNUMBER(BC184),ROUND(BC184-BC160,1),"")</f>
        <v>0</v>
      </c>
      <c r="BD186" s="264">
        <f>IF(ISNUMBER(BD184),ROUND(BD184-BD160,1),"")</f>
        <v>0</v>
      </c>
      <c r="BE186" s="264">
        <f>IF(ISNUMBER(BE184),ROUND(BE184-BE160,1),"")</f>
        <v>0</v>
      </c>
      <c r="BF186" s="264">
        <f>IF(ISNUMBER(BF184),ROUND(BF184-BF160,1),"")</f>
        <v>0</v>
      </c>
      <c r="BG186" s="264">
        <f>IF(ISNUMBER(BG184),ROUND(BG184-BG160,1),"")</f>
        <v>0</v>
      </c>
      <c r="BH186" s="264">
        <f>IF(ISNUMBER(BH184),ROUND(BH184-BH160,1),"")</f>
        <v>0</v>
      </c>
      <c r="BI186" s="264">
        <f>IF(ISNUMBER(BI184),ROUND(BI184-BI160,1),"")</f>
        <v>0</v>
      </c>
      <c r="BJ186" s="264">
        <f>IF(ISNUMBER(BJ184),ROUND(BJ184-BJ160,1),"")</f>
        <v>0</v>
      </c>
      <c r="BK186" s="264">
        <f>IF(ISNUMBER(BK184),ROUND(BK184-BK160,1),"")</f>
        <v>0</v>
      </c>
      <c r="BL186" s="264">
        <f>IF(ISNUMBER(BL184),ROUND(BL184-BL160,1),"")</f>
        <v>0</v>
      </c>
      <c r="BM186" s="264">
        <f>IF(ISNUMBER(BM184),ROUND(BM184-BM160,1),"")</f>
        <v>0</v>
      </c>
      <c r="BN186" s="264">
        <f>IF(ISNUMBER(BN184),ROUND(BN184-BN160,1),"")</f>
        <v>0</v>
      </c>
      <c r="BO186" s="264">
        <f>IF(ISNUMBER(BO184),ROUND(BO184-BO160,1),"")</f>
        <v>0</v>
      </c>
      <c r="BP186" s="264">
        <f>IF(ISNUMBER(BP184),ROUND(BP184-BP160,1),"")</f>
        <v>0</v>
      </c>
      <c r="BQ186" s="264">
        <f>IF(ISNUMBER(BQ184),ROUND(BQ184-BQ160,1),"")</f>
        <v>0</v>
      </c>
      <c r="BR186" s="264">
        <f>IF(ISNUMBER(BR184),ROUND(BR184-BR160,1),"")</f>
        <v>0</v>
      </c>
      <c r="BS186" s="264">
        <f>IF(ISNUMBER(BS184),ROUND(BS184-BS160,1),"")</f>
        <v>0</v>
      </c>
      <c r="BT186" s="264">
        <f>IF(ISNUMBER(BT184),ROUND(BT184-BT160,1),"")</f>
        <v>0</v>
      </c>
      <c r="BU186" s="264">
        <f>IF(ISNUMBER(BU184),ROUND(BU184-BU160,1),"")</f>
        <v>0</v>
      </c>
      <c r="BV186" s="264">
        <f>IF(ISNUMBER(BV184),ROUND(BV184-BV160,1),"")</f>
        <v>0</v>
      </c>
      <c r="BW186" s="264">
        <f>IF(ISNUMBER(BW184),ROUND(BW184-BW160,1),"")</f>
        <v>0</v>
      </c>
      <c r="BX186" s="264">
        <f>IF(ISNUMBER(BX184),ROUND(BX184-BX160,1),"")</f>
        <v>0</v>
      </c>
      <c r="BY186" s="272">
        <f>IF(ISNUMBER(BY184),ROUND(BY184-BY160,1),"")</f>
        <v>0</v>
      </c>
      <c r="BZ186" s="272">
        <f>IF(ISNUMBER(BZ184),ROUND(BZ184-BZ160,1),"")</f>
        <v>0</v>
      </c>
      <c r="CA186" s="272">
        <f>IF(ISNUMBER(CA184),ROUND(CA184-CA160,1),"")</f>
        <v>0</v>
      </c>
      <c r="CB186" s="272">
        <f>IF(ISNUMBER(CB184),ROUND(CB184-CB160,1),"")</f>
        <v>0</v>
      </c>
      <c r="CC186" s="272">
        <f>IF(ISNUMBER(CC184),ROUND(CC184-CC160,1),"")</f>
        <v>0</v>
      </c>
      <c r="CD186" s="272">
        <f>IF(ISNUMBER(CD184),ROUND(CD184-CD160,1),"")</f>
        <v>0</v>
      </c>
      <c r="CE186" s="272">
        <f>IF(ISNUMBER(CE184),ROUND(CE184-CE160,1),"")</f>
        <v>0</v>
      </c>
      <c r="CF186" s="272">
        <f>IF(ISNUMBER(CF184),ROUND(CF184-CF160,1),"")</f>
        <v>0</v>
      </c>
      <c r="CG186" s="153" t="n"/>
    </row>
    <row r="187" ht="15" customHeight="1" s="251">
      <c r="B187" s="156" t="inlineStr">
        <is>
          <t xml:space="preserve">  Memo: company-quantified one-offs treated as cash costs (deducted in the DCF)</t>
        </is>
      </c>
      <c r="C187" s="264">
        <f>C159</f>
        <v>0</v>
      </c>
      <c r="D187" s="264">
        <f>D159</f>
        <v>0</v>
      </c>
      <c r="E187" s="264">
        <f>E159</f>
        <v>0</v>
      </c>
      <c r="F187" s="264">
        <f>F159</f>
        <v>0</v>
      </c>
      <c r="G187" s="264">
        <f>G159</f>
        <v>0</v>
      </c>
      <c r="H187" s="264">
        <f>H159</f>
        <v>0</v>
      </c>
      <c r="I187" s="264">
        <f>I159</f>
        <v>0</v>
      </c>
      <c r="J187" s="264">
        <f>J159</f>
        <v>0</v>
      </c>
      <c r="K187" s="264">
        <f>K159</f>
        <v>0</v>
      </c>
      <c r="L187" s="264">
        <f>L159</f>
        <v>0</v>
      </c>
      <c r="M187" s="264">
        <f>M159</f>
        <v>0</v>
      </c>
      <c r="N187" s="264">
        <f>N159</f>
        <v>0</v>
      </c>
      <c r="O187" s="264">
        <f>O159</f>
        <v>0</v>
      </c>
      <c r="P187" s="264">
        <f>P159</f>
        <v>0</v>
      </c>
      <c r="Q187" s="264">
        <f>Q159</f>
        <v>0</v>
      </c>
      <c r="R187" s="264">
        <f>R159</f>
        <v>0</v>
      </c>
      <c r="S187" s="264">
        <f>S159</f>
        <v>0</v>
      </c>
      <c r="T187" s="264">
        <f>T159</f>
        <v>0</v>
      </c>
      <c r="U187" s="264">
        <f>U159</f>
        <v>0</v>
      </c>
      <c r="V187" s="264">
        <f>V159</f>
        <v>0</v>
      </c>
      <c r="W187" s="264">
        <f>W159</f>
        <v>0</v>
      </c>
      <c r="X187" s="264">
        <f>X159</f>
        <v>0</v>
      </c>
      <c r="Y187" s="264">
        <f>Y159</f>
        <v>0</v>
      </c>
      <c r="Z187" s="264">
        <f>Z159</f>
        <v>0</v>
      </c>
      <c r="AA187" s="264">
        <f>AA159</f>
        <v>0</v>
      </c>
      <c r="AB187" s="264">
        <f>AB159</f>
        <v>0</v>
      </c>
      <c r="AC187" s="264">
        <f>AC159</f>
        <v>0</v>
      </c>
      <c r="AD187" s="264">
        <f>AD159</f>
        <v>0</v>
      </c>
      <c r="AE187" s="264">
        <f>AE159</f>
        <v>0</v>
      </c>
      <c r="AF187" s="264">
        <f>AF159</f>
        <v>0</v>
      </c>
      <c r="AG187" s="264">
        <f>AG159</f>
        <v>0</v>
      </c>
      <c r="AH187" s="264">
        <f>AH159</f>
        <v>0</v>
      </c>
      <c r="AI187" s="264">
        <f>AI159</f>
        <v>0</v>
      </c>
      <c r="AJ187" s="264">
        <f>AJ159</f>
        <v>0</v>
      </c>
      <c r="AK187" s="264">
        <f>AK159</f>
        <v>0</v>
      </c>
      <c r="AL187" s="264">
        <f>AL159</f>
        <v>0</v>
      </c>
      <c r="AM187" s="264">
        <f>AM159</f>
        <v>0</v>
      </c>
      <c r="AN187" s="264">
        <f>AN159</f>
        <v>0</v>
      </c>
      <c r="AO187" s="264">
        <f>AO159</f>
        <v>0</v>
      </c>
      <c r="AP187" s="264">
        <f>AP159</f>
        <v>0</v>
      </c>
      <c r="AQ187" s="264">
        <f>AQ159</f>
        <v>0</v>
      </c>
      <c r="AR187" s="264">
        <f>AR159</f>
        <v>0</v>
      </c>
      <c r="AS187" s="264">
        <f>AS159</f>
        <v>0</v>
      </c>
      <c r="AT187" s="264">
        <f>AT159</f>
        <v>0</v>
      </c>
      <c r="AU187" s="264">
        <f>AU159</f>
        <v>0</v>
      </c>
      <c r="AV187" s="264">
        <f>AV159</f>
        <v>0</v>
      </c>
      <c r="AW187" s="264">
        <f>AW159</f>
        <v>0</v>
      </c>
      <c r="AX187" s="264">
        <f>AX159</f>
        <v>0</v>
      </c>
      <c r="AY187" s="264">
        <f>AY159</f>
        <v>0</v>
      </c>
      <c r="AZ187" s="264">
        <f>AZ159</f>
        <v>0</v>
      </c>
      <c r="BA187" s="264">
        <f>BA159</f>
        <v>0</v>
      </c>
      <c r="BB187" s="264">
        <f>BB159</f>
        <v>0</v>
      </c>
      <c r="BC187" s="264">
        <f>BC159</f>
        <v>0</v>
      </c>
      <c r="BD187" s="264">
        <f>BD159</f>
        <v>150</v>
      </c>
      <c r="BE187" s="264">
        <f>BE159</f>
        <v>0</v>
      </c>
      <c r="BF187" s="264">
        <f>BF159</f>
        <v>0</v>
      </c>
      <c r="BG187" s="264">
        <f>BG159</f>
        <v>150</v>
      </c>
      <c r="BH187" s="264">
        <f>BH159</f>
        <v>0</v>
      </c>
      <c r="BI187" s="264">
        <f>BI159</f>
        <v>0</v>
      </c>
      <c r="BJ187" s="264">
        <f>BJ159</f>
        <v>0</v>
      </c>
      <c r="BK187" s="264">
        <f>BK159</f>
        <v>0</v>
      </c>
      <c r="BL187" s="264">
        <f>BL159</f>
        <v>0</v>
      </c>
      <c r="BM187" s="264">
        <f>BM159</f>
        <v>0</v>
      </c>
      <c r="BN187" s="264">
        <f>BN159</f>
        <v>0</v>
      </c>
      <c r="BO187" s="264">
        <f>BO159</f>
        <v>0</v>
      </c>
      <c r="BP187" s="264">
        <f>BP159</f>
        <v>0</v>
      </c>
      <c r="BQ187" s="264">
        <f>BQ159</f>
        <v>0</v>
      </c>
      <c r="BR187" s="264">
        <f>BR159</f>
        <v>0</v>
      </c>
      <c r="BS187" s="264">
        <f>BS159</f>
        <v>0</v>
      </c>
      <c r="BT187" s="264">
        <f>BT159</f>
        <v>619</v>
      </c>
      <c r="BU187" s="264">
        <f>BU159</f>
        <v>0</v>
      </c>
      <c r="BV187" s="264">
        <f>BV159</f>
        <v>619</v>
      </c>
      <c r="BW187" s="264">
        <f>BW159</f>
        <v>0</v>
      </c>
      <c r="BX187" s="264">
        <f>BX159</f>
        <v>0</v>
      </c>
      <c r="BY187" s="254">
        <f>BY159</f>
        <v>0</v>
      </c>
      <c r="BZ187" s="254">
        <f>BZ159</f>
        <v>0</v>
      </c>
      <c r="CA187" s="254">
        <f>CA159</f>
        <v>0</v>
      </c>
      <c r="CB187" s="254">
        <f>CB159</f>
        <v>0</v>
      </c>
      <c r="CC187" s="254">
        <f>CC159</f>
        <v>0</v>
      </c>
      <c r="CD187" s="254">
        <f>CD159</f>
        <v>0</v>
      </c>
      <c r="CE187" s="254">
        <f>CE159</f>
        <v>0</v>
      </c>
      <c r="CF187" s="254">
        <f>CF159</f>
        <v>0</v>
      </c>
      <c r="CG187" s="153" t="n"/>
    </row>
    <row r="188" ht="15" customHeight="1" s="251">
      <c r="CO188" s="11" t="n"/>
      <c r="CP188" s="12" t="n"/>
      <c r="CQ188" s="12" t="n"/>
      <c r="CR188" s="12" t="n"/>
      <c r="CS188" s="13" t="n"/>
    </row>
    <row r="189" ht="15" customHeight="1" s="251">
      <c r="B189" s="10" t="inlineStr">
        <is>
          <t>RECONCILIATION: NET INCOME → NON-GAAP / ADJUSTED NET INCOME → ADJUSTED EPS (company definition in force where published; model otherwise)</t>
        </is>
      </c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n"/>
      <c r="AN189" s="10" t="n"/>
      <c r="AO189" s="10" t="n"/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0" t="n"/>
      <c r="BC189" s="10" t="n"/>
      <c r="BD189" s="10" t="n"/>
      <c r="BE189" s="10" t="n"/>
      <c r="BF189" s="10" t="n"/>
      <c r="BG189" s="10" t="n"/>
      <c r="BH189" s="10" t="n"/>
      <c r="BI189" s="10" t="n"/>
      <c r="BJ189" s="10" t="n"/>
      <c r="BK189" s="10" t="n"/>
      <c r="BL189" s="10" t="n"/>
      <c r="BM189" s="10" t="n"/>
      <c r="BN189" s="10" t="n"/>
      <c r="BO189" s="10" t="n"/>
      <c r="BP189" s="10" t="n"/>
      <c r="BQ189" s="10" t="n"/>
      <c r="BR189" s="10" t="n"/>
      <c r="BS189" s="10" t="n"/>
      <c r="BT189" s="10" t="n"/>
      <c r="BU189" s="10" t="n"/>
      <c r="BV189" s="10" t="n"/>
      <c r="BW189" s="10" t="n"/>
      <c r="BX189" s="10" t="n"/>
      <c r="BY189" s="10" t="n"/>
      <c r="BZ189" s="10" t="n"/>
      <c r="CA189" s="10" t="n"/>
      <c r="CB189" s="10" t="n"/>
      <c r="CC189" s="10" t="n"/>
      <c r="CD189" s="10" t="n"/>
      <c r="CE189" s="10" t="n"/>
      <c r="CF189" s="10" t="n"/>
      <c r="CG189" s="10" t="inlineStr">
        <is>
          <t>ADJUSTED EPS — company non-GAAP net income where published (2006–2009 excl. stock-based compensation; Q1-13, Q4-14, Q1-15, Q4-15); otherwise GAAP + company-quantified items, tax-effected</t>
        </is>
      </c>
    </row>
    <row r="190" ht="15" customHeight="1" s="251">
      <c r="B190" s="16" t="inlineStr">
        <is>
          <t>Net income (GAAP)</t>
        </is>
      </c>
      <c r="C190" s="278">
        <f>C141</f>
        <v>49.082</v>
      </c>
      <c r="D190" s="278">
        <f>D141</f>
        <v>66.9519999999999</v>
      </c>
      <c r="E190" s="278">
        <f>E141</f>
        <v>83.026</v>
      </c>
      <c r="F190" s="278">
        <f>F141</f>
        <v>115.86</v>
      </c>
      <c r="G190" s="278">
        <f>G141</f>
        <v>160.853</v>
      </c>
      <c r="H190" s="278">
        <f>H141</f>
        <v>226.126</v>
      </c>
      <c r="I190" s="278">
        <f>I141</f>
        <v>17.1520000000002</v>
      </c>
      <c r="J190" s="278">
        <f>J141</f>
        <v>2.68899999999995</v>
      </c>
      <c r="K190" s="278">
        <f>K141</f>
        <v>29.4710000000001</v>
      </c>
      <c r="L190" s="278">
        <f>L141</f>
        <v>31.822</v>
      </c>
      <c r="M190" s="278">
        <f>M141</f>
        <v>48.421</v>
      </c>
      <c r="N190" s="278">
        <f>N141</f>
        <v>112.403</v>
      </c>
      <c r="O190" s="278">
        <f>O141</f>
        <v>53.1149999999999</v>
      </c>
      <c r="P190" s="278">
        <f>P141</f>
        <v>71.0179999999999</v>
      </c>
      <c r="Q190" s="278">
        <f>Q141</f>
        <v>59.295</v>
      </c>
      <c r="R190" s="278">
        <f>R141</f>
        <v>83.3710000000001</v>
      </c>
      <c r="S190" s="278">
        <f>S141</f>
        <v>266.799</v>
      </c>
      <c r="T190" s="278">
        <f>T141</f>
        <v>23.6959999999998</v>
      </c>
      <c r="U190" s="278">
        <f>U141</f>
        <v>26.335</v>
      </c>
      <c r="V190" s="278">
        <f>V141</f>
        <v>29.432</v>
      </c>
      <c r="W190" s="278">
        <f>W141</f>
        <v>43.1780000000001</v>
      </c>
      <c r="X190" s="278">
        <f>X141</f>
        <v>122.641000000001</v>
      </c>
      <c r="Y190" s="278">
        <f>Y141</f>
        <v>27.6580000000001</v>
      </c>
      <c r="Z190" s="278">
        <f>Z141</f>
        <v>40.7550000000002</v>
      </c>
      <c r="AA190" s="278">
        <f>AA141</f>
        <v>51.5170000000001</v>
      </c>
      <c r="AB190" s="278">
        <f>AB141</f>
        <v>66.7480000000001</v>
      </c>
      <c r="AC190" s="278">
        <f>AC141</f>
        <v>186.678</v>
      </c>
      <c r="AD190" s="278">
        <f>AD141</f>
        <v>178.222</v>
      </c>
      <c r="AE190" s="278">
        <f>AE141</f>
        <v>65.5999999999999</v>
      </c>
      <c r="AF190" s="278">
        <f>AF141</f>
        <v>129.59</v>
      </c>
      <c r="AG190" s="278">
        <f>AG141</f>
        <v>185.517</v>
      </c>
      <c r="AH190" s="278">
        <f>AH141</f>
        <v>558.929</v>
      </c>
      <c r="AI190" s="278">
        <f>AI141</f>
        <v>290.124</v>
      </c>
      <c r="AJ190" s="278">
        <f>AJ141</f>
        <v>384.349</v>
      </c>
      <c r="AK190" s="278">
        <f>AK141</f>
        <v>402.835</v>
      </c>
      <c r="AL190" s="278">
        <f>AL141</f>
        <v>133.934</v>
      </c>
      <c r="AM190" s="278">
        <f>AM141</f>
        <v>1211.242</v>
      </c>
      <c r="AN190" s="278">
        <f>AN141</f>
        <v>344.052</v>
      </c>
      <c r="AO190" s="278">
        <f>AO141</f>
        <v>270.65</v>
      </c>
      <c r="AP190" s="278">
        <f>AP141</f>
        <v>665.244</v>
      </c>
      <c r="AQ190" s="278">
        <f>AQ141</f>
        <v>586.97</v>
      </c>
      <c r="AR190" s="278">
        <f>AR141</f>
        <v>1866.916</v>
      </c>
      <c r="AS190" s="278">
        <f>AS141</f>
        <v>709.067</v>
      </c>
      <c r="AT190" s="278">
        <f>AT141</f>
        <v>720.196</v>
      </c>
      <c r="AU190" s="278">
        <f>AU141</f>
        <v>789.976</v>
      </c>
      <c r="AV190" s="278">
        <f>AV141</f>
        <v>542.156</v>
      </c>
      <c r="AW190" s="278">
        <f>AW141</f>
        <v>2761.395</v>
      </c>
      <c r="AX190" s="278">
        <f>AX141</f>
        <v>1706.715</v>
      </c>
      <c r="AY190" s="278">
        <f>AY141</f>
        <v>1353.013</v>
      </c>
      <c r="AZ190" s="278">
        <f>AZ141</f>
        <v>1449.071</v>
      </c>
      <c r="BA190" s="278">
        <f>BA141</f>
        <v>607.429000000001</v>
      </c>
      <c r="BB190" s="278">
        <f>BB141</f>
        <v>5116.228</v>
      </c>
      <c r="BC190" s="278">
        <f>BC141</f>
        <v>1597.447</v>
      </c>
      <c r="BD190" s="278">
        <f>BD141</f>
        <v>1440.951</v>
      </c>
      <c r="BE190" s="278">
        <f>BE141</f>
        <v>1398.242</v>
      </c>
      <c r="BF190" s="278">
        <f>BF141</f>
        <v>55.2839999999999</v>
      </c>
      <c r="BG190" s="278">
        <f>BG141</f>
        <v>4491.924</v>
      </c>
      <c r="BH190" s="278">
        <f>BH141</f>
        <v>1305.12</v>
      </c>
      <c r="BI190" s="278">
        <f>BI141</f>
        <v>1487.61</v>
      </c>
      <c r="BJ190" s="278">
        <f>BJ141</f>
        <v>1677.422</v>
      </c>
      <c r="BK190" s="278">
        <f>BK141</f>
        <v>937.838000000001</v>
      </c>
      <c r="BL190" s="278">
        <f>BL141</f>
        <v>5407.99</v>
      </c>
      <c r="BM190" s="278">
        <f>BM141</f>
        <v>2332.209</v>
      </c>
      <c r="BN190" s="278">
        <f>BN141</f>
        <v>2147.306</v>
      </c>
      <c r="BO190" s="278">
        <f>BO141</f>
        <v>2363.509</v>
      </c>
      <c r="BP190" s="278">
        <f>BP141</f>
        <v>1868.607</v>
      </c>
      <c r="BQ190" s="278">
        <f>BQ141</f>
        <v>8711.631</v>
      </c>
      <c r="BR190" s="278">
        <f>BR141</f>
        <v>2890.351</v>
      </c>
      <c r="BS190" s="278">
        <f>BS141</f>
        <v>3125.413</v>
      </c>
      <c r="BT190" s="278">
        <f>BT141</f>
        <v>2546.916</v>
      </c>
      <c r="BU190" s="278">
        <f>BU141</f>
        <v>2418.521</v>
      </c>
      <c r="BV190" s="278">
        <f>BV141</f>
        <v>10981.201</v>
      </c>
      <c r="BW190" s="278">
        <f>BW141</f>
        <v>5282.791</v>
      </c>
      <c r="BX190" s="278">
        <f>BX141</f>
        <v>3401.414</v>
      </c>
      <c r="BY190" s="279">
        <f>BY141</f>
        <v>3452.3242</v>
      </c>
      <c r="BZ190" s="279">
        <f>BZ141</f>
        <v>2984.183955</v>
      </c>
      <c r="CA190" s="279">
        <f>CA141</f>
        <v>15120.713155</v>
      </c>
      <c r="CB190" s="279">
        <f>CB141</f>
        <v>15315.1314271673</v>
      </c>
      <c r="CC190" s="279">
        <f>CC141</f>
        <v>17591.8898783329</v>
      </c>
      <c r="CD190" s="279">
        <f>CD141</f>
        <v>19974.2603364452</v>
      </c>
      <c r="CE190" s="279">
        <f>CE141</f>
        <v>22165.7442990931</v>
      </c>
      <c r="CF190" s="279">
        <f>CF141</f>
        <v>24404.2717007181</v>
      </c>
      <c r="CG190" s="153" t="n"/>
    </row>
    <row r="191" ht="15" customHeight="1" s="251">
      <c r="B191" s="25" t="inlineStr">
        <is>
          <t xml:space="preserve">  (+) Operating one-offs (bridge 1)</t>
        </is>
      </c>
      <c r="C191" s="264">
        <f>C159</f>
        <v>0</v>
      </c>
      <c r="D191" s="264">
        <f>D159</f>
        <v>0</v>
      </c>
      <c r="E191" s="264">
        <f>E159</f>
        <v>0</v>
      </c>
      <c r="F191" s="264">
        <f>F159</f>
        <v>0</v>
      </c>
      <c r="G191" s="264">
        <f>G159</f>
        <v>0</v>
      </c>
      <c r="H191" s="264">
        <f>H159</f>
        <v>0</v>
      </c>
      <c r="I191" s="264">
        <f>I159</f>
        <v>0</v>
      </c>
      <c r="J191" s="264">
        <f>J159</f>
        <v>0</v>
      </c>
      <c r="K191" s="264">
        <f>K159</f>
        <v>0</v>
      </c>
      <c r="L191" s="264">
        <f>L159</f>
        <v>0</v>
      </c>
      <c r="M191" s="264">
        <f>M159</f>
        <v>0</v>
      </c>
      <c r="N191" s="264">
        <f>N159</f>
        <v>0</v>
      </c>
      <c r="O191" s="264">
        <f>O159</f>
        <v>0</v>
      </c>
      <c r="P191" s="264">
        <f>P159</f>
        <v>0</v>
      </c>
      <c r="Q191" s="264">
        <f>Q159</f>
        <v>0</v>
      </c>
      <c r="R191" s="264">
        <f>R159</f>
        <v>0</v>
      </c>
      <c r="S191" s="264">
        <f>S159</f>
        <v>0</v>
      </c>
      <c r="T191" s="264">
        <f>T159</f>
        <v>0</v>
      </c>
      <c r="U191" s="264">
        <f>U159</f>
        <v>0</v>
      </c>
      <c r="V191" s="264">
        <f>V159</f>
        <v>0</v>
      </c>
      <c r="W191" s="264">
        <f>W159</f>
        <v>0</v>
      </c>
      <c r="X191" s="264">
        <f>X159</f>
        <v>0</v>
      </c>
      <c r="Y191" s="264">
        <f>Y159</f>
        <v>0</v>
      </c>
      <c r="Z191" s="264">
        <f>Z159</f>
        <v>0</v>
      </c>
      <c r="AA191" s="264">
        <f>AA159</f>
        <v>0</v>
      </c>
      <c r="AB191" s="264">
        <f>AB159</f>
        <v>0</v>
      </c>
      <c r="AC191" s="264">
        <f>AC159</f>
        <v>0</v>
      </c>
      <c r="AD191" s="264">
        <f>AD159</f>
        <v>0</v>
      </c>
      <c r="AE191" s="264">
        <f>AE159</f>
        <v>0</v>
      </c>
      <c r="AF191" s="264">
        <f>AF159</f>
        <v>0</v>
      </c>
      <c r="AG191" s="264">
        <f>AG159</f>
        <v>0</v>
      </c>
      <c r="AH191" s="264">
        <f>AH159</f>
        <v>0</v>
      </c>
      <c r="AI191" s="264">
        <f>AI159</f>
        <v>0</v>
      </c>
      <c r="AJ191" s="264">
        <f>AJ159</f>
        <v>0</v>
      </c>
      <c r="AK191" s="264">
        <f>AK159</f>
        <v>0</v>
      </c>
      <c r="AL191" s="264">
        <f>AL159</f>
        <v>0</v>
      </c>
      <c r="AM191" s="264">
        <f>AM159</f>
        <v>0</v>
      </c>
      <c r="AN191" s="264">
        <f>AN159</f>
        <v>0</v>
      </c>
      <c r="AO191" s="264">
        <f>AO159</f>
        <v>0</v>
      </c>
      <c r="AP191" s="264">
        <f>AP159</f>
        <v>0</v>
      </c>
      <c r="AQ191" s="264">
        <f>AQ159</f>
        <v>0</v>
      </c>
      <c r="AR191" s="264">
        <f>AR159</f>
        <v>0</v>
      </c>
      <c r="AS191" s="264">
        <f>AS159</f>
        <v>0</v>
      </c>
      <c r="AT191" s="264">
        <f>AT159</f>
        <v>0</v>
      </c>
      <c r="AU191" s="264">
        <f>AU159</f>
        <v>0</v>
      </c>
      <c r="AV191" s="264">
        <f>AV159</f>
        <v>0</v>
      </c>
      <c r="AW191" s="264">
        <f>AW159</f>
        <v>0</v>
      </c>
      <c r="AX191" s="264">
        <f>AX159</f>
        <v>0</v>
      </c>
      <c r="AY191" s="264">
        <f>AY159</f>
        <v>0</v>
      </c>
      <c r="AZ191" s="264">
        <f>AZ159</f>
        <v>0</v>
      </c>
      <c r="BA191" s="264">
        <f>BA159</f>
        <v>0</v>
      </c>
      <c r="BB191" s="264">
        <f>BB159</f>
        <v>0</v>
      </c>
      <c r="BC191" s="264">
        <f>BC159</f>
        <v>0</v>
      </c>
      <c r="BD191" s="264">
        <f>BD159</f>
        <v>150</v>
      </c>
      <c r="BE191" s="264">
        <f>BE159</f>
        <v>0</v>
      </c>
      <c r="BF191" s="264">
        <f>BF159</f>
        <v>0</v>
      </c>
      <c r="BG191" s="264">
        <f>BG159</f>
        <v>150</v>
      </c>
      <c r="BH191" s="264">
        <f>BH159</f>
        <v>0</v>
      </c>
      <c r="BI191" s="264">
        <f>BI159</f>
        <v>0</v>
      </c>
      <c r="BJ191" s="264">
        <f>BJ159</f>
        <v>0</v>
      </c>
      <c r="BK191" s="264">
        <f>BK159</f>
        <v>0</v>
      </c>
      <c r="BL191" s="264">
        <f>BL159</f>
        <v>0</v>
      </c>
      <c r="BM191" s="264">
        <f>BM159</f>
        <v>0</v>
      </c>
      <c r="BN191" s="264">
        <f>BN159</f>
        <v>0</v>
      </c>
      <c r="BO191" s="264">
        <f>BO159</f>
        <v>0</v>
      </c>
      <c r="BP191" s="264">
        <f>BP159</f>
        <v>0</v>
      </c>
      <c r="BQ191" s="264">
        <f>BQ159</f>
        <v>0</v>
      </c>
      <c r="BR191" s="264">
        <f>BR159</f>
        <v>0</v>
      </c>
      <c r="BS191" s="264">
        <f>BS159</f>
        <v>0</v>
      </c>
      <c r="BT191" s="264">
        <f>BT159</f>
        <v>619</v>
      </c>
      <c r="BU191" s="264">
        <f>BU159</f>
        <v>0</v>
      </c>
      <c r="BV191" s="264">
        <f>BV159</f>
        <v>619</v>
      </c>
      <c r="BW191" s="264">
        <f>BW159</f>
        <v>0</v>
      </c>
      <c r="BX191" s="264">
        <f>BX159</f>
        <v>0</v>
      </c>
      <c r="BY191" s="254">
        <f>BY159</f>
        <v>0</v>
      </c>
      <c r="BZ191" s="254">
        <f>BZ159</f>
        <v>0</v>
      </c>
      <c r="CA191" s="254">
        <f>CA159</f>
        <v>0</v>
      </c>
      <c r="CB191" s="254">
        <f>CB159</f>
        <v>0</v>
      </c>
      <c r="CC191" s="254">
        <f>CC159</f>
        <v>0</v>
      </c>
      <c r="CD191" s="254">
        <f>CD159</f>
        <v>0</v>
      </c>
      <c r="CE191" s="254">
        <f>CE159</f>
        <v>0</v>
      </c>
      <c r="CF191" s="254">
        <f>CF159</f>
        <v>0</v>
      </c>
      <c r="CG191" s="19" t="n"/>
    </row>
    <row r="192" ht="15" customHeight="1" s="251">
      <c r="B192" s="25" t="inlineStr">
        <is>
          <t xml:space="preserve">  (+) Stock-based compensation (company non-GAAP definition, FY2006–09)</t>
        </is>
      </c>
      <c r="C192" s="253" t="n">
        <v>12.696</v>
      </c>
      <c r="D192" s="253" t="n">
        <v>11.976</v>
      </c>
      <c r="E192" s="253" t="n">
        <v>12.264</v>
      </c>
      <c r="F192" s="253" t="n">
        <v>12.618</v>
      </c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  <c r="AA192" s="34" t="n"/>
      <c r="AB192" s="34" t="n"/>
      <c r="AC192" s="34" t="n"/>
      <c r="AD192" s="34" t="n"/>
      <c r="AE192" s="34" t="n"/>
      <c r="AF192" s="34" t="n"/>
      <c r="AG192" s="34" t="n"/>
      <c r="AH192" s="34" t="n"/>
      <c r="AI192" s="34" t="n"/>
      <c r="AJ192" s="34" t="n"/>
      <c r="AK192" s="34" t="n"/>
      <c r="AL192" s="34" t="n"/>
      <c r="AM192" s="34" t="n"/>
      <c r="AN192" s="34" t="n"/>
      <c r="AO192" s="34" t="n"/>
      <c r="AP192" s="34" t="n"/>
      <c r="AQ192" s="34" t="n"/>
      <c r="AR192" s="34" t="n"/>
      <c r="AS192" s="34" t="n"/>
      <c r="AT192" s="34" t="n"/>
      <c r="AU192" s="34" t="n"/>
      <c r="AV192" s="34" t="n"/>
      <c r="AW192" s="34" t="n"/>
      <c r="AX192" s="34" t="n"/>
      <c r="AY192" s="34" t="n"/>
      <c r="AZ192" s="34" t="n"/>
      <c r="BA192" s="34" t="n"/>
      <c r="BB192" s="34" t="n"/>
      <c r="BC192" s="34" t="n"/>
      <c r="BD192" s="34" t="n"/>
      <c r="BE192" s="34" t="n"/>
      <c r="BF192" s="34" t="n"/>
      <c r="BG192" s="34" t="n"/>
      <c r="BH192" s="34" t="n"/>
      <c r="BI192" s="34" t="n"/>
      <c r="BJ192" s="34" t="n"/>
      <c r="BK192" s="34" t="n"/>
      <c r="BL192" s="34" t="n"/>
      <c r="BM192" s="34" t="n"/>
      <c r="BN192" s="34" t="n"/>
      <c r="BO192" s="34" t="n"/>
      <c r="BP192" s="34" t="n"/>
      <c r="BQ192" s="34" t="n"/>
      <c r="BR192" s="34" t="n"/>
      <c r="BS192" s="34" t="n"/>
      <c r="BT192" s="34" t="n"/>
      <c r="BU192" s="34" t="n"/>
      <c r="BV192" s="34" t="n"/>
      <c r="BW192" s="34" t="n"/>
      <c r="BX192" s="34" t="n"/>
      <c r="BY192" s="254">
        <f>0</f>
        <v>0</v>
      </c>
      <c r="BZ192" s="254">
        <f>0</f>
        <v>0</v>
      </c>
      <c r="CA192" s="254">
        <f>SUM(BW192:BZ192)</f>
        <v>0</v>
      </c>
      <c r="CB192" s="254">
        <f>0</f>
        <v>0</v>
      </c>
      <c r="CC192" s="254">
        <f>0</f>
        <v>0</v>
      </c>
      <c r="CD192" s="254">
        <f>0</f>
        <v>0</v>
      </c>
      <c r="CE192" s="254">
        <f>0</f>
        <v>0</v>
      </c>
      <c r="CF192" s="254">
        <f>0</f>
        <v>0</v>
      </c>
      <c r="CG192" s="19" t="n"/>
    </row>
    <row r="193" ht="15" customHeight="1" s="251">
      <c r="B193" s="25" t="inlineStr">
        <is>
          <t xml:space="preserve">  (+) F/X remeasurement loss / (gain) on euro debt (2017+; Q1-15 company "foreign exchange impact")</t>
        </is>
      </c>
      <c r="C193" s="264">
        <f>N(C118)</f>
        <v>0</v>
      </c>
      <c r="D193" s="264">
        <f>N(D118)</f>
        <v>0</v>
      </c>
      <c r="E193" s="264">
        <f>N(E118)</f>
        <v>0</v>
      </c>
      <c r="F193" s="264">
        <f>N(F118)</f>
        <v>0</v>
      </c>
      <c r="G193" s="264">
        <f>N(G118)</f>
        <v>0</v>
      </c>
      <c r="H193" s="264">
        <f>N(H118)</f>
        <v>0</v>
      </c>
      <c r="I193" s="264">
        <f>N(I118)</f>
        <v>0</v>
      </c>
      <c r="J193" s="264">
        <f>N(J118)</f>
        <v>0</v>
      </c>
      <c r="K193" s="264">
        <f>N(K118)</f>
        <v>0</v>
      </c>
      <c r="L193" s="264">
        <f>N(L118)</f>
        <v>0</v>
      </c>
      <c r="M193" s="264">
        <f>N(M118)</f>
        <v>0</v>
      </c>
      <c r="N193" s="264">
        <f>N(N118)</f>
        <v>0</v>
      </c>
      <c r="O193" s="264">
        <f>N(O118)</f>
        <v>0</v>
      </c>
      <c r="P193" s="264">
        <f>N(P118)</f>
        <v>0</v>
      </c>
      <c r="Q193" s="264">
        <f>N(Q118)</f>
        <v>0</v>
      </c>
      <c r="R193" s="264">
        <f>N(R118)</f>
        <v>0</v>
      </c>
      <c r="S193" s="264">
        <f>N(S118)</f>
        <v>0</v>
      </c>
      <c r="T193" s="264">
        <f>N(T118)</f>
        <v>33.696</v>
      </c>
      <c r="U193" s="264">
        <f>N(U118)</f>
        <v>0</v>
      </c>
      <c r="V193" s="264">
        <f>N(V118)</f>
        <v>0</v>
      </c>
      <c r="W193" s="264">
        <f>N(W118)</f>
        <v>0</v>
      </c>
      <c r="X193" s="264">
        <f>N(X118)</f>
        <v>33.696</v>
      </c>
      <c r="Y193" s="264">
        <f>N(Y118)</f>
        <v>0</v>
      </c>
      <c r="Z193" s="264">
        <f>N(Z118)</f>
        <v>0</v>
      </c>
      <c r="AA193" s="264">
        <f>N(AA118)</f>
        <v>0</v>
      </c>
      <c r="AB193" s="264">
        <f>N(AB118)</f>
        <v>0</v>
      </c>
      <c r="AC193" s="264">
        <f>N(AC118)</f>
        <v>0</v>
      </c>
      <c r="AD193" s="264">
        <f>N(AD118)</f>
        <v>0</v>
      </c>
      <c r="AE193" s="264">
        <f>N(AE118)</f>
        <v>64.22</v>
      </c>
      <c r="AF193" s="264">
        <f>N(AF118)</f>
        <v>50.83</v>
      </c>
      <c r="AG193" s="264">
        <f>N(AG118)</f>
        <v>25.74</v>
      </c>
      <c r="AH193" s="264">
        <f>N(AH118)</f>
        <v>140.79</v>
      </c>
      <c r="AI193" s="264">
        <f>N(AI118)</f>
        <v>41.08</v>
      </c>
      <c r="AJ193" s="264">
        <f>N(AJ118)</f>
        <v>-85.41</v>
      </c>
      <c r="AK193" s="264">
        <f>N(AK118)</f>
        <v>-7.67</v>
      </c>
      <c r="AL193" s="264">
        <f>N(AL118)</f>
        <v>-21.953</v>
      </c>
      <c r="AM193" s="264">
        <f>N(AM118)</f>
        <v>-73.953</v>
      </c>
      <c r="AN193" s="264">
        <f>N(AN118)</f>
        <v>-57.6</v>
      </c>
      <c r="AO193" s="264">
        <f>N(AO118)</f>
        <v>61.284</v>
      </c>
      <c r="AP193" s="264">
        <f>N(AP118)</f>
        <v>-171.36</v>
      </c>
      <c r="AQ193" s="264">
        <f>N(AQ118)</f>
        <v>122.1</v>
      </c>
      <c r="AR193" s="264">
        <f>N(AR118)</f>
        <v>-45.576</v>
      </c>
      <c r="AS193" s="264">
        <f>N(AS118)</f>
        <v>-93.06</v>
      </c>
      <c r="AT193" s="264">
        <f>N(AT118)</f>
        <v>119.161</v>
      </c>
      <c r="AU193" s="264">
        <f>N(AU118)</f>
        <v>249.194</v>
      </c>
      <c r="AV193" s="264">
        <f>N(AV118)</f>
        <v>257.983</v>
      </c>
      <c r="AW193" s="264">
        <f>N(AW118)</f>
        <v>533.278</v>
      </c>
      <c r="AX193" s="264">
        <f>N(AX118)</f>
        <v>-253.33</v>
      </c>
      <c r="AY193" s="264">
        <f>N(AY118)</f>
        <v>63.074</v>
      </c>
      <c r="AZ193" s="264">
        <f>N(AZ118)</f>
        <v>-136.488</v>
      </c>
      <c r="BA193" s="264">
        <f>N(BA118)</f>
        <v>-103.917</v>
      </c>
      <c r="BB193" s="264">
        <f>N(BB118)</f>
        <v>-430.661</v>
      </c>
      <c r="BC193" s="264">
        <f>N(BC118)</f>
        <v>-161.821</v>
      </c>
      <c r="BD193" s="264">
        <f>N(BD118)</f>
        <v>-304.513</v>
      </c>
      <c r="BE193" s="264">
        <f>N(BE118)</f>
        <v>-348.458</v>
      </c>
      <c r="BF193" s="264">
        <f>N(BF118)</f>
        <v>461.681</v>
      </c>
      <c r="BG193" s="264">
        <f>N(BG118)</f>
        <v>-353.111</v>
      </c>
      <c r="BH193" s="264">
        <f>N(BH118)</f>
        <v>80.651</v>
      </c>
      <c r="BI193" s="264">
        <f>N(BI118)</f>
        <v>28.952</v>
      </c>
      <c r="BJ193" s="264">
        <f>N(BJ118)</f>
        <v>-172.678</v>
      </c>
      <c r="BK193" s="264">
        <f>N(BK118)</f>
        <v>239.371</v>
      </c>
      <c r="BL193" s="264">
        <f>N(BL118)</f>
        <v>176.296</v>
      </c>
      <c r="BM193" s="264">
        <f>N(BM118)</f>
        <v>-130.801</v>
      </c>
      <c r="BN193" s="264">
        <f>N(BN118)</f>
        <v>-42.692</v>
      </c>
      <c r="BO193" s="264">
        <f>N(BO118)</f>
        <v>104.809</v>
      </c>
      <c r="BP193" s="264">
        <f>N(BP118)</f>
        <v>-52.855</v>
      </c>
      <c r="BQ193" s="264">
        <f>N(BQ118)</f>
        <v>-121.539</v>
      </c>
      <c r="BR193" s="264">
        <f>N(BR118)</f>
        <v>28.547</v>
      </c>
      <c r="BS193" s="264">
        <f>N(BS118)</f>
        <v>55.238</v>
      </c>
      <c r="BT193" s="264">
        <f>N(BT118)</f>
        <v>-1.707</v>
      </c>
      <c r="BU193" s="264">
        <f>N(BU118)</f>
        <v>-9.73</v>
      </c>
      <c r="BV193" s="264">
        <f>N(BV118)</f>
        <v>72.348</v>
      </c>
      <c r="BW193" s="264">
        <f>N(BW118)</f>
        <v>-10.11</v>
      </c>
      <c r="BX193" s="264">
        <f>N(BX118)</f>
        <v>-8.813</v>
      </c>
      <c r="BY193" s="254">
        <f>N(BY118)</f>
        <v>0</v>
      </c>
      <c r="BZ193" s="254">
        <f>N(BZ118)</f>
        <v>0</v>
      </c>
      <c r="CA193" s="254">
        <f>N(CA118)</f>
        <v>-18.923</v>
      </c>
      <c r="CB193" s="254">
        <f>N(CB118)</f>
        <v>0</v>
      </c>
      <c r="CC193" s="254">
        <f>N(CC118)</f>
        <v>0</v>
      </c>
      <c r="CD193" s="254">
        <f>N(CD118)</f>
        <v>0</v>
      </c>
      <c r="CE193" s="254">
        <f>N(CE118)</f>
        <v>0</v>
      </c>
      <c r="CF193" s="254">
        <f>N(CF118)</f>
        <v>0</v>
      </c>
      <c r="CG193" s="19" t="n"/>
    </row>
    <row r="194" ht="15" customHeight="1" s="251">
      <c r="B194" s="25" t="inlineStr">
        <is>
          <t xml:space="preserve">  (+) Loss on extinguishment of debt</t>
        </is>
      </c>
      <c r="C194" s="264">
        <f>-N(C137)</f>
        <v>0</v>
      </c>
      <c r="D194" s="264">
        <f>-N(D137)</f>
        <v>0</v>
      </c>
      <c r="E194" s="264">
        <f>-N(E137)</f>
        <v>0</v>
      </c>
      <c r="F194" s="264">
        <f>-N(F137)</f>
        <v>0</v>
      </c>
      <c r="G194" s="264">
        <f>-N(G137)</f>
        <v>0</v>
      </c>
      <c r="H194" s="264">
        <f>-N(H137)</f>
        <v>0</v>
      </c>
      <c r="I194" s="264">
        <f>-N(I137)</f>
        <v>0</v>
      </c>
      <c r="J194" s="264">
        <f>-N(J137)</f>
        <v>25.129</v>
      </c>
      <c r="K194" s="264">
        <f>-N(K137)</f>
        <v>0</v>
      </c>
      <c r="L194" s="264">
        <f>-N(L137)</f>
        <v>0</v>
      </c>
      <c r="M194" s="264">
        <f>-N(M137)</f>
        <v>0</v>
      </c>
      <c r="N194" s="264">
        <f>-N(N137)</f>
        <v>25.129</v>
      </c>
      <c r="O194" s="264">
        <f>-N(O137)</f>
        <v>0</v>
      </c>
      <c r="P194" s="264">
        <f>-N(P137)</f>
        <v>0</v>
      </c>
      <c r="Q194" s="264">
        <f>-N(Q137)</f>
        <v>0</v>
      </c>
      <c r="R194" s="264">
        <f>-N(R137)</f>
        <v>0</v>
      </c>
      <c r="S194" s="264">
        <f>-N(S137)</f>
        <v>0</v>
      </c>
      <c r="T194" s="264">
        <f>-N(T137)</f>
        <v>0</v>
      </c>
      <c r="U194" s="264">
        <f>-N(U137)</f>
        <v>0</v>
      </c>
      <c r="V194" s="264">
        <f>-N(V137)</f>
        <v>0</v>
      </c>
      <c r="W194" s="264">
        <f>-N(W137)</f>
        <v>0</v>
      </c>
      <c r="X194" s="264">
        <f>-N(X137)</f>
        <v>0</v>
      </c>
      <c r="Y194" s="264">
        <f>-N(Y137)</f>
        <v>0</v>
      </c>
      <c r="Z194" s="264">
        <f>-N(Z137)</f>
        <v>0</v>
      </c>
      <c r="AA194" s="264">
        <f>-N(AA137)</f>
        <v>0</v>
      </c>
      <c r="AB194" s="264">
        <f>-N(AB137)</f>
        <v>0</v>
      </c>
      <c r="AC194" s="264">
        <f>-N(AC137)</f>
        <v>0</v>
      </c>
      <c r="AD194" s="264">
        <f>-N(AD137)</f>
        <v>0</v>
      </c>
      <c r="AE194" s="264">
        <f>-N(AE137)</f>
        <v>0</v>
      </c>
      <c r="AF194" s="264">
        <f>-N(AF137)</f>
        <v>0</v>
      </c>
      <c r="AG194" s="264">
        <f>-N(AG137)</f>
        <v>0</v>
      </c>
      <c r="AH194" s="264">
        <f>-N(AH137)</f>
        <v>0</v>
      </c>
      <c r="AI194" s="264">
        <f>-N(AI137)</f>
        <v>0</v>
      </c>
      <c r="AJ194" s="264">
        <f>-N(AJ137)</f>
        <v>0</v>
      </c>
      <c r="AK194" s="264">
        <f>-N(AK137)</f>
        <v>0</v>
      </c>
      <c r="AL194" s="264">
        <f>-N(AL137)</f>
        <v>0</v>
      </c>
      <c r="AM194" s="264">
        <f>-N(AM137)</f>
        <v>0</v>
      </c>
      <c r="AN194" s="264">
        <f>-N(AN137)</f>
        <v>0</v>
      </c>
      <c r="AO194" s="264">
        <f>-N(AO137)</f>
        <v>0</v>
      </c>
      <c r="AP194" s="264">
        <f>-N(AP137)</f>
        <v>0</v>
      </c>
      <c r="AQ194" s="264">
        <f>-N(AQ137)</f>
        <v>0</v>
      </c>
      <c r="AR194" s="264">
        <f>-N(AR137)</f>
        <v>0</v>
      </c>
      <c r="AS194" s="264">
        <f>-N(AS137)</f>
        <v>0</v>
      </c>
      <c r="AT194" s="264">
        <f>-N(AT137)</f>
        <v>0</v>
      </c>
      <c r="AU194" s="264">
        <f>-N(AU137)</f>
        <v>0</v>
      </c>
      <c r="AV194" s="264">
        <f>-N(AV137)</f>
        <v>0</v>
      </c>
      <c r="AW194" s="264">
        <f>-N(AW137)</f>
        <v>0</v>
      </c>
      <c r="AX194" s="264">
        <f>-N(AX137)</f>
        <v>0</v>
      </c>
      <c r="AY194" s="264">
        <f>-N(AY137)</f>
        <v>0</v>
      </c>
      <c r="AZ194" s="264">
        <f>-N(AZ137)</f>
        <v>0</v>
      </c>
      <c r="BA194" s="264">
        <f>-N(BA137)</f>
        <v>0</v>
      </c>
      <c r="BB194" s="264">
        <f>-N(BB137)</f>
        <v>0</v>
      </c>
      <c r="BC194" s="264">
        <f>-N(BC137)</f>
        <v>0</v>
      </c>
      <c r="BD194" s="264">
        <f>-N(BD137)</f>
        <v>0</v>
      </c>
      <c r="BE194" s="264">
        <f>-N(BE137)</f>
        <v>0</v>
      </c>
      <c r="BF194" s="264">
        <f>-N(BF137)</f>
        <v>0</v>
      </c>
      <c r="BG194" s="264">
        <f>-N(BG137)</f>
        <v>0</v>
      </c>
      <c r="BH194" s="264">
        <f>-N(BH137)</f>
        <v>0</v>
      </c>
      <c r="BI194" s="264">
        <f>-N(BI137)</f>
        <v>0</v>
      </c>
      <c r="BJ194" s="264">
        <f>-N(BJ137)</f>
        <v>0</v>
      </c>
      <c r="BK194" s="264">
        <f>-N(BK137)</f>
        <v>0</v>
      </c>
      <c r="BL194" s="264">
        <f>-N(BL137)</f>
        <v>0</v>
      </c>
      <c r="BM194" s="264">
        <f>-N(BM137)</f>
        <v>0</v>
      </c>
      <c r="BN194" s="264">
        <f>-N(BN137)</f>
        <v>0</v>
      </c>
      <c r="BO194" s="264">
        <f>-N(BO137)</f>
        <v>0</v>
      </c>
      <c r="BP194" s="264">
        <f>-N(BP137)</f>
        <v>0</v>
      </c>
      <c r="BQ194" s="264">
        <f>-N(BQ137)</f>
        <v>0</v>
      </c>
      <c r="BR194" s="264">
        <f>-N(BR137)</f>
        <v>0</v>
      </c>
      <c r="BS194" s="264">
        <f>-N(BS137)</f>
        <v>0</v>
      </c>
      <c r="BT194" s="264">
        <f>-N(BT137)</f>
        <v>0</v>
      </c>
      <c r="BU194" s="264">
        <f>-N(BU137)</f>
        <v>0</v>
      </c>
      <c r="BV194" s="264">
        <f>-N(BV137)</f>
        <v>0</v>
      </c>
      <c r="BW194" s="264">
        <f>-N(BW137)</f>
        <v>0</v>
      </c>
      <c r="BX194" s="264">
        <f>-N(BX137)</f>
        <v>0</v>
      </c>
      <c r="BY194" s="254">
        <f>-N(BY137)</f>
        <v>0</v>
      </c>
      <c r="BZ194" s="254">
        <f>-N(BZ137)</f>
        <v>0</v>
      </c>
      <c r="CA194" s="254">
        <f>-N(CA137)</f>
        <v>0</v>
      </c>
      <c r="CB194" s="254">
        <f>-N(CB137)</f>
        <v>0</v>
      </c>
      <c r="CC194" s="254">
        <f>-N(CC137)</f>
        <v>0</v>
      </c>
      <c r="CD194" s="254">
        <f>-N(CD137)</f>
        <v>0</v>
      </c>
      <c r="CE194" s="254">
        <f>-N(CE137)</f>
        <v>0</v>
      </c>
      <c r="CF194" s="254">
        <f>-N(CF137)</f>
        <v>0</v>
      </c>
      <c r="CG194" s="19" t="n"/>
    </row>
    <row r="195" ht="15" customHeight="1" s="251">
      <c r="B195" s="25" t="inlineStr">
        <is>
          <t xml:space="preserve">  (−) WBD termination fee (Q1-26)</t>
        </is>
      </c>
      <c r="C195" s="264">
        <f>N(C117)</f>
        <v>0</v>
      </c>
      <c r="D195" s="264">
        <f>N(D117)</f>
        <v>0</v>
      </c>
      <c r="E195" s="264">
        <f>N(E117)</f>
        <v>0</v>
      </c>
      <c r="F195" s="264">
        <f>N(F117)</f>
        <v>0</v>
      </c>
      <c r="G195" s="264">
        <f>N(G117)</f>
        <v>0</v>
      </c>
      <c r="H195" s="264">
        <f>N(H117)</f>
        <v>0</v>
      </c>
      <c r="I195" s="264">
        <f>N(I117)</f>
        <v>0</v>
      </c>
      <c r="J195" s="264">
        <f>N(J117)</f>
        <v>0</v>
      </c>
      <c r="K195" s="264">
        <f>N(K117)</f>
        <v>0</v>
      </c>
      <c r="L195" s="264">
        <f>N(L117)</f>
        <v>0</v>
      </c>
      <c r="M195" s="264">
        <f>N(M117)</f>
        <v>0</v>
      </c>
      <c r="N195" s="264">
        <f>N(N117)</f>
        <v>0</v>
      </c>
      <c r="O195" s="264">
        <f>N(O117)</f>
        <v>0</v>
      </c>
      <c r="P195" s="264">
        <f>N(P117)</f>
        <v>0</v>
      </c>
      <c r="Q195" s="264">
        <f>N(Q117)</f>
        <v>0</v>
      </c>
      <c r="R195" s="264">
        <f>N(R117)</f>
        <v>0</v>
      </c>
      <c r="S195" s="264">
        <f>N(S117)</f>
        <v>0</v>
      </c>
      <c r="T195" s="264">
        <f>N(T117)</f>
        <v>0</v>
      </c>
      <c r="U195" s="264">
        <f>N(U117)</f>
        <v>0</v>
      </c>
      <c r="V195" s="264">
        <f>N(V117)</f>
        <v>0</v>
      </c>
      <c r="W195" s="264">
        <f>N(W117)</f>
        <v>0</v>
      </c>
      <c r="X195" s="264">
        <f>N(X117)</f>
        <v>0</v>
      </c>
      <c r="Y195" s="264">
        <f>N(Y117)</f>
        <v>0</v>
      </c>
      <c r="Z195" s="264">
        <f>N(Z117)</f>
        <v>0</v>
      </c>
      <c r="AA195" s="264">
        <f>N(AA117)</f>
        <v>0</v>
      </c>
      <c r="AB195" s="264">
        <f>N(AB117)</f>
        <v>0</v>
      </c>
      <c r="AC195" s="264">
        <f>N(AC117)</f>
        <v>0</v>
      </c>
      <c r="AD195" s="264">
        <f>N(AD117)</f>
        <v>0</v>
      </c>
      <c r="AE195" s="264">
        <f>N(AE117)</f>
        <v>0</v>
      </c>
      <c r="AF195" s="264">
        <f>N(AF117)</f>
        <v>0</v>
      </c>
      <c r="AG195" s="264">
        <f>N(AG117)</f>
        <v>0</v>
      </c>
      <c r="AH195" s="264">
        <f>N(AH117)</f>
        <v>0</v>
      </c>
      <c r="AI195" s="264">
        <f>N(AI117)</f>
        <v>0</v>
      </c>
      <c r="AJ195" s="264">
        <f>N(AJ117)</f>
        <v>0</v>
      </c>
      <c r="AK195" s="264">
        <f>N(AK117)</f>
        <v>0</v>
      </c>
      <c r="AL195" s="264">
        <f>N(AL117)</f>
        <v>0</v>
      </c>
      <c r="AM195" s="264">
        <f>N(AM117)</f>
        <v>0</v>
      </c>
      <c r="AN195" s="264">
        <f>N(AN117)</f>
        <v>0</v>
      </c>
      <c r="AO195" s="264">
        <f>N(AO117)</f>
        <v>0</v>
      </c>
      <c r="AP195" s="264">
        <f>N(AP117)</f>
        <v>0</v>
      </c>
      <c r="AQ195" s="264">
        <f>N(AQ117)</f>
        <v>0</v>
      </c>
      <c r="AR195" s="264">
        <f>N(AR117)</f>
        <v>0</v>
      </c>
      <c r="AS195" s="264">
        <f>N(AS117)</f>
        <v>0</v>
      </c>
      <c r="AT195" s="264">
        <f>N(AT117)</f>
        <v>0</v>
      </c>
      <c r="AU195" s="264">
        <f>N(AU117)</f>
        <v>0</v>
      </c>
      <c r="AV195" s="264">
        <f>N(AV117)</f>
        <v>0</v>
      </c>
      <c r="AW195" s="264">
        <f>N(AW117)</f>
        <v>0</v>
      </c>
      <c r="AX195" s="264">
        <f>N(AX117)</f>
        <v>0</v>
      </c>
      <c r="AY195" s="264">
        <f>N(AY117)</f>
        <v>0</v>
      </c>
      <c r="AZ195" s="264">
        <f>N(AZ117)</f>
        <v>0</v>
      </c>
      <c r="BA195" s="264">
        <f>N(BA117)</f>
        <v>0</v>
      </c>
      <c r="BB195" s="264">
        <f>N(BB117)</f>
        <v>0</v>
      </c>
      <c r="BC195" s="264">
        <f>N(BC117)</f>
        <v>0</v>
      </c>
      <c r="BD195" s="264">
        <f>N(BD117)</f>
        <v>0</v>
      </c>
      <c r="BE195" s="264">
        <f>N(BE117)</f>
        <v>0</v>
      </c>
      <c r="BF195" s="264">
        <f>N(BF117)</f>
        <v>0</v>
      </c>
      <c r="BG195" s="264">
        <f>N(BG117)</f>
        <v>0</v>
      </c>
      <c r="BH195" s="264">
        <f>N(BH117)</f>
        <v>0</v>
      </c>
      <c r="BI195" s="264">
        <f>N(BI117)</f>
        <v>0</v>
      </c>
      <c r="BJ195" s="264">
        <f>N(BJ117)</f>
        <v>0</v>
      </c>
      <c r="BK195" s="264">
        <f>N(BK117)</f>
        <v>0</v>
      </c>
      <c r="BL195" s="264">
        <f>N(BL117)</f>
        <v>0</v>
      </c>
      <c r="BM195" s="264">
        <f>N(BM117)</f>
        <v>0</v>
      </c>
      <c r="BN195" s="264">
        <f>N(BN117)</f>
        <v>0</v>
      </c>
      <c r="BO195" s="264">
        <f>N(BO117)</f>
        <v>0</v>
      </c>
      <c r="BP195" s="264">
        <f>N(BP117)</f>
        <v>0</v>
      </c>
      <c r="BQ195" s="264">
        <f>N(BQ117)</f>
        <v>0</v>
      </c>
      <c r="BR195" s="264">
        <f>N(BR117)</f>
        <v>0</v>
      </c>
      <c r="BS195" s="264">
        <f>N(BS117)</f>
        <v>0</v>
      </c>
      <c r="BT195" s="264">
        <f>N(BT117)</f>
        <v>0</v>
      </c>
      <c r="BU195" s="264">
        <f>N(BU117)</f>
        <v>0</v>
      </c>
      <c r="BV195" s="264">
        <f>N(BV117)</f>
        <v>0</v>
      </c>
      <c r="BW195" s="264">
        <f>N(BW117)</f>
        <v>-2800</v>
      </c>
      <c r="BX195" s="264">
        <f>N(BX117)</f>
        <v>0</v>
      </c>
      <c r="BY195" s="254">
        <f>N(BY117)</f>
        <v>0</v>
      </c>
      <c r="BZ195" s="254">
        <f>N(BZ117)</f>
        <v>0</v>
      </c>
      <c r="CA195" s="254">
        <f>N(CA117)</f>
        <v>-2800</v>
      </c>
      <c r="CB195" s="254">
        <f>N(CB117)</f>
        <v>0</v>
      </c>
      <c r="CC195" s="254">
        <f>N(CC117)</f>
        <v>0</v>
      </c>
      <c r="CD195" s="254">
        <f>N(CD117)</f>
        <v>0</v>
      </c>
      <c r="CE195" s="254">
        <f>N(CE117)</f>
        <v>0</v>
      </c>
      <c r="CF195" s="254">
        <f>N(CF117)</f>
        <v>0</v>
      </c>
      <c r="CG195" s="19" t="n"/>
    </row>
    <row r="196" ht="15" customHeight="1" s="251">
      <c r="B196" s="16" t="inlineStr">
        <is>
          <t xml:space="preserve">  Total pre-tax items</t>
        </is>
      </c>
      <c r="C196" s="278">
        <f>IF(ISNUMBER(C190),N(C191)+N(C192)+N(C193)+N(C194)+N(C195),"")</f>
        <v>12.696</v>
      </c>
      <c r="D196" s="278">
        <f>IF(ISNUMBER(D190),N(D191)+N(D192)+N(D193)+N(D194)+N(D195),"")</f>
        <v>11.976</v>
      </c>
      <c r="E196" s="278">
        <f>IF(ISNUMBER(E190),N(E191)+N(E192)+N(E193)+N(E194)+N(E195),"")</f>
        <v>12.264</v>
      </c>
      <c r="F196" s="278">
        <f>IF(ISNUMBER(F190),N(F191)+N(F192)+N(F193)+N(F194)+N(F195),"")</f>
        <v>12.618</v>
      </c>
      <c r="G196" s="278">
        <f>IF(ISNUMBER(G190),N(G191)+N(G192)+N(G193)+N(G194)+N(G195),"")</f>
        <v>0</v>
      </c>
      <c r="H196" s="278">
        <f>IF(ISNUMBER(H190),N(H191)+N(H192)+N(H193)+N(H194)+N(H195),"")</f>
        <v>0</v>
      </c>
      <c r="I196" s="278">
        <f>IF(ISNUMBER(I190),N(I191)+N(I192)+N(I193)+N(I194)+N(I195),"")</f>
        <v>0</v>
      </c>
      <c r="J196" s="278">
        <f>IF(ISNUMBER(J190),N(J191)+N(J192)+N(J193)+N(J194)+N(J195),"")</f>
        <v>25.129</v>
      </c>
      <c r="K196" s="278">
        <f>IF(ISNUMBER(K190),N(K191)+N(K192)+N(K193)+N(K194)+N(K195),"")</f>
        <v>0</v>
      </c>
      <c r="L196" s="278">
        <f>IF(ISNUMBER(L190),N(L191)+N(L192)+N(L193)+N(L194)+N(L195),"")</f>
        <v>0</v>
      </c>
      <c r="M196" s="278">
        <f>IF(ISNUMBER(M190),N(M191)+N(M192)+N(M193)+N(M194)+N(M195),"")</f>
        <v>0</v>
      </c>
      <c r="N196" s="278">
        <f>IF(ISNUMBER(N190),N(N191)+N(N192)+N(N193)+N(N194)+N(N195),"")</f>
        <v>25.129</v>
      </c>
      <c r="O196" s="278">
        <f>IF(ISNUMBER(O190),N(O191)+N(O192)+N(O193)+N(O194)+N(O195),"")</f>
        <v>0</v>
      </c>
      <c r="P196" s="278">
        <f>IF(ISNUMBER(P190),N(P191)+N(P192)+N(P193)+N(P194)+N(P195),"")</f>
        <v>0</v>
      </c>
      <c r="Q196" s="278">
        <f>IF(ISNUMBER(Q190),N(Q191)+N(Q192)+N(Q193)+N(Q194)+N(Q195),"")</f>
        <v>0</v>
      </c>
      <c r="R196" s="278">
        <f>IF(ISNUMBER(R190),N(R191)+N(R192)+N(R193)+N(R194)+N(R195),"")</f>
        <v>0</v>
      </c>
      <c r="S196" s="278">
        <f>IF(ISNUMBER(S190),N(S191)+N(S192)+N(S193)+N(S194)+N(S195),"")</f>
        <v>0</v>
      </c>
      <c r="T196" s="278">
        <f>IF(ISNUMBER(T190),N(T191)+N(T192)+N(T193)+N(T194)+N(T195),"")</f>
        <v>33.696</v>
      </c>
      <c r="U196" s="278">
        <f>IF(ISNUMBER(U190),N(U191)+N(U192)+N(U193)+N(U194)+N(U195),"")</f>
        <v>0</v>
      </c>
      <c r="V196" s="278">
        <f>IF(ISNUMBER(V190),N(V191)+N(V192)+N(V193)+N(V194)+N(V195),"")</f>
        <v>0</v>
      </c>
      <c r="W196" s="278">
        <f>IF(ISNUMBER(W190),N(W191)+N(W192)+N(W193)+N(W194)+N(W195),"")</f>
        <v>0</v>
      </c>
      <c r="X196" s="278">
        <f>IF(ISNUMBER(X190),N(X191)+N(X192)+N(X193)+N(X194)+N(X195),"")</f>
        <v>33.696</v>
      </c>
      <c r="Y196" s="278">
        <f>IF(ISNUMBER(Y190),N(Y191)+N(Y192)+N(Y193)+N(Y194)+N(Y195),"")</f>
        <v>0</v>
      </c>
      <c r="Z196" s="278">
        <f>IF(ISNUMBER(Z190),N(Z191)+N(Z192)+N(Z193)+N(Z194)+N(Z195),"")</f>
        <v>0</v>
      </c>
      <c r="AA196" s="278">
        <f>IF(ISNUMBER(AA190),N(AA191)+N(AA192)+N(AA193)+N(AA194)+N(AA195),"")</f>
        <v>0</v>
      </c>
      <c r="AB196" s="278">
        <f>IF(ISNUMBER(AB190),N(AB191)+N(AB192)+N(AB193)+N(AB194)+N(AB195),"")</f>
        <v>0</v>
      </c>
      <c r="AC196" s="278">
        <f>IF(ISNUMBER(AC190),N(AC191)+N(AC192)+N(AC193)+N(AC194)+N(AC195),"")</f>
        <v>0</v>
      </c>
      <c r="AD196" s="278">
        <f>IF(ISNUMBER(AD190),N(AD191)+N(AD192)+N(AD193)+N(AD194)+N(AD195),"")</f>
        <v>0</v>
      </c>
      <c r="AE196" s="278">
        <f>IF(ISNUMBER(AE190),N(AE191)+N(AE192)+N(AE193)+N(AE194)+N(AE195),"")</f>
        <v>64.22</v>
      </c>
      <c r="AF196" s="278">
        <f>IF(ISNUMBER(AF190),N(AF191)+N(AF192)+N(AF193)+N(AF194)+N(AF195),"")</f>
        <v>50.83</v>
      </c>
      <c r="AG196" s="278">
        <f>IF(ISNUMBER(AG190),N(AG191)+N(AG192)+N(AG193)+N(AG194)+N(AG195),"")</f>
        <v>25.74</v>
      </c>
      <c r="AH196" s="278">
        <f>IF(ISNUMBER(AH190),N(AH191)+N(AH192)+N(AH193)+N(AH194)+N(AH195),"")</f>
        <v>140.79</v>
      </c>
      <c r="AI196" s="278">
        <f>IF(ISNUMBER(AI190),N(AI191)+N(AI192)+N(AI193)+N(AI194)+N(AI195),"")</f>
        <v>41.08</v>
      </c>
      <c r="AJ196" s="278">
        <f>IF(ISNUMBER(AJ190),N(AJ191)+N(AJ192)+N(AJ193)+N(AJ194)+N(AJ195),"")</f>
        <v>-85.41</v>
      </c>
      <c r="AK196" s="278">
        <f>IF(ISNUMBER(AK190),N(AK191)+N(AK192)+N(AK193)+N(AK194)+N(AK195),"")</f>
        <v>-7.67</v>
      </c>
      <c r="AL196" s="278">
        <f>IF(ISNUMBER(AL190),N(AL191)+N(AL192)+N(AL193)+N(AL194)+N(AL195),"")</f>
        <v>-21.953</v>
      </c>
      <c r="AM196" s="278">
        <f>IF(ISNUMBER(AM190),N(AM191)+N(AM192)+N(AM193)+N(AM194)+N(AM195),"")</f>
        <v>-73.953</v>
      </c>
      <c r="AN196" s="278">
        <f>IF(ISNUMBER(AN190),N(AN191)+N(AN192)+N(AN193)+N(AN194)+N(AN195),"")</f>
        <v>-57.6</v>
      </c>
      <c r="AO196" s="278">
        <f>IF(ISNUMBER(AO190),N(AO191)+N(AO192)+N(AO193)+N(AO194)+N(AO195),"")</f>
        <v>61.284</v>
      </c>
      <c r="AP196" s="278">
        <f>IF(ISNUMBER(AP190),N(AP191)+N(AP192)+N(AP193)+N(AP194)+N(AP195),"")</f>
        <v>-171.36</v>
      </c>
      <c r="AQ196" s="278">
        <f>IF(ISNUMBER(AQ190),N(AQ191)+N(AQ192)+N(AQ193)+N(AQ194)+N(AQ195),"")</f>
        <v>122.1</v>
      </c>
      <c r="AR196" s="278">
        <f>IF(ISNUMBER(AR190),N(AR191)+N(AR192)+N(AR193)+N(AR194)+N(AR195),"")</f>
        <v>-45.576</v>
      </c>
      <c r="AS196" s="278">
        <f>IF(ISNUMBER(AS190),N(AS191)+N(AS192)+N(AS193)+N(AS194)+N(AS195),"")</f>
        <v>-93.06</v>
      </c>
      <c r="AT196" s="278">
        <f>IF(ISNUMBER(AT190),N(AT191)+N(AT192)+N(AT193)+N(AT194)+N(AT195),"")</f>
        <v>119.161</v>
      </c>
      <c r="AU196" s="278">
        <f>IF(ISNUMBER(AU190),N(AU191)+N(AU192)+N(AU193)+N(AU194)+N(AU195),"")</f>
        <v>249.194</v>
      </c>
      <c r="AV196" s="278">
        <f>IF(ISNUMBER(AV190),N(AV191)+N(AV192)+N(AV193)+N(AV194)+N(AV195),"")</f>
        <v>257.983</v>
      </c>
      <c r="AW196" s="278">
        <f>IF(ISNUMBER(AW190),N(AW191)+N(AW192)+N(AW193)+N(AW194)+N(AW195),"")</f>
        <v>533.278</v>
      </c>
      <c r="AX196" s="278">
        <f>IF(ISNUMBER(AX190),N(AX191)+N(AX192)+N(AX193)+N(AX194)+N(AX195),"")</f>
        <v>-253.33</v>
      </c>
      <c r="AY196" s="278">
        <f>IF(ISNUMBER(AY190),N(AY191)+N(AY192)+N(AY193)+N(AY194)+N(AY195),"")</f>
        <v>63.074</v>
      </c>
      <c r="AZ196" s="278">
        <f>IF(ISNUMBER(AZ190),N(AZ191)+N(AZ192)+N(AZ193)+N(AZ194)+N(AZ195),"")</f>
        <v>-136.488</v>
      </c>
      <c r="BA196" s="278">
        <f>IF(ISNUMBER(BA190),N(BA191)+N(BA192)+N(BA193)+N(BA194)+N(BA195),"")</f>
        <v>-103.917</v>
      </c>
      <c r="BB196" s="278">
        <f>IF(ISNUMBER(BB190),N(BB191)+N(BB192)+N(BB193)+N(BB194)+N(BB195),"")</f>
        <v>-430.661</v>
      </c>
      <c r="BC196" s="278">
        <f>IF(ISNUMBER(BC190),N(BC191)+N(BC192)+N(BC193)+N(BC194)+N(BC195),"")</f>
        <v>-161.821</v>
      </c>
      <c r="BD196" s="278">
        <f>IF(ISNUMBER(BD190),N(BD191)+N(BD192)+N(BD193)+N(BD194)+N(BD195),"")</f>
        <v>-154.513</v>
      </c>
      <c r="BE196" s="278">
        <f>IF(ISNUMBER(BE190),N(BE191)+N(BE192)+N(BE193)+N(BE194)+N(BE195),"")</f>
        <v>-348.458</v>
      </c>
      <c r="BF196" s="278">
        <f>IF(ISNUMBER(BF190),N(BF191)+N(BF192)+N(BF193)+N(BF194)+N(BF195),"")</f>
        <v>461.681</v>
      </c>
      <c r="BG196" s="278">
        <f>IF(ISNUMBER(BG190),N(BG191)+N(BG192)+N(BG193)+N(BG194)+N(BG195),"")</f>
        <v>-203.111</v>
      </c>
      <c r="BH196" s="278">
        <f>IF(ISNUMBER(BH190),N(BH191)+N(BH192)+N(BH193)+N(BH194)+N(BH195),"")</f>
        <v>80.651</v>
      </c>
      <c r="BI196" s="278">
        <f>IF(ISNUMBER(BI190),N(BI191)+N(BI192)+N(BI193)+N(BI194)+N(BI195),"")</f>
        <v>28.952</v>
      </c>
      <c r="BJ196" s="278">
        <f>IF(ISNUMBER(BJ190),N(BJ191)+N(BJ192)+N(BJ193)+N(BJ194)+N(BJ195),"")</f>
        <v>-172.678</v>
      </c>
      <c r="BK196" s="278">
        <f>IF(ISNUMBER(BK190),N(BK191)+N(BK192)+N(BK193)+N(BK194)+N(BK195),"")</f>
        <v>239.371</v>
      </c>
      <c r="BL196" s="278">
        <f>IF(ISNUMBER(BL190),N(BL191)+N(BL192)+N(BL193)+N(BL194)+N(BL195),"")</f>
        <v>176.296</v>
      </c>
      <c r="BM196" s="278">
        <f>IF(ISNUMBER(BM190),N(BM191)+N(BM192)+N(BM193)+N(BM194)+N(BM195),"")</f>
        <v>-130.801</v>
      </c>
      <c r="BN196" s="278">
        <f>IF(ISNUMBER(BN190),N(BN191)+N(BN192)+N(BN193)+N(BN194)+N(BN195),"")</f>
        <v>-42.692</v>
      </c>
      <c r="BO196" s="278">
        <f>IF(ISNUMBER(BO190),N(BO191)+N(BO192)+N(BO193)+N(BO194)+N(BO195),"")</f>
        <v>104.809</v>
      </c>
      <c r="BP196" s="278">
        <f>IF(ISNUMBER(BP190),N(BP191)+N(BP192)+N(BP193)+N(BP194)+N(BP195),"")</f>
        <v>-52.855</v>
      </c>
      <c r="BQ196" s="278">
        <f>IF(ISNUMBER(BQ190),N(BQ191)+N(BQ192)+N(BQ193)+N(BQ194)+N(BQ195),"")</f>
        <v>-121.539</v>
      </c>
      <c r="BR196" s="278">
        <f>IF(ISNUMBER(BR190),N(BR191)+N(BR192)+N(BR193)+N(BR194)+N(BR195),"")</f>
        <v>28.547</v>
      </c>
      <c r="BS196" s="278">
        <f>IF(ISNUMBER(BS190),N(BS191)+N(BS192)+N(BS193)+N(BS194)+N(BS195),"")</f>
        <v>55.238</v>
      </c>
      <c r="BT196" s="278">
        <f>IF(ISNUMBER(BT190),N(BT191)+N(BT192)+N(BT193)+N(BT194)+N(BT195),"")</f>
        <v>617.293</v>
      </c>
      <c r="BU196" s="278">
        <f>IF(ISNUMBER(BU190),N(BU191)+N(BU192)+N(BU193)+N(BU194)+N(BU195),"")</f>
        <v>-9.73</v>
      </c>
      <c r="BV196" s="278">
        <f>IF(ISNUMBER(BV190),N(BV191)+N(BV192)+N(BV193)+N(BV194)+N(BV195),"")</f>
        <v>691.348</v>
      </c>
      <c r="BW196" s="278">
        <f>IF(ISNUMBER(BW190),N(BW191)+N(BW192)+N(BW193)+N(BW194)+N(BW195),"")</f>
        <v>-2810.11</v>
      </c>
      <c r="BX196" s="278">
        <f>IF(ISNUMBER(BX190),N(BX191)+N(BX192)+N(BX193)+N(BX194)+N(BX195),"")</f>
        <v>-8.813</v>
      </c>
      <c r="BY196" s="279">
        <f>IF(ISNUMBER(BY190),N(BY191)+N(BY192)+N(BY193)+N(BY194)+N(BY195),"")</f>
        <v>0</v>
      </c>
      <c r="BZ196" s="279">
        <f>IF(ISNUMBER(BZ190),N(BZ191)+N(BZ192)+N(BZ193)+N(BZ194)+N(BZ195),"")</f>
        <v>0</v>
      </c>
      <c r="CA196" s="279">
        <f>IF(ISNUMBER(CA190),N(CA191)+N(CA192)+N(CA193)+N(CA194)+N(CA195),"")</f>
        <v>-2818.923</v>
      </c>
      <c r="CB196" s="279">
        <f>IF(ISNUMBER(CB190),N(CB191)+N(CB192)+N(CB193)+N(CB194)+N(CB195),"")</f>
        <v>0</v>
      </c>
      <c r="CC196" s="279">
        <f>IF(ISNUMBER(CC190),N(CC191)+N(CC192)+N(CC193)+N(CC194)+N(CC195),"")</f>
        <v>0</v>
      </c>
      <c r="CD196" s="279">
        <f>IF(ISNUMBER(CD190),N(CD191)+N(CD192)+N(CD193)+N(CD194)+N(CD195),"")</f>
        <v>0</v>
      </c>
      <c r="CE196" s="279">
        <f>IF(ISNUMBER(CE190),N(CE191)+N(CE192)+N(CE193)+N(CE194)+N(CE195),"")</f>
        <v>0</v>
      </c>
      <c r="CF196" s="279">
        <f>IF(ISNUMBER(CF190),N(CF191)+N(CF192)+N(CF193)+N(CF194)+N(CF195),"")</f>
        <v>0</v>
      </c>
      <c r="CG196" s="153" t="n"/>
    </row>
    <row r="197" ht="15" customHeight="1" s="251">
      <c r="B197" s="25" t="inlineStr">
        <is>
          <t xml:space="preserve">  (−) Tax effect of the items (and tax-accrual releases Q4-14 / Q4-15)</t>
        </is>
      </c>
      <c r="C197" s="264">
        <f>IF(ISNUMBER(C199),C199-C190-C196,IF(ISNUMBER(C190),-C196*MAX(0.15,MIN(0.4,IFERROR(C140+0,0.21))),""))</f>
        <v>-4.94999999999995</v>
      </c>
      <c r="D197" s="264">
        <f>IF(ISNUMBER(D199),D199-D190-D196,IF(ISNUMBER(D190),-D196*MAX(0.15,MIN(0.4,IFERROR(D140+0,0.21))),""))</f>
        <v>-4.75699999999991</v>
      </c>
      <c r="E197" s="264">
        <f>IF(ISNUMBER(E199),E199-E190-E196,IF(ISNUMBER(E190),-E196*MAX(0.15,MIN(0.4,IFERROR(E140+0,0.21))),""))</f>
        <v>-4.58500000000001</v>
      </c>
      <c r="F197" s="264">
        <f>IF(ISNUMBER(F199),F199-F190-F196,IF(ISNUMBER(F190),-F196*MAX(0.15,MIN(0.4,IFERROR(F140+0,0.21))),""))</f>
        <v>-5.01700000000004</v>
      </c>
      <c r="G197" s="264">
        <f>IF(ISNUMBER(G199),G199-G190-G196,IF(ISNUMBER(G190),-G196*MAX(0.15,MIN(0.4,IFERROR(G140+0,0.21))),""))</f>
        <v>0</v>
      </c>
      <c r="H197" s="264">
        <f>IF(ISNUMBER(H199),H199-H190-H196,IF(ISNUMBER(H190),-H196*MAX(0.15,MIN(0.4,IFERROR(H140+0,0.21))),""))</f>
        <v>0</v>
      </c>
      <c r="I197" s="264">
        <f>IF(ISNUMBER(I199),I199-I190-I196,IF(ISNUMBER(I190),-I196*MAX(0.15,MIN(0.4,IFERROR(I140+0,0.21))),""))</f>
        <v>0</v>
      </c>
      <c r="J197" s="264">
        <f>IF(ISNUMBER(J199),J199-J190-J196,IF(ISNUMBER(J190),-J196*MAX(0.15,MIN(0.4,IFERROR(J140+0,0.21))),""))</f>
        <v>-9.15199999999995</v>
      </c>
      <c r="K197" s="264">
        <f>IF(ISNUMBER(K199),K199-K190-K196,IF(ISNUMBER(K190),-K196*MAX(0.15,MIN(0.4,IFERROR(K140+0,0.21))),""))</f>
        <v>0</v>
      </c>
      <c r="L197" s="264">
        <f>IF(ISNUMBER(L199),L199-L190-L196,IF(ISNUMBER(L190),-L196*MAX(0.15,MIN(0.4,IFERROR(L140+0,0.21))),""))</f>
        <v>0</v>
      </c>
      <c r="M197" s="264">
        <f>IF(ISNUMBER(M199),M199-M190-M196,IF(ISNUMBER(M190),-M196*MAX(0.15,MIN(0.4,IFERROR(M140+0,0.21))),""))</f>
        <v>0</v>
      </c>
      <c r="N197" s="264">
        <f>SUM(J197:M197)</f>
        <v>-9.15199999999995</v>
      </c>
      <c r="O197" s="264">
        <f>IF(ISNUMBER(O199),O199-O190-O196,IF(ISNUMBER(O190),-O196*MAX(0.15,MIN(0.4,IFERROR(O140+0,0.21))),""))</f>
        <v>0</v>
      </c>
      <c r="P197" s="264">
        <f>IF(ISNUMBER(P199),P199-P190-P196,IF(ISNUMBER(P190),-P196*MAX(0.15,MIN(0.4,IFERROR(P140+0,0.21))),""))</f>
        <v>0</v>
      </c>
      <c r="Q197" s="264">
        <f>IF(ISNUMBER(Q199),Q199-Q190-Q196,IF(ISNUMBER(Q190),-Q196*MAX(0.15,MIN(0.4,IFERROR(Q140+0,0.21))),""))</f>
        <v>0</v>
      </c>
      <c r="R197" s="264">
        <f>IF(ISNUMBER(R199),R199-R190-R196,IF(ISNUMBER(R190),-R196*MAX(0.15,MIN(0.4,IFERROR(R140+0,0.21))),""))</f>
        <v>-38.6120000000001</v>
      </c>
      <c r="S197" s="264">
        <f>SUM(O197:R197)</f>
        <v>-38.6120000000001</v>
      </c>
      <c r="T197" s="264">
        <f>IF(ISNUMBER(T199),T199-T190-T196,IF(ISNUMBER(T190),-T196*MAX(0.15,MIN(0.4,IFERROR(T140+0,0.21))),""))</f>
        <v>-9.38299999999982</v>
      </c>
      <c r="U197" s="264">
        <f>IF(ISNUMBER(U199),U199-U190-U196,IF(ISNUMBER(U190),-U196*MAX(0.15,MIN(0.4,IFERROR(U140+0,0.21))),""))</f>
        <v>0</v>
      </c>
      <c r="V197" s="264">
        <f>IF(ISNUMBER(V199),V199-V190-V196,IF(ISNUMBER(V190),-V196*MAX(0.15,MIN(0.4,IFERROR(V140+0,0.21))),""))</f>
        <v>0</v>
      </c>
      <c r="W197" s="264">
        <f>IF(ISNUMBER(W199),W199-W190-W196,IF(ISNUMBER(W190),-W196*MAX(0.15,MIN(0.4,IFERROR(W140+0,0.21))),""))</f>
        <v>-13.4380000000001</v>
      </c>
      <c r="X197" s="264">
        <f>SUM(T197:W197)</f>
        <v>-22.8209999999999</v>
      </c>
      <c r="Y197" s="264">
        <f>IF(ISNUMBER(Y199),Y199-Y190-Y196,IF(ISNUMBER(Y190),-Y196*MAX(0.15,MIN(0.4,IFERROR(Y140+0,0.21))),""))</f>
        <v>0</v>
      </c>
      <c r="Z197" s="264">
        <f>IF(ISNUMBER(Z199),Z199-Z190-Z196,IF(ISNUMBER(Z190),-Z196*MAX(0.15,MIN(0.4,IFERROR(Z140+0,0.21))),""))</f>
        <v>0</v>
      </c>
      <c r="AA197" s="264">
        <f>IF(ISNUMBER(AA199),AA199-AA190-AA196,IF(ISNUMBER(AA190),-AA196*MAX(0.15,MIN(0.4,IFERROR(AA140+0,0.21))),""))</f>
        <v>0</v>
      </c>
      <c r="AB197" s="264">
        <f>IF(ISNUMBER(AB199),AB199-AB190-AB196,IF(ISNUMBER(AB190),-AB196*MAX(0.15,MIN(0.4,IFERROR(AB140+0,0.21))),""))</f>
        <v>0</v>
      </c>
      <c r="AC197" s="264">
        <f>SUM(Y197:AB197)</f>
        <v>0</v>
      </c>
      <c r="AD197" s="264">
        <f>IF(ISNUMBER(AD199),AD199-AD190-AD196,IF(ISNUMBER(AD190),-AD196*MAX(0.15,MIN(0.4,IFERROR(AD140+0,0.21))),""))</f>
        <v>0</v>
      </c>
      <c r="AE197" s="264">
        <f>IF(ISNUMBER(AE199),AE199-AE190-AE196,IF(ISNUMBER(AE190),-AE196*MAX(0.15,MIN(0.4,IFERROR(AE140+0,0.21))),""))</f>
        <v>-9.633</v>
      </c>
      <c r="AF197" s="264">
        <f>IF(ISNUMBER(AF199),AF199-AF190-AF196,IF(ISNUMBER(AF190),-AF196*MAX(0.15,MIN(0.4,IFERROR(AF140+0,0.21))),""))</f>
        <v>-7.6245</v>
      </c>
      <c r="AG197" s="264">
        <f>IF(ISNUMBER(AG199),AG199-AG190-AG196,IF(ISNUMBER(AG190),-AG196*MAX(0.15,MIN(0.4,IFERROR(AG140+0,0.21))),""))</f>
        <v>-3.861</v>
      </c>
      <c r="AH197" s="264">
        <f>SUM(AD197:AG197)</f>
        <v>-21.1185</v>
      </c>
      <c r="AI197" s="264">
        <f>IF(ISNUMBER(AI199),AI199-AI190-AI196,IF(ISNUMBER(AI190),-AI196*MAX(0.15,MIN(0.4,IFERROR(AI140+0,0.21))),""))</f>
        <v>-6.162</v>
      </c>
      <c r="AJ197" s="264">
        <f>IF(ISNUMBER(AJ199),AJ199-AJ190-AJ196,IF(ISNUMBER(AJ190),-AJ196*MAX(0.15,MIN(0.4,IFERROR(AJ140+0,0.21))),""))</f>
        <v>12.8115</v>
      </c>
      <c r="AK197" s="264">
        <f>IF(ISNUMBER(AK199),AK199-AK190-AK196,IF(ISNUMBER(AK190),-AK196*MAX(0.15,MIN(0.4,IFERROR(AK140+0,0.21))),""))</f>
        <v>1.1505</v>
      </c>
      <c r="AL197" s="264">
        <f>IF(ISNUMBER(AL199),AL199-AL190-AL196,IF(ISNUMBER(AL190),-AL196*MAX(0.15,MIN(0.4,IFERROR(AL140+0,0.21))),""))</f>
        <v>3.29295</v>
      </c>
      <c r="AM197" s="264">
        <f>SUM(AI197:AL197)</f>
        <v>11.09295</v>
      </c>
      <c r="AN197" s="264">
        <f>IF(ISNUMBER(AN199),AN199-AN190-AN196,IF(ISNUMBER(AN190),-AN196*MAX(0.15,MIN(0.4,IFERROR(AN140+0,0.21))),""))</f>
        <v>8.64</v>
      </c>
      <c r="AO197" s="264">
        <f>IF(ISNUMBER(AO199),AO199-AO190-AO196,IF(ISNUMBER(AO190),-AO196*MAX(0.15,MIN(0.4,IFERROR(AO140+0,0.21))),""))</f>
        <v>-24.5136</v>
      </c>
      <c r="AP197" s="264">
        <f>IF(ISNUMBER(AP199),AP199-AP190-AP196,IF(ISNUMBER(AP190),-AP196*MAX(0.15,MIN(0.4,IFERROR(AP140+0,0.21))),""))</f>
        <v>58.7514631594857</v>
      </c>
      <c r="AQ197" s="264">
        <f>IF(ISNUMBER(AQ199),AQ199-AQ190-AQ196,IF(ISNUMBER(AQ190),-AQ196*MAX(0.15,MIN(0.4,IFERROR(AQ140+0,0.21))),""))</f>
        <v>-18.315</v>
      </c>
      <c r="AR197" s="264">
        <f>SUM(AN197:AQ197)</f>
        <v>24.5628631594857</v>
      </c>
      <c r="AS197" s="264">
        <f>IF(ISNUMBER(AS199),AS199-AS190-AS196,IF(ISNUMBER(AS190),-AS196*MAX(0.15,MIN(0.4,IFERROR(AS140+0,0.21))),""))</f>
        <v>13.959</v>
      </c>
      <c r="AT197" s="264">
        <f>IF(ISNUMBER(AT199),AT199-AT190-AT196,IF(ISNUMBER(AT190),-AT196*MAX(0.15,MIN(0.4,IFERROR(AT140+0,0.21))),""))</f>
        <v>-36.2920256681621</v>
      </c>
      <c r="AU197" s="264">
        <f>IF(ISNUMBER(AU199),AU199-AU190-AU196,IF(ISNUMBER(AU190),-AU196*MAX(0.15,MIN(0.4,IFERROR(AU140+0,0.21))),""))</f>
        <v>-37.3791</v>
      </c>
      <c r="AV197" s="264">
        <f>IF(ISNUMBER(AV199),AV199-AV190-AV196,IF(ISNUMBER(AV190),-AV196*MAX(0.15,MIN(0.4,IFERROR(AV140+0,0.21))),""))</f>
        <v>-38.69745</v>
      </c>
      <c r="AW197" s="264">
        <f>SUM(AS197:AV197)</f>
        <v>-98.4095756681621</v>
      </c>
      <c r="AX197" s="264">
        <f>IF(ISNUMBER(AX199),AX199-AX190-AX196,IF(ISNUMBER(AX190),-AX196*MAX(0.15,MIN(0.4,IFERROR(AX140+0,0.21))),""))</f>
        <v>40.8150400982648</v>
      </c>
      <c r="AY197" s="264">
        <f>IF(ISNUMBER(AY199),AY199-AY190-AY196,IF(ISNUMBER(AY190),-AY196*MAX(0.15,MIN(0.4,IFERROR(AY140+0,0.21))),""))</f>
        <v>-9.52868003481013</v>
      </c>
      <c r="AZ197" s="264">
        <f>IF(ISNUMBER(AZ199),AZ199-AZ190-AZ196,IF(ISNUMBER(AZ190),-AZ196*MAX(0.15,MIN(0.4,IFERROR(AZ140+0,0.21))),""))</f>
        <v>20.4732</v>
      </c>
      <c r="BA197" s="264">
        <f>IF(ISNUMBER(BA199),BA199-BA190-BA196,IF(ISNUMBER(BA190),-BA196*MAX(0.15,MIN(0.4,IFERROR(BA140+0,0.21))),""))</f>
        <v>15.58755</v>
      </c>
      <c r="BB197" s="264">
        <f>SUM(AX197:BA197)</f>
        <v>67.3471100634547</v>
      </c>
      <c r="BC197" s="264">
        <f>IF(ISNUMBER(BC199),BC199-BC190-BC196,IF(ISNUMBER(BC190),-BC196*MAX(0.15,MIN(0.4,IFERROR(BC140+0,0.21))),""))</f>
        <v>31.2448947336252</v>
      </c>
      <c r="BD197" s="264">
        <f>IF(ISNUMBER(BD199),BD199-BD190-BD196,IF(ISNUMBER(BD190),-BD196*MAX(0.15,MIN(0.4,IFERROR(BD140+0,0.21))),""))</f>
        <v>23.17695</v>
      </c>
      <c r="BE197" s="264">
        <f>IF(ISNUMBER(BE199),BE199-BE190-BE196,IF(ISNUMBER(BE190),-BE196*MAX(0.15,MIN(0.4,IFERROR(BE140+0,0.21))),""))</f>
        <v>52.2687</v>
      </c>
      <c r="BF197" s="264">
        <f>IF(ISNUMBER(BF199),BF199-BF190-BF196,IF(ISNUMBER(BF190),-BF196*MAX(0.15,MIN(0.4,IFERROR(BF140+0,0.21))),""))</f>
        <v>-69.25215</v>
      </c>
      <c r="BG197" s="264">
        <f>SUM(BC197:BF197)</f>
        <v>37.4383947336252</v>
      </c>
      <c r="BH197" s="264">
        <f>IF(ISNUMBER(BH199),BH199-BH190-BH196,IF(ISNUMBER(BH190),-BH196*MAX(0.15,MIN(0.4,IFERROR(BH140+0,0.21))),""))</f>
        <v>-12.09765</v>
      </c>
      <c r="BI197" s="264">
        <f>IF(ISNUMBER(BI199),BI199-BI190-BI196,IF(ISNUMBER(BI190),-BI196*MAX(0.15,MIN(0.4,IFERROR(BI140+0,0.21))),""))</f>
        <v>-4.3428</v>
      </c>
      <c r="BJ197" s="264">
        <f>IF(ISNUMBER(BJ199),BJ199-BJ190-BJ196,IF(ISNUMBER(BJ190),-BJ196*MAX(0.15,MIN(0.4,IFERROR(BJ140+0,0.21))),""))</f>
        <v>25.9017</v>
      </c>
      <c r="BK197" s="264">
        <f>IF(ISNUMBER(BK199),BK199-BK190-BK196,IF(ISNUMBER(BK190),-BK196*MAX(0.15,MIN(0.4,IFERROR(BK140+0,0.21))),""))</f>
        <v>-43.8467044828637</v>
      </c>
      <c r="BL197" s="264">
        <f>SUM(BH197:BK197)</f>
        <v>-34.3854544828637</v>
      </c>
      <c r="BM197" s="264">
        <f>IF(ISNUMBER(BM199),BM199-BM190-BM196,IF(ISNUMBER(BM190),-BM196*MAX(0.15,MIN(0.4,IFERROR(BM140+0,0.21))),""))</f>
        <v>19.62015</v>
      </c>
      <c r="BN197" s="264">
        <f>IF(ISNUMBER(BN199),BN199-BN190-BN196,IF(ISNUMBER(BN190),-BN196*MAX(0.15,MIN(0.4,IFERROR(BN140+0,0.21))),""))</f>
        <v>6.4038</v>
      </c>
      <c r="BO197" s="264">
        <f>IF(ISNUMBER(BO199),BO199-BO190-BO196,IF(ISNUMBER(BO190),-BO196*MAX(0.15,MIN(0.4,IFERROR(BO140+0,0.21))),""))</f>
        <v>-15.72135</v>
      </c>
      <c r="BP197" s="264">
        <f>IF(ISNUMBER(BP199),BP199-BP190-BP196,IF(ISNUMBER(BP190),-BP196*MAX(0.15,MIN(0.4,IFERROR(BP140+0,0.21))),""))</f>
        <v>7.92825</v>
      </c>
      <c r="BQ197" s="264">
        <f>SUM(BM197:BP197)</f>
        <v>18.23085</v>
      </c>
      <c r="BR197" s="264">
        <f>IF(ISNUMBER(BR199),BR199-BR190-BR196,IF(ISNUMBER(BR190),-BR196*MAX(0.15,MIN(0.4,IFERROR(BR140+0,0.21))),""))</f>
        <v>-4.28205</v>
      </c>
      <c r="BS197" s="264">
        <f>IF(ISNUMBER(BS199),BS199-BS190-BS196,IF(ISNUMBER(BS190),-BS196*MAX(0.15,MIN(0.4,IFERROR(BS140+0,0.21))),""))</f>
        <v>-8.2857</v>
      </c>
      <c r="BT197" s="264">
        <f>IF(ISNUMBER(BT199),BT199-BT190-BT196,IF(ISNUMBER(BT190),-BT196*MAX(0.15,MIN(0.4,IFERROR(BT140+0,0.21))),""))</f>
        <v>-111.668647345316</v>
      </c>
      <c r="BU197" s="264">
        <f>IF(ISNUMBER(BU199),BU199-BU190-BU196,IF(ISNUMBER(BU190),-BU196*MAX(0.15,MIN(0.4,IFERROR(BU140+0,0.21))),""))</f>
        <v>1.4595</v>
      </c>
      <c r="BV197" s="264">
        <f>SUM(BR197:BU197)</f>
        <v>-122.776897345316</v>
      </c>
      <c r="BW197" s="264">
        <f>IF(ISNUMBER(BW199),BW199-BW190-BW196,IF(ISNUMBER(BW190),-BW196*MAX(0.15,MIN(0.4,IFERROR(BW140+0,0.21))),""))</f>
        <v>542.654857817661</v>
      </c>
      <c r="BX197" s="264">
        <f>IF(ISNUMBER(BX199),BX199-BX190-BX196,IF(ISNUMBER(BX190),-BX196*MAX(0.15,MIN(0.4,IFERROR(BX140+0,0.21))),""))</f>
        <v>1.44516715045473</v>
      </c>
      <c r="BY197" s="254">
        <f>-BY196*BY140</f>
        <v>0</v>
      </c>
      <c r="BZ197" s="254">
        <f>-BZ196*BZ140</f>
        <v>0</v>
      </c>
      <c r="CA197" s="254">
        <f>SUM(BW197:BZ197)</f>
        <v>544.100024968116</v>
      </c>
      <c r="CB197" s="254">
        <f>-CB196*CB140</f>
        <v>0</v>
      </c>
      <c r="CC197" s="254">
        <f>-CC196*CC140</f>
        <v>0</v>
      </c>
      <c r="CD197" s="254">
        <f>-CD196*CD140</f>
        <v>0</v>
      </c>
      <c r="CE197" s="254">
        <f>-CE196*CE140</f>
        <v>0</v>
      </c>
      <c r="CF197" s="254">
        <f>-CF196*CF140</f>
        <v>0</v>
      </c>
      <c r="CG197" s="19" t="inlineStr">
        <is>
          <t>Published periods: company non-GAAP net income − GAAP − pre-tax items. Other periods: pre-tax items × the period effective tax rate bounded to 15–40% (assumption; Netflix gives no tax effect).</t>
        </is>
      </c>
    </row>
    <row r="198" ht="15" customHeight="1" s="251">
      <c r="B198" s="55" t="inlineStr">
        <is>
          <t xml:space="preserve">  = Adjusted net income</t>
        </is>
      </c>
      <c r="C198" s="271">
        <f>IF(ISNUMBER(C197),C190+C196+C197,"")</f>
        <v>56.828</v>
      </c>
      <c r="D198" s="271">
        <f>IF(ISNUMBER(D197),D190+D196+D197,"")</f>
        <v>74.171</v>
      </c>
      <c r="E198" s="271">
        <f>IF(ISNUMBER(E197),E190+E196+E197,"")</f>
        <v>90.705</v>
      </c>
      <c r="F198" s="271">
        <f>IF(ISNUMBER(F197),F190+F196+F197,"")</f>
        <v>123.461</v>
      </c>
      <c r="G198" s="271">
        <f>IF(ISNUMBER(G197),G190+G196+G197,"")</f>
        <v>160.853</v>
      </c>
      <c r="H198" s="271">
        <f>IF(ISNUMBER(H197),H190+H196+H197,"")</f>
        <v>226.126</v>
      </c>
      <c r="I198" s="271">
        <f>IF(ISNUMBER(I197),I190+I196+I197,"")</f>
        <v>17.1520000000002</v>
      </c>
      <c r="J198" s="271">
        <f>IF(ISNUMBER(J197),J190+J196+J197,"")</f>
        <v>18.666</v>
      </c>
      <c r="K198" s="271">
        <f>IF(ISNUMBER(K197),K190+K196+K197,"")</f>
        <v>29.4710000000001</v>
      </c>
      <c r="L198" s="271">
        <f>IF(ISNUMBER(L197),L190+L196+L197,"")</f>
        <v>31.822</v>
      </c>
      <c r="M198" s="271">
        <f>IF(ISNUMBER(M197),M190+M196+M197,"")</f>
        <v>48.421</v>
      </c>
      <c r="N198" s="271">
        <f>IF(ISNUMBER(N197),N190+N196+N197,"")</f>
        <v>128.38</v>
      </c>
      <c r="O198" s="271">
        <f>IF(ISNUMBER(O197),O190+O196+O197,"")</f>
        <v>53.1149999999999</v>
      </c>
      <c r="P198" s="271">
        <f>IF(ISNUMBER(P197),P190+P196+P197,"")</f>
        <v>71.0179999999999</v>
      </c>
      <c r="Q198" s="271">
        <f>IF(ISNUMBER(Q197),Q190+Q196+Q197,"")</f>
        <v>59.295</v>
      </c>
      <c r="R198" s="271">
        <f>IF(ISNUMBER(R197),R190+R196+R197,"")</f>
        <v>44.759</v>
      </c>
      <c r="S198" s="271">
        <f>IF(ISNUMBER(S197),S190+S196+S197,"")</f>
        <v>228.187</v>
      </c>
      <c r="T198" s="271">
        <f>IF(ISNUMBER(T197),T190+T196+T197,"")</f>
        <v>48.009</v>
      </c>
      <c r="U198" s="271">
        <f>IF(ISNUMBER(U197),U190+U196+U197,"")</f>
        <v>26.335</v>
      </c>
      <c r="V198" s="271">
        <f>IF(ISNUMBER(V197),V190+V196+V197,"")</f>
        <v>29.432</v>
      </c>
      <c r="W198" s="271">
        <f>IF(ISNUMBER(W197),W190+W196+W197,"")</f>
        <v>29.74</v>
      </c>
      <c r="X198" s="271">
        <f>IF(ISNUMBER(X197),X190+X196+X197,"")</f>
        <v>133.516000000001</v>
      </c>
      <c r="Y198" s="271">
        <f>IF(ISNUMBER(Y197),Y190+Y196+Y197,"")</f>
        <v>27.6580000000001</v>
      </c>
      <c r="Z198" s="271">
        <f>IF(ISNUMBER(Z197),Z190+Z196+Z197,"")</f>
        <v>40.7550000000002</v>
      </c>
      <c r="AA198" s="271">
        <f>IF(ISNUMBER(AA197),AA190+AA196+AA197,"")</f>
        <v>51.5170000000001</v>
      </c>
      <c r="AB198" s="271">
        <f>IF(ISNUMBER(AB197),AB190+AB196+AB197,"")</f>
        <v>66.7480000000001</v>
      </c>
      <c r="AC198" s="271">
        <f>IF(ISNUMBER(AC197),AC190+AC196+AC197,"")</f>
        <v>186.678</v>
      </c>
      <c r="AD198" s="271">
        <f>IF(ISNUMBER(AD197),AD190+AD196+AD197,"")</f>
        <v>178.222</v>
      </c>
      <c r="AE198" s="271">
        <f>IF(ISNUMBER(AE197),AE190+AE196+AE197,"")</f>
        <v>120.187</v>
      </c>
      <c r="AF198" s="271">
        <f>IF(ISNUMBER(AF197),AF190+AF196+AF197,"")</f>
        <v>172.7955</v>
      </c>
      <c r="AG198" s="271">
        <f>IF(ISNUMBER(AG197),AG190+AG196+AG197,"")</f>
        <v>207.396</v>
      </c>
      <c r="AH198" s="271">
        <f>IF(ISNUMBER(AH197),AH190+AH196+AH197,"")</f>
        <v>678.6005</v>
      </c>
      <c r="AI198" s="271">
        <f>IF(ISNUMBER(AI197),AI190+AI196+AI197,"")</f>
        <v>325.042</v>
      </c>
      <c r="AJ198" s="271">
        <f>IF(ISNUMBER(AJ197),AJ190+AJ196+AJ197,"")</f>
        <v>311.7505</v>
      </c>
      <c r="AK198" s="271">
        <f>IF(ISNUMBER(AK197),AK190+AK196+AK197,"")</f>
        <v>396.3155</v>
      </c>
      <c r="AL198" s="271">
        <f>IF(ISNUMBER(AL197),AL190+AL196+AL197,"")</f>
        <v>115.27395</v>
      </c>
      <c r="AM198" s="271">
        <f>IF(ISNUMBER(AM197),AM190+AM196+AM197,"")</f>
        <v>1148.38195</v>
      </c>
      <c r="AN198" s="271">
        <f>IF(ISNUMBER(AN197),AN190+AN196+AN197,"")</f>
        <v>295.092</v>
      </c>
      <c r="AO198" s="271">
        <f>IF(ISNUMBER(AO197),AO190+AO196+AO197,"")</f>
        <v>307.4204</v>
      </c>
      <c r="AP198" s="271">
        <f>IF(ISNUMBER(AP197),AP190+AP196+AP197,"")</f>
        <v>552.635463159486</v>
      </c>
      <c r="AQ198" s="271">
        <f>IF(ISNUMBER(AQ197),AQ190+AQ196+AQ197,"")</f>
        <v>690.755</v>
      </c>
      <c r="AR198" s="271">
        <f>IF(ISNUMBER(AR197),AR190+AR196+AR197,"")</f>
        <v>1845.90286315949</v>
      </c>
      <c r="AS198" s="271">
        <f>IF(ISNUMBER(AS197),AS190+AS196+AS197,"")</f>
        <v>629.966</v>
      </c>
      <c r="AT198" s="271">
        <f>IF(ISNUMBER(AT197),AT190+AT196+AT197,"")</f>
        <v>803.064974331838</v>
      </c>
      <c r="AU198" s="271">
        <f>IF(ISNUMBER(AU197),AU190+AU196+AU197,"")</f>
        <v>1001.7909</v>
      </c>
      <c r="AV198" s="271">
        <f>IF(ISNUMBER(AV197),AV190+AV196+AV197,"")</f>
        <v>761.44155</v>
      </c>
      <c r="AW198" s="271">
        <f>IF(ISNUMBER(AW197),AW190+AW196+AW197,"")</f>
        <v>3196.26342433184</v>
      </c>
      <c r="AX198" s="271">
        <f>IF(ISNUMBER(AX197),AX190+AX196+AX197,"")</f>
        <v>1494.20004009827</v>
      </c>
      <c r="AY198" s="271">
        <f>IF(ISNUMBER(AY197),AY190+AY196+AY197,"")</f>
        <v>1406.55831996519</v>
      </c>
      <c r="AZ198" s="271">
        <f>IF(ISNUMBER(AZ197),AZ190+AZ196+AZ197,"")</f>
        <v>1333.0562</v>
      </c>
      <c r="BA198" s="271">
        <f>IF(ISNUMBER(BA197),BA190+BA196+BA197,"")</f>
        <v>519.099550000001</v>
      </c>
      <c r="BB198" s="271">
        <f>IF(ISNUMBER(BB197),BB190+BB196+BB197,"")</f>
        <v>4752.91411006345</v>
      </c>
      <c r="BC198" s="271">
        <f>IF(ISNUMBER(BC197),BC190+BC196+BC197,"")</f>
        <v>1466.87089473363</v>
      </c>
      <c r="BD198" s="271">
        <f>IF(ISNUMBER(BD197),BD190+BD196+BD197,"")</f>
        <v>1309.61495</v>
      </c>
      <c r="BE198" s="271">
        <f>IF(ISNUMBER(BE197),BE190+BE196+BE197,"")</f>
        <v>1102.0527</v>
      </c>
      <c r="BF198" s="271">
        <f>IF(ISNUMBER(BF197),BF190+BF196+BF197,"")</f>
        <v>447.71285</v>
      </c>
      <c r="BG198" s="271">
        <f>IF(ISNUMBER(BG197),BG190+BG196+BG197,"")</f>
        <v>4326.25139473363</v>
      </c>
      <c r="BH198" s="271">
        <f>IF(ISNUMBER(BH197),BH190+BH196+BH197,"")</f>
        <v>1373.67335</v>
      </c>
      <c r="BI198" s="271">
        <f>IF(ISNUMBER(BI197),BI190+BI196+BI197,"")</f>
        <v>1512.2192</v>
      </c>
      <c r="BJ198" s="271">
        <f>IF(ISNUMBER(BJ197),BJ190+BJ196+BJ197,"")</f>
        <v>1530.6457</v>
      </c>
      <c r="BK198" s="271">
        <f>IF(ISNUMBER(BK197),BK190+BK196+BK197,"")</f>
        <v>1133.36229551714</v>
      </c>
      <c r="BL198" s="271">
        <f>IF(ISNUMBER(BL197),BL190+BL196+BL197,"")</f>
        <v>5549.90054551714</v>
      </c>
      <c r="BM198" s="271">
        <f>IF(ISNUMBER(BM197),BM190+BM196+BM197,"")</f>
        <v>2221.02815</v>
      </c>
      <c r="BN198" s="271">
        <f>IF(ISNUMBER(BN197),BN190+BN196+BN197,"")</f>
        <v>2111.0178</v>
      </c>
      <c r="BO198" s="271">
        <f>IF(ISNUMBER(BO197),BO190+BO196+BO197,"")</f>
        <v>2452.59665</v>
      </c>
      <c r="BP198" s="271">
        <f>IF(ISNUMBER(BP197),BP190+BP196+BP197,"")</f>
        <v>1823.68025</v>
      </c>
      <c r="BQ198" s="271">
        <f>IF(ISNUMBER(BQ197),BQ190+BQ196+BQ197,"")</f>
        <v>8608.32285</v>
      </c>
      <c r="BR198" s="271">
        <f>IF(ISNUMBER(BR197),BR190+BR196+BR197,"")</f>
        <v>2914.61595</v>
      </c>
      <c r="BS198" s="271">
        <f>IF(ISNUMBER(BS197),BS190+BS196+BS197,"")</f>
        <v>3172.3653</v>
      </c>
      <c r="BT198" s="271">
        <f>IF(ISNUMBER(BT197),BT190+BT196+BT197,"")</f>
        <v>3052.54035265468</v>
      </c>
      <c r="BU198" s="271">
        <f>IF(ISNUMBER(BU197),BU190+BU196+BU197,"")</f>
        <v>2410.2505</v>
      </c>
      <c r="BV198" s="271">
        <f>IF(ISNUMBER(BV197),BV190+BV196+BV197,"")</f>
        <v>11549.7721026547</v>
      </c>
      <c r="BW198" s="271">
        <f>IF(ISNUMBER(BW197),BW190+BW196+BW197,"")</f>
        <v>3015.33585781766</v>
      </c>
      <c r="BX198" s="271">
        <f>IF(ISNUMBER(BX197),BX190+BX196+BX197,"")</f>
        <v>3394.04616715045</v>
      </c>
      <c r="BY198" s="271">
        <f>IF(ISNUMBER(BY197),BY190+BY196+BY197,"")</f>
        <v>3452.3242</v>
      </c>
      <c r="BZ198" s="271">
        <f>IF(ISNUMBER(BZ197),BZ190+BZ196+BZ197,"")</f>
        <v>2984.183955</v>
      </c>
      <c r="CA198" s="271">
        <f>IF(ISNUMBER(CA197),CA190+CA196+CA197,"")</f>
        <v>12845.8901799681</v>
      </c>
      <c r="CB198" s="271">
        <f>IF(ISNUMBER(CB197),CB190+CB196+CB197,"")</f>
        <v>15315.1314271673</v>
      </c>
      <c r="CC198" s="271">
        <f>IF(ISNUMBER(CC197),CC190+CC196+CC197,"")</f>
        <v>17591.8898783329</v>
      </c>
      <c r="CD198" s="271">
        <f>IF(ISNUMBER(CD197),CD190+CD196+CD197,"")</f>
        <v>19974.2603364452</v>
      </c>
      <c r="CE198" s="271">
        <f>IF(ISNUMBER(CE197),CE190+CE196+CE197,"")</f>
        <v>22165.7442990931</v>
      </c>
      <c r="CF198" s="271">
        <f>IF(ISNUMBER(CF197),CF190+CF196+CF197,"")</f>
        <v>24404.2717007181</v>
      </c>
      <c r="CG198" s="153" t="n"/>
      <c r="CI198" s="20">
        <f>IFERROR((CF198/CA198)^(1/5)-1,"n/m")</f>
        <v>0.136947286037094</v>
      </c>
      <c r="CJ198" s="20">
        <f>IFERROR((BV198/AW198)^(1/5)-1,"n/m")</f>
        <v>0.292963216952148</v>
      </c>
      <c r="CK198" s="20">
        <f>IFERROR((BV198/X198)^(1/10)-1,"n/m")</f>
        <v>0.562082655317227</v>
      </c>
      <c r="CL198" s="20">
        <f>IFERROR((BV198/C198)^(1/19)-1,"n/m")</f>
        <v>0.322739325390253</v>
      </c>
    </row>
    <row r="199" ht="15" customHeight="1" s="251">
      <c r="B199" s="156" t="inlineStr">
        <is>
          <t xml:space="preserve">  Company-published non-GAAP net income</t>
        </is>
      </c>
      <c r="C199" s="253" t="n">
        <v>56.828</v>
      </c>
      <c r="D199" s="253" t="n">
        <v>74.17100000000001</v>
      </c>
      <c r="E199" s="253" t="n">
        <v>90.705</v>
      </c>
      <c r="F199" s="253" t="n">
        <v>123.461</v>
      </c>
      <c r="G199" s="34" t="n"/>
      <c r="H199" s="34" t="n"/>
      <c r="I199" s="34" t="n"/>
      <c r="J199" s="253" t="n">
        <v>18.666</v>
      </c>
      <c r="K199" s="34" t="n"/>
      <c r="L199" s="34" t="n"/>
      <c r="M199" s="34" t="n"/>
      <c r="N199" s="34" t="n"/>
      <c r="O199" s="34" t="n"/>
      <c r="P199" s="34" t="n"/>
      <c r="Q199" s="34" t="n"/>
      <c r="R199" s="253" t="n">
        <v>44.759</v>
      </c>
      <c r="S199" s="34" t="n"/>
      <c r="T199" s="253" t="n">
        <v>48.009</v>
      </c>
      <c r="U199" s="34" t="n"/>
      <c r="V199" s="34" t="n"/>
      <c r="W199" s="253" t="n">
        <v>29.74</v>
      </c>
      <c r="X199" s="34" t="n"/>
      <c r="Y199" s="34" t="n"/>
      <c r="Z199" s="34" t="n"/>
      <c r="AA199" s="34" t="n"/>
      <c r="AB199" s="34" t="n"/>
      <c r="AC199" s="34" t="n"/>
      <c r="AD199" s="34" t="n"/>
      <c r="AE199" s="34" t="n"/>
      <c r="AF199" s="34" t="n"/>
      <c r="AG199" s="34" t="n"/>
      <c r="AH199" s="34" t="n"/>
      <c r="AI199" s="34" t="n"/>
      <c r="AJ199" s="34" t="n"/>
      <c r="AK199" s="34" t="n"/>
      <c r="AL199" s="34" t="n"/>
      <c r="AM199" s="34" t="n"/>
      <c r="AN199" s="34" t="n"/>
      <c r="AO199" s="34" t="n"/>
      <c r="AP199" s="34" t="n"/>
      <c r="AQ199" s="34" t="n"/>
      <c r="AR199" s="34" t="n"/>
      <c r="AS199" s="34" t="n"/>
      <c r="AT199" s="34" t="n"/>
      <c r="AU199" s="34" t="n"/>
      <c r="AV199" s="34" t="n"/>
      <c r="AW199" s="34" t="n"/>
      <c r="AX199" s="34" t="n"/>
      <c r="AY199" s="34" t="n"/>
      <c r="AZ199" s="34" t="n"/>
      <c r="BA199" s="34" t="n"/>
      <c r="BB199" s="34" t="n"/>
      <c r="BC199" s="34" t="n"/>
      <c r="BD199" s="34" t="n"/>
      <c r="BE199" s="34" t="n"/>
      <c r="BF199" s="34" t="n"/>
      <c r="BG199" s="34" t="n"/>
      <c r="BH199" s="34" t="n"/>
      <c r="BI199" s="34" t="n"/>
      <c r="BJ199" s="34" t="n"/>
      <c r="BK199" s="34" t="n"/>
      <c r="BL199" s="34" t="n"/>
      <c r="BM199" s="34" t="n"/>
      <c r="BN199" s="34" t="n"/>
      <c r="BO199" s="34" t="n"/>
      <c r="BP199" s="34" t="n"/>
      <c r="BQ199" s="34" t="n"/>
      <c r="BR199" s="34" t="n"/>
      <c r="BS199" s="34" t="n"/>
      <c r="BT199" s="34" t="n"/>
      <c r="BU199" s="34" t="n"/>
      <c r="BV199" s="34" t="n"/>
      <c r="BW199" s="34" t="n"/>
      <c r="BX199" s="34" t="n"/>
      <c r="BY199" s="153" t="n"/>
      <c r="BZ199" s="153" t="n"/>
      <c r="CA199" s="153" t="n"/>
      <c r="CB199" s="153" t="n"/>
      <c r="CC199" s="153" t="n"/>
      <c r="CD199" s="153" t="n"/>
      <c r="CE199" s="153" t="n"/>
      <c r="CF199" s="153" t="n"/>
      <c r="CG199" s="153" t="n"/>
    </row>
    <row r="200" ht="15" customHeight="1" s="251">
      <c r="B200" s="25" t="inlineStr">
        <is>
          <t xml:space="preserve">  Weighted-average diluted shares (m)</t>
        </is>
      </c>
      <c r="C200" s="264">
        <f>IF(ISNUMBER(C148),C148,"")</f>
        <v>4835.25</v>
      </c>
      <c r="D200" s="264">
        <f>IF(ISNUMBER(D148),D148,"")</f>
        <v>4823.14</v>
      </c>
      <c r="E200" s="264">
        <f>IF(ISNUMBER(E148),E148,"")</f>
        <v>4398.52</v>
      </c>
      <c r="F200" s="264">
        <f>IF(ISNUMBER(F148),F148,"")</f>
        <v>4089.12</v>
      </c>
      <c r="G200" s="264">
        <f>IF(ISNUMBER(G148),G148,"")</f>
        <v>3801.28</v>
      </c>
      <c r="H200" s="264">
        <f>IF(ISNUMBER(H148),H148,"")</f>
        <v>3805.83</v>
      </c>
      <c r="I200" s="264">
        <f>IF(ISNUMBER(I148),I148,"")</f>
        <v>4123.28</v>
      </c>
      <c r="J200" s="264">
        <f>IF(ISNUMBER(J148),J148,"")</f>
        <v>4210.22</v>
      </c>
      <c r="K200" s="264">
        <f>IF(ISNUMBER(K148),K148,"")</f>
        <v>4241.3</v>
      </c>
      <c r="L200" s="264">
        <f>IF(ISNUMBER(L148),L148,"")</f>
        <v>4269.3</v>
      </c>
      <c r="M200" s="264">
        <f>IF(ISNUMBER(M148),M148,"")</f>
        <v>4291.28</v>
      </c>
      <c r="N200" s="264">
        <f>IF(ISNUMBER(N148),N148,"")</f>
        <v>4253.27</v>
      </c>
      <c r="O200" s="264">
        <f>IF(ISNUMBER(O148),O148,"")</f>
        <v>4308.36</v>
      </c>
      <c r="P200" s="264">
        <f>IF(ISNUMBER(P148),P148,"")</f>
        <v>4314.38</v>
      </c>
      <c r="Q200" s="264">
        <f>IF(ISNUMBER(Q148),Q148,"")</f>
        <v>4327.4</v>
      </c>
      <c r="R200" s="264">
        <f>IF(ISNUMBER(R148),R148,"")</f>
        <v>4325.16</v>
      </c>
      <c r="S200" s="264">
        <f>IF(ISNUMBER(S148),S148,"")</f>
        <v>4318.93</v>
      </c>
      <c r="T200" s="264">
        <f>IF(ISNUMBER(T148),T148,"")</f>
        <v>4338.11</v>
      </c>
      <c r="U200" s="264">
        <f>IF(ISNUMBER(U148),U148,"")</f>
        <v>4360.97</v>
      </c>
      <c r="V200" s="264">
        <f>IF(ISNUMBER(V148),V148,"")</f>
        <v>4376.06</v>
      </c>
      <c r="W200" s="264">
        <f>IF(ISNUMBER(W148),W148,"")</f>
        <v>4382.57</v>
      </c>
      <c r="X200" s="264">
        <f>IF(ISNUMBER(X148),X148,"")</f>
        <v>4364.56</v>
      </c>
      <c r="Y200" s="264">
        <f>IF(ISNUMBER(Y148),Y148,"")</f>
        <v>4379.93</v>
      </c>
      <c r="Z200" s="264">
        <f>IF(ISNUMBER(Z148),Z148,"")</f>
        <v>4381.54</v>
      </c>
      <c r="AA200" s="264">
        <f>IF(ISNUMBER(AA148),AA148,"")</f>
        <v>4383.89</v>
      </c>
      <c r="AB200" s="264">
        <f>IF(ISNUMBER(AB148),AB148,"")</f>
        <v>4400.63</v>
      </c>
      <c r="AC200" s="264">
        <f>IF(ISNUMBER(AC148),AC148,"")</f>
        <v>4386.52</v>
      </c>
      <c r="AD200" s="264">
        <f>IF(ISNUMBER(AD148),AD148,"")</f>
        <v>4454.58</v>
      </c>
      <c r="AE200" s="264">
        <f>IF(ISNUMBER(AE148),AE148,"")</f>
        <v>4462.62</v>
      </c>
      <c r="AF200" s="264">
        <f>IF(ISNUMBER(AF148),AF148,"")</f>
        <v>4473.62</v>
      </c>
      <c r="AG200" s="264">
        <f>IF(ISNUMBER(AG148),AG148,"")</f>
        <v>4481.42</v>
      </c>
      <c r="AH200" s="264">
        <f>IF(ISNUMBER(AH148),AH148,"")</f>
        <v>4468.14</v>
      </c>
      <c r="AI200" s="264">
        <f>IF(ISNUMBER(AI148),AI148,"")</f>
        <v>4503.59</v>
      </c>
      <c r="AJ200" s="264">
        <f>IF(ISNUMBER(AJ148),AJ148,"")</f>
        <v>4515.52</v>
      </c>
      <c r="AK200" s="264">
        <f>IF(ISNUMBER(AK148),AK148,"")</f>
        <v>4519.19</v>
      </c>
      <c r="AL200" s="264">
        <f>IF(ISNUMBER(AL148),AL148,"")</f>
        <v>4511.16</v>
      </c>
      <c r="AM200" s="264">
        <f>IF(ISNUMBER(AM148),AM148,"")</f>
        <v>4512.44</v>
      </c>
      <c r="AN200" s="264">
        <f>IF(ISNUMBER(AN148),AN148,"")</f>
        <v>4519.22</v>
      </c>
      <c r="AO200" s="264">
        <f>IF(ISNUMBER(AO148),AO148,"")</f>
        <v>4521.95</v>
      </c>
      <c r="AP200" s="264">
        <f>IF(ISNUMBER(AP148),AP148,"")</f>
        <v>4515.52</v>
      </c>
      <c r="AQ200" s="264">
        <f>IF(ISNUMBER(AQ148),AQ148,"")</f>
        <v>4513.67</v>
      </c>
      <c r="AR200" s="264">
        <f>IF(ISNUMBER(AR148),AR148,"")</f>
        <v>4517.65</v>
      </c>
      <c r="AS200" s="264">
        <f>IF(ISNUMBER(AS148),AS148,"")</f>
        <v>4524.94</v>
      </c>
      <c r="AT200" s="264">
        <f>IF(ISNUMBER(AT148),AT148,"")</f>
        <v>4539.45</v>
      </c>
      <c r="AU200" s="264">
        <f>IF(ISNUMBER(AU148),AU148,"")</f>
        <v>4550.88</v>
      </c>
      <c r="AV200" s="264">
        <f>IF(ISNUMBER(AV148),AV148,"")</f>
        <v>4552.83</v>
      </c>
      <c r="AW200" s="264">
        <f>IF(ISNUMBER(AW148),AW148,"")</f>
        <v>4542.08</v>
      </c>
      <c r="AX200" s="264">
        <f>IF(ISNUMBER(AX148),AX148,"")</f>
        <v>4556.41</v>
      </c>
      <c r="AY200" s="264">
        <f>IF(ISNUMBER(AY148),AY148,"")</f>
        <v>4551.29</v>
      </c>
      <c r="AZ200" s="264">
        <f>IF(ISNUMBER(AZ148),AZ148,"")</f>
        <v>4549.25</v>
      </c>
      <c r="BA200" s="264">
        <f>IF(ISNUMBER(BA148),BA148,"")</f>
        <v>4557.95</v>
      </c>
      <c r="BB200" s="264">
        <f>IF(ISNUMBER(BB148),BB148,"")</f>
        <v>4553.72</v>
      </c>
      <c r="BC200" s="264">
        <f>IF(ISNUMBER(BC148),BC148,"")</f>
        <v>4529.84</v>
      </c>
      <c r="BD200" s="264">
        <f>IF(ISNUMBER(BD148),BD148,"")</f>
        <v>4501.69</v>
      </c>
      <c r="BE200" s="264">
        <f>IF(ISNUMBER(BE148),BE148,"")</f>
        <v>4503.44</v>
      </c>
      <c r="BF200" s="264">
        <f>IF(ISNUMBER(BF148),BF148,"")</f>
        <v>4516.49</v>
      </c>
      <c r="BG200" s="264">
        <f>IF(ISNUMBER(BG148),BG148,"")</f>
        <v>4512.9</v>
      </c>
      <c r="BH200" s="264">
        <f>IF(ISNUMBER(BH148),BH148,"")</f>
        <v>4524.17</v>
      </c>
      <c r="BI200" s="264">
        <f>IF(ISNUMBER(BI148),BI148,"")</f>
        <v>4515.72</v>
      </c>
      <c r="BJ200" s="264">
        <f>IF(ISNUMBER(BJ148),BJ148,"")</f>
        <v>4500.11</v>
      </c>
      <c r="BK200" s="264">
        <f>IF(ISNUMBER(BK148),BK148,"")</f>
        <v>4442.92</v>
      </c>
      <c r="BL200" s="264">
        <f>IF(ISNUMBER(BL148),BL148,"")</f>
        <v>4494.98</v>
      </c>
      <c r="BM200" s="264">
        <f>IF(ISNUMBER(BM148),BM148,"")</f>
        <v>4416.54</v>
      </c>
      <c r="BN200" s="264">
        <f>IF(ISNUMBER(BN148),BN148,"")</f>
        <v>4397.39</v>
      </c>
      <c r="BO200" s="264">
        <f>IF(ISNUMBER(BO148),BO148,"")</f>
        <v>4378.98</v>
      </c>
      <c r="BP200" s="264">
        <f>IF(ISNUMBER(BP148),BP148,"")</f>
        <v>4377.86</v>
      </c>
      <c r="BQ200" s="264">
        <f>IF(ISNUMBER(BQ148),BQ148,"")</f>
        <v>4392.61</v>
      </c>
      <c r="BR200" s="264">
        <f>IF(ISNUMBER(BR148),BR148,"")</f>
        <v>4369.62</v>
      </c>
      <c r="BS200" s="264">
        <f>IF(ISNUMBER(BS148),BS148,"")</f>
        <v>4348.83</v>
      </c>
      <c r="BT200" s="264">
        <f>IF(ISNUMBER(BT148),BT148,"")</f>
        <v>4340.39</v>
      </c>
      <c r="BU200" s="264">
        <f>IF(ISNUMBER(BU148),BU148,"")</f>
        <v>4317.144</v>
      </c>
      <c r="BV200" s="264">
        <f>IF(ISNUMBER(BV148),BV148,"")</f>
        <v>4343.863</v>
      </c>
      <c r="BW200" s="264">
        <f>IF(ISNUMBER(BW148),BW148,"")</f>
        <v>4298.437</v>
      </c>
      <c r="BX200" s="264">
        <f>IF(ISNUMBER(BX148),BX148,"")</f>
        <v>4261.3</v>
      </c>
      <c r="BY200" s="254">
        <f>IF(ISNUMBER(BY148),BY148,"")</f>
        <v>4213.04307004762</v>
      </c>
      <c r="BZ200" s="254">
        <f>IF(ISNUMBER(BZ148),BZ148,"")</f>
        <v>4167.25585814286</v>
      </c>
      <c r="CA200" s="254">
        <f>IF(ISNUMBER(CA148),CA148,"")</f>
        <v>4235.00898204762</v>
      </c>
      <c r="CB200" s="254">
        <f>IF(ISNUMBER(CB148),CB148,"")</f>
        <v>4063.41197249018</v>
      </c>
      <c r="CC200" s="254">
        <f>IF(ISNUMBER(CC148),CC148,"")</f>
        <v>3891.55333534882</v>
      </c>
      <c r="CD200" s="254">
        <f>IF(ISNUMBER(CD148),CD148,"")</f>
        <v>3701.94005574409</v>
      </c>
      <c r="CE200" s="254">
        <f>IF(ISNUMBER(CE148),CE148,"")</f>
        <v>3499.20607879558</v>
      </c>
      <c r="CF200" s="254">
        <f>IF(ISNUMBER(CF148),CF148,"")</f>
        <v>3287.08758573296</v>
      </c>
      <c r="CG200" s="19" t="n"/>
    </row>
    <row r="201" ht="15" customHeight="1" s="251">
      <c r="B201" s="55" t="inlineStr">
        <is>
          <t>Adjusted EPS – diluted ($)</t>
        </is>
      </c>
      <c r="C201" s="280">
        <f>IF(AND(ISNUMBER(C198),ISNUMBER(C200)),IFERROR(C198/C200,""),"")</f>
        <v>0.0117528566258208</v>
      </c>
      <c r="D201" s="280">
        <f>IF(AND(ISNUMBER(D198),ISNUMBER(D200)),IFERROR(D198/D200,""),"")</f>
        <v>0.0153781561389468</v>
      </c>
      <c r="E201" s="280">
        <f>IF(AND(ISNUMBER(E198),ISNUMBER(E200)),IFERROR(E198/E200,""),"")</f>
        <v>0.0206217091203405</v>
      </c>
      <c r="F201" s="280">
        <f>IF(AND(ISNUMBER(F198),ISNUMBER(F200)),IFERROR(F198/F200,""),"")</f>
        <v>0.0301925597683609</v>
      </c>
      <c r="G201" s="280">
        <f>IF(AND(ISNUMBER(G198),ISNUMBER(G200)),IFERROR(G198/G200,""),"")</f>
        <v>0.042315483205657</v>
      </c>
      <c r="H201" s="280">
        <f>IF(AND(ISNUMBER(H198),ISNUMBER(H200)),IFERROR(H198/H200,""),"")</f>
        <v>0.0594156859344743</v>
      </c>
      <c r="I201" s="280">
        <f>IF(AND(ISNUMBER(I198),ISNUMBER(I200)),IFERROR(I198/I200,""),"")</f>
        <v>0.00415979511456903</v>
      </c>
      <c r="J201" s="280">
        <f>IF(AND(ISNUMBER(J198),ISNUMBER(J200)),IFERROR(J198/J200,""),"")</f>
        <v>0.00443349753694581</v>
      </c>
      <c r="K201" s="280">
        <f>IF(AND(ISNUMBER(K198),ISNUMBER(K200)),IFERROR(K198/K200,""),"")</f>
        <v>0.00694857708721385</v>
      </c>
      <c r="L201" s="280">
        <f>IF(AND(ISNUMBER(L198),ISNUMBER(L200)),IFERROR(L198/L200,""),"")</f>
        <v>0.00745368093130022</v>
      </c>
      <c r="M201" s="280">
        <f>IF(AND(ISNUMBER(M198),ISNUMBER(M200)),IFERROR(M198/M200,""),"")</f>
        <v>0.0112835797244645</v>
      </c>
      <c r="N201" s="280">
        <f>IF(AND(ISNUMBER(N198),ISNUMBER(N200)),IFERROR(N198/N200,""),"")</f>
        <v>0.0301838350257567</v>
      </c>
      <c r="O201" s="280">
        <f>IF(AND(ISNUMBER(O198),ISNUMBER(O200)),IFERROR(O198/O200,""),"")</f>
        <v>0.0123283569618138</v>
      </c>
      <c r="P201" s="280">
        <f>IF(AND(ISNUMBER(P198),ISNUMBER(P200)),IFERROR(P198/P200,""),"")</f>
        <v>0.0164607660892179</v>
      </c>
      <c r="Q201" s="280">
        <f>IF(AND(ISNUMBER(Q198),ISNUMBER(Q200)),IFERROR(Q198/Q200,""),"")</f>
        <v>0.0137022230438601</v>
      </c>
      <c r="R201" s="280">
        <f>IF(AND(ISNUMBER(R198),ISNUMBER(R200)),IFERROR(R198/R200,""),"")</f>
        <v>0.0103485188987228</v>
      </c>
      <c r="S201" s="280">
        <f>IF(AND(ISNUMBER(S198),ISNUMBER(S200)),IFERROR(S198/S200,""),"")</f>
        <v>0.0528341510513019</v>
      </c>
      <c r="T201" s="280">
        <f>IF(AND(ISNUMBER(T198),ISNUMBER(T200)),IFERROR(T198/T200,""),"")</f>
        <v>0.0110668009801503</v>
      </c>
      <c r="U201" s="280">
        <f>IF(AND(ISNUMBER(U198),ISNUMBER(U200)),IFERROR(U198/U200,""),"")</f>
        <v>0.00603879412149132</v>
      </c>
      <c r="V201" s="280">
        <f>IF(AND(ISNUMBER(V198),ISNUMBER(V200)),IFERROR(V198/V200,""),"")</f>
        <v>0.00672568474838096</v>
      </c>
      <c r="W201" s="280">
        <f>IF(AND(ISNUMBER(W198),ISNUMBER(W200)),IFERROR(W198/W200,""),"")</f>
        <v>0.00678597261424233</v>
      </c>
      <c r="X201" s="280">
        <f>IF(AND(ISNUMBER(X198),ISNUMBER(X200)),IFERROR(X198/X200,""),"")</f>
        <v>0.0305909415840316</v>
      </c>
      <c r="Y201" s="280">
        <f>IF(AND(ISNUMBER(Y198),ISNUMBER(Y200)),IFERROR(Y198/Y200,""),"")</f>
        <v>0.00631471279221361</v>
      </c>
      <c r="Z201" s="280">
        <f>IF(AND(ISNUMBER(Z198),ISNUMBER(Z200)),IFERROR(Z198/Z200,""),"")</f>
        <v>0.0093015241216559</v>
      </c>
      <c r="AA201" s="280">
        <f>IF(AND(ISNUMBER(AA198),ISNUMBER(AA200)),IFERROR(AA198/AA200,""),"")</f>
        <v>0.0117514353690444</v>
      </c>
      <c r="AB201" s="280">
        <f>IF(AND(ISNUMBER(AB198),ISNUMBER(AB200)),IFERROR(AB198/AB200,""),"")</f>
        <v>0.0151678282427743</v>
      </c>
      <c r="AC201" s="280">
        <f>IF(AND(ISNUMBER(AC198),ISNUMBER(AC200)),IFERROR(AC198/AC200,""),"")</f>
        <v>0.0425571979610261</v>
      </c>
      <c r="AD201" s="280">
        <f>IF(AND(ISNUMBER(AD198),ISNUMBER(AD200)),IFERROR(AD198/AD200,""),"")</f>
        <v>0.0400087101365337</v>
      </c>
      <c r="AE201" s="280">
        <f>IF(AND(ISNUMBER(AE198),ISNUMBER(AE200)),IFERROR(AE198/AE200,""),"")</f>
        <v>0.0269319368442753</v>
      </c>
      <c r="AF201" s="280">
        <f>IF(AND(ISNUMBER(AF198),ISNUMBER(AF200)),IFERROR(AF198/AF200,""),"")</f>
        <v>0.0386254308591252</v>
      </c>
      <c r="AG201" s="280">
        <f>IF(AND(ISNUMBER(AG198),ISNUMBER(AG200)),IFERROR(AG198/AG200,""),"")</f>
        <v>0.046279081184089</v>
      </c>
      <c r="AH201" s="280">
        <f>IF(AND(ISNUMBER(AH198),ISNUMBER(AH200)),IFERROR(AH198/AH200,""),"")</f>
        <v>0.15187538886427</v>
      </c>
      <c r="AI201" s="280">
        <f>IF(AND(ISNUMBER(AI198),ISNUMBER(AI200)),IFERROR(AI198/AI200,""),"")</f>
        <v>0.072173976760762</v>
      </c>
      <c r="AJ201" s="280">
        <f>IF(AND(ISNUMBER(AJ198),ISNUMBER(AJ200)),IFERROR(AJ198/AJ200,""),"")</f>
        <v>0.0690397783643966</v>
      </c>
      <c r="AK201" s="280">
        <f>IF(AND(ISNUMBER(AK198),ISNUMBER(AK200)),IFERROR(AK198/AK200,""),"")</f>
        <v>0.0876961358119485</v>
      </c>
      <c r="AL201" s="280">
        <f>IF(AND(ISNUMBER(AL198),ISNUMBER(AL200)),IFERROR(AL198/AL200,""),"")</f>
        <v>0.0255530617402177</v>
      </c>
      <c r="AM201" s="280">
        <f>IF(AND(ISNUMBER(AM198),ISNUMBER(AM200)),IFERROR(AM198/AM200,""),"")</f>
        <v>0.254492458625489</v>
      </c>
      <c r="AN201" s="280">
        <f>IF(AND(ISNUMBER(AN198),ISNUMBER(AN200)),IFERROR(AN198/AN200,""),"")</f>
        <v>0.0652971087931103</v>
      </c>
      <c r="AO201" s="280">
        <f>IF(AND(ISNUMBER(AO198),ISNUMBER(AO200)),IFERROR(AO198/AO200,""),"")</f>
        <v>0.0679840334369022</v>
      </c>
      <c r="AP201" s="280">
        <f>IF(AND(ISNUMBER(AP198),ISNUMBER(AP200)),IFERROR(AP198/AP200,""),"")</f>
        <v>0.122385785725561</v>
      </c>
      <c r="AQ201" s="280">
        <f>IF(AND(ISNUMBER(AQ198),ISNUMBER(AQ200)),IFERROR(AQ198/AQ200,""),"")</f>
        <v>0.153036221079521</v>
      </c>
      <c r="AR201" s="280">
        <f>IF(AND(ISNUMBER(AR198),ISNUMBER(AR200)),IFERROR(AR198/AR200,""),"")</f>
        <v>0.408598024007944</v>
      </c>
      <c r="AS201" s="280">
        <f>IF(AND(ISNUMBER(AS198),ISNUMBER(AS200)),IFERROR(AS198/AS200,""),"")</f>
        <v>0.139220851547203</v>
      </c>
      <c r="AT201" s="280">
        <f>IF(AND(ISNUMBER(AT198),ISNUMBER(AT200)),IFERROR(AT198/AT200,""),"")</f>
        <v>0.17690798980754</v>
      </c>
      <c r="AU201" s="280">
        <f>IF(AND(ISNUMBER(AU198),ISNUMBER(AU200)),IFERROR(AU198/AU200,""),"")</f>
        <v>0.220131249340787</v>
      </c>
      <c r="AV201" s="280">
        <f>IF(AND(ISNUMBER(AV198),ISNUMBER(AV200)),IFERROR(AV198/AV200,""),"")</f>
        <v>0.167245768016816</v>
      </c>
      <c r="AW201" s="280">
        <f>IF(AND(ISNUMBER(AW198),ISNUMBER(AW200)),IFERROR(AW198/AW200,""),"")</f>
        <v>0.703700380515499</v>
      </c>
      <c r="AX201" s="280">
        <f>IF(AND(ISNUMBER(AX198),ISNUMBER(AX200)),IFERROR(AX198/AX200,""),"")</f>
        <v>0.327933623202975</v>
      </c>
      <c r="AY201" s="280">
        <f>IF(AND(ISNUMBER(AY198),ISNUMBER(AY200)),IFERROR(AY198/AY200,""),"")</f>
        <v>0.30904607703864</v>
      </c>
      <c r="AZ201" s="280">
        <f>IF(AND(ISNUMBER(AZ198),ISNUMBER(AZ200)),IFERROR(AZ198/AZ200,""),"")</f>
        <v>0.293027685882288</v>
      </c>
      <c r="BA201" s="280">
        <f>IF(AND(ISNUMBER(BA198),ISNUMBER(BA200)),IFERROR(BA198/BA200,""),"")</f>
        <v>0.113888820632083</v>
      </c>
      <c r="BB201" s="280">
        <f>IF(AND(ISNUMBER(BB198),ISNUMBER(BB200)),IFERROR(BB198/BB200,""),"")</f>
        <v>1.04374316164882</v>
      </c>
      <c r="BC201" s="280">
        <f>IF(AND(ISNUMBER(BC198),ISNUMBER(BC200)),IFERROR(BC198/BC200,""),"")</f>
        <v>0.323823997036016</v>
      </c>
      <c r="BD201" s="280">
        <f>IF(AND(ISNUMBER(BD198),ISNUMBER(BD200)),IFERROR(BD198/BD200,""),"")</f>
        <v>0.290916289215828</v>
      </c>
      <c r="BE201" s="280">
        <f>IF(AND(ISNUMBER(BE198),ISNUMBER(BE200)),IFERROR(BE198/BE200,""),"")</f>
        <v>0.244713530101434</v>
      </c>
      <c r="BF201" s="280">
        <f>IF(AND(ISNUMBER(BF198),ISNUMBER(BF200)),IFERROR(BF198/BF200,""),"")</f>
        <v>0.099128493586834</v>
      </c>
      <c r="BG201" s="280">
        <f>IF(AND(ISNUMBER(BG198),ISNUMBER(BG200)),IFERROR(BG198/BG200,""),"")</f>
        <v>0.958641094359198</v>
      </c>
      <c r="BH201" s="280">
        <f>IF(AND(ISNUMBER(BH198),ISNUMBER(BH200)),IFERROR(BH198/BH200,""),"")</f>
        <v>0.303629914437344</v>
      </c>
      <c r="BI201" s="280">
        <f>IF(AND(ISNUMBER(BI198),ISNUMBER(BI200)),IFERROR(BI198/BI200,""),"")</f>
        <v>0.334878867600294</v>
      </c>
      <c r="BJ201" s="280">
        <f>IF(AND(ISNUMBER(BJ198),ISNUMBER(BJ200)),IFERROR(BJ198/BJ200,""),"")</f>
        <v>0.340135174473513</v>
      </c>
      <c r="BK201" s="280">
        <f>IF(AND(ISNUMBER(BK198),ISNUMBER(BK200)),IFERROR(BK198/BK200,""),"")</f>
        <v>0.255094013738068</v>
      </c>
      <c r="BL201" s="280">
        <f>IF(AND(ISNUMBER(BL198),ISNUMBER(BL200)),IFERROR(BL198/BL200,""),"")</f>
        <v>1.23468859605986</v>
      </c>
      <c r="BM201" s="280">
        <f>IF(AND(ISNUMBER(BM198),ISNUMBER(BM200)),IFERROR(BM198/BM200,""),"")</f>
        <v>0.502888720582175</v>
      </c>
      <c r="BN201" s="280">
        <f>IF(AND(ISNUMBER(BN198),ISNUMBER(BN200)),IFERROR(BN198/BN200,""),"")</f>
        <v>0.480061536502334</v>
      </c>
      <c r="BO201" s="280">
        <f>IF(AND(ISNUMBER(BO198),ISNUMBER(BO200)),IFERROR(BO198/BO200,""),"")</f>
        <v>0.560084003580743</v>
      </c>
      <c r="BP201" s="280">
        <f>IF(AND(ISNUMBER(BP198),ISNUMBER(BP200)),IFERROR(BP198/BP200,""),"")</f>
        <v>0.416568882970219</v>
      </c>
      <c r="BQ201" s="280">
        <f>IF(AND(ISNUMBER(BQ198),ISNUMBER(BQ200)),IFERROR(BQ198/BQ200,""),"")</f>
        <v>1.95972846439816</v>
      </c>
      <c r="BR201" s="280">
        <f>IF(AND(ISNUMBER(BR198),ISNUMBER(BR200)),IFERROR(BR198/BR200,""),"")</f>
        <v>0.667018173204993</v>
      </c>
      <c r="BS201" s="280">
        <f>IF(AND(ISNUMBER(BS198),ISNUMBER(BS200)),IFERROR(BS198/BS200,""),"")</f>
        <v>0.729475583087865</v>
      </c>
      <c r="BT201" s="280">
        <f>IF(AND(ISNUMBER(BT198),ISNUMBER(BT200)),IFERROR(BT198/BT200,""),"")</f>
        <v>0.703287113060044</v>
      </c>
      <c r="BU201" s="280">
        <f>IF(AND(ISNUMBER(BU198),ISNUMBER(BU200)),IFERROR(BU198/BU200,""),"")</f>
        <v>0.558297453131051</v>
      </c>
      <c r="BV201" s="280">
        <f>IF(AND(ISNUMBER(BV198),ISNUMBER(BV200)),IFERROR(BV198/BV200,""),"")</f>
        <v>2.6588711712719</v>
      </c>
      <c r="BW201" s="280">
        <f>IF(AND(ISNUMBER(BW198),ISNUMBER(BW200)),IFERROR(BW198/BW200,""),"")</f>
        <v>0.701495882763354</v>
      </c>
      <c r="BX201" s="280">
        <f>IF(AND(ISNUMBER(BX198),ISNUMBER(BX200)),IFERROR(BX198/BX200,""),"")</f>
        <v>0.796481394680134</v>
      </c>
      <c r="BY201" s="280">
        <f>IF(AND(ISNUMBER(BY198),ISNUMBER(BY200)),IFERROR(BY198/BY200,""),"")</f>
        <v>0.819437196012568</v>
      </c>
      <c r="BZ201" s="280">
        <f>IF(AND(ISNUMBER(BZ198),ISNUMBER(BZ200)),IFERROR(BZ198/BZ200,""),"")</f>
        <v>0.716102887987757</v>
      </c>
      <c r="CA201" s="280">
        <f>IF(AND(ISNUMBER(CA198),ISNUMBER(CA200)),IFERROR(CA198/CA200,""),"")</f>
        <v>3.03326161394755</v>
      </c>
      <c r="CB201" s="280">
        <f>IF(AND(ISNUMBER(CB198),ISNUMBER(CB200)),IFERROR(CB198/CB200,""),"")</f>
        <v>3.76903241188753</v>
      </c>
      <c r="CC201" s="280">
        <f>IF(AND(ISNUMBER(CC198),ISNUMBER(CC200)),IFERROR(CC198/CC200,""),"")</f>
        <v>4.52053161356865</v>
      </c>
      <c r="CD201" s="280">
        <f>IF(AND(ISNUMBER(CD198),ISNUMBER(CD200)),IFERROR(CD198/CD200,""),"")</f>
        <v>5.39561960368652</v>
      </c>
      <c r="CE201" s="280">
        <f>IF(AND(ISNUMBER(CE198),ISNUMBER(CE200)),IFERROR(CE198/CE200,""),"")</f>
        <v>6.33450668522</v>
      </c>
      <c r="CF201" s="280">
        <f>IF(AND(ISNUMBER(CF198),ISNUMBER(CF200)),IFERROR(CF198/CF200,""),"")</f>
        <v>7.424283979119</v>
      </c>
      <c r="CG201" s="19" t="n"/>
      <c r="CI201" s="20">
        <f>IFERROR((CF201/CA201)^(1/5)-1,"n/m")</f>
        <v>0.196048914478698</v>
      </c>
      <c r="CJ201" s="20">
        <f>IFERROR((BV201/AW201)^(1/5)-1,"n/m")</f>
        <v>0.304553522729601</v>
      </c>
      <c r="CK201" s="20">
        <f>IFERROR((BV201/X201)^(1/10)-1,"n/m")</f>
        <v>0.562825342499381</v>
      </c>
      <c r="CL201" s="20">
        <f>IFERROR((BV201/C201)^(1/19)-1,"n/m")</f>
        <v>0.330221268063878</v>
      </c>
    </row>
    <row r="202" ht="15" customHeight="1" s="251">
      <c r="B202" s="156" t="inlineStr">
        <is>
          <t xml:space="preserve">  Company-published non-GAAP EPS – diluted, split-adjusted ($)</t>
        </is>
      </c>
      <c r="C202" s="281" t="n">
        <v>0.011714</v>
      </c>
      <c r="D202" s="281" t="n">
        <v>0.015429</v>
      </c>
      <c r="E202" s="281" t="n">
        <v>0.020571</v>
      </c>
      <c r="F202" s="281" t="n">
        <v>0.030143</v>
      </c>
      <c r="G202" s="27" t="n"/>
      <c r="H202" s="27" t="n"/>
      <c r="I202" s="27" t="n"/>
      <c r="J202" s="281" t="n">
        <v>0.004429</v>
      </c>
      <c r="K202" s="27" t="n"/>
      <c r="L202" s="27" t="n"/>
      <c r="M202" s="27" t="n"/>
      <c r="N202" s="27" t="n"/>
      <c r="O202" s="27" t="n"/>
      <c r="P202" s="27" t="n"/>
      <c r="Q202" s="27" t="n"/>
      <c r="R202" s="281" t="n">
        <v>0.010286</v>
      </c>
      <c r="S202" s="27" t="n"/>
      <c r="T202" s="281" t="n">
        <v>0.011</v>
      </c>
      <c r="U202" s="27" t="n"/>
      <c r="V202" s="27" t="n"/>
      <c r="W202" s="281" t="n">
        <v>0.007</v>
      </c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  <c r="AL202" s="27" t="n"/>
      <c r="AM202" s="27" t="n"/>
      <c r="AN202" s="27" t="n"/>
      <c r="AO202" s="27" t="n"/>
      <c r="AP202" s="27" t="n"/>
      <c r="AQ202" s="27" t="n"/>
      <c r="AR202" s="27" t="n"/>
      <c r="AS202" s="27" t="n"/>
      <c r="AT202" s="27" t="n"/>
      <c r="AU202" s="27" t="n"/>
      <c r="AV202" s="27" t="n"/>
      <c r="AW202" s="27" t="n"/>
      <c r="AX202" s="27" t="n"/>
      <c r="AY202" s="27" t="n"/>
      <c r="AZ202" s="27" t="n"/>
      <c r="BA202" s="27" t="n"/>
      <c r="BB202" s="27" t="n"/>
      <c r="BC202" s="27" t="n"/>
      <c r="BD202" s="27" t="n"/>
      <c r="BE202" s="27" t="n"/>
      <c r="BF202" s="27" t="n"/>
      <c r="BG202" s="27" t="n"/>
      <c r="BH202" s="27" t="n"/>
      <c r="BI202" s="27" t="n"/>
      <c r="BJ202" s="27" t="n"/>
      <c r="BK202" s="27" t="n"/>
      <c r="BL202" s="27" t="n"/>
      <c r="BM202" s="27" t="n"/>
      <c r="BN202" s="27" t="n"/>
      <c r="BO202" s="27" t="n"/>
      <c r="BP202" s="27" t="n"/>
      <c r="BQ202" s="27" t="n"/>
      <c r="BR202" s="27" t="n"/>
      <c r="BS202" s="27" t="n"/>
      <c r="BT202" s="27" t="n"/>
      <c r="BU202" s="27" t="n"/>
      <c r="BV202" s="27" t="n"/>
      <c r="BW202" s="27" t="n"/>
      <c r="BX202" s="27" t="n"/>
      <c r="BY202" s="153" t="n"/>
      <c r="BZ202" s="153" t="n"/>
      <c r="CA202" s="153" t="n"/>
      <c r="CB202" s="153" t="n"/>
      <c r="CC202" s="153" t="n"/>
      <c r="CD202" s="153" t="n"/>
      <c r="CE202" s="153" t="n"/>
      <c r="CF202" s="153" t="n"/>
      <c r="CG202" s="153" t="n"/>
    </row>
    <row r="203" ht="15" customHeight="1" s="251">
      <c r="B203" s="57" t="inlineStr">
        <is>
          <t xml:space="preserve">  Check: model vs company-published non-GAAP EPS (should be 0.00; ±0.005 split rounding)</t>
        </is>
      </c>
      <c r="C203" s="282">
        <f>IF(AND(ISNUMBER(C202),ISNUMBER(C201)),IF(ABS(C201-C202)&lt;=0.0051,0,ROUND(C201-C202,3)),"n/p")</f>
        <v>0</v>
      </c>
      <c r="D203" s="282">
        <f>IF(AND(ISNUMBER(D202),ISNUMBER(D201)),IF(ABS(D201-D202)&lt;=0.0051,0,ROUND(D201-D202,3)),"n/p")</f>
        <v>0</v>
      </c>
      <c r="E203" s="282">
        <f>IF(AND(ISNUMBER(E202),ISNUMBER(E201)),IF(ABS(E201-E202)&lt;=0.0051,0,ROUND(E201-E202,3)),"n/p")</f>
        <v>0</v>
      </c>
      <c r="F203" s="282">
        <f>IF(AND(ISNUMBER(F202),ISNUMBER(F201)),IF(ABS(F201-F202)&lt;=0.0051,0,ROUND(F201-F202,3)),"n/p")</f>
        <v>0</v>
      </c>
      <c r="G203" s="282" t="str">
        <f>IF(AND(ISNUMBER(G202),ISNUMBER(G201)),IF(ABS(G201-G202)&lt;=0.0051,0,ROUND(G201-G202,3)),"n/p")</f>
        <v>n/p</v>
      </c>
      <c r="H203" s="282" t="str">
        <f>IF(AND(ISNUMBER(H202),ISNUMBER(H201)),IF(ABS(H201-H202)&lt;=0.0051,0,ROUND(H201-H202,3)),"n/p")</f>
        <v>n/p</v>
      </c>
      <c r="I203" s="282" t="str">
        <f>IF(AND(ISNUMBER(I202),ISNUMBER(I201)),IF(ABS(I201-I202)&lt;=0.0051,0,ROUND(I201-I202,3)),"n/p")</f>
        <v>n/p</v>
      </c>
      <c r="J203" s="282">
        <f>IF(AND(ISNUMBER(J202),ISNUMBER(J201)),IF(ABS(J201-J202)&lt;=0.0051,0,ROUND(J201-J202,3)),"n/p")</f>
        <v>0</v>
      </c>
      <c r="K203" s="282" t="str">
        <f>IF(AND(ISNUMBER(K202),ISNUMBER(K201)),IF(ABS(K201-K202)&lt;=0.0051,0,ROUND(K201-K202,3)),"n/p")</f>
        <v>n/p</v>
      </c>
      <c r="L203" s="282" t="str">
        <f>IF(AND(ISNUMBER(L202),ISNUMBER(L201)),IF(ABS(L201-L202)&lt;=0.0051,0,ROUND(L201-L202,3)),"n/p")</f>
        <v>n/p</v>
      </c>
      <c r="M203" s="282" t="str">
        <f>IF(AND(ISNUMBER(M202),ISNUMBER(M201)),IF(ABS(M201-M202)&lt;=0.0051,0,ROUND(M201-M202,3)),"n/p")</f>
        <v>n/p</v>
      </c>
      <c r="N203" s="282" t="str">
        <f>IF(AND(ISNUMBER(N202),ISNUMBER(N201)),IF(ABS(N201-N202)&lt;=0.0051,0,ROUND(N201-N202,3)),"n/p")</f>
        <v>n/p</v>
      </c>
      <c r="O203" s="282" t="str">
        <f>IF(AND(ISNUMBER(O202),ISNUMBER(O201)),IF(ABS(O201-O202)&lt;=0.0051,0,ROUND(O201-O202,3)),"n/p")</f>
        <v>n/p</v>
      </c>
      <c r="P203" s="282" t="str">
        <f>IF(AND(ISNUMBER(P202),ISNUMBER(P201)),IF(ABS(P201-P202)&lt;=0.0051,0,ROUND(P201-P202,3)),"n/p")</f>
        <v>n/p</v>
      </c>
      <c r="Q203" s="282" t="str">
        <f>IF(AND(ISNUMBER(Q202),ISNUMBER(Q201)),IF(ABS(Q201-Q202)&lt;=0.0051,0,ROUND(Q201-Q202,3)),"n/p")</f>
        <v>n/p</v>
      </c>
      <c r="R203" s="282">
        <f>IF(AND(ISNUMBER(R202),ISNUMBER(R201)),IF(ABS(R201-R202)&lt;=0.0051,0,ROUND(R201-R202,3)),"n/p")</f>
        <v>0</v>
      </c>
      <c r="S203" s="282" t="str">
        <f>IF(AND(ISNUMBER(S202),ISNUMBER(S201)),IF(ABS(S201-S202)&lt;=0.0051,0,ROUND(S201-S202,3)),"n/p")</f>
        <v>n/p</v>
      </c>
      <c r="T203" s="282">
        <f>IF(AND(ISNUMBER(T202),ISNUMBER(T201)),IF(ABS(T201-T202)&lt;=0.0051,0,ROUND(T201-T202,3)),"n/p")</f>
        <v>0</v>
      </c>
      <c r="U203" s="282" t="str">
        <f>IF(AND(ISNUMBER(U202),ISNUMBER(U201)),IF(ABS(U201-U202)&lt;=0.0051,0,ROUND(U201-U202,3)),"n/p")</f>
        <v>n/p</v>
      </c>
      <c r="V203" s="282" t="str">
        <f>IF(AND(ISNUMBER(V202),ISNUMBER(V201)),IF(ABS(V201-V202)&lt;=0.0051,0,ROUND(V201-V202,3)),"n/p")</f>
        <v>n/p</v>
      </c>
      <c r="W203" s="282">
        <f>IF(AND(ISNUMBER(W202),ISNUMBER(W201)),IF(ABS(W201-W202)&lt;=0.0051,0,ROUND(W201-W202,3)),"n/p")</f>
        <v>0</v>
      </c>
      <c r="X203" s="282" t="str">
        <f>IF(AND(ISNUMBER(X202),ISNUMBER(X201)),IF(ABS(X201-X202)&lt;=0.0051,0,ROUND(X201-X202,3)),"n/p")</f>
        <v>n/p</v>
      </c>
      <c r="Y203" s="282" t="str">
        <f>IF(AND(ISNUMBER(Y202),ISNUMBER(Y201)),IF(ABS(Y201-Y202)&lt;=0.0051,0,ROUND(Y201-Y202,3)),"n/p")</f>
        <v>n/p</v>
      </c>
      <c r="Z203" s="282" t="str">
        <f>IF(AND(ISNUMBER(Z202),ISNUMBER(Z201)),IF(ABS(Z201-Z202)&lt;=0.0051,0,ROUND(Z201-Z202,3)),"n/p")</f>
        <v>n/p</v>
      </c>
      <c r="AA203" s="282" t="str">
        <f>IF(AND(ISNUMBER(AA202),ISNUMBER(AA201)),IF(ABS(AA201-AA202)&lt;=0.0051,0,ROUND(AA201-AA202,3)),"n/p")</f>
        <v>n/p</v>
      </c>
      <c r="AB203" s="282" t="str">
        <f>IF(AND(ISNUMBER(AB202),ISNUMBER(AB201)),IF(ABS(AB201-AB202)&lt;=0.0051,0,ROUND(AB201-AB202,3)),"n/p")</f>
        <v>n/p</v>
      </c>
      <c r="AC203" s="282" t="str">
        <f>IF(AND(ISNUMBER(AC202),ISNUMBER(AC201)),IF(ABS(AC201-AC202)&lt;=0.0051,0,ROUND(AC201-AC202,3)),"n/p")</f>
        <v>n/p</v>
      </c>
      <c r="AD203" s="282" t="str">
        <f>IF(AND(ISNUMBER(AD202),ISNUMBER(AD201)),IF(ABS(AD201-AD202)&lt;=0.0051,0,ROUND(AD201-AD202,3)),"n/p")</f>
        <v>n/p</v>
      </c>
      <c r="AE203" s="282" t="str">
        <f>IF(AND(ISNUMBER(AE202),ISNUMBER(AE201)),IF(ABS(AE201-AE202)&lt;=0.0051,0,ROUND(AE201-AE202,3)),"n/p")</f>
        <v>n/p</v>
      </c>
      <c r="AF203" s="282" t="str">
        <f>IF(AND(ISNUMBER(AF202),ISNUMBER(AF201)),IF(ABS(AF201-AF202)&lt;=0.0051,0,ROUND(AF201-AF202,3)),"n/p")</f>
        <v>n/p</v>
      </c>
      <c r="AG203" s="282" t="str">
        <f>IF(AND(ISNUMBER(AG202),ISNUMBER(AG201)),IF(ABS(AG201-AG202)&lt;=0.0051,0,ROUND(AG201-AG202,3)),"n/p")</f>
        <v>n/p</v>
      </c>
      <c r="AH203" s="282" t="str">
        <f>IF(AND(ISNUMBER(AH202),ISNUMBER(AH201)),IF(ABS(AH201-AH202)&lt;=0.0051,0,ROUND(AH201-AH202,3)),"n/p")</f>
        <v>n/p</v>
      </c>
      <c r="AI203" s="282" t="str">
        <f>IF(AND(ISNUMBER(AI202),ISNUMBER(AI201)),IF(ABS(AI201-AI202)&lt;=0.0051,0,ROUND(AI201-AI202,3)),"n/p")</f>
        <v>n/p</v>
      </c>
      <c r="AJ203" s="282" t="str">
        <f>IF(AND(ISNUMBER(AJ202),ISNUMBER(AJ201)),IF(ABS(AJ201-AJ202)&lt;=0.0051,0,ROUND(AJ201-AJ202,3)),"n/p")</f>
        <v>n/p</v>
      </c>
      <c r="AK203" s="282" t="str">
        <f>IF(AND(ISNUMBER(AK202),ISNUMBER(AK201)),IF(ABS(AK201-AK202)&lt;=0.0051,0,ROUND(AK201-AK202,3)),"n/p")</f>
        <v>n/p</v>
      </c>
      <c r="AL203" s="282" t="str">
        <f>IF(AND(ISNUMBER(AL202),ISNUMBER(AL201)),IF(ABS(AL201-AL202)&lt;=0.0051,0,ROUND(AL201-AL202,3)),"n/p")</f>
        <v>n/p</v>
      </c>
      <c r="AM203" s="282" t="str">
        <f>IF(AND(ISNUMBER(AM202),ISNUMBER(AM201)),IF(ABS(AM201-AM202)&lt;=0.0051,0,ROUND(AM201-AM202,3)),"n/p")</f>
        <v>n/p</v>
      </c>
      <c r="AN203" s="282" t="str">
        <f>IF(AND(ISNUMBER(AN202),ISNUMBER(AN201)),IF(ABS(AN201-AN202)&lt;=0.0051,0,ROUND(AN201-AN202,3)),"n/p")</f>
        <v>n/p</v>
      </c>
      <c r="AO203" s="282" t="str">
        <f>IF(AND(ISNUMBER(AO202),ISNUMBER(AO201)),IF(ABS(AO201-AO202)&lt;=0.0051,0,ROUND(AO201-AO202,3)),"n/p")</f>
        <v>n/p</v>
      </c>
      <c r="AP203" s="282" t="str">
        <f>IF(AND(ISNUMBER(AP202),ISNUMBER(AP201)),IF(ABS(AP201-AP202)&lt;=0.0051,0,ROUND(AP201-AP202,3)),"n/p")</f>
        <v>n/p</v>
      </c>
      <c r="AQ203" s="282" t="str">
        <f>IF(AND(ISNUMBER(AQ202),ISNUMBER(AQ201)),IF(ABS(AQ201-AQ202)&lt;=0.0051,0,ROUND(AQ201-AQ202,3)),"n/p")</f>
        <v>n/p</v>
      </c>
      <c r="AR203" s="282" t="str">
        <f>IF(AND(ISNUMBER(AR202),ISNUMBER(AR201)),IF(ABS(AR201-AR202)&lt;=0.0051,0,ROUND(AR201-AR202,3)),"n/p")</f>
        <v>n/p</v>
      </c>
      <c r="AS203" s="282" t="str">
        <f>IF(AND(ISNUMBER(AS202),ISNUMBER(AS201)),IF(ABS(AS201-AS202)&lt;=0.0051,0,ROUND(AS201-AS202,3)),"n/p")</f>
        <v>n/p</v>
      </c>
      <c r="AT203" s="282" t="str">
        <f>IF(AND(ISNUMBER(AT202),ISNUMBER(AT201)),IF(ABS(AT201-AT202)&lt;=0.0051,0,ROUND(AT201-AT202,3)),"n/p")</f>
        <v>n/p</v>
      </c>
      <c r="AU203" s="282" t="str">
        <f>IF(AND(ISNUMBER(AU202),ISNUMBER(AU201)),IF(ABS(AU201-AU202)&lt;=0.0051,0,ROUND(AU201-AU202,3)),"n/p")</f>
        <v>n/p</v>
      </c>
      <c r="AV203" s="282" t="str">
        <f>IF(AND(ISNUMBER(AV202),ISNUMBER(AV201)),IF(ABS(AV201-AV202)&lt;=0.0051,0,ROUND(AV201-AV202,3)),"n/p")</f>
        <v>n/p</v>
      </c>
      <c r="AW203" s="282" t="str">
        <f>IF(AND(ISNUMBER(AW202),ISNUMBER(AW201)),IF(ABS(AW201-AW202)&lt;=0.0051,0,ROUND(AW201-AW202,3)),"n/p")</f>
        <v>n/p</v>
      </c>
      <c r="AX203" s="282" t="str">
        <f>IF(AND(ISNUMBER(AX202),ISNUMBER(AX201)),IF(ABS(AX201-AX202)&lt;=0.0051,0,ROUND(AX201-AX202,3)),"n/p")</f>
        <v>n/p</v>
      </c>
      <c r="AY203" s="282" t="str">
        <f>IF(AND(ISNUMBER(AY202),ISNUMBER(AY201)),IF(ABS(AY201-AY202)&lt;=0.0051,0,ROUND(AY201-AY202,3)),"n/p")</f>
        <v>n/p</v>
      </c>
      <c r="AZ203" s="282" t="str">
        <f>IF(AND(ISNUMBER(AZ202),ISNUMBER(AZ201)),IF(ABS(AZ201-AZ202)&lt;=0.0051,0,ROUND(AZ201-AZ202,3)),"n/p")</f>
        <v>n/p</v>
      </c>
      <c r="BA203" s="282" t="str">
        <f>IF(AND(ISNUMBER(BA202),ISNUMBER(BA201)),IF(ABS(BA201-BA202)&lt;=0.0051,0,ROUND(BA201-BA202,3)),"n/p")</f>
        <v>n/p</v>
      </c>
      <c r="BB203" s="282" t="str">
        <f>IF(AND(ISNUMBER(BB202),ISNUMBER(BB201)),IF(ABS(BB201-BB202)&lt;=0.0051,0,ROUND(BB201-BB202,3)),"n/p")</f>
        <v>n/p</v>
      </c>
      <c r="BC203" s="282" t="str">
        <f>IF(AND(ISNUMBER(BC202),ISNUMBER(BC201)),IF(ABS(BC201-BC202)&lt;=0.0051,0,ROUND(BC201-BC202,3)),"n/p")</f>
        <v>n/p</v>
      </c>
      <c r="BD203" s="282" t="str">
        <f>IF(AND(ISNUMBER(BD202),ISNUMBER(BD201)),IF(ABS(BD201-BD202)&lt;=0.0051,0,ROUND(BD201-BD202,3)),"n/p")</f>
        <v>n/p</v>
      </c>
      <c r="BE203" s="282" t="str">
        <f>IF(AND(ISNUMBER(BE202),ISNUMBER(BE201)),IF(ABS(BE201-BE202)&lt;=0.0051,0,ROUND(BE201-BE202,3)),"n/p")</f>
        <v>n/p</v>
      </c>
      <c r="BF203" s="282" t="str">
        <f>IF(AND(ISNUMBER(BF202),ISNUMBER(BF201)),IF(ABS(BF201-BF202)&lt;=0.0051,0,ROUND(BF201-BF202,3)),"n/p")</f>
        <v>n/p</v>
      </c>
      <c r="BG203" s="282" t="str">
        <f>IF(AND(ISNUMBER(BG202),ISNUMBER(BG201)),IF(ABS(BG201-BG202)&lt;=0.0051,0,ROUND(BG201-BG202,3)),"n/p")</f>
        <v>n/p</v>
      </c>
      <c r="BH203" s="282" t="str">
        <f>IF(AND(ISNUMBER(BH202),ISNUMBER(BH201)),IF(ABS(BH201-BH202)&lt;=0.0051,0,ROUND(BH201-BH202,3)),"n/p")</f>
        <v>n/p</v>
      </c>
      <c r="BI203" s="282" t="str">
        <f>IF(AND(ISNUMBER(BI202),ISNUMBER(BI201)),IF(ABS(BI201-BI202)&lt;=0.0051,0,ROUND(BI201-BI202,3)),"n/p")</f>
        <v>n/p</v>
      </c>
      <c r="BJ203" s="282" t="str">
        <f>IF(AND(ISNUMBER(BJ202),ISNUMBER(BJ201)),IF(ABS(BJ201-BJ202)&lt;=0.0051,0,ROUND(BJ201-BJ202,3)),"n/p")</f>
        <v>n/p</v>
      </c>
      <c r="BK203" s="282" t="str">
        <f>IF(AND(ISNUMBER(BK202),ISNUMBER(BK201)),IF(ABS(BK201-BK202)&lt;=0.0051,0,ROUND(BK201-BK202,3)),"n/p")</f>
        <v>n/p</v>
      </c>
      <c r="BL203" s="282" t="str">
        <f>IF(AND(ISNUMBER(BL202),ISNUMBER(BL201)),IF(ABS(BL201-BL202)&lt;=0.0051,0,ROUND(BL201-BL202,3)),"n/p")</f>
        <v>n/p</v>
      </c>
      <c r="BM203" s="282" t="str">
        <f>IF(AND(ISNUMBER(BM202),ISNUMBER(BM201)),IF(ABS(BM201-BM202)&lt;=0.0051,0,ROUND(BM201-BM202,3)),"n/p")</f>
        <v>n/p</v>
      </c>
      <c r="BN203" s="282" t="str">
        <f>IF(AND(ISNUMBER(BN202),ISNUMBER(BN201)),IF(ABS(BN201-BN202)&lt;=0.0051,0,ROUND(BN201-BN202,3)),"n/p")</f>
        <v>n/p</v>
      </c>
      <c r="BO203" s="282" t="str">
        <f>IF(AND(ISNUMBER(BO202),ISNUMBER(BO201)),IF(ABS(BO201-BO202)&lt;=0.0051,0,ROUND(BO201-BO202,3)),"n/p")</f>
        <v>n/p</v>
      </c>
      <c r="BP203" s="282" t="str">
        <f>IF(AND(ISNUMBER(BP202),ISNUMBER(BP201)),IF(ABS(BP201-BP202)&lt;=0.0051,0,ROUND(BP201-BP202,3)),"n/p")</f>
        <v>n/p</v>
      </c>
      <c r="BQ203" s="282" t="str">
        <f>IF(AND(ISNUMBER(BQ202),ISNUMBER(BQ201)),IF(ABS(BQ201-BQ202)&lt;=0.0051,0,ROUND(BQ201-BQ202,3)),"n/p")</f>
        <v>n/p</v>
      </c>
      <c r="BR203" s="282" t="str">
        <f>IF(AND(ISNUMBER(BR202),ISNUMBER(BR201)),IF(ABS(BR201-BR202)&lt;=0.0051,0,ROUND(BR201-BR202,3)),"n/p")</f>
        <v>n/p</v>
      </c>
      <c r="BS203" s="282" t="str">
        <f>IF(AND(ISNUMBER(BS202),ISNUMBER(BS201)),IF(ABS(BS201-BS202)&lt;=0.0051,0,ROUND(BS201-BS202,3)),"n/p")</f>
        <v>n/p</v>
      </c>
      <c r="BT203" s="282" t="str">
        <f>IF(AND(ISNUMBER(BT202),ISNUMBER(BT201)),IF(ABS(BT201-BT202)&lt;=0.0051,0,ROUND(BT201-BT202,3)),"n/p")</f>
        <v>n/p</v>
      </c>
      <c r="BU203" s="282" t="str">
        <f>IF(AND(ISNUMBER(BU202),ISNUMBER(BU201)),IF(ABS(BU201-BU202)&lt;=0.0051,0,ROUND(BU201-BU202,3)),"n/p")</f>
        <v>n/p</v>
      </c>
      <c r="BV203" s="282" t="str">
        <f>IF(AND(ISNUMBER(BV202),ISNUMBER(BV201)),IF(ABS(BV201-BV202)&lt;=0.0051,0,ROUND(BV201-BV202,3)),"n/p")</f>
        <v>n/p</v>
      </c>
      <c r="BW203" s="282" t="str">
        <f>IF(AND(ISNUMBER(BW202),ISNUMBER(BW201)),IF(ABS(BW201-BW202)&lt;=0.0051,0,ROUND(BW201-BW202,3)),"n/p")</f>
        <v>n/p</v>
      </c>
      <c r="BX203" s="282" t="str">
        <f>IF(AND(ISNUMBER(BX202),ISNUMBER(BX201)),IF(ABS(BX201-BX202)&lt;=0.0051,0,ROUND(BX201-BX202,3)),"n/p")</f>
        <v>n/p</v>
      </c>
      <c r="BY203" s="153" t="n"/>
      <c r="BZ203" s="153" t="n"/>
      <c r="CA203" s="153" t="n"/>
      <c r="CB203" s="153" t="n"/>
      <c r="CC203" s="153" t="n"/>
      <c r="CD203" s="153" t="n"/>
      <c r="CE203" s="153" t="n"/>
      <c r="CF203" s="153" t="n"/>
      <c r="CG203" s="153" t="n"/>
    </row>
    <row r="204" ht="15" customHeight="1" s="251">
      <c r="B204" s="22" t="inlineStr">
        <is>
          <t xml:space="preserve">  Adjusted EPS y/y %</t>
        </is>
      </c>
      <c r="C204" s="23" t="n"/>
      <c r="D204" s="255">
        <f>IF(AND(ISNUMBER(D201),ISNUMBER(C201)),IFERROR(D201/C201-1,""),"")</f>
        <v>0.308461136602426</v>
      </c>
      <c r="E204" s="255">
        <f>IF(AND(ISNUMBER(E201),ISNUMBER(D201)),IFERROR(E201/D201-1,""),"")</f>
        <v>0.340974102097571</v>
      </c>
      <c r="F204" s="255">
        <f>IF(AND(ISNUMBER(F201),ISNUMBER(E201)),IFERROR(F201/E201-1,""),"")</f>
        <v>0.464115296756859</v>
      </c>
      <c r="G204" s="255">
        <f>IF(AND(ISNUMBER(G201),ISNUMBER(F201)),IFERROR(G201/F201-1,""),"")</f>
        <v>0.401520226516197</v>
      </c>
      <c r="H204" s="255">
        <f>IF(AND(ISNUMBER(H201),ISNUMBER(G201)),IFERROR(H201/G201-1,""),"")</f>
        <v>0.404112193300706</v>
      </c>
      <c r="I204" s="255">
        <f>IF(AND(ISNUMBER(I201),ISNUMBER(H201)),IFERROR(I201/H201-1,""),"")</f>
        <v>-0.929988267422233</v>
      </c>
      <c r="J204" s="23" t="n"/>
      <c r="K204" s="23" t="n"/>
      <c r="L204" s="23" t="n"/>
      <c r="M204" s="23" t="n"/>
      <c r="N204" s="255">
        <f>IF(AND(ISNUMBER(N201),ISNUMBER(I201)),IFERROR(N201/I201-1,""),"")</f>
        <v>6.25608694525423</v>
      </c>
      <c r="O204" s="255">
        <f>IF(AND(ISNUMBER(O201),ISNUMBER(J201)),IFERROR(O201/J201-1,""),"")</f>
        <v>1.7807294036091</v>
      </c>
      <c r="P204" s="255">
        <f>IF(AND(ISNUMBER(P201),ISNUMBER(K201)),IFERROR(P201/K201-1,""),"")</f>
        <v>1.36894055899697</v>
      </c>
      <c r="Q204" s="255">
        <f>IF(AND(ISNUMBER(Q201),ISNUMBER(L201)),IFERROR(Q201/L201-1,""),"")</f>
        <v>0.838316285624778</v>
      </c>
      <c r="R204" s="255">
        <f>IF(AND(ISNUMBER(R201),ISNUMBER(M201)),IFERROR(R201/M201-1,""),"")</f>
        <v>-0.0828691646246191</v>
      </c>
      <c r="S204" s="255">
        <f>IF(AND(ISNUMBER(S201),ISNUMBER(N201)),IFERROR(S201/N201-1,""),"")</f>
        <v>0.750412133057882</v>
      </c>
      <c r="T204" s="255">
        <f>IF(AND(ISNUMBER(T201),ISNUMBER(O201)),IFERROR(T201/O201-1,""),"")</f>
        <v>-0.102329611769921</v>
      </c>
      <c r="U204" s="255">
        <f>IF(AND(ISNUMBER(U201),ISNUMBER(P201)),IFERROR(U201/P201-1,""),"")</f>
        <v>-0.633140153455747</v>
      </c>
      <c r="V204" s="255">
        <f>IF(AND(ISNUMBER(V201),ISNUMBER(Q201)),IFERROR(V201/Q201-1,""),"")</f>
        <v>-0.509153753602433</v>
      </c>
      <c r="W204" s="255">
        <f>IF(AND(ISNUMBER(W201),ISNUMBER(R201)),IFERROR(W201/R201-1,""),"")</f>
        <v>-0.344256634146957</v>
      </c>
      <c r="X204" s="255">
        <f>IF(AND(ISNUMBER(X201),ISNUMBER(S201)),IFERROR(X201/S201-1,""),"")</f>
        <v>-0.421000603296762</v>
      </c>
      <c r="Y204" s="255">
        <f>IF(AND(ISNUMBER(Y201),ISNUMBER(T201)),IFERROR(Y201/T201-1,""),"")</f>
        <v>-0.429400347621701</v>
      </c>
      <c r="Z204" s="255">
        <f>IF(AND(ISNUMBER(Z201),ISNUMBER(U201)),IFERROR(Z201/U201-1,""),"")</f>
        <v>0.540294955337678</v>
      </c>
      <c r="AA204" s="255">
        <f>IF(AND(ISNUMBER(AA201),ISNUMBER(V201)),IFERROR(AA201/V201-1,""),"")</f>
        <v>0.747247426646524</v>
      </c>
      <c r="AB204" s="255">
        <f>IF(AND(ISNUMBER(AB201),ISNUMBER(W201)),IFERROR(AB201/W201-1,""),"")</f>
        <v>1.23517380705903</v>
      </c>
      <c r="AC204" s="255">
        <f>IF(AND(ISNUMBER(AC201),ISNUMBER(X201)),IFERROR(AC201/X201-1,""),"")</f>
        <v>0.391169926696238</v>
      </c>
      <c r="AD204" s="255">
        <f>IF(AND(ISNUMBER(AD201),ISNUMBER(Y201)),IFERROR(AD201/Y201-1,""),"")</f>
        <v>5.33579252976742</v>
      </c>
      <c r="AE204" s="255">
        <f>IF(AND(ISNUMBER(AE201),ISNUMBER(Z201)),IFERROR(AE201/Z201-1,""),"")</f>
        <v>1.89543267232648</v>
      </c>
      <c r="AF204" s="255">
        <f>IF(AND(ISNUMBER(AF201),ISNUMBER(AA201)),IFERROR(AF201/AA201-1,""),"")</f>
        <v>2.28686919053925</v>
      </c>
      <c r="AG204" s="255">
        <f>IF(AND(ISNUMBER(AG201),ISNUMBER(AB201)),IFERROR(AG201/AB201-1,""),"")</f>
        <v>2.0511343116069</v>
      </c>
      <c r="AH204" s="255">
        <f>IF(AND(ISNUMBER(AH201),ISNUMBER(AC201)),IFERROR(AH201/AC201-1,""),"")</f>
        <v>2.56873563441272</v>
      </c>
      <c r="AI204" s="255">
        <f>IF(AND(ISNUMBER(AI201),ISNUMBER(AD201)),IFERROR(AI201/AD201-1,""),"")</f>
        <v>0.803956601311592</v>
      </c>
      <c r="AJ204" s="255">
        <f>IF(AND(ISNUMBER(AJ201),ISNUMBER(AE201)),IFERROR(AJ201/AE201-1,""),"")</f>
        <v>1.56349102419166</v>
      </c>
      <c r="AK204" s="255">
        <f>IF(AND(ISNUMBER(AK201),ISNUMBER(AF201)),IFERROR(AK201/AF201-1,""),"")</f>
        <v>1.27042479168178</v>
      </c>
      <c r="AL204" s="255">
        <f>IF(AND(ISNUMBER(AL201),ISNUMBER(AG201)),IFERROR(AL201/AG201-1,""),"")</f>
        <v>-0.447848550869611</v>
      </c>
      <c r="AM204" s="255">
        <f>IF(AND(ISNUMBER(AM201),ISNUMBER(AH201)),IFERROR(AM201/AH201-1,""),"")</f>
        <v>0.675666219053613</v>
      </c>
      <c r="AN204" s="255">
        <f>IF(AND(ISNUMBER(AN201),ISNUMBER(AI201)),IFERROR(AN201/AI201-1,""),"")</f>
        <v>-0.0952818214582617</v>
      </c>
      <c r="AO204" s="255">
        <f>IF(AND(ISNUMBER(AO201),ISNUMBER(AJ201)),IFERROR(AO201/AJ201-1,""),"")</f>
        <v>-0.0152918354100459</v>
      </c>
      <c r="AP204" s="255">
        <f>IF(AND(ISNUMBER(AP201),ISNUMBER(AK201)),IFERROR(AP201/AK201-1,""),"")</f>
        <v>0.395566459028473</v>
      </c>
      <c r="AQ204" s="255">
        <f>IF(AND(ISNUMBER(AQ201),ISNUMBER(AL201)),IFERROR(AQ201/AL201-1,""),"")</f>
        <v>4.98895829530513</v>
      </c>
      <c r="AR204" s="255">
        <f>IF(AND(ISNUMBER(AR201),ISNUMBER(AM201)),IFERROR(AR201/AM201-1,""),"")</f>
        <v>0.605540793683151</v>
      </c>
      <c r="AS204" s="255">
        <f>IF(AND(ISNUMBER(AS201),ISNUMBER(AN201)),IFERROR(AS201/AN201-1,""),"")</f>
        <v>1.13211356705417</v>
      </c>
      <c r="AT204" s="255">
        <f>IF(AND(ISNUMBER(AT201),ISNUMBER(AO201)),IFERROR(AT201/AO201-1,""),"")</f>
        <v>1.60219908799223</v>
      </c>
      <c r="AU204" s="255">
        <f>IF(AND(ISNUMBER(AU201),ISNUMBER(AP201)),IFERROR(AU201/AP201-1,""),"")</f>
        <v>0.798666798074173</v>
      </c>
      <c r="AV204" s="255">
        <f>IF(AND(ISNUMBER(AV201),ISNUMBER(AQ201)),IFERROR(AV201/AQ201-1,""),"")</f>
        <v>0.0928508743685697</v>
      </c>
      <c r="AW204" s="255">
        <f>IF(AND(ISNUMBER(AW201),ISNUMBER(AR201)),IFERROR(AW201/AR201-1,""),"")</f>
        <v>0.722231482210542</v>
      </c>
      <c r="AX204" s="255">
        <f>IF(AND(ISNUMBER(AX201),ISNUMBER(AS201)),IFERROR(AX201/AS201-1,""),"")</f>
        <v>1.35549215191942</v>
      </c>
      <c r="AY204" s="255">
        <f>IF(AND(ISNUMBER(AY201),ISNUMBER(AT201)),IFERROR(AY201/AT201-1,""),"")</f>
        <v>0.746931144121041</v>
      </c>
      <c r="AZ204" s="255">
        <f>IF(AND(ISNUMBER(AZ201),ISNUMBER(AU201)),IFERROR(AZ201/AU201-1,""),"")</f>
        <v>0.331149878810027</v>
      </c>
      <c r="BA204" s="255">
        <f>IF(AND(ISNUMBER(BA201),ISNUMBER(AV201)),IFERROR(BA201/AV201-1,""),"")</f>
        <v>-0.319033169074679</v>
      </c>
      <c r="BB204" s="255">
        <f>IF(AND(ISNUMBER(BB201),ISNUMBER(AW201)),IFERROR(BB201/AW201-1,""),"")</f>
        <v>0.483220970953886</v>
      </c>
      <c r="BC204" s="255">
        <f>IF(AND(ISNUMBER(BC201),ISNUMBER(AX201)),IFERROR(BC201/AX201-1,""),"")</f>
        <v>-0.0125318841258774</v>
      </c>
      <c r="BD204" s="255">
        <f>IF(AND(ISNUMBER(BD201),ISNUMBER(AY201)),IFERROR(BD201/AY201-1,""),"")</f>
        <v>-0.058663704767057</v>
      </c>
      <c r="BE204" s="255">
        <f>IF(AND(ISNUMBER(BE201),ISNUMBER(AZ201)),IFERROR(BE201/AZ201-1,""),"")</f>
        <v>-0.164879150020871</v>
      </c>
      <c r="BF204" s="255">
        <f>IF(AND(ISNUMBER(BF201),ISNUMBER(BA201)),IFERROR(BF201/BA201-1,""),"")</f>
        <v>-0.1296029492915</v>
      </c>
      <c r="BG204" s="255">
        <f>IF(AND(ISNUMBER(BG201),ISNUMBER(BB201)),IFERROR(BG201/BB201-1,""),"")</f>
        <v>-0.0815354489654163</v>
      </c>
      <c r="BH204" s="255">
        <f>IF(AND(ISNUMBER(BH201),ISNUMBER(BC201)),IFERROR(BH201/BC201-1,""),"")</f>
        <v>-0.0623612912678163</v>
      </c>
      <c r="BI204" s="255">
        <f>IF(AND(ISNUMBER(BI201),ISNUMBER(BD201)),IFERROR(BI201/BD201-1,""),"")</f>
        <v>0.151117623915005</v>
      </c>
      <c r="BJ204" s="255">
        <f>IF(AND(ISNUMBER(BJ201),ISNUMBER(BE201)),IFERROR(BJ201/BE201-1,""),"")</f>
        <v>0.389932033314738</v>
      </c>
      <c r="BK204" s="255">
        <f>IF(AND(ISNUMBER(BK201),ISNUMBER(BF201)),IFERROR(BK201/BF201-1,""),"")</f>
        <v>1.57336719754156</v>
      </c>
      <c r="BL204" s="255">
        <f>IF(AND(ISNUMBER(BL201),ISNUMBER(BG201)),IFERROR(BL201/BG201-1,""),"")</f>
        <v>0.287957091892856</v>
      </c>
      <c r="BM204" s="255">
        <f>IF(AND(ISNUMBER(BM201),ISNUMBER(BH201)),IFERROR(BM201/BH201-1,""),"")</f>
        <v>0.65625551591014</v>
      </c>
      <c r="BN204" s="255">
        <f>IF(AND(ISNUMBER(BN201),ISNUMBER(BI201)),IFERROR(BN201/BI201-1,""),"")</f>
        <v>0.433537863832387</v>
      </c>
      <c r="BO204" s="255">
        <f>IF(AND(ISNUMBER(BO201),ISNUMBER(BJ201)),IFERROR(BO201/BJ201-1,""),"")</f>
        <v>0.646651230492945</v>
      </c>
      <c r="BP204" s="255">
        <f>IF(AND(ISNUMBER(BP201),ISNUMBER(BK201)),IFERROR(BP201/BK201-1,""),"")</f>
        <v>0.633001405505164</v>
      </c>
      <c r="BQ204" s="255">
        <f>IF(AND(ISNUMBER(BQ201),ISNUMBER(BL201)),IFERROR(BQ201/BL201-1,""),"")</f>
        <v>0.587224884600094</v>
      </c>
      <c r="BR204" s="255">
        <f>IF(AND(ISNUMBER(BR201),ISNUMBER(BM201)),IFERROR(BR201/BM201-1,""),"")</f>
        <v>0.326373302691719</v>
      </c>
      <c r="BS204" s="255">
        <f>IF(AND(ISNUMBER(BS201),ISNUMBER(BN201)),IFERROR(BS201/BN201-1,""),"")</f>
        <v>0.519545990713459</v>
      </c>
      <c r="BT204" s="255">
        <f>IF(AND(ISNUMBER(BT201),ISNUMBER(BO201)),IFERROR(BT201/BO201-1,""),"")</f>
        <v>0.255681484498346</v>
      </c>
      <c r="BU204" s="255">
        <f>IF(AND(ISNUMBER(BU201),ISNUMBER(BP201)),IFERROR(BU201/BP201-1,""),"")</f>
        <v>0.340228413486576</v>
      </c>
      <c r="BV204" s="255">
        <f>IF(AND(ISNUMBER(BV201),ISNUMBER(BQ201)),IFERROR(BV201/BQ201-1,""),"")</f>
        <v>0.356754887003416</v>
      </c>
      <c r="BW204" s="255">
        <f>IF(AND(ISNUMBER(BW201),ISNUMBER(BR201)),IFERROR(BW201/BR201-1,""),"")</f>
        <v>0.0516893106415632</v>
      </c>
      <c r="BX204" s="255">
        <f>IF(AND(ISNUMBER(BX201),ISNUMBER(BS201)),IFERROR(BX201/BS201-1,""),"")</f>
        <v>0.0918547695710854</v>
      </c>
      <c r="BY204" s="256">
        <f>IF(AND(ISNUMBER(BY201),ISNUMBER(BT201)),IFERROR(BY201/BT201-1,""),"")</f>
        <v>0.165153151245937</v>
      </c>
      <c r="BZ204" s="256">
        <f>IF(AND(ISNUMBER(BZ201),ISNUMBER(BU201)),IFERROR(BZ201/BU201-1,""),"")</f>
        <v>0.282654764000263</v>
      </c>
      <c r="CA204" s="256">
        <f>IF(AND(ISNUMBER(CA201),ISNUMBER(BV201)),IFERROR(CA201/BV201-1,""),"")</f>
        <v>0.140808041668506</v>
      </c>
      <c r="CB204" s="256">
        <f>IF(AND(ISNUMBER(CB201),ISNUMBER(CA201)),IFERROR(CB201/CA201-1,""),"")</f>
        <v>0.242567536725733</v>
      </c>
      <c r="CC204" s="256">
        <f>IF(AND(ISNUMBER(CC201),ISNUMBER(CB201)),IFERROR(CC201/CB201-1,""),"")</f>
        <v>0.19938783208945</v>
      </c>
      <c r="CD204" s="256">
        <f>IF(AND(ISNUMBER(CD201),ISNUMBER(CC201)),IFERROR(CD201/CC201-1,""),"")</f>
        <v>0.19358076990132</v>
      </c>
      <c r="CE204" s="256">
        <f>IF(AND(ISNUMBER(CE201),ISNUMBER(CD201)),IFERROR(CE201/CD201-1,""),"")</f>
        <v>0.174009131572579</v>
      </c>
      <c r="CF204" s="256">
        <f>IF(AND(ISNUMBER(CF201),ISNUMBER(CE201)),IFERROR(CF201/CE201-1,""),"")</f>
        <v>0.17203822618764</v>
      </c>
      <c r="CG204" s="153" t="n"/>
    </row>
    <row r="205" ht="15" customHeight="1" s="251">
      <c r="B205" s="158" t="inlineStr">
        <is>
          <t xml:space="preserve">  Definition / basis (company non-GAAP net income in force)</t>
        </is>
      </c>
      <c r="C205" s="284" t="inlineStr">
        <is>
          <t>FY2006–09: company non-GAAP net income excl. stock-based compensation, net of tax (checked)</t>
        </is>
      </c>
      <c r="G205" s="284" t="inlineStr">
        <is>
          <t>FY2010–12: not published (quarters Q1–Q2-10 only) — model: GAAP + quantified items (none)</t>
        </is>
      </c>
      <c r="J205" s="284" t="inlineStr">
        <is>
          <t>Q1-13: excl. loss on extinguishment of debt (company)</t>
        </is>
      </c>
      <c r="R205" s="284" t="inlineStr">
        <is>
          <t>Q4-14: excl. release of tax accrual (company)</t>
        </is>
      </c>
      <c r="T205" s="284" t="inlineStr">
        <is>
          <t>Q1-15: excl. foreign-exchange impact (company)</t>
        </is>
      </c>
      <c r="W205" s="284" t="inlineStr">
        <is>
          <t>Q4-15: excl. release of tax accrual (company)</t>
        </is>
      </c>
      <c r="Y205" s="284" t="inlineStr">
        <is>
          <t>2016+: not published — model: GAAP + F/X remeasurement on euro debt (2017+), restructuring (Q2-22), Brazil expense (Q3-25), WBD fee (Q1-26), tax-effected at the bounded ETR</t>
        </is>
      </c>
      <c r="BY205" s="153" t="n"/>
      <c r="BZ205" s="153" t="n"/>
      <c r="CA205" s="153" t="n"/>
      <c r="CB205" s="153" t="n"/>
      <c r="CC205" s="153" t="n"/>
      <c r="CD205" s="153" t="n"/>
      <c r="CE205" s="153" t="n"/>
      <c r="CF205" s="153" t="n"/>
      <c r="CG205" s="19" t="n"/>
    </row>
    <row r="206" ht="15" customHeight="1" s="251">
      <c r="CO206" s="11" t="n"/>
      <c r="CP206" s="12" t="n"/>
      <c r="CQ206" s="12" t="n"/>
      <c r="CR206" s="12" t="n"/>
      <c r="CS206" s="13" t="n"/>
    </row>
    <row r="207" ht="15" customHeight="1" s="251">
      <c r="B207" s="10" t="inlineStr">
        <is>
          <t>GROWTH &amp; MARGINS</t>
        </is>
      </c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n"/>
      <c r="AN207" s="10" t="n"/>
      <c r="AO207" s="10" t="n"/>
      <c r="AP207" s="10" t="n"/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0" t="n"/>
      <c r="BC207" s="10" t="n"/>
      <c r="BD207" s="10" t="n"/>
      <c r="BE207" s="10" t="n"/>
      <c r="BF207" s="10" t="n"/>
      <c r="BG207" s="10" t="n"/>
      <c r="BH207" s="10" t="n"/>
      <c r="BI207" s="10" t="n"/>
      <c r="BJ207" s="10" t="n"/>
      <c r="BK207" s="10" t="n"/>
      <c r="BL207" s="10" t="n"/>
      <c r="BM207" s="10" t="n"/>
      <c r="BN207" s="10" t="n"/>
      <c r="BO207" s="10" t="n"/>
      <c r="BP207" s="10" t="n"/>
      <c r="BQ207" s="10" t="n"/>
      <c r="BR207" s="10" t="n"/>
      <c r="BS207" s="10" t="n"/>
      <c r="BT207" s="10" t="n"/>
      <c r="BU207" s="10" t="n"/>
      <c r="BV207" s="10" t="n"/>
      <c r="BW207" s="10" t="n"/>
      <c r="BX207" s="10" t="n"/>
      <c r="BY207" s="10" t="n"/>
      <c r="BZ207" s="10" t="n"/>
      <c r="CA207" s="10" t="n"/>
      <c r="CB207" s="10" t="n"/>
      <c r="CC207" s="10" t="n"/>
      <c r="CD207" s="10" t="n"/>
      <c r="CE207" s="10" t="n"/>
      <c r="CF207" s="10" t="n"/>
      <c r="CG207" s="10" t="inlineStr">
        <is>
          <t>GROWTH &amp; MARGINS (consolidated) — forecast outputs</t>
        </is>
      </c>
    </row>
    <row r="208" ht="15" customHeight="1" s="251">
      <c r="B208" s="22" t="inlineStr">
        <is>
          <t xml:space="preserve">  Revenue y/y %</t>
        </is>
      </c>
      <c r="C208" s="23" t="n"/>
      <c r="D208" s="255">
        <f>IF(AND(ISNUMBER(D121),ISNUMBER(C121)),IFERROR(D121/C121-1,""),"")</f>
        <v>0.20937932695202</v>
      </c>
      <c r="E208" s="255">
        <f>IF(AND(ISNUMBER(E121),ISNUMBER(D121)),IFERROR(E121/D121-1,""),"")</f>
        <v>0.13217930210563</v>
      </c>
      <c r="F208" s="255">
        <f>IF(AND(ISNUMBER(F121),ISNUMBER(E121)),IFERROR(F121/E121-1,""),"")</f>
        <v>0.223944261615156</v>
      </c>
      <c r="G208" s="255">
        <f>IF(AND(ISNUMBER(G121),ISNUMBER(F121)),IFERROR(G121/F121-1,""),"")</f>
        <v>0.294776470137445</v>
      </c>
      <c r="H208" s="255">
        <f>IF(AND(ISNUMBER(H121),ISNUMBER(G121)),IFERROR(H121/G121-1,""),"")</f>
        <v>0.481799664759263</v>
      </c>
      <c r="I208" s="255">
        <f>IF(AND(ISNUMBER(I121),ISNUMBER(H121)),IFERROR(I121/H121-1,""),"")</f>
        <v>0.1262896787938</v>
      </c>
      <c r="J208" s="23" t="n"/>
      <c r="K208" s="23" t="n"/>
      <c r="L208" s="23" t="n"/>
      <c r="M208" s="23" t="n"/>
      <c r="N208" s="255">
        <f>IF(AND(ISNUMBER(N121),ISNUMBER(I121)),IFERROR(N121/I121-1,""),"")</f>
        <v>0.212031090948283</v>
      </c>
      <c r="O208" s="255">
        <f>IF(AND(ISNUMBER(O121),ISNUMBER(J121)),IFERROR(O121/J121-1,""),"")</f>
        <v>0.240368529660798</v>
      </c>
      <c r="P208" s="255">
        <f>IF(AND(ISNUMBER(P121),ISNUMBER(K121)),IFERROR(P121/K121-1,""),"")</f>
        <v>0.253452493613074</v>
      </c>
      <c r="Q208" s="255">
        <f>IF(AND(ISNUMBER(Q121),ISNUMBER(L121)),IFERROR(Q121/L121-1,""),"")</f>
        <v>0.274351965960186</v>
      </c>
      <c r="R208" s="255">
        <f>IF(AND(ISNUMBER(R121),ISNUMBER(M121)),IFERROR(R121/M121-1,""),"")</f>
        <v>0.263351003633331</v>
      </c>
      <c r="S208" s="255">
        <f>IF(AND(ISNUMBER(S121),ISNUMBER(N121)),IFERROR(S121/N121-1,""),"")</f>
        <v>0.258333062830062</v>
      </c>
      <c r="T208" s="255">
        <f>IF(AND(ISNUMBER(T121),ISNUMBER(O121)),IFERROR(T121/O121-1,""),"")</f>
        <v>0.238597452619462</v>
      </c>
      <c r="U208" s="255">
        <f>IF(AND(ISNUMBER(U121),ISNUMBER(P121)),IFERROR(U121/P121-1,""),"")</f>
        <v>0.227010900420544</v>
      </c>
      <c r="V208" s="255">
        <f>IF(AND(ISNUMBER(V121),ISNUMBER(Q121)),IFERROR(V121/Q121-1,""),"")</f>
        <v>0.233372734548385</v>
      </c>
      <c r="W208" s="255">
        <f>IF(AND(ISNUMBER(W121),ISNUMBER(R121)),IFERROR(W121/R121-1,""),"")</f>
        <v>0.228058607367814</v>
      </c>
      <c r="X208" s="255">
        <f>IF(AND(ISNUMBER(X121),ISNUMBER(S121)),IFERROR(X121/S121-1,""),"")</f>
        <v>0.231595761842339</v>
      </c>
      <c r="Y208" s="255">
        <f>IF(AND(ISNUMBER(Y121),ISNUMBER(T121)),IFERROR(Y121/T121-1,""),"")</f>
        <v>0.244485353712251</v>
      </c>
      <c r="Z208" s="255">
        <f>IF(AND(ISNUMBER(Z121),ISNUMBER(U121)),IFERROR(Z121/U121-1,""),"")</f>
        <v>0.279997373371582</v>
      </c>
      <c r="AA208" s="255">
        <f>IF(AND(ISNUMBER(AA121),ISNUMBER(V121)),IFERROR(AA121/V121-1,""),"")</f>
        <v>0.317445516019455</v>
      </c>
      <c r="AB208" s="255">
        <f>IF(AND(ISNUMBER(AB121),ISNUMBER(W121)),IFERROR(AB121/W121-1,""),"")</f>
        <v>0.358797871809483</v>
      </c>
      <c r="AC208" s="255">
        <f>IF(AND(ISNUMBER(AC121),ISNUMBER(X121)),IFERROR(AC121/X121-1,""),"")</f>
        <v>0.302552499730438</v>
      </c>
      <c r="AD208" s="255">
        <f>IF(AND(ISNUMBER(AD121),ISNUMBER(Y121)),IFERROR(AD121/Y121-1,""),"")</f>
        <v>0.346777604334803</v>
      </c>
      <c r="AE208" s="255">
        <f>IF(AND(ISNUMBER(AE121),ISNUMBER(Z121)),IFERROR(AE121/Z121-1,""),"")</f>
        <v>0.323132580025499</v>
      </c>
      <c r="AF208" s="255">
        <f>IF(AND(ISNUMBER(AF121),ISNUMBER(AA121)),IFERROR(AF121/AA121-1,""),"")</f>
        <v>0.303324879878857</v>
      </c>
      <c r="AG208" s="255">
        <f>IF(AND(ISNUMBER(AG121),ISNUMBER(AB121)),IFERROR(AG121/AB121-1,""),"")</f>
        <v>0.326216195816739</v>
      </c>
      <c r="AH208" s="255">
        <f>IF(AND(ISNUMBER(AH121),ISNUMBER(AC121)),IFERROR(AH121/AC121-1,""),"")</f>
        <v>0.324102737855988</v>
      </c>
      <c r="AI208" s="255">
        <f>IF(AND(ISNUMBER(AI121),ISNUMBER(AD121)),IFERROR(AI121/AD121-1,""),"")</f>
        <v>0.403628488584882</v>
      </c>
      <c r="AJ208" s="255">
        <f>IF(AND(ISNUMBER(AJ121),ISNUMBER(AE121)),IFERROR(AJ121/AE121-1,""),"")</f>
        <v>0.4027357740039</v>
      </c>
      <c r="AK208" s="255">
        <f>IF(AND(ISNUMBER(AK121),ISNUMBER(AF121)),IFERROR(AK121/AF121-1,""),"")</f>
        <v>0.339887076742988</v>
      </c>
      <c r="AL208" s="255">
        <f>IF(AND(ISNUMBER(AL121),ISNUMBER(AG121)),IFERROR(AL121/AG121-1,""),"")</f>
        <v>0.274240167024017</v>
      </c>
      <c r="AM208" s="255">
        <f>IF(AND(ISNUMBER(AM121),ISNUMBER(AH121)),IFERROR(AM121/AH121-1,""),"")</f>
        <v>0.350784971802524</v>
      </c>
      <c r="AN208" s="255">
        <f>IF(AND(ISNUMBER(AN121),ISNUMBER(AI121)),IFERROR(AN121/AI121-1,""),"")</f>
        <v>0.221607109274179</v>
      </c>
      <c r="AO208" s="255">
        <f>IF(AND(ISNUMBER(AO121),ISNUMBER(AJ121)),IFERROR(AO121/AJ121-1,""),"")</f>
        <v>0.259988687753854</v>
      </c>
      <c r="AP208" s="255">
        <f>IF(AND(ISNUMBER(AP121),ISNUMBER(AK121)),IFERROR(AP121/AK121-1,""),"")</f>
        <v>0.311431489028033</v>
      </c>
      <c r="AQ208" s="255">
        <f>IF(AND(ISNUMBER(AQ121),ISNUMBER(AL121)),IFERROR(AQ121/AL121-1,""),"")</f>
        <v>0.305861388096658</v>
      </c>
      <c r="AR208" s="255">
        <f>IF(AND(ISNUMBER(AR121),ISNUMBER(AM121)),IFERROR(AR121/AM121-1,""),"")</f>
        <v>0.276181576679901</v>
      </c>
      <c r="AS208" s="255">
        <f>IF(AND(ISNUMBER(AS121),ISNUMBER(AN121)),IFERROR(AS121/AN121-1,""),"")</f>
        <v>0.275757842526596</v>
      </c>
      <c r="AT208" s="255">
        <f>IF(AND(ISNUMBER(AT121),ISNUMBER(AO121)),IFERROR(AT121/AO121-1,""),"")</f>
        <v>0.248860680918345</v>
      </c>
      <c r="AU208" s="255">
        <f>IF(AND(ISNUMBER(AU121),ISNUMBER(AP121)),IFERROR(AU121/AP121-1,""),"")</f>
        <v>0.227026418972317</v>
      </c>
      <c r="AV208" s="255">
        <f>IF(AND(ISNUMBER(AV121),ISNUMBER(AQ121)),IFERROR(AV121/AQ121-1,""),"")</f>
        <v>0.21527612404649</v>
      </c>
      <c r="AW208" s="255">
        <f>IF(AND(ISNUMBER(AW121),ISNUMBER(AR121)),IFERROR(AW121/AR121-1,""),"")</f>
        <v>0.240102285884015</v>
      </c>
      <c r="AX208" s="255">
        <f>IF(AND(ISNUMBER(AX121),ISNUMBER(AS121)),IFERROR(AX121/AS121-1,""),"")</f>
        <v>0.24196701938436</v>
      </c>
      <c r="AY208" s="255">
        <f>IF(AND(ISNUMBER(AY121),ISNUMBER(AT121)),IFERROR(AY121/AT121-1,""),"")</f>
        <v>0.194117677674721</v>
      </c>
      <c r="AZ208" s="255">
        <f>IF(AND(ISNUMBER(AZ121),ISNUMBER(AU121)),IFERROR(AZ121/AU121-1,""),"")</f>
        <v>0.162816827611626</v>
      </c>
      <c r="BA208" s="255">
        <f>IF(AND(ISNUMBER(BA121),ISNUMBER(AV121)),IFERROR(BA121/AV121-1,""),"")</f>
        <v>0.160265677689714</v>
      </c>
      <c r="BB208" s="255">
        <f>IF(AND(ISNUMBER(BB121),ISNUMBER(AW121)),IFERROR(BB121/AW121-1,""),"")</f>
        <v>0.188101194844499</v>
      </c>
      <c r="BC208" s="255">
        <f>IF(AND(ISNUMBER(BC121),ISNUMBER(AX121)),IFERROR(BC121/AX121-1,""),"")</f>
        <v>0.0983466796365129</v>
      </c>
      <c r="BD208" s="255">
        <f>IF(AND(ISNUMBER(BD121),ISNUMBER(AY121)),IFERROR(BD121/AY121-1,""),"")</f>
        <v>0.0855874538275951</v>
      </c>
      <c r="BE208" s="255">
        <f>IF(AND(ISNUMBER(BE121),ISNUMBER(AZ121)),IFERROR(BE121/AZ121-1,""),"")</f>
        <v>0.0590798355895736</v>
      </c>
      <c r="BF208" s="255">
        <f>IF(AND(ISNUMBER(BF121),ISNUMBER(BA121)),IFERROR(BF121/BA121-1,""),"")</f>
        <v>0.0185146079069509</v>
      </c>
      <c r="BG208" s="255">
        <f>IF(AND(ISNUMBER(BG121),ISNUMBER(BB121)),IFERROR(BG121/BB121-1,""),"")</f>
        <v>0.0645739131769969</v>
      </c>
      <c r="BH208" s="255">
        <f>IF(AND(ISNUMBER(BH121),ISNUMBER(BC121)),IFERROR(BH121/BC121-1,""),"")</f>
        <v>0.0373341000057577</v>
      </c>
      <c r="BI208" s="255">
        <f>IF(AND(ISNUMBER(BI121),ISNUMBER(BD121)),IFERROR(BI121/BD121-1,""),"")</f>
        <v>0.0272466948828134</v>
      </c>
      <c r="BJ208" s="255">
        <f>IF(AND(ISNUMBER(BJ121),ISNUMBER(BE121)),IFERROR(BJ121/BE121-1,""),"")</f>
        <v>0.0777328978325775</v>
      </c>
      <c r="BK208" s="255">
        <f>IF(AND(ISNUMBER(BK121),ISNUMBER(BF121)),IFERROR(BK121/BF121-1,""),"")</f>
        <v>0.124906441665638</v>
      </c>
      <c r="BL208" s="255">
        <f>IF(AND(ISNUMBER(BL121),ISNUMBER(BG121)),IFERROR(BL121/BG121-1,""),"")</f>
        <v>0.0666680478435453</v>
      </c>
      <c r="BM208" s="255">
        <f>IF(AND(ISNUMBER(BM121),ISNUMBER(BH121)),IFERROR(BM121/BH121-1,""),"")</f>
        <v>0.148126760475368</v>
      </c>
      <c r="BN208" s="255">
        <f>IF(AND(ISNUMBER(BN121),ISNUMBER(BI121)),IFERROR(BN121/BI121-1,""),"")</f>
        <v>0.167577691353964</v>
      </c>
      <c r="BO208" s="255">
        <f>IF(AND(ISNUMBER(BO121),ISNUMBER(BJ121)),IFERROR(BO121/BJ121-1,""),"")</f>
        <v>0.150208952162505</v>
      </c>
      <c r="BP208" s="255">
        <f>IF(AND(ISNUMBER(BP121),ISNUMBER(BK121)),IFERROR(BP121/BK121-1,""),"")</f>
        <v>0.160049361331171</v>
      </c>
      <c r="BQ208" s="255">
        <f>IF(AND(ISNUMBER(BQ121),ISNUMBER(BL121)),IFERROR(BQ121/BL121-1,""),"")</f>
        <v>0.156499199944774</v>
      </c>
      <c r="BR208" s="255">
        <f>IF(AND(ISNUMBER(BR121),ISNUMBER(BM121)),IFERROR(BR121/BM121-1,""),"")</f>
        <v>0.125112694814758</v>
      </c>
      <c r="BS208" s="255">
        <f>IF(AND(ISNUMBER(BS121),ISNUMBER(BN121)),IFERROR(BS121/BN121-1,""),"")</f>
        <v>0.158992228518586</v>
      </c>
      <c r="BT208" s="255">
        <f>IF(AND(ISNUMBER(BT121),ISNUMBER(BO121)),IFERROR(BT121/BO121-1,""),"")</f>
        <v>0.171567934420003</v>
      </c>
      <c r="BU208" s="255">
        <f>IF(AND(ISNUMBER(BU121),ISNUMBER(BP121)),IFERROR(BU121/BP121-1,""),"")</f>
        <v>0.176084195667346</v>
      </c>
      <c r="BV208" s="255">
        <f>IF(AND(ISNUMBER(BV121),ISNUMBER(BQ121)),IFERROR(BV121/BQ121-1,""),"")</f>
        <v>0.158510689196775</v>
      </c>
      <c r="BW208" s="255">
        <f>IF(AND(ISNUMBER(BW121),ISNUMBER(BR121)),IFERROR(BW121/BR121-1,""),"")</f>
        <v>0.161907257853013</v>
      </c>
      <c r="BX208" s="255">
        <f>IF(AND(ISNUMBER(BX121),ISNUMBER(BS121)),IFERROR(BX121/BS121-1,""),"")</f>
        <v>0.133653742528995</v>
      </c>
      <c r="BY208" s="256">
        <f>IF(AND(ISNUMBER(BY121),ISNUMBER(BT121)),IFERROR(BY121/BT121-1,""),"")</f>
        <v>0.117259513582044</v>
      </c>
      <c r="BZ208" s="256">
        <f>IF(AND(ISNUMBER(BZ121),ISNUMBER(BU121)),IFERROR(BZ121/BU121-1,""),"")</f>
        <v>0.122775887533087</v>
      </c>
      <c r="CA208" s="256">
        <f>IF(AND(ISNUMBER(CA121),ISNUMBER(BV121)),IFERROR(CA121/BV121-1,""),"")</f>
        <v>0.133168652057821</v>
      </c>
      <c r="CB208" s="256">
        <f>IF(AND(ISNUMBER(CB121),ISNUMBER(CA121)),IFERROR(CB121/CA121-1,""),"")</f>
        <v>0.105064790436511</v>
      </c>
      <c r="CC208" s="256">
        <f>IF(AND(ISNUMBER(CC121),ISNUMBER(CB121)),IFERROR(CC121/CB121-1,""),"")</f>
        <v>0.0952537977920516</v>
      </c>
      <c r="CD208" s="256">
        <f>IF(AND(ISNUMBER(CD121),ISNUMBER(CC121)),IFERROR(CD121/CC121-1,""),"")</f>
        <v>0.0854451814457098</v>
      </c>
      <c r="CE208" s="256">
        <f>IF(AND(ISNUMBER(CE121),ISNUMBER(CD121)),IFERROR(CE121/CD121-1,""),"")</f>
        <v>0.0777023200671891</v>
      </c>
      <c r="CF208" s="256">
        <f>IF(AND(ISNUMBER(CF121),ISNUMBER(CE121)),IFERROR(CF121/CE121-1,""),"")</f>
        <v>0.0698828871304726</v>
      </c>
      <c r="CG208" s="153" t="n"/>
      <c r="CI208" s="37">
        <f>IFERROR(AVERAGE(CB208,CC208,CD208,CE208,CF208),"n/m")</f>
        <v>0.0866697953743869</v>
      </c>
      <c r="CJ208" s="37">
        <f>IFERROR(AVERAGE(BB208,BG208,BL208,BQ208,BV208),"n/m")</f>
        <v>0.126870609001318</v>
      </c>
      <c r="CK208" s="37">
        <f>IFERROR(AVERAGE(AC208,AH208,AM208,AR208,AW208,BB208,BG208,BL208,BQ208,BV208),"n/m")</f>
        <v>0.212807711695946</v>
      </c>
      <c r="CL208" s="37">
        <f>IFERROR(AVERAGE(C208,D208,E208,F208,G208,H208,I208,N208,S208,X208,AC208,AH208,AM208,AR208,AW208,BB208,BG208,BL208,BQ208,BV208),"n/m")</f>
        <v>0.226231880891761</v>
      </c>
    </row>
    <row r="209" ht="15" customHeight="1" s="251">
      <c r="B209" s="22" t="inlineStr">
        <is>
          <t xml:space="preserve">  UCAN revenue y/y %</t>
        </is>
      </c>
      <c r="C209" s="23" t="n"/>
      <c r="D209" s="255">
        <f>IF(AND(ISNUMBER(D11),ISNUMBER(C11)),IFERROR(D11/C11-1,""),"")</f>
      </c>
      <c r="E209" s="255">
        <f>IF(AND(ISNUMBER(E11),ISNUMBER(D11)),IFERROR(E11/D11-1,""),"")</f>
      </c>
      <c r="F209" s="255">
        <f>IF(AND(ISNUMBER(F11),ISNUMBER(E11)),IFERROR(F11/E11-1,""),"")</f>
      </c>
      <c r="G209" s="255">
        <f>IF(AND(ISNUMBER(G11),ISNUMBER(F11)),IFERROR(G11/F11-1,""),"")</f>
      </c>
      <c r="H209" s="255">
        <f>IF(AND(ISNUMBER(H11),ISNUMBER(G11)),IFERROR(H11/G11-1,""),"")</f>
      </c>
      <c r="I209" s="255">
        <f>IF(AND(ISNUMBER(I11),ISNUMBER(H11)),IFERROR(I11/H11-1,""),"")</f>
      </c>
      <c r="J209" s="23" t="n"/>
      <c r="K209" s="23" t="n"/>
      <c r="L209" s="23" t="n"/>
      <c r="M209" s="23" t="n"/>
      <c r="N209" s="255">
        <f>IF(AND(ISNUMBER(N11),ISNUMBER(I11)),IFERROR(N11/I11-1,""),"")</f>
      </c>
      <c r="O209" s="255">
        <f>IF(AND(ISNUMBER(O11),ISNUMBER(J11)),IFERROR(O11/J11-1,""),"")</f>
      </c>
      <c r="P209" s="255">
        <f>IF(AND(ISNUMBER(P11),ISNUMBER(K11)),IFERROR(P11/K11-1,""),"")</f>
      </c>
      <c r="Q209" s="255">
        <f>IF(AND(ISNUMBER(Q11),ISNUMBER(L11)),IFERROR(Q11/L11-1,""),"")</f>
      </c>
      <c r="R209" s="255">
        <f>IF(AND(ISNUMBER(R11),ISNUMBER(M11)),IFERROR(R11/M11-1,""),"")</f>
      </c>
      <c r="S209" s="255">
        <f>IF(AND(ISNUMBER(S11),ISNUMBER(N11)),IFERROR(S11/N11-1,""),"")</f>
      </c>
      <c r="T209" s="255">
        <f>IF(AND(ISNUMBER(T11),ISNUMBER(O11)),IFERROR(T11/O11-1,""),"")</f>
      </c>
      <c r="U209" s="255">
        <f>IF(AND(ISNUMBER(U11),ISNUMBER(P11)),IFERROR(U11/P11-1,""),"")</f>
      </c>
      <c r="V209" s="255">
        <f>IF(AND(ISNUMBER(V11),ISNUMBER(Q11)),IFERROR(V11/Q11-1,""),"")</f>
      </c>
      <c r="W209" s="255">
        <f>IF(AND(ISNUMBER(W11),ISNUMBER(R11)),IFERROR(W11/R11-1,""),"")</f>
      </c>
      <c r="X209" s="255">
        <f>IF(AND(ISNUMBER(X11),ISNUMBER(S11)),IFERROR(X11/S11-1,""),"")</f>
      </c>
      <c r="Y209" s="255">
        <f>IF(AND(ISNUMBER(Y11),ISNUMBER(T11)),IFERROR(Y11/T11-1,""),"")</f>
      </c>
      <c r="Z209" s="255">
        <f>IF(AND(ISNUMBER(Z11),ISNUMBER(U11)),IFERROR(Z11/U11-1,""),"")</f>
      </c>
      <c r="AA209" s="255">
        <f>IF(AND(ISNUMBER(AA11),ISNUMBER(V11)),IFERROR(AA11/V11-1,""),"")</f>
      </c>
      <c r="AB209" s="255">
        <f>IF(AND(ISNUMBER(AB11),ISNUMBER(W11)),IFERROR(AB11/W11-1,""),"")</f>
      </c>
      <c r="AC209" s="255">
        <f>IF(AND(ISNUMBER(AC11),ISNUMBER(X11)),IFERROR(AC11/X11-1,""),"")</f>
      </c>
      <c r="AD209" s="255">
        <f>IF(AND(ISNUMBER(AD11),ISNUMBER(Y11)),IFERROR(AD11/Y11-1,""),"")</f>
      </c>
      <c r="AE209" s="255">
        <f>IF(AND(ISNUMBER(AE11),ISNUMBER(Z11)),IFERROR(AE11/Z11-1,""),"")</f>
      </c>
      <c r="AF209" s="255">
        <f>IF(AND(ISNUMBER(AF11),ISNUMBER(AA11)),IFERROR(AF11/AA11-1,""),"")</f>
      </c>
      <c r="AG209" s="255">
        <f>IF(AND(ISNUMBER(AG11),ISNUMBER(AB11)),IFERROR(AG11/AB11-1,""),"")</f>
      </c>
      <c r="AH209" s="255">
        <f>IF(AND(ISNUMBER(AH11),ISNUMBER(AC11)),IFERROR(AH11/AC11-1,""),"")</f>
      </c>
      <c r="AI209" s="255">
        <f>IF(AND(ISNUMBER(AI11),ISNUMBER(AD11)),IFERROR(AI11/AD11-1,""),"")</f>
      </c>
      <c r="AJ209" s="255">
        <f>IF(AND(ISNUMBER(AJ11),ISNUMBER(AE11)),IFERROR(AJ11/AE11-1,""),"")</f>
      </c>
      <c r="AK209" s="255">
        <f>IF(AND(ISNUMBER(AK11),ISNUMBER(AF11)),IFERROR(AK11/AF11-1,""),"")</f>
      </c>
      <c r="AL209" s="255">
        <f>IF(AND(ISNUMBER(AL11),ISNUMBER(AG11)),IFERROR(AL11/AG11-1,""),"")</f>
      </c>
      <c r="AM209" s="255">
        <f>IF(AND(ISNUMBER(AM11),ISNUMBER(AH11)),IFERROR(AM11/AH11-1,""),"")</f>
        <v>0.243312912043326</v>
      </c>
      <c r="AN209" s="255">
        <f>IF(AND(ISNUMBER(AN11),ISNUMBER(AI11)),IFERROR(AN11/AI11-1,""),"")</f>
      </c>
      <c r="AO209" s="255">
        <f>IF(AND(ISNUMBER(AO11),ISNUMBER(AJ11)),IFERROR(AO11/AJ11-1,""),"")</f>
      </c>
      <c r="AP209" s="255">
        <f>IF(AND(ISNUMBER(AP11),ISNUMBER(AK11)),IFERROR(AP11/AK11-1,""),"")</f>
      </c>
      <c r="AQ209" s="255">
        <f>IF(AND(ISNUMBER(AQ11),ISNUMBER(AL11)),IFERROR(AQ11/AL11-1,""),"")</f>
      </c>
      <c r="AR209" s="255">
        <f>IF(AND(ISNUMBER(AR11),ISNUMBER(AM11)),IFERROR(AR11/AM11-1,""),"")</f>
        <v>0.213689447797823</v>
      </c>
      <c r="AS209" s="255">
        <f>IF(AND(ISNUMBER(AS11),ISNUMBER(AN11)),IFERROR(AS11/AN11-1,""),"")</f>
        <v>0.197587257643504</v>
      </c>
      <c r="AT209" s="255">
        <f>IF(AND(ISNUMBER(AT11),ISNUMBER(AO11)),IFERROR(AT11/AO11-1,""),"")</f>
        <v>0.135323498849952</v>
      </c>
      <c r="AU209" s="255">
        <f>IF(AND(ISNUMBER(AU11),ISNUMBER(AP11)),IFERROR(AU11/AP11-1,""),"")</f>
        <v>0.119101573676681</v>
      </c>
      <c r="AV209" s="255">
        <f>IF(AND(ISNUMBER(AV11),ISNUMBER(AQ11)),IFERROR(AV11/AQ11-1,""),"")</f>
        <v>0.115122601526699</v>
      </c>
      <c r="AW209" s="255">
        <f>IF(AND(ISNUMBER(AW11),ISNUMBER(AR11)),IFERROR(AW11/AR11-1,""),"")</f>
        <v>0.139703406794487</v>
      </c>
      <c r="AX209" s="255">
        <f>IF(AND(ISNUMBER(AX11),ISNUMBER(AS11)),IFERROR(AX11/AS11-1,""),"")</f>
        <v>0.173227822061466</v>
      </c>
      <c r="AY209" s="255">
        <f>IF(AND(ISNUMBER(AY11),ISNUMBER(AT11)),IFERROR(AY11/AT11-1,""),"")</f>
        <v>0.139091162001219</v>
      </c>
      <c r="AZ209" s="255">
        <f>IF(AND(ISNUMBER(AZ11),ISNUMBER(AU11)),IFERROR(AZ11/AU11-1,""),"")</f>
        <v>0.11053624663152</v>
      </c>
      <c r="BA209" s="255">
        <f>IF(AND(ISNUMBER(BA11),ISNUMBER(AV11)),IFERROR(BA11/AV11-1,""),"")</f>
        <v>0.110516008531618</v>
      </c>
      <c r="BB209" s="255">
        <f>IF(AND(ISNUMBER(BB11),ISNUMBER(AW11)),IFERROR(BB11/AW11-1,""),"")</f>
        <v>0.13240083537924</v>
      </c>
      <c r="BC209" s="255">
        <f>IF(AND(ISNUMBER(BC11),ISNUMBER(AX11)),IFERROR(BC11/AX11-1,""),"")</f>
        <v>0.0565921111886196</v>
      </c>
      <c r="BD209" s="255">
        <f>IF(AND(ISNUMBER(BD11),ISNUMBER(AY11)),IFERROR(BD11/AY11-1,""),"")</f>
        <v>0.0937414113396748</v>
      </c>
      <c r="BE209" s="255">
        <f>IF(AND(ISNUMBER(BE11),ISNUMBER(AZ11)),IFERROR(BE11/AZ11-1,""),"")</f>
        <v>0.105555550439467</v>
      </c>
      <c r="BF209" s="255">
        <f>IF(AND(ISNUMBER(BF11),ISNUMBER(BA11)),IFERROR(BF11/BA11-1,""),"")</f>
        <v>0.0864373903677118</v>
      </c>
      <c r="BG209" s="255">
        <f>IF(AND(ISNUMBER(BG11),ISNUMBER(BB11)),IFERROR(BG11/BB11-1,""),"")</f>
        <v>0.0857642941389598</v>
      </c>
      <c r="BH209" s="255">
        <f>IF(AND(ISNUMBER(BH11),ISNUMBER(BC11)),IFERROR(BH11/BC11-1,""),"")</f>
        <v>0.0770711408466511</v>
      </c>
      <c r="BI209" s="255">
        <f>IF(AND(ISNUMBER(BI11),ISNUMBER(BD11)),IFERROR(BI11/BD11-1,""),"")</f>
        <v>0.0174074010214642</v>
      </c>
      <c r="BJ209" s="255">
        <f>IF(AND(ISNUMBER(BJ11),ISNUMBER(BE11)),IFERROR(BJ11/BE11-1,""),"")</f>
        <v>0.0370861000703859</v>
      </c>
      <c r="BK209" s="255">
        <f>IF(AND(ISNUMBER(BK11),ISNUMBER(BF11)),IFERROR(BK11/BF11-1,""),"")</f>
        <v>0.0934034829841288</v>
      </c>
      <c r="BL209" s="255">
        <f>IF(AND(ISNUMBER(BL11),ISNUMBER(BG11)),IFERROR(BL11/BG11-1,""),"")</f>
        <v>0.056028399157863</v>
      </c>
      <c r="BM209" s="255">
        <f>IF(AND(ISNUMBER(BM11),ISNUMBER(BH11)),IFERROR(BM11/BH11-1,""),"")</f>
        <v>0.170609744100625</v>
      </c>
      <c r="BN209" s="255">
        <f>IF(AND(ISNUMBER(BN11),ISNUMBER(BI11)),IFERROR(BN11/BI11-1,""),"")</f>
        <v>0.193394098206169</v>
      </c>
      <c r="BO209" s="255">
        <f>IF(AND(ISNUMBER(BO11),ISNUMBER(BJ11)),IFERROR(BO11/BJ11-1,""),"")</f>
        <v>0.157248215793119</v>
      </c>
      <c r="BP209" s="255">
        <f>IF(AND(ISNUMBER(BP11),ISNUMBER(BK11)),IFERROR(BP11/BK11-1,""),"")</f>
        <v>0.149205570609967</v>
      </c>
      <c r="BQ209" s="255">
        <f>IF(AND(ISNUMBER(BQ11),ISNUMBER(BL11)),IFERROR(BQ11/BL11-1,""),"")</f>
        <v>0.167111890767803</v>
      </c>
      <c r="BR209" s="255">
        <f>IF(AND(ISNUMBER(BR11),ISNUMBER(BM11)),IFERROR(BR11/BM11-1,""),"")</f>
        <v>0.0929814656340733</v>
      </c>
      <c r="BS209" s="255">
        <f>IF(AND(ISNUMBER(BS11),ISNUMBER(BN11)),IFERROR(BS11/BN11-1,""),"")</f>
        <v>0.147464591345482</v>
      </c>
      <c r="BT209" s="255">
        <f>IF(AND(ISNUMBER(BT11),ISNUMBER(BO11)),IFERROR(BT11/BO11-1,""),"")</f>
        <v>0.173350875748067</v>
      </c>
      <c r="BU209" s="255">
        <f>IF(AND(ISNUMBER(BU11),ISNUMBER(BP11)),IFERROR(BU11/BP11-1,""),"")</f>
        <v>0.182034253571715</v>
      </c>
      <c r="BV209" s="255">
        <f>IF(AND(ISNUMBER(BV11),ISNUMBER(BQ11)),IFERROR(BV11/BQ11-1,""),"")</f>
        <v>0.149647317249838</v>
      </c>
      <c r="BW209" s="255">
        <f>IF(AND(ISNUMBER(BW11),ISNUMBER(BR11)),IFERROR(BW11/BR11-1,""),"")</f>
        <v>0.136059490181928</v>
      </c>
      <c r="BX209" s="255">
        <f>IF(AND(ISNUMBER(BX11),ISNUMBER(BS11)),IFERROR(BX11/BS11-1,""),"")</f>
        <v>0.10198086712465</v>
      </c>
      <c r="BY209" s="256">
        <f>IF(AND(ISNUMBER(BY11),ISNUMBER(BT11)),IFERROR(BY11/BT11-1,""),"")</f>
        <v>0.0882402957337929</v>
      </c>
      <c r="BZ209" s="256">
        <f>IF(AND(ISNUMBER(BZ11),ISNUMBER(BU11)),IFERROR(BZ11/BU11-1,""),"")</f>
        <v>0.0939322225583967</v>
      </c>
      <c r="CA209" s="256">
        <f>IF(AND(ISNUMBER(CA11),ISNUMBER(BV11)),IFERROR(CA11/BV11-1,""),"")</f>
        <v>0.104219728009107</v>
      </c>
      <c r="CB209" s="256">
        <f>IF(AND(ISNUMBER(CB11),ISNUMBER(CA11)),IFERROR(CB11/CA11-1,""),"")</f>
        <v>0.0900000000000001</v>
      </c>
      <c r="CC209" s="256">
        <f>IF(AND(ISNUMBER(CC11),ISNUMBER(CB11)),IFERROR(CC11/CB11-1,""),"")</f>
        <v>0.0800000000000001</v>
      </c>
      <c r="CD209" s="256">
        <f>IF(AND(ISNUMBER(CD11),ISNUMBER(CC11)),IFERROR(CD11/CC11-1,""),"")</f>
        <v>0.0700000000000001</v>
      </c>
      <c r="CE209" s="256">
        <f>IF(AND(ISNUMBER(CE11),ISNUMBER(CD11)),IFERROR(CE11/CD11-1,""),"")</f>
        <v>0.065</v>
      </c>
      <c r="CF209" s="256">
        <f>IF(AND(ISNUMBER(CF11),ISNUMBER(CE11)),IFERROR(CF11/CE11-1,""),"")</f>
        <v>0.0600000000000001</v>
      </c>
      <c r="CG209" s="153" t="n"/>
      <c r="CI209" s="37">
        <f>IFERROR(AVERAGE(CB209,CC209,CD209,CE209,CF209),"n/m")</f>
        <v>0.073</v>
      </c>
      <c r="CJ209" s="37">
        <f>IFERROR(AVERAGE(BB209,BG209,BL209,BQ209,BV209),"n/m")</f>
        <v>0.118190547338741</v>
      </c>
      <c r="CK209" s="37">
        <f>IFERROR(AVERAGE(AC209,AH209,AM209,AR209,AW209,BB209,BG209,BL209,BQ209,BV209),"n/m")</f>
        <v>0.148457312916167</v>
      </c>
      <c r="CL209" s="37">
        <f>IFERROR(AVERAGE(C209,D209,E209,F209,G209,H209,I209,N209,S209,X209,AC209,AH209,AM209,AR209,AW209,BB209,BG209,BL209,BQ209,BV209),"n/m")</f>
        <v>0.148457312916167</v>
      </c>
    </row>
    <row r="210" ht="15" customHeight="1" s="251">
      <c r="B210" s="22" t="inlineStr">
        <is>
          <t xml:space="preserve">  International (EMEA + LATAM + APAC) revenue y/y %</t>
        </is>
      </c>
      <c r="C210" s="23" t="n"/>
      <c r="D210" s="255">
        <f>IF(AND(ISNUMBER(D19),ISNUMBER(C19)),IFERROR((D19+D27+D35)/(C19+C27+C35)-1,""),"")</f>
      </c>
      <c r="E210" s="255">
        <f>IF(AND(ISNUMBER(E19),ISNUMBER(D19)),IFERROR((E19+E27+E35)/(D19+D27+D35)-1,""),"")</f>
      </c>
      <c r="F210" s="255">
        <f>IF(AND(ISNUMBER(F19),ISNUMBER(E19)),IFERROR((F19+F27+F35)/(E19+E27+E35)-1,""),"")</f>
      </c>
      <c r="G210" s="255">
        <f>IF(AND(ISNUMBER(G19),ISNUMBER(F19)),IFERROR((G19+G27+G35)/(F19+F27+F35)-1,""),"")</f>
      </c>
      <c r="H210" s="255">
        <f>IF(AND(ISNUMBER(H19),ISNUMBER(G19)),IFERROR((H19+H27+H35)/(G19+G27+G35)-1,""),"")</f>
      </c>
      <c r="I210" s="255">
        <f>IF(AND(ISNUMBER(I19),ISNUMBER(H19)),IFERROR((I19+I27+I35)/(H19+H27+H35)-1,""),"")</f>
      </c>
      <c r="J210" s="23" t="n"/>
      <c r="K210" s="23" t="n"/>
      <c r="L210" s="23" t="n"/>
      <c r="M210" s="23" t="n"/>
      <c r="N210" s="255">
        <f>IF(AND(ISNUMBER(N19),ISNUMBER(I19)),IFERROR((N19+N27+N35)/(I19+I27+I35)-1,""),"")</f>
      </c>
      <c r="O210" s="255">
        <f>IF(AND(ISNUMBER(O19),ISNUMBER(J19)),IFERROR((O19+O27+O35)/(J19+J27+J35)-1,""),"")</f>
      </c>
      <c r="P210" s="255">
        <f>IF(AND(ISNUMBER(P19),ISNUMBER(K19)),IFERROR((P19+P27+P35)/(K19+K27+K35)-1,""),"")</f>
      </c>
      <c r="Q210" s="255">
        <f>IF(AND(ISNUMBER(Q19),ISNUMBER(L19)),IFERROR((Q19+Q27+Q35)/(L19+L27+L35)-1,""),"")</f>
      </c>
      <c r="R210" s="255">
        <f>IF(AND(ISNUMBER(R19),ISNUMBER(M19)),IFERROR((R19+R27+R35)/(M19+M27+M35)-1,""),"")</f>
      </c>
      <c r="S210" s="255">
        <f>IF(AND(ISNUMBER(S19),ISNUMBER(N19)),IFERROR((S19+S27+S35)/(N19+N27+N35)-1,""),"")</f>
      </c>
      <c r="T210" s="255">
        <f>IF(AND(ISNUMBER(T19),ISNUMBER(O19)),IFERROR((T19+T27+T35)/(O19+O27+O35)-1,""),"")</f>
      </c>
      <c r="U210" s="255">
        <f>IF(AND(ISNUMBER(U19),ISNUMBER(P19)),IFERROR((U19+U27+U35)/(P19+P27+P35)-1,""),"")</f>
      </c>
      <c r="V210" s="255">
        <f>IF(AND(ISNUMBER(V19),ISNUMBER(Q19)),IFERROR((V19+V27+V35)/(Q19+Q27+Q35)-1,""),"")</f>
      </c>
      <c r="W210" s="255">
        <f>IF(AND(ISNUMBER(W19),ISNUMBER(R19)),IFERROR((W19+W27+W35)/(R19+R27+R35)-1,""),"")</f>
      </c>
      <c r="X210" s="255">
        <f>IF(AND(ISNUMBER(X19),ISNUMBER(S19)),IFERROR((X19+X27+X35)/(S19+S27+S35)-1,""),"")</f>
      </c>
      <c r="Y210" s="255">
        <f>IF(AND(ISNUMBER(Y19),ISNUMBER(T19)),IFERROR((Y19+Y27+Y35)/(T19+T27+T35)-1,""),"")</f>
      </c>
      <c r="Z210" s="255">
        <f>IF(AND(ISNUMBER(Z19),ISNUMBER(U19)),IFERROR((Z19+Z27+Z35)/(U19+U27+U35)-1,""),"")</f>
      </c>
      <c r="AA210" s="255">
        <f>IF(AND(ISNUMBER(AA19),ISNUMBER(V19)),IFERROR((AA19+AA27+AA35)/(V19+V27+V35)-1,""),"")</f>
      </c>
      <c r="AB210" s="255">
        <f>IF(AND(ISNUMBER(AB19),ISNUMBER(W19)),IFERROR((AB19+AB27+AB35)/(W19+W27+W35)-1,""),"")</f>
      </c>
      <c r="AC210" s="255">
        <f>IF(AND(ISNUMBER(AC19),ISNUMBER(X19)),IFERROR((AC19+AC27+AC35)/(X19+X27+X35)-1,""),"")</f>
      </c>
      <c r="AD210" s="255">
        <f>IF(AND(ISNUMBER(AD19),ISNUMBER(Y19)),IFERROR((AD19+AD27+AD35)/(Y19+Y27+Y35)-1,""),"")</f>
      </c>
      <c r="AE210" s="255">
        <f>IF(AND(ISNUMBER(AE19),ISNUMBER(Z19)),IFERROR((AE19+AE27+AE35)/(Z19+Z27+Z35)-1,""),"")</f>
      </c>
      <c r="AF210" s="255">
        <f>IF(AND(ISNUMBER(AF19),ISNUMBER(AA19)),IFERROR((AF19+AF27+AF35)/(AA19+AA27+AA35)-1,""),"")</f>
      </c>
      <c r="AG210" s="255">
        <f>IF(AND(ISNUMBER(AG19),ISNUMBER(AB19)),IFERROR((AG19+AG27+AG35)/(AB19+AB27+AB35)-1,""),"")</f>
      </c>
      <c r="AH210" s="255">
        <f>IF(AND(ISNUMBER(AH19),ISNUMBER(AC19)),IFERROR((AH19+AH27+AH35)/(AC19+AC27+AC35)-1,""),"")</f>
      </c>
      <c r="AI210" s="255">
        <f>IF(AND(ISNUMBER(AI19),ISNUMBER(AD19)),IFERROR((AI19+AI27+AI35)/(AD19+AD27+AD35)-1,""),"")</f>
      </c>
      <c r="AJ210" s="255">
        <f>IF(AND(ISNUMBER(AJ19),ISNUMBER(AE19)),IFERROR((AJ19+AJ27+AJ35)/(AE19+AE27+AE35)-1,""),"")</f>
      </c>
      <c r="AK210" s="255">
        <f>IF(AND(ISNUMBER(AK19),ISNUMBER(AF19)),IFERROR((AK19+AK27+AK35)/(AF19+AF27+AF35)-1,""),"")</f>
      </c>
      <c r="AL210" s="255">
        <f>IF(AND(ISNUMBER(AL19),ISNUMBER(AG19)),IFERROR((AL19+AL27+AL35)/(AG19+AG27+AG35)-1,""),"")</f>
      </c>
      <c r="AM210" s="255">
        <f>IF(AND(ISNUMBER(AM19),ISNUMBER(AH19)),IFERROR((AM19+AM27+AM35)/(AH19+AH27+AH35)-1,""),"")</f>
        <v>0.560066155071521</v>
      </c>
      <c r="AN210" s="255">
        <f>IF(AND(ISNUMBER(AN19),ISNUMBER(AI19)),IFERROR((AN19+AN27+AN35)/(AI19+AI27+AI35)-1,""),"")</f>
      </c>
      <c r="AO210" s="255">
        <f>IF(AND(ISNUMBER(AO19),ISNUMBER(AJ19)),IFERROR((AO19+AO27+AO35)/(AJ19+AJ27+AJ35)-1,""),"")</f>
      </c>
      <c r="AP210" s="255">
        <f>IF(AND(ISNUMBER(AP19),ISNUMBER(AK19)),IFERROR((AP19+AP27+AP35)/(AK19+AK27+AK35)-1,""),"")</f>
      </c>
      <c r="AQ210" s="255">
        <f>IF(AND(ISNUMBER(AQ19),ISNUMBER(AL19)),IFERROR((AQ19+AQ27+AQ35)/(AL19+AL27+AL35)-1,""),"")</f>
      </c>
      <c r="AR210" s="255">
        <f>IF(AND(ISNUMBER(AR19),ISNUMBER(AM19)),IFERROR((AR19+AR27+AR35)/(AM19+AM27+AM35)-1,""),"")</f>
        <v>0.372284888390171</v>
      </c>
      <c r="AS210" s="255">
        <f>IF(AND(ISNUMBER(AS19),ISNUMBER(AN19)),IFERROR((AS19+AS27+AS35)/(AN19+AN27+AN35)-1,""),"")</f>
        <v>0.374239335584508</v>
      </c>
      <c r="AT210" s="255">
        <f>IF(AND(ISNUMBER(AT19),ISNUMBER(AO19)),IFERROR((AT19+AT27+AT35)/(AO19+AO27+AO35)-1,""),"")</f>
        <v>0.384244135162085</v>
      </c>
      <c r="AU210" s="255">
        <f>IF(AND(ISNUMBER(AU19),ISNUMBER(AP19)),IFERROR((AU19+AU27+AU35)/(AP19+AP27+AP35)-1,""),"")</f>
        <v>0.34939559789292</v>
      </c>
      <c r="AV210" s="255">
        <f>IF(AND(ISNUMBER(AV19),ISNUMBER(AQ19)),IFERROR((AV19+AV27+AV35)/(AQ19+AQ27+AQ35)-1,""),"")</f>
        <v>0.3238690992617</v>
      </c>
      <c r="AW210" s="255">
        <f>IF(AND(ISNUMBER(AW19),ISNUMBER(AR19)),IFERROR((AW19+AW27+AW35)/(AR19+AR27+AR35)-1,""),"")</f>
        <v>0.356163250857308</v>
      </c>
      <c r="AX210" s="255">
        <f>IF(AND(ISNUMBER(AX19),ISNUMBER(AS19)),IFERROR((AX19+AX27+AX35)/(AS19+AS27+AS35)-1,""),"")</f>
        <v>0.313987896368277</v>
      </c>
      <c r="AY210" s="255">
        <f>IF(AND(ISNUMBER(AY19),ISNUMBER(AT19)),IFERROR((AY19+AY27+AY35)/(AT19+AT27+AT35)-1,""),"")</f>
        <v>0.250626954661854</v>
      </c>
      <c r="AZ210" s="255">
        <f>IF(AND(ISNUMBER(AZ19),ISNUMBER(AU19)),IFERROR((AZ19+AZ27+AZ35)/(AU19+AU27+AU35)-1,""),"")</f>
        <v>0.214377941532655</v>
      </c>
      <c r="BA210" s="255">
        <f>IF(AND(ISNUMBER(BA19),ISNUMBER(AV19)),IFERROR((BA19+BA27+BA35)/(AV19+AV27+AV35)-1,""),"")</f>
        <v>0.207183413848587</v>
      </c>
      <c r="BB210" s="255">
        <f>IF(AND(ISNUMBER(BB19),ISNUMBER(AW19)),IFERROR((BB19+BB27+BB35)/(AW19+AW27+AW35)-1,""),"")</f>
        <v>0.243744755673496</v>
      </c>
      <c r="BC210" s="255">
        <f>IF(AND(ISNUMBER(BC19),ISNUMBER(AX19)),IFERROR((BC19+BC27+BC35)/(AX19+AX27+AX35)-1,""),"")</f>
        <v>0.135641375846969</v>
      </c>
      <c r="BD210" s="255">
        <f>IF(AND(ISNUMBER(BD19),ISNUMBER(AY19)),IFERROR((BD19+BD27+BD35)/(AY19+AY27+AY35)-1,""),"")</f>
        <v>0.0823341563153652</v>
      </c>
      <c r="BE210" s="255">
        <f>IF(AND(ISNUMBER(BE19),ISNUMBER(AZ19)),IFERROR((BE19+BE27+BE35)/(AZ19+AZ27+AZ35)-1,""),"")</f>
        <v>0.0256503707487532</v>
      </c>
      <c r="BF210" s="255">
        <f>IF(AND(ISNUMBER(BF19),ISNUMBER(BA19)),IFERROR((BF19+BF27+BF35)/(BA19+BA27+BA35)-1,""),"")</f>
        <v>-0.0308812121109217</v>
      </c>
      <c r="BG210" s="255">
        <f>IF(AND(ISNUMBER(BG19),ISNUMBER(BB19)),IFERROR((BG19+BG27+BG35)/(BB19+BB27+BB35)-1,""),"")</f>
        <v>0.0508851386982454</v>
      </c>
      <c r="BH210" s="255">
        <f>IF(AND(ISNUMBER(BH19),ISNUMBER(BC19)),IFERROR((BH19+BH27+BH35)/(BC19+BC27+BC35)-1,""),"")</f>
        <v>0.00978730921692805</v>
      </c>
      <c r="BI210" s="255">
        <f>IF(AND(ISNUMBER(BI19),ISNUMBER(BD19)),IFERROR((BI19+BI27+BI35)/(BD19+BD27+BD35)-1,""),"")</f>
        <v>0.0372430030296769</v>
      </c>
      <c r="BJ210" s="255">
        <f>IF(AND(ISNUMBER(BJ19),ISNUMBER(BE19)),IFERROR((BJ19+BJ27+BJ35)/(BE19+BE27+BE35)-1,""),"")</f>
        <v>0.115504910935377</v>
      </c>
      <c r="BK210" s="255">
        <f>IF(AND(ISNUMBER(BK19),ISNUMBER(BF19)),IFERROR((BK19+BK27+BK35)/(BF19+BF27+BF35)-1,""),"")</f>
        <v>0.160659442023708</v>
      </c>
      <c r="BL210" s="255">
        <f>IF(AND(ISNUMBER(BL19),ISNUMBER(BG19)),IFERROR((BL19+BL27+BL35)/(BG19+BG27+BG35)-1,""),"")</f>
        <v>0.0794621450912669</v>
      </c>
      <c r="BM210" s="255">
        <f>IF(AND(ISNUMBER(BM19),ISNUMBER(BH19)),IFERROR((BM19+BM27+BM35)/(BH19+BH27+BH35)-1,""),"")</f>
        <v>0.138181775555829</v>
      </c>
      <c r="BN210" s="255">
        <f>IF(AND(ISNUMBER(BN19),ISNUMBER(BI19)),IFERROR((BN19+BN27+BN35)/(BI19+BI27+BI35)-1,""),"")</f>
        <v>0.154615236468271</v>
      </c>
      <c r="BO210" s="255">
        <f>IF(AND(ISNUMBER(BO19),ISNUMBER(BJ19)),IFERROR((BO19+BO27+BO35)/(BJ19+BJ27+BJ35)-1,""),"")</f>
        <v>0.150089472098939</v>
      </c>
      <c r="BP210" s="255">
        <f>IF(AND(ISNUMBER(BP19),ISNUMBER(BK19)),IFERROR((BP19+BP27+BP35)/(BK19+BK27+BK35)-1,""),"")</f>
        <v>0.168743732492797</v>
      </c>
      <c r="BQ210" s="255">
        <f>IF(AND(ISNUMBER(BQ19),ISNUMBER(BL19)),IFERROR((BQ19+BQ27+BQ35)/(BL19+BL27+BL35)-1,""),"")</f>
        <v>0.153192933750917</v>
      </c>
      <c r="BR210" s="255">
        <f>IF(AND(ISNUMBER(BR19),ISNUMBER(BM19)),IFERROR((BR19+BR27+BR35)/(BM19+BM27+BM35)-1,""),"")</f>
        <v>0.151488352886881</v>
      </c>
      <c r="BS210" s="255">
        <f>IF(AND(ISNUMBER(BS19),ISNUMBER(BN19)),IFERROR((BS19+BS27+BS35)/(BN19+BN27+BN35)-1,""),"")</f>
        <v>0.168399525053431</v>
      </c>
      <c r="BT210" s="255">
        <f>IF(AND(ISNUMBER(BT19),ISNUMBER(BO19)),IFERROR((BT19+BT27+BT35)/(BO19+BO27+BO35)-1,""),"")</f>
        <v>0.170167279539721</v>
      </c>
      <c r="BU210" s="255">
        <f>IF(AND(ISNUMBER(BU19),ISNUMBER(BP19)),IFERROR((BU19+BU27+BU35)/(BP19+BP27+BP35)-1,""),"")</f>
        <v>0.171393290333616</v>
      </c>
      <c r="BV210" s="255">
        <f>IF(AND(ISNUMBER(BV19),ISNUMBER(BQ19)),IFERROR((BV19+BV27+BV35)/(BQ19+BQ27+BQ35)-1,""),"")</f>
        <v>0.16562026360624</v>
      </c>
      <c r="BW210" s="255">
        <f>IF(AND(ISNUMBER(BW19),ISNUMBER(BR19)),IFERROR((BW19+BW27+BW35)/(BR19+BR27+BR35)-1,""),"")</f>
        <v>0.182046923377699</v>
      </c>
      <c r="BX210" s="255">
        <f>IF(AND(ISNUMBER(BX19),ISNUMBER(BS19)),IFERROR((BX19+BX27+BX35)/(BS19+BS27+BS35)-1,""),"")</f>
        <v>0.159037736073012</v>
      </c>
      <c r="BY210" s="256">
        <f>IF(AND(ISNUMBER(BY19),ISNUMBER(BT19)),IFERROR((BY19+BY27+BY35)/(BT19+BT27+BT35)-1,""),"")</f>
        <v>0.140118645892393</v>
      </c>
      <c r="BZ210" s="256">
        <f>IF(AND(ISNUMBER(BZ19),ISNUMBER(BU19)),IFERROR((BZ19+BZ27+BZ35)/(BU19+BU27+BU35)-1,""),"")</f>
        <v>0.145722218257971</v>
      </c>
      <c r="CA210" s="256">
        <f>IF(AND(ISNUMBER(CA19),ISNUMBER(BV19)),IFERROR((CA19+CA27+CA35)/(BV19+BV27+BV35)-1,""),"")</f>
        <v>0.156071242011721</v>
      </c>
      <c r="CB210" s="256">
        <f>IF(AND(ISNUMBER(CB19),ISNUMBER(CA19)),IFERROR((CB19+CB27+CB35)/(CA19+CA27+CA35)-1,""),"")</f>
        <v>0.116448561925973</v>
      </c>
      <c r="CC210" s="256">
        <f>IF(AND(ISNUMBER(CC19),ISNUMBER(CB19)),IFERROR((CC19+CC27+CC35)/(CB19+CB27+CB35)-1,""),"")</f>
        <v>0.106507329502301</v>
      </c>
      <c r="CD210" s="256">
        <f>IF(AND(ISNUMBER(CD19),ISNUMBER(CC19)),IFERROR((CD19+CD27+CD35)/(CC19+CC27+CC35)-1,""),"")</f>
        <v>0.0965669365819526</v>
      </c>
      <c r="CE210" s="256">
        <f>IF(AND(ISNUMBER(CE19),ISNUMBER(CD19)),IFERROR((CE19+CE27+CE35)/(CD19+CD27+CD35)-1,""),"")</f>
        <v>0.0866273975861089</v>
      </c>
      <c r="CF210" s="256">
        <f>IF(AND(ISNUMBER(CF19),ISNUMBER(CE19)),IFERROR((CF19+CF27+CF35)/(CE19+CE27+CE35)-1,""),"")</f>
        <v>0.076688727170638</v>
      </c>
      <c r="CG210" s="153" t="n"/>
      <c r="CI210" s="37">
        <f>IFERROR(AVERAGE(CB210,CC210,CD210,CE210,CF210),"n/m")</f>
        <v>0.0965677905533946</v>
      </c>
      <c r="CJ210" s="37">
        <f>IFERROR(AVERAGE(BB210,BG210,BL210,BQ210,BV210),"n/m")</f>
        <v>0.138581047364033</v>
      </c>
      <c r="CK210" s="37">
        <f>IFERROR(AVERAGE(AC210,AH210,AM210,AR210,AW210,BB210,BG210,BL210,BQ210,BV210),"n/m")</f>
        <v>0.247677441392396</v>
      </c>
      <c r="CL210" s="37">
        <f>IFERROR(AVERAGE(C210,D210,E210,F210,G210,H210,I210,N210,S210,X210,AC210,AH210,AM210,AR210,AW210,BB210,BG210,BL210,BQ210,BV210),"n/m")</f>
        <v>0.247677441392396</v>
      </c>
    </row>
    <row r="211" ht="15" customHeight="1" s="251">
      <c r="B211" s="22" t="inlineStr">
        <is>
          <t xml:space="preserve">  Operating income y/y %</t>
        </is>
      </c>
      <c r="C211" s="23" t="n"/>
      <c r="D211" s="255">
        <f>IF(AND(ISNUMBER(D131),ISNUMBER(C131)),IFERROR(D131/C131-1,""),"")</f>
        <v>0.415235818300369</v>
      </c>
      <c r="E211" s="255">
        <f>IF(AND(ISNUMBER(E131),ISNUMBER(D131)),IFERROR(E131/D131-1,""),"")</f>
        <v>0.332872609997698</v>
      </c>
      <c r="F211" s="255">
        <f>IF(AND(ISNUMBER(F131),ISNUMBER(E131)),IFERROR(F131/E131-1,""),"")</f>
        <v>0.579666847727685</v>
      </c>
      <c r="G211" s="255">
        <f>IF(AND(ISNUMBER(G131),ISNUMBER(F131)),IFERROR(G131/F131-1,""),"")</f>
        <v>0.477766373691641</v>
      </c>
      <c r="H211" s="255">
        <f>IF(AND(ISNUMBER(H131),ISNUMBER(G131)),IFERROR(H131/G131-1,""),"")</f>
        <v>0.325859096534</v>
      </c>
      <c r="I211" s="255">
        <f>IF(AND(ISNUMBER(I131),ISNUMBER(H131)),IFERROR(I131/H131-1,""),"")</f>
        <v>-0.867066594339321</v>
      </c>
      <c r="J211" s="23" t="n"/>
      <c r="K211" s="23" t="n"/>
      <c r="L211" s="23" t="n"/>
      <c r="M211" s="23" t="n"/>
      <c r="N211" s="255">
        <f>IF(AND(ISNUMBER(N131),ISNUMBER(I131)),IFERROR(N131/I131-1,""),"")</f>
        <v>3.56767082733236</v>
      </c>
      <c r="O211" s="255">
        <f>IF(AND(ISNUMBER(O131),ISNUMBER(J131)),IFERROR(O131/J131-1,""),"")</f>
        <v>2.06690340016341</v>
      </c>
      <c r="P211" s="255">
        <f>IF(AND(ISNUMBER(P131),ISNUMBER(K131)),IFERROR(P131/K131-1,""),"")</f>
        <v>1.2690267345974</v>
      </c>
      <c r="Q211" s="255">
        <f>IF(AND(ISNUMBER(Q131),ISNUMBER(L131)),IFERROR(Q131/L131-1,""),"")</f>
        <v>0.932895658263304</v>
      </c>
      <c r="R211" s="255">
        <f>IF(AND(ISNUMBER(R131),ISNUMBER(M131)),IFERROR(R131/M131-1,""),"")</f>
        <v>-0.209532374100718</v>
      </c>
      <c r="S211" s="255">
        <f>IF(AND(ISNUMBER(S131),ISNUMBER(N131)),IFERROR(S131/N131-1,""),"")</f>
        <v>0.763316356247288</v>
      </c>
      <c r="T211" s="255">
        <f>IF(AND(ISNUMBER(T131),ISNUMBER(O131)),IFERROR(T131/O131-1,""),"")</f>
        <v>-0.00142425329166518</v>
      </c>
      <c r="U211" s="255">
        <f>IF(AND(ISNUMBER(U131),ISNUMBER(P131)),IFERROR(U131/P131-1,""),"")</f>
        <v>-0.422569444444444</v>
      </c>
      <c r="V211" s="255">
        <f>IF(AND(ISNUMBER(V131),ISNUMBER(Q131)),IFERROR(V131/Q131-1,""),"")</f>
        <v>-0.333004247919063</v>
      </c>
      <c r="W211" s="255">
        <f>IF(AND(ISNUMBER(W131),ISNUMBER(R131)),IFERROR(W131/R131-1,""),"")</f>
        <v>-0.0792054853488302</v>
      </c>
      <c r="X211" s="255">
        <f>IF(AND(ISNUMBER(X131),ISNUMBER(S131)),IFERROR(X131/S131-1,""),"")</f>
        <v>-0.24046313405257</v>
      </c>
      <c r="Y211" s="255">
        <f>IF(AND(ISNUMBER(Y131),ISNUMBER(T131)),IFERROR(Y131/T131-1,""),"")</f>
        <v>-0.492560745362007</v>
      </c>
      <c r="Z211" s="255">
        <f>IF(AND(ISNUMBER(Z131),ISNUMBER(U131)),IFERROR(Z131/U131-1,""),"")</f>
        <v>-0.059664595443306</v>
      </c>
      <c r="AA211" s="255">
        <f>IF(AND(ISNUMBER(AA131),ISNUMBER(V131)),IFERROR(AA131/V131-1,""),"")</f>
        <v>0.439904401080921</v>
      </c>
      <c r="AB211" s="255">
        <f>IF(AND(ISNUMBER(AB131),ISNUMBER(W131)),IFERROR(AB131/W131-1,""),"")</f>
        <v>1.57010718936788</v>
      </c>
      <c r="AC211" s="255">
        <f>IF(AND(ISNUMBER(AC131),ISNUMBER(X131)),IFERROR(AC131/X131-1,""),"")</f>
        <v>0.241859750315537</v>
      </c>
      <c r="AD211" s="255">
        <f>IF(AND(ISNUMBER(AD131),ISNUMBER(Y131)),IFERROR(AD131/Y131-1,""),"")</f>
        <v>4.19568074737629</v>
      </c>
      <c r="AE211" s="255">
        <f>IF(AND(ISNUMBER(AE131),ISNUMBER(Z131)),IFERROR(AE131/Z131-1,""),"")</f>
        <v>0.816214295864709</v>
      </c>
      <c r="AF211" s="255">
        <f>IF(AND(ISNUMBER(AF131),ISNUMBER(AA131)),IFERROR(AF131/AA131-1,""),"")</f>
        <v>0.967511033988455</v>
      </c>
      <c r="AG211" s="255">
        <f>IF(AND(ISNUMBER(AG131),ISNUMBER(AB131)),IFERROR(AG131/AB131-1,""),"")</f>
        <v>0.593559577481259</v>
      </c>
      <c r="AH211" s="255">
        <f>IF(AND(ISNUMBER(AH131),ISNUMBER(AC131)),IFERROR(AH131/AC131-1,""),"")</f>
        <v>1.20825291672042</v>
      </c>
      <c r="AI211" s="255">
        <f>IF(AND(ISNUMBER(AI131),ISNUMBER(AD131)),IFERROR(AI131/AD131-1,""),"")</f>
        <v>0.738049832257862</v>
      </c>
      <c r="AJ211" s="255">
        <f>IF(AND(ISNUMBER(AJ131),ISNUMBER(AE131)),IFERROR(AJ131/AE131-1,""),"")</f>
        <v>2.61649205442582</v>
      </c>
      <c r="AK211" s="255">
        <f>IF(AND(ISNUMBER(AK131),ISNUMBER(AF131)),IFERROR(AK131/AF131-1,""),"")</f>
        <v>1.30395873976043</v>
      </c>
      <c r="AL211" s="255">
        <f>IF(AND(ISNUMBER(AL131),ISNUMBER(AG131)),IFERROR(AL131/AG131-1,""),"")</f>
        <v>-0.120406191526398</v>
      </c>
      <c r="AM211" s="255">
        <f>IF(AND(ISNUMBER(AM131),ISNUMBER(AH131)),IFERROR(AM131/AH131-1,""),"")</f>
        <v>0.913993315678586</v>
      </c>
      <c r="AN211" s="255">
        <f>IF(AND(ISNUMBER(AN131),ISNUMBER(AI131)),IFERROR(AN131/AI131-1,""),"")</f>
        <v>0.0280040664788683</v>
      </c>
      <c r="AO211" s="255">
        <f>IF(AND(ISNUMBER(AO131),ISNUMBER(AJ131)),IFERROR(AO131/AJ131-1,""),"")</f>
        <v>0.528340829877134</v>
      </c>
      <c r="AP211" s="255">
        <f>IF(AND(ISNUMBER(AP131),ISNUMBER(AK131)),IFERROR(AP131/AK131-1,""),"")</f>
        <v>1.03932652059218</v>
      </c>
      <c r="AQ211" s="255">
        <f>IF(AND(ISNUMBER(AQ131),ISNUMBER(AL131)),IFERROR(AQ131/AL131-1,""),"")</f>
        <v>1.12503302173177</v>
      </c>
      <c r="AR211" s="255">
        <f>IF(AND(ISNUMBER(AR131),ISNUMBER(AM131)),IFERROR(AR131/AM131-1,""),"")</f>
        <v>0.62235971757248</v>
      </c>
      <c r="AS211" s="255">
        <f>IF(AND(ISNUMBER(AS131),ISNUMBER(AN131)),IFERROR(AS131/AN131-1,""),"")</f>
        <v>1.08732171018811</v>
      </c>
      <c r="AT211" s="255">
        <f>IF(AND(ISNUMBER(AT131),ISNUMBER(AO131)),IFERROR(AT131/AO131-1,""),"")</f>
        <v>0.922269927620861</v>
      </c>
      <c r="AU211" s="255">
        <f>IF(AND(ISNUMBER(AU131),ISNUMBER(AP131)),IFERROR(AU131/AP131-1,""),"")</f>
        <v>0.341369808791529</v>
      </c>
      <c r="AV211" s="255">
        <f>IF(AND(ISNUMBER(AV131),ISNUMBER(AQ131)),IFERROR(AV131/AQ131-1,""),"")</f>
        <v>1.08117126705517</v>
      </c>
      <c r="AW211" s="255">
        <f>IF(AND(ISNUMBER(AW131),ISNUMBER(AR131)),IFERROR(AW131/AR131-1,""),"")</f>
        <v>0.760691929435455</v>
      </c>
      <c r="AX211" s="255">
        <f>IF(AND(ISNUMBER(AX131),ISNUMBER(AS131)),IFERROR(AX131/AS131-1,""),"")</f>
        <v>1.04523217177873</v>
      </c>
      <c r="AY211" s="255">
        <f>IF(AND(ISNUMBER(AY131),ISNUMBER(AT131)),IFERROR(AY131/AT131-1,""),"")</f>
        <v>0.360624421913386</v>
      </c>
      <c r="AZ211" s="255">
        <f>IF(AND(ISNUMBER(AZ131),ISNUMBER(AU131)),IFERROR(AZ131/AU131-1,""),"")</f>
        <v>0.334932232483536</v>
      </c>
      <c r="BA211" s="255">
        <f>IF(AND(ISNUMBER(BA131),ISNUMBER(AV131)),IFERROR(BA131/AV131-1,""),"")</f>
        <v>-0.337935240746058</v>
      </c>
      <c r="BB211" s="255">
        <f>IF(AND(ISNUMBER(BB131),ISNUMBER(AW131)),IFERROR(BB131/AW131-1,""),"")</f>
        <v>0.350952797086508</v>
      </c>
      <c r="BC211" s="255">
        <f>IF(AND(ISNUMBER(BC131),ISNUMBER(AX131)),IFERROR(BC131/AX131-1,""),"")</f>
        <v>0.00600554326440306</v>
      </c>
      <c r="BD211" s="255">
        <f>IF(AND(ISNUMBER(BD131),ISNUMBER(AY131)),IFERROR(BD131/AY131-1,""),"")</f>
        <v>-0.145779728625321</v>
      </c>
      <c r="BE211" s="255">
        <f>IF(AND(ISNUMBER(BE131),ISNUMBER(AZ131)),IFERROR(BE131/AZ131-1,""),"")</f>
        <v>-0.126611377391179</v>
      </c>
      <c r="BF211" s="255">
        <f>IF(AND(ISNUMBER(BF131),ISNUMBER(BA131)),IFERROR(BF131/BA131-1,""),"")</f>
        <v>-0.129581968121311</v>
      </c>
      <c r="BG211" s="255">
        <f>IF(AND(ISNUMBER(BG131),ISNUMBER(BB131)),IFERROR(BG131/BB131-1,""),"")</f>
        <v>-0.0906735303798898</v>
      </c>
      <c r="BH211" s="255">
        <f>IF(AND(ISNUMBER(BH131),ISNUMBER(BC131)),IFERROR(BH131/BC131-1,""),"")</f>
        <v>-0.130505988458258</v>
      </c>
      <c r="BI211" s="255">
        <f>IF(AND(ISNUMBER(BI131),ISNUMBER(BD131)),IFERROR(BI131/BD131-1,""),"")</f>
        <v>0.157703022841912</v>
      </c>
      <c r="BJ211" s="255">
        <f>IF(AND(ISNUMBER(BJ131),ISNUMBER(BE131)),IFERROR(BJ131/BE131-1,""),"")</f>
        <v>0.250079255429486</v>
      </c>
      <c r="BK211" s="255">
        <f>IF(AND(ISNUMBER(BK131),ISNUMBER(BF131)),IFERROR(BK131/BF131-1,""),"")</f>
        <v>1.72067306293462</v>
      </c>
      <c r="BL211" s="255">
        <f>IF(AND(ISNUMBER(BL131),ISNUMBER(BG131)),IFERROR(BL131/BG131-1,""),"")</f>
        <v>0.234548489027987</v>
      </c>
      <c r="BM211" s="255">
        <f>IF(AND(ISNUMBER(BM131),ISNUMBER(BH131)),IFERROR(BM131/BH131-1,""),"")</f>
        <v>0.535616808326582</v>
      </c>
      <c r="BN211" s="255">
        <f>IF(AND(ISNUMBER(BN131),ISNUMBER(BI131)),IFERROR(BN131/BI131-1,""),"")</f>
        <v>0.424508108930523</v>
      </c>
      <c r="BO211" s="255">
        <f>IF(AND(ISNUMBER(BO131),ISNUMBER(BJ131)),IFERROR(BO131/BJ131-1,""),"")</f>
        <v>0.518203981018517</v>
      </c>
      <c r="BP211" s="255">
        <f>IF(AND(ISNUMBER(BP131),ISNUMBER(BK131)),IFERROR(BP131/BK131-1,""),"")</f>
        <v>0.519117925231384</v>
      </c>
      <c r="BQ211" s="255">
        <f>IF(AND(ISNUMBER(BQ131),ISNUMBER(BL131)),IFERROR(BQ131/BL131-1,""),"")</f>
        <v>0.498074418432088</v>
      </c>
      <c r="BR211" s="255">
        <f>IF(AND(ISNUMBER(BR131),ISNUMBER(BM131)),IFERROR(BR131/BM131-1,""),"")</f>
        <v>0.271398204163745</v>
      </c>
      <c r="BS211" s="255">
        <f>IF(AND(ISNUMBER(BS131),ISNUMBER(BN131)),IFERROR(BS131/BN131-1,""),"")</f>
        <v>0.450222968245803</v>
      </c>
      <c r="BT211" s="255">
        <f>IF(AND(ISNUMBER(BT131),ISNUMBER(BO131)),IFERROR(BT131/BO131-1,""),"")</f>
        <v>0.116436734162188</v>
      </c>
      <c r="BU211" s="255">
        <f>IF(AND(ISNUMBER(BU131),ISNUMBER(BP131)),IFERROR(BU131/BP131-1,""),"")</f>
        <v>0.300909552501225</v>
      </c>
      <c r="BV211" s="255">
        <f>IF(AND(ISNUMBER(BV131),ISNUMBER(BQ131)),IFERROR(BV131/BQ131-1,""),"")</f>
        <v>0.279237549020342</v>
      </c>
      <c r="BW211" s="255">
        <f>IF(AND(ISNUMBER(BW131),ISNUMBER(BR131)),IFERROR(BW131/BR131-1,""),"")</f>
        <v>0.182252220571324</v>
      </c>
      <c r="BX211" s="255">
        <f>IF(AND(ISNUMBER(BX131),ISNUMBER(BS131)),IFERROR(BX131/BS131-1,""),"")</f>
        <v>0.110715199695658</v>
      </c>
      <c r="BY211" s="256">
        <f>IF(AND(ISNUMBER(BY131),ISNUMBER(BT131)),IFERROR(BY131/BT131-1,""),"")</f>
        <v>0.314407432686</v>
      </c>
      <c r="BZ211" s="256">
        <f>IF(AND(ISNUMBER(BZ131),ISNUMBER(BU131)),IFERROR(BZ131/BU131-1,""),"")</f>
        <v>0.254411814941371</v>
      </c>
      <c r="CA211" s="256">
        <f>IF(AND(ISNUMBER(CA131),ISNUMBER(BV131)),IFERROR(CA131/BV131-1,""),"")</f>
        <v>0.210210884199072</v>
      </c>
      <c r="CB211" s="256">
        <f>IF(AND(ISNUMBER(CB131),ISNUMBER(CA131)),IFERROR(CB131/CA131-1,""),"")</f>
        <v>0.17522763427375</v>
      </c>
      <c r="CC211" s="256">
        <f>IF(AND(ISNUMBER(CC131),ISNUMBER(CB131)),IFERROR(CC131/CB131-1,""),"")</f>
        <v>0.144295012618561</v>
      </c>
      <c r="CD211" s="256">
        <f>IF(AND(ISNUMBER(CD131),ISNUMBER(CC131)),IFERROR(CD131/CC131-1,""),"")</f>
        <v>0.131964260650526</v>
      </c>
      <c r="CE211" s="256">
        <f>IF(AND(ISNUMBER(CE131),ISNUMBER(CD131)),IFERROR(CE131/CD131-1,""),"")</f>
        <v>0.107228411027934</v>
      </c>
      <c r="CF211" s="256">
        <f>IF(AND(ISNUMBER(CF131),ISNUMBER(CE131)),IFERROR(CF131/CE131-1,""),"")</f>
        <v>0.0984130974539521</v>
      </c>
      <c r="CG211" s="153" t="n"/>
    </row>
    <row r="212" ht="15" customHeight="1" s="251">
      <c r="B212" s="22" t="inlineStr">
        <is>
          <t xml:space="preserve">  Adjusted EBITDA y/y %</t>
        </is>
      </c>
      <c r="C212" s="23" t="n"/>
      <c r="D212" s="255">
        <f>IF(AND(ISNUMBER(D175),ISNUMBER(C175)),IFERROR(D175/C175-1,""),"")</f>
        <v>0.338855858858439</v>
      </c>
      <c r="E212" s="255">
        <f>IF(AND(ISNUMBER(E175),ISNUMBER(D175)),IFERROR(E175/D175-1,""),"")</f>
        <v>0.334800170238737</v>
      </c>
      <c r="F212" s="255">
        <f>IF(AND(ISNUMBER(F175),ISNUMBER(E175)),IFERROR(F175/E175-1,""),"")</f>
        <v>0.459482385215131</v>
      </c>
      <c r="G212" s="255">
        <f>IF(AND(ISNUMBER(G175),ISNUMBER(F175)),IFERROR(G175/F175-1,""),"")</f>
        <v>0.44160988619173</v>
      </c>
      <c r="H212" s="255">
        <f>IF(AND(ISNUMBER(H175),ISNUMBER(G175)),IFERROR(H175/G175-1,""),"")</f>
        <v>0.376458242788847</v>
      </c>
      <c r="I212" s="255">
        <f>IF(AND(ISNUMBER(I175),ISNUMBER(H175)),IFERROR(I175/H175-1,""),"")</f>
        <v>-0.648088791579507</v>
      </c>
      <c r="J212" s="23" t="n"/>
      <c r="K212" s="23" t="n"/>
      <c r="L212" s="23" t="n"/>
      <c r="M212" s="23" t="n"/>
      <c r="N212" s="255">
        <f>IF(AND(ISNUMBER(N175),ISNUMBER(I175)),IFERROR(N175/I175-1,""),"")</f>
        <v>1.06494932382577</v>
      </c>
      <c r="O212" s="255">
        <f>IF(AND(ISNUMBER(O175),ISNUMBER(J175)),IFERROR(O175/J175-1,""),"")</f>
        <v>1.20389814829841</v>
      </c>
      <c r="P212" s="255">
        <f>IF(AND(ISNUMBER(P175),ISNUMBER(K175)),IFERROR(P175/K175-1,""),"")</f>
        <v>0.97320259937082</v>
      </c>
      <c r="Q212" s="255">
        <f>IF(AND(ISNUMBER(Q175),ISNUMBER(L175)),IFERROR(Q175/L175-1,""),"")</f>
        <v>0.776493698951165</v>
      </c>
      <c r="R212" s="255">
        <f>IF(AND(ISNUMBER(R175),ISNUMBER(M175)),IFERROR(R175/M175-1,""),"")</f>
        <v>-0.0389811932839408</v>
      </c>
      <c r="S212" s="255">
        <f>IF(AND(ISNUMBER(S175),ISNUMBER(N175)),IFERROR(S175/N175-1,""),"")</f>
        <v>0.634878980964549</v>
      </c>
      <c r="T212" s="255">
        <f>IF(AND(ISNUMBER(T175),ISNUMBER(O175)),IFERROR(T175/O175-1,""),"")</f>
        <v>0.0313839265990188</v>
      </c>
      <c r="U212" s="255">
        <f>IF(AND(ISNUMBER(U175),ISNUMBER(P175)),IFERROR(U175/P175-1,""),"")</f>
        <v>-0.307549080075874</v>
      </c>
      <c r="V212" s="255">
        <f>IF(AND(ISNUMBER(V175),ISNUMBER(Q175)),IFERROR(V175/Q175-1,""),"")</f>
        <v>-0.207705539245483</v>
      </c>
      <c r="W212" s="255">
        <f>IF(AND(ISNUMBER(W175),ISNUMBER(R175)),IFERROR(W175/R175-1,""),"")</f>
        <v>0.0148984116267823</v>
      </c>
      <c r="X212" s="255">
        <f>IF(AND(ISNUMBER(X175),ISNUMBER(S175)),IFERROR(X175/S175-1,""),"")</f>
        <v>-0.138274044219856</v>
      </c>
      <c r="Y212" s="255">
        <f>IF(AND(ISNUMBER(Y175),ISNUMBER(T175)),IFERROR(Y175/T175-1,""),"")</f>
        <v>-0.238398160840757</v>
      </c>
      <c r="Z212" s="255">
        <f>IF(AND(ISNUMBER(Z175),ISNUMBER(U175)),IFERROR(Z175/U175-1,""),"")</f>
        <v>0.0807270221669512</v>
      </c>
      <c r="AA212" s="255">
        <f>IF(AND(ISNUMBER(AA175),ISNUMBER(V175)),IFERROR(AA175/V175-1,""),"")</f>
        <v>0.338053574052008</v>
      </c>
      <c r="AB212" s="255">
        <f>IF(AND(ISNUMBER(AB175),ISNUMBER(W175)),IFERROR(AB175/W175-1,""),"")</f>
        <v>0.903678466766149</v>
      </c>
      <c r="AC212" s="255">
        <f>IF(AND(ISNUMBER(AC175),ISNUMBER(X175)),IFERROR(AC175/X175-1,""),"")</f>
        <v>0.239760243814346</v>
      </c>
      <c r="AD212" s="255">
        <f>IF(AND(ISNUMBER(AD175),ISNUMBER(Y175)),IFERROR(AD175/Y175-1,""),"")</f>
        <v>1.97056424774779</v>
      </c>
      <c r="AE212" s="255">
        <f>IF(AND(ISNUMBER(AE175),ISNUMBER(Z175)),IFERROR(AE175/Z175-1,""),"")</f>
        <v>0.480301369223948</v>
      </c>
      <c r="AF212" s="255">
        <f>IF(AND(ISNUMBER(AF175),ISNUMBER(AA175)),IFERROR(AF175/AA175-1,""),"")</f>
        <v>0.662964115138982</v>
      </c>
      <c r="AG212" s="255">
        <f>IF(AND(ISNUMBER(AG175),ISNUMBER(AB175)),IFERROR(AG175/AB175-1,""),"")</f>
        <v>0.477581704593213</v>
      </c>
      <c r="AH212" s="255">
        <f>IF(AND(ISNUMBER(AH175),ISNUMBER(AC175)),IFERROR(AH175/AC175-1,""),"")</f>
        <v>0.788553443885066</v>
      </c>
      <c r="AI212" s="255">
        <f>IF(AND(ISNUMBER(AI175),ISNUMBER(AD175)),IFERROR(AI175/AD175-1,""),"")</f>
        <v>0.685230008930853</v>
      </c>
      <c r="AJ212" s="255">
        <f>IF(AND(ISNUMBER(AJ175),ISNUMBER(AE175)),IFERROR(AJ175/AE175-1,""),"")</f>
        <v>1.95810091078126</v>
      </c>
      <c r="AK212" s="255">
        <f>IF(AND(ISNUMBER(AK175),ISNUMBER(AF175)),IFERROR(AK175/AF175-1,""),"")</f>
        <v>1.14264492275188</v>
      </c>
      <c r="AL212" s="255">
        <f>IF(AND(ISNUMBER(AL175),ISNUMBER(AG175)),IFERROR(AL175/AG175-1,""),"")</f>
        <v>0.0472793746364726</v>
      </c>
      <c r="AM212" s="255">
        <f>IF(AND(ISNUMBER(AM175),ISNUMBER(AH175)),IFERROR(AM175/AH175-1,""),"")</f>
        <v>0.838435064453756</v>
      </c>
      <c r="AN212" s="255">
        <f>IF(AND(ISNUMBER(AN175),ISNUMBER(AI175)),IFERROR(AN175/AI175-1,""),"")</f>
        <v>0.0933140329654278</v>
      </c>
      <c r="AO212" s="255">
        <f>IF(AND(ISNUMBER(AO175),ISNUMBER(AJ175)),IFERROR(AO175/AJ175-1,""),"")</f>
        <v>0.484004254404889</v>
      </c>
      <c r="AP212" s="255">
        <f>IF(AND(ISNUMBER(AP175),ISNUMBER(AK175)),IFERROR(AP175/AK175-1,""),"")</f>
        <v>0.895428361108972</v>
      </c>
      <c r="AQ212" s="255">
        <f>IF(AND(ISNUMBER(AQ175),ISNUMBER(AL175)),IFERROR(AQ175/AL175-1,""),"")</f>
        <v>0.7894293561184</v>
      </c>
      <c r="AR212" s="255">
        <f>IF(AND(ISNUMBER(AR175),ISNUMBER(AM175)),IFERROR(AR175/AM175-1,""),"")</f>
        <v>0.549600306614105</v>
      </c>
      <c r="AS212" s="255">
        <f>IF(AND(ISNUMBER(AS175),ISNUMBER(AN175)),IFERROR(AS175/AN175-1,""),"")</f>
        <v>0.856300901780438</v>
      </c>
      <c r="AT212" s="255">
        <f>IF(AND(ISNUMBER(AT175),ISNUMBER(AO175)),IFERROR(AT175/AO175-1,""),"")</f>
        <v>0.781365052054232</v>
      </c>
      <c r="AU212" s="255">
        <f>IF(AND(ISNUMBER(AU175),ISNUMBER(AP175)),IFERROR(AU175/AP175-1,""),"")</f>
        <v>0.309431406108173</v>
      </c>
      <c r="AV212" s="255">
        <f>IF(AND(ISNUMBER(AV175),ISNUMBER(AQ175)),IFERROR(AV175/AQ175-1,""),"")</f>
        <v>0.865256584287751</v>
      </c>
      <c r="AW212" s="255">
        <f>IF(AND(ISNUMBER(AW175),ISNUMBER(AR175)),IFERROR(AW175/AR175-1,""),"")</f>
        <v>0.643377942181203</v>
      </c>
      <c r="AX212" s="255">
        <f>IF(AND(ISNUMBER(AX175),ISNUMBER(AS175)),IFERROR(AX175/AS175-1,""),"")</f>
        <v>0.940249605090276</v>
      </c>
      <c r="AY212" s="255">
        <f>IF(AND(ISNUMBER(AY175),ISNUMBER(AT175)),IFERROR(AY175/AT175-1,""),"")</f>
        <v>0.335067393247846</v>
      </c>
      <c r="AZ212" s="255">
        <f>IF(AND(ISNUMBER(AZ175),ISNUMBER(AU175)),IFERROR(AZ175/AU175-1,""),"")</f>
        <v>0.324715186621134</v>
      </c>
      <c r="BA212" s="255">
        <f>IF(AND(ISNUMBER(BA175),ISNUMBER(AV175)),IFERROR(BA175/AV175-1,""),"")</f>
        <v>-0.27308624502756</v>
      </c>
      <c r="BB212" s="255">
        <f>IF(AND(ISNUMBER(BB175),ISNUMBER(AW175)),IFERROR(BB175/AW175-1,""),"")</f>
        <v>0.330317215249896</v>
      </c>
      <c r="BC212" s="255">
        <f>IF(AND(ISNUMBER(BC175),ISNUMBER(AX175)),IFERROR(BC175/AX175-1,""),"")</f>
        <v>0.0297742039644724</v>
      </c>
      <c r="BD212" s="255">
        <f>IF(AND(ISNUMBER(BD175),ISNUMBER(AY175)),IFERROR(BD175/AY175-1,""),"")</f>
        <v>-0.0882787537223667</v>
      </c>
      <c r="BE212" s="255">
        <f>IF(AND(ISNUMBER(BE175),ISNUMBER(AZ175)),IFERROR(BE175/AZ175-1,""),"")</f>
        <v>-0.0782657774926788</v>
      </c>
      <c r="BF212" s="255">
        <f>IF(AND(ISNUMBER(BF175),ISNUMBER(BA175)),IFERROR(BF175/BA175-1,""),"")</f>
        <v>0.00251168745904429</v>
      </c>
      <c r="BG212" s="255">
        <f>IF(AND(ISNUMBER(BG175),ISNUMBER(BB175)),IFERROR(BG175/BB175-1,""),"")</f>
        <v>-0.0383735805649634</v>
      </c>
      <c r="BH212" s="255">
        <f>IF(AND(ISNUMBER(BH175),ISNUMBER(BC175)),IFERROR(BH175/BC175-1,""),"")</f>
        <v>-0.120846739018499</v>
      </c>
      <c r="BI212" s="255">
        <f>IF(AND(ISNUMBER(BI175),ISNUMBER(BD175)),IFERROR(BI175/BD175-1,""),"")</f>
        <v>0.100662185875575</v>
      </c>
      <c r="BJ212" s="255">
        <f>IF(AND(ISNUMBER(BJ175),ISNUMBER(BE175)),IFERROR(BJ175/BE175-1,""),"")</f>
        <v>0.178789878142744</v>
      </c>
      <c r="BK212" s="255">
        <f>IF(AND(ISNUMBER(BK175),ISNUMBER(BF175)),IFERROR(BK175/BF175-1,""),"")</f>
        <v>1.08911903447584</v>
      </c>
      <c r="BL212" s="255">
        <f>IF(AND(ISNUMBER(BL175),ISNUMBER(BG175)),IFERROR(BL175/BG175-1,""),"")</f>
        <v>0.168886006265886</v>
      </c>
      <c r="BM212" s="255">
        <f>IF(AND(ISNUMBER(BM175),ISNUMBER(BH175)),IFERROR(BM175/BH175-1,""),"")</f>
        <v>0.468738821410994</v>
      </c>
      <c r="BN212" s="255">
        <f>IF(AND(ISNUMBER(BN175),ISNUMBER(BI175)),IFERROR(BN175/BI175-1,""),"")</f>
        <v>0.380142765609912</v>
      </c>
      <c r="BO212" s="255">
        <f>IF(AND(ISNUMBER(BO175),ISNUMBER(BJ175)),IFERROR(BO175/BJ175-1,""),"")</f>
        <v>0.464481060239393</v>
      </c>
      <c r="BP212" s="255">
        <f>IF(AND(ISNUMBER(BP175),ISNUMBER(BK175)),IFERROR(BP175/BK175-1,""),"")</f>
        <v>0.449759337495008</v>
      </c>
      <c r="BQ212" s="255">
        <f>IF(AND(ISNUMBER(BQ175),ISNUMBER(BL175)),IFERROR(BQ175/BL175-1,""),"")</f>
        <v>0.440347446995014</v>
      </c>
      <c r="BR212" s="255">
        <f>IF(AND(ISNUMBER(BR175),ISNUMBER(BM175)),IFERROR(BR175/BM175-1,""),"")</f>
        <v>0.251395419283841</v>
      </c>
      <c r="BS212" s="255">
        <f>IF(AND(ISNUMBER(BS175),ISNUMBER(BN175)),IFERROR(BS175/BN175-1,""),"")</f>
        <v>0.429644765568524</v>
      </c>
      <c r="BT212" s="255">
        <f>IF(AND(ISNUMBER(BT175),ISNUMBER(BO175)),IFERROR(BT175/BO175-1,""),"")</f>
        <v>0.117968967039382</v>
      </c>
      <c r="BU212" s="255">
        <f>IF(AND(ISNUMBER(BU175),ISNUMBER(BP175)),IFERROR(BU175/BP175-1,""),"")</f>
        <v>0.316112789192968</v>
      </c>
      <c r="BV212" s="255">
        <f>IF(AND(ISNUMBER(BV175),ISNUMBER(BQ175)),IFERROR(BV175/BQ175-1,""),"")</f>
        <v>0.273100401157407</v>
      </c>
      <c r="BW212" s="255">
        <f>IF(AND(ISNUMBER(BW175),ISNUMBER(BR175)),IFERROR(BW175/BR175-1,""),"")</f>
        <v>0.199178461082073</v>
      </c>
      <c r="BX212" s="255">
        <f>IF(AND(ISNUMBER(BX175),ISNUMBER(BS175)),IFERROR(BX175/BS175-1,""),"")</f>
        <v>0.124221681794932</v>
      </c>
      <c r="BY212" s="256">
        <f>IF(AND(ISNUMBER(BY175),ISNUMBER(BT175)),IFERROR(BY175/BT175-1,""),"")</f>
        <v>0.323586547554532</v>
      </c>
      <c r="BZ212" s="256">
        <f>IF(AND(ISNUMBER(BZ175),ISNUMBER(BU175)),IFERROR(BZ175/BU175-1,""),"")</f>
        <v>0.276300630478141</v>
      </c>
      <c r="CA212" s="256">
        <f>IF(AND(ISNUMBER(CA175),ISNUMBER(BV175)),IFERROR(CA175/BV175-1,""),"")</f>
        <v>0.225916139614206</v>
      </c>
      <c r="CB212" s="256">
        <f>IF(AND(ISNUMBER(CB175),ISNUMBER(CA175)),IFERROR(CB175/CA175-1,""),"")</f>
        <v>0.164637559470286</v>
      </c>
      <c r="CC212" s="256">
        <f>IF(AND(ISNUMBER(CC175),ISNUMBER(CB175)),IFERROR(CC175/CB175-1,""),"")</f>
        <v>0.141662857020529</v>
      </c>
      <c r="CD212" s="256">
        <f>IF(AND(ISNUMBER(CD175),ISNUMBER(CC175)),IFERROR(CD175/CC175-1,""),"")</f>
        <v>0.129568969309356</v>
      </c>
      <c r="CE212" s="256">
        <f>IF(AND(ISNUMBER(CE175),ISNUMBER(CD175)),IFERROR(CE175/CD175-1,""),"")</f>
        <v>0.105767484652272</v>
      </c>
      <c r="CF212" s="256">
        <f>IF(AND(ISNUMBER(CF175),ISNUMBER(CE175)),IFERROR(CF175/CE175-1,""),"")</f>
        <v>0.0970372751287083</v>
      </c>
      <c r="CG212" s="153" t="n"/>
    </row>
    <row r="213" ht="15" customHeight="1" s="251">
      <c r="B213" s="22" t="inlineStr">
        <is>
          <t xml:space="preserve">  Net income y/y %</t>
        </is>
      </c>
      <c r="C213" s="23" t="n"/>
      <c r="D213" s="255">
        <f>IF(AND(ISNUMBER(D141),ISNUMBER(C141)),IFERROR(D141/C141-1,""),"")</f>
        <v>0.364084593129864</v>
      </c>
      <c r="E213" s="255">
        <f>IF(AND(ISNUMBER(E141),ISNUMBER(D141)),IFERROR(E141/D141-1,""),"")</f>
        <v>0.240082447126301</v>
      </c>
      <c r="F213" s="255">
        <f>IF(AND(ISNUMBER(F141),ISNUMBER(E141)),IFERROR(F141/E141-1,""),"")</f>
        <v>0.39546648037964</v>
      </c>
      <c r="G213" s="255">
        <f>IF(AND(ISNUMBER(G141),ISNUMBER(F141)),IFERROR(G141/F141-1,""),"")</f>
        <v>0.388339375107888</v>
      </c>
      <c r="H213" s="255">
        <f>IF(AND(ISNUMBER(H141),ISNUMBER(G141)),IFERROR(H141/G141-1,""),"")</f>
        <v>0.405792866778986</v>
      </c>
      <c r="I213" s="255">
        <f>IF(AND(ISNUMBER(I141),ISNUMBER(H141)),IFERROR(I141/H141-1,""),"")</f>
        <v>-0.924148483588795</v>
      </c>
      <c r="J213" s="23" t="n"/>
      <c r="K213" s="23" t="n"/>
      <c r="L213" s="23" t="n"/>
      <c r="M213" s="23" t="n"/>
      <c r="N213" s="255">
        <f>IF(AND(ISNUMBER(N141),ISNUMBER(I141)),IFERROR(N141/I141-1,""),"")</f>
        <v>5.55334654850739</v>
      </c>
      <c r="O213" s="255">
        <f>IF(AND(ISNUMBER(O141),ISNUMBER(J141)),IFERROR(O141/J141-1,""),"")</f>
        <v>18.7526961695801</v>
      </c>
      <c r="P213" s="255">
        <f>IF(AND(ISNUMBER(P141),ISNUMBER(K141)),IFERROR(P141/K141-1,""),"")</f>
        <v>1.40975874588577</v>
      </c>
      <c r="Q213" s="255">
        <f>IF(AND(ISNUMBER(Q141),ISNUMBER(L141)),IFERROR(Q141/L141-1,""),"")</f>
        <v>0.863333542832001</v>
      </c>
      <c r="R213" s="255">
        <f>IF(AND(ISNUMBER(R141),ISNUMBER(M141)),IFERROR(R141/M141-1,""),"")</f>
        <v>0.721794262819854</v>
      </c>
      <c r="S213" s="255">
        <f>IF(AND(ISNUMBER(S141),ISNUMBER(N141)),IFERROR(S141/N141-1,""),"")</f>
        <v>1.37359323149738</v>
      </c>
      <c r="T213" s="255">
        <f>IF(AND(ISNUMBER(T141),ISNUMBER(O141)),IFERROR(T141/O141-1,""),"")</f>
        <v>-0.553873670337948</v>
      </c>
      <c r="U213" s="255">
        <f>IF(AND(ISNUMBER(U141),ISNUMBER(P141)),IFERROR(U141/P141-1,""),"")</f>
        <v>-0.629178518122166</v>
      </c>
      <c r="V213" s="255">
        <f>IF(AND(ISNUMBER(V141),ISNUMBER(Q141)),IFERROR(V141/Q141-1,""),"")</f>
        <v>-0.503634370520281</v>
      </c>
      <c r="W213" s="255">
        <f>IF(AND(ISNUMBER(W141),ISNUMBER(R141)),IFERROR(W141/R141-1,""),"")</f>
        <v>-0.482098091662568</v>
      </c>
      <c r="X213" s="255">
        <f>IF(AND(ISNUMBER(X141),ISNUMBER(S141)),IFERROR(X141/S141-1,""),"")</f>
        <v>-0.540324364034345</v>
      </c>
      <c r="Y213" s="255">
        <f>IF(AND(ISNUMBER(Y141),ISNUMBER(T141)),IFERROR(Y141/T141-1,""),"")</f>
        <v>0.167201215395018</v>
      </c>
      <c r="Z213" s="255">
        <f>IF(AND(ISNUMBER(Z141),ISNUMBER(U141)),IFERROR(Z141/U141-1,""),"")</f>
        <v>0.547560280994881</v>
      </c>
      <c r="AA213" s="255">
        <f>IF(AND(ISNUMBER(AA141),ISNUMBER(V141)),IFERROR(AA141/V141-1,""),"")</f>
        <v>0.750373742864913</v>
      </c>
      <c r="AB213" s="255">
        <f>IF(AND(ISNUMBER(AB141),ISNUMBER(W141)),IFERROR(AB141/W141-1,""),"")</f>
        <v>0.545879846217981</v>
      </c>
      <c r="AC213" s="255">
        <f>IF(AND(ISNUMBER(AC141),ISNUMBER(X141)),IFERROR(AC141/X141-1,""),"")</f>
        <v>0.522150015084671</v>
      </c>
      <c r="AD213" s="255">
        <f>IF(AND(ISNUMBER(AD141),ISNUMBER(Y141)),IFERROR(AD141/Y141-1,""),"")</f>
        <v>5.44377756887698</v>
      </c>
      <c r="AE213" s="255">
        <f>IF(AND(ISNUMBER(AE141),ISNUMBER(Z141)),IFERROR(AE141/Z141-1,""),"")</f>
        <v>0.609618451723705</v>
      </c>
      <c r="AF213" s="255">
        <f>IF(AND(ISNUMBER(AF141),ISNUMBER(AA141)),IFERROR(AF141/AA141-1,""),"")</f>
        <v>1.51548032688238</v>
      </c>
      <c r="AG213" s="255">
        <f>IF(AND(ISNUMBER(AG141),ISNUMBER(AB141)),IFERROR(AG141/AB141-1,""),"")</f>
        <v>1.77936417570564</v>
      </c>
      <c r="AH213" s="255">
        <f>IF(AND(ISNUMBER(AH141),ISNUMBER(AC141)),IFERROR(AH141/AC141-1,""),"")</f>
        <v>1.99408071652792</v>
      </c>
      <c r="AI213" s="255">
        <f>IF(AND(ISNUMBER(AI141),ISNUMBER(AD141)),IFERROR(AI141/AD141-1,""),"")</f>
        <v>0.627879835261637</v>
      </c>
      <c r="AJ213" s="255">
        <f>IF(AND(ISNUMBER(AJ141),ISNUMBER(AE141)),IFERROR(AJ141/AE141-1,""),"")</f>
        <v>4.85897865853659</v>
      </c>
      <c r="AK213" s="255">
        <f>IF(AND(ISNUMBER(AK141),ISNUMBER(AF141)),IFERROR(AK141/AF141-1,""),"")</f>
        <v>2.10853460915194</v>
      </c>
      <c r="AL213" s="255">
        <f>IF(AND(ISNUMBER(AL141),ISNUMBER(AG141)),IFERROR(AL141/AG141-1,""),"")</f>
        <v>-0.278049990027867</v>
      </c>
      <c r="AM213" s="255">
        <f>IF(AND(ISNUMBER(AM141),ISNUMBER(AH141)),IFERROR(AM141/AH141-1,""),"")</f>
        <v>1.16707667700191</v>
      </c>
      <c r="AN213" s="255">
        <f>IF(AND(ISNUMBER(AN141),ISNUMBER(AI141)),IFERROR(AN141/AI141-1,""),"")</f>
        <v>0.185879141332672</v>
      </c>
      <c r="AO213" s="255">
        <f>IF(AND(ISNUMBER(AO141),ISNUMBER(AJ141)),IFERROR(AO141/AJ141-1,""),"")</f>
        <v>-0.295822286515641</v>
      </c>
      <c r="AP213" s="255">
        <f>IF(AND(ISNUMBER(AP141),ISNUMBER(AK141)),IFERROR(AP141/AK141-1,""),"")</f>
        <v>0.651405662367968</v>
      </c>
      <c r="AQ213" s="255">
        <f>IF(AND(ISNUMBER(AQ141),ISNUMBER(AL141)),IFERROR(AQ141/AL141-1,""),"")</f>
        <v>3.3825316947153</v>
      </c>
      <c r="AR213" s="255">
        <f>IF(AND(ISNUMBER(AR141),ISNUMBER(AM141)),IFERROR(AR141/AM141-1,""),"")</f>
        <v>0.541323699145176</v>
      </c>
      <c r="AS213" s="255">
        <f>IF(AND(ISNUMBER(AS141),ISNUMBER(AN141)),IFERROR(AS141/AN141-1,""),"")</f>
        <v>1.06092974317836</v>
      </c>
      <c r="AT213" s="255">
        <f>IF(AND(ISNUMBER(AT141),ISNUMBER(AO141)),IFERROR(AT141/AO141-1,""),"")</f>
        <v>1.66098651394791</v>
      </c>
      <c r="AU213" s="255">
        <f>IF(AND(ISNUMBER(AU141),ISNUMBER(AP141)),IFERROR(AU141/AP141-1,""),"")</f>
        <v>0.187498120990192</v>
      </c>
      <c r="AV213" s="255">
        <f>IF(AND(ISNUMBER(AV141),ISNUMBER(AQ141)),IFERROR(AV141/AQ141-1,""),"")</f>
        <v>-0.0763480246009167</v>
      </c>
      <c r="AW213" s="255">
        <f>IF(AND(ISNUMBER(AW141),ISNUMBER(AR141)),IFERROR(AW141/AR141-1,""),"")</f>
        <v>0.479121181670734</v>
      </c>
      <c r="AX213" s="255">
        <f>IF(AND(ISNUMBER(AX141),ISNUMBER(AS141)),IFERROR(AX141/AS141-1,""),"")</f>
        <v>1.40698692789257</v>
      </c>
      <c r="AY213" s="255">
        <f>IF(AND(ISNUMBER(AY141),ISNUMBER(AT141)),IFERROR(AY141/AT141-1,""),"")</f>
        <v>0.878673305600142</v>
      </c>
      <c r="AZ213" s="255">
        <f>IF(AND(ISNUMBER(AZ141),ISNUMBER(AU141)),IFERROR(AZ141/AU141-1,""),"")</f>
        <v>0.834322814870326</v>
      </c>
      <c r="BA213" s="255">
        <f>IF(AND(ISNUMBER(BA141),ISNUMBER(AV141)),IFERROR(BA141/AV141-1,""),"")</f>
        <v>0.120395236795314</v>
      </c>
      <c r="BB213" s="255">
        <f>IF(AND(ISNUMBER(BB141),ISNUMBER(AW141)),IFERROR(BB141/AW141-1,""),"")</f>
        <v>0.852769343031329</v>
      </c>
      <c r="BC213" s="255">
        <f>IF(AND(ISNUMBER(BC141),ISNUMBER(AX141)),IFERROR(BC141/AX141-1,""),"")</f>
        <v>-0.064022405615466</v>
      </c>
      <c r="BD213" s="255">
        <f>IF(AND(ISNUMBER(BD141),ISNUMBER(AY141)),IFERROR(BD141/AY141-1,""),"")</f>
        <v>0.0649942018295457</v>
      </c>
      <c r="BE213" s="255">
        <f>IF(AND(ISNUMBER(BE141),ISNUMBER(AZ141)),IFERROR(BE141/AZ141-1,""),"")</f>
        <v>-0.0350769562015937</v>
      </c>
      <c r="BF213" s="255">
        <f>IF(AND(ISNUMBER(BF141),ISNUMBER(BA141)),IFERROR(BF141/BA141-1,""),"")</f>
        <v>-0.908986893941514</v>
      </c>
      <c r="BG213" s="255">
        <f>IF(AND(ISNUMBER(BG141),ISNUMBER(BB141)),IFERROR(BG141/BB141-1,""),"")</f>
        <v>-0.122024272569557</v>
      </c>
      <c r="BH213" s="255">
        <f>IF(AND(ISNUMBER(BH141),ISNUMBER(BC141)),IFERROR(BH141/BC141-1,""),"")</f>
        <v>-0.182996368580617</v>
      </c>
      <c r="BI213" s="255">
        <f>IF(AND(ISNUMBER(BI141),ISNUMBER(BD141)),IFERROR(BI141/BD141-1,""),"")</f>
        <v>0.032380698580313</v>
      </c>
      <c r="BJ213" s="255">
        <f>IF(AND(ISNUMBER(BJ141),ISNUMBER(BE141)),IFERROR(BJ141/BE141-1,""),"")</f>
        <v>0.199665007917085</v>
      </c>
      <c r="BK213" s="255">
        <f>IF(AND(ISNUMBER(BK141),ISNUMBER(BF141)),IFERROR(BK141/BF141-1,""),"")</f>
        <v>15.9640040518053</v>
      </c>
      <c r="BL213" s="255">
        <f>IF(AND(ISNUMBER(BL141),ISNUMBER(BG141)),IFERROR(BL141/BG141-1,""),"")</f>
        <v>0.203936219757948</v>
      </c>
      <c r="BM213" s="255">
        <f>IF(AND(ISNUMBER(BM141),ISNUMBER(BH141)),IFERROR(BM141/BH141-1,""),"")</f>
        <v>0.786969014343509</v>
      </c>
      <c r="BN213" s="255">
        <f>IF(AND(ISNUMBER(BN141),ISNUMBER(BI141)),IFERROR(BN141/BI141-1,""),"")</f>
        <v>0.443460315539691</v>
      </c>
      <c r="BO213" s="255">
        <f>IF(AND(ISNUMBER(BO141),ISNUMBER(BJ141)),IFERROR(BO141/BJ141-1,""),"")</f>
        <v>0.409012758864495</v>
      </c>
      <c r="BP213" s="255">
        <f>IF(AND(ISNUMBER(BP141),ISNUMBER(BK141)),IFERROR(BP141/BK141-1,""),"")</f>
        <v>0.992462450871046</v>
      </c>
      <c r="BQ213" s="255">
        <f>IF(AND(ISNUMBER(BQ141),ISNUMBER(BL141)),IFERROR(BQ141/BL141-1,""),"")</f>
        <v>0.610881492014593</v>
      </c>
      <c r="BR213" s="255">
        <f>IF(AND(ISNUMBER(BR141),ISNUMBER(BM141)),IFERROR(BR141/BM141-1,""),"")</f>
        <v>0.239319031870642</v>
      </c>
      <c r="BS213" s="255">
        <f>IF(AND(ISNUMBER(BS141),ISNUMBER(BN141)),IFERROR(BS141/BN141-1,""),"")</f>
        <v>0.455504245785184</v>
      </c>
      <c r="BT213" s="255">
        <f>IF(AND(ISNUMBER(BT141),ISNUMBER(BO141)),IFERROR(BT141/BO141-1,""),"")</f>
        <v>0.0775994506473221</v>
      </c>
      <c r="BU213" s="255">
        <f>IF(AND(ISNUMBER(BU141),ISNUMBER(BP141)),IFERROR(BU141/BP141-1,""),"")</f>
        <v>0.294290880854025</v>
      </c>
      <c r="BV213" s="255">
        <f>IF(AND(ISNUMBER(BV141),ISNUMBER(BQ141)),IFERROR(BV141/BQ141-1,""),"")</f>
        <v>0.260521824214088</v>
      </c>
      <c r="BW213" s="255">
        <f>IF(AND(ISNUMBER(BW141),ISNUMBER(BR141)),IFERROR(BW141/BR141-1,""),"")</f>
        <v>0.827733379094789</v>
      </c>
      <c r="BX213" s="255">
        <f>IF(AND(ISNUMBER(BX141),ISNUMBER(BS141)),IFERROR(BX141/BS141-1,""),"")</f>
        <v>0.0883086491289313</v>
      </c>
      <c r="BY213" s="256">
        <f>IF(AND(ISNUMBER(BY141),ISNUMBER(BT141)),IFERROR(BY141/BT141-1,""),"")</f>
        <v>0.355491975392985</v>
      </c>
      <c r="BZ213" s="256">
        <f>IF(AND(ISNUMBER(BZ141),ISNUMBER(BU141)),IFERROR(BZ141/BU141-1,""),"")</f>
        <v>0.233887965000096</v>
      </c>
      <c r="CA213" s="256">
        <f>IF(AND(ISNUMBER(CA141),ISNUMBER(BV141)),IFERROR(CA141/BV141-1,""),"")</f>
        <v>0.376963517469537</v>
      </c>
      <c r="CB213" s="256">
        <f>IF(AND(ISNUMBER(CB141),ISNUMBER(CA141)),IFERROR(CB141/CA141-1,""),"")</f>
        <v>0.0128577448811018</v>
      </c>
      <c r="CC213" s="256">
        <f>IF(AND(ISNUMBER(CC141),ISNUMBER(CB141)),IFERROR(CC141/CB141-1,""),"")</f>
        <v>0.148660719105997</v>
      </c>
      <c r="CD213" s="256">
        <f>IF(AND(ISNUMBER(CD141),ISNUMBER(CC141)),IFERROR(CD141/CC141-1,""),"")</f>
        <v>0.13542436171378</v>
      </c>
      <c r="CE213" s="256">
        <f>IF(AND(ISNUMBER(CE141),ISNUMBER(CD141)),IFERROR(CE141/CD141-1,""),"")</f>
        <v>0.109715400006543</v>
      </c>
      <c r="CF213" s="256">
        <f>IF(AND(ISNUMBER(CF141),ISNUMBER(CE141)),IFERROR(CF141/CE141-1,""),"")</f>
        <v>0.100990400837414</v>
      </c>
      <c r="CG213" s="153" t="n"/>
    </row>
    <row r="214" ht="15" customHeight="1" s="251">
      <c r="B214" s="22" t="inlineStr">
        <is>
          <t xml:space="preserve">  Adjusted EPS y/y %</t>
        </is>
      </c>
      <c r="C214" s="23" t="n"/>
      <c r="D214" s="255">
        <f>IF(AND(ISNUMBER(D201),ISNUMBER(C201)),IFERROR(D201/C201-1,""),"")</f>
        <v>0.308461136602426</v>
      </c>
      <c r="E214" s="255">
        <f>IF(AND(ISNUMBER(E201),ISNUMBER(D201)),IFERROR(E201/D201-1,""),"")</f>
        <v>0.340974102097571</v>
      </c>
      <c r="F214" s="255">
        <f>IF(AND(ISNUMBER(F201),ISNUMBER(E201)),IFERROR(F201/E201-1,""),"")</f>
        <v>0.464115296756859</v>
      </c>
      <c r="G214" s="255">
        <f>IF(AND(ISNUMBER(G201),ISNUMBER(F201)),IFERROR(G201/F201-1,""),"")</f>
        <v>0.401520226516197</v>
      </c>
      <c r="H214" s="255">
        <f>IF(AND(ISNUMBER(H201),ISNUMBER(G201)),IFERROR(H201/G201-1,""),"")</f>
        <v>0.404112193300706</v>
      </c>
      <c r="I214" s="255">
        <f>IF(AND(ISNUMBER(I201),ISNUMBER(H201)),IFERROR(I201/H201-1,""),"")</f>
        <v>-0.929988267422233</v>
      </c>
      <c r="J214" s="23" t="n"/>
      <c r="K214" s="23" t="n"/>
      <c r="L214" s="23" t="n"/>
      <c r="M214" s="23" t="n"/>
      <c r="N214" s="255">
        <f>IF(AND(ISNUMBER(N201),ISNUMBER(I201)),IFERROR(N201/I201-1,""),"")</f>
        <v>6.25608694525423</v>
      </c>
      <c r="O214" s="255">
        <f>IF(AND(ISNUMBER(O201),ISNUMBER(J201)),IFERROR(O201/J201-1,""),"")</f>
        <v>1.7807294036091</v>
      </c>
      <c r="P214" s="255">
        <f>IF(AND(ISNUMBER(P201),ISNUMBER(K201)),IFERROR(P201/K201-1,""),"")</f>
        <v>1.36894055899697</v>
      </c>
      <c r="Q214" s="255">
        <f>IF(AND(ISNUMBER(Q201),ISNUMBER(L201)),IFERROR(Q201/L201-1,""),"")</f>
        <v>0.838316285624778</v>
      </c>
      <c r="R214" s="255">
        <f>IF(AND(ISNUMBER(R201),ISNUMBER(M201)),IFERROR(R201/M201-1,""),"")</f>
        <v>-0.0828691646246191</v>
      </c>
      <c r="S214" s="255">
        <f>IF(AND(ISNUMBER(S201),ISNUMBER(N201)),IFERROR(S201/N201-1,""),"")</f>
        <v>0.750412133057882</v>
      </c>
      <c r="T214" s="255">
        <f>IF(AND(ISNUMBER(T201),ISNUMBER(O201)),IFERROR(T201/O201-1,""),"")</f>
        <v>-0.102329611769921</v>
      </c>
      <c r="U214" s="255">
        <f>IF(AND(ISNUMBER(U201),ISNUMBER(P201)),IFERROR(U201/P201-1,""),"")</f>
        <v>-0.633140153455747</v>
      </c>
      <c r="V214" s="255">
        <f>IF(AND(ISNUMBER(V201),ISNUMBER(Q201)),IFERROR(V201/Q201-1,""),"")</f>
        <v>-0.509153753602433</v>
      </c>
      <c r="W214" s="255">
        <f>IF(AND(ISNUMBER(W201),ISNUMBER(R201)),IFERROR(W201/R201-1,""),"")</f>
        <v>-0.344256634146957</v>
      </c>
      <c r="X214" s="255">
        <f>IF(AND(ISNUMBER(X201),ISNUMBER(S201)),IFERROR(X201/S201-1,""),"")</f>
        <v>-0.421000603296762</v>
      </c>
      <c r="Y214" s="255">
        <f>IF(AND(ISNUMBER(Y201),ISNUMBER(T201)),IFERROR(Y201/T201-1,""),"")</f>
        <v>-0.429400347621701</v>
      </c>
      <c r="Z214" s="255">
        <f>IF(AND(ISNUMBER(Z201),ISNUMBER(U201)),IFERROR(Z201/U201-1,""),"")</f>
        <v>0.540294955337678</v>
      </c>
      <c r="AA214" s="255">
        <f>IF(AND(ISNUMBER(AA201),ISNUMBER(V201)),IFERROR(AA201/V201-1,""),"")</f>
        <v>0.747247426646524</v>
      </c>
      <c r="AB214" s="255">
        <f>IF(AND(ISNUMBER(AB201),ISNUMBER(W201)),IFERROR(AB201/W201-1,""),"")</f>
        <v>1.23517380705903</v>
      </c>
      <c r="AC214" s="255">
        <f>IF(AND(ISNUMBER(AC201),ISNUMBER(X201)),IFERROR(AC201/X201-1,""),"")</f>
        <v>0.391169926696238</v>
      </c>
      <c r="AD214" s="255">
        <f>IF(AND(ISNUMBER(AD201),ISNUMBER(Y201)),IFERROR(AD201/Y201-1,""),"")</f>
        <v>5.33579252976742</v>
      </c>
      <c r="AE214" s="255">
        <f>IF(AND(ISNUMBER(AE201),ISNUMBER(Z201)),IFERROR(AE201/Z201-1,""),"")</f>
        <v>1.89543267232648</v>
      </c>
      <c r="AF214" s="255">
        <f>IF(AND(ISNUMBER(AF201),ISNUMBER(AA201)),IFERROR(AF201/AA201-1,""),"")</f>
        <v>2.28686919053925</v>
      </c>
      <c r="AG214" s="255">
        <f>IF(AND(ISNUMBER(AG201),ISNUMBER(AB201)),IFERROR(AG201/AB201-1,""),"")</f>
        <v>2.0511343116069</v>
      </c>
      <c r="AH214" s="255">
        <f>IF(AND(ISNUMBER(AH201),ISNUMBER(AC201)),IFERROR(AH201/AC201-1,""),"")</f>
        <v>2.56873563441272</v>
      </c>
      <c r="AI214" s="255">
        <f>IF(AND(ISNUMBER(AI201),ISNUMBER(AD201)),IFERROR(AI201/AD201-1,""),"")</f>
        <v>0.803956601311592</v>
      </c>
      <c r="AJ214" s="255">
        <f>IF(AND(ISNUMBER(AJ201),ISNUMBER(AE201)),IFERROR(AJ201/AE201-1,""),"")</f>
        <v>1.56349102419166</v>
      </c>
      <c r="AK214" s="255">
        <f>IF(AND(ISNUMBER(AK201),ISNUMBER(AF201)),IFERROR(AK201/AF201-1,""),"")</f>
        <v>1.27042479168178</v>
      </c>
      <c r="AL214" s="255">
        <f>IF(AND(ISNUMBER(AL201),ISNUMBER(AG201)),IFERROR(AL201/AG201-1,""),"")</f>
        <v>-0.447848550869611</v>
      </c>
      <c r="AM214" s="255">
        <f>IF(AND(ISNUMBER(AM201),ISNUMBER(AH201)),IFERROR(AM201/AH201-1,""),"")</f>
        <v>0.675666219053613</v>
      </c>
      <c r="AN214" s="255">
        <f>IF(AND(ISNUMBER(AN201),ISNUMBER(AI201)),IFERROR(AN201/AI201-1,""),"")</f>
        <v>-0.0952818214582617</v>
      </c>
      <c r="AO214" s="255">
        <f>IF(AND(ISNUMBER(AO201),ISNUMBER(AJ201)),IFERROR(AO201/AJ201-1,""),"")</f>
        <v>-0.0152918354100459</v>
      </c>
      <c r="AP214" s="255">
        <f>IF(AND(ISNUMBER(AP201),ISNUMBER(AK201)),IFERROR(AP201/AK201-1,""),"")</f>
        <v>0.395566459028473</v>
      </c>
      <c r="AQ214" s="255">
        <f>IF(AND(ISNUMBER(AQ201),ISNUMBER(AL201)),IFERROR(AQ201/AL201-1,""),"")</f>
        <v>4.98895829530513</v>
      </c>
      <c r="AR214" s="255">
        <f>IF(AND(ISNUMBER(AR201),ISNUMBER(AM201)),IFERROR(AR201/AM201-1,""),"")</f>
        <v>0.605540793683151</v>
      </c>
      <c r="AS214" s="255">
        <f>IF(AND(ISNUMBER(AS201),ISNUMBER(AN201)),IFERROR(AS201/AN201-1,""),"")</f>
        <v>1.13211356705417</v>
      </c>
      <c r="AT214" s="255">
        <f>IF(AND(ISNUMBER(AT201),ISNUMBER(AO201)),IFERROR(AT201/AO201-1,""),"")</f>
        <v>1.60219908799223</v>
      </c>
      <c r="AU214" s="255">
        <f>IF(AND(ISNUMBER(AU201),ISNUMBER(AP201)),IFERROR(AU201/AP201-1,""),"")</f>
        <v>0.798666798074173</v>
      </c>
      <c r="AV214" s="255">
        <f>IF(AND(ISNUMBER(AV201),ISNUMBER(AQ201)),IFERROR(AV201/AQ201-1,""),"")</f>
        <v>0.0928508743685697</v>
      </c>
      <c r="AW214" s="255">
        <f>IF(AND(ISNUMBER(AW201),ISNUMBER(AR201)),IFERROR(AW201/AR201-1,""),"")</f>
        <v>0.722231482210542</v>
      </c>
      <c r="AX214" s="255">
        <f>IF(AND(ISNUMBER(AX201),ISNUMBER(AS201)),IFERROR(AX201/AS201-1,""),"")</f>
        <v>1.35549215191942</v>
      </c>
      <c r="AY214" s="255">
        <f>IF(AND(ISNUMBER(AY201),ISNUMBER(AT201)),IFERROR(AY201/AT201-1,""),"")</f>
        <v>0.746931144121041</v>
      </c>
      <c r="AZ214" s="255">
        <f>IF(AND(ISNUMBER(AZ201),ISNUMBER(AU201)),IFERROR(AZ201/AU201-1,""),"")</f>
        <v>0.331149878810027</v>
      </c>
      <c r="BA214" s="255">
        <f>IF(AND(ISNUMBER(BA201),ISNUMBER(AV201)),IFERROR(BA201/AV201-1,""),"")</f>
        <v>-0.319033169074679</v>
      </c>
      <c r="BB214" s="255">
        <f>IF(AND(ISNUMBER(BB201),ISNUMBER(AW201)),IFERROR(BB201/AW201-1,""),"")</f>
        <v>0.483220970953886</v>
      </c>
      <c r="BC214" s="255">
        <f>IF(AND(ISNUMBER(BC201),ISNUMBER(AX201)),IFERROR(BC201/AX201-1,""),"")</f>
        <v>-0.0125318841258774</v>
      </c>
      <c r="BD214" s="255">
        <f>IF(AND(ISNUMBER(BD201),ISNUMBER(AY201)),IFERROR(BD201/AY201-1,""),"")</f>
        <v>-0.058663704767057</v>
      </c>
      <c r="BE214" s="255">
        <f>IF(AND(ISNUMBER(BE201),ISNUMBER(AZ201)),IFERROR(BE201/AZ201-1,""),"")</f>
        <v>-0.164879150020871</v>
      </c>
      <c r="BF214" s="255">
        <f>IF(AND(ISNUMBER(BF201),ISNUMBER(BA201)),IFERROR(BF201/BA201-1,""),"")</f>
        <v>-0.1296029492915</v>
      </c>
      <c r="BG214" s="255">
        <f>IF(AND(ISNUMBER(BG201),ISNUMBER(BB201)),IFERROR(BG201/BB201-1,""),"")</f>
        <v>-0.0815354489654163</v>
      </c>
      <c r="BH214" s="255">
        <f>IF(AND(ISNUMBER(BH201),ISNUMBER(BC201)),IFERROR(BH201/BC201-1,""),"")</f>
        <v>-0.0623612912678163</v>
      </c>
      <c r="BI214" s="255">
        <f>IF(AND(ISNUMBER(BI201),ISNUMBER(BD201)),IFERROR(BI201/BD201-1,""),"")</f>
        <v>0.151117623915005</v>
      </c>
      <c r="BJ214" s="255">
        <f>IF(AND(ISNUMBER(BJ201),ISNUMBER(BE201)),IFERROR(BJ201/BE201-1,""),"")</f>
        <v>0.389932033314738</v>
      </c>
      <c r="BK214" s="255">
        <f>IF(AND(ISNUMBER(BK201),ISNUMBER(BF201)),IFERROR(BK201/BF201-1,""),"")</f>
        <v>1.57336719754156</v>
      </c>
      <c r="BL214" s="255">
        <f>IF(AND(ISNUMBER(BL201),ISNUMBER(BG201)),IFERROR(BL201/BG201-1,""),"")</f>
        <v>0.287957091892856</v>
      </c>
      <c r="BM214" s="255">
        <f>IF(AND(ISNUMBER(BM201),ISNUMBER(BH201)),IFERROR(BM201/BH201-1,""),"")</f>
        <v>0.65625551591014</v>
      </c>
      <c r="BN214" s="255">
        <f>IF(AND(ISNUMBER(BN201),ISNUMBER(BI201)),IFERROR(BN201/BI201-1,""),"")</f>
        <v>0.433537863832387</v>
      </c>
      <c r="BO214" s="255">
        <f>IF(AND(ISNUMBER(BO201),ISNUMBER(BJ201)),IFERROR(BO201/BJ201-1,""),"")</f>
        <v>0.646651230492945</v>
      </c>
      <c r="BP214" s="255">
        <f>IF(AND(ISNUMBER(BP201),ISNUMBER(BK201)),IFERROR(BP201/BK201-1,""),"")</f>
        <v>0.633001405505164</v>
      </c>
      <c r="BQ214" s="255">
        <f>IF(AND(ISNUMBER(BQ201),ISNUMBER(BL201)),IFERROR(BQ201/BL201-1,""),"")</f>
        <v>0.587224884600094</v>
      </c>
      <c r="BR214" s="255">
        <f>IF(AND(ISNUMBER(BR201),ISNUMBER(BM201)),IFERROR(BR201/BM201-1,""),"")</f>
        <v>0.326373302691719</v>
      </c>
      <c r="BS214" s="255">
        <f>IF(AND(ISNUMBER(BS201),ISNUMBER(BN201)),IFERROR(BS201/BN201-1,""),"")</f>
        <v>0.519545990713459</v>
      </c>
      <c r="BT214" s="255">
        <f>IF(AND(ISNUMBER(BT201),ISNUMBER(BO201)),IFERROR(BT201/BO201-1,""),"")</f>
        <v>0.255681484498346</v>
      </c>
      <c r="BU214" s="255">
        <f>IF(AND(ISNUMBER(BU201),ISNUMBER(BP201)),IFERROR(BU201/BP201-1,""),"")</f>
        <v>0.340228413486576</v>
      </c>
      <c r="BV214" s="255">
        <f>IF(AND(ISNUMBER(BV201),ISNUMBER(BQ201)),IFERROR(BV201/BQ201-1,""),"")</f>
        <v>0.356754887003416</v>
      </c>
      <c r="BW214" s="255">
        <f>IF(AND(ISNUMBER(BW201),ISNUMBER(BR201)),IFERROR(BW201/BR201-1,""),"")</f>
        <v>0.0516893106415632</v>
      </c>
      <c r="BX214" s="255">
        <f>IF(AND(ISNUMBER(BX201),ISNUMBER(BS201)),IFERROR(BX201/BS201-1,""),"")</f>
        <v>0.0918547695710854</v>
      </c>
      <c r="BY214" s="256">
        <f>IF(AND(ISNUMBER(BY201),ISNUMBER(BT201)),IFERROR(BY201/BT201-1,""),"")</f>
        <v>0.165153151245937</v>
      </c>
      <c r="BZ214" s="256">
        <f>IF(AND(ISNUMBER(BZ201),ISNUMBER(BU201)),IFERROR(BZ201/BU201-1,""),"")</f>
        <v>0.282654764000263</v>
      </c>
      <c r="CA214" s="256">
        <f>IF(AND(ISNUMBER(CA201),ISNUMBER(BV201)),IFERROR(CA201/BV201-1,""),"")</f>
        <v>0.140808041668506</v>
      </c>
      <c r="CB214" s="256">
        <f>IF(AND(ISNUMBER(CB201),ISNUMBER(CA201)),IFERROR(CB201/CA201-1,""),"")</f>
        <v>0.242567536725733</v>
      </c>
      <c r="CC214" s="256">
        <f>IF(AND(ISNUMBER(CC201),ISNUMBER(CB201)),IFERROR(CC201/CB201-1,""),"")</f>
        <v>0.19938783208945</v>
      </c>
      <c r="CD214" s="256">
        <f>IF(AND(ISNUMBER(CD201),ISNUMBER(CC201)),IFERROR(CD201/CC201-1,""),"")</f>
        <v>0.19358076990132</v>
      </c>
      <c r="CE214" s="256">
        <f>IF(AND(ISNUMBER(CE201),ISNUMBER(CD201)),IFERROR(CE201/CD201-1,""),"")</f>
        <v>0.174009131572579</v>
      </c>
      <c r="CF214" s="256">
        <f>IF(AND(ISNUMBER(CF201),ISNUMBER(CE201)),IFERROR(CF201/CE201-1,""),"")</f>
        <v>0.17203822618764</v>
      </c>
      <c r="CG214" s="153" t="n"/>
    </row>
    <row r="215" ht="15" customHeight="1" s="251">
      <c r="B215" s="25" t="inlineStr">
        <is>
          <t xml:space="preserve">  Gross margin %</t>
        </is>
      </c>
      <c r="C215" s="215">
        <f>IF(AND(ISNUMBER(C125),ISNUMBER(C121)),IFERROR(C125/C121,""),"")</f>
        <v>0.37091385226657</v>
      </c>
      <c r="D215" s="215">
        <f>IF(AND(ISNUMBER(D125),ISNUMBER(D121)),IFERROR(D125/D121,""),"")</f>
        <v>0.347762457066056</v>
      </c>
      <c r="E215" s="215">
        <f>IF(AND(ISNUMBER(E125),ISNUMBER(E121)),IFERROR(E125/E121,""),"")</f>
        <v>0.332996253281951</v>
      </c>
      <c r="F215" s="215">
        <f>IF(AND(ISNUMBER(F125),ISNUMBER(F121)),IFERROR(F125/F121,""),"")</f>
        <v>0.35383402314238</v>
      </c>
      <c r="G215" s="215">
        <f>IF(AND(ISNUMBER(G125),ISNUMBER(G121)),IFERROR(G125/G121,""),"")</f>
        <v>0.372357667186868</v>
      </c>
      <c r="H215" s="215">
        <f>IF(AND(ISNUMBER(H125),ISNUMBER(H121)),IFERROR(H125/H121,""),"")</f>
        <v>0.363441415200821</v>
      </c>
      <c r="I215" s="215">
        <f>IF(AND(ISNUMBER(I125),ISNUMBER(I121)),IFERROR(I125/I121,""),"")</f>
        <v>0.272468596247121</v>
      </c>
      <c r="J215" s="215">
        <f>IF(AND(ISNUMBER(J125),ISNUMBER(J121)),IFERROR(J125/J121,""),"")</f>
        <v>0.290145816100418</v>
      </c>
      <c r="K215" s="215">
        <f>IF(AND(ISNUMBER(K125),ISNUMBER(K121)),IFERROR(K125/K121,""),"")</f>
        <v>0.295357462136656</v>
      </c>
      <c r="L215" s="215">
        <f>IF(AND(ISNUMBER(L125),ISNUMBER(L121)),IFERROR(L125/L121,""),"")</f>
        <v>0.284792300897198</v>
      </c>
      <c r="M215" s="215">
        <f>IF(AND(ISNUMBER(M125),ISNUMBER(M121)),IFERROR(M125/M121,""),"")</f>
        <v>0.309199901295917</v>
      </c>
      <c r="N215" s="215">
        <f>IF(AND(ISNUMBER(N125),ISNUMBER(N121)),IFERROR(N125/N121,""),"")</f>
        <v>0.29518520939925</v>
      </c>
      <c r="O215" s="215">
        <f>IF(AND(ISNUMBER(O125),ISNUMBER(O121)),IFERROR(O125/O121,""),"")</f>
        <v>0.315649533221688</v>
      </c>
      <c r="P215" s="215">
        <f>IF(AND(ISNUMBER(P125),ISNUMBER(P121)),IFERROR(P125/P121,""),"")</f>
        <v>0.317484913164434</v>
      </c>
      <c r="Q215" s="215">
        <f>IF(AND(ISNUMBER(Q125),ISNUMBER(Q121)),IFERROR(Q125/Q121,""),"")</f>
        <v>0.322852042524932</v>
      </c>
      <c r="R215" s="215">
        <f>IF(AND(ISNUMBER(R125),ISNUMBER(R121)),IFERROR(R125/R121,""),"")</f>
        <v>0.316823014047017</v>
      </c>
      <c r="S215" s="215">
        <f>IF(AND(ISNUMBER(S125),ISNUMBER(S121)),IFERROR(S125/S121,""),"")</f>
        <v>0.318257126330873</v>
      </c>
      <c r="T215" s="215">
        <f>IF(AND(ISNUMBER(T125),ISNUMBER(T121)),IFERROR(T125/T121,""),"")</f>
        <v>0.334828230869814</v>
      </c>
      <c r="U215" s="215">
        <f>IF(AND(ISNUMBER(U125),ISNUMBER(U121)),IFERROR(U125/U121,""),"")</f>
        <v>0.317957018144409</v>
      </c>
      <c r="V215" s="215">
        <f>IF(AND(ISNUMBER(V125),ISNUMBER(V121)),IFERROR(V125/V121,""),"")</f>
        <v>0.324673038591082</v>
      </c>
      <c r="W215" s="215">
        <f>IF(AND(ISNUMBER(W125),ISNUMBER(W121)),IFERROR(W125/W121,""),"")</f>
        <v>0.314790551150009</v>
      </c>
      <c r="X215" s="215">
        <f>IF(AND(ISNUMBER(X125),ISNUMBER(X121)),IFERROR(X125/X121,""),"")</f>
        <v>0.322742303980331</v>
      </c>
      <c r="Y215" s="215">
        <f>IF(AND(ISNUMBER(Y125),ISNUMBER(Y121)),IFERROR(Y125/Y121,""),"")</f>
        <v>0.300447046997144</v>
      </c>
      <c r="Z215" s="215">
        <f>IF(AND(ISNUMBER(Z125),ISNUMBER(Z121)),IFERROR(Z125/Z121,""),"")</f>
        <v>0.300258787271922</v>
      </c>
      <c r="AA215" s="215">
        <f>IF(AND(ISNUMBER(AA125),ISNUMBER(AA121)),IFERROR(AA125/AA121,""),"")</f>
        <v>0.330690755518761</v>
      </c>
      <c r="AB215" s="215">
        <f>IF(AND(ISNUMBER(AB125),ISNUMBER(AB121)),IFERROR(AB125/AB121,""),"")</f>
        <v>0.33223345244337</v>
      </c>
      <c r="AC215" s="215">
        <f>IF(AND(ISNUMBER(AC125),ISNUMBER(AC121)),IFERROR(AC125/AC121,""),"")</f>
        <v>0.317163739236518</v>
      </c>
      <c r="AD215" s="215">
        <f>IF(AND(ISNUMBER(AD125),ISNUMBER(AD121)),IFERROR(AD125/AD121,""),"")</f>
        <v>0.371538343380862</v>
      </c>
      <c r="AE215" s="215">
        <f>IF(AND(ISNUMBER(AE125),ISNUMBER(AE121)),IFERROR(AE125/AE121,""),"")</f>
        <v>0.317058845492169</v>
      </c>
      <c r="AF215" s="215">
        <f>IF(AND(ISNUMBER(AF125),ISNUMBER(AF121)),IFERROR(AF125/AF121,""),"")</f>
        <v>0.332303468941079</v>
      </c>
      <c r="AG215" s="215">
        <f>IF(AND(ISNUMBER(AG125),ISNUMBER(AG121)),IFERROR(AG125/AG121,""),"")</f>
        <v>0.3586393385995</v>
      </c>
      <c r="AH215" s="215">
        <f>IF(AND(ISNUMBER(AH125),ISNUMBER(AH121)),IFERROR(AH125/AH121,""),"")</f>
        <v>0.344919694856104</v>
      </c>
      <c r="AI215" s="215">
        <f>IF(AND(ISNUMBER(AI125),ISNUMBER(AI121)),IFERROR(AI125/AI121,""),"")</f>
        <v>0.378365707825433</v>
      </c>
      <c r="AJ215" s="215">
        <f>IF(AND(ISNUMBER(AJ125),ISNUMBER(AJ121)),IFERROR(AJ125/AJ121,""),"")</f>
        <v>0.385138216708853</v>
      </c>
      <c r="AK215" s="215">
        <f>IF(AND(ISNUMBER(AK125),ISNUMBER(AK121)),IFERROR(AK125/AK121,""),"")</f>
        <v>0.367118954116319</v>
      </c>
      <c r="AL215" s="215">
        <f>IF(AND(ISNUMBER(AL125),ISNUMBER(AL121)),IFERROR(AL125/AL121,""),"")</f>
        <v>0.347145019359465</v>
      </c>
      <c r="AM215" s="215">
        <f>IF(AND(ISNUMBER(AM125),ISNUMBER(AM121)),IFERROR(AM125/AM121,""),"")</f>
        <v>0.368917133041512</v>
      </c>
      <c r="AN215" s="215">
        <f>IF(AND(ISNUMBER(AN125),ISNUMBER(AN121)),IFERROR(AN125/AN121,""),"")</f>
        <v>0.365047759429789</v>
      </c>
      <c r="AO215" s="215">
        <f>IF(AND(ISNUMBER(AO125),ISNUMBER(AO121)),IFERROR(AO125/AO121,""),"")</f>
        <v>0.389480767871405</v>
      </c>
      <c r="AP215" s="215">
        <f>IF(AND(ISNUMBER(AP125),ISNUMBER(AP121)),IFERROR(AP125/AP121,""),"")</f>
        <v>0.409346975779352</v>
      </c>
      <c r="AQ215" s="215">
        <f>IF(AND(ISNUMBER(AQ125),ISNUMBER(AQ121)),IFERROR(AQ125/AQ121,""),"")</f>
        <v>0.366060385914124</v>
      </c>
      <c r="AR215" s="215">
        <f>IF(AND(ISNUMBER(AR125),ISNUMBER(AR121)),IFERROR(AR125/AR121,""),"")</f>
        <v>0.382817170109395</v>
      </c>
      <c r="AS215" s="215">
        <f>IF(AND(ISNUMBER(AS125),ISNUMBER(AS121)),IFERROR(AS125/AS121,""),"")</f>
        <v>0.375885254601885</v>
      </c>
      <c r="AT215" s="215">
        <f>IF(AND(ISNUMBER(AT125),ISNUMBER(AT121)),IFERROR(AT125/AT121,""),"")</f>
        <v>0.407362149386024</v>
      </c>
      <c r="AU215" s="215">
        <f>IF(AND(ISNUMBER(AU125),ISNUMBER(AU121)),IFERROR(AU125/AU121,""),"")</f>
        <v>0.399010385452132</v>
      </c>
      <c r="AV215" s="215">
        <f>IF(AND(ISNUMBER(AV125),ISNUMBER(AV121)),IFERROR(AV125/AV121,""),"")</f>
        <v>0.373136224230718</v>
      </c>
      <c r="AW215" s="215">
        <f>IF(AND(ISNUMBER(AW125),ISNUMBER(AW121)),IFERROR(AW125/AW121,""),"")</f>
        <v>0.388850825106169</v>
      </c>
      <c r="AX215" s="215">
        <f>IF(AND(ISNUMBER(AX125),ISNUMBER(AX121)),IFERROR(AX125/AX121,""),"")</f>
        <v>0.459952714412193</v>
      </c>
      <c r="AY215" s="215">
        <f>IF(AND(ISNUMBER(AY125),ISNUMBER(AY121)),IFERROR(AY125/AY121,""),"")</f>
        <v>0.452719961393543</v>
      </c>
      <c r="AZ215" s="215">
        <f>IF(AND(ISNUMBER(AZ125),ISNUMBER(AZ121)),IFERROR(AZ125/AZ121,""),"")</f>
        <v>0.437882334484805</v>
      </c>
      <c r="BA215" s="215">
        <f>IF(AND(ISNUMBER(BA125),ISNUMBER(BA121)),IFERROR(BA125/BA121,""),"")</f>
        <v>0.320358169166196</v>
      </c>
      <c r="BB215" s="215">
        <f>IF(AND(ISNUMBER(BB125),ISNUMBER(BB121)),IFERROR(BB125/BB121,""),"")</f>
        <v>0.416365612264648</v>
      </c>
      <c r="BC215" s="215">
        <f>IF(AND(ISNUMBER(BC125),ISNUMBER(BC121)),IFERROR(BC125/BC121,""),"")</f>
        <v>0.455410283502295</v>
      </c>
      <c r="BD215" s="215">
        <f>IF(AND(ISNUMBER(BD125),ISNUMBER(BD121)),IFERROR(BD125/BD121,""),"")</f>
        <v>0.411458969170056</v>
      </c>
      <c r="BE215" s="215">
        <f>IF(AND(ISNUMBER(BE125),ISNUMBER(BE121)),IFERROR(BE125/BE121,""),"")</f>
        <v>0.395796955910785</v>
      </c>
      <c r="BF215" s="215">
        <f>IF(AND(ISNUMBER(BF125),ISNUMBER(BF121)),IFERROR(BF125/BF121,""),"")</f>
        <v>0.311751971108702</v>
      </c>
      <c r="BG215" s="215">
        <f>IF(AND(ISNUMBER(BG125),ISNUMBER(BG121)),IFERROR(BG125/BG121,""),"")</f>
        <v>0.393707052384033</v>
      </c>
      <c r="BH215" s="215">
        <f>IF(AND(ISNUMBER(BH125),ISNUMBER(BH121)),IFERROR(BH125/BH121,""),"")</f>
        <v>0.411428875294171</v>
      </c>
      <c r="BI215" s="215">
        <f>IF(AND(ISNUMBER(BI125),ISNUMBER(BI121)),IFERROR(BI125/BI121,""),"")</f>
        <v>0.42918062985592</v>
      </c>
      <c r="BJ215" s="215">
        <f>IF(AND(ISNUMBER(BJ125),ISNUMBER(BJ121)),IFERROR(BJ125/BJ121,""),"")</f>
        <v>0.422737104743476</v>
      </c>
      <c r="BK215" s="215">
        <f>IF(AND(ISNUMBER(BK125),ISNUMBER(BK121)),IFERROR(BK125/BK121,""),"")</f>
        <v>0.399118062454538</v>
      </c>
      <c r="BL215" s="215">
        <f>IF(AND(ISNUMBER(BL125),ISNUMBER(BL121)),IFERROR(BL125/BL121,""),"")</f>
        <v>0.415378395534695</v>
      </c>
      <c r="BM215" s="215">
        <f>IF(AND(ISNUMBER(BM125),ISNUMBER(BM121)),IFERROR(BM125/BM121,""),"")</f>
        <v>0.468853863852711</v>
      </c>
      <c r="BN215" s="215">
        <f>IF(AND(ISNUMBER(BN125),ISNUMBER(BN121)),IFERROR(BN125/BN121,""),"")</f>
        <v>0.458732586347759</v>
      </c>
      <c r="BO215" s="215">
        <f>IF(AND(ISNUMBER(BO125),ISNUMBER(BO121)),IFERROR(BO125/BO121,""),"")</f>
        <v>0.47887646069301</v>
      </c>
      <c r="BP215" s="215">
        <f>IF(AND(ISNUMBER(BP125),ISNUMBER(BP121)),IFERROR(BP125/BP121,""),"")</f>
        <v>0.437138858848859</v>
      </c>
      <c r="BQ215" s="215">
        <f>IF(AND(ISNUMBER(BQ125),ISNUMBER(BQ121)),IFERROR(BQ125/BQ121,""),"")</f>
        <v>0.460565566504173</v>
      </c>
      <c r="BR215" s="215">
        <f>IF(AND(ISNUMBER(BR125),ISNUMBER(BR121)),IFERROR(BR125/BR121,""),"")</f>
        <v>0.500782856472393</v>
      </c>
      <c r="BS215" s="215">
        <f>IF(AND(ISNUMBER(BS125),ISNUMBER(BS121)),IFERROR(BS125/BS121,""),"")</f>
        <v>0.519340083901622</v>
      </c>
      <c r="BT215" s="215">
        <f>IF(AND(ISNUMBER(BT125),ISNUMBER(BT121)),IFERROR(BT125/BT121,""),"")</f>
        <v>0.464458245987705</v>
      </c>
      <c r="BU215" s="215">
        <f>IF(AND(ISNUMBER(BU125),ISNUMBER(BU121)),IFERROR(BU125/BU121,""),"")</f>
        <v>0.458737878982259</v>
      </c>
      <c r="BV215" s="215">
        <f>IF(AND(ISNUMBER(BV125),ISNUMBER(BV121)),IFERROR(BV125/BV121,""),"")</f>
        <v>0.48486575802476</v>
      </c>
      <c r="BW215" s="215">
        <f>IF(AND(ISNUMBER(BW125),ISNUMBER(BW121)),IFERROR(BW125/BW121,""),"")</f>
        <v>0.51931797504228</v>
      </c>
      <c r="BX215" s="215">
        <f>IF(AND(ISNUMBER(BX125),ISNUMBER(BX121)),IFERROR(BX125/BX121,""),"")</f>
        <v>0.51934754773471</v>
      </c>
      <c r="BY215" s="256">
        <f>IF(AND(ISNUMBER(BY125),ISNUMBER(BY121)),IFERROR(BY125/BY121,""),"")</f>
        <v>0.525391272920647</v>
      </c>
      <c r="BZ215" s="256">
        <f>IF(AND(ISNUMBER(BZ125),ISNUMBER(BZ121)),IFERROR(BZ125/BZ121,""),"")</f>
        <v>0.480832672961976</v>
      </c>
      <c r="CA215" s="256">
        <f>IF(AND(ISNUMBER(CA125),ISNUMBER(CA121)),IFERROR(CA125/CA121,""),"")</f>
        <v>0.510680400173834</v>
      </c>
      <c r="CB215" s="256">
        <f>IF(AND(ISNUMBER(CB125),ISNUMBER(CB121)),IFERROR(CB125/CB121,""),"")</f>
        <v>0.524</v>
      </c>
      <c r="CC215" s="256">
        <f>IF(AND(ISNUMBER(CC125),ISNUMBER(CC121)),IFERROR(CC125/CC121,""),"")</f>
        <v>0.535</v>
      </c>
      <c r="CD215" s="256">
        <f>IF(AND(ISNUMBER(CD125),ISNUMBER(CD121)),IFERROR(CD125/CD121,""),"")</f>
        <v>0.547</v>
      </c>
      <c r="CE215" s="256">
        <f>IF(AND(ISNUMBER(CE125),ISNUMBER(CE121)),IFERROR(CE125/CE121,""),"")</f>
        <v>0.556</v>
      </c>
      <c r="CF215" s="256">
        <f>IF(AND(ISNUMBER(CF125),ISNUMBER(CF121)),IFERROR(CF125/CF121,""),"")</f>
        <v>0.563</v>
      </c>
      <c r="CG215" s="153" t="n"/>
      <c r="CI215" s="37">
        <f>IFERROR(AVERAGE(CB215,CC215,CD215,CE215,CF215),"n/m")</f>
        <v>0.545</v>
      </c>
      <c r="CJ215" s="37">
        <f>IFERROR(AVERAGE(BB215,BG215,BL215,BQ215,BV215),"n/m")</f>
        <v>0.434176476942462</v>
      </c>
      <c r="CK215" s="37">
        <f>IFERROR(AVERAGE(AC215,AH215,AM215,AR215,AW215,BB215,BG215,BL215,BQ215,BV215),"n/m")</f>
        <v>0.397355094706201</v>
      </c>
      <c r="CL215" s="37">
        <f>IFERROR(AVERAGE(C215,D215,E215,F215,G215,H215,I215,N215,S215,X215,AC215,AH215,AM215,AR215,AW215,BB215,BG215,BL215,BQ215,BV215),"n/m")</f>
        <v>0.366175492558211</v>
      </c>
    </row>
    <row r="216" ht="15" customHeight="1" s="251">
      <c r="B216" s="25" t="inlineStr">
        <is>
          <t xml:space="preserve">  Content amortization % of revenue</t>
        </is>
      </c>
      <c r="C216" s="215">
        <f>IF(AND(ISNUMBER(C96),ISNUMBER(C121)),IFERROR(C96/C121,""),"")</f>
        <v>0.141633054401702</v>
      </c>
      <c r="D216" s="215">
        <f>IF(AND(ISNUMBER(D96),ISNUMBER(D121)),IFERROR(D96/D121,""),"")</f>
        <v>0.168761511274827</v>
      </c>
      <c r="E216" s="215">
        <f>IF(AND(ISNUMBER(E96),ISNUMBER(E121)),IFERROR(E96/E121,""),"")</f>
        <v>0.153706305082361</v>
      </c>
      <c r="F216" s="215">
        <f>IF(AND(ISNUMBER(F96),ISNUMBER(F121)),IFERROR(F96/F121,""),"")</f>
        <v>0.131409970489783</v>
      </c>
      <c r="G216" s="215">
        <f>IF(AND(ISNUMBER(G96),ISNUMBER(G121)),IFERROR(G96/G121,""),"")</f>
        <v>0.138995896190972</v>
      </c>
      <c r="H216" s="215">
        <f>IF(AND(ISNUMBER(H96),ISNUMBER(H121)),IFERROR(H96/H121,""),"")</f>
        <v>0.248354775060796</v>
      </c>
      <c r="I216" s="215">
        <f>IF(AND(ISNUMBER(I96),ISNUMBER(I121)),IFERROR(I96/I121,""),"")</f>
        <v>0.458987133729091</v>
      </c>
      <c r="J216" s="215">
        <f>IF(AND(ISNUMBER(J96),ISNUMBER(J121)),IFERROR(J96/J121,""),"")</f>
        <v>0.492183784343349</v>
      </c>
      <c r="K216" s="215">
        <f>IF(AND(ISNUMBER(K96),ISNUMBER(K121)),IFERROR(K96/K121,""),"")</f>
        <v>0.493709392054402</v>
      </c>
      <c r="L216" s="215">
        <f>IF(AND(ISNUMBER(L96),ISNUMBER(L121)),IFERROR(L96/L121,""),"")</f>
        <v>0.516221081574215</v>
      </c>
      <c r="M216" s="215">
        <f>IF(AND(ISNUMBER(M96),ISNUMBER(M121)),IFERROR(M96/M121,""),"")</f>
        <v>0.50239527581835</v>
      </c>
      <c r="N216" s="215">
        <f>IF(AND(ISNUMBER(N96),ISNUMBER(N121)),IFERROR(N96/N121,""),"")</f>
        <v>0.501377280742621</v>
      </c>
      <c r="O216" s="215">
        <f>IF(AND(ISNUMBER(O96),ISNUMBER(O121)),IFERROR(O96/O121,""),"")</f>
        <v>0.485679350029801</v>
      </c>
      <c r="P216" s="215">
        <f>IF(AND(ISNUMBER(P96),ISNUMBER(P121)),IFERROR(P96/P121,""),"")</f>
        <v>0.489373749913273</v>
      </c>
      <c r="Q216" s="215">
        <f>IF(AND(ISNUMBER(Q96),ISNUMBER(Q121)),IFERROR(Q96/Q121,""),"")</f>
        <v>0.49979211483775</v>
      </c>
      <c r="R216" s="215">
        <f>IF(AND(ISNUMBER(R96),ISNUMBER(R121)),IFERROR(R96/R121,""),"")</f>
        <v>0.505500670829943</v>
      </c>
      <c r="S216" s="215">
        <f>IF(AND(ISNUMBER(S96),ISNUMBER(S121)),IFERROR(S96/S121,""),"")</f>
        <v>0.49553868579617</v>
      </c>
      <c r="T216" s="215">
        <f>IF(AND(ISNUMBER(T96),ISNUMBER(T121)),IFERROR(T96/T121,""),"")</f>
        <v>0.489917228657027</v>
      </c>
      <c r="U216" s="215">
        <f>IF(AND(ISNUMBER(U96),ISNUMBER(U121)),IFERROR(U96/U121,""),"")</f>
        <v>0.512808461634809</v>
      </c>
      <c r="V216" s="215">
        <f>IF(AND(ISNUMBER(V96),ISNUMBER(V121)),IFERROR(V96/V121,""),"")</f>
        <v>0.511973676262904</v>
      </c>
      <c r="W216" s="215">
        <f>IF(AND(ISNUMBER(W96),ISNUMBER(W121)),IFERROR(W96/W121,""),"")</f>
        <v>0.537835930134539</v>
      </c>
      <c r="X216" s="215">
        <f>IF(AND(ISNUMBER(X96),ISNUMBER(X121)),IFERROR(X96/X121,""),"")</f>
        <v>0.51401376883967</v>
      </c>
      <c r="Y216" s="215">
        <f>IF(AND(ISNUMBER(Y96),ISNUMBER(Y121)),IFERROR(Y96/Y121,""),"")</f>
        <v>0.551127424739597</v>
      </c>
      <c r="Z216" s="215">
        <f>IF(AND(ISNUMBER(Z96),ISNUMBER(Z121)),IFERROR(Z96/Z121,""),"")</f>
        <v>0.567822405809603</v>
      </c>
      <c r="AA216" s="215">
        <f>IF(AND(ISNUMBER(AA96),ISNUMBER(AA121)),IFERROR(AA96/AA121,""),"")</f>
        <v>0.542921367154138</v>
      </c>
      <c r="AB216" s="215">
        <f>IF(AND(ISNUMBER(AB96),ISNUMBER(AB121)),IFERROR(AB96/AB121,""),"")</f>
        <v>0.544779682758025</v>
      </c>
      <c r="AC216" s="215">
        <f>IF(AND(ISNUMBER(AC96),ISNUMBER(AC121)),IFERROR(AC96/AC121,""),"")</f>
        <v>0.551198329367798</v>
      </c>
      <c r="AD216" s="215">
        <f>IF(AND(ISNUMBER(AD96),ISNUMBER(AD121)),IFERROR(AD96/AD121,""),"")</f>
        <v>0.502261784433568</v>
      </c>
      <c r="AE216" s="215">
        <f>IF(AND(ISNUMBER(AE96),ISNUMBER(AE121)),IFERROR(AE96/AE121,""),"")</f>
        <v>0.562672861684804</v>
      </c>
      <c r="AF216" s="215">
        <f>IF(AND(ISNUMBER(AF96),ISNUMBER(AF121)),IFERROR(AF96/AF121,""),"")</f>
        <v>0.549686266587467</v>
      </c>
      <c r="AG216" s="215">
        <f>IF(AND(ISNUMBER(AG96),ISNUMBER(AG121)),IFERROR(AG96/AG121,""),"")</f>
        <v>0.525344098997034</v>
      </c>
      <c r="AH216" s="215">
        <f>IF(AND(ISNUMBER(AH96),ISNUMBER(AH121)),IFERROR(AH96/AH121,""),"")</f>
        <v>0.53524566967478</v>
      </c>
      <c r="AI216" s="215">
        <f>IF(AND(ISNUMBER(AI96),ISNUMBER(AI121)),IFERROR(AI96/AI121,""),"")</f>
        <v>0.475559708348555</v>
      </c>
      <c r="AJ216" s="215">
        <f>IF(AND(ISNUMBER(AJ96),ISNUMBER(AJ121)),IFERROR(AJ96/AJ121,""),"")</f>
        <v>0.468094347204058</v>
      </c>
      <c r="AK216" s="215">
        <f>IF(AND(ISNUMBER(AK96),ISNUMBER(AK121)),IFERROR(AK96/AK121,""),"")</f>
        <v>0.48050669929844</v>
      </c>
      <c r="AL216" s="215">
        <f>IF(AND(ISNUMBER(AL96),ISNUMBER(AL121)),IFERROR(AL96/AL121,""),"")</f>
        <v>0.492644693218587</v>
      </c>
      <c r="AM216" s="215">
        <f>IF(AND(ISNUMBER(AM96),ISNUMBER(AM121)),IFERROR(AM96/AM121,""),"")</f>
        <v>0.479494522753434</v>
      </c>
      <c r="AN216" s="215">
        <f>IF(AND(ISNUMBER(AN96),ISNUMBER(AN121)),IFERROR(AN96/AN121,""),"")</f>
        <v>0.471842241702706</v>
      </c>
      <c r="AO216" s="215">
        <f>IF(AND(ISNUMBER(AO96),ISNUMBER(AO121)),IFERROR(AO96/AO121,""),"")</f>
        <v>0.45490924853284</v>
      </c>
      <c r="AP216" s="215">
        <f>IF(AND(ISNUMBER(AP96),ISNUMBER(AP121)),IFERROR(AP96/AP121,""),"")</f>
        <v>0.435971862216761</v>
      </c>
      <c r="AQ216" s="215">
        <f>IF(AND(ISNUMBER(AQ96),ISNUMBER(AQ121)),IFERROR(AQ96/AQ121,""),"")</f>
        <v>0.467650821207901</v>
      </c>
      <c r="AR216" s="215">
        <f>IF(AND(ISNUMBER(AR96),ISNUMBER(AR121)),IFERROR(AR96/AR121,""),"")</f>
        <v>0.457235692381698</v>
      </c>
      <c r="AS216" s="215">
        <f>IF(AND(ISNUMBER(AS96),ISNUMBER(AS121)),IFERROR(AS96/AS121,""),"")</f>
        <v>0.430568315813035</v>
      </c>
      <c r="AT216" s="215">
        <f>IF(AND(ISNUMBER(AT96),ISNUMBER(AT121)),IFERROR(AT96/AT121,""),"")</f>
        <v>0.424046474090503</v>
      </c>
      <c r="AU216" s="215">
        <f>IF(AND(ISNUMBER(AU96),ISNUMBER(AU121)),IFERROR(AU96/AU121,""),"")</f>
        <v>0.424782037893063</v>
      </c>
      <c r="AV216" s="215">
        <f>IF(AND(ISNUMBER(AV96),ISNUMBER(AV121)),IFERROR(AV96/AV121,""),"")</f>
        <v>0.448890215310782</v>
      </c>
      <c r="AW216" s="215">
        <f>IF(AND(ISNUMBER(AW96),ISNUMBER(AW121)),IFERROR(AW96/AW121,""),"")</f>
        <v>0.432344686697773</v>
      </c>
      <c r="AX216" s="215">
        <f>IF(AND(ISNUMBER(AX96),ISNUMBER(AX121)),IFERROR(AX96/AX121,""),"")</f>
        <v>0.379601975742404</v>
      </c>
      <c r="AY216" s="215">
        <f>IF(AND(ISNUMBER(AY96),ISNUMBER(AY121)),IFERROR(AY96/AY121,""),"")</f>
        <v>0.382305673408495</v>
      </c>
      <c r="AZ216" s="215">
        <f>IF(AND(ISNUMBER(AZ96),ISNUMBER(AZ121)),IFERROR(AZ96/AZ121,""),"")</f>
        <v>0.395946290669819</v>
      </c>
      <c r="BA216" s="215">
        <f>IF(AND(ISNUMBER(BA96),ISNUMBER(BA121)),IFERROR(BA96/BA121,""),"")</f>
        <v>0.485298051007884</v>
      </c>
      <c r="BB216" s="215">
        <f>IF(AND(ISNUMBER(BB96),ISNUMBER(BB121)),IFERROR(BB96/BB121,""),"")</f>
        <v>0.411826764259385</v>
      </c>
      <c r="BC216" s="215">
        <f>IF(AND(ISNUMBER(BC96),ISNUMBER(BC121)),IFERROR(BC96/BC121,""),"")</f>
        <v>0.402447733899593</v>
      </c>
      <c r="BD216" s="215">
        <f>IF(AND(ISNUMBER(BD96),ISNUMBER(BD121)),IFERROR(BD96/BD121,""),"")</f>
        <v>0.409195772069779</v>
      </c>
      <c r="BE216" s="215">
        <f>IF(AND(ISNUMBER(BE96),ISNUMBER(BE121)),IFERROR(BE96/BE121,""),"")</f>
        <v>0.460986811201035</v>
      </c>
      <c r="BF216" s="215">
        <f>IF(AND(ISNUMBER(BF96),ISNUMBER(BF121)),IFERROR(BF96/BF121,""),"")</f>
        <v>0.502394341963815</v>
      </c>
      <c r="BG216" s="215">
        <f>IF(AND(ISNUMBER(BG96),ISNUMBER(BG121)),IFERROR(BG96/BG121,""),"")</f>
        <v>0.443646623259757</v>
      </c>
      <c r="BH216" s="215">
        <f>IF(AND(ISNUMBER(BH96),ISNUMBER(BH121)),IFERROR(BH96/BH121,""),"")</f>
        <v>0.423939561132306</v>
      </c>
      <c r="BI216" s="215">
        <f>IF(AND(ISNUMBER(BI96),ISNUMBER(BI121)),IFERROR(BI96/BI121,""),"")</f>
        <v>0.416501237709472</v>
      </c>
      <c r="BJ216" s="215">
        <f>IF(AND(ISNUMBER(BJ96),ISNUMBER(BJ121)),IFERROR(BJ96/BJ121,""),"")</f>
        <v>0.418343700551227</v>
      </c>
      <c r="BK216" s="215">
        <f>IF(AND(ISNUMBER(BK96),ISNUMBER(BK121)),IFERROR(BK96/BK121,""),"")</f>
        <v>0.42501453385525</v>
      </c>
      <c r="BL216" s="215">
        <f>IF(AND(ISNUMBER(BL96),ISNUMBER(BL121)),IFERROR(BL96/BL121,""),"")</f>
        <v>0.420997893533364</v>
      </c>
      <c r="BM216" s="215">
        <f>IF(AND(ISNUMBER(BM96),ISNUMBER(BM121)),IFERROR(BM96/BM121,""),"")</f>
        <v>0.391743077166067</v>
      </c>
      <c r="BN216" s="215">
        <f>IF(AND(ISNUMBER(BN96),ISNUMBER(BN121)),IFERROR(BN96/BN121,""),"")</f>
        <v>0.394347499976463</v>
      </c>
      <c r="BO216" s="215">
        <f>IF(AND(ISNUMBER(BO96),ISNUMBER(BO121)),IFERROR(BO96/BO121,""),"")</f>
        <v>0.376552960430458</v>
      </c>
      <c r="BP216" s="215">
        <f>IF(AND(ISNUMBER(BP96),ISNUMBER(BP121)),IFERROR(BP96/BP121,""),"")</f>
        <v>0.406138263817164</v>
      </c>
      <c r="BQ216" s="215">
        <f>IF(AND(ISNUMBER(BQ96),ISNUMBER(BQ121)),IFERROR(BQ96/BQ121,""),"")</f>
        <v>0.392336871861071</v>
      </c>
      <c r="BR216" s="215">
        <f>IF(AND(ISNUMBER(BR96),ISNUMBER(BR121)),IFERROR(BR96/BR121,""),"")</f>
        <v>0.362627730524365</v>
      </c>
      <c r="BS216" s="215">
        <f>IF(AND(ISNUMBER(BS96),ISNUMBER(BS121)),IFERROR(BS96/BS121,""),"")</f>
        <v>0.345881088883405</v>
      </c>
      <c r="BT216" s="215">
        <f>IF(AND(ISNUMBER(BT96),ISNUMBER(BT121)),IFERROR(BT96/BT121,""),"")</f>
        <v>0.347753018229662</v>
      </c>
      <c r="BU216" s="215">
        <f>IF(AND(ISNUMBER(BU96),ISNUMBER(BU121)),IFERROR(BU96/BU121,""),"")</f>
        <v>0.395347281773551</v>
      </c>
      <c r="BV216" s="215">
        <f>IF(AND(ISNUMBER(BV96),ISNUMBER(BV121)),IFERROR(BV96/BV121,""),"")</f>
        <v>0.363458666212691</v>
      </c>
      <c r="BW216" s="215">
        <f>IF(AND(ISNUMBER(BW96),ISNUMBER(BW121)),IFERROR(BW96/BW121,""),"")</f>
        <v>0.344325197634533</v>
      </c>
      <c r="BX216" s="215">
        <f>IF(AND(ISNUMBER(BX96),ISNUMBER(BX121)),IFERROR(BX96/BX121,""),"")</f>
        <v>0.343258780417547</v>
      </c>
      <c r="BY216" s="256">
        <f>IF(AND(ISNUMBER(BY96),ISNUMBER(BY121)),IFERROR(BY96/BY121,""),"")</f>
        <v>0.338528654534318</v>
      </c>
      <c r="BZ216" s="256">
        <f>IF(AND(ISNUMBER(BZ96),ISNUMBER(BZ121)),IFERROR(BZ96/BZ121,""),"")</f>
        <v>0.382969571099002</v>
      </c>
      <c r="CA216" s="256">
        <f>IF(AND(ISNUMBER(CA96),ISNUMBER(CA121)),IFERROR(CA96/CA121,""),"")</f>
        <v>0.35281997265625</v>
      </c>
      <c r="CB216" s="256">
        <f>IF(AND(ISNUMBER(CB96),ISNUMBER(CB121)),IFERROR(CB96/CB121,""),"")</f>
        <v>0.344817402351796</v>
      </c>
      <c r="CC216" s="256">
        <f>IF(AND(ISNUMBER(CC96),ISNUMBER(CC121)),IFERROR(CC96/CC121,""),"")</f>
        <v>0.336866780339138</v>
      </c>
      <c r="CD216" s="256">
        <f>IF(AND(ISNUMBER(CD96),ISNUMBER(CD121)),IFERROR(CD96/CD121,""),"")</f>
        <v>0.330521639594313</v>
      </c>
      <c r="CE216" s="256">
        <f>IF(AND(ISNUMBER(CE96),ISNUMBER(CE121)),IFERROR(CE96/CE121,""),"")</f>
        <v>0.325092496737066</v>
      </c>
      <c r="CF216" s="256">
        <f>IF(AND(ISNUMBER(CF96),ISNUMBER(CF121)),IFERROR(CF96/CF121,""),"")</f>
        <v>0.320570212107505</v>
      </c>
      <c r="CG216" s="153" t="n"/>
      <c r="CI216" s="37">
        <f>IFERROR(AVERAGE(CB216,CC216,CD216,CE216,CF216),"n/m")</f>
        <v>0.331573706225964</v>
      </c>
      <c r="CJ216" s="37">
        <f>IFERROR(AVERAGE(BB216,BG216,BL216,BQ216,BV216),"n/m")</f>
        <v>0.406453363825254</v>
      </c>
      <c r="CK216" s="37">
        <f>IFERROR(AVERAGE(AC216,AH216,AM216,AR216,AW216,BB216,BG216,BL216,BQ216,BV216),"n/m")</f>
        <v>0.448778572000175</v>
      </c>
      <c r="CL216" s="37">
        <f>IFERROR(AVERAGE(C216,D216,E216,F216,G216,H216,I216,N216,S216,X216,AC216,AH216,AM216,AR216,AW216,BB216,BG216,BL216,BQ216,BV216),"n/m")</f>
        <v>0.372028205080487</v>
      </c>
    </row>
    <row r="217" ht="15" customHeight="1" s="251">
      <c r="B217" s="25" t="inlineStr">
        <is>
          <t xml:space="preserve">  Operating margin %</t>
        </is>
      </c>
      <c r="C217" s="215">
        <f>IF(AND(ISNUMBER(C131),ISNUMBER(C121)),IFERROR(C131/C121,""),"")</f>
        <v>0.064629863744908</v>
      </c>
      <c r="D217" s="215">
        <f>IF(AND(ISNUMBER(D131),ISNUMBER(D121)),IFERROR(D131/D121,""),"")</f>
        <v>0.075630942306735</v>
      </c>
      <c r="E217" s="215">
        <f>IF(AND(ISNUMBER(E131),ISNUMBER(E121)),IFERROR(E131/E121,""),"")</f>
        <v>0.0890374972245854</v>
      </c>
      <c r="F217" s="215">
        <f>IF(AND(ISNUMBER(F131),ISNUMBER(F121)),IFERROR(F131/F121,""),"")</f>
        <v>0.114915022670001</v>
      </c>
      <c r="G217" s="215">
        <f>IF(AND(ISNUMBER(G131),ISNUMBER(G121)),IFERROR(G131/G121,""),"")</f>
        <v>0.131155886942951</v>
      </c>
      <c r="H217" s="215">
        <f>IF(AND(ISNUMBER(H131),ISNUMBER(H121)),IFERROR(H131/H121,""),"")</f>
        <v>0.117353397967969</v>
      </c>
      <c r="I217" s="215">
        <f>IF(AND(ISNUMBER(I131),ISNUMBER(I121)),IFERROR(I131/I121,""),"")</f>
        <v>0.0138509542895236</v>
      </c>
      <c r="J217" s="215">
        <f>IF(AND(ISNUMBER(J131),ISNUMBER(J121)),IFERROR(J131/J121,""),"")</f>
        <v>0.0310773554852186</v>
      </c>
      <c r="K217" s="215">
        <f>IF(AND(ISNUMBER(K131),ISNUMBER(K121)),IFERROR(K131/K121,""),"")</f>
        <v>0.0534117220200268</v>
      </c>
      <c r="L217" s="215">
        <f>IF(AND(ISNUMBER(L131),ISNUMBER(L121)),IFERROR(L131/L121,""),"")</f>
        <v>0.0516456163161088</v>
      </c>
      <c r="M217" s="215">
        <f>IF(AND(ISNUMBER(M131),ISNUMBER(M121)),IFERROR(M131/M121,""),"")</f>
        <v>0.0700186346502386</v>
      </c>
      <c r="N217" s="215">
        <f>IF(AND(ISNUMBER(N131),ISNUMBER(N121)),IFERROR(N131/N121,""),"")</f>
        <v>0.0521988258481649</v>
      </c>
      <c r="O217" s="215">
        <f>IF(AND(ISNUMBER(O131),ISNUMBER(O121)),IFERROR(O131/O121,""),"")</f>
        <v>0.0768410717674115</v>
      </c>
      <c r="P217" s="215">
        <f>IF(AND(ISNUMBER(P131),ISNUMBER(P121)),IFERROR(P131/P121,""),"")</f>
        <v>0.0966870510225625</v>
      </c>
      <c r="Q217" s="215">
        <f>IF(AND(ISNUMBER(Q131),ISNUMBER(Q121)),IFERROR(Q131/Q121,""),"")</f>
        <v>0.0783343928618053</v>
      </c>
      <c r="R217" s="215">
        <f>IF(AND(ISNUMBER(R131),ISNUMBER(R121)),IFERROR(R131/R121,""),"")</f>
        <v>0.0438100446681144</v>
      </c>
      <c r="S217" s="215">
        <f>IF(AND(ISNUMBER(S131),ISNUMBER(S121)),IFERROR(S131/S121,""),"")</f>
        <v>0.0731468051772898</v>
      </c>
      <c r="T217" s="215">
        <f>IF(AND(ISNUMBER(T131),ISNUMBER(T121)),IFERROR(T131/T121,""),"")</f>
        <v>0.0619504185607155</v>
      </c>
      <c r="U217" s="215">
        <f>IF(AND(ISNUMBER(U131),ISNUMBER(U121)),IFERROR(U131/U121,""),"")</f>
        <v>0.0455008652065369</v>
      </c>
      <c r="V217" s="215">
        <f>IF(AND(ISNUMBER(V131),ISNUMBER(V121)),IFERROR(V131/V121,""),"")</f>
        <v>0.0423624633633521</v>
      </c>
      <c r="W217" s="215">
        <f>IF(AND(ISNUMBER(W131),ISNUMBER(W121)),IFERROR(W131/W121,""),"")</f>
        <v>0.0328486348900613</v>
      </c>
      <c r="X217" s="215">
        <f>IF(AND(ISNUMBER(X131),ISNUMBER(X121)),IFERROR(X131/X121,""),"")</f>
        <v>0.0451103331788975</v>
      </c>
      <c r="Y217" s="215">
        <f>IF(AND(ISNUMBER(Y131),ISNUMBER(Y121)),IFERROR(Y131/Y121,""),"")</f>
        <v>0.0252603006738397</v>
      </c>
      <c r="Z217" s="215">
        <f>IF(AND(ISNUMBER(Z131),ISNUMBER(Z121)),IFERROR(Z131/Z121,""),"")</f>
        <v>0.0334266892899691</v>
      </c>
      <c r="AA217" s="215">
        <f>IF(AND(ISNUMBER(AA131),ISNUMBER(AA121)),IFERROR(AA131/AA121,""),"")</f>
        <v>0.0463001290723731</v>
      </c>
      <c r="AB217" s="215">
        <f>IF(AND(ISNUMBER(AB131),ISNUMBER(AB121)),IFERROR(AB131/AB121,""),"")</f>
        <v>0.0621317669414956</v>
      </c>
      <c r="AC217" s="215">
        <f>IF(AND(ISNUMBER(AC131),ISNUMBER(AC121)),IFERROR(AC131/AC121,""),"")</f>
        <v>0.0430084062713709</v>
      </c>
      <c r="AD217" s="215">
        <f>IF(AND(ISNUMBER(AD131),ISNUMBER(AD121)),IFERROR(AD131/AD121,""),"")</f>
        <v>0.0974507279164543</v>
      </c>
      <c r="AE217" s="215">
        <f>IF(AND(ISNUMBER(AE131),ISNUMBER(AE121)),IFERROR(AE131/AE121,""),"")</f>
        <v>0.0458835583586792</v>
      </c>
      <c r="AF217" s="215">
        <f>IF(AND(ISNUMBER(AF131),ISNUMBER(AF121)),IFERROR(AF131/AF121,""),"")</f>
        <v>0.0698950938721058</v>
      </c>
      <c r="AG217" s="215">
        <f>IF(AND(ISNUMBER(AG131),ISNUMBER(AG121)),IFERROR(AG131/AG121,""),"")</f>
        <v>0.0746565096910756</v>
      </c>
      <c r="AH217" s="215">
        <f>IF(AND(ISNUMBER(AH131),ISNUMBER(AH121)),IFERROR(AH131/AH121,""),"")</f>
        <v>0.0717266386338226</v>
      </c>
      <c r="AI217" s="215">
        <f>IF(AND(ISNUMBER(AI131),ISNUMBER(AI121)),IFERROR(AI131/AI121,""),"")</f>
        <v>0.12066883985759</v>
      </c>
      <c r="AJ217" s="215">
        <f>IF(AND(ISNUMBER(AJ131),ISNUMBER(AJ121)),IFERROR(AJ131/AJ121,""),"")</f>
        <v>0.118295638642838</v>
      </c>
      <c r="AK217" s="215">
        <f>IF(AND(ISNUMBER(AK131),ISNUMBER(AK121)),IFERROR(AK131/AK121,""),"")</f>
        <v>0.120185809079121</v>
      </c>
      <c r="AL217" s="215">
        <f>IF(AND(ISNUMBER(AL131),ISNUMBER(AL121)),IFERROR(AL131/AL121,""),"")</f>
        <v>0.0515345579160996</v>
      </c>
      <c r="AM217" s="215">
        <f>IF(AND(ISNUMBER(AM131),ISNUMBER(AM121)),IFERROR(AM131/AM121,""),"")</f>
        <v>0.101632983611029</v>
      </c>
      <c r="AN217" s="215">
        <f>IF(AND(ISNUMBER(AN131),ISNUMBER(AN121)),IFERROR(AN131/AN121,""),"")</f>
        <v>0.101544970661306</v>
      </c>
      <c r="AO217" s="215">
        <f>IF(AND(ISNUMBER(AO131),ISNUMBER(AO121)),IFERROR(AO131/AO121,""),"")</f>
        <v>0.143490220421375</v>
      </c>
      <c r="AP217" s="215">
        <f>IF(AND(ISNUMBER(AP131),ISNUMBER(AP121)),IFERROR(AP131/AP121,""),"")</f>
        <v>0.186893566232372</v>
      </c>
      <c r="AQ217" s="215">
        <f>IF(AND(ISNUMBER(AQ131),ISNUMBER(AQ121)),IFERROR(AQ131/AQ121,""),"")</f>
        <v>0.0838623749276169</v>
      </c>
      <c r="AR217" s="215">
        <f>IF(AND(ISNUMBER(AR131),ISNUMBER(AR121)),IFERROR(AR131/AR121,""),"")</f>
        <v>0.129202036450174</v>
      </c>
      <c r="AS217" s="215">
        <f>IF(AND(ISNUMBER(AS131),ISNUMBER(AS121)),IFERROR(AS131/AS121,""),"")</f>
        <v>0.166142048871897</v>
      </c>
      <c r="AT217" s="215">
        <f>IF(AND(ISNUMBER(AT131),ISNUMBER(AT121)),IFERROR(AT131/AT121,""),"")</f>
        <v>0.220862855111164</v>
      </c>
      <c r="AU217" s="215">
        <f>IF(AND(ISNUMBER(AU131),ISNUMBER(AU121)),IFERROR(AU131/AU121,""),"")</f>
        <v>0.204309689934345</v>
      </c>
      <c r="AV217" s="215">
        <f>IF(AND(ISNUMBER(AV131),ISNUMBER(AV121)),IFERROR(AV131/AV121,""),"")</f>
        <v>0.143615069557383</v>
      </c>
      <c r="AW217" s="215">
        <f>IF(AND(ISNUMBER(AW131),ISNUMBER(AW121)),IFERROR(AW131/AW121,""),"")</f>
        <v>0.183440499573213</v>
      </c>
      <c r="AX217" s="215">
        <f>IF(AND(ISNUMBER(AX131),ISNUMBER(AX121)),IFERROR(AX131/AX121,""),"")</f>
        <v>0.27359749343946</v>
      </c>
      <c r="AY217" s="215">
        <f>IF(AND(ISNUMBER(AY131),ISNUMBER(AY121)),IFERROR(AY131/AY121,""),"")</f>
        <v>0.251659782093627</v>
      </c>
      <c r="AZ217" s="215">
        <f>IF(AND(ISNUMBER(AZ131),ISNUMBER(AZ121)),IFERROR(AZ131/AZ121,""),"")</f>
        <v>0.234550777066298</v>
      </c>
      <c r="BA217" s="215">
        <f>IF(AND(ISNUMBER(BA131),ISNUMBER(BA121)),IFERROR(BA131/BA121,""),"")</f>
        <v>0.0819488831567203</v>
      </c>
      <c r="BB217" s="215">
        <f>IF(AND(ISNUMBER(BB131),ISNUMBER(BB121)),IFERROR(BB131/BB121,""),"")</f>
        <v>0.208584468286654</v>
      </c>
      <c r="BC217" s="215">
        <f>IF(AND(ISNUMBER(BC131),ISNUMBER(BC121)),IFERROR(BC131/BC121,""),"")</f>
        <v>0.250595372232045</v>
      </c>
      <c r="BD217" s="215">
        <f>IF(AND(ISNUMBER(BD131),ISNUMBER(BD121)),IFERROR(BD131/BD121,""),"")</f>
        <v>0.198024476605872</v>
      </c>
      <c r="BE217" s="215">
        <f>IF(AND(ISNUMBER(BE131),ISNUMBER(BE121)),IFERROR(BE131/BE121,""),"")</f>
        <v>0.193426381307433</v>
      </c>
      <c r="BF217" s="215">
        <f>IF(AND(ISNUMBER(BF131),ISNUMBER(BF121)),IFERROR(BF131/BF121,""),"")</f>
        <v>0.0700331492922934</v>
      </c>
      <c r="BG217" s="215">
        <f>IF(AND(ISNUMBER(BG131),ISNUMBER(BG121)),IFERROR(BG131/BG121,""),"")</f>
        <v>0.178166471878553</v>
      </c>
      <c r="BH217" s="215">
        <f>IF(AND(ISNUMBER(BH131),ISNUMBER(BH121)),IFERROR(BH131/BH121,""),"")</f>
        <v>0.210049178441765</v>
      </c>
      <c r="BI217" s="215">
        <f>IF(AND(ISNUMBER(BI131),ISNUMBER(BI121)),IFERROR(BI131/BI121,""),"")</f>
        <v>0.223172813604874</v>
      </c>
      <c r="BJ217" s="215">
        <f>IF(AND(ISNUMBER(BJ131),ISNUMBER(BJ121)),IFERROR(BJ131/BJ121,""),"")</f>
        <v>0.224358286929438</v>
      </c>
      <c r="BK217" s="215">
        <f>IF(AND(ISNUMBER(BK131),ISNUMBER(BK121)),IFERROR(BK131/BK121,""),"")</f>
        <v>0.169380577561539</v>
      </c>
      <c r="BL217" s="215">
        <f>IF(AND(ISNUMBER(BL131),ISNUMBER(BL121)),IFERROR(BL131/BL121,""),"")</f>
        <v>0.20620768485359</v>
      </c>
      <c r="BM217" s="215">
        <f>IF(AND(ISNUMBER(BM131),ISNUMBER(BM121)),IFERROR(BM131/BM121,""),"")</f>
        <v>0.280940276016921</v>
      </c>
      <c r="BN217" s="215">
        <f>IF(AND(ISNUMBER(BN131),ISNUMBER(BN121)),IFERROR(BN131/BN121,""),"")</f>
        <v>0.272282936739158</v>
      </c>
      <c r="BO217" s="215">
        <f>IF(AND(ISNUMBER(BO131),ISNUMBER(BO121)),IFERROR(BO131/BO121,""),"")</f>
        <v>0.296138926540578</v>
      </c>
      <c r="BP217" s="215">
        <f>IF(AND(ISNUMBER(BP131),ISNUMBER(BP121)),IFERROR(BP131/BP121,""),"")</f>
        <v>0.221808726539458</v>
      </c>
      <c r="BQ217" s="215">
        <f>IF(AND(ISNUMBER(BQ131),ISNUMBER(BQ121)),IFERROR(BQ131/BQ121,""),"")</f>
        <v>0.267111691541179</v>
      </c>
      <c r="BR217" s="215">
        <f>IF(AND(ISNUMBER(BR131),ISNUMBER(BR121)),IFERROR(BR131/BR121,""),"")</f>
        <v>0.317467720390435</v>
      </c>
      <c r="BS217" s="215">
        <f>IF(AND(ISNUMBER(BS131),ISNUMBER(BS121)),IFERROR(BS131/BS121,""),"")</f>
        <v>0.340701998688349</v>
      </c>
      <c r="BT217" s="215">
        <f>IF(AND(ISNUMBER(BT131),ISNUMBER(BT121)),IFERROR(BT131/BT121,""),"")</f>
        <v>0.282203333064878</v>
      </c>
      <c r="BU217" s="215">
        <f>IF(AND(ISNUMBER(BU131),ISNUMBER(BU121)),IFERROR(BU131/BU121,""),"")</f>
        <v>0.245350708942721</v>
      </c>
      <c r="BV217" s="215">
        <f>IF(AND(ISNUMBER(BV131),ISNUMBER(BV121)),IFERROR(BV131/BV121,""),"")</f>
        <v>0.294947046055073</v>
      </c>
      <c r="BW217" s="215">
        <f>IF(AND(ISNUMBER(BW131),ISNUMBER(BW121)),IFERROR(BW131/BW121,""),"")</f>
        <v>0.323026571057695</v>
      </c>
      <c r="BX217" s="215">
        <f>IF(AND(ISNUMBER(BX131),ISNUMBER(BX121)),IFERROR(BX131/BX121,""),"")</f>
        <v>0.333808176441635</v>
      </c>
      <c r="BY217" s="256">
        <f>IF(AND(ISNUMBER(BY131),ISNUMBER(BY121)),IFERROR(BY131/BY121,""),"")</f>
        <v>0.332</v>
      </c>
      <c r="BZ217" s="256">
        <f>IF(AND(ISNUMBER(BZ131),ISNUMBER(BZ121)),IFERROR(BZ131/BZ121,""),"")</f>
        <v>0.274115993689721</v>
      </c>
      <c r="CA217" s="256">
        <f>IF(AND(ISNUMBER(CA131),ISNUMBER(CA121)),IFERROR(CA131/CA121,""),"")</f>
        <v>0.315</v>
      </c>
      <c r="CB217" s="256">
        <f>IF(AND(ISNUMBER(CB131),ISNUMBER(CB121)),IFERROR(CB131/CB121,""),"")</f>
        <v>0.335</v>
      </c>
      <c r="CC217" s="256">
        <f>IF(AND(ISNUMBER(CC131),ISNUMBER(CC121)),IFERROR(CC131/CC121,""),"")</f>
        <v>0.35</v>
      </c>
      <c r="CD217" s="256">
        <f>IF(AND(ISNUMBER(CD131),ISNUMBER(CD121)),IFERROR(CD131/CD121,""),"")</f>
        <v>0.365</v>
      </c>
      <c r="CE217" s="256">
        <f>IF(AND(ISNUMBER(CE131),ISNUMBER(CE121)),IFERROR(CE131/CE121,""),"")</f>
        <v>0.375</v>
      </c>
      <c r="CF217" s="256">
        <f>IF(AND(ISNUMBER(CF131),ISNUMBER(CF121)),IFERROR(CF131/CF121,""),"")</f>
        <v>0.385</v>
      </c>
      <c r="CG217" s="153" t="n"/>
      <c r="CI217" s="37">
        <f>IFERROR(AVERAGE(CB217,CC217,CD217,CE217,CF217),"n/m")</f>
        <v>0.362</v>
      </c>
      <c r="CJ217" s="37">
        <f>IFERROR(AVERAGE(BB217,BG217,BL217,BQ217,BV217),"n/m")</f>
        <v>0.23100347252301</v>
      </c>
      <c r="CK217" s="37">
        <f>IFERROR(AVERAGE(AC217,AH217,AM217,AR217,AW217,BB217,BG217,BL217,BQ217,BV217),"n/m")</f>
        <v>0.168402792715466</v>
      </c>
      <c r="CL217" s="37">
        <f>IFERROR(AVERAGE(C217,D217,E217,F217,G217,H217,I217,N217,S217,X217,AC217,AH217,AM217,AR217,AW217,BB217,BG217,BL217,BQ217,BV217),"n/m")</f>
        <v>0.123052872825284</v>
      </c>
    </row>
    <row r="218" ht="15" customHeight="1" s="251">
      <c r="B218" s="25" t="inlineStr">
        <is>
          <t xml:space="preserve">  Incremental operating margin (Δ OI / Δ revenue)</t>
        </is>
      </c>
      <c r="C218" s="36" t="n"/>
      <c r="D218" s="215">
        <f>IFERROR((D131-C131)/(D121-C121),"")</f>
        <v>0.128172321257427</v>
      </c>
      <c r="E218" s="215">
        <f>IFERROR((E131-D131)/(E121-D121),"")</f>
        <v>0.190464533865593</v>
      </c>
      <c r="F218" s="215">
        <f>IFERROR((F131-E131)/(F121-E121),"")</f>
        <v>0.23046844323447</v>
      </c>
      <c r="G218" s="215">
        <f>IFERROR((G131-F131)/(G121-F121),"")</f>
        <v>0.186251411580239</v>
      </c>
      <c r="H218" s="215">
        <f>IFERROR((H131-G131)/(H121-G121),"")</f>
        <v>0.0887056217560888</v>
      </c>
      <c r="I218" s="215">
        <f>IFERROR((I131-H131)/(I121-H121),"")</f>
        <v>-0.805712803152914</v>
      </c>
      <c r="J218" s="36" t="n"/>
      <c r="K218" s="36" t="n"/>
      <c r="L218" s="36" t="n"/>
      <c r="M218" s="36" t="n"/>
      <c r="N218" s="215">
        <f>IFERROR((N131-I131)/(N121-I121),"")</f>
        <v>0.233058488396404</v>
      </c>
      <c r="O218" s="215">
        <f>IFERROR((O131-J131)/(O121-J121),"")</f>
        <v>0.267230871741533</v>
      </c>
      <c r="P218" s="215">
        <f>IFERROR((P131-K131)/(P121-K121),"")</f>
        <v>0.267430405667164</v>
      </c>
      <c r="Q218" s="215">
        <f>IFERROR((Q131-L131)/(Q121-L121),"")</f>
        <v>0.175613726918298</v>
      </c>
      <c r="R218" s="215">
        <f>IFERROR((R131-M131)/(R121-M121),"")</f>
        <v>-0.0557095683978568</v>
      </c>
      <c r="S218" s="215">
        <f>IFERROR((S131-N131)/(S121-N121),"")</f>
        <v>0.15423584232816</v>
      </c>
      <c r="T218" s="215">
        <f>IFERROR((T131-O131)/(T121-O121),"")</f>
        <v>-0.000458685322069914</v>
      </c>
      <c r="U218" s="215">
        <f>IFERROR((U131-P131)/(U121-P121),"")</f>
        <v>-0.179978112768537</v>
      </c>
      <c r="V218" s="215">
        <f>IFERROR((V131-Q131)/(V121-Q121),"")</f>
        <v>-0.111776920434266</v>
      </c>
      <c r="W218" s="215">
        <f>IFERROR((W131-R131)/(W121-R121),"")</f>
        <v>-0.0152153689402106</v>
      </c>
      <c r="X218" s="215">
        <f>IFERROR((X131-S131)/(X121-S121),"")</f>
        <v>-0.0759474606916072</v>
      </c>
      <c r="Y218" s="215">
        <f>IFERROR((Y131-T131)/(Y121-T121),"")</f>
        <v>-0.124810520869354</v>
      </c>
      <c r="Z218" s="215">
        <f>IFERROR((Z131-U131)/(Z121-U121),"")</f>
        <v>-0.00969577207878179</v>
      </c>
      <c r="AA218" s="215">
        <f>IFERROR((AA131-V131)/(AA121-V121),"")</f>
        <v>0.0587043543970732</v>
      </c>
      <c r="AB218" s="215">
        <f>IFERROR((AB131-W131)/(AB121-W121),"")</f>
        <v>0.143746331441988</v>
      </c>
      <c r="AC218" s="215">
        <f>IFERROR((AC131-X131)/(AC121-X121),"")</f>
        <v>0.0360610932946167</v>
      </c>
      <c r="AD218" s="215">
        <f>IFERROR((AD131-Y131)/(AD121-Y121),"")</f>
        <v>0.305625726359886</v>
      </c>
      <c r="AE218" s="215">
        <f>IFERROR((AE131-Z131)/(AE121-Z121),"")</f>
        <v>0.0844338929232937</v>
      </c>
      <c r="AF218" s="215">
        <f>IFERROR((AF131-AA131)/(AF121-AA121),"")</f>
        <v>0.147682859943772</v>
      </c>
      <c r="AG218" s="215">
        <f>IFERROR((AG131-AB131)/(AG121-AB121),"")</f>
        <v>0.113050503950687</v>
      </c>
      <c r="AH218" s="215">
        <f>IFERROR((AH131-AC131)/(AH121-AC121),"")</f>
        <v>0.160335061235956</v>
      </c>
      <c r="AI218" s="215">
        <f>IFERROR((AI131-AD131)/(AI121-AD121),"")</f>
        <v>0.178192311559347</v>
      </c>
      <c r="AJ218" s="215">
        <f>IFERROR((AJ131-AE131)/(AJ121-AE121),"")</f>
        <v>0.298096105743774</v>
      </c>
      <c r="AK218" s="215">
        <f>IFERROR((AK131-AF131)/(AK121-AF121),"")</f>
        <v>0.26814881987945</v>
      </c>
      <c r="AL218" s="215">
        <f>IFERROR((AL131-AG131)/(AL121-AG121),"")</f>
        <v>-0.0327782253858122</v>
      </c>
      <c r="AM218" s="215">
        <f>IFERROR((AM131-AH131)/(AM121-AH121),"")</f>
        <v>0.186888474527675</v>
      </c>
      <c r="AN218" s="215">
        <f>IFERROR((AN131-AI131)/(AN121-AI121),"")</f>
        <v>0.0152486904610944</v>
      </c>
      <c r="AO218" s="215">
        <f>IFERROR((AO131-AJ131)/(AO121-AJ121),"")</f>
        <v>0.240396674299057</v>
      </c>
      <c r="AP218" s="215">
        <f>IFERROR((AP131-AK131)/(AP121-AK121),"")</f>
        <v>0.401090779755783</v>
      </c>
      <c r="AQ218" s="215">
        <f>IFERROR((AQ131-AL131)/(AQ121-AL121),"")</f>
        <v>0.189556713178973</v>
      </c>
      <c r="AR218" s="215">
        <f>IFERROR((AR131-AM131)/(AR121-AM121),"")</f>
        <v>0.22902423737525</v>
      </c>
      <c r="AS218" s="215">
        <f>IFERROR((AS131-AN131)/(AS121-AN121),"")</f>
        <v>0.400394963018339</v>
      </c>
      <c r="AT218" s="215">
        <f>IFERROR((AT131-AO131)/(AT121-AO121),"")</f>
        <v>0.53177028494005</v>
      </c>
      <c r="AU218" s="215">
        <f>IFERROR((AU131-AP131)/(AU121-AP121),"")</f>
        <v>0.281023773611526</v>
      </c>
      <c r="AV218" s="215">
        <f>IFERROR((AV131-AQ131)/(AV121-AQ121),"")</f>
        <v>0.421178105841252</v>
      </c>
      <c r="AW218" s="215">
        <f>IFERROR((AW131-AR131)/(AW121-AR121),"")</f>
        <v>0.409337820472687</v>
      </c>
      <c r="AX218" s="215">
        <f>IFERROR((AX131-AS131)/(AX121-AS121),"")</f>
        <v>0.717688778445834</v>
      </c>
      <c r="AY218" s="215">
        <f>IFERROR((AY131-AT131)/(AY121-AT121),"")</f>
        <v>0.410310593041757</v>
      </c>
      <c r="AZ218" s="215">
        <f>IFERROR((AZ131-AU131)/(AZ121-AU121),"")</f>
        <v>0.420287642079345</v>
      </c>
      <c r="BA218" s="215">
        <f>IFERROR((BA131-AV131)/(BA121-AV121),"")</f>
        <v>-0.302825868927462</v>
      </c>
      <c r="BB218" s="215">
        <f>IFERROR((BB131-AW131)/(BB121-AW121),"")</f>
        <v>0.342257030729586</v>
      </c>
      <c r="BC218" s="215">
        <f>IFERROR((BC131-AX131)/(BC121-AX121),"")</f>
        <v>0.016707240040597</v>
      </c>
      <c r="BD218" s="215">
        <f>IFERROR((BD131-AY131)/(BD121-AY121),"")</f>
        <v>-0.428648044763865</v>
      </c>
      <c r="BE218" s="215">
        <f>IFERROR((BE131-AZ131)/(BE121-AZ121),"")</f>
        <v>-0.502655375665539</v>
      </c>
      <c r="BF218" s="215">
        <f>IFERROR((BF131-BA131)/(BF121-BA121),"")</f>
        <v>-0.573552387291139</v>
      </c>
      <c r="BG218" s="215">
        <f>IFERROR((BG131-BB131)/(BG121-BB121),"")</f>
        <v>-0.292890568210143</v>
      </c>
      <c r="BH218" s="215">
        <f>IFERROR((BH131-BC131)/(BH121-BC121),"")</f>
        <v>-0.875987281095953</v>
      </c>
      <c r="BI218" s="215">
        <f>IFERROR((BI131-BD131)/(BI121-BD121),"")</f>
        <v>1.1461595137226</v>
      </c>
      <c r="BJ218" s="215">
        <f>IFERROR((BJ131-BE131)/(BJ121-BE121),"")</f>
        <v>0.622283830482779</v>
      </c>
      <c r="BK218" s="215">
        <f>IFERROR((BK131-BF131)/(BK121-BF121),"")</f>
        <v>0.964755315200679</v>
      </c>
      <c r="BL218" s="215">
        <f>IFERROR((BL131-BG131)/(BL121-BG121),"")</f>
        <v>0.626817165437789</v>
      </c>
      <c r="BM218" s="215">
        <f>IFERROR((BM131-BH131)/(BM121-BH121),"")</f>
        <v>0.759524276285696</v>
      </c>
      <c r="BN218" s="215">
        <f>IFERROR((BN131-BI131)/(BN121-BI121),"")</f>
        <v>0.565341772539393</v>
      </c>
      <c r="BO218" s="215">
        <f>IFERROR((BO131-BJ131)/(BO121-BJ121),"")</f>
        <v>0.774010841481331</v>
      </c>
      <c r="BP218" s="215">
        <f>IFERROR((BP131-BK131)/(BP121-BK121),"")</f>
        <v>0.549383598078219</v>
      </c>
      <c r="BQ218" s="215">
        <f>IFERROR((BQ131-BL131)/(BQ121-BL121),"")</f>
        <v>0.656276663049539</v>
      </c>
      <c r="BR218" s="215">
        <f>IFERROR((BR131-BM131)/(BR121-BM121),"")</f>
        <v>0.609424059653981</v>
      </c>
      <c r="BS218" s="215">
        <f>IFERROR((BS131-BN131)/(BS121-BN121),"")</f>
        <v>0.771031597730311</v>
      </c>
      <c r="BT218" s="215">
        <f>IFERROR((BT131-BO131)/(BT121-BO121),"")</f>
        <v>0.200978402993824</v>
      </c>
      <c r="BU218" s="215">
        <f>IFERROR((BU131-BP131)/(BU121-BP121),"")</f>
        <v>0.379048013882784</v>
      </c>
      <c r="BV218" s="215">
        <f>IFERROR((BV131-BQ131)/(BV121-BQ121),"")</f>
        <v>0.470552581902178</v>
      </c>
      <c r="BW218" s="215">
        <f>IFERROR((BW131-BR131)/(BW121-BR121),"")</f>
        <v>0.357360119417255</v>
      </c>
      <c r="BX218" s="215">
        <f>IFERROR((BX131-BS131)/(BX121-BS121),"")</f>
        <v>0.282228459209116</v>
      </c>
      <c r="BY218" s="256">
        <f>IFERROR((BY131-BT131)/(BY121-BT121),"")</f>
        <v>0.756670591015884</v>
      </c>
      <c r="BZ218" s="256">
        <f>IFERROR((BZ131-BU131)/(BZ121-BU121),"")</f>
        <v>0.508406987833405</v>
      </c>
      <c r="CA218" s="256">
        <f>IFERROR((CA131-BV131)/(CA121-BV121),"")</f>
        <v>0.465583141265263</v>
      </c>
      <c r="CB218" s="256">
        <f>IFERROR((CB131-CA131)/(CB121-CA121),"")</f>
        <v>0.525358729284151</v>
      </c>
      <c r="CC218" s="256">
        <f>IFERROR((CC131-CB131)/(CC121-CB121),"")</f>
        <v>0.507474036182226</v>
      </c>
      <c r="CD218" s="256">
        <f>IFERROR((CD131-CC131)/(CD121-CC121),"")</f>
        <v>0.540551151582852</v>
      </c>
      <c r="CE218" s="256">
        <f>IFERROR((CE131-CD131)/(CE121-CD121),"")</f>
        <v>0.503696285919816</v>
      </c>
      <c r="CF218" s="256">
        <f>IFERROR((CF131-CE131)/(CF121-CE121),"")</f>
        <v>0.528096549250032</v>
      </c>
      <c r="CG218" s="153" t="n"/>
    </row>
    <row r="219" ht="15" customHeight="1" s="251">
      <c r="B219" s="25" t="inlineStr">
        <is>
          <t xml:space="preserve">  Adjusted EBITDA margin %</t>
        </is>
      </c>
      <c r="C219" s="215">
        <f>IF(AND(ISNUMBER(C175),ISNUMBER(C121)),IFERROR(C175/C121,""),"")</f>
        <v>0.0933247045130736</v>
      </c>
      <c r="D219" s="215">
        <f>IF(AND(ISNUMBER(D175),ISNUMBER(D121)),IFERROR(D175/D121,""),"")</f>
        <v>0.103316076791611</v>
      </c>
      <c r="E219" s="215">
        <f>IF(AND(ISNUMBER(E175),ISNUMBER(E121)),IFERROR(E175/E121,""),"")</f>
        <v>0.121806074915309</v>
      </c>
      <c r="F219" s="215">
        <f>IF(AND(ISNUMBER(F175),ISNUMBER(F121)),IFERROR(F175/F121,""),"")</f>
        <v>0.145246663860731</v>
      </c>
      <c r="G219" s="215">
        <f>IF(AND(ISNUMBER(G175),ISNUMBER(G121)),IFERROR(G175/G121,""),"")</f>
        <v>0.161718282180221</v>
      </c>
      <c r="H219" s="215">
        <f>IF(AND(ISNUMBER(H175),ISNUMBER(H121)),IFERROR(H175/H121,""),"")</f>
        <v>0.150221698526826</v>
      </c>
      <c r="I219" s="215">
        <f>IF(AND(ISNUMBER(I175),ISNUMBER(I121)),IFERROR(I175/I121,""),"")</f>
        <v>0.0469370362304747</v>
      </c>
      <c r="J219" s="215">
        <f>IF(AND(ISNUMBER(J175),ISNUMBER(J121)),IFERROR(J175/J121,""),"")</f>
        <v>0.0601770965886396</v>
      </c>
      <c r="K219" s="215">
        <f>IF(AND(ISNUMBER(K175),ISNUMBER(K121)),IFERROR(K175/K121,""),"")</f>
        <v>0.081447803009617</v>
      </c>
      <c r="L219" s="215">
        <f>IF(AND(ISNUMBER(L175),ISNUMBER(L121)),IFERROR(L175/L121,""),"")</f>
        <v>0.0787062194450447</v>
      </c>
      <c r="M219" s="215">
        <f>IF(AND(ISNUMBER(M175),ISNUMBER(M121)),IFERROR(M175/M121,""),"")</f>
        <v>0.0970490882635739</v>
      </c>
      <c r="N219" s="215">
        <f>IF(AND(ISNUMBER(N175),ISNUMBER(N121)),IFERROR(N175/N121,""),"")</f>
        <v>0.0799670915625382</v>
      </c>
      <c r="O219" s="215">
        <f>IF(AND(ISNUMBER(O175),ISNUMBER(O121)),IFERROR(O175/O121,""),"")</f>
        <v>0.106923215617173</v>
      </c>
      <c r="P219" s="215">
        <f>IF(AND(ISNUMBER(P175),ISNUMBER(P121)),IFERROR(P175/P121,""),"")</f>
        <v>0.128216280577466</v>
      </c>
      <c r="Q219" s="215">
        <f>IF(AND(ISNUMBER(Q175),ISNUMBER(Q121)),IFERROR(Q175/Q121,""),"")</f>
        <v>0.109719376316133</v>
      </c>
      <c r="R219" s="215">
        <f>IF(AND(ISNUMBER(R175),ISNUMBER(R121)),IFERROR(R175/R121,""),"")</f>
        <v>0.0738242964367885</v>
      </c>
      <c r="S219" s="215">
        <f>IF(AND(ISNUMBER(S175),ISNUMBER(S121)),IFERROR(S175/S121,""),"")</f>
        <v>0.103896592266619</v>
      </c>
      <c r="T219" s="215">
        <f>IF(AND(ISNUMBER(T175),ISNUMBER(T121)),IFERROR(T175/T121,""),"")</f>
        <v>0.0890352920834845</v>
      </c>
      <c r="U219" s="215">
        <f>IF(AND(ISNUMBER(U175),ISNUMBER(U121)),IFERROR(U175/U121,""),"")</f>
        <v>0.0723575327690136</v>
      </c>
      <c r="V219" s="215">
        <f>IF(AND(ISNUMBER(V175),ISNUMBER(V121)),IFERROR(V175/V121,""),"")</f>
        <v>0.0704815759726868</v>
      </c>
      <c r="W219" s="215">
        <f>IF(AND(ISNUMBER(W175),ISNUMBER(W121)),IFERROR(W175/W121,""),"")</f>
        <v>0.0610102488135739</v>
      </c>
      <c r="X219" s="215">
        <f>IF(AND(ISNUMBER(X175),ISNUMBER(X121)),IFERROR(X175/X121,""),"")</f>
        <v>0.0726946235502827</v>
      </c>
      <c r="Y219" s="215">
        <f>IF(AND(ISNUMBER(Y175),ISNUMBER(Y121)),IFERROR(Y175/Y121,""),"")</f>
        <v>0.0544879391296887</v>
      </c>
      <c r="Z219" s="215">
        <f>IF(AND(ISNUMBER(Z175),ISNUMBER(Z121)),IFERROR(Z175/Z121,""),"")</f>
        <v>0.0610928917102572</v>
      </c>
      <c r="AA219" s="215">
        <f>IF(AND(ISNUMBER(AA175),ISNUMBER(AA121)),IFERROR(AA175/AA121,""),"")</f>
        <v>0.0715840795602807</v>
      </c>
      <c r="AB219" s="215">
        <f>IF(AND(ISNUMBER(AB175),ISNUMBER(AB121)),IFERROR(AB175/AB121,""),"")</f>
        <v>0.085475477499666</v>
      </c>
      <c r="AC219" s="215">
        <f>IF(AND(ISNUMBER(AC175),ISNUMBER(AC121)),IFERROR(AC175/AC121,""),"")</f>
        <v>0.0691902278298507</v>
      </c>
      <c r="AD219" s="215">
        <f>IF(AND(ISNUMBER(AD175),ISNUMBER(AD121)),IFERROR(AD175/AD121,""),"")</f>
        <v>0.120183112186556</v>
      </c>
      <c r="AE219" s="215">
        <f>IF(AND(ISNUMBER(AE175),ISNUMBER(AE121)),IFERROR(AE175/AE121,""),"")</f>
        <v>0.0683498332773283</v>
      </c>
      <c r="AF219" s="215">
        <f>IF(AND(ISNUMBER(AF175),ISNUMBER(AF121)),IFERROR(AF175/AF121,""),"")</f>
        <v>0.0913369777265861</v>
      </c>
      <c r="AG219" s="215">
        <f>IF(AND(ISNUMBER(AG175),ISNUMBER(AG121)),IFERROR(AG175/AG121,""),"")</f>
        <v>0.0952310808322593</v>
      </c>
      <c r="AH219" s="215">
        <f>IF(AND(ISNUMBER(AH175),ISNUMBER(AH121)),IFERROR(AH175/AH121,""),"")</f>
        <v>0.0934598326325122</v>
      </c>
      <c r="AI219" s="215">
        <f>IF(AND(ISNUMBER(AI175),ISNUMBER(AI121)),IFERROR(AI175/AI121,""),"")</f>
        <v>0.144294725328411</v>
      </c>
      <c r="AJ219" s="215">
        <f>IF(AND(ISNUMBER(AJ175),ISNUMBER(AJ121)),IFERROR(AJ175/AJ121,""),"")</f>
        <v>0.144136699025151</v>
      </c>
      <c r="AK219" s="215">
        <f>IF(AND(ISNUMBER(AK175),ISNUMBER(AK121)),IFERROR(AK175/AK121,""),"")</f>
        <v>0.146059108250441</v>
      </c>
      <c r="AL219" s="215">
        <f>IF(AND(ISNUMBER(AL175),ISNUMBER(AL121)),IFERROR(AL175/AL121,""),"")</f>
        <v>0.0782690338610901</v>
      </c>
      <c r="AM219" s="215">
        <f>IF(AND(ISNUMBER(AM175),ISNUMBER(AM121)),IFERROR(AM175/AM121,""),"")</f>
        <v>0.127199988907419</v>
      </c>
      <c r="AN219" s="215">
        <f>IF(AND(ISNUMBER(AN175),ISNUMBER(AN121)),IFERROR(AN175/AN121,""),"")</f>
        <v>0.129140905358824</v>
      </c>
      <c r="AO219" s="215">
        <f>IF(AND(ISNUMBER(AO175),ISNUMBER(AO121)),IFERROR(AO175/AO121,""),"")</f>
        <v>0.169763011881093</v>
      </c>
      <c r="AP219" s="215">
        <f>IF(AND(ISNUMBER(AP175),ISNUMBER(AP121)),IFERROR(AP175/AP121,""),"")</f>
        <v>0.211101059027761</v>
      </c>
      <c r="AQ219" s="215">
        <f>IF(AND(ISNUMBER(AQ175),ISNUMBER(AQ121)),IFERROR(AQ175/AQ121,""),"")</f>
        <v>0.107252506385994</v>
      </c>
      <c r="AR219" s="215">
        <f>IF(AND(ISNUMBER(AR175),ISNUMBER(AR121)),IFERROR(AR175/AR121,""),"")</f>
        <v>0.154452270283548</v>
      </c>
      <c r="AS219" s="215">
        <f>IF(AND(ISNUMBER(AS175),ISNUMBER(AS121)),IFERROR(AS175/AS121,""),"")</f>
        <v>0.187907431240682</v>
      </c>
      <c r="AT219" s="215">
        <f>IF(AND(ISNUMBER(AT175),ISNUMBER(AT121)),IFERROR(AT175/AT121,""),"")</f>
        <v>0.242148624836255</v>
      </c>
      <c r="AU219" s="215">
        <f>IF(AND(ISNUMBER(AU175),ISNUMBER(AU121)),IFERROR(AU175/AU121,""),"")</f>
        <v>0.225278243629962</v>
      </c>
      <c r="AV219" s="215">
        <f>IF(AND(ISNUMBER(AV175),ISNUMBER(AV121)),IFERROR(AV175/AV121,""),"")</f>
        <v>0.164615629122807</v>
      </c>
      <c r="AW219" s="215">
        <f>IF(AND(ISNUMBER(AW175),ISNUMBER(AW121)),IFERROR(AW175/AW121,""),"")</f>
        <v>0.204679450230068</v>
      </c>
      <c r="AX219" s="215">
        <f>IF(AND(ISNUMBER(AX175),ISNUMBER(AX121)),IFERROR(AX175/AX121,""),"")</f>
        <v>0.293556361455545</v>
      </c>
      <c r="AY219" s="215">
        <f>IF(AND(ISNUMBER(AY175),ISNUMBER(AY121)),IFERROR(AY175/AY121,""),"")</f>
        <v>0.270731050534496</v>
      </c>
      <c r="AZ219" s="215">
        <f>IF(AND(ISNUMBER(AZ175),ISNUMBER(AZ121)),IFERROR(AZ175/AZ121,""),"")</f>
        <v>0.256643611844617</v>
      </c>
      <c r="BA219" s="215">
        <f>IF(AND(ISNUMBER(BA175),ISNUMBER(BA121)),IFERROR(BA175/BA121,""),"")</f>
        <v>0.10313272847222</v>
      </c>
      <c r="BB219" s="215">
        <f>IF(AND(ISNUMBER(BB175),ISNUMBER(BB121)),IFERROR(BB175/BB121,""),"")</f>
        <v>0.229179633376753</v>
      </c>
      <c r="BC219" s="215">
        <f>IF(AND(ISNUMBER(BC175),ISNUMBER(BC121)),IFERROR(BC175/BC121,""),"")</f>
        <v>0.275228918192417</v>
      </c>
      <c r="BD219" s="215">
        <f>IF(AND(ISNUMBER(BD175),ISNUMBER(BD121)),IFERROR(BD175/BD121,""),"")</f>
        <v>0.227371134337523</v>
      </c>
      <c r="BE219" s="215">
        <f>IF(AND(ISNUMBER(BE175),ISNUMBER(BE121)),IFERROR(BE175/BE121,""),"")</f>
        <v>0.223361065026208</v>
      </c>
      <c r="BF219" s="215">
        <f>IF(AND(ISNUMBER(BF175),ISNUMBER(BF121)),IFERROR(BF175/BF121,""),"")</f>
        <v>0.101512305125806</v>
      </c>
      <c r="BG219" s="215">
        <f>IF(AND(ISNUMBER(BG175),ISNUMBER(BG121)),IFERROR(BG175/BG121,""),"")</f>
        <v>0.207017274727152</v>
      </c>
      <c r="BH219" s="215">
        <f>IF(AND(ISNUMBER(BH175),ISNUMBER(BH121)),IFERROR(BH175/BH121,""),"")</f>
        <v>0.233259854220479</v>
      </c>
      <c r="BI219" s="215">
        <f>IF(AND(ISNUMBER(BI175),ISNUMBER(BI121)),IFERROR(BI175/BI121,""),"")</f>
        <v>0.243620944191499</v>
      </c>
      <c r="BJ219" s="215">
        <f>IF(AND(ISNUMBER(BJ175),ISNUMBER(BJ121)),IFERROR(BJ175/BJ121,""),"")</f>
        <v>0.24430521064504</v>
      </c>
      <c r="BK219" s="215">
        <f>IF(AND(ISNUMBER(BK175),ISNUMBER(BK121)),IFERROR(BK175/BK121,""),"")</f>
        <v>0.188523490502755</v>
      </c>
      <c r="BL219" s="215">
        <f>IF(AND(ISNUMBER(BL175),ISNUMBER(BL121)),IFERROR(BL175/BL121,""),"")</f>
        <v>0.226855577021428</v>
      </c>
      <c r="BM219" s="215">
        <f>IF(AND(ISNUMBER(BM175),ISNUMBER(BM121)),IFERROR(BM175/BM121,""),"")</f>
        <v>0.298397193728363</v>
      </c>
      <c r="BN219" s="215">
        <f>IF(AND(ISNUMBER(BN175),ISNUMBER(BN121)),IFERROR(BN175/BN121,""),"")</f>
        <v>0.28797371358393</v>
      </c>
      <c r="BO219" s="215">
        <f>IF(AND(ISNUMBER(BO175),ISNUMBER(BO121)),IFERROR(BO175/BO121,""),"")</f>
        <v>0.311056832964823</v>
      </c>
      <c r="BP219" s="215">
        <f>IF(AND(ISNUMBER(BP175),ISNUMBER(BP121)),IFERROR(BP175/BP121,""),"")</f>
        <v>0.235605224918955</v>
      </c>
      <c r="BQ219" s="215">
        <f>IF(AND(ISNUMBER(BQ175),ISNUMBER(BQ121)),IFERROR(BQ175/BQ121,""),"")</f>
        <v>0.282534437736747</v>
      </c>
      <c r="BR219" s="215">
        <f>IF(AND(ISNUMBER(BR175),ISNUMBER(BR121)),IFERROR(BR175/BR121,""),"")</f>
        <v>0.331889314803533</v>
      </c>
      <c r="BS219" s="215">
        <f>IF(AND(ISNUMBER(BS175),ISNUMBER(BS121)),IFERROR(BS175/BS121,""),"")</f>
        <v>0.355222495989319</v>
      </c>
      <c r="BT219" s="215">
        <f>IF(AND(ISNUMBER(BT175),ISNUMBER(BT121)),IFERROR(BT175/BT121,""),"")</f>
        <v>0.29682605337981</v>
      </c>
      <c r="BU219" s="215">
        <f>IF(AND(ISNUMBER(BU175),ISNUMBER(BU121)),IFERROR(BU175/BU121,""),"")</f>
        <v>0.26365718615968</v>
      </c>
      <c r="BV219" s="215">
        <f>IF(AND(ISNUMBER(BV175),ISNUMBER(BV121)),IFERROR(BV175/BV121,""),"")</f>
        <v>0.310480265203958</v>
      </c>
      <c r="BW219" s="215">
        <f>IF(AND(ISNUMBER(BW175),ISNUMBER(BW121)),IFERROR(BW175/BW121,""),"")</f>
        <v>0.342535529480299</v>
      </c>
      <c r="BX219" s="215">
        <f>IF(AND(ISNUMBER(BX175),ISNUMBER(BX121)),IFERROR(BX175/BX121,""),"")</f>
        <v>0.352267025521941</v>
      </c>
      <c r="BY219" s="256">
        <f>IF(AND(ISNUMBER(BY175),ISNUMBER(BY121)),IFERROR(BY175/BY121,""),"")</f>
        <v>0.351641643182454</v>
      </c>
      <c r="BZ219" s="256">
        <f>IF(AND(ISNUMBER(BZ175),ISNUMBER(BZ121)),IFERROR(BZ175/BZ121,""),"")</f>
        <v>0.299708816926099</v>
      </c>
      <c r="CA219" s="256">
        <f>IF(AND(ISNUMBER(CA175),ISNUMBER(CA121)),IFERROR(CA175/CA121,""),"")</f>
        <v>0.33589242647511</v>
      </c>
      <c r="CB219" s="256">
        <f>IF(AND(ISNUMBER(CB175),ISNUMBER(CB121)),IFERROR(CB175/CB121,""),"")</f>
        <v>0.354</v>
      </c>
      <c r="CC219" s="256">
        <f>IF(AND(ISNUMBER(CC175),ISNUMBER(CC121)),IFERROR(CC175/CC121,""),"")</f>
        <v>0.369</v>
      </c>
      <c r="CD219" s="256">
        <f>IF(AND(ISNUMBER(CD175),ISNUMBER(CD121)),IFERROR(CD175/CD121,""),"")</f>
        <v>0.384</v>
      </c>
      <c r="CE219" s="256">
        <f>IF(AND(ISNUMBER(CE175),ISNUMBER(CE121)),IFERROR(CE175/CE121,""),"")</f>
        <v>0.394</v>
      </c>
      <c r="CF219" s="256">
        <f>IF(AND(ISNUMBER(CF175),ISNUMBER(CF121)),IFERROR(CF175/CF121,""),"")</f>
        <v>0.404</v>
      </c>
      <c r="CG219" s="153" t="n"/>
      <c r="CI219" s="37">
        <f>IFERROR(AVERAGE(CB219,CC219,CD219,CE219,CF219),"n/m")</f>
        <v>0.381</v>
      </c>
      <c r="CJ219" s="37">
        <f>IFERROR(AVERAGE(BB219,BG219,BL219,BQ219,BV219),"n/m")</f>
        <v>0.251213437613208</v>
      </c>
      <c r="CK219" s="37">
        <f>IFERROR(AVERAGE(AC219,AH219,AM219,AR219,AW219,BB219,BG219,BL219,BQ219,BV219),"n/m")</f>
        <v>0.190504895794944</v>
      </c>
      <c r="CL219" s="37">
        <f>IFERROR(AVERAGE(C219,D219,E219,F219,G219,H219,I219,N219,S219,X219,AC219,AH219,AM219,AR219,AW219,BB219,BG219,BL219,BQ219,BV219),"n/m")</f>
        <v>0.149208890117356</v>
      </c>
    </row>
    <row r="220" ht="15" customHeight="1" s="251">
      <c r="B220" s="25" t="inlineStr">
        <is>
          <t xml:space="preserve">  Net margin %</t>
        </is>
      </c>
      <c r="C220" s="215">
        <f>IF(AND(ISNUMBER(C141),ISNUMBER(C121)),IFERROR(C141/C121,""),"")</f>
        <v>0.0492464832540685</v>
      </c>
      <c r="D220" s="215">
        <f>IF(AND(ISNUMBER(D141),ISNUMBER(D121)),IFERROR(D141/D121,""),"")</f>
        <v>0.0555461529526938</v>
      </c>
      <c r="E220" s="215">
        <f>IF(AND(ISNUMBER(E141),ISNUMBER(E121)),IFERROR(E141/E121,""),"")</f>
        <v>0.0608400181437002</v>
      </c>
      <c r="F220" s="215">
        <f>IF(AND(ISNUMBER(F141),ISNUMBER(F121)),IFERROR(F141/F121,""),"")</f>
        <v>0.0693660721716083</v>
      </c>
      <c r="G220" s="215">
        <f>IF(AND(ISNUMBER(G141),ISNUMBER(G121)),IFERROR(G141/G121,""),"")</f>
        <v>0.0743785908328998</v>
      </c>
      <c r="H220" s="215">
        <f>IF(AND(ISNUMBER(H141),ISNUMBER(H121)),IFERROR(H141/H121,""),"")</f>
        <v>0.0705634472193991</v>
      </c>
      <c r="I220" s="215">
        <f>IF(AND(ISNUMBER(I141),ISNUMBER(I121)),IFERROR(I141/I121,""),"")</f>
        <v>0.00475219171015183</v>
      </c>
      <c r="J220" s="215">
        <f>IF(AND(ISNUMBER(J141),ISNUMBER(J121)),IFERROR(J141/J121,""),"")</f>
        <v>0.00262607657908841</v>
      </c>
      <c r="K220" s="215">
        <f>IF(AND(ISNUMBER(K141),ISNUMBER(K121)),IFERROR(K141/K121,""),"")</f>
        <v>0.0275591655663325</v>
      </c>
      <c r="L220" s="215">
        <f>IF(AND(ISNUMBER(L141),ISNUMBER(L121)),IFERROR(L141/L121,""),"")</f>
        <v>0.0287721779133616</v>
      </c>
      <c r="M220" s="215">
        <f>IF(AND(ISNUMBER(M141),ISNUMBER(M121)),IFERROR(M141/M121,""),"")</f>
        <v>0.0412012967674412</v>
      </c>
      <c r="N220" s="215">
        <f>IF(AND(ISNUMBER(N141),ISNUMBER(N121)),IFERROR(N141/N121,""),"")</f>
        <v>0.025694686690919</v>
      </c>
      <c r="O220" s="215">
        <f>IF(AND(ISNUMBER(O141),ISNUMBER(O121)),IFERROR(O141/O121,""),"")</f>
        <v>0.0418199039594862</v>
      </c>
      <c r="P220" s="215">
        <f>IF(AND(ISNUMBER(P141),ISNUMBER(P121)),IFERROR(P141/P121,""),"")</f>
        <v>0.0529824150425952</v>
      </c>
      <c r="Q220" s="215">
        <f>IF(AND(ISNUMBER(Q141),ISNUMBER(Q121)),IFERROR(Q141/Q121,""),"")</f>
        <v>0.0420701388928306</v>
      </c>
      <c r="R220" s="215">
        <f>IF(AND(ISNUMBER(R141),ISNUMBER(R121)),IFERROR(R141/R121,""),"")</f>
        <v>0.0561523726904861</v>
      </c>
      <c r="S220" s="215">
        <f>IF(AND(ISNUMBER(S141),ISNUMBER(S121)),IFERROR(S141/S121,""),"")</f>
        <v>0.0484678788283954</v>
      </c>
      <c r="T220" s="215">
        <f>IF(AND(ISNUMBER(T141),ISNUMBER(T121)),IFERROR(T141/T121,""),"")</f>
        <v>0.0150629732208864</v>
      </c>
      <c r="U220" s="215">
        <f>IF(AND(ISNUMBER(U141),ISNUMBER(U121)),IFERROR(U141/U121,""),"")</f>
        <v>0.0160120970831048</v>
      </c>
      <c r="V220" s="215">
        <f>IF(AND(ISNUMBER(V141),ISNUMBER(V121)),IFERROR(V141/V121,""),"")</f>
        <v>0.0169309490869241</v>
      </c>
      <c r="W220" s="215">
        <f>IF(AND(ISNUMBER(W141),ISNUMBER(W121)),IFERROR(W141/W121,""),"")</f>
        <v>0.0236808087167841</v>
      </c>
      <c r="X220" s="215">
        <f>IF(AND(ISNUMBER(X141),ISNUMBER(X121)),IFERROR(X141/X121,""),"")</f>
        <v>0.0180899477853197</v>
      </c>
      <c r="Y220" s="215">
        <f>IF(AND(ISNUMBER(Y141),ISNUMBER(Y121)),IFERROR(Y141/Y121,""),"")</f>
        <v>0.0141275432438287</v>
      </c>
      <c r="Z220" s="215">
        <f>IF(AND(ISNUMBER(Z141),ISNUMBER(Z121)),IFERROR(Z141/Z121,""),"")</f>
        <v>0.0193591689926488</v>
      </c>
      <c r="AA220" s="215">
        <f>IF(AND(ISNUMBER(AA141),ISNUMBER(AA121)),IFERROR(AA141/AA121,""),"")</f>
        <v>0.0224946598270535</v>
      </c>
      <c r="AB220" s="215">
        <f>IF(AND(ISNUMBER(AB141),ISNUMBER(AB121)),IFERROR(AB141/AB121,""),"")</f>
        <v>0.0269412292268826</v>
      </c>
      <c r="AC220" s="215">
        <f>IF(AND(ISNUMBER(AC141),ISNUMBER(AC121)),IFERROR(AC141/AC121,""),"")</f>
        <v>0.0211397347131911</v>
      </c>
      <c r="AD220" s="215">
        <f>IF(AND(ISNUMBER(AD141),ISNUMBER(AD121)),IFERROR(AD141/AD121,""),"")</f>
        <v>0.0675944907050086</v>
      </c>
      <c r="AE220" s="215">
        <f>IF(AND(ISNUMBER(AE141),ISNUMBER(AE121)),IFERROR(AE141/AE121,""),"")</f>
        <v>0.0235508339005638</v>
      </c>
      <c r="AF220" s="215">
        <f>IF(AND(ISNUMBER(AF141),ISNUMBER(AF121)),IFERROR(AF141/AF121,""),"")</f>
        <v>0.0434157861393118</v>
      </c>
      <c r="AG220" s="215">
        <f>IF(AND(ISNUMBER(AG141),ISNUMBER(AG121)),IFERROR(AG141/AG121,""),"")</f>
        <v>0.0564609960267884</v>
      </c>
      <c r="AH220" s="215">
        <f>IF(AND(ISNUMBER(AH141),ISNUMBER(AH121)),IFERROR(AH141/AH121,""),"")</f>
        <v>0.0478014811447095</v>
      </c>
      <c r="AI220" s="215">
        <f>IF(AND(ISNUMBER(AI141),ISNUMBER(AI121)),IFERROR(AI141/AI121,""),"")</f>
        <v>0.0783937553906448</v>
      </c>
      <c r="AJ220" s="215">
        <f>IF(AND(ISNUMBER(AJ141),ISNUMBER(AJ121)),IFERROR(AJ141/AJ121,""),"")</f>
        <v>0.0983676582370811</v>
      </c>
      <c r="AK220" s="215">
        <f>IF(AND(ISNUMBER(AK141),ISNUMBER(AK121)),IFERROR(AK141/AK121,""),"")</f>
        <v>0.100724513386345</v>
      </c>
      <c r="AL220" s="215">
        <f>IF(AND(ISNUMBER(AL141),ISNUMBER(AL121)),IFERROR(AL141/AL121,""),"")</f>
        <v>0.0319892730581363</v>
      </c>
      <c r="AM220" s="215">
        <f>IF(AND(ISNUMBER(AM141),ISNUMBER(AM121)),IFERROR(AM141/AM121,""),"")</f>
        <v>0.0766883531259709</v>
      </c>
      <c r="AN220" s="215">
        <f>IF(AND(ISNUMBER(AN141),ISNUMBER(AN121)),IFERROR(AN141/AN121,""),"")</f>
        <v>0.0761009973032468</v>
      </c>
      <c r="AO220" s="215">
        <f>IF(AND(ISNUMBER(AO141),ISNUMBER(AO121)),IFERROR(AO141/AO121,""),"")</f>
        <v>0.0549753448831999</v>
      </c>
      <c r="AP220" s="215">
        <f>IF(AND(ISNUMBER(AP141),ISNUMBER(AP121)),IFERROR(AP141/AP121,""),"")</f>
        <v>0.12683623440272</v>
      </c>
      <c r="AQ220" s="215">
        <f>IF(AND(ISNUMBER(AQ141),ISNUMBER(AQ121)),IFERROR(AQ141/AQ121,""),"")</f>
        <v>0.107357491649648</v>
      </c>
      <c r="AR220" s="215">
        <f>IF(AND(ISNUMBER(AR141),ISNUMBER(AR121)),IFERROR(AR141/AR121,""),"")</f>
        <v>0.0926212838998858</v>
      </c>
      <c r="AS220" s="215">
        <f>IF(AND(ISNUMBER(AS141),ISNUMBER(AS121)),IFERROR(AS141/AS121,""),"")</f>
        <v>0.122937757934674</v>
      </c>
      <c r="AT220" s="215">
        <f>IF(AND(ISNUMBER(AT141),ISNUMBER(AT121)),IFERROR(AT141/AT121,""),"")</f>
        <v>0.117137686828492</v>
      </c>
      <c r="AU220" s="215">
        <f>IF(AND(ISNUMBER(AU141),ISNUMBER(AU121)),IFERROR(AU141/AU121,""),"")</f>
        <v>0.122750242128324</v>
      </c>
      <c r="AV220" s="215">
        <f>IF(AND(ISNUMBER(AV141),ISNUMBER(AV121)),IFERROR(AV141/AV121,""),"")</f>
        <v>0.0815954146337646</v>
      </c>
      <c r="AW220" s="215">
        <f>IF(AND(ISNUMBER(AW141),ISNUMBER(AW121)),IFERROR(AW141/AW121,""),"")</f>
        <v>0.11047322825649</v>
      </c>
      <c r="AX220" s="215">
        <f>IF(AND(ISNUMBER(AX141),ISNUMBER(AX121)),IFERROR(AX141/AX121,""),"")</f>
        <v>0.23825880371595</v>
      </c>
      <c r="AY220" s="215">
        <f>IF(AND(ISNUMBER(AY141),ISNUMBER(AY121)),IFERROR(AY141/AY121,""),"")</f>
        <v>0.184289580029467</v>
      </c>
      <c r="AZ220" s="215">
        <f>IF(AND(ISNUMBER(AZ141),ISNUMBER(AZ121)),IFERROR(AZ141/AZ121,""),"")</f>
        <v>0.193636318567316</v>
      </c>
      <c r="BA220" s="215">
        <f>IF(AND(ISNUMBER(BA141),ISNUMBER(BA121)),IFERROR(BA141/BA121,""),"")</f>
        <v>0.078791535126713</v>
      </c>
      <c r="BB220" s="215">
        <f>IF(AND(ISNUMBER(BB141),ISNUMBER(BB121)),IFERROR(BB141/BB121,""),"")</f>
        <v>0.172276074990494</v>
      </c>
      <c r="BC220" s="215">
        <f>IF(AND(ISNUMBER(BC141),ISNUMBER(BC121)),IFERROR(BC141/BC121,""),"")</f>
        <v>0.203036897254329</v>
      </c>
      <c r="BD220" s="215">
        <f>IF(AND(ISNUMBER(BD141),ISNUMBER(BD121)),IFERROR(BD141/BD121,""),"")</f>
        <v>0.180793664754488</v>
      </c>
      <c r="BE220" s="215">
        <f>IF(AND(ISNUMBER(BE141),ISNUMBER(BE121)),IFERROR(BE141/BE121,""),"")</f>
        <v>0.176421209830588</v>
      </c>
      <c r="BF220" s="215">
        <f>IF(AND(ISNUMBER(BF141),ISNUMBER(BF121)),IFERROR(BF141/BF121,""),"")</f>
        <v>0.00704070642416702</v>
      </c>
      <c r="BG220" s="215">
        <f>IF(AND(ISNUMBER(BG141),ISNUMBER(BG121)),IFERROR(BG141/BG121,""),"")</f>
        <v>0.142079577929215</v>
      </c>
      <c r="BH220" s="215">
        <f>IF(AND(ISNUMBER(BH141),ISNUMBER(BH121)),IFERROR(BH141/BH121,""),"")</f>
        <v>0.159911722142355</v>
      </c>
      <c r="BI220" s="215">
        <f>IF(AND(ISNUMBER(BI141),ISNUMBER(BI121)),IFERROR(BI141/BI121,""),"")</f>
        <v>0.18169724064133</v>
      </c>
      <c r="BJ220" s="215">
        <f>IF(AND(ISNUMBER(BJ141),ISNUMBER(BJ121)),IFERROR(BJ141/BJ121,""),"")</f>
        <v>0.196381081540514</v>
      </c>
      <c r="BK220" s="215">
        <f>IF(AND(ISNUMBER(BK141),ISNUMBER(BK121)),IFERROR(BK141/BK121,""),"")</f>
        <v>0.106176449776827</v>
      </c>
      <c r="BL220" s="215">
        <f>IF(AND(ISNUMBER(BL141),ISNUMBER(BL121)),IFERROR(BL141/BL121,""),"")</f>
        <v>0.160363620437231</v>
      </c>
      <c r="BM220" s="215">
        <f>IF(AND(ISNUMBER(BM141),ISNUMBER(BM121)),IFERROR(BM141/BM121,""),"")</f>
        <v>0.248890020105779</v>
      </c>
      <c r="BN220" s="215">
        <f>IF(AND(ISNUMBER(BN141),ISNUMBER(BN121)),IFERROR(BN141/BN121,""),"")</f>
        <v>0.224629811147457</v>
      </c>
      <c r="BO220" s="215">
        <f>IF(AND(ISNUMBER(BO141),ISNUMBER(BO121)),IFERROR(BO141/BO121,""),"")</f>
        <v>0.240567984599636</v>
      </c>
      <c r="BP220" s="215">
        <f>IF(AND(ISNUMBER(BP141),ISNUMBER(BP121)),IFERROR(BP141/BP121,""),"")</f>
        <v>0.18236516168964</v>
      </c>
      <c r="BQ220" s="215">
        <f>IF(AND(ISNUMBER(BQ141),ISNUMBER(BQ121)),IFERROR(BQ141/BQ121,""),"")</f>
        <v>0.223369621152461</v>
      </c>
      <c r="BR220" s="215">
        <f>IF(AND(ISNUMBER(BR141),ISNUMBER(BR121)),IFERROR(BR141/BR121,""),"")</f>
        <v>0.274153993801078</v>
      </c>
      <c r="BS220" s="215">
        <f>IF(AND(ISNUMBER(BS141),ISNUMBER(BS121)),IFERROR(BS141/BS121,""),"")</f>
        <v>0.282098219306399</v>
      </c>
      <c r="BT220" s="215">
        <f>IF(AND(ISNUMBER(BT141),ISNUMBER(BT121)),IFERROR(BT141/BT121,""),"")</f>
        <v>0.221272638514333</v>
      </c>
      <c r="BU220" s="215">
        <f>IF(AND(ISNUMBER(BU141),ISNUMBER(BU121)),IFERROR(BU141/BU121,""),"")</f>
        <v>0.20069444571223</v>
      </c>
      <c r="BV220" s="215">
        <f>IF(AND(ISNUMBER(BV141),ISNUMBER(BV121)),IFERROR(BV141/BV121,""),"")</f>
        <v>0.24303813935832</v>
      </c>
      <c r="BW220" s="215">
        <f>IF(AND(ISNUMBER(BW141),ISNUMBER(BW121)),IFERROR(BW141/BW121,""),"")</f>
        <v>0.431256799624678</v>
      </c>
      <c r="BX220" s="215">
        <f>IF(AND(ISNUMBER(BX141),ISNUMBER(BX121)),IFERROR(BX141/BX121,""),"")</f>
        <v>0.270814553383942</v>
      </c>
      <c r="BY220" s="256">
        <f>IF(AND(ISNUMBER(BY141),ISNUMBER(BY121)),IFERROR(BY141/BY121,""),"")</f>
        <v>0.268454447900467</v>
      </c>
      <c r="BZ220" s="256">
        <f>IF(AND(ISNUMBER(BZ141),ISNUMBER(BZ121)),IFERROR(BZ141/BZ121,""),"")</f>
        <v>0.220555556951599</v>
      </c>
      <c r="CA220" s="256">
        <f>IF(AND(ISNUMBER(CA141),ISNUMBER(CA121)),IFERROR(CA141/CA121,""),"")</f>
        <v>0.295326428808594</v>
      </c>
      <c r="CB220" s="256">
        <f>IF(AND(ISNUMBER(CB141),ISNUMBER(CB121)),IFERROR(CB141/CB121,""),"")</f>
        <v>0.270684274148944</v>
      </c>
      <c r="CC220" s="256">
        <f>IF(AND(ISNUMBER(CC141),ISNUMBER(CC121)),IFERROR(CC141/CC121,""),"")</f>
        <v>0.283883419186868</v>
      </c>
      <c r="CD220" s="256">
        <f>IF(AND(ISNUMBER(CD141),ISNUMBER(CD121)),IFERROR(CD141/CD121,""),"")</f>
        <v>0.296954793794436</v>
      </c>
      <c r="CE220" s="256">
        <f>IF(AND(ISNUMBER(CE141),ISNUMBER(CE121)),IFERROR(CE141/CE121,""),"")</f>
        <v>0.305775817350851</v>
      </c>
      <c r="CF220" s="256">
        <f>IF(AND(ISNUMBER(CF141),ISNUMBER(CF121)),IFERROR(CF141/CF121,""),"")</f>
        <v>0.314666440375026</v>
      </c>
      <c r="CG220" s="153" t="n"/>
      <c r="CI220" s="37">
        <f>IFERROR(AVERAGE(CB220,CC220,CD220,CE220,CF220),"n/m")</f>
        <v>0.294392948971225</v>
      </c>
      <c r="CJ220" s="37">
        <f>IFERROR(AVERAGE(BB220,BG220,BL220,BQ220,BV220),"n/m")</f>
        <v>0.188225406773544</v>
      </c>
      <c r="CK220" s="37">
        <f>IFERROR(AVERAGE(AC220,AH220,AM220,AR220,AW220,BB220,BG220,BL220,BQ220,BV220),"n/m")</f>
        <v>0.128985111500797</v>
      </c>
      <c r="CL220" s="37">
        <f>IFERROR(AVERAGE(C220,D220,E220,F220,G220,H220,I220,N220,S220,X220,AC220,AH220,AM220,AR220,AW220,BB220,BG220,BL220,BQ220,BV220),"n/m")</f>
        <v>0.0883398292298562</v>
      </c>
    </row>
    <row r="221" ht="15" customHeight="1" s="251">
      <c r="B221" s="25" t="inlineStr">
        <is>
          <t xml:space="preserve">  Marketing % of revenue</t>
        </is>
      </c>
      <c r="C221" s="215">
        <f>IF(AND(ISNUMBER(C127),ISNUMBER(C121)),IFERROR(C127/C121,""),"")</f>
        <v>0.226279774446652</v>
      </c>
      <c r="D221" s="215">
        <f>IF(AND(ISNUMBER(D127),ISNUMBER(D121)),IFERROR(D127/D121,""),"")</f>
        <v>0.181094131116531</v>
      </c>
      <c r="E221" s="215">
        <f>IF(AND(ISNUMBER(E127),ISNUMBER(E121)),IFERROR(E127/E121,""),"")</f>
        <v>0.146346235438691</v>
      </c>
      <c r="F221" s="215">
        <f>IF(AND(ISNUMBER(F127),ISNUMBER(F121)),IFERROR(F127/F121,""),"")</f>
        <v>0.142338749027851</v>
      </c>
      <c r="G221" s="215">
        <f>IF(AND(ISNUMBER(G127),ISNUMBER(G121)),IFERROR(G127/G121,""),"")</f>
        <v>0.135871452517196</v>
      </c>
      <c r="H221" s="215">
        <f>IF(AND(ISNUMBER(H127),ISNUMBER(H121)),IFERROR(H127/H121,""),"")</f>
        <v>0.125644663866713</v>
      </c>
      <c r="I221" s="215">
        <f>IF(AND(ISNUMBER(I127),ISNUMBER(I121)),IFERROR(I127/I121,""),"")</f>
        <v>0.134300672543736</v>
      </c>
      <c r="J221" s="215">
        <f>IF(AND(ISNUMBER(J127),ISNUMBER(J121)),IFERROR(J127/J121,""),"")</f>
        <v>0.126152265564802</v>
      </c>
      <c r="K221" s="215">
        <f>IF(AND(ISNUMBER(K127),ISNUMBER(K121)),IFERROR(K127/K121,""),"")</f>
        <v>0.113861219482089</v>
      </c>
      <c r="L221" s="215">
        <f>IF(AND(ISNUMBER(L127),ISNUMBER(L121)),IFERROR(L127/L121,""),"")</f>
        <v>0.104981107577855</v>
      </c>
      <c r="M221" s="215">
        <f>IF(AND(ISNUMBER(M127),ISNUMBER(M121)),IFERROR(M127/M121,""),"")</f>
        <v>0.116441037073594</v>
      </c>
      <c r="N221" s="215">
        <f>IF(AND(ISNUMBER(N127),ISNUMBER(N121)),IFERROR(N127/N121,""),"")</f>
        <v>0.115186160351596</v>
      </c>
      <c r="O221" s="215">
        <f>IF(AND(ISNUMBER(O127),ISNUMBER(O121)),IFERROR(O127/O121,""),"")</f>
        <v>0.107943616549706</v>
      </c>
      <c r="P221" s="215">
        <f>IF(AND(ISNUMBER(P127),ISNUMBER(P121)),IFERROR(P127/P121,""),"")</f>
        <v>0.0900942773351676</v>
      </c>
      <c r="Q221" s="215">
        <f>IF(AND(ISNUMBER(Q127),ISNUMBER(Q121)),IFERROR(Q127/Q121,""),"")</f>
        <v>0.103342339325345</v>
      </c>
      <c r="R221" s="215">
        <f>IF(AND(ISNUMBER(R127),ISNUMBER(R121)),IFERROR(R127/R121,""),"")</f>
        <v>0.137177314632714</v>
      </c>
      <c r="S221" s="215">
        <f>IF(AND(ISNUMBER(S127),ISNUMBER(S121)),IFERROR(S127/S121,""),"")</f>
        <v>0.110304077130342</v>
      </c>
      <c r="T221" s="215">
        <f>IF(AND(ISNUMBER(T127),ISNUMBER(T121)),IFERROR(T127/T121,""),"")</f>
        <v>0.123751453313746</v>
      </c>
      <c r="U221" s="215">
        <f>IF(AND(ISNUMBER(U127),ISNUMBER(U121)),IFERROR(U127/U121,""),"")</f>
        <v>0.119864242223781</v>
      </c>
      <c r="V221" s="215">
        <f>IF(AND(ISNUMBER(V127),ISNUMBER(V121)),IFERROR(V127/V121,""),"")</f>
        <v>0.11971202659986</v>
      </c>
      <c r="W221" s="215">
        <f>IF(AND(ISNUMBER(W127),ISNUMBER(W121)),IFERROR(W127/W121,""),"")</f>
        <v>0.122946823207829</v>
      </c>
      <c r="X221" s="215">
        <f>IF(AND(ISNUMBER(X127),ISNUMBER(X121)),IFERROR(X127/X121,""),"")</f>
        <v>0.121556259736137</v>
      </c>
      <c r="Y221" s="215">
        <f>IF(AND(ISNUMBER(Y127),ISNUMBER(Y121)),IFERROR(Y127/Y121,""),"")</f>
        <v>0.106250280936756</v>
      </c>
      <c r="Z221" s="215">
        <f>IF(AND(ISNUMBER(Z127),ISNUMBER(Z121)),IFERROR(Z127/Z121,""),"")</f>
        <v>0.102616658528105</v>
      </c>
      <c r="AA221" s="215">
        <f>IF(AND(ISNUMBER(AA127),ISNUMBER(AA121)),IFERROR(AA127/AA121,""),"")</f>
        <v>0.123152771737517</v>
      </c>
      <c r="AB221" s="215">
        <f>IF(AND(ISNUMBER(AB127),ISNUMBER(AB121)),IFERROR(AB127/AB121,""),"")</f>
        <v>0.115031799675565</v>
      </c>
      <c r="AC221" s="215">
        <f>IF(AND(ISNUMBER(AC127),ISNUMBER(AC121)),IFERROR(AC127/AC121,""),"")</f>
        <v>0.112231360953513</v>
      </c>
      <c r="AD221" s="215">
        <f>IF(AND(ISNUMBER(AD127),ISNUMBER(AD121)),IFERROR(AD127/AD121,""),"")</f>
        <v>0.102884927189391</v>
      </c>
      <c r="AE221" s="215">
        <f>IF(AND(ISNUMBER(AE127),ISNUMBER(AE121)),IFERROR(AE127/AE121,""),"")</f>
        <v>0.0984837714650055</v>
      </c>
      <c r="AF221" s="215">
        <f>IF(AND(ISNUMBER(AF127),ISNUMBER(AF121)),IFERROR(AF127/AF121,""),"")</f>
        <v>0.104691712405846</v>
      </c>
      <c r="AG221" s="215">
        <f>IF(AND(ISNUMBER(AG127),ISNUMBER(AG121)),IFERROR(AG127/AG121,""),"")</f>
        <v>0.127805938056855</v>
      </c>
      <c r="AH221" s="215">
        <f>IF(AND(ISNUMBER(AH127),ISNUMBER(AH121)),IFERROR(AH127/AH121,""),"")</f>
        <v>0.109300724305813</v>
      </c>
      <c r="AI221" s="215">
        <f>IF(AND(ISNUMBER(AI127),ISNUMBER(AI121)),IFERROR(AI127/AI121,""),"")</f>
        <v>0.145041309361942</v>
      </c>
      <c r="AJ221" s="215">
        <f>IF(AND(ISNUMBER(AJ127),ISNUMBER(AJ121)),IFERROR(AJ127/AJ121,""),"")</f>
        <v>0.151514228604627</v>
      </c>
      <c r="AK221" s="215">
        <f>IF(AND(ISNUMBER(AK127),ISNUMBER(AK121)),IFERROR(AK127/AK121,""),"")</f>
        <v>0.127602469786522</v>
      </c>
      <c r="AL221" s="215">
        <f>IF(AND(ISNUMBER(AL127),ISNUMBER(AL121)),IFERROR(AL127/AL121,""),"")</f>
        <v>0.174440586590224</v>
      </c>
      <c r="AM221" s="215">
        <f>IF(AND(ISNUMBER(AM127),ISNUMBER(AM121)),IFERROR(AM127/AM121,""),"")</f>
        <v>0.150020124296417</v>
      </c>
      <c r="AN221" s="215">
        <f>IF(AND(ISNUMBER(AN127),ISNUMBER(AN121)),IFERROR(AN127/AN121,""),"")</f>
        <v>0.136381130512949</v>
      </c>
      <c r="AO221" s="215">
        <f>IF(AND(ISNUMBER(AO127),ISNUMBER(AO121)),IFERROR(AO127/AO121,""),"")</f>
        <v>0.122513871296147</v>
      </c>
      <c r="AP221" s="215">
        <f>IF(AND(ISNUMBER(AP127),ISNUMBER(AP121)),IFERROR(AP127/AP121,""),"")</f>
        <v>0.105587613121687</v>
      </c>
      <c r="AQ221" s="215">
        <f>IF(AND(ISNUMBER(AQ127),ISNUMBER(AQ121)),IFERROR(AQ127/AQ121,""),"")</f>
        <v>0.160758593519373</v>
      </c>
      <c r="AR221" s="215">
        <f>IF(AND(ISNUMBER(AR127),ISNUMBER(AR121)),IFERROR(AR127/AR121,""),"")</f>
        <v>0.131593727803318</v>
      </c>
      <c r="AS221" s="215">
        <f>IF(AND(ISNUMBER(AS127),ISNUMBER(AS121)),IFERROR(AS127/AS121,""),"")</f>
        <v>0.0873538474928702</v>
      </c>
      <c r="AT221" s="215">
        <f>IF(AND(ISNUMBER(AT127),ISNUMBER(AT121)),IFERROR(AT127/AT121,""),"")</f>
        <v>0.0706489580998672</v>
      </c>
      <c r="AU221" s="215">
        <f>IF(AND(ISNUMBER(AU127),ISNUMBER(AU121)),IFERROR(AU127/AU121,""),"")</f>
        <v>0.0819805405432283</v>
      </c>
      <c r="AV221" s="215">
        <f>IF(AND(ISNUMBER(AV127),ISNUMBER(AV121)),IFERROR(AV127/AV121,""),"")</f>
        <v>0.11476734991441</v>
      </c>
      <c r="AW221" s="215">
        <f>IF(AND(ISNUMBER(AW127),ISNUMBER(AW121)),IFERROR(AW127/AW121,""),"")</f>
        <v>0.0891485440743132</v>
      </c>
      <c r="AX221" s="215">
        <f>IF(AND(ISNUMBER(AX127),ISNUMBER(AX121)),IFERROR(AX127/AX121,""),"")</f>
        <v>0.0715470925198812</v>
      </c>
      <c r="AY221" s="215">
        <f>IF(AND(ISNUMBER(AY127),ISNUMBER(AY121)),IFERROR(AY127/AY121,""),"")</f>
        <v>0.082265233607613</v>
      </c>
      <c r="AZ221" s="215">
        <f>IF(AND(ISNUMBER(AZ127),ISNUMBER(AZ121)),IFERROR(AZ127/AZ121,""),"")</f>
        <v>0.0849803974548161</v>
      </c>
      <c r="BA221" s="215">
        <f>IF(AND(ISNUMBER(BA127),ISNUMBER(BA121)),IFERROR(BA127/BA121,""),"")</f>
        <v>0.102825308282782</v>
      </c>
      <c r="BB221" s="215">
        <f>IF(AND(ISNUMBER(BB127),ISNUMBER(BB121)),IFERROR(BB127/BB121,""),"")</f>
        <v>0.0857013727999918</v>
      </c>
      <c r="BC221" s="215">
        <f>IF(AND(ISNUMBER(BC127),ISNUMBER(BC121)),IFERROR(BC127/BC121,""),"")</f>
        <v>0.0706652853344539</v>
      </c>
      <c r="BD221" s="215">
        <f>IF(AND(ISNUMBER(BD127),ISNUMBER(BD121)),IFERROR(BD127/BD121,""),"")</f>
        <v>0.0721392507359657</v>
      </c>
      <c r="BE221" s="215">
        <f>IF(AND(ISNUMBER(BE127),ISNUMBER(BE121)),IFERROR(BE127/BE121,""),"")</f>
        <v>0.0716607939170199</v>
      </c>
      <c r="BF221" s="215">
        <f>IF(AND(ISNUMBER(BF127),ISNUMBER(BF121)),IFERROR(BF127/BF121,""),"")</f>
        <v>0.105909881148281</v>
      </c>
      <c r="BG221" s="215">
        <f>IF(AND(ISNUMBER(BG127),ISNUMBER(BG121)),IFERROR(BG127/BG121,""),"")</f>
        <v>0.0800397905461079</v>
      </c>
      <c r="BH221" s="215">
        <f>IF(AND(ISNUMBER(BH127),ISNUMBER(BH121)),IFERROR(BH127/BH121,""),"")</f>
        <v>0.0680465350561043</v>
      </c>
      <c r="BI221" s="215">
        <f>IF(AND(ISNUMBER(BI127),ISNUMBER(BI121)),IFERROR(BI127/BI121,""),"")</f>
        <v>0.0766025336066183</v>
      </c>
      <c r="BJ221" s="215">
        <f>IF(AND(ISNUMBER(BJ127),ISNUMBER(BJ121)),IFERROR(BJ127/BJ121,""),"")</f>
        <v>0.0654129849111438</v>
      </c>
      <c r="BK221" s="215">
        <f>IF(AND(ISNUMBER(BK127),ISNUMBER(BK121)),IFERROR(BK127/BK121,""),"")</f>
        <v>0.103773934160362</v>
      </c>
      <c r="BL221" s="215">
        <f>IF(AND(ISNUMBER(BL127),ISNUMBER(BL121)),IFERROR(BL127/BL121,""),"")</f>
        <v>0.0788144468792598</v>
      </c>
      <c r="BM221" s="215">
        <f>IF(AND(ISNUMBER(BM127),ISNUMBER(BM121)),IFERROR(BM127/BM121,""),"")</f>
        <v>0.069830232091556</v>
      </c>
      <c r="BN221" s="215">
        <f>IF(AND(ISNUMBER(BN127),ISNUMBER(BN121)),IFERROR(BN127/BN121,""),"")</f>
        <v>0.0673776663796864</v>
      </c>
      <c r="BO221" s="215">
        <f>IF(AND(ISNUMBER(BO127),ISNUMBER(BO121)),IFERROR(BO127/BO121,""),"")</f>
        <v>0.0654397389926189</v>
      </c>
      <c r="BP221" s="215">
        <f>IF(AND(ISNUMBER(BP127),ISNUMBER(BP121)),IFERROR(BP127/BP121,""),"")</f>
        <v>0.09527182564449</v>
      </c>
      <c r="BQ221" s="215">
        <f>IF(AND(ISNUMBER(BQ127),ISNUMBER(BQ121)),IFERROR(BQ127/BQ121,""),"")</f>
        <v>0.0748072240056823</v>
      </c>
      <c r="BR221" s="215">
        <f>IF(AND(ISNUMBER(BR127),ISNUMBER(BR121)),IFERROR(BR127/BR121,""),"")</f>
        <v>0.0652928951234117</v>
      </c>
      <c r="BS221" s="215">
        <f>IF(AND(ISNUMBER(BS127),ISNUMBER(BS121)),IFERROR(BS127/BS121,""),"")</f>
        <v>0.0643789433247954</v>
      </c>
      <c r="BT221" s="215">
        <f>IF(AND(ISNUMBER(BT127),ISNUMBER(BT121)),IFERROR(BT127/BT121,""),"")</f>
        <v>0.0683122526618969</v>
      </c>
      <c r="BU221" s="215">
        <f>IF(AND(ISNUMBER(BU127),ISNUMBER(BU121)),IFERROR(BU127/BU121,""),"")</f>
        <v>0.0923905060941375</v>
      </c>
      <c r="BV221" s="215">
        <f>IF(AND(ISNUMBER(BV127),ISNUMBER(BV121)),IFERROR(BV127/BV121,""),"")</f>
        <v>0.0730651654306718</v>
      </c>
      <c r="BW221" s="215">
        <f>IF(AND(ISNUMBER(BW127),ISNUMBER(BW121)),IFERROR(BW127/BW121,""),"")</f>
        <v>0.0687537720136</v>
      </c>
      <c r="BX221" s="215">
        <f>IF(AND(ISNUMBER(BX127),ISNUMBER(BX121)),IFERROR(BX127/BX121,""),"")</f>
        <v>0.0655925212369679</v>
      </c>
      <c r="BY221" s="256">
        <f>IF(AND(ISNUMBER(BY127),ISNUMBER(BY121)),IFERROR(BY127/BY121,""),"")</f>
        <v>0.0710846313340146</v>
      </c>
      <c r="BZ221" s="256">
        <f>IF(AND(ISNUMBER(BZ127),ISNUMBER(BZ121)),IFERROR(BZ127/BZ121,""),"")</f>
        <v>0.087678426556941</v>
      </c>
      <c r="CA221" s="256">
        <f>IF(AND(ISNUMBER(CA127),ISNUMBER(CA121)),IFERROR(CA127/CA121,""),"")</f>
        <v>0.0735648283631043</v>
      </c>
      <c r="CB221" s="256">
        <f>IF(AND(ISNUMBER(CB127),ISNUMBER(CB121)),IFERROR(CB127/CB121,""),"")</f>
        <v>0.07</v>
      </c>
      <c r="CC221" s="256">
        <f>IF(AND(ISNUMBER(CC127),ISNUMBER(CC121)),IFERROR(CC127/CC121,""),"")</f>
        <v>0.069</v>
      </c>
      <c r="CD221" s="256">
        <f>IF(AND(ISNUMBER(CD127),ISNUMBER(CD121)),IFERROR(CD127/CD121,""),"")</f>
        <v>0.068</v>
      </c>
      <c r="CE221" s="256">
        <f>IF(AND(ISNUMBER(CE127),ISNUMBER(CE121)),IFERROR(CE127/CE121,""),"")</f>
        <v>0.068</v>
      </c>
      <c r="CF221" s="256">
        <f>IF(AND(ISNUMBER(CF127),ISNUMBER(CF121)),IFERROR(CF127/CF121,""),"")</f>
        <v>0.067</v>
      </c>
      <c r="CG221" s="153" t="n"/>
      <c r="CI221" s="37">
        <f>IFERROR(AVERAGE(CB221,CC221,CD221,CE221,CF221),"n/m")</f>
        <v>0.0684</v>
      </c>
      <c r="CJ221" s="37">
        <f>IFERROR(AVERAGE(BB221,BG221,BL221,BQ221,BV221),"n/m")</f>
        <v>0.0784855999323427</v>
      </c>
      <c r="CK221" s="37">
        <f>IFERROR(AVERAGE(AC221,AH221,AM221,AR221,AW221,BB221,BG221,BL221,BQ221,BV221),"n/m")</f>
        <v>0.0984722481095088</v>
      </c>
      <c r="CL221" s="37">
        <f>IFERROR(AVERAGE(C221,D221,E221,F221,G221,H221,I221,N221,S221,X221,AC221,AH221,AM221,AR221,AW221,BB221,BG221,BL221,BQ221,BV221),"n/m")</f>
        <v>0.121182232863527</v>
      </c>
    </row>
    <row r="222" collapsed="1" ht="15" customHeight="1" s="251">
      <c r="B222" s="25" t="inlineStr">
        <is>
          <t xml:space="preserve">  Technology &amp; development % of revenue</t>
        </is>
      </c>
      <c r="C222" s="215">
        <f>IF(AND(ISNUMBER(C128),ISNUMBER(C121)),IFERROR(C128/C121,""),"")</f>
        <v>0.0485411273654004</v>
      </c>
      <c r="D222" s="215">
        <f>IF(AND(ISNUMBER(D128),ISNUMBER(D121)),IFERROR(D128/D121,""),"")</f>
        <v>0.0592322498216271</v>
      </c>
      <c r="E222" s="215">
        <f>IF(AND(ISNUMBER(E128),ISNUMBER(E121)),IFERROR(E128/E121,""),"")</f>
        <v>0.06585738143026</v>
      </c>
      <c r="F222" s="215">
        <f>IF(AND(ISNUMBER(F128),ISNUMBER(F121)),IFERROR(F128/F121,""),"")</f>
        <v>0.0685769777203552</v>
      </c>
      <c r="G222" s="215">
        <f>IF(AND(ISNUMBER(G128),ISNUMBER(G121)),IFERROR(G128/G121,""),"")</f>
        <v>0.0755234957516907</v>
      </c>
      <c r="H222" s="215">
        <f>IF(AND(ISNUMBER(H128),ISNUMBER(H121)),IFERROR(H128/H121,""),"")</f>
        <v>0.0808321971979453</v>
      </c>
      <c r="I222" s="215">
        <f>IF(AND(ISNUMBER(I128),ISNUMBER(I121)),IFERROR(I128/I121,""),"")</f>
        <v>0.0911560803506071</v>
      </c>
      <c r="J222" s="215">
        <f>IF(AND(ISNUMBER(J128),ISNUMBER(J121)),IFERROR(J128/J121,""),"")</f>
        <v>0.0898227569214062</v>
      </c>
      <c r="K222" s="215">
        <f>IF(AND(ISNUMBER(K128),ISNUMBER(K121)),IFERROR(K128/K121,""),"")</f>
        <v>0.0870847562868674</v>
      </c>
      <c r="L222" s="215">
        <f>IF(AND(ISNUMBER(L128),ISNUMBER(L121)),IFERROR(L128/L121,""),"")</f>
        <v>0.0863834415763486</v>
      </c>
      <c r="M222" s="215">
        <f>IF(AND(ISNUMBER(M128),ISNUMBER(M121)),IFERROR(M128/M121,""),"")</f>
        <v>0.0834968474256103</v>
      </c>
      <c r="N222" s="215">
        <f>IF(AND(ISNUMBER(N128),ISNUMBER(N121)),IFERROR(N128/N121,""),"")</f>
        <v>0.0865844397679128</v>
      </c>
      <c r="O222" s="215">
        <f>IF(AND(ISNUMBER(O128),ISNUMBER(O121)),IFERROR(O128/O121,""),"")</f>
        <v>0.0868521812250953</v>
      </c>
      <c r="P222" s="215">
        <f>IF(AND(ISNUMBER(P128),ISNUMBER(P121)),IFERROR(P128/P121,""),"")</f>
        <v>0.0859306165963025</v>
      </c>
      <c r="Q222" s="215">
        <f>IF(AND(ISNUMBER(Q128),ISNUMBER(Q121)),IFERROR(Q128/Q121,""),"")</f>
        <v>0.0858168396914502</v>
      </c>
      <c r="R222" s="215">
        <f>IF(AND(ISNUMBER(R128),ISNUMBER(R121)),IFERROR(R128/R121,""),"")</f>
        <v>0.0847805119860338</v>
      </c>
      <c r="S222" s="215">
        <f>IF(AND(ISNUMBER(S128),ISNUMBER(S121)),IFERROR(S128/S121,""),"")</f>
        <v>0.0858039085457838</v>
      </c>
      <c r="T222" s="215">
        <f>IF(AND(ISNUMBER(T128),ISNUMBER(T121)),IFERROR(T128/T121,""),"")</f>
        <v>0.0909690177982861</v>
      </c>
      <c r="U222" s="215">
        <f>IF(AND(ISNUMBER(U128),ISNUMBER(U121)),IFERROR(U128/U121,""),"")</f>
        <v>0.0942795437935567</v>
      </c>
      <c r="V222" s="215">
        <f>IF(AND(ISNUMBER(V128),ISNUMBER(V121)),IFERROR(V128/V121,""),"")</f>
        <v>0.0988072056628249</v>
      </c>
      <c r="W222" s="215">
        <f>IF(AND(ISNUMBER(W128),ISNUMBER(W121)),IFERROR(W128/W121,""),"")</f>
        <v>0.0991914258119609</v>
      </c>
      <c r="X222" s="215">
        <f>IF(AND(ISNUMBER(X128),ISNUMBER(X121)),IFERROR(X128/X121,""),"")</f>
        <v>0.0959933540929427</v>
      </c>
      <c r="Y222" s="215">
        <f>IF(AND(ISNUMBER(Y128),ISNUMBER(Y121)),IFERROR(Y128/Y121,""),"")</f>
        <v>0.103950685894319</v>
      </c>
      <c r="Z222" s="215">
        <f>IF(AND(ISNUMBER(Z128),ISNUMBER(Z121)),IFERROR(Z128/Z121,""),"")</f>
        <v>0.0984702670145031</v>
      </c>
      <c r="AA222" s="215">
        <f>IF(AND(ISNUMBER(AA128),ISNUMBER(AA121)),IFERROR(AA128/AA121,""),"")</f>
        <v>0.0943586290732464</v>
      </c>
      <c r="AB222" s="215">
        <f>IF(AND(ISNUMBER(AB128),ISNUMBER(AB121)),IFERROR(AB128/AB121,""),"")</f>
        <v>0.0908929458685043</v>
      </c>
      <c r="AC222" s="215">
        <f>IF(AND(ISNUMBER(AC128),ISNUMBER(AC121)),IFERROR(AC128/AC121,""),"")</f>
        <v>0.0964930290105993</v>
      </c>
      <c r="AD222" s="215">
        <f>IF(AND(ISNUMBER(AD128),ISNUMBER(AD121)),IFERROR(AD128/AD121,""),"")</f>
        <v>0.0975136869532567</v>
      </c>
      <c r="AE222" s="215">
        <f>IF(AND(ISNUMBER(AE128),ISNUMBER(AE121)),IFERROR(AE128/AE121,""),"")</f>
        <v>0.0958845635771994</v>
      </c>
      <c r="AF222" s="215">
        <f>IF(AND(ISNUMBER(AF128),ISNUMBER(AF121)),IFERROR(AF128/AF121,""),"")</f>
        <v>0.0855102368319576</v>
      </c>
      <c r="AG222" s="215">
        <f>IF(AND(ISNUMBER(AG128),ISNUMBER(AG121)),IFERROR(AG128/AG121,""),"")</f>
        <v>0.0831927517419893</v>
      </c>
      <c r="AH222" s="215">
        <f>IF(AND(ISNUMBER(AH128),ISNUMBER(AH121)),IFERROR(AH128/AH121,""),"")</f>
        <v>0.090037102595437</v>
      </c>
      <c r="AI222" s="215">
        <f>IF(AND(ISNUMBER(AI128),ISNUMBER(AI121)),IFERROR(AI128/AI121,""),"")</f>
        <v>0.0762823519747864</v>
      </c>
      <c r="AJ222" s="215">
        <f>IF(AND(ISNUMBER(AJ128),ISNUMBER(AJ121)),IFERROR(AJ128/AJ121,""),"")</f>
        <v>0.0765483316996266</v>
      </c>
      <c r="AK222" s="215">
        <f>IF(AND(ISNUMBER(AK128),ISNUMBER(AK121)),IFERROR(AK128/AK121,""),"")</f>
        <v>0.0771670766474953</v>
      </c>
      <c r="AL222" s="215">
        <f>IF(AND(ISNUMBER(AL128),ISNUMBER(AL121)),IFERROR(AL128/AL121,""),"")</f>
        <v>0.0792456651685602</v>
      </c>
      <c r="AM222" s="215">
        <f>IF(AND(ISNUMBER(AM128),ISNUMBER(AM121)),IFERROR(AM128/AM121,""),"")</f>
        <v>0.0773577067887796</v>
      </c>
      <c r="AN222" s="215">
        <f>IF(AND(ISNUMBER(AN128),ISNUMBER(AN121)),IFERROR(AN128/AN121,""),"")</f>
        <v>0.0824518158846554</v>
      </c>
      <c r="AO222" s="215">
        <f>IF(AND(ISNUMBER(AO128),ISNUMBER(AO121)),IFERROR(AO128/AO121,""),"")</f>
        <v>0.0778435852415421</v>
      </c>
      <c r="AP222" s="215">
        <f>IF(AND(ISNUMBER(AP128),ISNUMBER(AP121)),IFERROR(AP128/AP121,""),"")</f>
        <v>0.0724085564943502</v>
      </c>
      <c r="AQ222" s="215">
        <f>IF(AND(ISNUMBER(AQ128),ISNUMBER(AQ121)),IFERROR(AQ128/AQ121,""),"")</f>
        <v>0.0748753437169978</v>
      </c>
      <c r="AR222" s="215">
        <f>IF(AND(ISNUMBER(AR128),ISNUMBER(AR121)),IFERROR(AR128/AR121,""),"")</f>
        <v>0.076657805812701</v>
      </c>
      <c r="AS222" s="215">
        <f>IF(AND(ISNUMBER(AS128),ISNUMBER(AS121)),IFERROR(AS128/AS121,""),"")</f>
        <v>0.0786826131982452</v>
      </c>
      <c r="AT222" s="215">
        <f>IF(AND(ISNUMBER(AT128),ISNUMBER(AT121)),IFERROR(AT128/AT121,""),"")</f>
        <v>0.0707587447948908</v>
      </c>
      <c r="AU222" s="215">
        <f>IF(AND(ISNUMBER(AU128),ISNUMBER(AU121)),IFERROR(AU128/AU121,""),"")</f>
        <v>0.0705139211549688</v>
      </c>
      <c r="AV222" s="215">
        <f>IF(AND(ISNUMBER(AV128),ISNUMBER(AV121)),IFERROR(AV128/AV121,""),"")</f>
        <v>0.0732847092351773</v>
      </c>
      <c r="AW222" s="215">
        <f>IF(AND(ISNUMBER(AW128),ISNUMBER(AW121)),IFERROR(AW128/AW121,""),"")</f>
        <v>0.0731955473295467</v>
      </c>
      <c r="AX222" s="215">
        <f>IF(AND(ISNUMBER(AX128),ISNUMBER(AX121)),IFERROR(AX128/AX121,""),"")</f>
        <v>0.073319324856958</v>
      </c>
      <c r="AY222" s="215">
        <f>IF(AND(ISNUMBER(AY128),ISNUMBER(AY121)),IFERROR(AY128/AY121,""),"")</f>
        <v>0.073186777533559</v>
      </c>
      <c r="AZ222" s="215">
        <f>IF(AND(ISNUMBER(AZ128),ISNUMBER(AZ121)),IFERROR(AZ128/AZ121,""),"")</f>
        <v>0.0753510371596481</v>
      </c>
      <c r="BA222" s="215">
        <f>IF(AND(ISNUMBER(BA128),ISNUMBER(BA121)),IFERROR(BA128/BA121,""),"")</f>
        <v>0.0839853797702988</v>
      </c>
      <c r="BB222" s="215">
        <f>IF(AND(ISNUMBER(BB128),ISNUMBER(BB121)),IFERROR(BB128/BB121,""),"")</f>
        <v>0.0765673427337015</v>
      </c>
      <c r="BC222" s="215">
        <f>IF(AND(ISNUMBER(BC128),ISNUMBER(BC121)),IFERROR(BC128/BC121,""),"")</f>
        <v>0.0835726324889896</v>
      </c>
      <c r="BD222" s="215">
        <f>IF(AND(ISNUMBER(BD128),ISNUMBER(BD121)),IFERROR(BD128/BD121,""),"")</f>
        <v>0.0899414452015341</v>
      </c>
      <c r="BE222" s="215">
        <f>IF(AND(ISNUMBER(BE128),ISNUMBER(BE121)),IFERROR(BE128/BE121,""),"")</f>
        <v>0.0836201574419264</v>
      </c>
      <c r="BF222" s="215">
        <f>IF(AND(ISNUMBER(BF128),ISNUMBER(BF121)),IFERROR(BF128/BF121,""),"")</f>
        <v>0.0858279993779971</v>
      </c>
      <c r="BG222" s="215">
        <f>IF(AND(ISNUMBER(BG128),ISNUMBER(BG121)),IFERROR(BG128/BG121,""),"")</f>
        <v>0.0857502399926619</v>
      </c>
      <c r="BH222" s="215">
        <f>IF(AND(ISNUMBER(BH128),ISNUMBER(BH121)),IFERROR(BH128/BH121,""),"")</f>
        <v>0.0842093668286344</v>
      </c>
      <c r="BI222" s="215">
        <f>IF(AND(ISNUMBER(BI128),ISNUMBER(BI121)),IFERROR(BI128/BI121,""),"")</f>
        <v>0.0803662892081285</v>
      </c>
      <c r="BJ222" s="215">
        <f>IF(AND(ISNUMBER(BJ128),ISNUMBER(BJ121)),IFERROR(BJ128/BJ121,""),"")</f>
        <v>0.0769356757954067</v>
      </c>
      <c r="BK222" s="215">
        <f>IF(AND(ISNUMBER(BK128),ISNUMBER(BK121)),IFERROR(BK128/BK121,""),"")</f>
        <v>0.0762316699357227</v>
      </c>
      <c r="BL222" s="215">
        <f>IF(AND(ISNUMBER(BL128),ISNUMBER(BL121)),IFERROR(BL128/BL121,""),"")</f>
        <v>0.0793444958836617</v>
      </c>
      <c r="BM222" s="215">
        <f>IF(AND(ISNUMBER(BM128),ISNUMBER(BM121)),IFERROR(BM128/BM121,""),"")</f>
        <v>0.0749669172418798</v>
      </c>
      <c r="BN222" s="215">
        <f>IF(AND(ISNUMBER(BN128),ISNUMBER(BN121)),IFERROR(BN128/BN121,""),"")</f>
        <v>0.0744043241614719</v>
      </c>
      <c r="BO222" s="215">
        <f>IF(AND(ISNUMBER(BO128),ISNUMBER(BO121)),IFERROR(BO128/BO121,""),"")</f>
        <v>0.0748178341879648</v>
      </c>
      <c r="BP222" s="215">
        <f>IF(AND(ISNUMBER(BP128),ISNUMBER(BP121)),IFERROR(BP128/BP121,""),"")</f>
        <v>0.0757823661571502</v>
      </c>
      <c r="BQ222" s="215">
        <f>IF(AND(ISNUMBER(BQ128),ISNUMBER(BQ121)),IFERROR(BQ128/BQ121,""),"")</f>
        <v>0.0750057062689165</v>
      </c>
      <c r="BR222" s="215">
        <f>IF(AND(ISNUMBER(BR128),ISNUMBER(BR121)),IFERROR(BR128/BR121,""),"")</f>
        <v>0.0780459576160074</v>
      </c>
      <c r="BS222" s="215">
        <f>IF(AND(ISNUMBER(BS128),ISNUMBER(BS121)),IFERROR(BS128/BS121,""),"")</f>
        <v>0.0744354764609538</v>
      </c>
      <c r="BT222" s="215">
        <f>IF(AND(ISNUMBER(BT128),ISNUMBER(BT121)),IFERROR(BT128/BT121,""),"")</f>
        <v>0.0741582305319919</v>
      </c>
      <c r="BU222" s="215">
        <f>IF(AND(ISNUMBER(BU128),ISNUMBER(BU121)),IFERROR(BU128/BU121,""),"")</f>
        <v>0.0738791455677243</v>
      </c>
      <c r="BV222" s="215">
        <f>IF(AND(ISNUMBER(BV128),ISNUMBER(BV121)),IFERROR(BV128/BV121,""),"")</f>
        <v>0.075058922556687</v>
      </c>
      <c r="BW222" s="215">
        <f>IF(AND(ISNUMBER(BW128),ISNUMBER(BW121)),IFERROR(BW128/BW121,""),"")</f>
        <v>0.078344084703068</v>
      </c>
      <c r="BX222" s="215">
        <f>IF(AND(ISNUMBER(BX128),ISNUMBER(BX121)),IFERROR(BX128/BX121,""),"")</f>
        <v>0.0802292973102256</v>
      </c>
      <c r="BY222" s="256">
        <f>IF(AND(ISNUMBER(BY128),ISNUMBER(BY121)),IFERROR(BY128/BY121,""),"")</f>
        <v>0.0777459151969923</v>
      </c>
      <c r="BZ222" s="256">
        <f>IF(AND(ISNUMBER(BZ128),ISNUMBER(BZ121)),IFERROR(BZ128/BZ121,""),"")</f>
        <v>0.0712593162037857</v>
      </c>
      <c r="CA222" s="256">
        <f>IF(AND(ISNUMBER(CA128),ISNUMBER(CA121)),IFERROR(CA128/CA121,""),"")</f>
        <v>0.0767840576516012</v>
      </c>
      <c r="CB222" s="256">
        <f>IF(AND(ISNUMBER(CB128),ISNUMBER(CB121)),IFERROR(CB128/CB121,""),"")</f>
        <v>0.077</v>
      </c>
      <c r="CC222" s="256">
        <f>IF(AND(ISNUMBER(CC128),ISNUMBER(CC121)),IFERROR(CC128/CC121,""),"")</f>
        <v>0.075</v>
      </c>
      <c r="CD222" s="256">
        <f>IF(AND(ISNUMBER(CD128),ISNUMBER(CD121)),IFERROR(CD128/CD121,""),"")</f>
        <v>0.074</v>
      </c>
      <c r="CE222" s="256">
        <f>IF(AND(ISNUMBER(CE128),ISNUMBER(CE121)),IFERROR(CE128/CE121,""),"")</f>
        <v>0.073</v>
      </c>
      <c r="CF222" s="256">
        <f>IF(AND(ISNUMBER(CF128),ISNUMBER(CF121)),IFERROR(CF128/CF121,""),"")</f>
        <v>0.072</v>
      </c>
      <c r="CG222" s="153" t="n"/>
      <c r="CI222" s="37">
        <f>IFERROR(AVERAGE(CB222,CC222,CD222,CE222,CF222),"n/m")</f>
        <v>0.0742</v>
      </c>
      <c r="CJ222" s="37">
        <f>IFERROR(AVERAGE(BB222,BG222,BL222,BQ222,BV222),"n/m")</f>
        <v>0.0783453414871257</v>
      </c>
      <c r="CK222" s="37">
        <f>IFERROR(AVERAGE(AC222,AH222,AM222,AR222,AW222,BB222,BG222,BL222,BQ222,BV222),"n/m")</f>
        <v>0.0805467898972692</v>
      </c>
      <c r="CL222" s="37">
        <f>IFERROR(AVERAGE(C222,D222,E222,F222,G222,H222,I222,N222,S222,X222,AC222,AH222,AM222,AR222,AW222,BB222,BG222,BL222,BQ222,BV222),"n/m")</f>
        <v>0.0781784555508609</v>
      </c>
    </row>
    <row r="223" ht="15" customHeight="1" s="251">
      <c r="B223" s="25" t="inlineStr">
        <is>
          <t xml:space="preserve">  G&amp;A % of revenue</t>
        </is>
      </c>
      <c r="C223" s="215">
        <f>IF(AND(ISNUMBER(C129),ISNUMBER(C121)),IFERROR(C129/C121,""),"")</f>
        <v>0.0362761623823571</v>
      </c>
      <c r="D223" s="215">
        <f>IF(AND(ISNUMBER(D129),ISNUMBER(D121)),IFERROR(D129/D121,""),"")</f>
        <v>0.043582723546883</v>
      </c>
      <c r="E223" s="215">
        <f>IF(AND(ISNUMBER(E129),ISNUMBER(E121)),IFERROR(E129/E121,""),"")</f>
        <v>0.0363914554603671</v>
      </c>
      <c r="F223" s="215">
        <f>IF(AND(ISNUMBER(F129),ISNUMBER(F121)),IFERROR(F129/F121,""),"")</f>
        <v>0.0307333728878402</v>
      </c>
      <c r="G223" s="215">
        <f>IF(AND(ISNUMBER(G129),ISNUMBER(G121)),IFERROR(G129/G121,""),"")</f>
        <v>0.0326247037743483</v>
      </c>
      <c r="H223" s="215">
        <f>IF(AND(ISNUMBER(H129),ISNUMBER(H121)),IFERROR(H129/H121,""),"")</f>
        <v>0.0368026731765222</v>
      </c>
      <c r="I223" s="215">
        <f>IF(AND(ISNUMBER(I129),ISNUMBER(I121)),IFERROR(I129/I121,""),"")</f>
        <v>0.0331608890632541</v>
      </c>
      <c r="J223" s="215">
        <f>IF(AND(ISNUMBER(J129),ISNUMBER(J121)),IFERROR(J129/J121,""),"")</f>
        <v>0.0430934381289912</v>
      </c>
      <c r="K223" s="215">
        <f>IF(AND(ISNUMBER(K129),ISNUMBER(K121)),IFERROR(K129/K121,""),"")</f>
        <v>0.0409997643476732</v>
      </c>
      <c r="L223" s="215">
        <f>IF(AND(ISNUMBER(L129),ISNUMBER(L121)),IFERROR(L129/L121,""),"")</f>
        <v>0.0417821354268856</v>
      </c>
      <c r="M223" s="215">
        <f>IF(AND(ISNUMBER(M129),ISNUMBER(M121)),IFERROR(M129/M121,""),"")</f>
        <v>0.0392433821464735</v>
      </c>
      <c r="N223" s="215">
        <f>IF(AND(ISNUMBER(N129),ISNUMBER(N121)),IFERROR(N129/N121,""),"")</f>
        <v>0.0412157834315755</v>
      </c>
      <c r="O223" s="215">
        <f>IF(AND(ISNUMBER(O129),ISNUMBER(O121)),IFERROR(O129/O121,""),"")</f>
        <v>0.0440126636794744</v>
      </c>
      <c r="P223" s="215">
        <f>IF(AND(ISNUMBER(P129),ISNUMBER(P121)),IFERROR(P129/P121,""),"")</f>
        <v>0.0447729682104018</v>
      </c>
      <c r="Q223" s="215">
        <f>IF(AND(ISNUMBER(Q129),ISNUMBER(Q121)),IFERROR(Q129/Q121,""),"")</f>
        <v>0.0553584706463313</v>
      </c>
      <c r="R223" s="215">
        <f>IF(AND(ISNUMBER(R129),ISNUMBER(R121)),IFERROR(R129/R121,""),"")</f>
        <v>0.0510551427601554</v>
      </c>
      <c r="S223" s="215">
        <f>IF(AND(ISNUMBER(S129),ISNUMBER(S121)),IFERROR(S129/S121,""),"")</f>
        <v>0.0490023354774576</v>
      </c>
      <c r="T223" s="215">
        <f>IF(AND(ISNUMBER(T129),ISNUMBER(T121)),IFERROR(T129/T121,""),"")</f>
        <v>0.0581573411970665</v>
      </c>
      <c r="U223" s="215">
        <f>IF(AND(ISNUMBER(U129),ISNUMBER(U121)),IFERROR(U129/U121,""),"")</f>
        <v>0.0583123669205336</v>
      </c>
      <c r="V223" s="215">
        <f>IF(AND(ISNUMBER(V129),ISNUMBER(V121)),IFERROR(V129/V121,""),"")</f>
        <v>0.0637913429650445</v>
      </c>
      <c r="W223" s="215">
        <f>IF(AND(ISNUMBER(W129),ISNUMBER(W121)),IFERROR(W129/W121,""),"")</f>
        <v>0.0598036672401585</v>
      </c>
      <c r="X223" s="215">
        <f>IF(AND(ISNUMBER(X129),ISNUMBER(X121)),IFERROR(X129/X121,""),"")</f>
        <v>0.0600823569723539</v>
      </c>
      <c r="Y223" s="215">
        <f>IF(AND(ISNUMBER(Y129),ISNUMBER(Y121)),IFERROR(Y129/Y121,""),"")</f>
        <v>0.0649857794922298</v>
      </c>
      <c r="Z223" s="215">
        <f>IF(AND(ISNUMBER(Z129),ISNUMBER(Z121)),IFERROR(Z129/Z121,""),"")</f>
        <v>0.0657451724393456</v>
      </c>
      <c r="AA223" s="215">
        <f>IF(AND(ISNUMBER(AA129),ISNUMBER(AA121)),IFERROR(AA129/AA121,""),"")</f>
        <v>0.0668792256356247</v>
      </c>
      <c r="AB223" s="215">
        <f>IF(AND(ISNUMBER(AB129),ISNUMBER(AB121)),IFERROR(AB129/AB121,""),"")</f>
        <v>0.0641769399578049</v>
      </c>
      <c r="AC223" s="215">
        <f>IF(AND(ISNUMBER(AC129),ISNUMBER(AC121)),IFERROR(AC129/AC121,""),"")</f>
        <v>0.0654309430010342</v>
      </c>
      <c r="AD223" s="215">
        <f>IF(AND(ISNUMBER(AD129),ISNUMBER(AD121)),IFERROR(AD129/AD121,""),"")</f>
        <v>0.0736890013217605</v>
      </c>
      <c r="AE223" s="215">
        <f>IF(AND(ISNUMBER(AE129),ISNUMBER(AE121)),IFERROR(AE129/AE121,""),"")</f>
        <v>0.0768069520912853</v>
      </c>
      <c r="AF223" s="215">
        <f>IF(AND(ISNUMBER(AF129),ISNUMBER(AF121)),IFERROR(AF129/AF121,""),"")</f>
        <v>0.0722064258311699</v>
      </c>
      <c r="AG223" s="215">
        <f>IF(AND(ISNUMBER(AG129),ISNUMBER(AG121)),IFERROR(AG129/AG121,""),"")</f>
        <v>0.0729841391095806</v>
      </c>
      <c r="AH223" s="215">
        <f>IF(AND(ISNUMBER(AH129),ISNUMBER(AH121)),IFERROR(AH129/AH121,""),"")</f>
        <v>0.073855229321031</v>
      </c>
      <c r="AI223" s="215">
        <f>IF(AND(ISNUMBER(AI129),ISNUMBER(AI121)),IFERROR(AI129/AI121,""),"")</f>
        <v>0.0363732066311145</v>
      </c>
      <c r="AJ223" s="215">
        <f>IF(AND(ISNUMBER(AJ129),ISNUMBER(AJ121)),IFERROR(AJ129/AJ121,""),"")</f>
        <v>0.0387800177617621</v>
      </c>
      <c r="AK223" s="215">
        <f>IF(AND(ISNUMBER(AK129),ISNUMBER(AK121)),IFERROR(AK129/AK121,""),"")</f>
        <v>0.0421635986031814</v>
      </c>
      <c r="AL223" s="215">
        <f>IF(AND(ISNUMBER(AL129),ISNUMBER(AL121)),IFERROR(AL129/AL121,""),"")</f>
        <v>0.0419242096845808</v>
      </c>
      <c r="AM223" s="215">
        <f>IF(AND(ISNUMBER(AM129),ISNUMBER(AM121)),IFERROR(AM129/AM121,""),"")</f>
        <v>0.0399063183452858</v>
      </c>
      <c r="AN223" s="215">
        <f>IF(AND(ISNUMBER(AN129),ISNUMBER(AN121)),IFERROR(AN129/AN121,""),"")</f>
        <v>0.0446698423708779</v>
      </c>
      <c r="AO223" s="215">
        <f>IF(AND(ISNUMBER(AO129),ISNUMBER(AO121)),IFERROR(AO129/AO121,""),"")</f>
        <v>0.0456330909123409</v>
      </c>
      <c r="AP223" s="215">
        <f>IF(AND(ISNUMBER(AP129),ISNUMBER(AP121)),IFERROR(AP129/AP121,""),"")</f>
        <v>0.0444572399309425</v>
      </c>
      <c r="AQ223" s="215">
        <f>IF(AND(ISNUMBER(AQ129),ISNUMBER(AQ121)),IFERROR(AQ129/AQ121,""),"")</f>
        <v>0.0465640737501358</v>
      </c>
      <c r="AR223" s="215">
        <f>IF(AND(ISNUMBER(AR129),ISNUMBER(AR121)),IFERROR(AR129/AR121,""),"")</f>
        <v>0.0453636000432021</v>
      </c>
      <c r="AS223" s="215">
        <f>IF(AND(ISNUMBER(AS129),ISNUMBER(AS121)),IFERROR(AS129/AS121,""),"")</f>
        <v>0.0437067450388726</v>
      </c>
      <c r="AT223" s="215">
        <f>IF(AND(ISNUMBER(AT129),ISNUMBER(AT121)),IFERROR(AT129/AT121,""),"")</f>
        <v>0.0450915913801017</v>
      </c>
      <c r="AU223" s="215">
        <f>IF(AND(ISNUMBER(AU129),ISNUMBER(AU121)),IFERROR(AU129/AU121,""),"")</f>
        <v>0.0422062338195893</v>
      </c>
      <c r="AV223" s="215">
        <f>IF(AND(ISNUMBER(AV129),ISNUMBER(AV121)),IFERROR(AV129/AV121,""),"")</f>
        <v>0.0414690955237475</v>
      </c>
      <c r="AW223" s="215">
        <f>IF(AND(ISNUMBER(AW129),ISNUMBER(AW121)),IFERROR(AW129/AW121,""),"")</f>
        <v>0.0430662341290962</v>
      </c>
      <c r="AX223" s="215">
        <f>IF(AND(ISNUMBER(AX129),ISNUMBER(AX121)),IFERROR(AX129/AX121,""),"")</f>
        <v>0.0414888035958936</v>
      </c>
      <c r="AY223" s="215">
        <f>IF(AND(ISNUMBER(AY129),ISNUMBER(AY121)),IFERROR(AY129/AY121,""),"")</f>
        <v>0.0456081681587441</v>
      </c>
      <c r="AZ223" s="215">
        <f>IF(AND(ISNUMBER(AZ129),ISNUMBER(AZ121)),IFERROR(AZ129/AZ121,""),"")</f>
        <v>0.0430001228040426</v>
      </c>
      <c r="BA223" s="215">
        <f>IF(AND(ISNUMBER(BA129),ISNUMBER(BA121)),IFERROR(BA129/BA121,""),"")</f>
        <v>0.0515985979563951</v>
      </c>
      <c r="BB223" s="215">
        <f>IF(AND(ISNUMBER(BB129),ISNUMBER(BB121)),IFERROR(BB129/BB121,""),"")</f>
        <v>0.0455124284443005</v>
      </c>
      <c r="BC223" s="215">
        <f>IF(AND(ISNUMBER(BC129),ISNUMBER(BC121)),IFERROR(BC129/BC121,""),"")</f>
        <v>0.0505769934468065</v>
      </c>
      <c r="BD223" s="215">
        <f>IF(AND(ISNUMBER(BD129),ISNUMBER(BD121)),IFERROR(BD129/BD121,""),"")</f>
        <v>0.0513537966266845</v>
      </c>
      <c r="BE223" s="215">
        <f>IF(AND(ISNUMBER(BE129),ISNUMBER(BE121)),IFERROR(BE129/BE121,""),"")</f>
        <v>0.0470896232444049</v>
      </c>
      <c r="BF223" s="215">
        <f>IF(AND(ISNUMBER(BF129),ISNUMBER(BF121)),IFERROR(BF129/BF121,""),"")</f>
        <v>0.0499809412901314</v>
      </c>
      <c r="BG223" s="215">
        <f>IF(AND(ISNUMBER(BG129),ISNUMBER(BG121)),IFERROR(BG129/BG121,""),"")</f>
        <v>0.0497505499667094</v>
      </c>
      <c r="BH223" s="215">
        <f>IF(AND(ISNUMBER(BH129),ISNUMBER(BH121)),IFERROR(BH129/BH121,""),"")</f>
        <v>0.0491237949676671</v>
      </c>
      <c r="BI223" s="215">
        <f>IF(AND(ISNUMBER(BI129),ISNUMBER(BI121)),IFERROR(BI129/BI121,""),"")</f>
        <v>0.0490389934362985</v>
      </c>
      <c r="BJ223" s="215">
        <f>IF(AND(ISNUMBER(BJ129),ISNUMBER(BJ121)),IFERROR(BJ129/BJ121,""),"")</f>
        <v>0.0560301571074877</v>
      </c>
      <c r="BK223" s="215">
        <f>IF(AND(ISNUMBER(BK129),ISNUMBER(BK121)),IFERROR(BK129/BK121,""),"")</f>
        <v>0.0497318807969138</v>
      </c>
      <c r="BL223" s="215">
        <f>IF(AND(ISNUMBER(BL129),ISNUMBER(BL121)),IFERROR(BL129/BL121,""),"")</f>
        <v>0.0510117679181843</v>
      </c>
      <c r="BM223" s="215">
        <f>IF(AND(ISNUMBER(BM129),ISNUMBER(BM121)),IFERROR(BM129/BM121,""),"")</f>
        <v>0.0431164385023542</v>
      </c>
      <c r="BN223" s="215">
        <f>IF(AND(ISNUMBER(BN129),ISNUMBER(BN121)),IFERROR(BN129/BN121,""),"")</f>
        <v>0.0446676590674432</v>
      </c>
      <c r="BO223" s="215">
        <f>IF(AND(ISNUMBER(BO129),ISNUMBER(BO121)),IFERROR(BO129/BO121,""),"")</f>
        <v>0.0424799609718482</v>
      </c>
      <c r="BP223" s="215">
        <f>IF(AND(ISNUMBER(BP129),ISNUMBER(BP121)),IFERROR(BP129/BP121,""),"")</f>
        <v>0.044275940507761</v>
      </c>
      <c r="BQ223" s="215">
        <f>IF(AND(ISNUMBER(BQ129),ISNUMBER(BQ121)),IFERROR(BQ129/BQ121,""),"")</f>
        <v>0.0436409446883957</v>
      </c>
      <c r="BR223" s="215">
        <f>IF(AND(ISNUMBER(BR129),ISNUMBER(BR121)),IFERROR(BR129/BR121,""),"")</f>
        <v>0.0399762833425387</v>
      </c>
      <c r="BS223" s="215">
        <f>IF(AND(ISNUMBER(BS129),ISNUMBER(BS121)),IFERROR(BS129/BS121,""),"")</f>
        <v>0.0398236654275241</v>
      </c>
      <c r="BT223" s="215">
        <f>IF(AND(ISNUMBER(BT129),ISNUMBER(BT121)),IFERROR(BT129/BT121,""),"")</f>
        <v>0.0397844297289377</v>
      </c>
      <c r="BU223" s="215">
        <f>IF(AND(ISNUMBER(BU129),ISNUMBER(BU121)),IFERROR(BU129/BU121,""),"")</f>
        <v>0.047117518377676</v>
      </c>
      <c r="BV223" s="215">
        <f>IF(AND(ISNUMBER(BV129),ISNUMBER(BV121)),IFERROR(BV129/BV121,""),"")</f>
        <v>0.0417946239823282</v>
      </c>
      <c r="BW223" s="215">
        <f>IF(AND(ISNUMBER(BW129),ISNUMBER(BW121)),IFERROR(BW129/BW121,""),"")</f>
        <v>0.0491935472679172</v>
      </c>
      <c r="BX223" s="215">
        <f>IF(AND(ISNUMBER(BX129),ISNUMBER(BX121)),IFERROR(BX129/BX121,""),"")</f>
        <v>0.0397175527458814</v>
      </c>
      <c r="BY223" s="256">
        <f>IF(AND(ISNUMBER(BY129),ISNUMBER(BY121)),IFERROR(BY129/BY121,""),"")</f>
        <v>0.0445607263896402</v>
      </c>
      <c r="BZ223" s="256">
        <f>IF(AND(ISNUMBER(BZ129),ISNUMBER(BZ121)),IFERROR(BZ129/BZ121,""),"")</f>
        <v>0.0477789365115288</v>
      </c>
      <c r="CA223" s="256">
        <f>IF(AND(ISNUMBER(CA129),ISNUMBER(CA121)),IFERROR(CA129/CA121,""),"")</f>
        <v>0.0453315141591288</v>
      </c>
      <c r="CB223" s="256">
        <f>IF(AND(ISNUMBER(CB129),ISNUMBER(CB121)),IFERROR(CB129/CB121,""),"")</f>
        <v>0.042</v>
      </c>
      <c r="CC223" s="256">
        <f>IF(AND(ISNUMBER(CC129),ISNUMBER(CC121)),IFERROR(CC129/CC121,""),"")</f>
        <v>0.041</v>
      </c>
      <c r="CD223" s="256">
        <f>IF(AND(ISNUMBER(CD129),ISNUMBER(CD121)),IFERROR(CD129/CD121,""),"")</f>
        <v>0.04</v>
      </c>
      <c r="CE223" s="256">
        <f>IF(AND(ISNUMBER(CE129),ISNUMBER(CE121)),IFERROR(CE129/CE121,""),"")</f>
        <v>0.04</v>
      </c>
      <c r="CF223" s="256">
        <f>IF(AND(ISNUMBER(CF129),ISNUMBER(CF121)),IFERROR(CF129/CF121,""),"")</f>
        <v>0.039</v>
      </c>
      <c r="CG223" s="153" t="n"/>
      <c r="CI223" s="37">
        <f>IFERROR(AVERAGE(CB223,CC223,CD223,CE223,CF223),"n/m")</f>
        <v>0.0404</v>
      </c>
      <c r="CJ223" s="37">
        <f>IFERROR(AVERAGE(BB223,BG223,BL223,BQ223,BV223),"n/m")</f>
        <v>0.0463420629999836</v>
      </c>
      <c r="CK223" s="37">
        <f>IFERROR(AVERAGE(AC223,AH223,AM223,AR223,AW223,BB223,BG223,BL223,BQ223,BV223),"n/m")</f>
        <v>0.0499332639839567</v>
      </c>
      <c r="CL223" s="37">
        <f>IFERROR(AVERAGE(C223,D223,E223,F223,G223,H223,I223,N223,S223,X223,AC223,AH223,AM223,AR223,AW223,BB223,BG223,BL223,BQ223,BV223),"n/m")</f>
        <v>0.0449602548006263</v>
      </c>
    </row>
    <row r="224" ht="15" customHeight="1" s="251">
      <c r="CO224" s="11" t="n"/>
      <c r="CP224" s="12" t="n"/>
      <c r="CQ224" s="12" t="n"/>
      <c r="CR224" s="12" t="n"/>
      <c r="CS224" s="13" t="n"/>
    </row>
    <row r="225" ht="15" customHeight="1" s="251">
      <c r="B225" s="10" t="inlineStr">
        <is>
          <t>CONSOLIDATED STATEMENTS OF CASH FLOWS</t>
        </is>
      </c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n"/>
      <c r="AN225" s="10" t="n"/>
      <c r="AO225" s="10" t="n"/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0" t="n"/>
      <c r="BC225" s="10" t="n"/>
      <c r="BD225" s="10" t="n"/>
      <c r="BE225" s="10" t="n"/>
      <c r="BF225" s="10" t="n"/>
      <c r="BG225" s="10" t="n"/>
      <c r="BH225" s="10" t="n"/>
      <c r="BI225" s="10" t="n"/>
      <c r="BJ225" s="10" t="n"/>
      <c r="BK225" s="10" t="n"/>
      <c r="BL225" s="10" t="n"/>
      <c r="BM225" s="10" t="n"/>
      <c r="BN225" s="10" t="n"/>
      <c r="BO225" s="10" t="n"/>
      <c r="BP225" s="10" t="n"/>
      <c r="BQ225" s="10" t="n"/>
      <c r="BR225" s="10" t="n"/>
      <c r="BS225" s="10" t="n"/>
      <c r="BT225" s="10" t="n"/>
      <c r="BU225" s="10" t="n"/>
      <c r="BV225" s="10" t="n"/>
      <c r="BW225" s="10" t="n"/>
      <c r="BX225" s="10" t="n"/>
      <c r="BY225" s="10" t="n"/>
      <c r="BZ225" s="10" t="n"/>
      <c r="CA225" s="10" t="n"/>
      <c r="CB225" s="10" t="n"/>
      <c r="CC225" s="10" t="n"/>
      <c r="CD225" s="10" t="n"/>
      <c r="CE225" s="10" t="n"/>
      <c r="CF225" s="10" t="n"/>
      <c r="CG225" s="10" t="inlineStr">
        <is>
          <t>CASH FLOW — forecast logic (annual; 2026E = 1H-26 actual + 2H estimate; quarters = discrete, derived from year-to-date statements)</t>
        </is>
      </c>
    </row>
    <row r="226" ht="15" customHeight="1" s="251">
      <c r="B226" s="25" t="inlineStr">
        <is>
          <t>Net income</t>
        </is>
      </c>
      <c r="C226" s="253" t="n">
        <v>49.082</v>
      </c>
      <c r="D226" s="253" t="n">
        <v>66.952</v>
      </c>
      <c r="E226" s="253" t="n">
        <v>83.026</v>
      </c>
      <c r="F226" s="253" t="n">
        <v>115.86</v>
      </c>
      <c r="G226" s="253" t="n">
        <v>160.853</v>
      </c>
      <c r="H226" s="253" t="n">
        <v>226.126</v>
      </c>
      <c r="I226" s="253" t="n">
        <v>17.152</v>
      </c>
      <c r="J226" s="253" t="n">
        <v>2.689</v>
      </c>
      <c r="K226" s="253" t="n">
        <v>29.471</v>
      </c>
      <c r="L226" s="253" t="n">
        <v>31.822</v>
      </c>
      <c r="M226" s="253" t="n">
        <v>48.421</v>
      </c>
      <c r="N226" s="253" t="n">
        <v>112.403</v>
      </c>
      <c r="O226" s="253" t="n">
        <v>53.115</v>
      </c>
      <c r="P226" s="253" t="n">
        <v>71.018</v>
      </c>
      <c r="Q226" s="253" t="n">
        <v>59.295</v>
      </c>
      <c r="R226" s="253" t="n">
        <v>83.371</v>
      </c>
      <c r="S226" s="253" t="n">
        <v>266.799</v>
      </c>
      <c r="T226" s="253" t="n">
        <v>23.696</v>
      </c>
      <c r="U226" s="253" t="n">
        <v>26.335</v>
      </c>
      <c r="V226" s="253" t="n">
        <v>29.432</v>
      </c>
      <c r="W226" s="253" t="n">
        <v>43.178</v>
      </c>
      <c r="X226" s="253" t="n">
        <v>122.641</v>
      </c>
      <c r="Y226" s="253" t="n">
        <v>27.658</v>
      </c>
      <c r="Z226" s="253" t="n">
        <v>40.755</v>
      </c>
      <c r="AA226" s="253" t="n">
        <v>51.517</v>
      </c>
      <c r="AB226" s="253" t="n">
        <v>66.748</v>
      </c>
      <c r="AC226" s="253" t="n">
        <v>186.678</v>
      </c>
      <c r="AD226" s="253" t="n">
        <v>178.222</v>
      </c>
      <c r="AE226" s="253" t="n">
        <v>65.59999999999999</v>
      </c>
      <c r="AF226" s="253" t="n">
        <v>129.59</v>
      </c>
      <c r="AG226" s="253" t="n">
        <v>185.517</v>
      </c>
      <c r="AH226" s="253" t="n">
        <v>558.929</v>
      </c>
      <c r="AI226" s="253" t="n">
        <v>290.124</v>
      </c>
      <c r="AJ226" s="253" t="n">
        <v>384.349</v>
      </c>
      <c r="AK226" s="253" t="n">
        <v>402.835</v>
      </c>
      <c r="AL226" s="253" t="n">
        <v>133.934</v>
      </c>
      <c r="AM226" s="253" t="n">
        <v>1211.242</v>
      </c>
      <c r="AN226" s="253" t="n">
        <v>344.052</v>
      </c>
      <c r="AO226" s="253" t="n">
        <v>270.65</v>
      </c>
      <c r="AP226" s="253" t="n">
        <v>665.244</v>
      </c>
      <c r="AQ226" s="253" t="n">
        <v>586.97</v>
      </c>
      <c r="AR226" s="253" t="n">
        <v>1866.916</v>
      </c>
      <c r="AS226" s="253" t="n">
        <v>709.067</v>
      </c>
      <c r="AT226" s="253" t="n">
        <v>720.196</v>
      </c>
      <c r="AU226" s="253" t="n">
        <v>789.976</v>
      </c>
      <c r="AV226" s="253" t="n">
        <v>542.1559999999999</v>
      </c>
      <c r="AW226" s="253" t="n">
        <v>2761.395</v>
      </c>
      <c r="AX226" s="253" t="n">
        <v>1706.715</v>
      </c>
      <c r="AY226" s="253" t="n">
        <v>1353.013</v>
      </c>
      <c r="AZ226" s="253" t="n">
        <v>1449.071</v>
      </c>
      <c r="BA226" s="253" t="n">
        <v>607.429</v>
      </c>
      <c r="BB226" s="253" t="n">
        <v>5116.228</v>
      </c>
      <c r="BC226" s="253" t="n">
        <v>1597.447</v>
      </c>
      <c r="BD226" s="253" t="n">
        <v>1440.951</v>
      </c>
      <c r="BE226" s="253" t="n">
        <v>1398.242</v>
      </c>
      <c r="BF226" s="253" t="n">
        <v>55.284</v>
      </c>
      <c r="BG226" s="253" t="n">
        <v>4491.924</v>
      </c>
      <c r="BH226" s="253" t="n">
        <v>1305.12</v>
      </c>
      <c r="BI226" s="253" t="n">
        <v>1487.61</v>
      </c>
      <c r="BJ226" s="253" t="n">
        <v>1677.422</v>
      </c>
      <c r="BK226" s="253" t="n">
        <v>937.838</v>
      </c>
      <c r="BL226" s="253" t="n">
        <v>5407.99</v>
      </c>
      <c r="BM226" s="253" t="n">
        <v>2332.209</v>
      </c>
      <c r="BN226" s="253" t="n">
        <v>2147.306</v>
      </c>
      <c r="BO226" s="253" t="n">
        <v>2363.509</v>
      </c>
      <c r="BP226" s="253" t="n">
        <v>1868.607</v>
      </c>
      <c r="BQ226" s="253" t="n">
        <v>8711.630999999999</v>
      </c>
      <c r="BR226" s="253" t="n">
        <v>2890.351</v>
      </c>
      <c r="BS226" s="253" t="n">
        <v>3125.413</v>
      </c>
      <c r="BT226" s="253" t="n">
        <v>2546.916</v>
      </c>
      <c r="BU226" s="253" t="n">
        <v>2418.521</v>
      </c>
      <c r="BV226" s="253" t="n">
        <v>10981.201</v>
      </c>
      <c r="BW226" s="253" t="n">
        <v>5282.791</v>
      </c>
      <c r="BX226" s="253" t="n">
        <v>3401.414</v>
      </c>
      <c r="BY226" s="35" t="n"/>
      <c r="BZ226" s="35" t="n"/>
      <c r="CA226" s="254">
        <f>SUM(BW226:BX226)+SUM(BY141:BZ141)</f>
        <v>15120.713155</v>
      </c>
      <c r="CB226" s="254">
        <f>CB141</f>
        <v>15315.1314271673</v>
      </c>
      <c r="CC226" s="254">
        <f>CC141</f>
        <v>17591.8898783329</v>
      </c>
      <c r="CD226" s="254">
        <f>CD141</f>
        <v>19974.2603364452</v>
      </c>
      <c r="CE226" s="254">
        <f>CE141</f>
        <v>22165.7442990931</v>
      </c>
      <c r="CF226" s="254">
        <f>CF141</f>
        <v>24404.2717007181</v>
      </c>
      <c r="CG226" s="19" t="n"/>
    </row>
    <row r="227" ht="15" customHeight="1" s="251">
      <c r="B227" s="25" t="inlineStr">
        <is>
          <t>Adjustments (content and non-cash items):</t>
        </is>
      </c>
      <c r="CG227" s="153" t="n"/>
    </row>
    <row r="228" ht="15" customHeight="1" s="251">
      <c r="B228" s="25" t="inlineStr">
        <is>
          <t xml:space="preserve">  Additions to content assets (operating; streaming content from 2010)</t>
        </is>
      </c>
      <c r="C228" s="253" t="n">
        <v>0</v>
      </c>
      <c r="D228" s="253" t="n">
        <v>0</v>
      </c>
      <c r="E228" s="253" t="n">
        <v>0</v>
      </c>
      <c r="F228" s="253" t="n">
        <v>0</v>
      </c>
      <c r="G228" s="253" t="n">
        <v>0</v>
      </c>
      <c r="H228" s="253" t="n">
        <v>-2320.732</v>
      </c>
      <c r="I228" s="253" t="n">
        <v>-2515.506</v>
      </c>
      <c r="J228" s="253" t="n">
        <v>-591.941</v>
      </c>
      <c r="K228" s="253" t="n">
        <v>-593.454</v>
      </c>
      <c r="L228" s="253" t="n">
        <v>-878.314</v>
      </c>
      <c r="M228" s="253" t="n">
        <v>-986.049</v>
      </c>
      <c r="N228" s="253" t="n">
        <v>-3049.758</v>
      </c>
      <c r="O228" s="253" t="n">
        <v>-749.399</v>
      </c>
      <c r="P228" s="253" t="n">
        <v>-813.314</v>
      </c>
      <c r="Q228" s="253" t="n">
        <v>-1202.484</v>
      </c>
      <c r="R228" s="253" t="n">
        <v>-1008.262</v>
      </c>
      <c r="S228" s="253" t="n">
        <v>-3773.459</v>
      </c>
      <c r="T228" s="253" t="n">
        <v>-1611.925</v>
      </c>
      <c r="U228" s="253" t="n">
        <v>-1273.677</v>
      </c>
      <c r="V228" s="253" t="n">
        <v>-1308.943</v>
      </c>
      <c r="W228" s="253" t="n">
        <v>-1577.107</v>
      </c>
      <c r="X228" s="253" t="n">
        <v>-5771.652</v>
      </c>
      <c r="Y228" s="253" t="n">
        <v>-2316.599</v>
      </c>
      <c r="Z228" s="253" t="n">
        <v>-1791.766</v>
      </c>
      <c r="AA228" s="253" t="n">
        <v>-2442.08</v>
      </c>
      <c r="AB228" s="253" t="n">
        <v>-2102.841</v>
      </c>
      <c r="AC228" s="253" t="n">
        <v>-8653.286</v>
      </c>
      <c r="AD228" s="253" t="n">
        <v>-2348.666</v>
      </c>
      <c r="AE228" s="253" t="n">
        <v>-2664.421</v>
      </c>
      <c r="AF228" s="253" t="n">
        <v>-2315.017</v>
      </c>
      <c r="AG228" s="253" t="n">
        <v>-2477.659</v>
      </c>
      <c r="AH228" s="253" t="n">
        <v>-9805.763000000001</v>
      </c>
      <c r="AI228" s="253" t="n">
        <v>-2986.747</v>
      </c>
      <c r="AJ228" s="253" t="n">
        <v>-3033.721</v>
      </c>
      <c r="AK228" s="253" t="n">
        <v>-3238.717</v>
      </c>
      <c r="AL228" s="253" t="n">
        <v>-3784.252</v>
      </c>
      <c r="AM228" s="253" t="n">
        <v>-13043.437</v>
      </c>
      <c r="AN228" s="253" t="n">
        <v>-2997.746</v>
      </c>
      <c r="AO228" s="253" t="n">
        <v>-3325.103</v>
      </c>
      <c r="AP228" s="253" t="n">
        <v>-3648.292</v>
      </c>
      <c r="AQ228" s="253" t="n">
        <v>-3945.542</v>
      </c>
      <c r="AR228" s="253" t="n">
        <v>-13916.683</v>
      </c>
      <c r="AS228" s="253" t="n">
        <v>-3294.275</v>
      </c>
      <c r="AT228" s="253" t="n">
        <v>-2510.782</v>
      </c>
      <c r="AU228" s="253" t="n">
        <v>-2653.886</v>
      </c>
      <c r="AV228" s="253" t="n">
        <v>-3320.341</v>
      </c>
      <c r="AW228" s="253" t="n">
        <v>-11779.284</v>
      </c>
      <c r="AX228" s="253" t="n">
        <v>-3284.576</v>
      </c>
      <c r="AY228" s="253" t="n">
        <v>-4096.75</v>
      </c>
      <c r="AZ228" s="253" t="n">
        <v>-4666.237</v>
      </c>
      <c r="BA228" s="253" t="n">
        <v>-5654.639</v>
      </c>
      <c r="BB228" s="253" t="n">
        <v>-17702.202</v>
      </c>
      <c r="BC228" s="253" t="n">
        <v>-3584.164</v>
      </c>
      <c r="BD228" s="253" t="n">
        <v>-4687.011</v>
      </c>
      <c r="BE228" s="253" t="n">
        <v>-4582.671</v>
      </c>
      <c r="BF228" s="253" t="n">
        <v>-3985.192</v>
      </c>
      <c r="BG228" s="253" t="n">
        <v>-16839.038</v>
      </c>
      <c r="BH228" s="253" t="n">
        <v>-2458.666</v>
      </c>
      <c r="BI228" s="253" t="n">
        <v>-3683.007</v>
      </c>
      <c r="BJ228" s="253" t="n">
        <v>-2883.839</v>
      </c>
      <c r="BK228" s="253" t="n">
        <v>-3529.191</v>
      </c>
      <c r="BL228" s="253" t="n">
        <v>-12554.703</v>
      </c>
      <c r="BM228" s="253" t="n">
        <v>-3728.967</v>
      </c>
      <c r="BN228" s="253" t="n">
        <v>-4048.852</v>
      </c>
      <c r="BO228" s="253" t="n">
        <v>-4016.396</v>
      </c>
      <c r="BP228" s="253" t="n">
        <v>-4429.402</v>
      </c>
      <c r="BQ228" s="253" t="n">
        <v>-16223.617</v>
      </c>
      <c r="BR228" s="253" t="n">
        <v>-3549.657</v>
      </c>
      <c r="BS228" s="253" t="n">
        <v>-3835.813</v>
      </c>
      <c r="BT228" s="253" t="n">
        <v>-4653.935</v>
      </c>
      <c r="BU228" s="253" t="n">
        <v>-5057.212</v>
      </c>
      <c r="BV228" s="253" t="n">
        <v>-17096.617</v>
      </c>
      <c r="BW228" s="253" t="n">
        <v>-4846.917</v>
      </c>
      <c r="BX228" s="253" t="n">
        <v>-4927.523</v>
      </c>
      <c r="BY228" s="35" t="n"/>
      <c r="BZ228" s="35" t="n"/>
      <c r="CA228" s="254">
        <f>-$CQ$20*CA230-CA229</f>
        <v>-19734.24286</v>
      </c>
      <c r="CB228" s="254">
        <f>-CB258*CB230-CB229</f>
        <v>-21460.4865288</v>
      </c>
      <c r="CC228" s="254">
        <f>-CC258*CC230-CC229</f>
        <v>-22545.2165751648</v>
      </c>
      <c r="CD228" s="254">
        <f>-CD258*CD230-CD229</f>
        <v>-23788.3347668788</v>
      </c>
      <c r="CE228" s="254">
        <f>-CE258*CE230-CE229</f>
        <v>-24979.9747140794</v>
      </c>
      <c r="CF228" s="254">
        <f>-CF258*CF230-CF229</f>
        <v>-26105.251876907</v>
      </c>
      <c r="CG228" s="19" t="inlineStr">
        <is>
          <t>Forecast: cash content spend (additions + change in content liabilities) = cash content spend / amortization ratio × content amortization (2026E: ~1.1x guided; 2027E+: scenario lever).</t>
        </is>
      </c>
    </row>
    <row r="229" ht="15" customHeight="1" s="251">
      <c r="B229" s="25" t="inlineStr">
        <is>
          <t xml:space="preserve">  Change in content liabilities</t>
        </is>
      </c>
      <c r="C229" s="253" t="n">
        <v>0</v>
      </c>
      <c r="D229" s="253" t="n">
        <v>0</v>
      </c>
      <c r="E229" s="253" t="n">
        <v>0</v>
      </c>
      <c r="F229" s="253" t="n">
        <v>0</v>
      </c>
      <c r="G229" s="253" t="n">
        <v>0</v>
      </c>
      <c r="H229" s="253" t="n">
        <v>1460.4</v>
      </c>
      <c r="I229" s="253" t="n">
        <v>762.0890000000001</v>
      </c>
      <c r="J229" s="253" t="n">
        <v>9.699999999999999</v>
      </c>
      <c r="K229" s="253" t="n">
        <v>7.284</v>
      </c>
      <c r="L229" s="253" t="n">
        <v>310.191</v>
      </c>
      <c r="M229" s="253" t="n">
        <v>346.61</v>
      </c>
      <c r="N229" s="253" t="n">
        <v>673.785</v>
      </c>
      <c r="O229" s="253" t="n">
        <v>42.244</v>
      </c>
      <c r="P229" s="253" t="n">
        <v>78.35899999999999</v>
      </c>
      <c r="Q229" s="253" t="n">
        <v>346.752</v>
      </c>
      <c r="R229" s="253" t="n">
        <v>125.77</v>
      </c>
      <c r="S229" s="253" t="n">
        <v>593.125</v>
      </c>
      <c r="T229" s="253" t="n">
        <v>626.325</v>
      </c>
      <c r="U229" s="253" t="n">
        <v>191.154</v>
      </c>
      <c r="V229" s="253" t="n">
        <v>104.684</v>
      </c>
      <c r="W229" s="253" t="n">
        <v>240.25</v>
      </c>
      <c r="X229" s="253" t="n">
        <v>1162.413</v>
      </c>
      <c r="Y229" s="253" t="n">
        <v>905.723</v>
      </c>
      <c r="Z229" s="253" t="n">
        <v>238.517</v>
      </c>
      <c r="AA229" s="253" t="n">
        <v>529.885</v>
      </c>
      <c r="AB229" s="253" t="n">
        <v>98.52500000000001</v>
      </c>
      <c r="AC229" s="253" t="n">
        <v>1772.65</v>
      </c>
      <c r="AD229" s="253" t="n">
        <v>366.257</v>
      </c>
      <c r="AE229" s="253" t="n">
        <v>514.89</v>
      </c>
      <c r="AF229" s="253" t="n">
        <v>-34.587</v>
      </c>
      <c r="AG229" s="253" t="n">
        <v>53.446</v>
      </c>
      <c r="AH229" s="253" t="n">
        <v>900.006</v>
      </c>
      <c r="AI229" s="253" t="n">
        <v>378.885</v>
      </c>
      <c r="AJ229" s="253" t="n">
        <v>288.474</v>
      </c>
      <c r="AK229" s="253" t="n">
        <v>65.86799999999999</v>
      </c>
      <c r="AL229" s="253" t="n">
        <v>266.653</v>
      </c>
      <c r="AM229" s="253" t="n">
        <v>999.88</v>
      </c>
      <c r="AN229" s="253" t="n">
        <v>-14.698</v>
      </c>
      <c r="AO229" s="253" t="n">
        <v>-12.414</v>
      </c>
      <c r="AP229" s="253" t="n">
        <v>-95.548</v>
      </c>
      <c r="AQ229" s="253" t="n">
        <v>-571.351</v>
      </c>
      <c r="AR229" s="253" t="n">
        <v>-694.011</v>
      </c>
      <c r="AS229" s="253" t="n">
        <v>258.945</v>
      </c>
      <c r="AT229" s="253" t="n">
        <v>-108.432</v>
      </c>
      <c r="AU229" s="253" t="n">
        <v>-379.458</v>
      </c>
      <c r="AV229" s="253" t="n">
        <v>-528.4880000000001</v>
      </c>
      <c r="AW229" s="253" t="n">
        <v>-757.433</v>
      </c>
      <c r="AX229" s="253" t="n">
        <v>-266.04</v>
      </c>
      <c r="AY229" s="253" t="n">
        <v>-312.208</v>
      </c>
      <c r="AZ229" s="253" t="n">
        <v>-29.246</v>
      </c>
      <c r="BA229" s="253" t="n">
        <v>840.3920000000001</v>
      </c>
      <c r="BB229" s="253" t="n">
        <v>232.898</v>
      </c>
      <c r="BC229" s="253" t="n">
        <v>-347.149</v>
      </c>
      <c r="BD229" s="253" t="n">
        <v>191.228</v>
      </c>
      <c r="BE229" s="253" t="n">
        <v>60.867</v>
      </c>
      <c r="BF229" s="253" t="n">
        <v>274.364</v>
      </c>
      <c r="BG229" s="253" t="n">
        <v>179.31</v>
      </c>
      <c r="BH229" s="253" t="n">
        <v>-354.791</v>
      </c>
      <c r="BI229" s="253" t="n">
        <v>46.119</v>
      </c>
      <c r="BJ229" s="253" t="n">
        <v>-325.989</v>
      </c>
      <c r="BK229" s="253" t="n">
        <v>49.059</v>
      </c>
      <c r="BL229" s="253" t="n">
        <v>-585.602</v>
      </c>
      <c r="BM229" s="253" t="n">
        <v>-189.441</v>
      </c>
      <c r="BN229" s="253" t="n">
        <v>-366.572</v>
      </c>
      <c r="BO229" s="253" t="n">
        <v>-83.58499999999999</v>
      </c>
      <c r="BP229" s="253" t="n">
        <v>-139.537</v>
      </c>
      <c r="BQ229" s="253" t="n">
        <v>-779.135</v>
      </c>
      <c r="BR229" s="253" t="n">
        <v>-411.253</v>
      </c>
      <c r="BS229" s="253" t="n">
        <v>-214.052</v>
      </c>
      <c r="BT229" s="253" t="n">
        <v>24.262</v>
      </c>
      <c r="BU229" s="253" t="n">
        <v>-9.795</v>
      </c>
      <c r="BV229" s="253" t="n">
        <v>-610.838</v>
      </c>
      <c r="BW229" s="253" t="n">
        <v>45.216</v>
      </c>
      <c r="BX229" s="253" t="n">
        <v>-181.794</v>
      </c>
      <c r="BY229" s="35" t="n"/>
      <c r="BZ229" s="35" t="n"/>
      <c r="CA229" s="254">
        <f>SUM(BW229:BX229)</f>
        <v>-136.578</v>
      </c>
      <c r="CB229" s="276" t="n">
        <v>0</v>
      </c>
      <c r="CC229" s="276" t="n">
        <v>0</v>
      </c>
      <c r="CD229" s="276" t="n">
        <v>0</v>
      </c>
      <c r="CE229" s="276" t="n">
        <v>0</v>
      </c>
      <c r="CF229" s="276" t="n">
        <v>0</v>
      </c>
      <c r="CG229" s="19" t="n"/>
    </row>
    <row r="230" ht="15" customHeight="1" s="251">
      <c r="B230" s="25" t="inlineStr">
        <is>
          <t xml:space="preserve">  Amortization of content assets (streaming + DVD)</t>
        </is>
      </c>
      <c r="C230" s="253" t="n">
        <v>141.16</v>
      </c>
      <c r="D230" s="253" t="n">
        <v>203.415</v>
      </c>
      <c r="E230" s="253" t="n">
        <v>209.757</v>
      </c>
      <c r="F230" s="253" t="n">
        <v>219.49</v>
      </c>
      <c r="G230" s="253" t="n">
        <v>300.596</v>
      </c>
      <c r="H230" s="253" t="n">
        <v>795.872</v>
      </c>
      <c r="I230" s="253" t="n">
        <v>1656.614</v>
      </c>
      <c r="J230" s="253" t="n">
        <v>503.977</v>
      </c>
      <c r="K230" s="253" t="n">
        <v>527.9589999999999</v>
      </c>
      <c r="L230" s="253" t="n">
        <v>570.9400000000001</v>
      </c>
      <c r="M230" s="253" t="n">
        <v>590.4299999999999</v>
      </c>
      <c r="N230" s="253" t="n">
        <v>2193.306</v>
      </c>
      <c r="O230" s="253" t="n">
        <v>616.856</v>
      </c>
      <c r="P230" s="253" t="n">
        <v>655.96</v>
      </c>
      <c r="Q230" s="253" t="n">
        <v>704.423</v>
      </c>
      <c r="R230" s="253" t="n">
        <v>750.5309999999999</v>
      </c>
      <c r="S230" s="253" t="n">
        <v>2727.77</v>
      </c>
      <c r="T230" s="253" t="n">
        <v>770.703</v>
      </c>
      <c r="U230" s="253" t="n">
        <v>843.413</v>
      </c>
      <c r="V230" s="253" t="n">
        <v>889.992</v>
      </c>
      <c r="W230" s="253" t="n">
        <v>980.654</v>
      </c>
      <c r="X230" s="253" t="n">
        <v>3484.762</v>
      </c>
      <c r="Y230" s="253" t="n">
        <v>1078.962</v>
      </c>
      <c r="Z230" s="253" t="n">
        <v>1195.382</v>
      </c>
      <c r="AA230" s="253" t="n">
        <v>1243.392</v>
      </c>
      <c r="AB230" s="253" t="n">
        <v>1349.714</v>
      </c>
      <c r="AC230" s="253" t="n">
        <v>4867.45</v>
      </c>
      <c r="AD230" s="253" t="n">
        <v>1324.281</v>
      </c>
      <c r="AE230" s="253" t="n">
        <v>1567.305</v>
      </c>
      <c r="AF230" s="253" t="n">
        <v>1640.736</v>
      </c>
      <c r="AG230" s="253" t="n">
        <v>1726.152</v>
      </c>
      <c r="AH230" s="253" t="n">
        <v>6258.474</v>
      </c>
      <c r="AI230" s="253" t="n">
        <v>1759.978</v>
      </c>
      <c r="AJ230" s="253" t="n">
        <v>1828.971</v>
      </c>
      <c r="AK230" s="253" t="n">
        <v>1921.726</v>
      </c>
      <c r="AL230" s="253" t="n">
        <v>2062.625</v>
      </c>
      <c r="AM230" s="253" t="n">
        <v>7573.3</v>
      </c>
      <c r="AN230" s="253" t="n">
        <v>2133.195</v>
      </c>
      <c r="AO230" s="253" t="n">
        <v>2239.571</v>
      </c>
      <c r="AP230" s="253" t="n">
        <v>2286.631</v>
      </c>
      <c r="AQ230" s="253" t="n">
        <v>2556.85</v>
      </c>
      <c r="AR230" s="253" t="n">
        <v>9216.246999999999</v>
      </c>
      <c r="AS230" s="253" t="n">
        <v>2483.385</v>
      </c>
      <c r="AT230" s="253" t="n">
        <v>2607.159</v>
      </c>
      <c r="AU230" s="253" t="n">
        <v>2733.743</v>
      </c>
      <c r="AV230" s="253" t="n">
        <v>2982.625</v>
      </c>
      <c r="AW230" s="253" t="n">
        <v>10806.912</v>
      </c>
      <c r="AX230" s="253" t="n">
        <v>2719.196</v>
      </c>
      <c r="AY230" s="253" t="n">
        <v>2806.803</v>
      </c>
      <c r="AZ230" s="253" t="n">
        <v>2963.051</v>
      </c>
      <c r="BA230" s="253" t="n">
        <v>3741.317</v>
      </c>
      <c r="BB230" s="253" t="n">
        <v>12230.367</v>
      </c>
      <c r="BC230" s="253" t="n">
        <v>3166.365</v>
      </c>
      <c r="BD230" s="253" t="n">
        <v>3261.348</v>
      </c>
      <c r="BE230" s="253" t="n">
        <v>3653.592</v>
      </c>
      <c r="BF230" s="253" t="n">
        <v>3944.827</v>
      </c>
      <c r="BG230" s="253" t="n">
        <v>14026.132</v>
      </c>
      <c r="BH230" s="253" t="n">
        <v>3459.984</v>
      </c>
      <c r="BI230" s="253" t="n">
        <v>3410.021</v>
      </c>
      <c r="BJ230" s="253" t="n">
        <v>3573.353</v>
      </c>
      <c r="BK230" s="253" t="n">
        <v>3754.079</v>
      </c>
      <c r="BL230" s="253" t="n">
        <v>14197.437</v>
      </c>
      <c r="BM230" s="253" t="n">
        <v>3670.805</v>
      </c>
      <c r="BN230" s="253" t="n">
        <v>3769.69</v>
      </c>
      <c r="BO230" s="253" t="n">
        <v>3699.521</v>
      </c>
      <c r="BP230" s="253" t="n">
        <v>4161.501</v>
      </c>
      <c r="BQ230" s="253" t="n">
        <v>15301.517</v>
      </c>
      <c r="BR230" s="253" t="n">
        <v>3823.112</v>
      </c>
      <c r="BS230" s="253" t="n">
        <v>3832.074</v>
      </c>
      <c r="BT230" s="253" t="n">
        <v>4002.744</v>
      </c>
      <c r="BU230" s="253" t="n">
        <v>4764.236</v>
      </c>
      <c r="BV230" s="253" t="n">
        <v>16422.166</v>
      </c>
      <c r="BW230" s="253" t="n">
        <v>4217.9</v>
      </c>
      <c r="BX230" s="253" t="n">
        <v>4311.309</v>
      </c>
      <c r="BY230" s="35" t="n"/>
      <c r="BZ230" s="35" t="n"/>
      <c r="CA230" s="254">
        <f>SUM(BW230:BX230)+SUM(BY96:BZ96)</f>
        <v>18064.3826</v>
      </c>
      <c r="CB230" s="254">
        <f>CB96</f>
        <v>19509.533208</v>
      </c>
      <c r="CC230" s="254">
        <f>CC96</f>
        <v>20875.20053256</v>
      </c>
      <c r="CD230" s="254">
        <f>CD96</f>
        <v>22232.0885671764</v>
      </c>
      <c r="CE230" s="254">
        <f>CE96</f>
        <v>23566.013881207</v>
      </c>
      <c r="CF230" s="254">
        <f>CF96</f>
        <v>24862.1446446734</v>
      </c>
      <c r="CG230" s="19" t="n"/>
    </row>
    <row r="231" ht="15" customHeight="1" s="251">
      <c r="B231" s="25" t="inlineStr">
        <is>
          <t xml:space="preserve">  Depreciation &amp; amortization of property, equipment &amp; intangibles</t>
        </is>
      </c>
      <c r="C231" s="253" t="n">
        <v>15.903</v>
      </c>
      <c r="D231" s="253" t="n">
        <v>21.394</v>
      </c>
      <c r="E231" s="253" t="n">
        <v>32.454</v>
      </c>
      <c r="F231" s="253" t="n">
        <v>38.044</v>
      </c>
      <c r="G231" s="253" t="n">
        <v>38.099</v>
      </c>
      <c r="H231" s="253" t="n">
        <v>43.747</v>
      </c>
      <c r="I231" s="253" t="n">
        <v>45.469</v>
      </c>
      <c r="J231" s="253" t="n">
        <v>12.051</v>
      </c>
      <c r="K231" s="253" t="n">
        <v>12.026</v>
      </c>
      <c r="L231" s="253" t="n">
        <v>11.452</v>
      </c>
      <c r="M231" s="253" t="n">
        <v>12.845</v>
      </c>
      <c r="N231" s="253" t="n">
        <v>48.374</v>
      </c>
      <c r="O231" s="253" t="n">
        <v>12.382</v>
      </c>
      <c r="P231" s="253" t="n">
        <v>12.977</v>
      </c>
      <c r="Q231" s="253" t="n">
        <v>14.357</v>
      </c>
      <c r="R231" s="253" t="n">
        <v>14.312</v>
      </c>
      <c r="S231" s="253" t="n">
        <v>54.028</v>
      </c>
      <c r="T231" s="253" t="n">
        <v>15.167</v>
      </c>
      <c r="U231" s="253" t="n">
        <v>15.581</v>
      </c>
      <c r="V231" s="253" t="n">
        <v>16.047</v>
      </c>
      <c r="W231" s="253" t="n">
        <v>15.488</v>
      </c>
      <c r="X231" s="253" t="n">
        <v>62.283</v>
      </c>
      <c r="Y231" s="253" t="n">
        <v>14.798</v>
      </c>
      <c r="Z231" s="253" t="n">
        <v>14.131</v>
      </c>
      <c r="AA231" s="253" t="n">
        <v>14.41</v>
      </c>
      <c r="AB231" s="253" t="n">
        <v>14.189</v>
      </c>
      <c r="AC231" s="253" t="n">
        <v>57.528</v>
      </c>
      <c r="AD231" s="253" t="n">
        <v>15.049</v>
      </c>
      <c r="AE231" s="253" t="n">
        <v>18.551</v>
      </c>
      <c r="AF231" s="253" t="n">
        <v>19.238</v>
      </c>
      <c r="AG231" s="253" t="n">
        <v>19.073</v>
      </c>
      <c r="AH231" s="253" t="n">
        <v>71.911</v>
      </c>
      <c r="AI231" s="253" t="n">
        <v>19.041</v>
      </c>
      <c r="AJ231" s="253" t="n">
        <v>19.736</v>
      </c>
      <c r="AK231" s="253" t="n">
        <v>21.161</v>
      </c>
      <c r="AL231" s="253" t="n">
        <v>23.219</v>
      </c>
      <c r="AM231" s="253" t="n">
        <v>83.157</v>
      </c>
      <c r="AN231" s="253" t="n">
        <v>23.561</v>
      </c>
      <c r="AO231" s="253" t="n">
        <v>25.496</v>
      </c>
      <c r="AP231" s="253" t="n">
        <v>26.704</v>
      </c>
      <c r="AQ231" s="253" t="n">
        <v>27.818</v>
      </c>
      <c r="AR231" s="253" t="n">
        <v>103.579</v>
      </c>
      <c r="AS231" s="253" t="n">
        <v>28.517</v>
      </c>
      <c r="AT231" s="253" t="n">
        <v>26.661</v>
      </c>
      <c r="AU231" s="253" t="n">
        <v>28.589</v>
      </c>
      <c r="AV231" s="253" t="n">
        <v>31.943</v>
      </c>
      <c r="AW231" s="253" t="n">
        <v>115.71</v>
      </c>
      <c r="AX231" s="253" t="n">
        <v>35.741</v>
      </c>
      <c r="AY231" s="253" t="n">
        <v>38.434</v>
      </c>
      <c r="AZ231" s="253" t="n">
        <v>70.253</v>
      </c>
      <c r="BA231" s="253" t="n">
        <v>63.984</v>
      </c>
      <c r="BB231" s="253" t="n">
        <v>208.412</v>
      </c>
      <c r="BC231" s="253" t="n">
        <v>74.602</v>
      </c>
      <c r="BD231" s="253" t="n">
        <v>83.505</v>
      </c>
      <c r="BE231" s="253" t="n">
        <v>85.188</v>
      </c>
      <c r="BF231" s="253" t="n">
        <v>93.387</v>
      </c>
      <c r="BG231" s="253" t="n">
        <v>336.682</v>
      </c>
      <c r="BH231" s="253" t="n">
        <v>90.33499999999999</v>
      </c>
      <c r="BI231" s="253" t="n">
        <v>89.38500000000001</v>
      </c>
      <c r="BJ231" s="253" t="n">
        <v>90.66</v>
      </c>
      <c r="BK231" s="253" t="n">
        <v>86.56699999999999</v>
      </c>
      <c r="BL231" s="253" t="n">
        <v>356.947</v>
      </c>
      <c r="BM231" s="253" t="n">
        <v>87.23399999999999</v>
      </c>
      <c r="BN231" s="253" t="n">
        <v>81.227</v>
      </c>
      <c r="BO231" s="253" t="n">
        <v>80.914</v>
      </c>
      <c r="BP231" s="253" t="n">
        <v>79.539</v>
      </c>
      <c r="BQ231" s="253" t="n">
        <v>328.914</v>
      </c>
      <c r="BR231" s="253" t="n">
        <v>80.06699999999999</v>
      </c>
      <c r="BS231" s="253" t="n">
        <v>80.01300000000001</v>
      </c>
      <c r="BT231" s="253" t="n">
        <v>87.32599999999999</v>
      </c>
      <c r="BU231" s="253" t="n">
        <v>85.983</v>
      </c>
      <c r="BV231" s="253" t="n">
        <v>333.389</v>
      </c>
      <c r="BW231" s="253" t="n">
        <v>98.575</v>
      </c>
      <c r="BX231" s="253" t="n">
        <v>100.53</v>
      </c>
      <c r="BY231" s="35" t="n"/>
      <c r="BZ231" s="35" t="n"/>
      <c r="CA231" s="254">
        <f>SUM(BW231:BX231)+SUM(BY144:BZ144)</f>
        <v>414.664023269615</v>
      </c>
      <c r="CB231" s="254">
        <f>CB144</f>
        <v>452.634538162795</v>
      </c>
      <c r="CC231" s="254">
        <f>CC144</f>
        <v>495.749696934653</v>
      </c>
      <c r="CD231" s="254">
        <f>CD144</f>
        <v>538.10911974089</v>
      </c>
      <c r="CE231" s="254">
        <f>CE144</f>
        <v>579.92144679407</v>
      </c>
      <c r="CF231" s="254">
        <f>CF144</f>
        <v>620.44803180492</v>
      </c>
      <c r="CG231" s="19" t="n"/>
    </row>
    <row r="232" ht="15" customHeight="1" s="251">
      <c r="B232" s="25" t="inlineStr">
        <is>
          <t xml:space="preserve">  Stock-based compensation expense</t>
        </is>
      </c>
      <c r="C232" s="253" t="n">
        <v>12.696</v>
      </c>
      <c r="D232" s="253" t="n">
        <v>11.976</v>
      </c>
      <c r="E232" s="253" t="n">
        <v>12.264</v>
      </c>
      <c r="F232" s="253" t="n">
        <v>12.618</v>
      </c>
      <c r="G232" s="253" t="n">
        <v>27.996</v>
      </c>
      <c r="H232" s="253" t="n">
        <v>61.582</v>
      </c>
      <c r="I232" s="253" t="n">
        <v>73.94799999999999</v>
      </c>
      <c r="J232" s="253" t="n">
        <v>17.746</v>
      </c>
      <c r="K232" s="253" t="n">
        <v>17.955</v>
      </c>
      <c r="L232" s="253" t="n">
        <v>18.477</v>
      </c>
      <c r="M232" s="253" t="n">
        <v>18.922</v>
      </c>
      <c r="N232" s="253" t="n">
        <v>73.09999999999999</v>
      </c>
      <c r="O232" s="253" t="n">
        <v>25.825</v>
      </c>
      <c r="P232" s="253" t="n">
        <v>29.285</v>
      </c>
      <c r="Q232" s="253" t="n">
        <v>29.878</v>
      </c>
      <c r="R232" s="253" t="n">
        <v>30.251</v>
      </c>
      <c r="S232" s="253" t="n">
        <v>115.239</v>
      </c>
      <c r="T232" s="253" t="n">
        <v>27.441</v>
      </c>
      <c r="U232" s="253" t="n">
        <v>28.59</v>
      </c>
      <c r="V232" s="253" t="n">
        <v>32.834</v>
      </c>
      <c r="W232" s="253" t="n">
        <v>35.86</v>
      </c>
      <c r="X232" s="253" t="n">
        <v>124.725</v>
      </c>
      <c r="Y232" s="253" t="n">
        <v>42.422</v>
      </c>
      <c r="Z232" s="253" t="n">
        <v>44.112</v>
      </c>
      <c r="AA232" s="253" t="n">
        <v>43.495</v>
      </c>
      <c r="AB232" s="253" t="n">
        <v>43.646</v>
      </c>
      <c r="AC232" s="253" t="n">
        <v>173.675</v>
      </c>
      <c r="AD232" s="253" t="n">
        <v>44.888</v>
      </c>
      <c r="AE232" s="253" t="n">
        <v>44.028</v>
      </c>
      <c r="AF232" s="253" t="n">
        <v>44.763</v>
      </c>
      <c r="AG232" s="253" t="n">
        <v>48.53</v>
      </c>
      <c r="AH232" s="253" t="n">
        <v>182.209</v>
      </c>
      <c r="AI232" s="253" t="n">
        <v>68.395</v>
      </c>
      <c r="AJ232" s="253" t="n">
        <v>81.232</v>
      </c>
      <c r="AK232" s="253" t="n">
        <v>82.316</v>
      </c>
      <c r="AL232" s="253" t="n">
        <v>88.714</v>
      </c>
      <c r="AM232" s="253" t="n">
        <v>320.657</v>
      </c>
      <c r="AN232" s="253" t="n">
        <v>101.2</v>
      </c>
      <c r="AO232" s="253" t="n">
        <v>103.848</v>
      </c>
      <c r="AP232" s="253" t="n">
        <v>100.262</v>
      </c>
      <c r="AQ232" s="253" t="n">
        <v>100.066</v>
      </c>
      <c r="AR232" s="253" t="n">
        <v>405.376</v>
      </c>
      <c r="AS232" s="253" t="n">
        <v>97.01900000000001</v>
      </c>
      <c r="AT232" s="253" t="n">
        <v>104.21</v>
      </c>
      <c r="AU232" s="253" t="n">
        <v>106.357</v>
      </c>
      <c r="AV232" s="253" t="n">
        <v>107.594</v>
      </c>
      <c r="AW232" s="253" t="n">
        <v>415.18</v>
      </c>
      <c r="AX232" s="253" t="n">
        <v>107.23</v>
      </c>
      <c r="AY232" s="253" t="n">
        <v>101.583</v>
      </c>
      <c r="AZ232" s="253" t="n">
        <v>95.078</v>
      </c>
      <c r="BA232" s="253" t="n">
        <v>99.32899999999999</v>
      </c>
      <c r="BB232" s="253" t="n">
        <v>403.22</v>
      </c>
      <c r="BC232" s="253" t="n">
        <v>119.209</v>
      </c>
      <c r="BD232" s="253" t="n">
        <v>150.392</v>
      </c>
      <c r="BE232" s="253" t="n">
        <v>152.062</v>
      </c>
      <c r="BF232" s="253" t="n">
        <v>153.789</v>
      </c>
      <c r="BG232" s="253" t="n">
        <v>575.452</v>
      </c>
      <c r="BH232" s="253" t="n">
        <v>99.099</v>
      </c>
      <c r="BI232" s="253" t="n">
        <v>78.03</v>
      </c>
      <c r="BJ232" s="253" t="n">
        <v>79.72</v>
      </c>
      <c r="BK232" s="253" t="n">
        <v>82.51900000000001</v>
      </c>
      <c r="BL232" s="253" t="n">
        <v>339.368</v>
      </c>
      <c r="BM232" s="253" t="n">
        <v>76.345</v>
      </c>
      <c r="BN232" s="253" t="n">
        <v>68.76600000000001</v>
      </c>
      <c r="BO232" s="253" t="n">
        <v>65.65000000000001</v>
      </c>
      <c r="BP232" s="253" t="n">
        <v>61.827</v>
      </c>
      <c r="BQ232" s="253" t="n">
        <v>272.588</v>
      </c>
      <c r="BR232" s="253" t="n">
        <v>71.977</v>
      </c>
      <c r="BS232" s="253" t="n">
        <v>80.86199999999999</v>
      </c>
      <c r="BT232" s="253" t="n">
        <v>80.986</v>
      </c>
      <c r="BU232" s="253" t="n">
        <v>134.624</v>
      </c>
      <c r="BV232" s="253" t="n">
        <v>368.449</v>
      </c>
      <c r="BW232" s="253" t="n">
        <v>140.405</v>
      </c>
      <c r="BX232" s="253" t="n">
        <v>131.312</v>
      </c>
      <c r="BY232" s="35" t="n"/>
      <c r="BZ232" s="35" t="n"/>
      <c r="CA232" s="254">
        <f>SUM(BW232:BX232)+SUM(BY145:BZ145)</f>
        <v>655.028212256034</v>
      </c>
      <c r="CB232" s="254">
        <f>CB145</f>
        <v>622.372489973843</v>
      </c>
      <c r="CC232" s="254">
        <f>CC145</f>
        <v>681.655833285147</v>
      </c>
      <c r="CD232" s="254">
        <f>CD145</f>
        <v>739.900039643723</v>
      </c>
      <c r="CE232" s="254">
        <f>CE145</f>
        <v>797.391989341846</v>
      </c>
      <c r="CF232" s="254">
        <f>CF145</f>
        <v>853.116043731765</v>
      </c>
      <c r="CG232" s="19" t="n"/>
    </row>
    <row r="233" ht="15" customHeight="1" s="251">
      <c r="B233" s="25" t="inlineStr">
        <is>
          <t xml:space="preserve">  Foreign-currency remeasurement loss / (gain) on debt</t>
        </is>
      </c>
      <c r="C233" s="253" t="n">
        <v>0</v>
      </c>
      <c r="D233" s="253" t="n">
        <v>0</v>
      </c>
      <c r="E233" s="253" t="n">
        <v>0</v>
      </c>
      <c r="F233" s="253" t="n">
        <v>0</v>
      </c>
      <c r="G233" s="253" t="n">
        <v>0</v>
      </c>
      <c r="H233" s="253" t="n">
        <v>0</v>
      </c>
      <c r="I233" s="253" t="n">
        <v>0</v>
      </c>
      <c r="J233" s="253" t="n">
        <v>0</v>
      </c>
      <c r="K233" s="253" t="n">
        <v>0</v>
      </c>
      <c r="L233" s="253" t="n">
        <v>0</v>
      </c>
      <c r="M233" s="253" t="n">
        <v>0</v>
      </c>
      <c r="N233" s="253" t="n">
        <v>0</v>
      </c>
      <c r="O233" s="253" t="n">
        <v>0</v>
      </c>
      <c r="P233" s="253" t="n">
        <v>0</v>
      </c>
      <c r="Q233" s="253" t="n">
        <v>0</v>
      </c>
      <c r="R233" s="253" t="n">
        <v>0</v>
      </c>
      <c r="S233" s="253" t="n">
        <v>0</v>
      </c>
      <c r="T233" s="253" t="n">
        <v>0</v>
      </c>
      <c r="U233" s="253" t="n">
        <v>0</v>
      </c>
      <c r="V233" s="253" t="n">
        <v>0</v>
      </c>
      <c r="W233" s="253" t="n">
        <v>0</v>
      </c>
      <c r="X233" s="253" t="n">
        <v>0</v>
      </c>
      <c r="Y233" s="253" t="n">
        <v>0</v>
      </c>
      <c r="Z233" s="253" t="n">
        <v>0</v>
      </c>
      <c r="AA233" s="253" t="n">
        <v>0</v>
      </c>
      <c r="AB233" s="253" t="n">
        <v>0</v>
      </c>
      <c r="AC233" s="253" t="n">
        <v>0</v>
      </c>
      <c r="AD233" s="253" t="n">
        <v>0</v>
      </c>
      <c r="AE233" s="253" t="n">
        <v>64.22</v>
      </c>
      <c r="AF233" s="253" t="n">
        <v>50.83</v>
      </c>
      <c r="AG233" s="253" t="n">
        <v>25.74</v>
      </c>
      <c r="AH233" s="253" t="n">
        <v>140.79</v>
      </c>
      <c r="AI233" s="253" t="n">
        <v>41.08</v>
      </c>
      <c r="AJ233" s="253" t="n">
        <v>-85.41</v>
      </c>
      <c r="AK233" s="253" t="n">
        <v>-7.67</v>
      </c>
      <c r="AL233" s="253" t="n">
        <v>-21.953</v>
      </c>
      <c r="AM233" s="253" t="n">
        <v>-73.953</v>
      </c>
      <c r="AN233" s="253" t="n">
        <v>-57.6</v>
      </c>
      <c r="AO233" s="253" t="n">
        <v>61.284</v>
      </c>
      <c r="AP233" s="253" t="n">
        <v>-171.36</v>
      </c>
      <c r="AQ233" s="253" t="n">
        <v>122.1</v>
      </c>
      <c r="AR233" s="253" t="n">
        <v>-45.576</v>
      </c>
      <c r="AS233" s="253" t="n">
        <v>-93.06</v>
      </c>
      <c r="AT233" s="253" t="n">
        <v>119.161</v>
      </c>
      <c r="AU233" s="253" t="n">
        <v>249.194</v>
      </c>
      <c r="AV233" s="253" t="n">
        <v>257.983</v>
      </c>
      <c r="AW233" s="253" t="n">
        <v>533.278</v>
      </c>
      <c r="AX233" s="253" t="n">
        <v>-253.33</v>
      </c>
      <c r="AY233" s="253" t="n">
        <v>63.074</v>
      </c>
      <c r="AZ233" s="253" t="n">
        <v>-136.488</v>
      </c>
      <c r="BA233" s="253" t="n">
        <v>-103.917</v>
      </c>
      <c r="BB233" s="253" t="n">
        <v>-430.661</v>
      </c>
      <c r="BC233" s="253" t="n">
        <v>-161.821</v>
      </c>
      <c r="BD233" s="253" t="n">
        <v>-304.513</v>
      </c>
      <c r="BE233" s="253" t="n">
        <v>-348.458</v>
      </c>
      <c r="BF233" s="253" t="n">
        <v>461.681</v>
      </c>
      <c r="BG233" s="253" t="n">
        <v>-353.111</v>
      </c>
      <c r="BH233" s="253" t="n">
        <v>80.651</v>
      </c>
      <c r="BI233" s="253" t="n">
        <v>28.952</v>
      </c>
      <c r="BJ233" s="253" t="n">
        <v>-172.678</v>
      </c>
      <c r="BK233" s="253" t="n">
        <v>239.371</v>
      </c>
      <c r="BL233" s="253" t="n">
        <v>176.296</v>
      </c>
      <c r="BM233" s="253" t="n">
        <v>-130.801</v>
      </c>
      <c r="BN233" s="253" t="n">
        <v>-42.692</v>
      </c>
      <c r="BO233" s="253" t="n">
        <v>104.809</v>
      </c>
      <c r="BP233" s="253" t="n">
        <v>-52.855</v>
      </c>
      <c r="BQ233" s="253" t="n">
        <v>-121.539</v>
      </c>
      <c r="BR233" s="253" t="n">
        <v>28.547</v>
      </c>
      <c r="BS233" s="253" t="n">
        <v>55.238</v>
      </c>
      <c r="BT233" s="253" t="n">
        <v>-1.707</v>
      </c>
      <c r="BU233" s="253" t="n">
        <v>-9.73</v>
      </c>
      <c r="BV233" s="253" t="n">
        <v>72.348</v>
      </c>
      <c r="BW233" s="253" t="n">
        <v>-10.11</v>
      </c>
      <c r="BX233" s="253" t="n">
        <v>-8.813000000000001</v>
      </c>
      <c r="BY233" s="35" t="n"/>
      <c r="BZ233" s="35" t="n"/>
      <c r="CA233" s="254">
        <f>SUM(BW233:BX233)</f>
        <v>-18.923</v>
      </c>
      <c r="CB233" s="276" t="n">
        <v>0</v>
      </c>
      <c r="CC233" s="276" t="n">
        <v>0</v>
      </c>
      <c r="CD233" s="276" t="n">
        <v>0</v>
      </c>
      <c r="CE233" s="276" t="n">
        <v>0</v>
      </c>
      <c r="CF233" s="276" t="n">
        <v>0</v>
      </c>
      <c r="CG233" s="19" t="n"/>
    </row>
    <row r="234" ht="15" customHeight="1" s="251">
      <c r="B234" s="25" t="inlineStr">
        <is>
          <t xml:space="preserve">  Deferred income taxes</t>
        </is>
      </c>
      <c r="C234" s="253" t="n">
        <v>16.15</v>
      </c>
      <c r="D234" s="253" t="n">
        <v>-0.661</v>
      </c>
      <c r="E234" s="253" t="n">
        <v>-8.427</v>
      </c>
      <c r="F234" s="253" t="n">
        <v>6.328</v>
      </c>
      <c r="G234" s="253" t="n">
        <v>-0.962</v>
      </c>
      <c r="H234" s="253" t="n">
        <v>-18.597</v>
      </c>
      <c r="I234" s="253" t="n">
        <v>-30.071</v>
      </c>
      <c r="J234" s="253" t="n">
        <v>-6.748</v>
      </c>
      <c r="K234" s="253" t="n">
        <v>-2.04</v>
      </c>
      <c r="L234" s="253" t="n">
        <v>-2.424</v>
      </c>
      <c r="M234" s="253" t="n">
        <v>-10.832</v>
      </c>
      <c r="N234" s="253" t="n">
        <v>-22.044</v>
      </c>
      <c r="O234" s="253" t="n">
        <v>-13.103</v>
      </c>
      <c r="P234" s="253" t="n">
        <v>-16.569</v>
      </c>
      <c r="Q234" s="253" t="n">
        <v>-7.892</v>
      </c>
      <c r="R234" s="253" t="n">
        <v>7.501</v>
      </c>
      <c r="S234" s="253" t="n">
        <v>-30.063</v>
      </c>
      <c r="T234" s="253" t="n">
        <v>-37.042</v>
      </c>
      <c r="U234" s="253" t="n">
        <v>-4.232</v>
      </c>
      <c r="V234" s="253" t="n">
        <v>-29.417</v>
      </c>
      <c r="W234" s="253" t="n">
        <v>12.036</v>
      </c>
      <c r="X234" s="253" t="n">
        <v>-58.655</v>
      </c>
      <c r="Y234" s="253" t="n">
        <v>-16.603</v>
      </c>
      <c r="Z234" s="253" t="n">
        <v>-17.876</v>
      </c>
      <c r="AA234" s="253" t="n">
        <v>14.338</v>
      </c>
      <c r="AB234" s="253" t="n">
        <v>-26.706</v>
      </c>
      <c r="AC234" s="253" t="n">
        <v>-46.847</v>
      </c>
      <c r="AD234" s="253" t="n">
        <v>-26.764</v>
      </c>
      <c r="AE234" s="253" t="n">
        <v>-20.702</v>
      </c>
      <c r="AF234" s="253" t="n">
        <v>-57.09</v>
      </c>
      <c r="AG234" s="253" t="n">
        <v>-104.132</v>
      </c>
      <c r="AH234" s="253" t="n">
        <v>-208.688</v>
      </c>
      <c r="AI234" s="253" t="n">
        <v>-22.049</v>
      </c>
      <c r="AJ234" s="253" t="n">
        <v>-9.539</v>
      </c>
      <c r="AK234" s="253" t="n">
        <v>-39.453</v>
      </c>
      <c r="AL234" s="253" t="n">
        <v>-14.479</v>
      </c>
      <c r="AM234" s="253" t="n">
        <v>-85.52</v>
      </c>
      <c r="AN234" s="253" t="n">
        <v>6.627</v>
      </c>
      <c r="AO234" s="253" t="n">
        <v>35.519</v>
      </c>
      <c r="AP234" s="253" t="n">
        <v>52.105</v>
      </c>
      <c r="AQ234" s="253" t="n">
        <v>-188.694</v>
      </c>
      <c r="AR234" s="253" t="n">
        <v>-94.443</v>
      </c>
      <c r="AS234" s="253" t="n">
        <v>46.619</v>
      </c>
      <c r="AT234" s="253" t="n">
        <v>223.308</v>
      </c>
      <c r="AU234" s="253" t="n">
        <v>-40.277</v>
      </c>
      <c r="AV234" s="253" t="n">
        <v>-159.584</v>
      </c>
      <c r="AW234" s="253" t="n">
        <v>70.066</v>
      </c>
      <c r="AX234" s="253" t="n">
        <v>159.733</v>
      </c>
      <c r="AY234" s="253" t="n">
        <v>51.127</v>
      </c>
      <c r="AZ234" s="253" t="n">
        <v>50.967</v>
      </c>
      <c r="BA234" s="253" t="n">
        <v>-62.279</v>
      </c>
      <c r="BB234" s="253" t="n">
        <v>199.548</v>
      </c>
      <c r="BC234" s="253" t="n">
        <v>-68.90600000000001</v>
      </c>
      <c r="BD234" s="253" t="n">
        <v>-115.82</v>
      </c>
      <c r="BE234" s="253" t="n">
        <v>-57.797</v>
      </c>
      <c r="BF234" s="253" t="n">
        <v>75.973</v>
      </c>
      <c r="BG234" s="253" t="n">
        <v>-166.55</v>
      </c>
      <c r="BH234" s="253" t="n">
        <v>-98.782</v>
      </c>
      <c r="BI234" s="253" t="n">
        <v>-103.172</v>
      </c>
      <c r="BJ234" s="253" t="n">
        <v>-86.277</v>
      </c>
      <c r="BK234" s="253" t="n">
        <v>-171.128</v>
      </c>
      <c r="BL234" s="253" t="n">
        <v>-459.359</v>
      </c>
      <c r="BM234" s="253" t="n">
        <v>-107.077</v>
      </c>
      <c r="BN234" s="253" t="n">
        <v>-209.387</v>
      </c>
      <c r="BO234" s="253" t="n">
        <v>-200.982</v>
      </c>
      <c r="BP234" s="253" t="n">
        <v>-73.252</v>
      </c>
      <c r="BQ234" s="253" t="n">
        <v>-590.698</v>
      </c>
      <c r="BR234" s="253" t="n">
        <v>-163.928</v>
      </c>
      <c r="BS234" s="253" t="n">
        <v>-135.755</v>
      </c>
      <c r="BT234" s="253" t="n">
        <v>20.539</v>
      </c>
      <c r="BU234" s="253" t="n">
        <v>-162.912</v>
      </c>
      <c r="BV234" s="253" t="n">
        <v>-442.056</v>
      </c>
      <c r="BW234" s="253" t="n">
        <v>58.819</v>
      </c>
      <c r="BX234" s="253" t="n">
        <v>81.26000000000001</v>
      </c>
      <c r="BY234" s="35" t="n"/>
      <c r="BZ234" s="35" t="n"/>
      <c r="CA234" s="254">
        <f>SUM(BW234:BX234)</f>
        <v>140.079</v>
      </c>
      <c r="CB234" s="276" t="n">
        <v>0</v>
      </c>
      <c r="CC234" s="276" t="n">
        <v>0</v>
      </c>
      <c r="CD234" s="276" t="n">
        <v>0</v>
      </c>
      <c r="CE234" s="276" t="n">
        <v>0</v>
      </c>
      <c r="CF234" s="276" t="n">
        <v>0</v>
      </c>
      <c r="CG234" s="19" t="inlineStr">
        <is>
          <t>Forecast input (assumption).</t>
        </is>
      </c>
    </row>
    <row r="235" ht="15" customHeight="1" s="251">
      <c r="B235" s="25" t="inlineStr">
        <is>
          <t xml:space="preserve">  Working capital &amp; other operating items, net (derived)</t>
        </is>
      </c>
      <c r="C235" s="253" t="n">
        <v>12.871</v>
      </c>
      <c r="D235" s="253" t="n">
        <v>-11.253</v>
      </c>
      <c r="E235" s="253" t="n">
        <v>-45.037</v>
      </c>
      <c r="F235" s="253" t="n">
        <v>-67.277</v>
      </c>
      <c r="G235" s="253" t="n">
        <v>-250.181</v>
      </c>
      <c r="H235" s="253" t="n">
        <v>69.31399999999999</v>
      </c>
      <c r="I235" s="253" t="n">
        <v>13.07</v>
      </c>
      <c r="J235" s="253" t="n">
        <v>40.361</v>
      </c>
      <c r="K235" s="253" t="n">
        <v>34.657</v>
      </c>
      <c r="L235" s="253" t="n">
        <v>-27.451</v>
      </c>
      <c r="M235" s="253" t="n">
        <v>21.098</v>
      </c>
      <c r="N235" s="253" t="n">
        <v>68.66500000000001</v>
      </c>
      <c r="O235" s="253" t="n">
        <v>48.439</v>
      </c>
      <c r="P235" s="253" t="n">
        <v>38.308</v>
      </c>
      <c r="Q235" s="253" t="n">
        <v>18.232</v>
      </c>
      <c r="R235" s="253" t="n">
        <v>-41.935</v>
      </c>
      <c r="S235" s="253" t="n">
        <v>63.044</v>
      </c>
      <c r="T235" s="253" t="n">
        <v>58.253</v>
      </c>
      <c r="U235" s="253" t="n">
        <v>-8.507</v>
      </c>
      <c r="V235" s="253" t="n">
        <v>69.402</v>
      </c>
      <c r="W235" s="253" t="n">
        <v>4.896</v>
      </c>
      <c r="X235" s="253" t="n">
        <v>124.044</v>
      </c>
      <c r="Y235" s="253" t="n">
        <v>35.049</v>
      </c>
      <c r="Z235" s="253" t="n">
        <v>50.452</v>
      </c>
      <c r="AA235" s="253" t="n">
        <v>83.102</v>
      </c>
      <c r="AB235" s="253" t="n">
        <v>-0.435</v>
      </c>
      <c r="AC235" s="253" t="n">
        <v>168.168</v>
      </c>
      <c r="AD235" s="253" t="n">
        <v>102.877</v>
      </c>
      <c r="AE235" s="253" t="n">
        <v>-123.999</v>
      </c>
      <c r="AF235" s="253" t="n">
        <v>101.93</v>
      </c>
      <c r="AG235" s="253" t="n">
        <v>35.376</v>
      </c>
      <c r="AH235" s="253" t="n">
        <v>116.184</v>
      </c>
      <c r="AI235" s="253" t="n">
        <v>214.536</v>
      </c>
      <c r="AJ235" s="253" t="n">
        <v>7.669</v>
      </c>
      <c r="AK235" s="253" t="n">
        <v>101.523</v>
      </c>
      <c r="AL235" s="253" t="n">
        <v>10.467</v>
      </c>
      <c r="AM235" s="253" t="n">
        <v>334.195</v>
      </c>
      <c r="AN235" s="253" t="n">
        <v>81.61</v>
      </c>
      <c r="AO235" s="253" t="n">
        <v>57.395</v>
      </c>
      <c r="AP235" s="253" t="n">
        <v>282.46</v>
      </c>
      <c r="AQ235" s="253" t="n">
        <v>-150.192</v>
      </c>
      <c r="AR235" s="253" t="n">
        <v>271.273</v>
      </c>
      <c r="AS235" s="253" t="n">
        <v>23.695</v>
      </c>
      <c r="AT235" s="253" t="n">
        <v>-140.405</v>
      </c>
      <c r="AU235" s="253" t="n">
        <v>429.523</v>
      </c>
      <c r="AV235" s="253" t="n">
        <v>-51.56</v>
      </c>
      <c r="AW235" s="253" t="n">
        <v>261.253</v>
      </c>
      <c r="AX235" s="253" t="n">
        <v>-147.403</v>
      </c>
      <c r="AY235" s="253" t="n">
        <v>-68.837</v>
      </c>
      <c r="AZ235" s="253" t="n">
        <v>285.93</v>
      </c>
      <c r="BA235" s="253" t="n">
        <v>65.11</v>
      </c>
      <c r="BB235" s="253" t="n">
        <v>134.8</v>
      </c>
      <c r="BC235" s="253" t="n">
        <v>127.256</v>
      </c>
      <c r="BD235" s="253" t="n">
        <v>82.67</v>
      </c>
      <c r="BE235" s="253" t="n">
        <v>195.785</v>
      </c>
      <c r="BF235" s="253" t="n">
        <v>-630.255</v>
      </c>
      <c r="BG235" s="253" t="n">
        <v>-224.544</v>
      </c>
      <c r="BH235" s="253" t="n">
        <v>55.79</v>
      </c>
      <c r="BI235" s="253" t="n">
        <v>86.294</v>
      </c>
      <c r="BJ235" s="253" t="n">
        <v>39.943</v>
      </c>
      <c r="BK235" s="253" t="n">
        <v>213.9</v>
      </c>
      <c r="BL235" s="253" t="n">
        <v>395.927</v>
      </c>
      <c r="BM235" s="253" t="n">
        <v>202.215</v>
      </c>
      <c r="BN235" s="253" t="n">
        <v>-108.639</v>
      </c>
      <c r="BO235" s="253" t="n">
        <v>307.661</v>
      </c>
      <c r="BP235" s="253" t="n">
        <v>60.466</v>
      </c>
      <c r="BQ235" s="253" t="n">
        <v>461.703</v>
      </c>
      <c r="BR235" s="253" t="n">
        <v>19.983</v>
      </c>
      <c r="BS235" s="253" t="n">
        <v>-564.722</v>
      </c>
      <c r="BT235" s="253" t="n">
        <v>718.043</v>
      </c>
      <c r="BU235" s="253" t="n">
        <v>-52.073</v>
      </c>
      <c r="BV235" s="253" t="n">
        <v>121.231</v>
      </c>
      <c r="BW235" s="253" t="n">
        <v>303.526</v>
      </c>
      <c r="BX235" s="253" t="n">
        <v>-1163.883</v>
      </c>
      <c r="BY235" s="35" t="n"/>
      <c r="BZ235" s="35" t="n"/>
      <c r="CA235" s="254">
        <f>SUM(BW235:BX235)-(CA288-BX288)+(CA296-BX296)+(CA297-BX297)+(CA298-BX298)+(CA300-BX300)+CA271</f>
        <v>-1141.71394552565</v>
      </c>
      <c r="CB235" s="254">
        <f>-(CB288-CA288)+(CB296-CA296)+(CB297-CA297)+(CB298-CA298)+(CB300-CA300)</f>
        <v>230.772710897989</v>
      </c>
      <c r="CC235" s="254">
        <f>-(CC288-CB288)+(CC296-CB296)+(CC297-CB297)+(CC298-CB298)+(CC300-CB300)</f>
        <v>231.205038914087</v>
      </c>
      <c r="CD235" s="254">
        <f>-(CD288-CC288)+(CD296-CC296)+(CD297-CC297)+(CD298-CC298)+(CD300-CC300)</f>
        <v>227.152404798445</v>
      </c>
      <c r="CE235" s="254">
        <f>-(CE288-CD288)+(CE296-CD296)+(CE297-CD297)+(CE298-CD298)+(CE300-CD300)</f>
        <v>224.218603822678</v>
      </c>
      <c r="CF235" s="254">
        <f>-(CF288-CE288)+(CF296-CE296)+(CF297-CE297)+(CF298-CE298)+(CF300-CE300)</f>
        <v>217.323812120684</v>
      </c>
      <c r="CG235" s="19" t="inlineStr">
        <is>
          <t>History: net cash from operating activities − the lines above (other non-cash items and changes in operating assets and liabilities). Forecast linked to the balance sheet: −Δ other current assets + Δ(payables, accrued, deferred revenue, other current liabilities).</t>
        </is>
      </c>
    </row>
    <row r="236" ht="15" customHeight="1" s="251">
      <c r="B236" s="16" t="inlineStr">
        <is>
          <t>Net cash provided by (used in) operating activities</t>
        </is>
      </c>
      <c r="C236" s="285" t="n">
        <v>247.862</v>
      </c>
      <c r="D236" s="285" t="n">
        <v>291.823</v>
      </c>
      <c r="E236" s="285" t="n">
        <v>284.037</v>
      </c>
      <c r="F236" s="285" t="n">
        <v>325.063</v>
      </c>
      <c r="G236" s="285" t="n">
        <v>276.401</v>
      </c>
      <c r="H236" s="285" t="n">
        <v>317.712</v>
      </c>
      <c r="I236" s="285" t="n">
        <v>22.765</v>
      </c>
      <c r="J236" s="285" t="n">
        <v>-12.165</v>
      </c>
      <c r="K236" s="285" t="n">
        <v>33.858</v>
      </c>
      <c r="L236" s="285" t="n">
        <v>34.693</v>
      </c>
      <c r="M236" s="285" t="n">
        <v>41.445</v>
      </c>
      <c r="N236" s="285" t="n">
        <v>97.831</v>
      </c>
      <c r="O236" s="285" t="n">
        <v>36.359</v>
      </c>
      <c r="P236" s="285" t="n">
        <v>56.024</v>
      </c>
      <c r="Q236" s="285" t="n">
        <v>-37.439</v>
      </c>
      <c r="R236" s="285" t="n">
        <v>-38.461</v>
      </c>
      <c r="S236" s="285" t="n">
        <v>16.483</v>
      </c>
      <c r="T236" s="285" t="n">
        <v>-127.382</v>
      </c>
      <c r="U236" s="285" t="n">
        <v>-181.343</v>
      </c>
      <c r="V236" s="285" t="n">
        <v>-195.969</v>
      </c>
      <c r="W236" s="285" t="n">
        <v>-244.745</v>
      </c>
      <c r="X236" s="285" t="n">
        <v>-749.439</v>
      </c>
      <c r="Y236" s="285" t="n">
        <v>-228.59</v>
      </c>
      <c r="Z236" s="285" t="n">
        <v>-226.293</v>
      </c>
      <c r="AA236" s="285" t="n">
        <v>-461.941</v>
      </c>
      <c r="AB236" s="285" t="n">
        <v>-557.16</v>
      </c>
      <c r="AC236" s="285" t="n">
        <v>-1473.984</v>
      </c>
      <c r="AD236" s="285" t="n">
        <v>-343.856</v>
      </c>
      <c r="AE236" s="285" t="n">
        <v>-534.528</v>
      </c>
      <c r="AF236" s="285" t="n">
        <v>-419.607</v>
      </c>
      <c r="AG236" s="285" t="n">
        <v>-487.957</v>
      </c>
      <c r="AH236" s="285" t="n">
        <v>-1785.948</v>
      </c>
      <c r="AI236" s="285" t="n">
        <v>-236.757</v>
      </c>
      <c r="AJ236" s="285" t="n">
        <v>-518.239</v>
      </c>
      <c r="AK236" s="285" t="n">
        <v>-690.4109999999999</v>
      </c>
      <c r="AL236" s="285" t="n">
        <v>-1235.072</v>
      </c>
      <c r="AM236" s="285" t="n">
        <v>-2680.479</v>
      </c>
      <c r="AN236" s="285" t="n">
        <v>-379.799</v>
      </c>
      <c r="AO236" s="285" t="n">
        <v>-543.754</v>
      </c>
      <c r="AP236" s="285" t="n">
        <v>-501.794</v>
      </c>
      <c r="AQ236" s="285" t="n">
        <v>-1461.975</v>
      </c>
      <c r="AR236" s="285" t="n">
        <v>-2887.322</v>
      </c>
      <c r="AS236" s="285" t="n">
        <v>259.912</v>
      </c>
      <c r="AT236" s="285" t="n">
        <v>1041.076</v>
      </c>
      <c r="AU236" s="285" t="n">
        <v>1263.761</v>
      </c>
      <c r="AV236" s="285" t="n">
        <v>-137.672</v>
      </c>
      <c r="AW236" s="285" t="n">
        <v>2427.077</v>
      </c>
      <c r="AX236" s="285" t="n">
        <v>777.266</v>
      </c>
      <c r="AY236" s="285" t="n">
        <v>-63.761</v>
      </c>
      <c r="AZ236" s="285" t="n">
        <v>82.379</v>
      </c>
      <c r="BA236" s="285" t="n">
        <v>-403.274</v>
      </c>
      <c r="BB236" s="285" t="n">
        <v>392.61</v>
      </c>
      <c r="BC236" s="285" t="n">
        <v>922.8390000000001</v>
      </c>
      <c r="BD236" s="285" t="n">
        <v>102.75</v>
      </c>
      <c r="BE236" s="285" t="n">
        <v>556.8099999999999</v>
      </c>
      <c r="BF236" s="285" t="n">
        <v>443.858</v>
      </c>
      <c r="BG236" s="285" t="n">
        <v>2026.257</v>
      </c>
      <c r="BH236" s="285" t="n">
        <v>2178.74</v>
      </c>
      <c r="BI236" s="285" t="n">
        <v>1440.232</v>
      </c>
      <c r="BJ236" s="285" t="n">
        <v>1992.315</v>
      </c>
      <c r="BK236" s="285" t="n">
        <v>1663.014</v>
      </c>
      <c r="BL236" s="285" t="n">
        <v>7274.301</v>
      </c>
      <c r="BM236" s="285" t="n">
        <v>2212.522</v>
      </c>
      <c r="BN236" s="285" t="n">
        <v>1290.847</v>
      </c>
      <c r="BO236" s="285" t="n">
        <v>2321.101</v>
      </c>
      <c r="BP236" s="285" t="n">
        <v>1536.894</v>
      </c>
      <c r="BQ236" s="285" t="n">
        <v>7361.364</v>
      </c>
      <c r="BR236" s="285" t="n">
        <v>2789.199</v>
      </c>
      <c r="BS236" s="285" t="n">
        <v>2423.258</v>
      </c>
      <c r="BT236" s="285" t="n">
        <v>2825.174</v>
      </c>
      <c r="BU236" s="285" t="n">
        <v>2111.642</v>
      </c>
      <c r="BV236" s="285" t="n">
        <v>10149.273</v>
      </c>
      <c r="BW236" s="285" t="n">
        <v>5290.205</v>
      </c>
      <c r="BX236" s="285" t="n">
        <v>1743.812</v>
      </c>
      <c r="BY236" s="32" t="n"/>
      <c r="BZ236" s="32" t="n"/>
      <c r="CA236" s="279">
        <f>SUM(CA226:CA235)</f>
        <v>13363.409185</v>
      </c>
      <c r="CB236" s="279">
        <f>SUM(CB226:CB235)</f>
        <v>14669.9578454019</v>
      </c>
      <c r="CC236" s="279">
        <f>SUM(CC226:CC235)</f>
        <v>17330.4844048619</v>
      </c>
      <c r="CD236" s="279">
        <f>SUM(CD226:CD235)</f>
        <v>19923.1757009259</v>
      </c>
      <c r="CE236" s="279">
        <f>SUM(CE226:CE235)</f>
        <v>22353.3155061793</v>
      </c>
      <c r="CF236" s="279">
        <f>SUM(CF226:CF235)</f>
        <v>24852.0523561418</v>
      </c>
      <c r="CG236" s="153" t="n"/>
      <c r="CI236" s="20">
        <f>IFERROR((CF236/CA236)^(1/5)-1,"n/m")</f>
        <v>0.132110969951143</v>
      </c>
      <c r="CJ236" s="20">
        <f>IFERROR((BV236/AW236)^(1/5)-1,"n/m")</f>
        <v>0.331282661894262</v>
      </c>
      <c r="CK236" s="20" t="str">
        <f>IFERROR((BV236/X236)^(1/10)-1,"n/m")</f>
        <v>n/m</v>
      </c>
      <c r="CL236" s="20">
        <f>IFERROR((BV236/C236)^(1/19)-1,"n/m")</f>
        <v>0.215777065512056</v>
      </c>
    </row>
    <row r="237" ht="15" customHeight="1" s="251">
      <c r="B237" s="25" t="inlineStr">
        <is>
          <t>Purchases of property and equipment</t>
        </is>
      </c>
      <c r="C237" s="253" t="n">
        <v>-27.333</v>
      </c>
      <c r="D237" s="253" t="n">
        <v>-44.256</v>
      </c>
      <c r="E237" s="253" t="n">
        <v>-43.79</v>
      </c>
      <c r="F237" s="253" t="n">
        <v>-45.932</v>
      </c>
      <c r="G237" s="253" t="n">
        <v>-33.837</v>
      </c>
      <c r="H237" s="253" t="n">
        <v>-49.682</v>
      </c>
      <c r="I237" s="253" t="n">
        <v>-41.457</v>
      </c>
      <c r="J237" s="253" t="n">
        <v>-12.203</v>
      </c>
      <c r="K237" s="253" t="n">
        <v>-8.003</v>
      </c>
      <c r="L237" s="253" t="n">
        <v>-10.828</v>
      </c>
      <c r="M237" s="253" t="n">
        <v>-23.109</v>
      </c>
      <c r="N237" s="253" t="n">
        <v>-54.143</v>
      </c>
      <c r="O237" s="253" t="n">
        <v>-13.334</v>
      </c>
      <c r="P237" s="253" t="n">
        <v>-19.869</v>
      </c>
      <c r="Q237" s="253" t="n">
        <v>-21.032</v>
      </c>
      <c r="R237" s="253" t="n">
        <v>-15.491</v>
      </c>
      <c r="S237" s="253" t="n">
        <v>-69.726</v>
      </c>
      <c r="T237" s="253" t="n">
        <v>-13.036</v>
      </c>
      <c r="U237" s="253" t="n">
        <v>-27.538</v>
      </c>
      <c r="V237" s="253" t="n">
        <v>-37.82</v>
      </c>
      <c r="W237" s="253" t="n">
        <v>-12.854</v>
      </c>
      <c r="X237" s="253" t="n">
        <v>-91.248</v>
      </c>
      <c r="Y237" s="253" t="n">
        <v>-8.425000000000001</v>
      </c>
      <c r="Z237" s="253" t="n">
        <v>-10.814</v>
      </c>
      <c r="AA237" s="253" t="n">
        <v>-27.366</v>
      </c>
      <c r="AB237" s="253" t="n">
        <v>-61.048</v>
      </c>
      <c r="AC237" s="253" t="n">
        <v>-107.653</v>
      </c>
      <c r="AD237" s="253" t="n">
        <v>-52.523</v>
      </c>
      <c r="AE237" s="253" t="n">
        <v>-65.23099999999999</v>
      </c>
      <c r="AF237" s="253" t="n">
        <v>-33.963</v>
      </c>
      <c r="AG237" s="253" t="n">
        <v>-21.585</v>
      </c>
      <c r="AH237" s="253" t="n">
        <v>-173.302</v>
      </c>
      <c r="AI237" s="253" t="n">
        <v>-37.17</v>
      </c>
      <c r="AJ237" s="253" t="n">
        <v>-27.323</v>
      </c>
      <c r="AK237" s="253" t="n">
        <v>-39.333</v>
      </c>
      <c r="AL237" s="253" t="n">
        <v>-70.12</v>
      </c>
      <c r="AM237" s="253" t="n">
        <v>-173.946</v>
      </c>
      <c r="AN237" s="253" t="n">
        <v>-60.381</v>
      </c>
      <c r="AO237" s="253" t="n">
        <v>-39.584</v>
      </c>
      <c r="AP237" s="253" t="n">
        <v>-45.333</v>
      </c>
      <c r="AQ237" s="253" t="n">
        <v>-107.737</v>
      </c>
      <c r="AR237" s="253" t="n">
        <v>-253.035</v>
      </c>
      <c r="AS237" s="253" t="n">
        <v>-98.015</v>
      </c>
      <c r="AT237" s="253" t="n">
        <v>-141.741</v>
      </c>
      <c r="AU237" s="253" t="n">
        <v>-109.811</v>
      </c>
      <c r="AV237" s="253" t="n">
        <v>-148.356</v>
      </c>
      <c r="AW237" s="253" t="n">
        <v>-497.923</v>
      </c>
      <c r="AX237" s="253" t="n">
        <v>-81.001</v>
      </c>
      <c r="AY237" s="253" t="n">
        <v>-110.278</v>
      </c>
      <c r="AZ237" s="253" t="n">
        <v>-167.327</v>
      </c>
      <c r="BA237" s="253" t="n">
        <v>-165.979</v>
      </c>
      <c r="BB237" s="253" t="n">
        <v>-524.585</v>
      </c>
      <c r="BC237" s="253" t="n">
        <v>-121.158</v>
      </c>
      <c r="BD237" s="253" t="n">
        <v>-90.018</v>
      </c>
      <c r="BE237" s="253" t="n">
        <v>-84.95999999999999</v>
      </c>
      <c r="BF237" s="253" t="n">
        <v>-111.593</v>
      </c>
      <c r="BG237" s="253" t="n">
        <v>-407.729</v>
      </c>
      <c r="BH237" s="253" t="n">
        <v>-62.019</v>
      </c>
      <c r="BI237" s="253" t="n">
        <v>-100.972</v>
      </c>
      <c r="BJ237" s="253" t="n">
        <v>-103.929</v>
      </c>
      <c r="BK237" s="253" t="n">
        <v>-81.63200000000001</v>
      </c>
      <c r="BL237" s="253" t="n">
        <v>-348.552</v>
      </c>
      <c r="BM237" s="253" t="n">
        <v>-75.714</v>
      </c>
      <c r="BN237" s="253" t="n">
        <v>-78.28700000000001</v>
      </c>
      <c r="BO237" s="253" t="n">
        <v>-126.863</v>
      </c>
      <c r="BP237" s="253" t="n">
        <v>-158.674</v>
      </c>
      <c r="BQ237" s="253" t="n">
        <v>-439.538</v>
      </c>
      <c r="BR237" s="253" t="n">
        <v>-128.277</v>
      </c>
      <c r="BS237" s="253" t="n">
        <v>-155.889</v>
      </c>
      <c r="BT237" s="253" t="n">
        <v>-164.719</v>
      </c>
      <c r="BU237" s="253" t="n">
        <v>-239.335</v>
      </c>
      <c r="BV237" s="253" t="n">
        <v>-688.22</v>
      </c>
      <c r="BW237" s="253" t="n">
        <v>-196.13</v>
      </c>
      <c r="BX237" s="253" t="n">
        <v>-218.644</v>
      </c>
      <c r="BY237" s="35" t="n"/>
      <c r="BZ237" s="35" t="n"/>
      <c r="CA237" s="254">
        <f>SUM(BW237:BX237)-SUM(BY121:BZ121)*$CQ$24</f>
        <v>-863.409185</v>
      </c>
      <c r="CB237" s="254">
        <f>-CB121*CB269</f>
        <v>-905.26907632559</v>
      </c>
      <c r="CC237" s="254">
        <f>-CC121*CC269</f>
        <v>-929.530681752474</v>
      </c>
      <c r="CD237" s="254">
        <f>-CD121*CD269</f>
        <v>-941.690959546557</v>
      </c>
      <c r="CE237" s="254">
        <f>-CE121*CE269</f>
        <v>-942.372351040363</v>
      </c>
      <c r="CF237" s="254">
        <f>-CF121*CF269</f>
        <v>-1008.22805168299</v>
      </c>
      <c r="CG237" s="19" t="inlineStr">
        <is>
          <t>2026E: 1H-26 actual + 2H revenue × capex % (point estimate; not guided). 2027E+: revenue × capex %.</t>
        </is>
      </c>
    </row>
    <row r="238" ht="15" customHeight="1" s="251">
      <c r="B238" s="25" t="inlineStr">
        <is>
          <t>Acquisitions of DVD / content library (investing; streaming content too before 2010)</t>
        </is>
      </c>
      <c r="C238" s="253" t="n">
        <v>-169.528</v>
      </c>
      <c r="D238" s="253" t="n">
        <v>-223.436</v>
      </c>
      <c r="E238" s="253" t="n">
        <v>-162.849</v>
      </c>
      <c r="F238" s="253" t="n">
        <v>-193.044</v>
      </c>
      <c r="G238" s="253" t="n">
        <v>-530.111</v>
      </c>
      <c r="H238" s="253" t="n">
        <v>-85.154</v>
      </c>
      <c r="I238" s="253" t="n">
        <v>-48.275</v>
      </c>
      <c r="J238" s="253" t="n">
        <v>-21.193</v>
      </c>
      <c r="K238" s="253" t="n">
        <v>-14.023</v>
      </c>
      <c r="L238" s="253" t="n">
        <v>-15.471</v>
      </c>
      <c r="M238" s="253" t="n">
        <v>-15.24</v>
      </c>
      <c r="N238" s="253" t="n">
        <v>-65.92700000000001</v>
      </c>
      <c r="O238" s="253" t="n">
        <v>-14.914</v>
      </c>
      <c r="P238" s="253" t="n">
        <v>-20.981</v>
      </c>
      <c r="Q238" s="253" t="n">
        <v>-15.53</v>
      </c>
      <c r="R238" s="253" t="n">
        <v>-23.365</v>
      </c>
      <c r="S238" s="253" t="n">
        <v>-74.79000000000001</v>
      </c>
      <c r="T238" s="253" t="n">
        <v>-22.906</v>
      </c>
      <c r="U238" s="253" t="n">
        <v>-19.786</v>
      </c>
      <c r="V238" s="253" t="n">
        <v>-14.467</v>
      </c>
      <c r="W238" s="253" t="n">
        <v>-20.799</v>
      </c>
      <c r="X238" s="253" t="n">
        <v>-77.958</v>
      </c>
      <c r="Y238" s="253" t="n">
        <v>-23.207</v>
      </c>
      <c r="Z238" s="253" t="n">
        <v>-17.924</v>
      </c>
      <c r="AA238" s="253" t="n">
        <v>-17.249</v>
      </c>
      <c r="AB238" s="253" t="n">
        <v>-18.797</v>
      </c>
      <c r="AC238" s="253" t="n">
        <v>-77.17700000000001</v>
      </c>
      <c r="AD238" s="253" t="n">
        <v>-25.372</v>
      </c>
      <c r="AE238" s="253" t="n">
        <v>-7.624</v>
      </c>
      <c r="AF238" s="253" t="n">
        <v>-10.217</v>
      </c>
      <c r="AG238" s="253" t="n">
        <v>-10.507</v>
      </c>
      <c r="AH238" s="253" t="n">
        <v>-53.72</v>
      </c>
      <c r="AI238" s="253" t="n">
        <v>-10.796</v>
      </c>
      <c r="AJ238" s="253" t="n">
        <v>-12.552</v>
      </c>
      <c r="AK238" s="253" t="n">
        <v>-7.731</v>
      </c>
      <c r="AL238" s="253" t="n">
        <v>-7.507</v>
      </c>
      <c r="AM238" s="253" t="n">
        <v>-38.586</v>
      </c>
      <c r="AN238" s="253" t="n">
        <v>-9.17</v>
      </c>
      <c r="AO238" s="253" t="n">
        <v>-7.798</v>
      </c>
      <c r="AP238" s="253" t="n">
        <v>-4.634</v>
      </c>
      <c r="AQ238" s="253" t="n">
        <v>21.602</v>
      </c>
      <c r="AR238" s="253" t="n">
        <v>0</v>
      </c>
      <c r="AS238" s="253" t="n">
        <v>0</v>
      </c>
      <c r="AT238" s="253" t="n">
        <v>0</v>
      </c>
      <c r="AU238" s="253" t="n">
        <v>0</v>
      </c>
      <c r="AV238" s="253" t="n">
        <v>0</v>
      </c>
      <c r="AW238" s="253" t="n">
        <v>0</v>
      </c>
      <c r="AX238" s="253" t="n">
        <v>0</v>
      </c>
      <c r="AY238" s="253" t="n">
        <v>0</v>
      </c>
      <c r="AZ238" s="253" t="n">
        <v>0</v>
      </c>
      <c r="BA238" s="253" t="n">
        <v>0</v>
      </c>
      <c r="BB238" s="253" t="n">
        <v>0</v>
      </c>
      <c r="BC238" s="253" t="n">
        <v>0</v>
      </c>
      <c r="BD238" s="253" t="n">
        <v>0</v>
      </c>
      <c r="BE238" s="253" t="n">
        <v>0</v>
      </c>
      <c r="BF238" s="253" t="n">
        <v>0</v>
      </c>
      <c r="BG238" s="253" t="n">
        <v>0</v>
      </c>
      <c r="BH238" s="253" t="n">
        <v>0</v>
      </c>
      <c r="BI238" s="253" t="n">
        <v>0</v>
      </c>
      <c r="BJ238" s="253" t="n">
        <v>0</v>
      </c>
      <c r="BK238" s="253" t="n">
        <v>0</v>
      </c>
      <c r="BL238" s="253" t="n">
        <v>0</v>
      </c>
      <c r="BM238" s="253" t="n">
        <v>0</v>
      </c>
      <c r="BN238" s="253" t="n">
        <v>0</v>
      </c>
      <c r="BO238" s="253" t="n">
        <v>0</v>
      </c>
      <c r="BP238" s="253" t="n">
        <v>0</v>
      </c>
      <c r="BQ238" s="253" t="n">
        <v>0</v>
      </c>
      <c r="BR238" s="253" t="n">
        <v>0</v>
      </c>
      <c r="BS238" s="253" t="n">
        <v>0</v>
      </c>
      <c r="BT238" s="253" t="n">
        <v>0</v>
      </c>
      <c r="BU238" s="253" t="n">
        <v>0</v>
      </c>
      <c r="BV238" s="253" t="n">
        <v>0</v>
      </c>
      <c r="BW238" s="253" t="n">
        <v>0</v>
      </c>
      <c r="BX238" s="253" t="n">
        <v>0</v>
      </c>
      <c r="BY238" s="35" t="n"/>
      <c r="BZ238" s="35" t="n"/>
      <c r="CA238" s="254">
        <f>SUM(BW238:BX238)</f>
        <v>0</v>
      </c>
      <c r="CB238" s="276" t="n">
        <v>0</v>
      </c>
      <c r="CC238" s="276" t="n">
        <v>0</v>
      </c>
      <c r="CD238" s="276" t="n">
        <v>0</v>
      </c>
      <c r="CE238" s="276" t="n">
        <v>0</v>
      </c>
      <c r="CF238" s="276" t="n">
        <v>0</v>
      </c>
      <c r="CG238" s="19" t="n"/>
    </row>
    <row r="239" ht="15" customHeight="1" s="251">
      <c r="B239" s="25" t="inlineStr">
        <is>
          <t>Acquisitions (businesses, intangibles)</t>
        </is>
      </c>
      <c r="C239" s="253" t="n">
        <v>-0.585</v>
      </c>
      <c r="D239" s="253" t="n">
        <v>-0.55</v>
      </c>
      <c r="E239" s="253" t="n">
        <v>-7.062</v>
      </c>
      <c r="F239" s="253" t="n">
        <v>-0.2</v>
      </c>
      <c r="G239" s="253" t="n">
        <v>-0.505</v>
      </c>
      <c r="H239" s="253" t="n">
        <v>0</v>
      </c>
      <c r="I239" s="253" t="n">
        <v>0</v>
      </c>
      <c r="J239" s="253" t="n">
        <v>0</v>
      </c>
      <c r="K239" s="253" t="n">
        <v>0</v>
      </c>
      <c r="L239" s="253" t="n">
        <v>0</v>
      </c>
      <c r="M239" s="253" t="n">
        <v>0</v>
      </c>
      <c r="N239" s="253" t="n">
        <v>0</v>
      </c>
      <c r="O239" s="253" t="n">
        <v>0</v>
      </c>
      <c r="P239" s="253" t="n">
        <v>0</v>
      </c>
      <c r="Q239" s="253" t="n">
        <v>0</v>
      </c>
      <c r="R239" s="253" t="n">
        <v>0</v>
      </c>
      <c r="S239" s="253" t="n">
        <v>0</v>
      </c>
      <c r="T239" s="253" t="n">
        <v>0</v>
      </c>
      <c r="U239" s="253" t="n">
        <v>0</v>
      </c>
      <c r="V239" s="253" t="n">
        <v>0</v>
      </c>
      <c r="W239" s="253" t="n">
        <v>0</v>
      </c>
      <c r="X239" s="253" t="n">
        <v>0</v>
      </c>
      <c r="Y239" s="253" t="n">
        <v>0</v>
      </c>
      <c r="Z239" s="253" t="n">
        <v>0</v>
      </c>
      <c r="AA239" s="253" t="n">
        <v>0</v>
      </c>
      <c r="AB239" s="253" t="n">
        <v>0</v>
      </c>
      <c r="AC239" s="253" t="n">
        <v>0</v>
      </c>
      <c r="AD239" s="253" t="n">
        <v>0</v>
      </c>
      <c r="AE239" s="253" t="n">
        <v>0</v>
      </c>
      <c r="AF239" s="253" t="n">
        <v>0</v>
      </c>
      <c r="AG239" s="253" t="n">
        <v>0</v>
      </c>
      <c r="AH239" s="253" t="n">
        <v>0</v>
      </c>
      <c r="AI239" s="253" t="n">
        <v>0</v>
      </c>
      <c r="AJ239" s="253" t="n">
        <v>0</v>
      </c>
      <c r="AK239" s="253" t="n">
        <v>0</v>
      </c>
      <c r="AL239" s="253" t="n">
        <v>0</v>
      </c>
      <c r="AM239" s="253" t="n">
        <v>0</v>
      </c>
      <c r="AN239" s="253" t="n">
        <v>0</v>
      </c>
      <c r="AO239" s="253" t="n">
        <v>0</v>
      </c>
      <c r="AP239" s="253" t="n">
        <v>0</v>
      </c>
      <c r="AQ239" s="253" t="n">
        <v>0</v>
      </c>
      <c r="AR239" s="253" t="n">
        <v>0</v>
      </c>
      <c r="AS239" s="253" t="n">
        <v>0</v>
      </c>
      <c r="AT239" s="253" t="n">
        <v>0</v>
      </c>
      <c r="AU239" s="253" t="n">
        <v>0</v>
      </c>
      <c r="AV239" s="253" t="n">
        <v>0</v>
      </c>
      <c r="AW239" s="253" t="n">
        <v>0</v>
      </c>
      <c r="AX239" s="253" t="n">
        <v>0</v>
      </c>
      <c r="AY239" s="253" t="n">
        <v>0</v>
      </c>
      <c r="AZ239" s="253" t="n">
        <v>0</v>
      </c>
      <c r="BA239" s="253" t="n">
        <v>-788.349</v>
      </c>
      <c r="BB239" s="253" t="n">
        <v>-788.349</v>
      </c>
      <c r="BC239" s="253" t="n">
        <v>-124.521</v>
      </c>
      <c r="BD239" s="253" t="n">
        <v>-68.876</v>
      </c>
      <c r="BE239" s="253" t="n">
        <v>0</v>
      </c>
      <c r="BF239" s="253" t="n">
        <v>-563.99</v>
      </c>
      <c r="BG239" s="253" t="n">
        <v>-757.3869999999999</v>
      </c>
      <c r="BH239" s="253" t="n">
        <v>0</v>
      </c>
      <c r="BI239" s="253" t="n">
        <v>0</v>
      </c>
      <c r="BJ239" s="253" t="n">
        <v>0</v>
      </c>
      <c r="BK239" s="253" t="n">
        <v>0</v>
      </c>
      <c r="BL239" s="253" t="n">
        <v>0</v>
      </c>
      <c r="BM239" s="253" t="n">
        <v>0</v>
      </c>
      <c r="BN239" s="253" t="n">
        <v>0</v>
      </c>
      <c r="BO239" s="253" t="n">
        <v>0</v>
      </c>
      <c r="BP239" s="253" t="n">
        <v>0</v>
      </c>
      <c r="BQ239" s="253" t="n">
        <v>0</v>
      </c>
      <c r="BR239" s="253" t="n">
        <v>0</v>
      </c>
      <c r="BS239" s="253" t="n">
        <v>0</v>
      </c>
      <c r="BT239" s="253" t="n">
        <v>0</v>
      </c>
      <c r="BU239" s="253" t="n">
        <v>-17.194</v>
      </c>
      <c r="BV239" s="253" t="n">
        <v>-17.194</v>
      </c>
      <c r="BW239" s="253" t="n">
        <v>-585.744</v>
      </c>
      <c r="BX239" s="253" t="n">
        <v>0</v>
      </c>
      <c r="BY239" s="35" t="n"/>
      <c r="BZ239" s="35" t="n"/>
      <c r="CA239" s="254">
        <f>SUM(BW239:BX239)</f>
        <v>-585.744</v>
      </c>
      <c r="CB239" s="254">
        <f>-CB67</f>
        <v>-500</v>
      </c>
      <c r="CC239" s="254">
        <f>-CC67</f>
        <v>-500</v>
      </c>
      <c r="CD239" s="254">
        <f>-CD67</f>
        <v>-500</v>
      </c>
      <c r="CE239" s="254">
        <f>-CE67</f>
        <v>-500</v>
      </c>
      <c r="CF239" s="254">
        <f>-CF67</f>
        <v>-500</v>
      </c>
      <c r="CG239" s="19" t="inlineStr">
        <is>
          <t>2026E = 1H actual (Mar-2026 acquisition, $585.7m). 2027E+: M&amp;A lever.</t>
        </is>
      </c>
    </row>
    <row r="240" ht="15" customHeight="1" s="251">
      <c r="B240" s="25" t="inlineStr">
        <is>
          <t>Purchases, sales &amp; maturities of investments, net</t>
        </is>
      </c>
      <c r="C240" s="253" t="n">
        <v>0</v>
      </c>
      <c r="D240" s="253" t="n">
        <v>-204.508</v>
      </c>
      <c r="E240" s="253" t="n">
        <v>50.374</v>
      </c>
      <c r="F240" s="253" t="n">
        <v>-25.621</v>
      </c>
      <c r="G240" s="253" t="n">
        <v>29.313</v>
      </c>
      <c r="H240" s="253" t="n">
        <v>-134.652</v>
      </c>
      <c r="I240" s="253" t="n">
        <v>-165.003</v>
      </c>
      <c r="J240" s="253" t="n">
        <v>-149.975</v>
      </c>
      <c r="K240" s="253" t="n">
        <v>-106.661</v>
      </c>
      <c r="L240" s="253" t="n">
        <v>13.959</v>
      </c>
      <c r="M240" s="253" t="n">
        <v>100.84</v>
      </c>
      <c r="N240" s="253" t="n">
        <v>-141.837</v>
      </c>
      <c r="O240" s="253" t="n">
        <v>85.592</v>
      </c>
      <c r="P240" s="253" t="n">
        <v>10.768</v>
      </c>
      <c r="Q240" s="253" t="n">
        <v>15.81</v>
      </c>
      <c r="R240" s="253" t="n">
        <v>-11.854</v>
      </c>
      <c r="S240" s="253" t="n">
        <v>100.316</v>
      </c>
      <c r="T240" s="253" t="n">
        <v>-7.105</v>
      </c>
      <c r="U240" s="253" t="n">
        <v>-0.367</v>
      </c>
      <c r="V240" s="253" t="n">
        <v>8.568</v>
      </c>
      <c r="W240" s="253" t="n">
        <v>-9.17</v>
      </c>
      <c r="X240" s="253" t="n">
        <v>-8.074</v>
      </c>
      <c r="Y240" s="253" t="n">
        <v>36.251</v>
      </c>
      <c r="Z240" s="253" t="n">
        <v>24.935</v>
      </c>
      <c r="AA240" s="253" t="n">
        <v>68.46599999999999</v>
      </c>
      <c r="AB240" s="253" t="n">
        <v>105.884</v>
      </c>
      <c r="AC240" s="253" t="n">
        <v>235.536</v>
      </c>
      <c r="AD240" s="253" t="n">
        <v>3.074</v>
      </c>
      <c r="AE240" s="253" t="n">
        <v>17.487</v>
      </c>
      <c r="AF240" s="253" t="n">
        <v>247.479</v>
      </c>
      <c r="AG240" s="253" t="n">
        <v>0</v>
      </c>
      <c r="AH240" s="253" t="n">
        <v>268.04</v>
      </c>
      <c r="AI240" s="253" t="n">
        <v>0</v>
      </c>
      <c r="AJ240" s="253" t="n">
        <v>0</v>
      </c>
      <c r="AK240" s="253" t="n">
        <v>0</v>
      </c>
      <c r="AL240" s="253" t="n">
        <v>0</v>
      </c>
      <c r="AM240" s="253" t="n">
        <v>0</v>
      </c>
      <c r="AN240" s="253" t="n">
        <v>0</v>
      </c>
      <c r="AO240" s="253" t="n">
        <v>0</v>
      </c>
      <c r="AP240" s="253" t="n">
        <v>0</v>
      </c>
      <c r="AQ240" s="253" t="n">
        <v>0</v>
      </c>
      <c r="AR240" s="253" t="n">
        <v>0</v>
      </c>
      <c r="AS240" s="253" t="n">
        <v>0</v>
      </c>
      <c r="AT240" s="253" t="n">
        <v>0</v>
      </c>
      <c r="AU240" s="253" t="n">
        <v>0</v>
      </c>
      <c r="AV240" s="253" t="n">
        <v>0</v>
      </c>
      <c r="AW240" s="253" t="n">
        <v>0</v>
      </c>
      <c r="AX240" s="253" t="n">
        <v>0</v>
      </c>
      <c r="AY240" s="253" t="n">
        <v>0</v>
      </c>
      <c r="AZ240" s="253" t="n">
        <v>0</v>
      </c>
      <c r="BA240" s="253" t="n">
        <v>0</v>
      </c>
      <c r="BB240" s="253" t="n">
        <v>0</v>
      </c>
      <c r="BC240" s="253" t="n">
        <v>0</v>
      </c>
      <c r="BD240" s="253" t="n">
        <v>0</v>
      </c>
      <c r="BE240" s="253" t="n">
        <v>0</v>
      </c>
      <c r="BF240" s="253" t="n">
        <v>-911.276</v>
      </c>
      <c r="BG240" s="253" t="n">
        <v>-911.276</v>
      </c>
      <c r="BH240" s="253" t="n">
        <v>-201.634</v>
      </c>
      <c r="BI240" s="253" t="n">
        <v>198.709</v>
      </c>
      <c r="BJ240" s="253" t="n">
        <v>400</v>
      </c>
      <c r="BK240" s="253" t="n">
        <v>493.228</v>
      </c>
      <c r="BL240" s="253" t="n">
        <v>890.303</v>
      </c>
      <c r="BM240" s="253" t="n">
        <v>0</v>
      </c>
      <c r="BN240" s="253" t="n">
        <v>0</v>
      </c>
      <c r="BO240" s="253" t="n">
        <v>-1742.246</v>
      </c>
      <c r="BP240" s="253" t="n">
        <v>0</v>
      </c>
      <c r="BQ240" s="253" t="n">
        <v>-1742.246</v>
      </c>
      <c r="BR240" s="253" t="n">
        <v>613.939</v>
      </c>
      <c r="BS240" s="253" t="n">
        <v>960.763</v>
      </c>
      <c r="BT240" s="253" t="n">
        <v>172.4</v>
      </c>
      <c r="BU240" s="253" t="n">
        <v>0</v>
      </c>
      <c r="BV240" s="253" t="n">
        <v>1747.102</v>
      </c>
      <c r="BW240" s="253" t="n">
        <v>0</v>
      </c>
      <c r="BX240" s="253" t="n">
        <v>0</v>
      </c>
      <c r="BY240" s="35" t="n"/>
      <c r="BZ240" s="35" t="n"/>
      <c r="CA240" s="254">
        <f>SUM(BW240:BX240)</f>
        <v>0</v>
      </c>
      <c r="CB240" s="276" t="n">
        <v>0</v>
      </c>
      <c r="CC240" s="276" t="n">
        <v>0</v>
      </c>
      <c r="CD240" s="276" t="n">
        <v>0</v>
      </c>
      <c r="CE240" s="276" t="n">
        <v>0</v>
      </c>
      <c r="CF240" s="276" t="n">
        <v>0</v>
      </c>
      <c r="CG240" s="19" t="n"/>
    </row>
    <row r="241" ht="15" customHeight="1" s="251">
      <c r="B241" s="25" t="inlineStr">
        <is>
          <t>Other investing activities (derived)</t>
        </is>
      </c>
      <c r="C241" s="253" t="n">
        <v>11.577</v>
      </c>
      <c r="D241" s="253" t="n">
        <v>21.937</v>
      </c>
      <c r="E241" s="253" t="n">
        <v>18.367</v>
      </c>
      <c r="F241" s="253" t="n">
        <v>18.718</v>
      </c>
      <c r="G241" s="253" t="n">
        <v>419.059</v>
      </c>
      <c r="H241" s="253" t="n">
        <v>3.674</v>
      </c>
      <c r="I241" s="253" t="n">
        <v>8.816000000000001</v>
      </c>
      <c r="J241" s="253" t="n">
        <v>4.05</v>
      </c>
      <c r="K241" s="253" t="n">
        <v>1.087</v>
      </c>
      <c r="L241" s="253" t="n">
        <v>-1.329</v>
      </c>
      <c r="M241" s="253" t="n">
        <v>2.131</v>
      </c>
      <c r="N241" s="253" t="n">
        <v>5.939</v>
      </c>
      <c r="O241" s="253" t="n">
        <v>0.295</v>
      </c>
      <c r="P241" s="253" t="n">
        <v>1.129</v>
      </c>
      <c r="Q241" s="253" t="n">
        <v>0.341</v>
      </c>
      <c r="R241" s="253" t="n">
        <v>-0.431</v>
      </c>
      <c r="S241" s="253" t="n">
        <v>1.334</v>
      </c>
      <c r="T241" s="253" t="n">
        <v>0.225</v>
      </c>
      <c r="U241" s="253" t="n">
        <v>-0.639</v>
      </c>
      <c r="V241" s="253" t="n">
        <v>-3.76</v>
      </c>
      <c r="W241" s="253" t="n">
        <v>2.262</v>
      </c>
      <c r="X241" s="253" t="n">
        <v>-1.912</v>
      </c>
      <c r="Y241" s="253" t="n">
        <v>-0.356</v>
      </c>
      <c r="Z241" s="253" t="n">
        <v>0.907</v>
      </c>
      <c r="AA241" s="253" t="n">
        <v>0.125</v>
      </c>
      <c r="AB241" s="253" t="n">
        <v>-1.617</v>
      </c>
      <c r="AC241" s="253" t="n">
        <v>-0.9409999999999999</v>
      </c>
      <c r="AD241" s="253" t="n">
        <v>-0.769</v>
      </c>
      <c r="AE241" s="253" t="n">
        <v>-1.064</v>
      </c>
      <c r="AF241" s="253" t="n">
        <v>-1.107</v>
      </c>
      <c r="AG241" s="253" t="n">
        <v>-3.749</v>
      </c>
      <c r="AH241" s="253" t="n">
        <v>-6.689</v>
      </c>
      <c r="AI241" s="253" t="n">
        <v>-1.786</v>
      </c>
      <c r="AJ241" s="253" t="n">
        <v>-0.441</v>
      </c>
      <c r="AK241" s="253" t="n">
        <v>-121.63</v>
      </c>
      <c r="AL241" s="253" t="n">
        <v>-2.731</v>
      </c>
      <c r="AM241" s="253" t="n">
        <v>-126.588</v>
      </c>
      <c r="AN241" s="253" t="n">
        <v>-10.552</v>
      </c>
      <c r="AO241" s="253" t="n">
        <v>-2.654</v>
      </c>
      <c r="AP241" s="253" t="n">
        <v>0.613</v>
      </c>
      <c r="AQ241" s="253" t="n">
        <v>-121.436</v>
      </c>
      <c r="AR241" s="253" t="n">
        <v>-134.029</v>
      </c>
      <c r="AS241" s="253" t="n">
        <v>-0.288</v>
      </c>
      <c r="AT241" s="253" t="n">
        <v>-0.26</v>
      </c>
      <c r="AU241" s="253" t="n">
        <v>-8.84</v>
      </c>
      <c r="AV241" s="253" t="n">
        <v>1.957</v>
      </c>
      <c r="AW241" s="253" t="n">
        <v>-7.431</v>
      </c>
      <c r="AX241" s="253" t="n">
        <v>-4.615</v>
      </c>
      <c r="AY241" s="253" t="n">
        <v>-1</v>
      </c>
      <c r="AZ241" s="253" t="n">
        <v>-21.304</v>
      </c>
      <c r="BA241" s="253" t="n">
        <v>0</v>
      </c>
      <c r="BB241" s="253" t="n">
        <v>-26.919</v>
      </c>
      <c r="BC241" s="253" t="n">
        <v>0</v>
      </c>
      <c r="BD241" s="253" t="n">
        <v>0</v>
      </c>
      <c r="BE241" s="253" t="n">
        <v>0</v>
      </c>
      <c r="BF241" s="253" t="n">
        <v>0</v>
      </c>
      <c r="BG241" s="253" t="n">
        <v>0</v>
      </c>
      <c r="BH241" s="253" t="n">
        <v>0</v>
      </c>
      <c r="BI241" s="253" t="n">
        <v>0</v>
      </c>
      <c r="BJ241" s="253" t="n">
        <v>0</v>
      </c>
      <c r="BK241" s="253" t="n">
        <v>0</v>
      </c>
      <c r="BL241" s="253" t="n">
        <v>0</v>
      </c>
      <c r="BM241" s="253" t="n">
        <v>0</v>
      </c>
      <c r="BN241" s="253" t="n">
        <v>0</v>
      </c>
      <c r="BO241" s="253" t="n">
        <v>0</v>
      </c>
      <c r="BP241" s="253" t="n">
        <v>0</v>
      </c>
      <c r="BQ241" s="253" t="n">
        <v>0</v>
      </c>
      <c r="BR241" s="253" t="n">
        <v>0</v>
      </c>
      <c r="BS241" s="253" t="n">
        <v>-36.19</v>
      </c>
      <c r="BT241" s="253" t="n">
        <v>36.19</v>
      </c>
      <c r="BU241" s="253" t="n">
        <v>0</v>
      </c>
      <c r="BV241" s="253" t="n">
        <v>0</v>
      </c>
      <c r="BW241" s="253" t="n">
        <v>0</v>
      </c>
      <c r="BX241" s="253" t="n">
        <v>0</v>
      </c>
      <c r="BY241" s="35" t="n"/>
      <c r="BZ241" s="35" t="n"/>
      <c r="CA241" s="254">
        <f>SUM(BW241:BX241)</f>
        <v>0</v>
      </c>
      <c r="CB241" s="276" t="n">
        <v>0</v>
      </c>
      <c r="CC241" s="276" t="n">
        <v>0</v>
      </c>
      <c r="CD241" s="276" t="n">
        <v>0</v>
      </c>
      <c r="CE241" s="276" t="n">
        <v>0</v>
      </c>
      <c r="CF241" s="276" t="n">
        <v>0</v>
      </c>
      <c r="CG241" s="19" t="n"/>
    </row>
    <row r="242" ht="15" customHeight="1" s="251">
      <c r="B242" s="16" t="inlineStr">
        <is>
          <t>Net cash provided by (used in) investing activities</t>
        </is>
      </c>
      <c r="C242" s="285" t="n">
        <v>-185.869</v>
      </c>
      <c r="D242" s="285" t="n">
        <v>-450.813</v>
      </c>
      <c r="E242" s="285" t="n">
        <v>-144.96</v>
      </c>
      <c r="F242" s="285" t="n">
        <v>-246.079</v>
      </c>
      <c r="G242" s="285" t="n">
        <v>-116.081</v>
      </c>
      <c r="H242" s="285" t="n">
        <v>-265.814</v>
      </c>
      <c r="I242" s="285" t="n">
        <v>-245.919</v>
      </c>
      <c r="J242" s="285" t="n">
        <v>-179.321</v>
      </c>
      <c r="K242" s="285" t="n">
        <v>-127.6</v>
      </c>
      <c r="L242" s="285" t="n">
        <v>-13.669</v>
      </c>
      <c r="M242" s="285" t="n">
        <v>64.622</v>
      </c>
      <c r="N242" s="285" t="n">
        <v>-255.968</v>
      </c>
      <c r="O242" s="285" t="n">
        <v>57.639</v>
      </c>
      <c r="P242" s="285" t="n">
        <v>-28.953</v>
      </c>
      <c r="Q242" s="285" t="n">
        <v>-20.411</v>
      </c>
      <c r="R242" s="285" t="n">
        <v>-51.141</v>
      </c>
      <c r="S242" s="285" t="n">
        <v>-42.866</v>
      </c>
      <c r="T242" s="285" t="n">
        <v>-42.822</v>
      </c>
      <c r="U242" s="285" t="n">
        <v>-48.33</v>
      </c>
      <c r="V242" s="285" t="n">
        <v>-47.479</v>
      </c>
      <c r="W242" s="285" t="n">
        <v>-40.561</v>
      </c>
      <c r="X242" s="285" t="n">
        <v>-179.192</v>
      </c>
      <c r="Y242" s="285" t="n">
        <v>4.263</v>
      </c>
      <c r="Z242" s="285" t="n">
        <v>-2.896</v>
      </c>
      <c r="AA242" s="285" t="n">
        <v>23.976</v>
      </c>
      <c r="AB242" s="285" t="n">
        <v>24.422</v>
      </c>
      <c r="AC242" s="285" t="n">
        <v>49.765</v>
      </c>
      <c r="AD242" s="285" t="n">
        <v>-75.59</v>
      </c>
      <c r="AE242" s="285" t="n">
        <v>-56.432</v>
      </c>
      <c r="AF242" s="285" t="n">
        <v>202.192</v>
      </c>
      <c r="AG242" s="285" t="n">
        <v>-35.841</v>
      </c>
      <c r="AH242" s="285" t="n">
        <v>34.329</v>
      </c>
      <c r="AI242" s="285" t="n">
        <v>-49.752</v>
      </c>
      <c r="AJ242" s="285" t="n">
        <v>-40.316</v>
      </c>
      <c r="AK242" s="285" t="n">
        <v>-168.694</v>
      </c>
      <c r="AL242" s="285" t="n">
        <v>-80.358</v>
      </c>
      <c r="AM242" s="285" t="n">
        <v>-339.12</v>
      </c>
      <c r="AN242" s="285" t="n">
        <v>-80.10299999999999</v>
      </c>
      <c r="AO242" s="285" t="n">
        <v>-50.036</v>
      </c>
      <c r="AP242" s="285" t="n">
        <v>-49.354</v>
      </c>
      <c r="AQ242" s="285" t="n">
        <v>-207.571</v>
      </c>
      <c r="AR242" s="285" t="n">
        <v>-387.064</v>
      </c>
      <c r="AS242" s="285" t="n">
        <v>-98.303</v>
      </c>
      <c r="AT242" s="285" t="n">
        <v>-142.001</v>
      </c>
      <c r="AU242" s="285" t="n">
        <v>-118.651</v>
      </c>
      <c r="AV242" s="285" t="n">
        <v>-146.399</v>
      </c>
      <c r="AW242" s="285" t="n">
        <v>-505.354</v>
      </c>
      <c r="AX242" s="285" t="n">
        <v>-85.616</v>
      </c>
      <c r="AY242" s="285" t="n">
        <v>-111.278</v>
      </c>
      <c r="AZ242" s="285" t="n">
        <v>-188.631</v>
      </c>
      <c r="BA242" s="285" t="n">
        <v>-954.328</v>
      </c>
      <c r="BB242" s="285" t="n">
        <v>-1339.853</v>
      </c>
      <c r="BC242" s="285" t="n">
        <v>-245.679</v>
      </c>
      <c r="BD242" s="285" t="n">
        <v>-158.894</v>
      </c>
      <c r="BE242" s="285" t="n">
        <v>-84.95999999999999</v>
      </c>
      <c r="BF242" s="285" t="n">
        <v>-1586.859</v>
      </c>
      <c r="BG242" s="285" t="n">
        <v>-2076.392</v>
      </c>
      <c r="BH242" s="285" t="n">
        <v>-263.653</v>
      </c>
      <c r="BI242" s="285" t="n">
        <v>97.73699999999999</v>
      </c>
      <c r="BJ242" s="285" t="n">
        <v>296.071</v>
      </c>
      <c r="BK242" s="285" t="n">
        <v>411.596</v>
      </c>
      <c r="BL242" s="285" t="n">
        <v>541.751</v>
      </c>
      <c r="BM242" s="285" t="n">
        <v>-75.714</v>
      </c>
      <c r="BN242" s="285" t="n">
        <v>-78.28700000000001</v>
      </c>
      <c r="BO242" s="285" t="n">
        <v>-1869.109</v>
      </c>
      <c r="BP242" s="285" t="n">
        <v>-158.674</v>
      </c>
      <c r="BQ242" s="285" t="n">
        <v>-2181.784</v>
      </c>
      <c r="BR242" s="285" t="n">
        <v>485.662</v>
      </c>
      <c r="BS242" s="285" t="n">
        <v>768.684</v>
      </c>
      <c r="BT242" s="285" t="n">
        <v>43.871</v>
      </c>
      <c r="BU242" s="285" t="n">
        <v>-256.529</v>
      </c>
      <c r="BV242" s="285" t="n">
        <v>1041.688</v>
      </c>
      <c r="BW242" s="285" t="n">
        <v>-781.874</v>
      </c>
      <c r="BX242" s="285" t="n">
        <v>-218.644</v>
      </c>
      <c r="BY242" s="32" t="n"/>
      <c r="BZ242" s="32" t="n"/>
      <c r="CA242" s="279">
        <f>SUM(CA237:CA241)</f>
        <v>-1449.153185</v>
      </c>
      <c r="CB242" s="279">
        <f>SUM(CB237:CB241)</f>
        <v>-1405.26907632559</v>
      </c>
      <c r="CC242" s="279">
        <f>SUM(CC237:CC241)</f>
        <v>-1429.53068175247</v>
      </c>
      <c r="CD242" s="279">
        <f>SUM(CD237:CD241)</f>
        <v>-1441.69095954656</v>
      </c>
      <c r="CE242" s="279">
        <f>SUM(CE237:CE241)</f>
        <v>-1442.37235104036</v>
      </c>
      <c r="CF242" s="279">
        <f>SUM(CF237:CF241)</f>
        <v>-1508.22805168299</v>
      </c>
      <c r="CG242" s="153" t="n"/>
    </row>
    <row r="243" ht="15" customHeight="1" s="251">
      <c r="B243" s="25" t="inlineStr">
        <is>
          <t>Proceeds from issuance of debt (incl. revolver draws)</t>
        </is>
      </c>
      <c r="C243" s="253" t="n">
        <v>0</v>
      </c>
      <c r="D243" s="253" t="n">
        <v>0</v>
      </c>
      <c r="E243" s="253" t="n">
        <v>0</v>
      </c>
      <c r="F243" s="253" t="n">
        <v>212.895</v>
      </c>
      <c r="G243" s="253" t="n">
        <v>0</v>
      </c>
      <c r="H243" s="253" t="n">
        <v>198.06</v>
      </c>
      <c r="I243" s="253" t="n">
        <v>-0.295</v>
      </c>
      <c r="J243" s="253" t="n">
        <v>500</v>
      </c>
      <c r="K243" s="253" t="n">
        <v>0</v>
      </c>
      <c r="L243" s="253" t="n">
        <v>0</v>
      </c>
      <c r="M243" s="253" t="n">
        <v>-9.414</v>
      </c>
      <c r="N243" s="253" t="n">
        <v>490.586</v>
      </c>
      <c r="O243" s="253" t="n">
        <v>400</v>
      </c>
      <c r="P243" s="253" t="n">
        <v>0</v>
      </c>
      <c r="Q243" s="253" t="n">
        <v>0</v>
      </c>
      <c r="R243" s="253" t="n">
        <v>0</v>
      </c>
      <c r="S243" s="253" t="n">
        <v>400</v>
      </c>
      <c r="T243" s="253" t="n">
        <v>1500</v>
      </c>
      <c r="U243" s="253" t="n">
        <v>0</v>
      </c>
      <c r="V243" s="253" t="n">
        <v>0</v>
      </c>
      <c r="W243" s="253" t="n">
        <v>0</v>
      </c>
      <c r="X243" s="253" t="n">
        <v>1500</v>
      </c>
      <c r="Y243" s="253" t="n">
        <v>0</v>
      </c>
      <c r="Z243" s="253" t="n">
        <v>0</v>
      </c>
      <c r="AA243" s="253" t="n">
        <v>0</v>
      </c>
      <c r="AB243" s="253" t="n">
        <v>1000</v>
      </c>
      <c r="AC243" s="253" t="n">
        <v>1000</v>
      </c>
      <c r="AD243" s="253" t="n">
        <v>0</v>
      </c>
      <c r="AE243" s="253" t="n">
        <v>1420.51</v>
      </c>
      <c r="AF243" s="253" t="n">
        <v>0</v>
      </c>
      <c r="AG243" s="253" t="n">
        <v>1600</v>
      </c>
      <c r="AH243" s="253" t="n">
        <v>3020.51</v>
      </c>
      <c r="AI243" s="253" t="n">
        <v>0</v>
      </c>
      <c r="AJ243" s="253" t="n">
        <v>1900</v>
      </c>
      <c r="AK243" s="253" t="n">
        <v>0</v>
      </c>
      <c r="AL243" s="253" t="n">
        <v>2061.852</v>
      </c>
      <c r="AM243" s="253" t="n">
        <v>3961.852</v>
      </c>
      <c r="AN243" s="253" t="n">
        <v>0</v>
      </c>
      <c r="AO243" s="253" t="n">
        <v>2243.196</v>
      </c>
      <c r="AP243" s="253" t="n">
        <v>0</v>
      </c>
      <c r="AQ243" s="253" t="n">
        <v>2226.11</v>
      </c>
      <c r="AR243" s="253" t="n">
        <v>4469.306</v>
      </c>
      <c r="AS243" s="253" t="n">
        <v>0</v>
      </c>
      <c r="AT243" s="253" t="n">
        <v>1009.464</v>
      </c>
      <c r="AU243" s="253" t="n">
        <v>0</v>
      </c>
      <c r="AV243" s="253" t="n">
        <v>0</v>
      </c>
      <c r="AW243" s="253" t="n">
        <v>1009.464</v>
      </c>
      <c r="AX243" s="253" t="n">
        <v>0</v>
      </c>
      <c r="AY243" s="253" t="n">
        <v>0</v>
      </c>
      <c r="AZ243" s="253" t="n">
        <v>0</v>
      </c>
      <c r="BA243" s="253" t="n">
        <v>0</v>
      </c>
      <c r="BB243" s="253" t="n">
        <v>0</v>
      </c>
      <c r="BC243" s="253" t="n">
        <v>0</v>
      </c>
      <c r="BD243" s="253" t="n">
        <v>0</v>
      </c>
      <c r="BE243" s="253" t="n">
        <v>0</v>
      </c>
      <c r="BF243" s="253" t="n">
        <v>0</v>
      </c>
      <c r="BG243" s="253" t="n">
        <v>0</v>
      </c>
      <c r="BH243" s="253" t="n">
        <v>0</v>
      </c>
      <c r="BI243" s="253" t="n">
        <v>0</v>
      </c>
      <c r="BJ243" s="253" t="n">
        <v>0</v>
      </c>
      <c r="BK243" s="253" t="n">
        <v>0</v>
      </c>
      <c r="BL243" s="253" t="n">
        <v>0</v>
      </c>
      <c r="BM243" s="253" t="n">
        <v>0</v>
      </c>
      <c r="BN243" s="253" t="n">
        <v>0</v>
      </c>
      <c r="BO243" s="253" t="n">
        <v>1794.46</v>
      </c>
      <c r="BP243" s="253" t="n">
        <v>0</v>
      </c>
      <c r="BQ243" s="253" t="n">
        <v>1794.46</v>
      </c>
      <c r="BR243" s="253" t="n">
        <v>0</v>
      </c>
      <c r="BS243" s="253" t="n">
        <v>0</v>
      </c>
      <c r="BT243" s="253" t="n">
        <v>0</v>
      </c>
      <c r="BU243" s="253" t="n">
        <v>0</v>
      </c>
      <c r="BV243" s="253" t="n">
        <v>0</v>
      </c>
      <c r="BW243" s="253" t="n">
        <v>0</v>
      </c>
      <c r="BX243" s="253" t="n">
        <v>0</v>
      </c>
      <c r="BY243" s="35" t="n"/>
      <c r="BZ243" s="35" t="n"/>
      <c r="CA243" s="254">
        <f>SUM(BW243:BX243)+CA337+MAX(0,CA341-BX341)</f>
        <v>1000</v>
      </c>
      <c r="CB243" s="254">
        <f>CB337+MAX(0,CB341-CA341)</f>
        <v>1486</v>
      </c>
      <c r="CC243" s="254">
        <f>CC337+MAX(0,CC341-CB341)</f>
        <v>3500</v>
      </c>
      <c r="CD243" s="254">
        <f>CD337+MAX(0,CD341-CC341)</f>
        <v>4329</v>
      </c>
      <c r="CE243" s="254">
        <f>CE337+MAX(0,CE341-CD341)</f>
        <v>2257</v>
      </c>
      <c r="CF243" s="254">
        <f>CF337+MAX(0,CF341-CE341)</f>
        <v>0</v>
      </c>
      <c r="CG243" s="19" t="inlineStr">
        <is>
          <t>2026E: $1bn 5.250% notes due 2036 issued 22-Jul-2026. 2027E+: maturities refinanced (debt schedule).</t>
        </is>
      </c>
    </row>
    <row r="244" ht="15" customHeight="1" s="251">
      <c r="B244" s="25" t="inlineStr">
        <is>
          <t>Repayments of debt (incl. revolver repayments)</t>
        </is>
      </c>
      <c r="C244" s="253" t="n">
        <v>0</v>
      </c>
      <c r="D244" s="253" t="n">
        <v>0</v>
      </c>
      <c r="E244" s="253" t="n">
        <v>-0.823</v>
      </c>
      <c r="F244" s="253" t="n">
        <v>-21.158</v>
      </c>
      <c r="G244" s="253" t="n">
        <v>-1.776</v>
      </c>
      <c r="H244" s="253" t="n">
        <v>-2.083</v>
      </c>
      <c r="I244" s="253" t="n">
        <v>-2.319</v>
      </c>
      <c r="J244" s="253" t="n">
        <v>-219.765</v>
      </c>
      <c r="K244" s="253" t="n">
        <v>-0.255</v>
      </c>
      <c r="L244" s="253" t="n">
        <v>-0.258</v>
      </c>
      <c r="M244" s="253" t="n">
        <v>-0.264</v>
      </c>
      <c r="N244" s="253" t="n">
        <v>-220.542</v>
      </c>
      <c r="O244" s="253" t="n">
        <v>-0.267</v>
      </c>
      <c r="P244" s="253" t="n">
        <v>-0.271</v>
      </c>
      <c r="Q244" s="253" t="n">
        <v>-0.275</v>
      </c>
      <c r="R244" s="253" t="n">
        <v>-0.28</v>
      </c>
      <c r="S244" s="253" t="n">
        <v>-1.093</v>
      </c>
      <c r="T244" s="253" t="n">
        <v>-0.251</v>
      </c>
      <c r="U244" s="253" t="n">
        <v>-0.287</v>
      </c>
      <c r="V244" s="253" t="n">
        <v>-0.061</v>
      </c>
      <c r="W244" s="253" t="n">
        <v>0.054</v>
      </c>
      <c r="X244" s="253" t="n">
        <v>-0.545</v>
      </c>
      <c r="Y244" s="253" t="n">
        <v>0</v>
      </c>
      <c r="Z244" s="253" t="n">
        <v>0</v>
      </c>
      <c r="AA244" s="253" t="n">
        <v>0</v>
      </c>
      <c r="AB244" s="253" t="n">
        <v>0</v>
      </c>
      <c r="AC244" s="253" t="n">
        <v>0</v>
      </c>
      <c r="AD244" s="253" t="n">
        <v>0</v>
      </c>
      <c r="AE244" s="253" t="n">
        <v>0</v>
      </c>
      <c r="AF244" s="253" t="n">
        <v>0</v>
      </c>
      <c r="AG244" s="253" t="n">
        <v>0</v>
      </c>
      <c r="AH244" s="253" t="n">
        <v>0</v>
      </c>
      <c r="AI244" s="253" t="n">
        <v>0</v>
      </c>
      <c r="AJ244" s="253" t="n">
        <v>0</v>
      </c>
      <c r="AK244" s="253" t="n">
        <v>0</v>
      </c>
      <c r="AL244" s="253" t="n">
        <v>0</v>
      </c>
      <c r="AM244" s="253" t="n">
        <v>0</v>
      </c>
      <c r="AN244" s="253" t="n">
        <v>0</v>
      </c>
      <c r="AO244" s="253" t="n">
        <v>0</v>
      </c>
      <c r="AP244" s="253" t="n">
        <v>0</v>
      </c>
      <c r="AQ244" s="253" t="n">
        <v>0</v>
      </c>
      <c r="AR244" s="253" t="n">
        <v>0</v>
      </c>
      <c r="AS244" s="253" t="n">
        <v>0</v>
      </c>
      <c r="AT244" s="253" t="n">
        <v>0</v>
      </c>
      <c r="AU244" s="253" t="n">
        <v>0</v>
      </c>
      <c r="AV244" s="253" t="n">
        <v>0</v>
      </c>
      <c r="AW244" s="253" t="n">
        <v>0</v>
      </c>
      <c r="AX244" s="253" t="n">
        <v>-500</v>
      </c>
      <c r="AY244" s="253" t="n">
        <v>0</v>
      </c>
      <c r="AZ244" s="253" t="n">
        <v>0</v>
      </c>
      <c r="BA244" s="253" t="n">
        <v>0</v>
      </c>
      <c r="BB244" s="253" t="n">
        <v>-500</v>
      </c>
      <c r="BC244" s="253" t="n">
        <v>-700</v>
      </c>
      <c r="BD244" s="253" t="n">
        <v>0</v>
      </c>
      <c r="BE244" s="253" t="n">
        <v>0</v>
      </c>
      <c r="BF244" s="253" t="n">
        <v>0</v>
      </c>
      <c r="BG244" s="253" t="n">
        <v>-700</v>
      </c>
      <c r="BH244" s="253" t="n">
        <v>0</v>
      </c>
      <c r="BI244" s="253" t="n">
        <v>0</v>
      </c>
      <c r="BJ244" s="253" t="n">
        <v>0</v>
      </c>
      <c r="BK244" s="253" t="n">
        <v>0</v>
      </c>
      <c r="BL244" s="253" t="n">
        <v>0</v>
      </c>
      <c r="BM244" s="253" t="n">
        <v>-400</v>
      </c>
      <c r="BN244" s="253" t="n">
        <v>0</v>
      </c>
      <c r="BO244" s="253" t="n">
        <v>0</v>
      </c>
      <c r="BP244" s="253" t="n">
        <v>0</v>
      </c>
      <c r="BQ244" s="253" t="n">
        <v>-400</v>
      </c>
      <c r="BR244" s="253" t="n">
        <v>-800</v>
      </c>
      <c r="BS244" s="253" t="n">
        <v>-1033.45</v>
      </c>
      <c r="BT244" s="253" t="n">
        <v>0</v>
      </c>
      <c r="BU244" s="253" t="n">
        <v>0</v>
      </c>
      <c r="BV244" s="253" t="n">
        <v>-1833.45</v>
      </c>
      <c r="BW244" s="253" t="n">
        <v>0</v>
      </c>
      <c r="BX244" s="253" t="n">
        <v>0</v>
      </c>
      <c r="BY244" s="35" t="n"/>
      <c r="BZ244" s="35" t="n"/>
      <c r="CA244" s="254">
        <f>SUM(BW244:BX244)-CA336-MAX(0,BX341-CA341)</f>
        <v>-1000</v>
      </c>
      <c r="CB244" s="254">
        <f>-CB336-MAX(0,CA341-CB341)</f>
        <v>-1486</v>
      </c>
      <c r="CC244" s="254">
        <f>-CC336-MAX(0,CB341-CC341)</f>
        <v>-3500</v>
      </c>
      <c r="CD244" s="254">
        <f>-CD336-MAX(0,CC341-CD341)</f>
        <v>-4329</v>
      </c>
      <c r="CE244" s="254">
        <f>-CE336-MAX(0,CD341-CE341)</f>
        <v>-2257</v>
      </c>
      <c r="CF244" s="254">
        <f>-CF336-MAX(0,CE341-CF341)</f>
        <v>0</v>
      </c>
      <c r="CG244" s="19" t="n"/>
    </row>
    <row r="245" ht="15" customHeight="1" s="251">
      <c r="B245" s="25" t="inlineStr">
        <is>
          <t>Proceeds from issuance of common stock</t>
        </is>
      </c>
      <c r="C245" s="253" t="n">
        <v>112.964</v>
      </c>
      <c r="D245" s="253" t="n">
        <v>9.611000000000001</v>
      </c>
      <c r="E245" s="253" t="n">
        <v>18.872</v>
      </c>
      <c r="F245" s="253" t="n">
        <v>35.274</v>
      </c>
      <c r="G245" s="253" t="n">
        <v>49.776</v>
      </c>
      <c r="H245" s="253" t="n">
        <v>219.561</v>
      </c>
      <c r="I245" s="253" t="n">
        <v>3.66</v>
      </c>
      <c r="J245" s="253" t="n">
        <v>39.146</v>
      </c>
      <c r="K245" s="253" t="n">
        <v>28.846</v>
      </c>
      <c r="L245" s="253" t="n">
        <v>25.561</v>
      </c>
      <c r="M245" s="253" t="n">
        <v>31.004</v>
      </c>
      <c r="N245" s="253" t="n">
        <v>124.557</v>
      </c>
      <c r="O245" s="253" t="n">
        <v>32.448</v>
      </c>
      <c r="P245" s="253" t="n">
        <v>14.469</v>
      </c>
      <c r="Q245" s="253" t="n">
        <v>9.877000000000001</v>
      </c>
      <c r="R245" s="253" t="n">
        <v>3.75</v>
      </c>
      <c r="S245" s="253" t="n">
        <v>60.544</v>
      </c>
      <c r="T245" s="253" t="n">
        <v>10.916</v>
      </c>
      <c r="U245" s="253" t="n">
        <v>23.804</v>
      </c>
      <c r="V245" s="253" t="n">
        <v>35.089</v>
      </c>
      <c r="W245" s="253" t="n">
        <v>8.170999999999999</v>
      </c>
      <c r="X245" s="253" t="n">
        <v>77.98</v>
      </c>
      <c r="Y245" s="253" t="n">
        <v>3.536</v>
      </c>
      <c r="Z245" s="253" t="n">
        <v>4.232</v>
      </c>
      <c r="AA245" s="253" t="n">
        <v>3.819</v>
      </c>
      <c r="AB245" s="253" t="n">
        <v>25.392</v>
      </c>
      <c r="AC245" s="253" t="n">
        <v>36.979</v>
      </c>
      <c r="AD245" s="253" t="n">
        <v>24.178</v>
      </c>
      <c r="AE245" s="253" t="n">
        <v>14.826</v>
      </c>
      <c r="AF245" s="253" t="n">
        <v>34.669</v>
      </c>
      <c r="AG245" s="253" t="n">
        <v>14.705</v>
      </c>
      <c r="AH245" s="253" t="n">
        <v>88.378</v>
      </c>
      <c r="AI245" s="253" t="n">
        <v>56.335</v>
      </c>
      <c r="AJ245" s="253" t="n">
        <v>26.936</v>
      </c>
      <c r="AK245" s="253" t="n">
        <v>29.781</v>
      </c>
      <c r="AL245" s="253" t="n">
        <v>11.45</v>
      </c>
      <c r="AM245" s="253" t="n">
        <v>124.502</v>
      </c>
      <c r="AN245" s="253" t="n">
        <v>22.972</v>
      </c>
      <c r="AO245" s="253" t="n">
        <v>21.896</v>
      </c>
      <c r="AP245" s="253" t="n">
        <v>11.989</v>
      </c>
      <c r="AQ245" s="253" t="n">
        <v>15.633</v>
      </c>
      <c r="AR245" s="253" t="n">
        <v>72.48999999999999</v>
      </c>
      <c r="AS245" s="253" t="n">
        <v>43.694</v>
      </c>
      <c r="AT245" s="253" t="n">
        <v>89.06</v>
      </c>
      <c r="AU245" s="253" t="n">
        <v>68.66500000000001</v>
      </c>
      <c r="AV245" s="253" t="n">
        <v>33.987</v>
      </c>
      <c r="AW245" s="253" t="n">
        <v>235.406</v>
      </c>
      <c r="AX245" s="253" t="n">
        <v>48.071</v>
      </c>
      <c r="AY245" s="253" t="n">
        <v>19.749</v>
      </c>
      <c r="AZ245" s="253" t="n">
        <v>18.445</v>
      </c>
      <c r="BA245" s="253" t="n">
        <v>88.149</v>
      </c>
      <c r="BB245" s="253" t="n">
        <v>174.414</v>
      </c>
      <c r="BC245" s="253" t="n">
        <v>13.678</v>
      </c>
      <c r="BD245" s="253" t="n">
        <v>11.25</v>
      </c>
      <c r="BE245" s="253" t="n">
        <v>4.113</v>
      </c>
      <c r="BF245" s="253" t="n">
        <v>6.705</v>
      </c>
      <c r="BG245" s="253" t="n">
        <v>35.746</v>
      </c>
      <c r="BH245" s="253" t="n">
        <v>26.028</v>
      </c>
      <c r="BI245" s="253" t="n">
        <v>34.717</v>
      </c>
      <c r="BJ245" s="253" t="n">
        <v>57.818</v>
      </c>
      <c r="BK245" s="253" t="n">
        <v>51.427</v>
      </c>
      <c r="BL245" s="253" t="n">
        <v>169.99</v>
      </c>
      <c r="BM245" s="253" t="n">
        <v>268.881</v>
      </c>
      <c r="BN245" s="253" t="n">
        <v>118.75</v>
      </c>
      <c r="BO245" s="253" t="n">
        <v>143.244</v>
      </c>
      <c r="BP245" s="253" t="n">
        <v>302.012</v>
      </c>
      <c r="BQ245" s="253" t="n">
        <v>832.8869999999999</v>
      </c>
      <c r="BR245" s="253" t="n">
        <v>351.602</v>
      </c>
      <c r="BS245" s="253" t="n">
        <v>169.066</v>
      </c>
      <c r="BT245" s="253" t="n">
        <v>70.215</v>
      </c>
      <c r="BU245" s="253" t="n">
        <v>76.08199999999999</v>
      </c>
      <c r="BV245" s="253" t="n">
        <v>666.965</v>
      </c>
      <c r="BW245" s="253" t="n">
        <v>49.31</v>
      </c>
      <c r="BX245" s="253" t="n">
        <v>59.98</v>
      </c>
      <c r="BY245" s="35" t="n"/>
      <c r="BZ245" s="35" t="n"/>
      <c r="CA245" s="254">
        <f>SUM(BW245:BX245)+100.0</f>
        <v>209.29</v>
      </c>
      <c r="CB245" s="276" t="n">
        <v>250</v>
      </c>
      <c r="CC245" s="276" t="n">
        <v>250</v>
      </c>
      <c r="CD245" s="276" t="n">
        <v>250</v>
      </c>
      <c r="CE245" s="276" t="n">
        <v>250</v>
      </c>
      <c r="CF245" s="276" t="n">
        <v>250</v>
      </c>
      <c r="CG245" s="19" t="n"/>
    </row>
    <row r="246" ht="15" customHeight="1" s="251">
      <c r="B246" s="25" t="inlineStr">
        <is>
          <t>Repurchases of common stock (incl. taxes paid on net share settlement)</t>
        </is>
      </c>
      <c r="C246" s="253" t="n">
        <v>0</v>
      </c>
      <c r="D246" s="253" t="n">
        <v>-99.86</v>
      </c>
      <c r="E246" s="253" t="n">
        <v>-199.904</v>
      </c>
      <c r="F246" s="253" t="n">
        <v>-324.335</v>
      </c>
      <c r="G246" s="253" t="n">
        <v>-210.259</v>
      </c>
      <c r="H246" s="253" t="n">
        <v>-199.666</v>
      </c>
      <c r="I246" s="253" t="n">
        <v>0</v>
      </c>
      <c r="J246" s="253" t="n">
        <v>0</v>
      </c>
      <c r="K246" s="253" t="n">
        <v>0</v>
      </c>
      <c r="L246" s="253" t="n">
        <v>0</v>
      </c>
      <c r="M246" s="253" t="n">
        <v>0</v>
      </c>
      <c r="N246" s="253" t="n">
        <v>0</v>
      </c>
      <c r="O246" s="253" t="n">
        <v>0</v>
      </c>
      <c r="P246" s="253" t="n">
        <v>0</v>
      </c>
      <c r="Q246" s="253" t="n">
        <v>0</v>
      </c>
      <c r="R246" s="253" t="n">
        <v>0</v>
      </c>
      <c r="S246" s="253" t="n">
        <v>0</v>
      </c>
      <c r="T246" s="253" t="n">
        <v>0</v>
      </c>
      <c r="U246" s="253" t="n">
        <v>0</v>
      </c>
      <c r="V246" s="253" t="n">
        <v>0</v>
      </c>
      <c r="W246" s="253" t="n">
        <v>0</v>
      </c>
      <c r="X246" s="253" t="n">
        <v>0</v>
      </c>
      <c r="Y246" s="253" t="n">
        <v>0</v>
      </c>
      <c r="Z246" s="253" t="n">
        <v>0</v>
      </c>
      <c r="AA246" s="253" t="n">
        <v>0</v>
      </c>
      <c r="AB246" s="253" t="n">
        <v>0</v>
      </c>
      <c r="AC246" s="253" t="n">
        <v>0</v>
      </c>
      <c r="AD246" s="253" t="n">
        <v>0</v>
      </c>
      <c r="AE246" s="253" t="n">
        <v>0</v>
      </c>
      <c r="AF246" s="253" t="n">
        <v>0</v>
      </c>
      <c r="AG246" s="253" t="n">
        <v>0</v>
      </c>
      <c r="AH246" s="253" t="n">
        <v>0</v>
      </c>
      <c r="AI246" s="253" t="n">
        <v>0</v>
      </c>
      <c r="AJ246" s="253" t="n">
        <v>0</v>
      </c>
      <c r="AK246" s="253" t="n">
        <v>0</v>
      </c>
      <c r="AL246" s="253" t="n">
        <v>0</v>
      </c>
      <c r="AM246" s="253" t="n">
        <v>0</v>
      </c>
      <c r="AN246" s="253" t="n">
        <v>0</v>
      </c>
      <c r="AO246" s="253" t="n">
        <v>0</v>
      </c>
      <c r="AP246" s="253" t="n">
        <v>0</v>
      </c>
      <c r="AQ246" s="253" t="n">
        <v>0</v>
      </c>
      <c r="AR246" s="253" t="n">
        <v>0</v>
      </c>
      <c r="AS246" s="253" t="n">
        <v>0</v>
      </c>
      <c r="AT246" s="253" t="n">
        <v>0</v>
      </c>
      <c r="AU246" s="253" t="n">
        <v>0</v>
      </c>
      <c r="AV246" s="253" t="n">
        <v>0</v>
      </c>
      <c r="AW246" s="253" t="n">
        <v>0</v>
      </c>
      <c r="AX246" s="253" t="n">
        <v>0</v>
      </c>
      <c r="AY246" s="253" t="n">
        <v>-500.022</v>
      </c>
      <c r="AZ246" s="253" t="n">
        <v>-100</v>
      </c>
      <c r="BA246" s="253" t="n">
        <v>-224.168</v>
      </c>
      <c r="BB246" s="253" t="n">
        <v>-824.1900000000001</v>
      </c>
      <c r="BC246" s="253" t="n">
        <v>0</v>
      </c>
      <c r="BD246" s="253" t="n">
        <v>0</v>
      </c>
      <c r="BE246" s="253" t="n">
        <v>0</v>
      </c>
      <c r="BF246" s="253" t="n">
        <v>0</v>
      </c>
      <c r="BG246" s="253" t="n">
        <v>0</v>
      </c>
      <c r="BH246" s="253" t="n">
        <v>-400.101</v>
      </c>
      <c r="BI246" s="253" t="n">
        <v>-645.146</v>
      </c>
      <c r="BJ246" s="253" t="n">
        <v>-2500.1</v>
      </c>
      <c r="BK246" s="253" t="n">
        <v>-2500</v>
      </c>
      <c r="BL246" s="253" t="n">
        <v>-6045.347</v>
      </c>
      <c r="BM246" s="253" t="n">
        <v>-2001.825</v>
      </c>
      <c r="BN246" s="253" t="n">
        <v>-1601.881</v>
      </c>
      <c r="BO246" s="253" t="n">
        <v>-1702.024</v>
      </c>
      <c r="BP246" s="253" t="n">
        <v>-966.301</v>
      </c>
      <c r="BQ246" s="253" t="n">
        <v>-6272.031</v>
      </c>
      <c r="BR246" s="253" t="n">
        <v>-3564.266</v>
      </c>
      <c r="BS246" s="253" t="n">
        <v>-1660.441</v>
      </c>
      <c r="BT246" s="253" t="n">
        <v>-1863.081</v>
      </c>
      <c r="BU246" s="253" t="n">
        <v>-2085.544</v>
      </c>
      <c r="BV246" s="253" t="n">
        <v>-9173.332</v>
      </c>
      <c r="BW246" s="253" t="n">
        <v>-1299.818</v>
      </c>
      <c r="BX246" s="253" t="n">
        <v>-4721.034</v>
      </c>
      <c r="BY246" s="35" t="n"/>
      <c r="BZ246" s="35" t="n"/>
      <c r="CA246" s="254">
        <f>SUM(BW246:BX246)-CA352</f>
        <v>-12571.0616666667</v>
      </c>
      <c r="CB246" s="254">
        <f>-CB352</f>
        <v>-12618.1358906848</v>
      </c>
      <c r="CC246" s="254">
        <f>-CC352</f>
        <v>-15252.7212486958</v>
      </c>
      <c r="CD246" s="254">
        <f>-CD352</f>
        <v>-17848.9967662494</v>
      </c>
      <c r="CE246" s="254">
        <f>-CE352</f>
        <v>-20289.8530081977</v>
      </c>
      <c r="CF246" s="254">
        <f>-CF352</f>
        <v>-22749.5204500661</v>
      </c>
      <c r="CG246" s="19" t="inlineStr">
        <is>
          <t>2026E: 1H actual ($6.0bn) + 2H cash-return plug; 2027E+: plug to the target cash balance (cash-return schedule). $27.1bn authorization left at 30-Jun-2026.</t>
        </is>
      </c>
    </row>
    <row r="247" ht="15" customHeight="1" s="251">
      <c r="B247" s="25" t="inlineStr">
        <is>
          <t>Other financing activities (derived)</t>
        </is>
      </c>
      <c r="C247" s="253" t="n">
        <v>13.217</v>
      </c>
      <c r="D247" s="253" t="n">
        <v>26.248</v>
      </c>
      <c r="E247" s="253" t="n">
        <v>5.22</v>
      </c>
      <c r="F247" s="253" t="n">
        <v>12.683</v>
      </c>
      <c r="G247" s="253" t="n">
        <v>62.214</v>
      </c>
      <c r="H247" s="253" t="n">
        <v>45.784</v>
      </c>
      <c r="I247" s="253" t="n">
        <v>4.543</v>
      </c>
      <c r="J247" s="253" t="n">
        <v>2.201</v>
      </c>
      <c r="K247" s="253" t="n">
        <v>20.368</v>
      </c>
      <c r="L247" s="253" t="n">
        <v>20.492</v>
      </c>
      <c r="M247" s="253" t="n">
        <v>38.602</v>
      </c>
      <c r="N247" s="253" t="n">
        <v>81.663</v>
      </c>
      <c r="O247" s="253" t="n">
        <v>26.005</v>
      </c>
      <c r="P247" s="253" t="n">
        <v>14.275</v>
      </c>
      <c r="Q247" s="253" t="n">
        <v>21.06</v>
      </c>
      <c r="R247" s="253" t="n">
        <v>20.921</v>
      </c>
      <c r="S247" s="253" t="n">
        <v>82.261</v>
      </c>
      <c r="T247" s="253" t="n">
        <v>11.769</v>
      </c>
      <c r="U247" s="253" t="n">
        <v>39.03</v>
      </c>
      <c r="V247" s="253" t="n">
        <v>37.726</v>
      </c>
      <c r="W247" s="253" t="n">
        <v>-25.683</v>
      </c>
      <c r="X247" s="253" t="n">
        <v>62.842</v>
      </c>
      <c r="Y247" s="253" t="n">
        <v>11.371</v>
      </c>
      <c r="Z247" s="253" t="n">
        <v>13.38</v>
      </c>
      <c r="AA247" s="253" t="n">
        <v>12.82</v>
      </c>
      <c r="AB247" s="253" t="n">
        <v>17.08</v>
      </c>
      <c r="AC247" s="253" t="n">
        <v>54.651</v>
      </c>
      <c r="AD247" s="253" t="n">
        <v>0.061</v>
      </c>
      <c r="AE247" s="253" t="n">
        <v>-14.95</v>
      </c>
      <c r="AF247" s="253" t="n">
        <v>-0.247</v>
      </c>
      <c r="AG247" s="253" t="n">
        <v>-16.762</v>
      </c>
      <c r="AH247" s="253" t="n">
        <v>-31.898</v>
      </c>
      <c r="AI247" s="253" t="n">
        <v>-0.321</v>
      </c>
      <c r="AJ247" s="253" t="n">
        <v>-17.524</v>
      </c>
      <c r="AK247" s="253" t="n">
        <v>-0.544</v>
      </c>
      <c r="AL247" s="253" t="n">
        <v>-19.438</v>
      </c>
      <c r="AM247" s="253" t="n">
        <v>-37.827</v>
      </c>
      <c r="AN247" s="253" t="n">
        <v>0</v>
      </c>
      <c r="AO247" s="253" t="n">
        <v>-18.192</v>
      </c>
      <c r="AP247" s="253" t="n">
        <v>0</v>
      </c>
      <c r="AQ247" s="253" t="n">
        <v>-17.942</v>
      </c>
      <c r="AR247" s="253" t="n">
        <v>-36.134</v>
      </c>
      <c r="AS247" s="253" t="n">
        <v>0</v>
      </c>
      <c r="AT247" s="253" t="n">
        <v>-7.559</v>
      </c>
      <c r="AU247" s="253" t="n">
        <v>0</v>
      </c>
      <c r="AV247" s="253" t="n">
        <v>0</v>
      </c>
      <c r="AW247" s="253" t="n">
        <v>-7.559</v>
      </c>
      <c r="AX247" s="253" t="n">
        <v>0</v>
      </c>
      <c r="AY247" s="253" t="n">
        <v>0</v>
      </c>
      <c r="AZ247" s="253" t="n">
        <v>0</v>
      </c>
      <c r="BA247" s="253" t="n">
        <v>0</v>
      </c>
      <c r="BB247" s="253" t="n">
        <v>0</v>
      </c>
      <c r="BC247" s="253" t="n">
        <v>0</v>
      </c>
      <c r="BD247" s="253" t="n">
        <v>0</v>
      </c>
      <c r="BE247" s="253" t="n">
        <v>0</v>
      </c>
      <c r="BF247" s="253" t="n">
        <v>0</v>
      </c>
      <c r="BG247" s="253" t="n">
        <v>0</v>
      </c>
      <c r="BH247" s="253" t="n">
        <v>0</v>
      </c>
      <c r="BI247" s="253" t="n">
        <v>-38.92</v>
      </c>
      <c r="BJ247" s="253" t="n">
        <v>-32.826</v>
      </c>
      <c r="BK247" s="253" t="n">
        <v>-3.7</v>
      </c>
      <c r="BL247" s="253" t="n">
        <v>-75.446</v>
      </c>
      <c r="BM247" s="253" t="n">
        <v>0</v>
      </c>
      <c r="BN247" s="253" t="n">
        <v>-6.25</v>
      </c>
      <c r="BO247" s="253" t="n">
        <v>-9.084</v>
      </c>
      <c r="BP247" s="253" t="n">
        <v>-14.409</v>
      </c>
      <c r="BQ247" s="253" t="n">
        <v>-29.743</v>
      </c>
      <c r="BR247" s="253" t="n">
        <v>-15.652</v>
      </c>
      <c r="BS247" s="253" t="n">
        <v>21.957</v>
      </c>
      <c r="BT247" s="253" t="n">
        <v>55.837</v>
      </c>
      <c r="BU247" s="253" t="n">
        <v>-67.94799999999999</v>
      </c>
      <c r="BV247" s="253" t="n">
        <v>-5.806</v>
      </c>
      <c r="BW247" s="253" t="n">
        <v>19.694</v>
      </c>
      <c r="BX247" s="253" t="n">
        <v>-8.573</v>
      </c>
      <c r="BY247" s="35" t="n"/>
      <c r="BZ247" s="35" t="n"/>
      <c r="CA247" s="254">
        <f>SUM(BW247:BX247)</f>
        <v>11.121</v>
      </c>
      <c r="CB247" s="276" t="n">
        <v>0</v>
      </c>
      <c r="CC247" s="276" t="n">
        <v>0</v>
      </c>
      <c r="CD247" s="276" t="n">
        <v>0</v>
      </c>
      <c r="CE247" s="276" t="n">
        <v>0</v>
      </c>
      <c r="CF247" s="276" t="n">
        <v>0</v>
      </c>
      <c r="CG247" s="19" t="n"/>
    </row>
    <row r="248" ht="15" customHeight="1" s="251">
      <c r="B248" s="16" t="inlineStr">
        <is>
          <t>Net cash provided by (used in) financing activities</t>
        </is>
      </c>
      <c r="C248" s="285" t="n">
        <v>126.181</v>
      </c>
      <c r="D248" s="285" t="n">
        <v>-64.001</v>
      </c>
      <c r="E248" s="285" t="n">
        <v>-176.635</v>
      </c>
      <c r="F248" s="285" t="n">
        <v>-84.64100000000001</v>
      </c>
      <c r="G248" s="285" t="n">
        <v>-100.045</v>
      </c>
      <c r="H248" s="285" t="n">
        <v>261.656</v>
      </c>
      <c r="I248" s="285" t="n">
        <v>5.589</v>
      </c>
      <c r="J248" s="285" t="n">
        <v>321.582</v>
      </c>
      <c r="K248" s="285" t="n">
        <v>48.959</v>
      </c>
      <c r="L248" s="285" t="n">
        <v>45.795</v>
      </c>
      <c r="M248" s="285" t="n">
        <v>59.928</v>
      </c>
      <c r="N248" s="285" t="n">
        <v>476.264</v>
      </c>
      <c r="O248" s="285" t="n">
        <v>458.186</v>
      </c>
      <c r="P248" s="285" t="n">
        <v>28.473</v>
      </c>
      <c r="Q248" s="285" t="n">
        <v>30.662</v>
      </c>
      <c r="R248" s="285" t="n">
        <v>24.391</v>
      </c>
      <c r="S248" s="285" t="n">
        <v>541.712</v>
      </c>
      <c r="T248" s="285" t="n">
        <v>1522.434</v>
      </c>
      <c r="U248" s="285" t="n">
        <v>62.547</v>
      </c>
      <c r="V248" s="285" t="n">
        <v>72.754</v>
      </c>
      <c r="W248" s="285" t="n">
        <v>-17.458</v>
      </c>
      <c r="X248" s="285" t="n">
        <v>1640.277</v>
      </c>
      <c r="Y248" s="285" t="n">
        <v>14.907</v>
      </c>
      <c r="Z248" s="285" t="n">
        <v>17.612</v>
      </c>
      <c r="AA248" s="285" t="n">
        <v>16.639</v>
      </c>
      <c r="AB248" s="285" t="n">
        <v>1042.472</v>
      </c>
      <c r="AC248" s="285" t="n">
        <v>1091.63</v>
      </c>
      <c r="AD248" s="285" t="n">
        <v>24.239</v>
      </c>
      <c r="AE248" s="285" t="n">
        <v>1420.386</v>
      </c>
      <c r="AF248" s="285" t="n">
        <v>34.422</v>
      </c>
      <c r="AG248" s="285" t="n">
        <v>1597.943</v>
      </c>
      <c r="AH248" s="285" t="n">
        <v>3076.99</v>
      </c>
      <c r="AI248" s="285" t="n">
        <v>56.014</v>
      </c>
      <c r="AJ248" s="285" t="n">
        <v>1909.412</v>
      </c>
      <c r="AK248" s="285" t="n">
        <v>29.237</v>
      </c>
      <c r="AL248" s="285" t="n">
        <v>2053.864</v>
      </c>
      <c r="AM248" s="285" t="n">
        <v>4048.527</v>
      </c>
      <c r="AN248" s="285" t="n">
        <v>22.972</v>
      </c>
      <c r="AO248" s="285" t="n">
        <v>2246.9</v>
      </c>
      <c r="AP248" s="285" t="n">
        <v>11.989</v>
      </c>
      <c r="AQ248" s="285" t="n">
        <v>2223.801</v>
      </c>
      <c r="AR248" s="285" t="n">
        <v>4505.662</v>
      </c>
      <c r="AS248" s="285" t="n">
        <v>43.694</v>
      </c>
      <c r="AT248" s="285" t="n">
        <v>1090.965</v>
      </c>
      <c r="AU248" s="285" t="n">
        <v>68.66500000000001</v>
      </c>
      <c r="AV248" s="285" t="n">
        <v>33.987</v>
      </c>
      <c r="AW248" s="285" t="n">
        <v>1237.311</v>
      </c>
      <c r="AX248" s="285" t="n">
        <v>-451.929</v>
      </c>
      <c r="AY248" s="285" t="n">
        <v>-480.273</v>
      </c>
      <c r="AZ248" s="285" t="n">
        <v>-81.55500000000001</v>
      </c>
      <c r="BA248" s="285" t="n">
        <v>-136.019</v>
      </c>
      <c r="BB248" s="285" t="n">
        <v>-1149.776</v>
      </c>
      <c r="BC248" s="285" t="n">
        <v>-686.322</v>
      </c>
      <c r="BD248" s="285" t="n">
        <v>11.25</v>
      </c>
      <c r="BE248" s="285" t="n">
        <v>4.113</v>
      </c>
      <c r="BF248" s="285" t="n">
        <v>6.705</v>
      </c>
      <c r="BG248" s="285" t="n">
        <v>-664.254</v>
      </c>
      <c r="BH248" s="285" t="n">
        <v>-374.073</v>
      </c>
      <c r="BI248" s="285" t="n">
        <v>-649.349</v>
      </c>
      <c r="BJ248" s="285" t="n">
        <v>-2475.108</v>
      </c>
      <c r="BK248" s="285" t="n">
        <v>-2452.273</v>
      </c>
      <c r="BL248" s="285" t="n">
        <v>-5950.803</v>
      </c>
      <c r="BM248" s="285" t="n">
        <v>-2132.944</v>
      </c>
      <c r="BN248" s="285" t="n">
        <v>-1489.381</v>
      </c>
      <c r="BO248" s="285" t="n">
        <v>226.596</v>
      </c>
      <c r="BP248" s="285" t="n">
        <v>-678.698</v>
      </c>
      <c r="BQ248" s="285" t="n">
        <v>-4074.427</v>
      </c>
      <c r="BR248" s="285" t="n">
        <v>-4028.316</v>
      </c>
      <c r="BS248" s="285" t="n">
        <v>-2502.868</v>
      </c>
      <c r="BT248" s="285" t="n">
        <v>-1737.029</v>
      </c>
      <c r="BU248" s="285" t="n">
        <v>-2077.41</v>
      </c>
      <c r="BV248" s="285" t="n">
        <v>-10345.623</v>
      </c>
      <c r="BW248" s="285" t="n">
        <v>-1230.814</v>
      </c>
      <c r="BX248" s="285" t="n">
        <v>-4669.627</v>
      </c>
      <c r="BY248" s="32" t="n"/>
      <c r="BZ248" s="32" t="n"/>
      <c r="CA248" s="279">
        <f>SUM(CA243:CA247)</f>
        <v>-12350.6506666667</v>
      </c>
      <c r="CB248" s="279">
        <f>SUM(CB243:CB247)</f>
        <v>-12368.1358906848</v>
      </c>
      <c r="CC248" s="279">
        <f>SUM(CC243:CC247)</f>
        <v>-15002.7212486958</v>
      </c>
      <c r="CD248" s="279">
        <f>SUM(CD243:CD247)</f>
        <v>-17598.9967662494</v>
      </c>
      <c r="CE248" s="279">
        <f>SUM(CE243:CE247)</f>
        <v>-20039.8530081977</v>
      </c>
      <c r="CF248" s="279">
        <f>SUM(CF243:CF247)</f>
        <v>-22499.5204500661</v>
      </c>
      <c r="CG248" s="153" t="n"/>
    </row>
    <row r="249" ht="15" customHeight="1" s="251">
      <c r="B249" s="25" t="inlineStr">
        <is>
          <t>Effect of exchange-rate changes on cash</t>
        </is>
      </c>
      <c r="C249" s="253" t="n">
        <v>0</v>
      </c>
      <c r="D249" s="253" t="n">
        <v>0</v>
      </c>
      <c r="E249" s="253" t="n">
        <v>0</v>
      </c>
      <c r="F249" s="253" t="n">
        <v>0</v>
      </c>
      <c r="G249" s="253" t="n">
        <v>0</v>
      </c>
      <c r="H249" s="253" t="n">
        <v>0</v>
      </c>
      <c r="I249" s="253" t="n">
        <v>-0.197</v>
      </c>
      <c r="J249" s="253" t="n">
        <v>-2.336</v>
      </c>
      <c r="K249" s="253" t="n">
        <v>-2.59</v>
      </c>
      <c r="L249" s="253" t="n">
        <v>1.559</v>
      </c>
      <c r="M249" s="253" t="n">
        <v>-0.08599999999999999</v>
      </c>
      <c r="N249" s="253" t="n">
        <v>-3.453</v>
      </c>
      <c r="O249" s="253" t="n">
        <v>0.301</v>
      </c>
      <c r="P249" s="253" t="n">
        <v>1.25</v>
      </c>
      <c r="Q249" s="253" t="n">
        <v>-3.839</v>
      </c>
      <c r="R249" s="253" t="n">
        <v>-4.398</v>
      </c>
      <c r="S249" s="253" t="n">
        <v>-6.686</v>
      </c>
      <c r="T249" s="253" t="n">
        <v>-11.061</v>
      </c>
      <c r="U249" s="253" t="n">
        <v>6.221</v>
      </c>
      <c r="V249" s="253" t="n">
        <v>-7.741</v>
      </c>
      <c r="W249" s="253" t="n">
        <v>-3.343</v>
      </c>
      <c r="X249" s="253" t="n">
        <v>-15.924</v>
      </c>
      <c r="Y249" s="253" t="n">
        <v>5.334</v>
      </c>
      <c r="Z249" s="253" t="n">
        <v>-2.742</v>
      </c>
      <c r="AA249" s="253" t="n">
        <v>-0.441</v>
      </c>
      <c r="AB249" s="253" t="n">
        <v>-11.316</v>
      </c>
      <c r="AC249" s="253" t="n">
        <v>-9.164999999999999</v>
      </c>
      <c r="AD249" s="253" t="n">
        <v>5.455</v>
      </c>
      <c r="AE249" s="253" t="n">
        <v>11.527</v>
      </c>
      <c r="AF249" s="253" t="n">
        <v>10.685</v>
      </c>
      <c r="AG249" s="253" t="n">
        <v>2.181</v>
      </c>
      <c r="AH249" s="253" t="n">
        <v>29.848</v>
      </c>
      <c r="AI249" s="253" t="n">
        <v>7.177</v>
      </c>
      <c r="AJ249" s="253" t="n">
        <v>-36.34</v>
      </c>
      <c r="AK249" s="253" t="n">
        <v>-5.562</v>
      </c>
      <c r="AL249" s="253" t="n">
        <v>-4.957</v>
      </c>
      <c r="AM249" s="253" t="n">
        <v>-39.682</v>
      </c>
      <c r="AN249" s="253" t="n">
        <v>-5.014</v>
      </c>
      <c r="AO249" s="253" t="n">
        <v>4.998</v>
      </c>
      <c r="AP249" s="253" t="n">
        <v>-29.325</v>
      </c>
      <c r="AQ249" s="253" t="n">
        <v>29.81</v>
      </c>
      <c r="AR249" s="253" t="n">
        <v>0.469</v>
      </c>
      <c r="AS249" s="253" t="n">
        <v>-70.902</v>
      </c>
      <c r="AT249" s="253" t="n">
        <v>11.819</v>
      </c>
      <c r="AU249" s="253" t="n">
        <v>28.459</v>
      </c>
      <c r="AV249" s="253" t="n">
        <v>66.67400000000001</v>
      </c>
      <c r="AW249" s="253" t="n">
        <v>36.05</v>
      </c>
      <c r="AX249" s="253" t="n">
        <v>-42.138</v>
      </c>
      <c r="AY249" s="253" t="n">
        <v>23.477</v>
      </c>
      <c r="AZ249" s="253" t="n">
        <v>-63.843</v>
      </c>
      <c r="BA249" s="253" t="n">
        <v>-4.236</v>
      </c>
      <c r="BB249" s="253" t="n">
        <v>-86.73999999999999</v>
      </c>
      <c r="BC249" s="253" t="n">
        <v>-11.448</v>
      </c>
      <c r="BD249" s="253" t="n">
        <v>-145.198</v>
      </c>
      <c r="BE249" s="253" t="n">
        <v>-180.058</v>
      </c>
      <c r="BF249" s="253" t="n">
        <v>166.564</v>
      </c>
      <c r="BG249" s="253" t="n">
        <v>-170.14</v>
      </c>
      <c r="BH249" s="253" t="n">
        <v>26.423</v>
      </c>
      <c r="BI249" s="253" t="n">
        <v>39.626</v>
      </c>
      <c r="BJ249" s="253" t="n">
        <v>-122.707</v>
      </c>
      <c r="BK249" s="253" t="n">
        <v>139.342</v>
      </c>
      <c r="BL249" s="253" t="n">
        <v>82.684</v>
      </c>
      <c r="BM249" s="253" t="n">
        <v>-95.79000000000001</v>
      </c>
      <c r="BN249" s="253" t="n">
        <v>-122.723</v>
      </c>
      <c r="BO249" s="253" t="n">
        <v>153.452</v>
      </c>
      <c r="BP249" s="253" t="n">
        <v>-351.27</v>
      </c>
      <c r="BQ249" s="253" t="n">
        <v>-416.331</v>
      </c>
      <c r="BR249" s="253" t="n">
        <v>150.146</v>
      </c>
      <c r="BS249" s="253" t="n">
        <v>287.471</v>
      </c>
      <c r="BT249" s="253" t="n">
        <v>-21.721</v>
      </c>
      <c r="BU249" s="253" t="n">
        <v>-29.377</v>
      </c>
      <c r="BV249" s="253" t="n">
        <v>386.519</v>
      </c>
      <c r="BW249" s="253" t="n">
        <v>-49.838</v>
      </c>
      <c r="BX249" s="253" t="n">
        <v>-19.628</v>
      </c>
      <c r="BY249" s="35" t="n"/>
      <c r="BZ249" s="35" t="n"/>
      <c r="CA249" s="254">
        <f>SUM(BW249:BX249)</f>
        <v>-69.466</v>
      </c>
      <c r="CB249" s="276" t="n">
        <v>0</v>
      </c>
      <c r="CC249" s="276" t="n">
        <v>0</v>
      </c>
      <c r="CD249" s="276" t="n">
        <v>0</v>
      </c>
      <c r="CE249" s="276" t="n">
        <v>0</v>
      </c>
      <c r="CF249" s="276" t="n">
        <v>0</v>
      </c>
      <c r="CG249" s="19" t="n"/>
    </row>
    <row r="250" ht="15" customHeight="1" s="251">
      <c r="B250" s="25" t="inlineStr">
        <is>
          <t>Net change in cash (cash, cash equivalents and restricted cash from 2018)</t>
        </is>
      </c>
      <c r="C250" s="253" t="n">
        <v>188.174</v>
      </c>
      <c r="D250" s="253" t="n">
        <v>-222.991</v>
      </c>
      <c r="E250" s="253" t="n">
        <v>-37.558</v>
      </c>
      <c r="F250" s="253" t="n">
        <v>-5.657</v>
      </c>
      <c r="G250" s="253" t="n">
        <v>60.275</v>
      </c>
      <c r="H250" s="253" t="n">
        <v>313.554</v>
      </c>
      <c r="I250" s="253" t="n">
        <v>-217.762</v>
      </c>
      <c r="J250" s="253" t="n">
        <v>127.76</v>
      </c>
      <c r="K250" s="253" t="n">
        <v>-47.373</v>
      </c>
      <c r="L250" s="253" t="n">
        <v>68.378</v>
      </c>
      <c r="M250" s="253" t="n">
        <v>165.909</v>
      </c>
      <c r="N250" s="253" t="n">
        <v>314.674</v>
      </c>
      <c r="O250" s="253" t="n">
        <v>552.485</v>
      </c>
      <c r="P250" s="253" t="n">
        <v>56.794</v>
      </c>
      <c r="Q250" s="253" t="n">
        <v>-31.027</v>
      </c>
      <c r="R250" s="253" t="n">
        <v>-69.60899999999999</v>
      </c>
      <c r="S250" s="253" t="n">
        <v>508.643</v>
      </c>
      <c r="T250" s="253" t="n">
        <v>1341.169</v>
      </c>
      <c r="U250" s="253" t="n">
        <v>-160.905</v>
      </c>
      <c r="V250" s="253" t="n">
        <v>-178.435</v>
      </c>
      <c r="W250" s="253" t="n">
        <v>-306.107</v>
      </c>
      <c r="X250" s="253" t="n">
        <v>695.722</v>
      </c>
      <c r="Y250" s="253" t="n">
        <v>-204.086</v>
      </c>
      <c r="Z250" s="253" t="n">
        <v>-214.319</v>
      </c>
      <c r="AA250" s="253" t="n">
        <v>-421.767</v>
      </c>
      <c r="AB250" s="253" t="n">
        <v>498.418</v>
      </c>
      <c r="AC250" s="253" t="n">
        <v>-341.754</v>
      </c>
      <c r="AD250" s="253" t="n">
        <v>-389.752</v>
      </c>
      <c r="AE250" s="253" t="n">
        <v>840.953</v>
      </c>
      <c r="AF250" s="253" t="n">
        <v>-172.308</v>
      </c>
      <c r="AG250" s="253" t="n">
        <v>1076.326</v>
      </c>
      <c r="AH250" s="253" t="n">
        <v>1355.219</v>
      </c>
      <c r="AI250" s="253" t="n">
        <v>-223.318</v>
      </c>
      <c r="AJ250" s="253" t="n">
        <v>1314.517</v>
      </c>
      <c r="AK250" s="253" t="n">
        <v>-835.4299999999999</v>
      </c>
      <c r="AL250" s="253" t="n">
        <v>733.477</v>
      </c>
      <c r="AM250" s="253" t="n">
        <v>989.246</v>
      </c>
      <c r="AN250" s="253" t="n">
        <v>-441.944</v>
      </c>
      <c r="AO250" s="253" t="n">
        <v>1658.108</v>
      </c>
      <c r="AP250" s="253" t="n">
        <v>-568.484</v>
      </c>
      <c r="AQ250" s="253" t="n">
        <v>584.0650000000001</v>
      </c>
      <c r="AR250" s="253" t="n">
        <v>1231.745</v>
      </c>
      <c r="AS250" s="253" t="n">
        <v>134.401</v>
      </c>
      <c r="AT250" s="253" t="n">
        <v>2001.859</v>
      </c>
      <c r="AU250" s="253" t="n">
        <v>1242.234</v>
      </c>
      <c r="AV250" s="253" t="n">
        <v>-183.41</v>
      </c>
      <c r="AW250" s="253" t="n">
        <v>3195.084</v>
      </c>
      <c r="AX250" s="253" t="n">
        <v>197.583</v>
      </c>
      <c r="AY250" s="253" t="n">
        <v>-631.835</v>
      </c>
      <c r="AZ250" s="253" t="n">
        <v>-251.65</v>
      </c>
      <c r="BA250" s="253" t="n">
        <v>-1497.857</v>
      </c>
      <c r="BB250" s="253" t="n">
        <v>-2183.759</v>
      </c>
      <c r="BC250" s="253" t="n">
        <v>-20.61</v>
      </c>
      <c r="BD250" s="253" t="n">
        <v>-190.092</v>
      </c>
      <c r="BE250" s="253" t="n">
        <v>295.905</v>
      </c>
      <c r="BF250" s="253" t="n">
        <v>-969.732</v>
      </c>
      <c r="BG250" s="253" t="n">
        <v>-884.529</v>
      </c>
      <c r="BH250" s="253" t="n">
        <v>1567.437</v>
      </c>
      <c r="BI250" s="253" t="n">
        <v>928.246</v>
      </c>
      <c r="BJ250" s="253" t="n">
        <v>-309.429</v>
      </c>
      <c r="BK250" s="253" t="n">
        <v>-238.321</v>
      </c>
      <c r="BL250" s="253" t="n">
        <v>1947.933</v>
      </c>
      <c r="BM250" s="253" t="n">
        <v>-91.926</v>
      </c>
      <c r="BN250" s="253" t="n">
        <v>-399.544</v>
      </c>
      <c r="BO250" s="253" t="n">
        <v>832.04</v>
      </c>
      <c r="BP250" s="253" t="n">
        <v>348.252</v>
      </c>
      <c r="BQ250" s="253" t="n">
        <v>688.822</v>
      </c>
      <c r="BR250" s="253" t="n">
        <v>-603.309</v>
      </c>
      <c r="BS250" s="253" t="n">
        <v>976.545</v>
      </c>
      <c r="BT250" s="253" t="n">
        <v>1110.295</v>
      </c>
      <c r="BU250" s="253" t="n">
        <v>-251.674</v>
      </c>
      <c r="BV250" s="253" t="n">
        <v>1231.857</v>
      </c>
      <c r="BW250" s="253" t="n">
        <v>3227.679</v>
      </c>
      <c r="BX250" s="253" t="n">
        <v>-3164.087</v>
      </c>
      <c r="BY250" s="35" t="n"/>
      <c r="BZ250" s="35" t="n"/>
      <c r="CA250" s="254">
        <f>CA236+CA242+CA248+CA249</f>
        <v>-505.860666666667</v>
      </c>
      <c r="CB250" s="254">
        <f>CB236+CB242+CB248+CB249</f>
        <v>896.552878391563</v>
      </c>
      <c r="CC250" s="254">
        <f>CC236+CC242+CC248+CC249</f>
        <v>898.232474413697</v>
      </c>
      <c r="CD250" s="254">
        <f>CD236+CD242+CD248+CD249</f>
        <v>882.487975129938</v>
      </c>
      <c r="CE250" s="254">
        <f>CE236+CE242+CE248+CE249</f>
        <v>871.090146941249</v>
      </c>
      <c r="CF250" s="254">
        <f>CF236+CF242+CF248+CF249</f>
        <v>844.303854392718</v>
      </c>
      <c r="CG250" s="19" t="n"/>
    </row>
    <row r="251" ht="15" customHeight="1" s="251">
      <c r="B251" s="25" t="inlineStr">
        <is>
          <t>Cash — beginning of period</t>
        </is>
      </c>
      <c r="C251" s="253" t="n">
        <v>212.256</v>
      </c>
      <c r="D251" s="253" t="n">
        <v>400.43</v>
      </c>
      <c r="E251" s="253" t="n">
        <v>177.439</v>
      </c>
      <c r="F251" s="253" t="n">
        <v>139.881</v>
      </c>
      <c r="G251" s="253" t="n">
        <v>134.224</v>
      </c>
      <c r="H251" s="253" t="n">
        <v>194.499</v>
      </c>
      <c r="I251" s="253" t="n">
        <v>508.053</v>
      </c>
      <c r="J251" s="253" t="n">
        <v>290.291</v>
      </c>
      <c r="K251" s="253" t="n">
        <v>418.051</v>
      </c>
      <c r="L251" s="253" t="n">
        <v>370.678</v>
      </c>
      <c r="M251" s="253" t="n">
        <v>439.056</v>
      </c>
      <c r="N251" s="253" t="n">
        <v>290.291</v>
      </c>
      <c r="O251" s="253" t="n">
        <v>604.965</v>
      </c>
      <c r="P251" s="253" t="n">
        <v>1157.45</v>
      </c>
      <c r="Q251" s="253" t="n">
        <v>1214.244</v>
      </c>
      <c r="R251" s="253" t="n">
        <v>1183.217</v>
      </c>
      <c r="S251" s="253" t="n">
        <v>604.965</v>
      </c>
      <c r="T251" s="253" t="n">
        <v>1113.608</v>
      </c>
      <c r="U251" s="253" t="n">
        <v>2454.777</v>
      </c>
      <c r="V251" s="253" t="n">
        <v>2293.872</v>
      </c>
      <c r="W251" s="253" t="n">
        <v>2115.437</v>
      </c>
      <c r="X251" s="253" t="n">
        <v>1113.608</v>
      </c>
      <c r="Y251" s="253" t="n">
        <v>1809.33</v>
      </c>
      <c r="Z251" s="253" t="n">
        <v>1605.244</v>
      </c>
      <c r="AA251" s="253" t="n">
        <v>1390.925</v>
      </c>
      <c r="AB251" s="253" t="n">
        <v>969.158</v>
      </c>
      <c r="AC251" s="253" t="n">
        <v>1809.33</v>
      </c>
      <c r="AD251" s="253" t="n">
        <v>1467.576</v>
      </c>
      <c r="AE251" s="253" t="n">
        <v>1077.824</v>
      </c>
      <c r="AF251" s="253" t="n">
        <v>1918.777</v>
      </c>
      <c r="AG251" s="253" t="n">
        <v>1746.469</v>
      </c>
      <c r="AH251" s="253" t="n">
        <v>1467.576</v>
      </c>
      <c r="AI251" s="253" t="n">
        <v>2822.795</v>
      </c>
      <c r="AJ251" s="253" t="n">
        <v>2599.477</v>
      </c>
      <c r="AK251" s="253" t="n">
        <v>3913.994</v>
      </c>
      <c r="AL251" s="253" t="n">
        <v>3078.564</v>
      </c>
      <c r="AM251" s="253" t="n">
        <v>2822.795</v>
      </c>
      <c r="AN251" s="253" t="n">
        <v>3812.041</v>
      </c>
      <c r="AO251" s="253" t="n">
        <v>3370.097</v>
      </c>
      <c r="AP251" s="253" t="n">
        <v>5028.205</v>
      </c>
      <c r="AQ251" s="253" t="n">
        <v>4459.721</v>
      </c>
      <c r="AR251" s="253" t="n">
        <v>3812.041</v>
      </c>
      <c r="AS251" s="253" t="n">
        <v>5043.786</v>
      </c>
      <c r="AT251" s="253" t="n">
        <v>5178.187</v>
      </c>
      <c r="AU251" s="253" t="n">
        <v>7180.046</v>
      </c>
      <c r="AV251" s="253" t="n">
        <v>8422.280000000001</v>
      </c>
      <c r="AW251" s="253" t="n">
        <v>5043.786</v>
      </c>
      <c r="AX251" s="253" t="n">
        <v>8238.870000000001</v>
      </c>
      <c r="AY251" s="253" t="n">
        <v>8436.453</v>
      </c>
      <c r="AZ251" s="253" t="n">
        <v>7804.618</v>
      </c>
      <c r="BA251" s="253" t="n">
        <v>7552.968</v>
      </c>
      <c r="BB251" s="253" t="n">
        <v>8238.870000000001</v>
      </c>
      <c r="BC251" s="253" t="n">
        <v>6055.111</v>
      </c>
      <c r="BD251" s="253" t="n">
        <v>6034.501</v>
      </c>
      <c r="BE251" s="253" t="n">
        <v>5844.409</v>
      </c>
      <c r="BF251" s="253" t="n">
        <v>6140.314</v>
      </c>
      <c r="BG251" s="253" t="n">
        <v>6055.111</v>
      </c>
      <c r="BH251" s="253" t="n">
        <v>5170.582</v>
      </c>
      <c r="BI251" s="253" t="n">
        <v>6738.019</v>
      </c>
      <c r="BJ251" s="253" t="n">
        <v>7666.265</v>
      </c>
      <c r="BK251" s="253" t="n">
        <v>7356.836</v>
      </c>
      <c r="BL251" s="253" t="n">
        <v>5170.582</v>
      </c>
      <c r="BM251" s="253" t="n">
        <v>7118.515</v>
      </c>
      <c r="BN251" s="253" t="n">
        <v>7026.589</v>
      </c>
      <c r="BO251" s="253" t="n">
        <v>6627.045</v>
      </c>
      <c r="BP251" s="253" t="n">
        <v>7459.085</v>
      </c>
      <c r="BQ251" s="253" t="n">
        <v>7118.515</v>
      </c>
      <c r="BR251" s="253" t="n">
        <v>7807.337</v>
      </c>
      <c r="BS251" s="253" t="n">
        <v>7204.028</v>
      </c>
      <c r="BT251" s="253" t="n">
        <v>8180.573</v>
      </c>
      <c r="BU251" s="253" t="n">
        <v>9290.868</v>
      </c>
      <c r="BV251" s="253" t="n">
        <v>7807.337</v>
      </c>
      <c r="BW251" s="253" t="n">
        <v>9039.194</v>
      </c>
      <c r="BX251" s="253" t="n">
        <v>12266.873</v>
      </c>
      <c r="BY251" s="35" t="n"/>
      <c r="BZ251" s="35" t="n"/>
      <c r="CA251" s="254">
        <f>BV252</f>
        <v>9039.194</v>
      </c>
      <c r="CB251" s="254">
        <f>CA252</f>
        <v>8533.33333333333</v>
      </c>
      <c r="CC251" s="254">
        <f>CB252</f>
        <v>9429.8862117249</v>
      </c>
      <c r="CD251" s="254">
        <f>CC252</f>
        <v>10328.1186861386</v>
      </c>
      <c r="CE251" s="254">
        <f>CD252</f>
        <v>11210.6066612685</v>
      </c>
      <c r="CF251" s="254">
        <f>CE252</f>
        <v>12081.6968082098</v>
      </c>
      <c r="CG251" s="19" t="n"/>
    </row>
    <row r="252" ht="15" customHeight="1" s="251">
      <c r="B252" s="16" t="inlineStr">
        <is>
          <t>Cash — end of period</t>
        </is>
      </c>
      <c r="C252" s="285" t="n">
        <v>400.43</v>
      </c>
      <c r="D252" s="285" t="n">
        <v>177.439</v>
      </c>
      <c r="E252" s="285" t="n">
        <v>139.881</v>
      </c>
      <c r="F252" s="285" t="n">
        <v>134.224</v>
      </c>
      <c r="G252" s="285" t="n">
        <v>194.499</v>
      </c>
      <c r="H252" s="285" t="n">
        <v>508.053</v>
      </c>
      <c r="I252" s="285" t="n">
        <v>290.291</v>
      </c>
      <c r="J252" s="285" t="n">
        <v>418.051</v>
      </c>
      <c r="K252" s="285" t="n">
        <v>370.678</v>
      </c>
      <c r="L252" s="285" t="n">
        <v>439.056</v>
      </c>
      <c r="M252" s="285" t="n">
        <v>604.965</v>
      </c>
      <c r="N252" s="285" t="n">
        <v>604.965</v>
      </c>
      <c r="O252" s="285" t="n">
        <v>1157.45</v>
      </c>
      <c r="P252" s="285" t="n">
        <v>1214.244</v>
      </c>
      <c r="Q252" s="285" t="n">
        <v>1183.217</v>
      </c>
      <c r="R252" s="285" t="n">
        <v>1113.608</v>
      </c>
      <c r="S252" s="285" t="n">
        <v>1113.608</v>
      </c>
      <c r="T252" s="285" t="n">
        <v>2454.777</v>
      </c>
      <c r="U252" s="285" t="n">
        <v>2293.872</v>
      </c>
      <c r="V252" s="285" t="n">
        <v>2115.437</v>
      </c>
      <c r="W252" s="285" t="n">
        <v>1809.33</v>
      </c>
      <c r="X252" s="285" t="n">
        <v>1809.33</v>
      </c>
      <c r="Y252" s="285" t="n">
        <v>1605.244</v>
      </c>
      <c r="Z252" s="285" t="n">
        <v>1390.925</v>
      </c>
      <c r="AA252" s="285" t="n">
        <v>969.158</v>
      </c>
      <c r="AB252" s="285" t="n">
        <v>1467.576</v>
      </c>
      <c r="AC252" s="285" t="n">
        <v>1467.576</v>
      </c>
      <c r="AD252" s="285" t="n">
        <v>1077.824</v>
      </c>
      <c r="AE252" s="285" t="n">
        <v>1918.777</v>
      </c>
      <c r="AF252" s="285" t="n">
        <v>1746.469</v>
      </c>
      <c r="AG252" s="285" t="n">
        <v>2822.795</v>
      </c>
      <c r="AH252" s="285" t="n">
        <v>2822.795</v>
      </c>
      <c r="AI252" s="285" t="n">
        <v>2599.477</v>
      </c>
      <c r="AJ252" s="285" t="n">
        <v>3913.994</v>
      </c>
      <c r="AK252" s="285" t="n">
        <v>3078.564</v>
      </c>
      <c r="AL252" s="285" t="n">
        <v>3812.041</v>
      </c>
      <c r="AM252" s="285" t="n">
        <v>3812.041</v>
      </c>
      <c r="AN252" s="285" t="n">
        <v>3370.097</v>
      </c>
      <c r="AO252" s="285" t="n">
        <v>5028.205</v>
      </c>
      <c r="AP252" s="285" t="n">
        <v>4459.721</v>
      </c>
      <c r="AQ252" s="285" t="n">
        <v>5043.786</v>
      </c>
      <c r="AR252" s="285" t="n">
        <v>5043.786</v>
      </c>
      <c r="AS252" s="285" t="n">
        <v>5178.187</v>
      </c>
      <c r="AT252" s="285" t="n">
        <v>7180.046</v>
      </c>
      <c r="AU252" s="285" t="n">
        <v>8422.280000000001</v>
      </c>
      <c r="AV252" s="285" t="n">
        <v>8238.870000000001</v>
      </c>
      <c r="AW252" s="285" t="n">
        <v>8238.870000000001</v>
      </c>
      <c r="AX252" s="285" t="n">
        <v>8436.453</v>
      </c>
      <c r="AY252" s="285" t="n">
        <v>7804.618</v>
      </c>
      <c r="AZ252" s="285" t="n">
        <v>7552.968</v>
      </c>
      <c r="BA252" s="285" t="n">
        <v>6055.111</v>
      </c>
      <c r="BB252" s="285" t="n">
        <v>6055.111</v>
      </c>
      <c r="BC252" s="285" t="n">
        <v>6034.501</v>
      </c>
      <c r="BD252" s="285" t="n">
        <v>5844.409</v>
      </c>
      <c r="BE252" s="285" t="n">
        <v>6140.314</v>
      </c>
      <c r="BF252" s="285" t="n">
        <v>5170.582</v>
      </c>
      <c r="BG252" s="285" t="n">
        <v>5170.582</v>
      </c>
      <c r="BH252" s="285" t="n">
        <v>6738.019</v>
      </c>
      <c r="BI252" s="285" t="n">
        <v>7666.265</v>
      </c>
      <c r="BJ252" s="285" t="n">
        <v>7356.836</v>
      </c>
      <c r="BK252" s="285" t="n">
        <v>7118.515</v>
      </c>
      <c r="BL252" s="285" t="n">
        <v>7118.515</v>
      </c>
      <c r="BM252" s="285" t="n">
        <v>7026.589</v>
      </c>
      <c r="BN252" s="285" t="n">
        <v>6627.045</v>
      </c>
      <c r="BO252" s="285" t="n">
        <v>7459.085</v>
      </c>
      <c r="BP252" s="285" t="n">
        <v>7807.337</v>
      </c>
      <c r="BQ252" s="285" t="n">
        <v>7807.337</v>
      </c>
      <c r="BR252" s="285" t="n">
        <v>7204.028</v>
      </c>
      <c r="BS252" s="285" t="n">
        <v>8180.573</v>
      </c>
      <c r="BT252" s="285" t="n">
        <v>9290.868</v>
      </c>
      <c r="BU252" s="285" t="n">
        <v>9039.194</v>
      </c>
      <c r="BV252" s="285" t="n">
        <v>9039.194</v>
      </c>
      <c r="BW252" s="285" t="n">
        <v>12266.873</v>
      </c>
      <c r="BX252" s="285" t="n">
        <v>9102.786</v>
      </c>
      <c r="BY252" s="32" t="n"/>
      <c r="BZ252" s="32" t="n"/>
      <c r="CA252" s="279">
        <f>CA251+CA250</f>
        <v>8533.33333333333</v>
      </c>
      <c r="CB252" s="279">
        <f>CB251+CB250</f>
        <v>9429.8862117249</v>
      </c>
      <c r="CC252" s="279">
        <f>CC251+CC250</f>
        <v>10328.1186861386</v>
      </c>
      <c r="CD252" s="279">
        <f>CD251+CD250</f>
        <v>11210.6066612685</v>
      </c>
      <c r="CE252" s="279">
        <f>CE251+CE250</f>
        <v>12081.6968082098</v>
      </c>
      <c r="CF252" s="279">
        <f>CF251+CF250</f>
        <v>12926.0006626025</v>
      </c>
      <c r="CG252" s="153" t="n"/>
    </row>
    <row r="253" ht="15" customHeight="1" s="251">
      <c r="B253" s="57" t="inlineStr">
        <is>
          <t xml:space="preserve">  Check: beginning cash + CFO + CFI + CFF + FX = ending cash (should be 0)</t>
        </is>
      </c>
      <c r="C253" s="264">
        <f>IF(AND(ISNUMBER(C251),ISNUMBER(C236)),IF(ABS(C251+C236+C242+C248+N(C249)-C252)&lt;=0.15,0,ROUND(C251+C236+C242+C248+N(C249)-C252,1)),"")</f>
        <v>0</v>
      </c>
      <c r="D253" s="264">
        <f>IF(AND(ISNUMBER(D251),ISNUMBER(D236)),IF(ABS(D251+D236+D242+D248+N(D249)-D252)&lt;=0.15,0,ROUND(D251+D236+D242+D248+N(D249)-D252,1)),"")</f>
        <v>0</v>
      </c>
      <c r="E253" s="264">
        <f>IF(AND(ISNUMBER(E251),ISNUMBER(E236)),IF(ABS(E251+E236+E242+E248+N(E249)-E252)&lt;=0.15,0,ROUND(E251+E236+E242+E248+N(E249)-E252,1)),"")</f>
        <v>0</v>
      </c>
      <c r="F253" s="264">
        <f>IF(AND(ISNUMBER(F251),ISNUMBER(F236)),IF(ABS(F251+F236+F242+F248+N(F249)-F252)&lt;=0.15,0,ROUND(F251+F236+F242+F248+N(F249)-F252,1)),"")</f>
        <v>0</v>
      </c>
      <c r="G253" s="264">
        <f>IF(AND(ISNUMBER(G251),ISNUMBER(G236)),IF(ABS(G251+G236+G242+G248+N(G249)-G252)&lt;=0.15,0,ROUND(G251+G236+G242+G248+N(G249)-G252,1)),"")</f>
        <v>0</v>
      </c>
      <c r="H253" s="264">
        <f>IF(AND(ISNUMBER(H251),ISNUMBER(H236)),IF(ABS(H251+H236+H242+H248+N(H249)-H252)&lt;=0.15,0,ROUND(H251+H236+H242+H248+N(H249)-H252,1)),"")</f>
        <v>0</v>
      </c>
      <c r="I253" s="264">
        <f>IF(AND(ISNUMBER(I251),ISNUMBER(I236)),IF(ABS(I251+I236+I242+I248+N(I249)-I252)&lt;=0.15,0,ROUND(I251+I236+I242+I248+N(I249)-I252,1)),"")</f>
        <v>0</v>
      </c>
      <c r="J253" s="264">
        <f>IF(AND(ISNUMBER(J251),ISNUMBER(J236)),IF(ABS(J251+J236+J242+J248+N(J249)-J252)&lt;=0.15,0,ROUND(J251+J236+J242+J248+N(J249)-J252,1)),"")</f>
        <v>0</v>
      </c>
      <c r="K253" s="264">
        <f>IF(AND(ISNUMBER(K251),ISNUMBER(K236)),IF(ABS(K251+K236+K242+K248+N(K249)-K252)&lt;=0.15,0,ROUND(K251+K236+K242+K248+N(K249)-K252,1)),"")</f>
        <v>0</v>
      </c>
      <c r="L253" s="264">
        <f>IF(AND(ISNUMBER(L251),ISNUMBER(L236)),IF(ABS(L251+L236+L242+L248+N(L249)-L252)&lt;=0.15,0,ROUND(L251+L236+L242+L248+N(L249)-L252,1)),"")</f>
        <v>0</v>
      </c>
      <c r="M253" s="264">
        <f>IF(AND(ISNUMBER(M251),ISNUMBER(M236)),IF(ABS(M251+M236+M242+M248+N(M249)-M252)&lt;=0.15,0,ROUND(M251+M236+M242+M248+N(M249)-M252,1)),"")</f>
        <v>0</v>
      </c>
      <c r="N253" s="264">
        <f>IF(AND(ISNUMBER(N251),ISNUMBER(N236)),IF(ABS(N251+N236+N242+N248+N(N249)-N252)&lt;=0.15,0,ROUND(N251+N236+N242+N248+N(N249)-N252,1)),"")</f>
        <v>0</v>
      </c>
      <c r="O253" s="264">
        <f>IF(AND(ISNUMBER(O251),ISNUMBER(O236)),IF(ABS(O251+O236+O242+O248+N(O249)-O252)&lt;=0.15,0,ROUND(O251+O236+O242+O248+N(O249)-O252,1)),"")</f>
        <v>0</v>
      </c>
      <c r="P253" s="264">
        <f>IF(AND(ISNUMBER(P251),ISNUMBER(P236)),IF(ABS(P251+P236+P242+P248+N(P249)-P252)&lt;=0.15,0,ROUND(P251+P236+P242+P248+N(P249)-P252,1)),"")</f>
        <v>0</v>
      </c>
      <c r="Q253" s="264">
        <f>IF(AND(ISNUMBER(Q251),ISNUMBER(Q236)),IF(ABS(Q251+Q236+Q242+Q248+N(Q249)-Q252)&lt;=0.15,0,ROUND(Q251+Q236+Q242+Q248+N(Q249)-Q252,1)),"")</f>
        <v>0</v>
      </c>
      <c r="R253" s="264">
        <f>IF(AND(ISNUMBER(R251),ISNUMBER(R236)),IF(ABS(R251+R236+R242+R248+N(R249)-R252)&lt;=0.15,0,ROUND(R251+R236+R242+R248+N(R249)-R252,1)),"")</f>
        <v>0</v>
      </c>
      <c r="S253" s="264">
        <f>IF(AND(ISNUMBER(S251),ISNUMBER(S236)),IF(ABS(S251+S236+S242+S248+N(S249)-S252)&lt;=0.15,0,ROUND(S251+S236+S242+S248+N(S249)-S252,1)),"")</f>
        <v>0</v>
      </c>
      <c r="T253" s="264">
        <f>IF(AND(ISNUMBER(T251),ISNUMBER(T236)),IF(ABS(T251+T236+T242+T248+N(T249)-T252)&lt;=0.15,0,ROUND(T251+T236+T242+T248+N(T249)-T252,1)),"")</f>
        <v>0</v>
      </c>
      <c r="U253" s="264">
        <f>IF(AND(ISNUMBER(U251),ISNUMBER(U236)),IF(ABS(U251+U236+U242+U248+N(U249)-U252)&lt;=0.15,0,ROUND(U251+U236+U242+U248+N(U249)-U252,1)),"")</f>
        <v>0</v>
      </c>
      <c r="V253" s="264">
        <f>IF(AND(ISNUMBER(V251),ISNUMBER(V236)),IF(ABS(V251+V236+V242+V248+N(V249)-V252)&lt;=0.15,0,ROUND(V251+V236+V242+V248+N(V249)-V252,1)),"")</f>
        <v>0</v>
      </c>
      <c r="W253" s="264">
        <f>IF(AND(ISNUMBER(W251),ISNUMBER(W236)),IF(ABS(W251+W236+W242+W248+N(W249)-W252)&lt;=0.15,0,ROUND(W251+W236+W242+W248+N(W249)-W252,1)),"")</f>
        <v>0</v>
      </c>
      <c r="X253" s="264">
        <f>IF(AND(ISNUMBER(X251),ISNUMBER(X236)),IF(ABS(X251+X236+X242+X248+N(X249)-X252)&lt;=0.15,0,ROUND(X251+X236+X242+X248+N(X249)-X252,1)),"")</f>
        <v>0</v>
      </c>
      <c r="Y253" s="264">
        <f>IF(AND(ISNUMBER(Y251),ISNUMBER(Y236)),IF(ABS(Y251+Y236+Y242+Y248+N(Y249)-Y252)&lt;=0.15,0,ROUND(Y251+Y236+Y242+Y248+N(Y249)-Y252,1)),"")</f>
        <v>0</v>
      </c>
      <c r="Z253" s="264">
        <f>IF(AND(ISNUMBER(Z251),ISNUMBER(Z236)),IF(ABS(Z251+Z236+Z242+Z248+N(Z249)-Z252)&lt;=0.15,0,ROUND(Z251+Z236+Z242+Z248+N(Z249)-Z252,1)),"")</f>
        <v>0</v>
      </c>
      <c r="AA253" s="264">
        <f>IF(AND(ISNUMBER(AA251),ISNUMBER(AA236)),IF(ABS(AA251+AA236+AA242+AA248+N(AA249)-AA252)&lt;=0.15,0,ROUND(AA251+AA236+AA242+AA248+N(AA249)-AA252,1)),"")</f>
        <v>0</v>
      </c>
      <c r="AB253" s="264">
        <f>IF(AND(ISNUMBER(AB251),ISNUMBER(AB236)),IF(ABS(AB251+AB236+AB242+AB248+N(AB249)-AB252)&lt;=0.15,0,ROUND(AB251+AB236+AB242+AB248+N(AB249)-AB252,1)),"")</f>
        <v>0</v>
      </c>
      <c r="AC253" s="264">
        <f>IF(AND(ISNUMBER(AC251),ISNUMBER(AC236)),IF(ABS(AC251+AC236+AC242+AC248+N(AC249)-AC252)&lt;=0.15,0,ROUND(AC251+AC236+AC242+AC248+N(AC249)-AC252,1)),"")</f>
        <v>0</v>
      </c>
      <c r="AD253" s="264">
        <f>IF(AND(ISNUMBER(AD251),ISNUMBER(AD236)),IF(ABS(AD251+AD236+AD242+AD248+N(AD249)-AD252)&lt;=0.15,0,ROUND(AD251+AD236+AD242+AD248+N(AD249)-AD252,1)),"")</f>
        <v>0</v>
      </c>
      <c r="AE253" s="264">
        <f>IF(AND(ISNUMBER(AE251),ISNUMBER(AE236)),IF(ABS(AE251+AE236+AE242+AE248+N(AE249)-AE252)&lt;=0.15,0,ROUND(AE251+AE236+AE242+AE248+N(AE249)-AE252,1)),"")</f>
        <v>0</v>
      </c>
      <c r="AF253" s="264">
        <f>IF(AND(ISNUMBER(AF251),ISNUMBER(AF236)),IF(ABS(AF251+AF236+AF242+AF248+N(AF249)-AF252)&lt;=0.15,0,ROUND(AF251+AF236+AF242+AF248+N(AF249)-AF252,1)),"")</f>
        <v>0</v>
      </c>
      <c r="AG253" s="264">
        <f>IF(AND(ISNUMBER(AG251),ISNUMBER(AG236)),IF(ABS(AG251+AG236+AG242+AG248+N(AG249)-AG252)&lt;=0.15,0,ROUND(AG251+AG236+AG242+AG248+N(AG249)-AG252,1)),"")</f>
        <v>0</v>
      </c>
      <c r="AH253" s="264">
        <f>IF(AND(ISNUMBER(AH251),ISNUMBER(AH236)),IF(ABS(AH251+AH236+AH242+AH248+N(AH249)-AH252)&lt;=0.15,0,ROUND(AH251+AH236+AH242+AH248+N(AH249)-AH252,1)),"")</f>
        <v>0</v>
      </c>
      <c r="AI253" s="264">
        <f>IF(AND(ISNUMBER(AI251),ISNUMBER(AI236)),IF(ABS(AI251+AI236+AI242+AI248+N(AI249)-AI252)&lt;=0.15,0,ROUND(AI251+AI236+AI242+AI248+N(AI249)-AI252,1)),"")</f>
        <v>0</v>
      </c>
      <c r="AJ253" s="264">
        <f>IF(AND(ISNUMBER(AJ251),ISNUMBER(AJ236)),IF(ABS(AJ251+AJ236+AJ242+AJ248+N(AJ249)-AJ252)&lt;=0.15,0,ROUND(AJ251+AJ236+AJ242+AJ248+N(AJ249)-AJ252,1)),"")</f>
        <v>0</v>
      </c>
      <c r="AK253" s="264">
        <f>IF(AND(ISNUMBER(AK251),ISNUMBER(AK236)),IF(ABS(AK251+AK236+AK242+AK248+N(AK249)-AK252)&lt;=0.15,0,ROUND(AK251+AK236+AK242+AK248+N(AK249)-AK252,1)),"")</f>
        <v>0</v>
      </c>
      <c r="AL253" s="264">
        <f>IF(AND(ISNUMBER(AL251),ISNUMBER(AL236)),IF(ABS(AL251+AL236+AL242+AL248+N(AL249)-AL252)&lt;=0.15,0,ROUND(AL251+AL236+AL242+AL248+N(AL249)-AL252,1)),"")</f>
        <v>0</v>
      </c>
      <c r="AM253" s="264">
        <f>IF(AND(ISNUMBER(AM251),ISNUMBER(AM236)),IF(ABS(AM251+AM236+AM242+AM248+N(AM249)-AM252)&lt;=0.15,0,ROUND(AM251+AM236+AM242+AM248+N(AM249)-AM252,1)),"")</f>
        <v>0</v>
      </c>
      <c r="AN253" s="264">
        <f>IF(AND(ISNUMBER(AN251),ISNUMBER(AN236)),IF(ABS(AN251+AN236+AN242+AN248+N(AN249)-AN252)&lt;=0.15,0,ROUND(AN251+AN236+AN242+AN248+N(AN249)-AN252,1)),"")</f>
        <v>0</v>
      </c>
      <c r="AO253" s="264">
        <f>IF(AND(ISNUMBER(AO251),ISNUMBER(AO236)),IF(ABS(AO251+AO236+AO242+AO248+N(AO249)-AO252)&lt;=0.15,0,ROUND(AO251+AO236+AO242+AO248+N(AO249)-AO252,1)),"")</f>
        <v>0</v>
      </c>
      <c r="AP253" s="264">
        <f>IF(AND(ISNUMBER(AP251),ISNUMBER(AP236)),IF(ABS(AP251+AP236+AP242+AP248+N(AP249)-AP252)&lt;=0.15,0,ROUND(AP251+AP236+AP242+AP248+N(AP249)-AP252,1)),"")</f>
        <v>0</v>
      </c>
      <c r="AQ253" s="264">
        <f>IF(AND(ISNUMBER(AQ251),ISNUMBER(AQ236)),IF(ABS(AQ251+AQ236+AQ242+AQ248+N(AQ249)-AQ252)&lt;=0.15,0,ROUND(AQ251+AQ236+AQ242+AQ248+N(AQ249)-AQ252,1)),"")</f>
        <v>0</v>
      </c>
      <c r="AR253" s="264">
        <f>IF(AND(ISNUMBER(AR251),ISNUMBER(AR236)),IF(ABS(AR251+AR236+AR242+AR248+N(AR249)-AR252)&lt;=0.15,0,ROUND(AR251+AR236+AR242+AR248+N(AR249)-AR252,1)),"")</f>
        <v>0</v>
      </c>
      <c r="AS253" s="264">
        <f>IF(AND(ISNUMBER(AS251),ISNUMBER(AS236)),IF(ABS(AS251+AS236+AS242+AS248+N(AS249)-AS252)&lt;=0.15,0,ROUND(AS251+AS236+AS242+AS248+N(AS249)-AS252,1)),"")</f>
        <v>0</v>
      </c>
      <c r="AT253" s="264">
        <f>IF(AND(ISNUMBER(AT251),ISNUMBER(AT236)),IF(ABS(AT251+AT236+AT242+AT248+N(AT249)-AT252)&lt;=0.15,0,ROUND(AT251+AT236+AT242+AT248+N(AT249)-AT252,1)),"")</f>
        <v>0</v>
      </c>
      <c r="AU253" s="264">
        <f>IF(AND(ISNUMBER(AU251),ISNUMBER(AU236)),IF(ABS(AU251+AU236+AU242+AU248+N(AU249)-AU252)&lt;=0.15,0,ROUND(AU251+AU236+AU242+AU248+N(AU249)-AU252,1)),"")</f>
        <v>0</v>
      </c>
      <c r="AV253" s="264">
        <f>IF(AND(ISNUMBER(AV251),ISNUMBER(AV236)),IF(ABS(AV251+AV236+AV242+AV248+N(AV249)-AV252)&lt;=0.15,0,ROUND(AV251+AV236+AV242+AV248+N(AV249)-AV252,1)),"")</f>
        <v>0</v>
      </c>
      <c r="AW253" s="264">
        <f>IF(AND(ISNUMBER(AW251),ISNUMBER(AW236)),IF(ABS(AW251+AW236+AW242+AW248+N(AW249)-AW252)&lt;=0.15,0,ROUND(AW251+AW236+AW242+AW248+N(AW249)-AW252,1)),"")</f>
        <v>0</v>
      </c>
      <c r="AX253" s="264">
        <f>IF(AND(ISNUMBER(AX251),ISNUMBER(AX236)),IF(ABS(AX251+AX236+AX242+AX248+N(AX249)-AX252)&lt;=0.15,0,ROUND(AX251+AX236+AX242+AX248+N(AX249)-AX252,1)),"")</f>
        <v>0</v>
      </c>
      <c r="AY253" s="264">
        <f>IF(AND(ISNUMBER(AY251),ISNUMBER(AY236)),IF(ABS(AY251+AY236+AY242+AY248+N(AY249)-AY252)&lt;=0.15,0,ROUND(AY251+AY236+AY242+AY248+N(AY249)-AY252,1)),"")</f>
        <v>0</v>
      </c>
      <c r="AZ253" s="264">
        <f>IF(AND(ISNUMBER(AZ251),ISNUMBER(AZ236)),IF(ABS(AZ251+AZ236+AZ242+AZ248+N(AZ249)-AZ252)&lt;=0.15,0,ROUND(AZ251+AZ236+AZ242+AZ248+N(AZ249)-AZ252,1)),"")</f>
        <v>0</v>
      </c>
      <c r="BA253" s="264">
        <f>IF(AND(ISNUMBER(BA251),ISNUMBER(BA236)),IF(ABS(BA251+BA236+BA242+BA248+N(BA249)-BA252)&lt;=0.15,0,ROUND(BA251+BA236+BA242+BA248+N(BA249)-BA252,1)),"")</f>
        <v>0</v>
      </c>
      <c r="BB253" s="264">
        <f>IF(AND(ISNUMBER(BB251),ISNUMBER(BB236)),IF(ABS(BB251+BB236+BB242+BB248+N(BB249)-BB252)&lt;=0.15,0,ROUND(BB251+BB236+BB242+BB248+N(BB249)-BB252,1)),"")</f>
        <v>0</v>
      </c>
      <c r="BC253" s="264">
        <f>IF(AND(ISNUMBER(BC251),ISNUMBER(BC236)),IF(ABS(BC251+BC236+BC242+BC248+N(BC249)-BC252)&lt;=0.15,0,ROUND(BC251+BC236+BC242+BC248+N(BC249)-BC252,1)),"")</f>
        <v>0</v>
      </c>
      <c r="BD253" s="264">
        <f>IF(AND(ISNUMBER(BD251),ISNUMBER(BD236)),IF(ABS(BD251+BD236+BD242+BD248+N(BD249)-BD252)&lt;=0.15,0,ROUND(BD251+BD236+BD242+BD248+N(BD249)-BD252,1)),"")</f>
        <v>0</v>
      </c>
      <c r="BE253" s="264">
        <f>IF(AND(ISNUMBER(BE251),ISNUMBER(BE236)),IF(ABS(BE251+BE236+BE242+BE248+N(BE249)-BE252)&lt;=0.15,0,ROUND(BE251+BE236+BE242+BE248+N(BE249)-BE252,1)),"")</f>
        <v>0</v>
      </c>
      <c r="BF253" s="264">
        <f>IF(AND(ISNUMBER(BF251),ISNUMBER(BF236)),IF(ABS(BF251+BF236+BF242+BF248+N(BF249)-BF252)&lt;=0.15,0,ROUND(BF251+BF236+BF242+BF248+N(BF249)-BF252,1)),"")</f>
        <v>0</v>
      </c>
      <c r="BG253" s="264">
        <f>IF(AND(ISNUMBER(BG251),ISNUMBER(BG236)),IF(ABS(BG251+BG236+BG242+BG248+N(BG249)-BG252)&lt;=0.15,0,ROUND(BG251+BG236+BG242+BG248+N(BG249)-BG252,1)),"")</f>
        <v>0</v>
      </c>
      <c r="BH253" s="264">
        <f>IF(AND(ISNUMBER(BH251),ISNUMBER(BH236)),IF(ABS(BH251+BH236+BH242+BH248+N(BH249)-BH252)&lt;=0.15,0,ROUND(BH251+BH236+BH242+BH248+N(BH249)-BH252,1)),"")</f>
        <v>0</v>
      </c>
      <c r="BI253" s="264">
        <f>IF(AND(ISNUMBER(BI251),ISNUMBER(BI236)),IF(ABS(BI251+BI236+BI242+BI248+N(BI249)-BI252)&lt;=0.15,0,ROUND(BI251+BI236+BI242+BI248+N(BI249)-BI252,1)),"")</f>
        <v>0</v>
      </c>
      <c r="BJ253" s="264">
        <f>IF(AND(ISNUMBER(BJ251),ISNUMBER(BJ236)),IF(ABS(BJ251+BJ236+BJ242+BJ248+N(BJ249)-BJ252)&lt;=0.15,0,ROUND(BJ251+BJ236+BJ242+BJ248+N(BJ249)-BJ252,1)),"")</f>
        <v>0</v>
      </c>
      <c r="BK253" s="264">
        <f>IF(AND(ISNUMBER(BK251),ISNUMBER(BK236)),IF(ABS(BK251+BK236+BK242+BK248+N(BK249)-BK252)&lt;=0.15,0,ROUND(BK251+BK236+BK242+BK248+N(BK249)-BK252,1)),"")</f>
        <v>0</v>
      </c>
      <c r="BL253" s="264">
        <f>IF(AND(ISNUMBER(BL251),ISNUMBER(BL236)),IF(ABS(BL251+BL236+BL242+BL248+N(BL249)-BL252)&lt;=0.15,0,ROUND(BL251+BL236+BL242+BL248+N(BL249)-BL252,1)),"")</f>
        <v>0</v>
      </c>
      <c r="BM253" s="264">
        <f>IF(AND(ISNUMBER(BM251),ISNUMBER(BM236)),IF(ABS(BM251+BM236+BM242+BM248+N(BM249)-BM252)&lt;=0.15,0,ROUND(BM251+BM236+BM242+BM248+N(BM249)-BM252,1)),"")</f>
        <v>0</v>
      </c>
      <c r="BN253" s="264">
        <f>IF(AND(ISNUMBER(BN251),ISNUMBER(BN236)),IF(ABS(BN251+BN236+BN242+BN248+N(BN249)-BN252)&lt;=0.15,0,ROUND(BN251+BN236+BN242+BN248+N(BN249)-BN252,1)),"")</f>
        <v>0</v>
      </c>
      <c r="BO253" s="264">
        <f>IF(AND(ISNUMBER(BO251),ISNUMBER(BO236)),IF(ABS(BO251+BO236+BO242+BO248+N(BO249)-BO252)&lt;=0.15,0,ROUND(BO251+BO236+BO242+BO248+N(BO249)-BO252,1)),"")</f>
        <v>0</v>
      </c>
      <c r="BP253" s="264">
        <f>IF(AND(ISNUMBER(BP251),ISNUMBER(BP236)),IF(ABS(BP251+BP236+BP242+BP248+N(BP249)-BP252)&lt;=0.15,0,ROUND(BP251+BP236+BP242+BP248+N(BP249)-BP252,1)),"")</f>
        <v>0</v>
      </c>
      <c r="BQ253" s="264">
        <f>IF(AND(ISNUMBER(BQ251),ISNUMBER(BQ236)),IF(ABS(BQ251+BQ236+BQ242+BQ248+N(BQ249)-BQ252)&lt;=0.15,0,ROUND(BQ251+BQ236+BQ242+BQ248+N(BQ249)-BQ252,1)),"")</f>
        <v>0</v>
      </c>
      <c r="BR253" s="264">
        <f>IF(AND(ISNUMBER(BR251),ISNUMBER(BR236)),IF(ABS(BR251+BR236+BR242+BR248+N(BR249)-BR252)&lt;=0.15,0,ROUND(BR251+BR236+BR242+BR248+N(BR249)-BR252,1)),"")</f>
        <v>0</v>
      </c>
      <c r="BS253" s="264">
        <f>IF(AND(ISNUMBER(BS251),ISNUMBER(BS236)),IF(ABS(BS251+BS236+BS242+BS248+N(BS249)-BS252)&lt;=0.15,0,ROUND(BS251+BS236+BS242+BS248+N(BS249)-BS252,1)),"")</f>
        <v>0</v>
      </c>
      <c r="BT253" s="264">
        <f>IF(AND(ISNUMBER(BT251),ISNUMBER(BT236)),IF(ABS(BT251+BT236+BT242+BT248+N(BT249)-BT252)&lt;=0.15,0,ROUND(BT251+BT236+BT242+BT248+N(BT249)-BT252,1)),"")</f>
        <v>0</v>
      </c>
      <c r="BU253" s="264">
        <f>IF(AND(ISNUMBER(BU251),ISNUMBER(BU236)),IF(ABS(BU251+BU236+BU242+BU248+N(BU249)-BU252)&lt;=0.15,0,ROUND(BU251+BU236+BU242+BU248+N(BU249)-BU252,1)),"")</f>
        <v>0</v>
      </c>
      <c r="BV253" s="264">
        <f>IF(AND(ISNUMBER(BV251),ISNUMBER(BV236)),IF(ABS(BV251+BV236+BV242+BV248+N(BV249)-BV252)&lt;=0.15,0,ROUND(BV251+BV236+BV242+BV248+N(BV249)-BV252,1)),"")</f>
        <v>0</v>
      </c>
      <c r="BW253" s="264">
        <f>IF(AND(ISNUMBER(BW251),ISNUMBER(BW236)),IF(ABS(BW251+BW236+BW242+BW248+N(BW249)-BW252)&lt;=0.15,0,ROUND(BW251+BW236+BW242+BW248+N(BW249)-BW252,1)),"")</f>
        <v>0</v>
      </c>
      <c r="BX253" s="264">
        <f>IF(AND(ISNUMBER(BX251),ISNUMBER(BX236)),IF(ABS(BX251+BX236+BX242+BX248+N(BX249)-BX252)&lt;=0.15,0,ROUND(BX251+BX236+BX242+BX248+N(BX249)-BX252,1)),"")</f>
        <v>0</v>
      </c>
      <c r="BY253" s="153" t="n"/>
      <c r="BZ253" s="153" t="n"/>
      <c r="CA253" s="272">
        <f>IF(AND(ISNUMBER(CA251),ISNUMBER(CA236)),IF(ABS(CA251+CA236+CA242+CA248+N(CA249)-CA252)&lt;=0.15,0,ROUND(CA251+CA236+CA242+CA248+N(CA249)-CA252,1)),"")</f>
        <v>0</v>
      </c>
      <c r="CB253" s="272">
        <f>IF(AND(ISNUMBER(CB251),ISNUMBER(CB236)),IF(ABS(CB251+CB236+CB242+CB248+N(CB249)-CB252)&lt;=0.15,0,ROUND(CB251+CB236+CB242+CB248+N(CB249)-CB252,1)),"")</f>
        <v>0</v>
      </c>
      <c r="CC253" s="272">
        <f>IF(AND(ISNUMBER(CC251),ISNUMBER(CC236)),IF(ABS(CC251+CC236+CC242+CC248+N(CC249)-CC252)&lt;=0.15,0,ROUND(CC251+CC236+CC242+CC248+N(CC249)-CC252,1)),"")</f>
        <v>0</v>
      </c>
      <c r="CD253" s="272">
        <f>IF(AND(ISNUMBER(CD251),ISNUMBER(CD236)),IF(ABS(CD251+CD236+CD242+CD248+N(CD249)-CD252)&lt;=0.15,0,ROUND(CD251+CD236+CD242+CD248+N(CD249)-CD252,1)),"")</f>
        <v>0</v>
      </c>
      <c r="CE253" s="272">
        <f>IF(AND(ISNUMBER(CE251),ISNUMBER(CE236)),IF(ABS(CE251+CE236+CE242+CE248+N(CE249)-CE252)&lt;=0.15,0,ROUND(CE251+CE236+CE242+CE248+N(CE249)-CE252,1)),"")</f>
        <v>0</v>
      </c>
      <c r="CF253" s="272">
        <f>IF(AND(ISNUMBER(CF251),ISNUMBER(CF236)),IF(ABS(CF251+CF236+CF242+CF248+N(CF249)-CF252)&lt;=0.15,0,ROUND(CF251+CF236+CF242+CF248+N(CF249)-CF252,1)),"")</f>
        <v>0</v>
      </c>
      <c r="CG253" s="153" t="n"/>
    </row>
    <row r="254" ht="15" customHeight="1" s="251">
      <c r="B254" s="57" t="inlineStr">
        <is>
          <t xml:space="preserve">  Check: CFO = sum of operating lines (should be 0)</t>
        </is>
      </c>
      <c r="C254" s="264">
        <f>IF(ISNUMBER(C226),IF(ABS(SUM(C226:C235)-C236)&lt;=0.15,0,ROUND(SUM(C226:C235)-C236,1)),"")</f>
        <v>0</v>
      </c>
      <c r="D254" s="264">
        <f>IF(ISNUMBER(D226),IF(ABS(SUM(D226:D235)-D236)&lt;=0.15,0,ROUND(SUM(D226:D235)-D236,1)),"")</f>
        <v>0</v>
      </c>
      <c r="E254" s="264">
        <f>IF(ISNUMBER(E226),IF(ABS(SUM(E226:E235)-E236)&lt;=0.15,0,ROUND(SUM(E226:E235)-E236,1)),"")</f>
        <v>0</v>
      </c>
      <c r="F254" s="264">
        <f>IF(ISNUMBER(F226),IF(ABS(SUM(F226:F235)-F236)&lt;=0.15,0,ROUND(SUM(F226:F235)-F236,1)),"")</f>
        <v>0</v>
      </c>
      <c r="G254" s="264">
        <f>IF(ISNUMBER(G226),IF(ABS(SUM(G226:G235)-G236)&lt;=0.15,0,ROUND(SUM(G226:G235)-G236,1)),"")</f>
        <v>0</v>
      </c>
      <c r="H254" s="264">
        <f>IF(ISNUMBER(H226),IF(ABS(SUM(H226:H235)-H236)&lt;=0.15,0,ROUND(SUM(H226:H235)-H236,1)),"")</f>
        <v>0</v>
      </c>
      <c r="I254" s="264">
        <f>IF(ISNUMBER(I226),IF(ABS(SUM(I226:I235)-I236)&lt;=0.15,0,ROUND(SUM(I226:I235)-I236,1)),"")</f>
        <v>0</v>
      </c>
      <c r="J254" s="264">
        <f>IF(ISNUMBER(J226),IF(ABS(SUM(J226:J235)-J236)&lt;=0.15,0,ROUND(SUM(J226:J235)-J236,1)),"")</f>
        <v>0</v>
      </c>
      <c r="K254" s="264">
        <f>IF(ISNUMBER(K226),IF(ABS(SUM(K226:K235)-K236)&lt;=0.15,0,ROUND(SUM(K226:K235)-K236,1)),"")</f>
        <v>0</v>
      </c>
      <c r="L254" s="264">
        <f>IF(ISNUMBER(L226),IF(ABS(SUM(L226:L235)-L236)&lt;=0.15,0,ROUND(SUM(L226:L235)-L236,1)),"")</f>
        <v>0</v>
      </c>
      <c r="M254" s="264">
        <f>IF(ISNUMBER(M226),IF(ABS(SUM(M226:M235)-M236)&lt;=0.15,0,ROUND(SUM(M226:M235)-M236,1)),"")</f>
        <v>0</v>
      </c>
      <c r="N254" s="264">
        <f>IF(ISNUMBER(N226),IF(ABS(SUM(N226:N235)-N236)&lt;=0.15,0,ROUND(SUM(N226:N235)-N236,1)),"")</f>
        <v>0</v>
      </c>
      <c r="O254" s="264">
        <f>IF(ISNUMBER(O226),IF(ABS(SUM(O226:O235)-O236)&lt;=0.15,0,ROUND(SUM(O226:O235)-O236,1)),"")</f>
        <v>0</v>
      </c>
      <c r="P254" s="264">
        <f>IF(ISNUMBER(P226),IF(ABS(SUM(P226:P235)-P236)&lt;=0.15,0,ROUND(SUM(P226:P235)-P236,1)),"")</f>
        <v>0</v>
      </c>
      <c r="Q254" s="264">
        <f>IF(ISNUMBER(Q226),IF(ABS(SUM(Q226:Q235)-Q236)&lt;=0.15,0,ROUND(SUM(Q226:Q235)-Q236,1)),"")</f>
        <v>0</v>
      </c>
      <c r="R254" s="264">
        <f>IF(ISNUMBER(R226),IF(ABS(SUM(R226:R235)-R236)&lt;=0.15,0,ROUND(SUM(R226:R235)-R236,1)),"")</f>
        <v>0</v>
      </c>
      <c r="S254" s="264">
        <f>IF(ISNUMBER(S226),IF(ABS(SUM(S226:S235)-S236)&lt;=0.15,0,ROUND(SUM(S226:S235)-S236,1)),"")</f>
        <v>0</v>
      </c>
      <c r="T254" s="264">
        <f>IF(ISNUMBER(T226),IF(ABS(SUM(T226:T235)-T236)&lt;=0.15,0,ROUND(SUM(T226:T235)-T236,1)),"")</f>
        <v>0</v>
      </c>
      <c r="U254" s="264">
        <f>IF(ISNUMBER(U226),IF(ABS(SUM(U226:U235)-U236)&lt;=0.15,0,ROUND(SUM(U226:U235)-U236,1)),"")</f>
        <v>0</v>
      </c>
      <c r="V254" s="264">
        <f>IF(ISNUMBER(V226),IF(ABS(SUM(V226:V235)-V236)&lt;=0.15,0,ROUND(SUM(V226:V235)-V236,1)),"")</f>
        <v>0</v>
      </c>
      <c r="W254" s="264">
        <f>IF(ISNUMBER(W226),IF(ABS(SUM(W226:W235)-W236)&lt;=0.15,0,ROUND(SUM(W226:W235)-W236,1)),"")</f>
        <v>0</v>
      </c>
      <c r="X254" s="264">
        <f>IF(ISNUMBER(X226),IF(ABS(SUM(X226:X235)-X236)&lt;=0.15,0,ROUND(SUM(X226:X235)-X236,1)),"")</f>
        <v>0</v>
      </c>
      <c r="Y254" s="264">
        <f>IF(ISNUMBER(Y226),IF(ABS(SUM(Y226:Y235)-Y236)&lt;=0.15,0,ROUND(SUM(Y226:Y235)-Y236,1)),"")</f>
        <v>0</v>
      </c>
      <c r="Z254" s="264">
        <f>IF(ISNUMBER(Z226),IF(ABS(SUM(Z226:Z235)-Z236)&lt;=0.15,0,ROUND(SUM(Z226:Z235)-Z236,1)),"")</f>
        <v>0</v>
      </c>
      <c r="AA254" s="264">
        <f>IF(ISNUMBER(AA226),IF(ABS(SUM(AA226:AA235)-AA236)&lt;=0.15,0,ROUND(SUM(AA226:AA235)-AA236,1)),"")</f>
        <v>0</v>
      </c>
      <c r="AB254" s="264">
        <f>IF(ISNUMBER(AB226),IF(ABS(SUM(AB226:AB235)-AB236)&lt;=0.15,0,ROUND(SUM(AB226:AB235)-AB236,1)),"")</f>
        <v>0</v>
      </c>
      <c r="AC254" s="264">
        <f>IF(ISNUMBER(AC226),IF(ABS(SUM(AC226:AC235)-AC236)&lt;=0.15,0,ROUND(SUM(AC226:AC235)-AC236,1)),"")</f>
        <v>0</v>
      </c>
      <c r="AD254" s="264">
        <f>IF(ISNUMBER(AD226),IF(ABS(SUM(AD226:AD235)-AD236)&lt;=0.15,0,ROUND(SUM(AD226:AD235)-AD236,1)),"")</f>
        <v>0</v>
      </c>
      <c r="AE254" s="264">
        <f>IF(ISNUMBER(AE226),IF(ABS(SUM(AE226:AE235)-AE236)&lt;=0.15,0,ROUND(SUM(AE226:AE235)-AE236,1)),"")</f>
        <v>0</v>
      </c>
      <c r="AF254" s="264">
        <f>IF(ISNUMBER(AF226),IF(ABS(SUM(AF226:AF235)-AF236)&lt;=0.15,0,ROUND(SUM(AF226:AF235)-AF236,1)),"")</f>
        <v>0</v>
      </c>
      <c r="AG254" s="264">
        <f>IF(ISNUMBER(AG226),IF(ABS(SUM(AG226:AG235)-AG236)&lt;=0.15,0,ROUND(SUM(AG226:AG235)-AG236,1)),"")</f>
        <v>0</v>
      </c>
      <c r="AH254" s="264">
        <f>IF(ISNUMBER(AH226),IF(ABS(SUM(AH226:AH235)-AH236)&lt;=0.15,0,ROUND(SUM(AH226:AH235)-AH236,1)),"")</f>
        <v>0</v>
      </c>
      <c r="AI254" s="264">
        <f>IF(ISNUMBER(AI226),IF(ABS(SUM(AI226:AI235)-AI236)&lt;=0.15,0,ROUND(SUM(AI226:AI235)-AI236,1)),"")</f>
        <v>0</v>
      </c>
      <c r="AJ254" s="264">
        <f>IF(ISNUMBER(AJ226),IF(ABS(SUM(AJ226:AJ235)-AJ236)&lt;=0.15,0,ROUND(SUM(AJ226:AJ235)-AJ236,1)),"")</f>
        <v>0</v>
      </c>
      <c r="AK254" s="264">
        <f>IF(ISNUMBER(AK226),IF(ABS(SUM(AK226:AK235)-AK236)&lt;=0.15,0,ROUND(SUM(AK226:AK235)-AK236,1)),"")</f>
        <v>0</v>
      </c>
      <c r="AL254" s="264">
        <f>IF(ISNUMBER(AL226),IF(ABS(SUM(AL226:AL235)-AL236)&lt;=0.15,0,ROUND(SUM(AL226:AL235)-AL236,1)),"")</f>
        <v>0</v>
      </c>
      <c r="AM254" s="264">
        <f>IF(ISNUMBER(AM226),IF(ABS(SUM(AM226:AM235)-AM236)&lt;=0.15,0,ROUND(SUM(AM226:AM235)-AM236,1)),"")</f>
        <v>0</v>
      </c>
      <c r="AN254" s="264">
        <f>IF(ISNUMBER(AN226),IF(ABS(SUM(AN226:AN235)-AN236)&lt;=0.15,0,ROUND(SUM(AN226:AN235)-AN236,1)),"")</f>
        <v>0</v>
      </c>
      <c r="AO254" s="264">
        <f>IF(ISNUMBER(AO226),IF(ABS(SUM(AO226:AO235)-AO236)&lt;=0.15,0,ROUND(SUM(AO226:AO235)-AO236,1)),"")</f>
        <v>0</v>
      </c>
      <c r="AP254" s="264">
        <f>IF(ISNUMBER(AP226),IF(ABS(SUM(AP226:AP235)-AP236)&lt;=0.15,0,ROUND(SUM(AP226:AP235)-AP236,1)),"")</f>
        <v>0</v>
      </c>
      <c r="AQ254" s="264">
        <f>IF(ISNUMBER(AQ226),IF(ABS(SUM(AQ226:AQ235)-AQ236)&lt;=0.15,0,ROUND(SUM(AQ226:AQ235)-AQ236,1)),"")</f>
        <v>0</v>
      </c>
      <c r="AR254" s="264">
        <f>IF(ISNUMBER(AR226),IF(ABS(SUM(AR226:AR235)-AR236)&lt;=0.15,0,ROUND(SUM(AR226:AR235)-AR236,1)),"")</f>
        <v>0</v>
      </c>
      <c r="AS254" s="264">
        <f>IF(ISNUMBER(AS226),IF(ABS(SUM(AS226:AS235)-AS236)&lt;=0.15,0,ROUND(SUM(AS226:AS235)-AS236,1)),"")</f>
        <v>0</v>
      </c>
      <c r="AT254" s="264">
        <f>IF(ISNUMBER(AT226),IF(ABS(SUM(AT226:AT235)-AT236)&lt;=0.15,0,ROUND(SUM(AT226:AT235)-AT236,1)),"")</f>
        <v>0</v>
      </c>
      <c r="AU254" s="264">
        <f>IF(ISNUMBER(AU226),IF(ABS(SUM(AU226:AU235)-AU236)&lt;=0.15,0,ROUND(SUM(AU226:AU235)-AU236,1)),"")</f>
        <v>0</v>
      </c>
      <c r="AV254" s="264">
        <f>IF(ISNUMBER(AV226),IF(ABS(SUM(AV226:AV235)-AV236)&lt;=0.15,0,ROUND(SUM(AV226:AV235)-AV236,1)),"")</f>
        <v>0</v>
      </c>
      <c r="AW254" s="264">
        <f>IF(ISNUMBER(AW226),IF(ABS(SUM(AW226:AW235)-AW236)&lt;=0.15,0,ROUND(SUM(AW226:AW235)-AW236,1)),"")</f>
        <v>0</v>
      </c>
      <c r="AX254" s="264">
        <f>IF(ISNUMBER(AX226),IF(ABS(SUM(AX226:AX235)-AX236)&lt;=0.15,0,ROUND(SUM(AX226:AX235)-AX236,1)),"")</f>
        <v>0</v>
      </c>
      <c r="AY254" s="264">
        <f>IF(ISNUMBER(AY226),IF(ABS(SUM(AY226:AY235)-AY236)&lt;=0.15,0,ROUND(SUM(AY226:AY235)-AY236,1)),"")</f>
        <v>0</v>
      </c>
      <c r="AZ254" s="264">
        <f>IF(ISNUMBER(AZ226),IF(ABS(SUM(AZ226:AZ235)-AZ236)&lt;=0.15,0,ROUND(SUM(AZ226:AZ235)-AZ236,1)),"")</f>
        <v>0</v>
      </c>
      <c r="BA254" s="264">
        <f>IF(ISNUMBER(BA226),IF(ABS(SUM(BA226:BA235)-BA236)&lt;=0.15,0,ROUND(SUM(BA226:BA235)-BA236,1)),"")</f>
        <v>0</v>
      </c>
      <c r="BB254" s="264">
        <f>IF(ISNUMBER(BB226),IF(ABS(SUM(BB226:BB235)-BB236)&lt;=0.15,0,ROUND(SUM(BB226:BB235)-BB236,1)),"")</f>
        <v>0</v>
      </c>
      <c r="BC254" s="264">
        <f>IF(ISNUMBER(BC226),IF(ABS(SUM(BC226:BC235)-BC236)&lt;=0.15,0,ROUND(SUM(BC226:BC235)-BC236,1)),"")</f>
        <v>0</v>
      </c>
      <c r="BD254" s="264">
        <f>IF(ISNUMBER(BD226),IF(ABS(SUM(BD226:BD235)-BD236)&lt;=0.15,0,ROUND(SUM(BD226:BD235)-BD236,1)),"")</f>
        <v>0</v>
      </c>
      <c r="BE254" s="264">
        <f>IF(ISNUMBER(BE226),IF(ABS(SUM(BE226:BE235)-BE236)&lt;=0.15,0,ROUND(SUM(BE226:BE235)-BE236,1)),"")</f>
        <v>0</v>
      </c>
      <c r="BF254" s="264">
        <f>IF(ISNUMBER(BF226),IF(ABS(SUM(BF226:BF235)-BF236)&lt;=0.15,0,ROUND(SUM(BF226:BF235)-BF236,1)),"")</f>
        <v>0</v>
      </c>
      <c r="BG254" s="264">
        <f>IF(ISNUMBER(BG226),IF(ABS(SUM(BG226:BG235)-BG236)&lt;=0.15,0,ROUND(SUM(BG226:BG235)-BG236,1)),"")</f>
        <v>0</v>
      </c>
      <c r="BH254" s="264">
        <f>IF(ISNUMBER(BH226),IF(ABS(SUM(BH226:BH235)-BH236)&lt;=0.15,0,ROUND(SUM(BH226:BH235)-BH236,1)),"")</f>
        <v>0</v>
      </c>
      <c r="BI254" s="264">
        <f>IF(ISNUMBER(BI226),IF(ABS(SUM(BI226:BI235)-BI236)&lt;=0.15,0,ROUND(SUM(BI226:BI235)-BI236,1)),"")</f>
        <v>0</v>
      </c>
      <c r="BJ254" s="264">
        <f>IF(ISNUMBER(BJ226),IF(ABS(SUM(BJ226:BJ235)-BJ236)&lt;=0.15,0,ROUND(SUM(BJ226:BJ235)-BJ236,1)),"")</f>
        <v>0</v>
      </c>
      <c r="BK254" s="264">
        <f>IF(ISNUMBER(BK226),IF(ABS(SUM(BK226:BK235)-BK236)&lt;=0.15,0,ROUND(SUM(BK226:BK235)-BK236,1)),"")</f>
        <v>0</v>
      </c>
      <c r="BL254" s="264">
        <f>IF(ISNUMBER(BL226),IF(ABS(SUM(BL226:BL235)-BL236)&lt;=0.15,0,ROUND(SUM(BL226:BL235)-BL236,1)),"")</f>
        <v>0</v>
      </c>
      <c r="BM254" s="264">
        <f>IF(ISNUMBER(BM226),IF(ABS(SUM(BM226:BM235)-BM236)&lt;=0.15,0,ROUND(SUM(BM226:BM235)-BM236,1)),"")</f>
        <v>0</v>
      </c>
      <c r="BN254" s="264">
        <f>IF(ISNUMBER(BN226),IF(ABS(SUM(BN226:BN235)-BN236)&lt;=0.15,0,ROUND(SUM(BN226:BN235)-BN236,1)),"")</f>
        <v>0</v>
      </c>
      <c r="BO254" s="264">
        <f>IF(ISNUMBER(BO226),IF(ABS(SUM(BO226:BO235)-BO236)&lt;=0.15,0,ROUND(SUM(BO226:BO235)-BO236,1)),"")</f>
        <v>0</v>
      </c>
      <c r="BP254" s="264">
        <f>IF(ISNUMBER(BP226),IF(ABS(SUM(BP226:BP235)-BP236)&lt;=0.15,0,ROUND(SUM(BP226:BP235)-BP236,1)),"")</f>
        <v>0</v>
      </c>
      <c r="BQ254" s="264">
        <f>IF(ISNUMBER(BQ226),IF(ABS(SUM(BQ226:BQ235)-BQ236)&lt;=0.15,0,ROUND(SUM(BQ226:BQ235)-BQ236,1)),"")</f>
        <v>0</v>
      </c>
      <c r="BR254" s="264">
        <f>IF(ISNUMBER(BR226),IF(ABS(SUM(BR226:BR235)-BR236)&lt;=0.15,0,ROUND(SUM(BR226:BR235)-BR236,1)),"")</f>
        <v>0</v>
      </c>
      <c r="BS254" s="264">
        <f>IF(ISNUMBER(BS226),IF(ABS(SUM(BS226:BS235)-BS236)&lt;=0.15,0,ROUND(SUM(BS226:BS235)-BS236,1)),"")</f>
        <v>0</v>
      </c>
      <c r="BT254" s="264">
        <f>IF(ISNUMBER(BT226),IF(ABS(SUM(BT226:BT235)-BT236)&lt;=0.15,0,ROUND(SUM(BT226:BT235)-BT236,1)),"")</f>
        <v>0</v>
      </c>
      <c r="BU254" s="264">
        <f>IF(ISNUMBER(BU226),IF(ABS(SUM(BU226:BU235)-BU236)&lt;=0.15,0,ROUND(SUM(BU226:BU235)-BU236,1)),"")</f>
        <v>0</v>
      </c>
      <c r="BV254" s="264">
        <f>IF(ISNUMBER(BV226),IF(ABS(SUM(BV226:BV235)-BV236)&lt;=0.15,0,ROUND(SUM(BV226:BV235)-BV236,1)),"")</f>
        <v>0</v>
      </c>
      <c r="BW254" s="264">
        <f>IF(ISNUMBER(BW226),IF(ABS(SUM(BW226:BW235)-BW236)&lt;=0.15,0,ROUND(SUM(BW226:BW235)-BW236,1)),"")</f>
        <v>0</v>
      </c>
      <c r="BX254" s="264">
        <f>IF(ISNUMBER(BX226),IF(ABS(SUM(BX226:BX235)-BX236)&lt;=0.15,0,ROUND(SUM(BX226:BX235)-BX236,1)),"")</f>
        <v>0</v>
      </c>
      <c r="BY254" s="153" t="n"/>
      <c r="BZ254" s="153" t="n"/>
      <c r="CA254" s="272">
        <f>IF(ISNUMBER(CA226),IF(ABS(SUM(CA226:CA235)-CA236)&lt;=0.15,0,ROUND(SUM(CA226:CA235)-CA236,1)),"")</f>
        <v>0</v>
      </c>
      <c r="CB254" s="272">
        <f>IF(ISNUMBER(CB226),IF(ABS(SUM(CB226:CB235)-CB236)&lt;=0.15,0,ROUND(SUM(CB226:CB235)-CB236,1)),"")</f>
        <v>0</v>
      </c>
      <c r="CC254" s="272">
        <f>IF(ISNUMBER(CC226),IF(ABS(SUM(CC226:CC235)-CC236)&lt;=0.15,0,ROUND(SUM(CC226:CC235)-CC236,1)),"")</f>
        <v>0</v>
      </c>
      <c r="CD254" s="272">
        <f>IF(ISNUMBER(CD226),IF(ABS(SUM(CD226:CD235)-CD236)&lt;=0.15,0,ROUND(SUM(CD226:CD235)-CD236,1)),"")</f>
        <v>0</v>
      </c>
      <c r="CE254" s="272">
        <f>IF(ISNUMBER(CE226),IF(ABS(SUM(CE226:CE235)-CE236)&lt;=0.15,0,ROUND(SUM(CE226:CE235)-CE236,1)),"")</f>
        <v>0</v>
      </c>
      <c r="CF254" s="272">
        <f>IF(ISNUMBER(CF226),IF(ABS(SUM(CF226:CF235)-CF236)&lt;=0.15,0,ROUND(SUM(CF226:CF235)-CF236,1)),"")</f>
        <v>0</v>
      </c>
      <c r="CG254" s="153" t="n"/>
    </row>
    <row r="255" ht="15" customHeight="1" s="251">
      <c r="B255" s="25" t="inlineStr">
        <is>
          <t>(Memo)</t>
        </is>
      </c>
      <c r="CG255" s="153" t="n"/>
    </row>
    <row r="256" ht="15" customHeight="1" s="251">
      <c r="B256" s="25" t="inlineStr">
        <is>
          <t xml:space="preserve">  Restricted cash (cash-flow cash − balance-sheet cash; included in cash-flow cash from 2018)</t>
        </is>
      </c>
      <c r="C256" s="253" t="n">
        <v>0</v>
      </c>
      <c r="D256" s="253" t="n">
        <v>0</v>
      </c>
      <c r="E256" s="253" t="n">
        <v>0</v>
      </c>
      <c r="F256" s="253" t="n">
        <v>0</v>
      </c>
      <c r="G256" s="253" t="n">
        <v>0</v>
      </c>
      <c r="H256" s="253" t="n">
        <v>0</v>
      </c>
      <c r="I256" s="253" t="n">
        <v>0</v>
      </c>
      <c r="J256" s="253" t="n">
        <v>0</v>
      </c>
      <c r="K256" s="253" t="n">
        <v>0</v>
      </c>
      <c r="L256" s="253" t="n">
        <v>0</v>
      </c>
      <c r="M256" s="253" t="n">
        <v>0</v>
      </c>
      <c r="N256" s="253" t="n">
        <v>0</v>
      </c>
      <c r="O256" s="253" t="n">
        <v>0</v>
      </c>
      <c r="P256" s="253" t="n">
        <v>0</v>
      </c>
      <c r="Q256" s="253" t="n">
        <v>0</v>
      </c>
      <c r="R256" s="253" t="n">
        <v>0</v>
      </c>
      <c r="S256" s="253" t="n">
        <v>0</v>
      </c>
      <c r="T256" s="253" t="n">
        <v>0</v>
      </c>
      <c r="U256" s="253" t="n">
        <v>0</v>
      </c>
      <c r="V256" s="253" t="n">
        <v>0</v>
      </c>
      <c r="W256" s="253" t="n">
        <v>0</v>
      </c>
      <c r="X256" s="253" t="n">
        <v>0</v>
      </c>
      <c r="Y256" s="253" t="n">
        <v>0</v>
      </c>
      <c r="Z256" s="253" t="n">
        <v>0</v>
      </c>
      <c r="AA256" s="253" t="n">
        <v>0</v>
      </c>
      <c r="AB256" s="253" t="n">
        <v>0</v>
      </c>
      <c r="AC256" s="253" t="n">
        <v>0</v>
      </c>
      <c r="AD256" s="253" t="n">
        <v>0</v>
      </c>
      <c r="AE256" s="253" t="n">
        <v>0</v>
      </c>
      <c r="AF256" s="253" t="n">
        <v>0</v>
      </c>
      <c r="AG256" s="253" t="n">
        <v>0</v>
      </c>
      <c r="AH256" s="253" t="n">
        <v>0</v>
      </c>
      <c r="AI256" s="253" t="n">
        <v>5.811</v>
      </c>
      <c r="AJ256" s="253" t="n">
        <v>7.637</v>
      </c>
      <c r="AK256" s="253" t="n">
        <v>11.03</v>
      </c>
      <c r="AL256" s="253" t="n">
        <v>17.558</v>
      </c>
      <c r="AM256" s="253" t="n">
        <v>17.558</v>
      </c>
      <c r="AN256" s="253" t="n">
        <v>21.54</v>
      </c>
      <c r="AO256" s="253" t="n">
        <v>23.958</v>
      </c>
      <c r="AP256" s="253" t="n">
        <v>24.703</v>
      </c>
      <c r="AQ256" s="253" t="n">
        <v>25.349</v>
      </c>
      <c r="AR256" s="253" t="n">
        <v>25.349</v>
      </c>
      <c r="AS256" s="253" t="n">
        <v>26.303</v>
      </c>
      <c r="AT256" s="253" t="n">
        <v>26.798</v>
      </c>
      <c r="AU256" s="253" t="n">
        <v>29.889</v>
      </c>
      <c r="AV256" s="253" t="n">
        <v>33.32</v>
      </c>
      <c r="AW256" s="253" t="n">
        <v>33.32</v>
      </c>
      <c r="AX256" s="253" t="n">
        <v>32.748</v>
      </c>
      <c r="AY256" s="253" t="n">
        <v>27.088</v>
      </c>
      <c r="AZ256" s="253" t="n">
        <v>26.287</v>
      </c>
      <c r="BA256" s="253" t="n">
        <v>27.307</v>
      </c>
      <c r="BB256" s="253" t="n">
        <v>27.307</v>
      </c>
      <c r="BC256" s="253" t="n">
        <v>25.555</v>
      </c>
      <c r="BD256" s="253" t="n">
        <v>24.96</v>
      </c>
      <c r="BE256" s="253" t="n">
        <v>26.581</v>
      </c>
      <c r="BF256" s="253" t="n">
        <v>23.406</v>
      </c>
      <c r="BG256" s="253" t="n">
        <v>23.406</v>
      </c>
      <c r="BH256" s="253" t="n">
        <v>23.425</v>
      </c>
      <c r="BI256" s="253" t="n">
        <v>3.477</v>
      </c>
      <c r="BJ256" s="253" t="n">
        <v>3.591</v>
      </c>
      <c r="BK256" s="253" t="n">
        <v>1.602</v>
      </c>
      <c r="BL256" s="253" t="n">
        <v>1.602</v>
      </c>
      <c r="BM256" s="253" t="n">
        <v>1.823</v>
      </c>
      <c r="BN256" s="253" t="n">
        <v>2.106</v>
      </c>
      <c r="BO256" s="253" t="n">
        <v>2.06</v>
      </c>
      <c r="BP256" s="253" t="n">
        <v>2.604</v>
      </c>
      <c r="BQ256" s="253" t="n">
        <v>2.604</v>
      </c>
      <c r="BR256" s="253" t="n">
        <v>4.18</v>
      </c>
      <c r="BS256" s="253" t="n">
        <v>3.168</v>
      </c>
      <c r="BT256" s="253" t="n">
        <v>3.581</v>
      </c>
      <c r="BU256" s="253" t="n">
        <v>5.513</v>
      </c>
      <c r="BV256" s="253" t="n">
        <v>5.513</v>
      </c>
      <c r="BW256" s="253" t="n">
        <v>7.101</v>
      </c>
      <c r="BX256" s="253" t="n">
        <v>3.554</v>
      </c>
      <c r="BY256" s="35" t="n"/>
      <c r="BZ256" s="35" t="n"/>
      <c r="CA256" s="254">
        <f>BX256</f>
        <v>3.554</v>
      </c>
      <c r="CB256" s="254">
        <f>CA256</f>
        <v>3.554</v>
      </c>
      <c r="CC256" s="254">
        <f>CB256</f>
        <v>3.554</v>
      </c>
      <c r="CD256" s="254">
        <f>CC256</f>
        <v>3.554</v>
      </c>
      <c r="CE256" s="254">
        <f>CD256</f>
        <v>3.554</v>
      </c>
      <c r="CF256" s="254">
        <f>CE256</f>
        <v>3.554</v>
      </c>
      <c r="CG256" s="19" t="n"/>
    </row>
    <row r="257" ht="15" customHeight="1" s="251">
      <c r="B257" s="25" t="inlineStr">
        <is>
          <t>Cash content spend (additions to content assets + change in content liabilities + DVD acquisitions)</t>
        </is>
      </c>
      <c r="C257" s="264">
        <f>IF(ISNUMBER(C228),-(C228+C229+N(C238)),"")</f>
        <v>169.528</v>
      </c>
      <c r="D257" s="264">
        <f>IF(ISNUMBER(D228),-(D228+D229+N(D238)),"")</f>
        <v>223.436</v>
      </c>
      <c r="E257" s="264">
        <f>IF(ISNUMBER(E228),-(E228+E229+N(E238)),"")</f>
        <v>162.849</v>
      </c>
      <c r="F257" s="264">
        <f>IF(ISNUMBER(F228),-(F228+F229+N(F238)),"")</f>
        <v>193.044</v>
      </c>
      <c r="G257" s="264">
        <f>IF(ISNUMBER(G228),-(G228+G229+N(G238)),"")</f>
        <v>530.111</v>
      </c>
      <c r="H257" s="264">
        <f>IF(ISNUMBER(H228),-(H228+H229+N(H238)),"")</f>
        <v>945.486</v>
      </c>
      <c r="I257" s="264">
        <f>IF(ISNUMBER(I228),-(I228+I229+N(I238)),"")</f>
        <v>1801.692</v>
      </c>
      <c r="J257" s="264">
        <f>IF(ISNUMBER(J228),-(J228+J229+N(J238)),"")</f>
        <v>603.434</v>
      </c>
      <c r="K257" s="264">
        <f>IF(ISNUMBER(K228),-(K228+K229+N(K238)),"")</f>
        <v>600.193</v>
      </c>
      <c r="L257" s="264">
        <f>IF(ISNUMBER(L228),-(L228+L229+N(L238)),"")</f>
        <v>583.594</v>
      </c>
      <c r="M257" s="264">
        <f>IF(ISNUMBER(M228),-(M228+M229+N(M238)),"")</f>
        <v>654.679</v>
      </c>
      <c r="N257" s="264">
        <f>IF(ISNUMBER(N228),-(N228+N229+N(N238)),"")</f>
        <v>2441.9</v>
      </c>
      <c r="O257" s="264">
        <f>IF(ISNUMBER(O228),-(O228+O229+N(O238)),"")</f>
        <v>722.069</v>
      </c>
      <c r="P257" s="264">
        <f>IF(ISNUMBER(P228),-(P228+P229+N(P238)),"")</f>
        <v>755.936</v>
      </c>
      <c r="Q257" s="264">
        <f>IF(ISNUMBER(Q228),-(Q228+Q229+N(Q238)),"")</f>
        <v>871.262</v>
      </c>
      <c r="R257" s="264">
        <f>IF(ISNUMBER(R228),-(R228+R229+N(R238)),"")</f>
        <v>905.857</v>
      </c>
      <c r="S257" s="264">
        <f>IF(ISNUMBER(S228),-(S228+S229+N(S238)),"")</f>
        <v>3255.124</v>
      </c>
      <c r="T257" s="264">
        <f>IF(ISNUMBER(T228),-(T228+T229+N(T238)),"")</f>
        <v>1008.506</v>
      </c>
      <c r="U257" s="264">
        <f>IF(ISNUMBER(U228),-(U228+U229+N(U238)),"")</f>
        <v>1102.309</v>
      </c>
      <c r="V257" s="264">
        <f>IF(ISNUMBER(V228),-(V228+V229+N(V238)),"")</f>
        <v>1218.726</v>
      </c>
      <c r="W257" s="264">
        <f>IF(ISNUMBER(W228),-(W228+W229+N(W238)),"")</f>
        <v>1357.656</v>
      </c>
      <c r="X257" s="264">
        <f>IF(ISNUMBER(X228),-(X228+X229+N(X238)),"")</f>
        <v>4687.197</v>
      </c>
      <c r="Y257" s="264">
        <f>IF(ISNUMBER(Y228),-(Y228+Y229+N(Y238)),"")</f>
        <v>1434.083</v>
      </c>
      <c r="Z257" s="264">
        <f>IF(ISNUMBER(Z228),-(Z228+Z229+N(Z238)),"")</f>
        <v>1571.173</v>
      </c>
      <c r="AA257" s="264">
        <f>IF(ISNUMBER(AA228),-(AA228+AA229+N(AA238)),"")</f>
        <v>1929.444</v>
      </c>
      <c r="AB257" s="264">
        <f>IF(ISNUMBER(AB228),-(AB228+AB229+N(AB238)),"")</f>
        <v>2023.113</v>
      </c>
      <c r="AC257" s="264">
        <f>IF(ISNUMBER(AC228),-(AC228+AC229+N(AC238)),"")</f>
        <v>6957.813</v>
      </c>
      <c r="AD257" s="264">
        <f>IF(ISNUMBER(AD228),-(AD228+AD229+N(AD238)),"")</f>
        <v>2007.781</v>
      </c>
      <c r="AE257" s="264">
        <f>IF(ISNUMBER(AE228),-(AE228+AE229+N(AE238)),"")</f>
        <v>2157.155</v>
      </c>
      <c r="AF257" s="264">
        <f>IF(ISNUMBER(AF228),-(AF228+AF229+N(AF238)),"")</f>
        <v>2359.821</v>
      </c>
      <c r="AG257" s="264">
        <f>IF(ISNUMBER(AG228),-(AG228+AG229+N(AG238)),"")</f>
        <v>2434.72</v>
      </c>
      <c r="AH257" s="264">
        <f>IF(ISNUMBER(AH228),-(AH228+AH229+N(AH238)),"")</f>
        <v>8959.477</v>
      </c>
      <c r="AI257" s="264">
        <f>IF(ISNUMBER(AI228),-(AI228+AI229+N(AI238)),"")</f>
        <v>2618.658</v>
      </c>
      <c r="AJ257" s="264">
        <f>IF(ISNUMBER(AJ228),-(AJ228+AJ229+N(AJ238)),"")</f>
        <v>2757.799</v>
      </c>
      <c r="AK257" s="264">
        <f>IF(ISNUMBER(AK228),-(AK228+AK229+N(AK238)),"")</f>
        <v>3180.58</v>
      </c>
      <c r="AL257" s="264">
        <f>IF(ISNUMBER(AL228),-(AL228+AL229+N(AL238)),"")</f>
        <v>3525.106</v>
      </c>
      <c r="AM257" s="264">
        <f>IF(ISNUMBER(AM228),-(AM228+AM229+N(AM238)),"")</f>
        <v>12082.143</v>
      </c>
      <c r="AN257" s="264">
        <f>IF(ISNUMBER(AN228),-(AN228+AN229+N(AN238)),"")</f>
        <v>3021.614</v>
      </c>
      <c r="AO257" s="264">
        <f>IF(ISNUMBER(AO228),-(AO228+AO229+N(AO238)),"")</f>
        <v>3345.315</v>
      </c>
      <c r="AP257" s="264">
        <f>IF(ISNUMBER(AP228),-(AP228+AP229+N(AP238)),"")</f>
        <v>3748.474</v>
      </c>
      <c r="AQ257" s="264">
        <f>IF(ISNUMBER(AQ228),-(AQ228+AQ229+N(AQ238)),"")</f>
        <v>4495.291</v>
      </c>
      <c r="AR257" s="264">
        <f>IF(ISNUMBER(AR228),-(AR228+AR229+N(AR238)),"")</f>
        <v>14610.694</v>
      </c>
      <c r="AS257" s="264">
        <f>IF(ISNUMBER(AS228),-(AS228+AS229+N(AS238)),"")</f>
        <v>3035.33</v>
      </c>
      <c r="AT257" s="264">
        <f>IF(ISNUMBER(AT228),-(AT228+AT229+N(AT238)),"")</f>
        <v>2619.214</v>
      </c>
      <c r="AU257" s="264">
        <f>IF(ISNUMBER(AU228),-(AU228+AU229+N(AU238)),"")</f>
        <v>3033.344</v>
      </c>
      <c r="AV257" s="264">
        <f>IF(ISNUMBER(AV228),-(AV228+AV229+N(AV238)),"")</f>
        <v>3848.829</v>
      </c>
      <c r="AW257" s="264">
        <f>IF(ISNUMBER(AW228),-(AW228+AW229+N(AW238)),"")</f>
        <v>12536.717</v>
      </c>
      <c r="AX257" s="264">
        <f>IF(ISNUMBER(AX228),-(AX228+AX229+N(AX238)),"")</f>
        <v>3550.616</v>
      </c>
      <c r="AY257" s="264">
        <f>IF(ISNUMBER(AY228),-(AY228+AY229+N(AY238)),"")</f>
        <v>4408.958</v>
      </c>
      <c r="AZ257" s="264">
        <f>IF(ISNUMBER(AZ228),-(AZ228+AZ229+N(AZ238)),"")</f>
        <v>4695.483</v>
      </c>
      <c r="BA257" s="264">
        <f>IF(ISNUMBER(BA228),-(BA228+BA229+N(BA238)),"")</f>
        <v>4814.247</v>
      </c>
      <c r="BB257" s="264">
        <f>IF(ISNUMBER(BB228),-(BB228+BB229+N(BB238)),"")</f>
        <v>17469.304</v>
      </c>
      <c r="BC257" s="264">
        <f>IF(ISNUMBER(BC228),-(BC228+BC229+N(BC238)),"")</f>
        <v>3931.313</v>
      </c>
      <c r="BD257" s="264">
        <f>IF(ISNUMBER(BD228),-(BD228+BD229+N(BD238)),"")</f>
        <v>4495.783</v>
      </c>
      <c r="BE257" s="264">
        <f>IF(ISNUMBER(BE228),-(BE228+BE229+N(BE238)),"")</f>
        <v>4521.804</v>
      </c>
      <c r="BF257" s="264">
        <f>IF(ISNUMBER(BF228),-(BF228+BF229+N(BF238)),"")</f>
        <v>3710.828</v>
      </c>
      <c r="BG257" s="264">
        <f>IF(ISNUMBER(BG228),-(BG228+BG229+N(BG238)),"")</f>
        <v>16659.728</v>
      </c>
      <c r="BH257" s="264">
        <f>IF(ISNUMBER(BH228),-(BH228+BH229+N(BH238)),"")</f>
        <v>2813.457</v>
      </c>
      <c r="BI257" s="264">
        <f>IF(ISNUMBER(BI228),-(BI228+BI229+N(BI238)),"")</f>
        <v>3636.888</v>
      </c>
      <c r="BJ257" s="264">
        <f>IF(ISNUMBER(BJ228),-(BJ228+BJ229+N(BJ238)),"")</f>
        <v>3209.828</v>
      </c>
      <c r="BK257" s="264">
        <f>IF(ISNUMBER(BK228),-(BK228+BK229+N(BK238)),"")</f>
        <v>3480.132</v>
      </c>
      <c r="BL257" s="264">
        <f>IF(ISNUMBER(BL228),-(BL228+BL229+N(BL238)),"")</f>
        <v>13140.305</v>
      </c>
      <c r="BM257" s="264">
        <f>IF(ISNUMBER(BM228),-(BM228+BM229+N(BM238)),"")</f>
        <v>3918.408</v>
      </c>
      <c r="BN257" s="264">
        <f>IF(ISNUMBER(BN228),-(BN228+BN229+N(BN238)),"")</f>
        <v>4415.424</v>
      </c>
      <c r="BO257" s="264">
        <f>IF(ISNUMBER(BO228),-(BO228+BO229+N(BO238)),"")</f>
        <v>4099.981</v>
      </c>
      <c r="BP257" s="264">
        <f>IF(ISNUMBER(BP228),-(BP228+BP229+N(BP238)),"")</f>
        <v>4568.939</v>
      </c>
      <c r="BQ257" s="264">
        <f>IF(ISNUMBER(BQ228),-(BQ228+BQ229+N(BQ238)),"")</f>
        <v>17002.752</v>
      </c>
      <c r="BR257" s="264">
        <f>IF(ISNUMBER(BR228),-(BR228+BR229+N(BR238)),"")</f>
        <v>3960.91</v>
      </c>
      <c r="BS257" s="264">
        <f>IF(ISNUMBER(BS228),-(BS228+BS229+N(BS238)),"")</f>
        <v>4049.865</v>
      </c>
      <c r="BT257" s="264">
        <f>IF(ISNUMBER(BT228),-(BT228+BT229+N(BT238)),"")</f>
        <v>4629.673</v>
      </c>
      <c r="BU257" s="264">
        <f>IF(ISNUMBER(BU228),-(BU228+BU229+N(BU238)),"")</f>
        <v>5067.007</v>
      </c>
      <c r="BV257" s="264">
        <f>IF(ISNUMBER(BV228),-(BV228+BV229+N(BV238)),"")</f>
        <v>17707.455</v>
      </c>
      <c r="BW257" s="264">
        <f>IF(ISNUMBER(BW228),-(BW228+BW229+N(BW238)),"")</f>
        <v>4801.701</v>
      </c>
      <c r="BX257" s="264">
        <f>IF(ISNUMBER(BX228),-(BX228+BX229+N(BX238)),"")</f>
        <v>5109.317</v>
      </c>
      <c r="BY257" s="35" t="n"/>
      <c r="BZ257" s="35" t="n"/>
      <c r="CA257" s="254">
        <f>IF(ISNUMBER(CA228),-(CA228+CA229+N(CA238)),"")</f>
        <v>19870.82086</v>
      </c>
      <c r="CB257" s="254">
        <f>IF(ISNUMBER(CB228),-(CB228+CB229+N(CB238)),"")</f>
        <v>21460.4865288</v>
      </c>
      <c r="CC257" s="254">
        <f>IF(ISNUMBER(CC228),-(CC228+CC229+N(CC238)),"")</f>
        <v>22545.2165751648</v>
      </c>
      <c r="CD257" s="254">
        <f>IF(ISNUMBER(CD228),-(CD228+CD229+N(CD238)),"")</f>
        <v>23788.3347668788</v>
      </c>
      <c r="CE257" s="254">
        <f>IF(ISNUMBER(CE228),-(CE228+CE229+N(CE238)),"")</f>
        <v>24979.9747140794</v>
      </c>
      <c r="CF257" s="254">
        <f>IF(ISNUMBER(CF228),-(CF228+CF229+N(CF238)),"")</f>
        <v>26105.251876907</v>
      </c>
      <c r="CG257" s="19" t="n"/>
      <c r="CI257" s="20">
        <f>IFERROR((CF257/CA257)^(1/5)-1,"n/m")</f>
        <v>0.0560936125864742</v>
      </c>
      <c r="CJ257" s="20">
        <f>IFERROR((BV257/AW257)^(1/5)-1,"n/m")</f>
        <v>0.0715056487471204</v>
      </c>
      <c r="CK257" s="20">
        <f>IFERROR((BV257/X257)^(1/10)-1,"n/m")</f>
        <v>0.142153024067895</v>
      </c>
      <c r="CL257" s="20">
        <f>IFERROR((BV257/C257)^(1/19)-1,"n/m")</f>
        <v>0.277199291228067</v>
      </c>
    </row>
    <row r="258" ht="15" customHeight="1" s="251">
      <c r="B258" s="25" t="inlineStr">
        <is>
          <t xml:space="preserve">  Cash content spend / content amortization (x)</t>
        </is>
      </c>
      <c r="C258" s="286">
        <f>IF(ISNUMBER(C257),IFERROR(C257/C230,""),"")</f>
        <v>1.20096344573534</v>
      </c>
      <c r="D258" s="286">
        <f>IF(ISNUMBER(D257),IFERROR(D257/D230,""),"")</f>
        <v>1.09842440331342</v>
      </c>
      <c r="E258" s="286">
        <f>IF(ISNUMBER(E257),IFERROR(E257/E230,""),"")</f>
        <v>0.776369799339235</v>
      </c>
      <c r="F258" s="286">
        <f>IF(ISNUMBER(F257),IFERROR(F257/F230,""),"")</f>
        <v>0.879511595061278</v>
      </c>
      <c r="G258" s="286">
        <f>IF(ISNUMBER(G257),IFERROR(G257/G230,""),"")</f>
        <v>1.7635331142131</v>
      </c>
      <c r="H258" s="286">
        <f>IF(ISNUMBER(H257),IFERROR(H257/H230,""),"")</f>
        <v>1.18798751558039</v>
      </c>
      <c r="I258" s="286">
        <f>IF(ISNUMBER(I257),IFERROR(I257/I230,""),"")</f>
        <v>1.0875750174754</v>
      </c>
      <c r="J258" s="286">
        <f>IF(ISNUMBER(J257),IFERROR(J257/J230,""),"")</f>
        <v>1.19734432325285</v>
      </c>
      <c r="K258" s="286">
        <f>IF(ISNUMBER(K257),IFERROR(K257/K230,""),"")</f>
        <v>1.13681744226351</v>
      </c>
      <c r="L258" s="286">
        <f>IF(ISNUMBER(L257),IFERROR(L257/L230,""),"")</f>
        <v>1.02216344974954</v>
      </c>
      <c r="M258" s="286">
        <f>IF(ISNUMBER(M257),IFERROR(M257/M230,""),"")</f>
        <v>1.10881730264384</v>
      </c>
      <c r="N258" s="286">
        <f>IF(ISNUMBER(N257),IFERROR(N257/N230,""),"")</f>
        <v>1.11334214195374</v>
      </c>
      <c r="O258" s="286">
        <f>IF(ISNUMBER(O257),IFERROR(O257/O230,""),"")</f>
        <v>1.17056330813026</v>
      </c>
      <c r="P258" s="286">
        <f>IF(ISNUMBER(P257),IFERROR(P257/P230,""),"")</f>
        <v>1.15241173242271</v>
      </c>
      <c r="Q258" s="286">
        <f>IF(ISNUMBER(Q257),IFERROR(Q257/Q230,""),"")</f>
        <v>1.23684490710837</v>
      </c>
      <c r="R258" s="286">
        <f>IF(ISNUMBER(R257),IFERROR(R257/R230,""),"")</f>
        <v>1.20695480932833</v>
      </c>
      <c r="S258" s="286">
        <f>IF(ISNUMBER(S257),IFERROR(S257/S230,""),"")</f>
        <v>1.19332788321596</v>
      </c>
      <c r="T258" s="286">
        <f>IF(ISNUMBER(T257),IFERROR(T257/T230,""),"")</f>
        <v>1.30855335972482</v>
      </c>
      <c r="U258" s="286">
        <f>IF(ISNUMBER(U257),IFERROR(U257/U230,""),"")</f>
        <v>1.3069623067228</v>
      </c>
      <c r="V258" s="286">
        <f>IF(ISNUMBER(V257),IFERROR(V257/V230,""),"")</f>
        <v>1.36936736509991</v>
      </c>
      <c r="W258" s="286">
        <f>IF(ISNUMBER(W257),IFERROR(W257/W230,""),"")</f>
        <v>1.38443936393468</v>
      </c>
      <c r="X258" s="286">
        <f>IF(ISNUMBER(X257),IFERROR(X257/X230,""),"")</f>
        <v>1.34505512858554</v>
      </c>
      <c r="Y258" s="286">
        <f>IF(ISNUMBER(Y257),IFERROR(Y257/Y230,""),"")</f>
        <v>1.32913207323335</v>
      </c>
      <c r="Z258" s="286">
        <f>IF(ISNUMBER(Z257),IFERROR(Z257/Z230,""),"")</f>
        <v>1.31436896322682</v>
      </c>
      <c r="AA258" s="286">
        <f>IF(ISNUMBER(AA257),IFERROR(AA257/AA230,""),"")</f>
        <v>1.5517584156887</v>
      </c>
      <c r="AB258" s="286">
        <f>IF(ISNUMBER(AB257),IFERROR(AB257/AB230,""),"")</f>
        <v>1.49891977115152</v>
      </c>
      <c r="AC258" s="286">
        <f>IF(ISNUMBER(AC257),IFERROR(AC257/AC230,""),"")</f>
        <v>1.42945751882403</v>
      </c>
      <c r="AD258" s="286">
        <f>IF(ISNUMBER(AD257),IFERROR(AD257/AD230,""),"")</f>
        <v>1.51612912969377</v>
      </c>
      <c r="AE258" s="286">
        <f>IF(ISNUMBER(AE257),IFERROR(AE257/AE230,""),"")</f>
        <v>1.376346658755</v>
      </c>
      <c r="AF258" s="286">
        <f>IF(ISNUMBER(AF257),IFERROR(AF257/AF230,""),"")</f>
        <v>1.43826977649055</v>
      </c>
      <c r="AG258" s="286">
        <f>IF(ISNUMBER(AG257),IFERROR(AG257/AG230,""),"")</f>
        <v>1.41048992209261</v>
      </c>
      <c r="AH258" s="286">
        <f>IF(ISNUMBER(AH257),IFERROR(AH257/AH230,""),"")</f>
        <v>1.43157533290064</v>
      </c>
      <c r="AI258" s="286">
        <f>IF(ISNUMBER(AI257),IFERROR(AI257/AI230,""),"")</f>
        <v>1.48789246229214</v>
      </c>
      <c r="AJ258" s="286">
        <f>IF(ISNUMBER(AJ257),IFERROR(AJ257/AJ230,""),"")</f>
        <v>1.50784184112269</v>
      </c>
      <c r="AK258" s="286">
        <f>IF(ISNUMBER(AK257),IFERROR(AK257/AK230,""),"")</f>
        <v>1.65506424953401</v>
      </c>
      <c r="AL258" s="286">
        <f>IF(ISNUMBER(AL257),IFERROR(AL257/AL230,""),"")</f>
        <v>1.70903872492576</v>
      </c>
      <c r="AM258" s="286">
        <f>IF(ISNUMBER(AM257),IFERROR(AM257/AM230,""),"")</f>
        <v>1.5953604109173</v>
      </c>
      <c r="AN258" s="286">
        <f>IF(ISNUMBER(AN257),IFERROR(AN257/AN230,""),"")</f>
        <v>1.41647341194781</v>
      </c>
      <c r="AO258" s="286">
        <f>IF(ISNUMBER(AO257),IFERROR(AO257/AO230,""),"")</f>
        <v>1.4937302724495</v>
      </c>
      <c r="AP258" s="286">
        <f>IF(ISNUMBER(AP257),IFERROR(AP257/AP230,""),"")</f>
        <v>1.63929991327853</v>
      </c>
      <c r="AQ258" s="286">
        <f>IF(ISNUMBER(AQ257),IFERROR(AQ257/AQ230,""),"")</f>
        <v>1.75813637874729</v>
      </c>
      <c r="AR258" s="286">
        <f>IF(ISNUMBER(AR257),IFERROR(AR257/AR230,""),"")</f>
        <v>1.58531927366964</v>
      </c>
      <c r="AS258" s="286">
        <f>IF(ISNUMBER(AS257),IFERROR(AS257/AS230,""),"")</f>
        <v>1.22225510744407</v>
      </c>
      <c r="AT258" s="286">
        <f>IF(ISNUMBER(AT257),IFERROR(AT257/AT230,""),"")</f>
        <v>1.00462380698684</v>
      </c>
      <c r="AU258" s="286">
        <f>IF(ISNUMBER(AU257),IFERROR(AU257/AU230,""),"")</f>
        <v>1.10959369626187</v>
      </c>
      <c r="AV258" s="286">
        <f>IF(ISNUMBER(AV257),IFERROR(AV257/AV230,""),"")</f>
        <v>1.29041666317422</v>
      </c>
      <c r="AW258" s="286">
        <f>IF(ISNUMBER(AW257),IFERROR(AW257/AW230,""),"")</f>
        <v>1.16006468822916</v>
      </c>
      <c r="AX258" s="286">
        <f>IF(ISNUMBER(AX257),IFERROR(AX257/AX230,""),"")</f>
        <v>1.30575949655707</v>
      </c>
      <c r="AY258" s="286">
        <f>IF(ISNUMBER(AY257),IFERROR(AY257/AY230,""),"")</f>
        <v>1.57081134657473</v>
      </c>
      <c r="AZ258" s="286">
        <f>IF(ISNUMBER(AZ257),IFERROR(AZ257/AZ230,""),"")</f>
        <v>1.58467842774222</v>
      </c>
      <c r="BA258" s="286">
        <f>IF(ISNUMBER(BA257),IFERROR(BA257/BA230,""),"")</f>
        <v>1.28677869317142</v>
      </c>
      <c r="BB258" s="286">
        <f>IF(ISNUMBER(BB257),IFERROR(BB257/BB230,""),"")</f>
        <v>1.42835484822328</v>
      </c>
      <c r="BC258" s="286">
        <f>IF(ISNUMBER(BC257),IFERROR(BC257/BC230,""),"")</f>
        <v>1.24158554051728</v>
      </c>
      <c r="BD258" s="286">
        <f>IF(ISNUMBER(BD257),IFERROR(BD257/BD230,""),"")</f>
        <v>1.37850453248166</v>
      </c>
      <c r="BE258" s="286">
        <f>IF(ISNUMBER(BE257),IFERROR(BE257/BE230,""),"")</f>
        <v>1.23763244500207</v>
      </c>
      <c r="BF258" s="286">
        <f>IF(ISNUMBER(BF257),IFERROR(BF257/BF230,""),"")</f>
        <v>0.940682062863593</v>
      </c>
      <c r="BG258" s="286">
        <f>IF(ISNUMBER(BG257),IFERROR(BG257/BG230,""),"")</f>
        <v>1.1877635259671</v>
      </c>
      <c r="BH258" s="286">
        <f>IF(ISNUMBER(BH257),IFERROR(BH257/BH230,""),"")</f>
        <v>0.813141621464146</v>
      </c>
      <c r="BI258" s="286">
        <f>IF(ISNUMBER(BI257),IFERROR(BI257/BI230,""),"")</f>
        <v>1.06652950231098</v>
      </c>
      <c r="BJ258" s="286">
        <f>IF(ISNUMBER(BJ257),IFERROR(BJ257/BJ230,""),"")</f>
        <v>0.898267817369289</v>
      </c>
      <c r="BK258" s="286">
        <f>IF(ISNUMBER(BK257),IFERROR(BK257/BK230,""),"")</f>
        <v>0.927026842003058</v>
      </c>
      <c r="BL258" s="286">
        <f>IF(ISNUMBER(BL257),IFERROR(BL257/BL230,""),"")</f>
        <v>0.925540645117848</v>
      </c>
      <c r="BM258" s="286">
        <f>IF(ISNUMBER(BM257),IFERROR(BM257/BM230,""),"")</f>
        <v>1.06745196217179</v>
      </c>
      <c r="BN258" s="286">
        <f>IF(ISNUMBER(BN257),IFERROR(BN257/BN230,""),"")</f>
        <v>1.17129631348997</v>
      </c>
      <c r="BO258" s="286">
        <f>IF(ISNUMBER(BO257),IFERROR(BO257/BO230,""),"")</f>
        <v>1.10824644595881</v>
      </c>
      <c r="BP258" s="286">
        <f>IF(ISNUMBER(BP257),IFERROR(BP257/BP230,""),"")</f>
        <v>1.09790650056314</v>
      </c>
      <c r="BQ258" s="286">
        <f>IF(ISNUMBER(BQ257),IFERROR(BQ257/BQ230,""),"")</f>
        <v>1.11118080645207</v>
      </c>
      <c r="BR258" s="286">
        <f>IF(ISNUMBER(BR257),IFERROR(BR257/BR230,""),"")</f>
        <v>1.03604341175461</v>
      </c>
      <c r="BS258" s="286">
        <f>IF(ISNUMBER(BS257),IFERROR(BS257/BS230,""),"")</f>
        <v>1.05683371458902</v>
      </c>
      <c r="BT258" s="286">
        <f>IF(ISNUMBER(BT257),IFERROR(BT257/BT230,""),"")</f>
        <v>1.15662480538351</v>
      </c>
      <c r="BU258" s="286">
        <f>IF(ISNUMBER(BU257),IFERROR(BU257/BU230,""),"")</f>
        <v>1.0635507980713</v>
      </c>
      <c r="BV258" s="286">
        <f>IF(ISNUMBER(BV257),IFERROR(BV257/BV230,""),"")</f>
        <v>1.07826549798608</v>
      </c>
      <c r="BW258" s="286">
        <f>IF(ISNUMBER(BW257),IFERROR(BW257/BW230,""),"")</f>
        <v>1.1384103463809</v>
      </c>
      <c r="BX258" s="286">
        <f>IF(ISNUMBER(BX257),IFERROR(BX257/BX230,""),"")</f>
        <v>1.18509645214481</v>
      </c>
      <c r="BY258" s="35" t="n"/>
      <c r="BZ258" s="35" t="n"/>
      <c r="CA258" s="287">
        <f>IF(ISNUMBER(CA257),IFERROR(CA257/CA230,""),"")</f>
        <v>1.1</v>
      </c>
      <c r="CB258" s="287">
        <f>CHOOSE(MATCH($CG$2,{"Bull","Base","Bear"},0),$CP$67,$CQ$67,$CR$67)</f>
        <v>1.1</v>
      </c>
      <c r="CC258" s="287">
        <f>CHOOSE(MATCH($CG$2,{"Bull","Base","Bear"},0),$CP$68,$CQ$68,$CR$68)</f>
        <v>1.08</v>
      </c>
      <c r="CD258" s="287">
        <f>CHOOSE(MATCH($CG$2,{"Bull","Base","Bear"},0),$CP$69,$CQ$69,$CR$69)</f>
        <v>1.07</v>
      </c>
      <c r="CE258" s="287">
        <f>CHOOSE(MATCH($CG$2,{"Bull","Base","Bear"},0),$CP$70,$CQ$70,$CR$70)</f>
        <v>1.06</v>
      </c>
      <c r="CF258" s="287">
        <f>CHOOSE(MATCH($CG$2,{"Bull","Base","Bear"},0),$CP$71,$CQ$71,$CR$71)</f>
        <v>1.05</v>
      </c>
      <c r="CG258" s="19" t="inlineStr">
        <is>
          <t>Guided ~1.1x for 2026. 2027E+: scenario lever (content cash spend running slightly ahead of amortization).</t>
        </is>
      </c>
      <c r="CI258" s="37">
        <f>IFERROR(AVERAGE(CB258,CC258,CD258,CE258,CF258),"n/m")</f>
        <v>1.072</v>
      </c>
      <c r="CJ258" s="37">
        <f>IFERROR(AVERAGE(BB258,BG258,BL258,BQ258,BV258),"n/m")</f>
        <v>1.14622106474927</v>
      </c>
      <c r="CK258" s="37">
        <f>IFERROR(AVERAGE(AC258,AH258,AM258,AR258,AW258,BB258,BG258,BL258,BQ258,BV258),"n/m")</f>
        <v>1.29328825482871</v>
      </c>
      <c r="CL258" s="37">
        <f>IFERROR(AVERAGE(C258,D258,E258,F258,G258,H258,I258,N258,S258,X258,AC258,AH258,AM258,AR258,AW258,BB258,BG258,BL258,BQ258,BV258),"n/m")</f>
        <v>1.22894862963803</v>
      </c>
    </row>
    <row r="259" ht="15" customHeight="1" s="251">
      <c r="B259" s="55" t="inlineStr">
        <is>
          <t>Free cash flow (company definition)</t>
        </is>
      </c>
      <c r="C259" s="271">
        <f>IF(AND(ISNUMBER(C236),ISNUMBER(C237)),C236+C237+N(C260),"")</f>
        <v>61.993</v>
      </c>
      <c r="D259" s="271">
        <f>IF(AND(ISNUMBER(D236),ISNUMBER(D237)),D236+D237+N(D260),"")</f>
        <v>247.567</v>
      </c>
      <c r="E259" s="271">
        <f>IF(AND(ISNUMBER(E236),ISNUMBER(E237)),E236+E237+N(E260),"")</f>
        <v>94.703</v>
      </c>
      <c r="F259" s="271">
        <f>IF(AND(ISNUMBER(F236),ISNUMBER(F237)),F236+F237+N(F260),"")</f>
        <v>97.122</v>
      </c>
      <c r="G259" s="271">
        <f>IF(AND(ISNUMBER(G236),ISNUMBER(G237)),G236+G237+N(G260),"")</f>
        <v>131.007</v>
      </c>
      <c r="H259" s="271">
        <f>IF(AND(ISNUMBER(H236),ISNUMBER(H237)),H236+H237+N(H260),"")</f>
        <v>186.55</v>
      </c>
      <c r="I259" s="271">
        <f>IF(AND(ISNUMBER(I236),ISNUMBER(I237)),I236+I237+N(I260),"")</f>
        <v>-58.151</v>
      </c>
      <c r="J259" s="271">
        <f>IF(AND(ISNUMBER(J236),ISNUMBER(J237)),J236+J237+N(J260),"")</f>
        <v>-41.511</v>
      </c>
      <c r="K259" s="271">
        <f>IF(AND(ISNUMBER(K236),ISNUMBER(K237)),K236+K237+N(K260),"")</f>
        <v>12.919</v>
      </c>
      <c r="L259" s="271">
        <f>IF(AND(ISNUMBER(L236),ISNUMBER(L237)),L236+L237+N(L260),"")</f>
        <v>7.065</v>
      </c>
      <c r="M259" s="271">
        <f>IF(AND(ISNUMBER(M236),ISNUMBER(M237)),M236+M237+N(M260),"")</f>
        <v>5.227</v>
      </c>
      <c r="N259" s="271">
        <f>IF(AND(ISNUMBER(N236),ISNUMBER(N237)),N236+N237+N(N260),"")</f>
        <v>-16.3</v>
      </c>
      <c r="O259" s="271">
        <f>IF(AND(ISNUMBER(O236),ISNUMBER(O237)),O236+O237+N(O260),"")</f>
        <v>8.406</v>
      </c>
      <c r="P259" s="271">
        <f>IF(AND(ISNUMBER(P236),ISNUMBER(P237)),P236+P237+N(P260),"")</f>
        <v>16.303</v>
      </c>
      <c r="Q259" s="271">
        <f>IF(AND(ISNUMBER(Q236),ISNUMBER(Q237)),Q236+Q237+N(Q260),"")</f>
        <v>-73.66</v>
      </c>
      <c r="R259" s="271">
        <f>IF(AND(ISNUMBER(R236),ISNUMBER(R237)),R236+R237+N(R260),"")</f>
        <v>-77.748</v>
      </c>
      <c r="S259" s="271">
        <f>IF(AND(ISNUMBER(S236),ISNUMBER(S237)),S236+S237+N(S260),"")</f>
        <v>-126.699</v>
      </c>
      <c r="T259" s="271">
        <f>IF(AND(ISNUMBER(T236),ISNUMBER(T237)),T236+T237+N(T260),"")</f>
        <v>-163.099</v>
      </c>
      <c r="U259" s="271">
        <f>IF(AND(ISNUMBER(U236),ISNUMBER(U237)),U236+U237+N(U260),"")</f>
        <v>-229.306</v>
      </c>
      <c r="V259" s="271">
        <f>IF(AND(ISNUMBER(V236),ISNUMBER(V237)),V236+V237+N(V260),"")</f>
        <v>-252.016</v>
      </c>
      <c r="W259" s="271">
        <f>IF(AND(ISNUMBER(W236),ISNUMBER(W237)),W236+W237+N(W260),"")</f>
        <v>-276.136</v>
      </c>
      <c r="X259" s="271">
        <f>IF(AND(ISNUMBER(X236),ISNUMBER(X237)),X236+X237+N(X260),"")</f>
        <v>-920.557</v>
      </c>
      <c r="Y259" s="271">
        <f>IF(AND(ISNUMBER(Y236),ISNUMBER(Y237)),Y236+Y237+N(Y260),"")</f>
        <v>-260.578</v>
      </c>
      <c r="Z259" s="271">
        <f>IF(AND(ISNUMBER(Z236),ISNUMBER(Z237)),Z236+Z237+N(Z260),"")</f>
        <v>-254.124</v>
      </c>
      <c r="AA259" s="271">
        <f>IF(AND(ISNUMBER(AA236),ISNUMBER(AA237)),AA236+AA237+N(AA260),"")</f>
        <v>-506.431</v>
      </c>
      <c r="AB259" s="271">
        <f>IF(AND(ISNUMBER(AB236),ISNUMBER(AB237)),AB236+AB237+N(AB260),"")</f>
        <v>-638.622</v>
      </c>
      <c r="AC259" s="271">
        <f>IF(AND(ISNUMBER(AC236),ISNUMBER(AC237)),AC236+AC237+N(AC260),"")</f>
        <v>-1659.755</v>
      </c>
      <c r="AD259" s="271">
        <f>IF(AND(ISNUMBER(AD236),ISNUMBER(AD237)),AD236+AD237+N(AD260),"")</f>
        <v>-422.52</v>
      </c>
      <c r="AE259" s="271">
        <f>IF(AND(ISNUMBER(AE236),ISNUMBER(AE237)),AE236+AE237+N(AE260),"")</f>
        <v>-608.447</v>
      </c>
      <c r="AF259" s="271">
        <f>IF(AND(ISNUMBER(AF236),ISNUMBER(AF237)),AF236+AF237+N(AF260),"")</f>
        <v>-464.894</v>
      </c>
      <c r="AG259" s="271">
        <f>IF(AND(ISNUMBER(AG236),ISNUMBER(AG237)),AG236+AG237+N(AG260),"")</f>
        <v>-523.798</v>
      </c>
      <c r="AH259" s="271">
        <f>IF(AND(ISNUMBER(AH236),ISNUMBER(AH237)),AH236+AH237+N(AH260),"")</f>
        <v>-2019.659</v>
      </c>
      <c r="AI259" s="271">
        <f>IF(AND(ISNUMBER(AI236),ISNUMBER(AI237)),AI236+AI237+N(AI260),"")</f>
        <v>-286.509</v>
      </c>
      <c r="AJ259" s="271">
        <f>IF(AND(ISNUMBER(AJ236),ISNUMBER(AJ237)),AJ236+AJ237+N(AJ260),"")</f>
        <v>-558.555</v>
      </c>
      <c r="AK259" s="271">
        <f>IF(AND(ISNUMBER(AK236),ISNUMBER(AK237)),AK236+AK237+N(AK260),"")</f>
        <v>-859.105</v>
      </c>
      <c r="AL259" s="271">
        <f>IF(AND(ISNUMBER(AL236),ISNUMBER(AL237)),AL236+AL237+N(AL260),"")</f>
        <v>-1315.43</v>
      </c>
      <c r="AM259" s="271">
        <f>IF(AND(ISNUMBER(AM236),ISNUMBER(AM237)),AM236+AM237+N(AM260),"")</f>
        <v>-3019.599</v>
      </c>
      <c r="AN259" s="271">
        <f>IF(AND(ISNUMBER(AN236),ISNUMBER(AN237)),AN236+AN237+N(AN260),"")</f>
        <v>-459.902</v>
      </c>
      <c r="AO259" s="271">
        <f>IF(AND(ISNUMBER(AO236),ISNUMBER(AO237)),AO236+AO237+N(AO260),"")</f>
        <v>-593.79</v>
      </c>
      <c r="AP259" s="271">
        <f>IF(AND(ISNUMBER(AP236),ISNUMBER(AP237)),AP236+AP237+N(AP260),"")</f>
        <v>-551.148</v>
      </c>
      <c r="AQ259" s="271">
        <f>IF(AND(ISNUMBER(AQ236),ISNUMBER(AQ237)),AQ236+AQ237+N(AQ260),"")</f>
        <v>-1669.546</v>
      </c>
      <c r="AR259" s="271">
        <f>IF(AND(ISNUMBER(AR236),ISNUMBER(AR237)),AR236+AR237+N(AR260),"")</f>
        <v>-3274.386</v>
      </c>
      <c r="AS259" s="271">
        <f>IF(AND(ISNUMBER(AS236),ISNUMBER(AS237)),AS236+AS237+N(AS260),"")</f>
        <v>161.609</v>
      </c>
      <c r="AT259" s="271">
        <f>IF(AND(ISNUMBER(AT236),ISNUMBER(AT237)),AT236+AT237+N(AT260),"")</f>
        <v>899.075</v>
      </c>
      <c r="AU259" s="271">
        <f>IF(AND(ISNUMBER(AU236),ISNUMBER(AU237)),AU236+AU237+N(AU260),"")</f>
        <v>1145.11</v>
      </c>
      <c r="AV259" s="271">
        <f>IF(AND(ISNUMBER(AV236),ISNUMBER(AV237)),AV236+AV237+N(AV260),"")</f>
        <v>-284.071</v>
      </c>
      <c r="AW259" s="271">
        <f>IF(AND(ISNUMBER(AW236),ISNUMBER(AW237)),AW236+AW237+N(AW260),"")</f>
        <v>1921.723</v>
      </c>
      <c r="AX259" s="271">
        <f>IF(AND(ISNUMBER(AX236),ISNUMBER(AX237)),AX236+AX237+N(AX260),"")</f>
        <v>691.65</v>
      </c>
      <c r="AY259" s="271">
        <f>IF(AND(ISNUMBER(AY236),ISNUMBER(AY237)),AY236+AY237+N(AY260),"")</f>
        <v>-175.039</v>
      </c>
      <c r="AZ259" s="271">
        <f>IF(AND(ISNUMBER(AZ236),ISNUMBER(AZ237)),AZ236+AZ237+N(AZ260),"")</f>
        <v>-106.252</v>
      </c>
      <c r="BA259" s="271">
        <f>IF(AND(ISNUMBER(BA236),ISNUMBER(BA237)),BA236+BA237+N(BA260),"")</f>
        <v>-569.253</v>
      </c>
      <c r="BB259" s="271">
        <f>IF(AND(ISNUMBER(BB236),ISNUMBER(BB237)),BB236+BB237+N(BB260),"")</f>
        <v>-158.894</v>
      </c>
      <c r="BC259" s="271">
        <f>IF(AND(ISNUMBER(BC236),ISNUMBER(BC237)),BC236+BC237+N(BC260),"")</f>
        <v>801.681</v>
      </c>
      <c r="BD259" s="271">
        <f>IF(AND(ISNUMBER(BD236),ISNUMBER(BD237)),BD236+BD237+N(BD260),"")</f>
        <v>12.732</v>
      </c>
      <c r="BE259" s="271">
        <f>IF(AND(ISNUMBER(BE236),ISNUMBER(BE237)),BE236+BE237+N(BE260),"")</f>
        <v>471.85</v>
      </c>
      <c r="BF259" s="271">
        <f>IF(AND(ISNUMBER(BF236),ISNUMBER(BF237)),BF236+BF237+N(BF260),"")</f>
        <v>332.265</v>
      </c>
      <c r="BG259" s="271">
        <f>IF(AND(ISNUMBER(BG236),ISNUMBER(BG237)),BG236+BG237+N(BG260),"")</f>
        <v>1618.528</v>
      </c>
      <c r="BH259" s="271">
        <f>IF(AND(ISNUMBER(BH236),ISNUMBER(BH237)),BH236+BH237+N(BH260),"")</f>
        <v>2116.721</v>
      </c>
      <c r="BI259" s="271">
        <f>IF(AND(ISNUMBER(BI236),ISNUMBER(BI237)),BI236+BI237+N(BI260),"")</f>
        <v>1339.26</v>
      </c>
      <c r="BJ259" s="271">
        <f>IF(AND(ISNUMBER(BJ236),ISNUMBER(BJ237)),BJ236+BJ237+N(BJ260),"")</f>
        <v>1888.386</v>
      </c>
      <c r="BK259" s="271">
        <f>IF(AND(ISNUMBER(BK236),ISNUMBER(BK237)),BK236+BK237+N(BK260),"")</f>
        <v>1581.382</v>
      </c>
      <c r="BL259" s="271">
        <f>IF(AND(ISNUMBER(BL236),ISNUMBER(BL237)),BL236+BL237+N(BL260),"")</f>
        <v>6925.749</v>
      </c>
      <c r="BM259" s="271">
        <f>IF(AND(ISNUMBER(BM236),ISNUMBER(BM237)),BM236+BM237+N(BM260),"")</f>
        <v>2136.808</v>
      </c>
      <c r="BN259" s="271">
        <f>IF(AND(ISNUMBER(BN236),ISNUMBER(BN237)),BN236+BN237+N(BN260),"")</f>
        <v>1212.56</v>
      </c>
      <c r="BO259" s="271">
        <f>IF(AND(ISNUMBER(BO236),ISNUMBER(BO237)),BO236+BO237+N(BO260),"")</f>
        <v>2194.238</v>
      </c>
      <c r="BP259" s="271">
        <f>IF(AND(ISNUMBER(BP236),ISNUMBER(BP237)),BP236+BP237+N(BP260),"")</f>
        <v>1378.22</v>
      </c>
      <c r="BQ259" s="271">
        <f>IF(AND(ISNUMBER(BQ236),ISNUMBER(BQ237)),BQ236+BQ237+N(BQ260),"")</f>
        <v>6921.826</v>
      </c>
      <c r="BR259" s="271">
        <f>IF(AND(ISNUMBER(BR236),ISNUMBER(BR237)),BR236+BR237+N(BR260),"")</f>
        <v>2660.922</v>
      </c>
      <c r="BS259" s="271">
        <f>IF(AND(ISNUMBER(BS236),ISNUMBER(BS237)),BS236+BS237+N(BS260),"")</f>
        <v>2267.369</v>
      </c>
      <c r="BT259" s="271">
        <f>IF(AND(ISNUMBER(BT236),ISNUMBER(BT237)),BT236+BT237+N(BT260),"")</f>
        <v>2660.455</v>
      </c>
      <c r="BU259" s="271">
        <f>IF(AND(ISNUMBER(BU236),ISNUMBER(BU237)),BU236+BU237+N(BU260),"")</f>
        <v>1872.307</v>
      </c>
      <c r="BV259" s="271">
        <f>IF(AND(ISNUMBER(BV236),ISNUMBER(BV237)),BV236+BV237+N(BV260),"")</f>
        <v>9461.053</v>
      </c>
      <c r="BW259" s="271">
        <f>IF(AND(ISNUMBER(BW236),ISNUMBER(BW237)),BW236+BW237+N(BW260),"")</f>
        <v>5094.075</v>
      </c>
      <c r="BX259" s="271">
        <f>IF(AND(ISNUMBER(BX236),ISNUMBER(BX237)),BX236+BX237+N(BX260),"")</f>
        <v>1525.168</v>
      </c>
      <c r="BY259" s="56" t="n"/>
      <c r="BZ259" s="56" t="n"/>
      <c r="CA259" s="271">
        <f>IF(AND(ISNUMBER(CA236),ISNUMBER(CA237)),CA236+CA237+N(CA260),"")</f>
        <v>12500</v>
      </c>
      <c r="CB259" s="271">
        <f>IF(AND(ISNUMBER(CB236),ISNUMBER(CB237)),CB236+CB237+N(CB260),"")</f>
        <v>13764.6887690763</v>
      </c>
      <c r="CC259" s="271">
        <f>IF(AND(ISNUMBER(CC236),ISNUMBER(CC237)),CC236+CC237+N(CC260),"")</f>
        <v>16400.9537231095</v>
      </c>
      <c r="CD259" s="271">
        <f>IF(AND(ISNUMBER(CD236),ISNUMBER(CD237)),CD236+CD237+N(CD260),"")</f>
        <v>18981.4847413793</v>
      </c>
      <c r="CE259" s="271">
        <f>IF(AND(ISNUMBER(CE236),ISNUMBER(CE237)),CE236+CE237+N(CE260),"")</f>
        <v>21410.9431551389</v>
      </c>
      <c r="CF259" s="271">
        <f>IF(AND(ISNUMBER(CF236),ISNUMBER(CF237)),CF236+CF237+N(CF260),"")</f>
        <v>23843.8243044588</v>
      </c>
      <c r="CG259" s="153" t="inlineStr">
        <is>
          <t>CFO − purchases of property and equipment (from 2021). Earlier definitions also deducted DVD / content-library acquisitions, intangibles and other assets (2006–2016) and the change in other assets (2017–2020) — row below.</t>
        </is>
      </c>
      <c r="CI259" s="20">
        <f>IFERROR((CF259/CA259)^(1/5)-1,"n/m")</f>
        <v>0.13787139550505</v>
      </c>
      <c r="CJ259" s="20">
        <f>IFERROR((BV259/AW259)^(1/5)-1,"n/m")</f>
        <v>0.375465613283297</v>
      </c>
      <c r="CK259" s="20" t="str">
        <f>IFERROR((BV259/X259)^(1/10)-1,"n/m")</f>
        <v>n/m</v>
      </c>
      <c r="CL259" s="20">
        <f>IFERROR((BV259/C259)^(1/19)-1,"n/m")</f>
        <v>0.302945194673633</v>
      </c>
    </row>
    <row r="260" ht="15" customHeight="1" s="251">
      <c r="B260" s="25" t="inlineStr">
        <is>
          <t xml:space="preserve">  Other items in the company FCF definition (DVD library, other assets, investing ex investments; to 2020)</t>
        </is>
      </c>
      <c r="C260" s="253" t="n">
        <v>-158.536</v>
      </c>
      <c r="D260" s="34" t="n"/>
      <c r="E260" s="253" t="n">
        <v>-145.544</v>
      </c>
      <c r="F260" s="253" t="n">
        <v>-182.009</v>
      </c>
      <c r="G260" s="253" t="n">
        <v>-111.557</v>
      </c>
      <c r="H260" s="253" t="n">
        <v>-81.48</v>
      </c>
      <c r="I260" s="253" t="n">
        <v>-39.459</v>
      </c>
      <c r="J260" s="253" t="n">
        <v>-17.143</v>
      </c>
      <c r="K260" s="253" t="n">
        <v>-12.936</v>
      </c>
      <c r="L260" s="253" t="n">
        <v>-16.8</v>
      </c>
      <c r="M260" s="253" t="n">
        <v>-13.109</v>
      </c>
      <c r="N260" s="253" t="n">
        <v>-59.988</v>
      </c>
      <c r="O260" s="253" t="n">
        <v>-14.619</v>
      </c>
      <c r="P260" s="253" t="n">
        <v>-19.852</v>
      </c>
      <c r="Q260" s="253" t="n">
        <v>-15.189</v>
      </c>
      <c r="R260" s="253" t="n">
        <v>-23.796</v>
      </c>
      <c r="S260" s="253" t="n">
        <v>-73.456</v>
      </c>
      <c r="T260" s="253" t="n">
        <v>-22.681</v>
      </c>
      <c r="U260" s="253" t="n">
        <v>-20.425</v>
      </c>
      <c r="V260" s="253" t="n">
        <v>-18.227</v>
      </c>
      <c r="W260" s="253" t="n">
        <v>-18.537</v>
      </c>
      <c r="X260" s="253" t="n">
        <v>-79.87</v>
      </c>
      <c r="Y260" s="253" t="n">
        <v>-23.563</v>
      </c>
      <c r="Z260" s="253" t="n">
        <v>-17.017</v>
      </c>
      <c r="AA260" s="253" t="n">
        <v>-17.124</v>
      </c>
      <c r="AB260" s="253" t="n">
        <v>-20.414</v>
      </c>
      <c r="AC260" s="253" t="n">
        <v>-78.11799999999999</v>
      </c>
      <c r="AD260" s="253" t="n">
        <v>-26.141</v>
      </c>
      <c r="AE260" s="253" t="n">
        <v>-8.688000000000001</v>
      </c>
      <c r="AF260" s="253" t="n">
        <v>-11.324</v>
      </c>
      <c r="AG260" s="253" t="n">
        <v>-14.256</v>
      </c>
      <c r="AH260" s="253" t="n">
        <v>-60.409</v>
      </c>
      <c r="AI260" s="253" t="n">
        <v>-12.582</v>
      </c>
      <c r="AJ260" s="253" t="n">
        <v>-12.993</v>
      </c>
      <c r="AK260" s="253" t="n">
        <v>-129.361</v>
      </c>
      <c r="AL260" s="253" t="n">
        <v>-10.238</v>
      </c>
      <c r="AM260" s="253" t="n">
        <v>-165.174</v>
      </c>
      <c r="AN260" s="253" t="n">
        <v>-19.722</v>
      </c>
      <c r="AO260" s="253" t="n">
        <v>-10.452</v>
      </c>
      <c r="AP260" s="253" t="n">
        <v>-4.021</v>
      </c>
      <c r="AQ260" s="253" t="n">
        <v>-99.834</v>
      </c>
      <c r="AR260" s="253" t="n">
        <v>-134.029</v>
      </c>
      <c r="AS260" s="253" t="n">
        <v>-0.288</v>
      </c>
      <c r="AT260" s="253" t="n">
        <v>-0.26</v>
      </c>
      <c r="AU260" s="253" t="n">
        <v>-8.84</v>
      </c>
      <c r="AV260" s="253" t="n">
        <v>1.957</v>
      </c>
      <c r="AW260" s="253" t="n">
        <v>-7.431</v>
      </c>
      <c r="AX260" s="253" t="n">
        <v>-4.615</v>
      </c>
      <c r="AY260" s="253" t="n">
        <v>-1</v>
      </c>
      <c r="AZ260" s="253" t="n">
        <v>-21.304</v>
      </c>
      <c r="BA260" s="253" t="n">
        <v>0</v>
      </c>
      <c r="BB260" s="253" t="n">
        <v>-26.919</v>
      </c>
      <c r="BC260" s="253" t="n">
        <v>0</v>
      </c>
      <c r="BD260" s="253" t="n">
        <v>0</v>
      </c>
      <c r="BE260" s="253" t="n">
        <v>0</v>
      </c>
      <c r="BF260" s="253" t="n">
        <v>0</v>
      </c>
      <c r="BG260" s="253" t="n">
        <v>0</v>
      </c>
      <c r="BH260" s="253" t="n">
        <v>0</v>
      </c>
      <c r="BI260" s="253" t="n">
        <v>0</v>
      </c>
      <c r="BJ260" s="253" t="n">
        <v>0</v>
      </c>
      <c r="BK260" s="253" t="n">
        <v>0</v>
      </c>
      <c r="BL260" s="253" t="n">
        <v>0</v>
      </c>
      <c r="BM260" s="253" t="n">
        <v>0</v>
      </c>
      <c r="BN260" s="253" t="n">
        <v>0</v>
      </c>
      <c r="BO260" s="253" t="n">
        <v>0</v>
      </c>
      <c r="BP260" s="253" t="n">
        <v>0</v>
      </c>
      <c r="BQ260" s="253" t="n">
        <v>0</v>
      </c>
      <c r="BR260" s="253" t="n">
        <v>0</v>
      </c>
      <c r="BS260" s="253" t="n">
        <v>0</v>
      </c>
      <c r="BT260" s="253" t="n">
        <v>0</v>
      </c>
      <c r="BU260" s="253" t="n">
        <v>0</v>
      </c>
      <c r="BV260" s="253" t="n">
        <v>0</v>
      </c>
      <c r="BW260" s="253" t="n">
        <v>0</v>
      </c>
      <c r="BX260" s="253" t="n">
        <v>0</v>
      </c>
      <c r="BY260" s="35" t="n"/>
      <c r="BZ260" s="35" t="n"/>
      <c r="CA260" s="254">
        <f>0</f>
        <v>0</v>
      </c>
      <c r="CB260" s="254">
        <f>0</f>
        <v>0</v>
      </c>
      <c r="CC260" s="254">
        <f>0</f>
        <v>0</v>
      </c>
      <c r="CD260" s="254">
        <f>0</f>
        <v>0</v>
      </c>
      <c r="CE260" s="254">
        <f>0</f>
        <v>0</v>
      </c>
      <c r="CF260" s="254">
        <f>0</f>
        <v>0</v>
      </c>
      <c r="CG260" s="19" t="n"/>
    </row>
    <row r="261" ht="15" customHeight="1" s="251">
      <c r="B261" s="156" t="inlineStr">
        <is>
          <t xml:space="preserve">  Company-published free cash flow</t>
        </is>
      </c>
      <c r="C261" s="253" t="n">
        <v>61.993</v>
      </c>
      <c r="D261" s="34" t="n"/>
      <c r="E261" s="253" t="n">
        <v>94.703</v>
      </c>
      <c r="F261" s="253" t="n">
        <v>97.122</v>
      </c>
      <c r="G261" s="253" t="n">
        <v>131.007</v>
      </c>
      <c r="H261" s="253" t="n">
        <v>186.55</v>
      </c>
      <c r="I261" s="253" t="n">
        <v>-58.151</v>
      </c>
      <c r="J261" s="253" t="n">
        <v>-41.511</v>
      </c>
      <c r="K261" s="253" t="n">
        <v>12.919</v>
      </c>
      <c r="L261" s="253" t="n">
        <v>7.065</v>
      </c>
      <c r="M261" s="253" t="n">
        <v>5.227</v>
      </c>
      <c r="N261" s="253" t="n">
        <v>-16.3</v>
      </c>
      <c r="O261" s="253" t="n">
        <v>8.406000000000001</v>
      </c>
      <c r="P261" s="253" t="n">
        <v>16.303</v>
      </c>
      <c r="Q261" s="253" t="n">
        <v>-73.66</v>
      </c>
      <c r="R261" s="253" t="n">
        <v>-77.748</v>
      </c>
      <c r="S261" s="253" t="n">
        <v>-126.699</v>
      </c>
      <c r="T261" s="253" t="n">
        <v>-163.099</v>
      </c>
      <c r="U261" s="253" t="n">
        <v>-229.306</v>
      </c>
      <c r="V261" s="253" t="n">
        <v>-252.016</v>
      </c>
      <c r="W261" s="253" t="n">
        <v>-276.136</v>
      </c>
      <c r="X261" s="253" t="n">
        <v>-920.557</v>
      </c>
      <c r="Y261" s="253" t="n">
        <v>-260.578</v>
      </c>
      <c r="Z261" s="253" t="n">
        <v>-254.124</v>
      </c>
      <c r="AA261" s="253" t="n">
        <v>-506.431</v>
      </c>
      <c r="AB261" s="253" t="n">
        <v>-638.622</v>
      </c>
      <c r="AC261" s="253" t="n">
        <v>-1659.755</v>
      </c>
      <c r="AD261" s="253" t="n">
        <v>-422.52</v>
      </c>
      <c r="AE261" s="253" t="n">
        <v>-608.447</v>
      </c>
      <c r="AF261" s="253" t="n">
        <v>-464.894</v>
      </c>
      <c r="AG261" s="253" t="n">
        <v>-523.798</v>
      </c>
      <c r="AH261" s="253" t="n">
        <v>-2019.659</v>
      </c>
      <c r="AI261" s="253" t="n">
        <v>-286.509</v>
      </c>
      <c r="AJ261" s="253" t="n">
        <v>-558.5549999999999</v>
      </c>
      <c r="AK261" s="253" t="n">
        <v>-859.105</v>
      </c>
      <c r="AL261" s="253" t="n">
        <v>-1315.43</v>
      </c>
      <c r="AM261" s="253" t="n">
        <v>-3019.599</v>
      </c>
      <c r="AN261" s="253" t="n">
        <v>-459.902</v>
      </c>
      <c r="AO261" s="253" t="n">
        <v>-593.79</v>
      </c>
      <c r="AP261" s="253" t="n">
        <v>-551.148</v>
      </c>
      <c r="AQ261" s="253" t="n">
        <v>-1669.546</v>
      </c>
      <c r="AR261" s="253" t="n">
        <v>-3274.386</v>
      </c>
      <c r="AS261" s="253" t="n">
        <v>161.609</v>
      </c>
      <c r="AT261" s="253" t="n">
        <v>899.075</v>
      </c>
      <c r="AU261" s="253" t="n">
        <v>1145.11</v>
      </c>
      <c r="AV261" s="253" t="n">
        <v>-284.071</v>
      </c>
      <c r="AW261" s="253" t="n">
        <v>1921.723</v>
      </c>
      <c r="AX261" s="253" t="n">
        <v>691.65</v>
      </c>
      <c r="AY261" s="253" t="n">
        <v>-175.039</v>
      </c>
      <c r="AZ261" s="253" t="n">
        <v>-106.252</v>
      </c>
      <c r="BA261" s="253" t="n">
        <v>-569.253</v>
      </c>
      <c r="BB261" s="253" t="n">
        <v>-158.894</v>
      </c>
      <c r="BC261" s="253" t="n">
        <v>801.681</v>
      </c>
      <c r="BD261" s="253" t="n">
        <v>12.732</v>
      </c>
      <c r="BE261" s="253" t="n">
        <v>471.85</v>
      </c>
      <c r="BF261" s="253" t="n">
        <v>332.265</v>
      </c>
      <c r="BG261" s="253" t="n">
        <v>1618.528</v>
      </c>
      <c r="BH261" s="253" t="n">
        <v>2116.721</v>
      </c>
      <c r="BI261" s="253" t="n">
        <v>1339.26</v>
      </c>
      <c r="BJ261" s="253" t="n">
        <v>1888.386</v>
      </c>
      <c r="BK261" s="253" t="n">
        <v>1581.382</v>
      </c>
      <c r="BL261" s="253" t="n">
        <v>6925.749</v>
      </c>
      <c r="BM261" s="253" t="n">
        <v>2136.808</v>
      </c>
      <c r="BN261" s="253" t="n">
        <v>1212.56</v>
      </c>
      <c r="BO261" s="253" t="n">
        <v>2194.238</v>
      </c>
      <c r="BP261" s="253" t="n">
        <v>1378.22</v>
      </c>
      <c r="BQ261" s="253" t="n">
        <v>6921.826</v>
      </c>
      <c r="BR261" s="253" t="n">
        <v>2660.922</v>
      </c>
      <c r="BS261" s="253" t="n">
        <v>2267.369</v>
      </c>
      <c r="BT261" s="253" t="n">
        <v>2660.455</v>
      </c>
      <c r="BU261" s="253" t="n">
        <v>1872.307</v>
      </c>
      <c r="BV261" s="253" t="n">
        <v>9461.053</v>
      </c>
      <c r="BW261" s="253" t="n">
        <v>5094.075</v>
      </c>
      <c r="BX261" s="253" t="n">
        <v>1525.168</v>
      </c>
      <c r="BY261" s="153" t="n"/>
      <c r="BZ261" s="153" t="n"/>
      <c r="CA261" s="153" t="n"/>
      <c r="CB261" s="153" t="n"/>
      <c r="CC261" s="153" t="n"/>
      <c r="CD261" s="153" t="n"/>
      <c r="CE261" s="153" t="n"/>
      <c r="CF261" s="153" t="n"/>
      <c r="CG261" s="153" t="n"/>
    </row>
    <row r="262" ht="15" customHeight="1" s="251">
      <c r="B262" s="57" t="inlineStr">
        <is>
          <t xml:space="preserve">  Check: model vs company-published free cash flow (should be 0)</t>
        </is>
      </c>
      <c r="C262" s="264">
        <f>IF(ISNUMBER(C261),IF(ABS(C259-C261)&lt;=0.15,0,ROUND(C259-C261,1)),"n/p")</f>
        <v>0</v>
      </c>
      <c r="D262" s="264" t="str">
        <f>IF(ISNUMBER(D261),IF(ABS(D259-D261)&lt;=0.15,0,ROUND(D259-D261,1)),"n/p")</f>
        <v>n/p</v>
      </c>
      <c r="E262" s="264">
        <f>IF(ISNUMBER(E261),IF(ABS(E259-E261)&lt;=0.15,0,ROUND(E259-E261,1)),"n/p")</f>
        <v>0</v>
      </c>
      <c r="F262" s="264">
        <f>IF(ISNUMBER(F261),IF(ABS(F259-F261)&lt;=0.15,0,ROUND(F259-F261,1)),"n/p")</f>
        <v>0</v>
      </c>
      <c r="G262" s="264">
        <f>IF(ISNUMBER(G261),IF(ABS(G259-G261)&lt;=0.15,0,ROUND(G259-G261,1)),"n/p")</f>
        <v>0</v>
      </c>
      <c r="H262" s="264">
        <f>IF(ISNUMBER(H261),IF(ABS(H259-H261)&lt;=0.15,0,ROUND(H259-H261,1)),"n/p")</f>
        <v>0</v>
      </c>
      <c r="I262" s="264">
        <f>IF(ISNUMBER(I261),IF(ABS(I259-I261)&lt;=0.15,0,ROUND(I259-I261,1)),"n/p")</f>
        <v>0</v>
      </c>
      <c r="J262" s="264">
        <f>IF(ISNUMBER(J261),IF(ABS(J259-J261)&lt;=0.15,0,ROUND(J259-J261,1)),"n/p")</f>
        <v>0</v>
      </c>
      <c r="K262" s="264">
        <f>IF(ISNUMBER(K261),IF(ABS(K259-K261)&lt;=0.15,0,ROUND(K259-K261,1)),"n/p")</f>
        <v>0</v>
      </c>
      <c r="L262" s="264">
        <f>IF(ISNUMBER(L261),IF(ABS(L259-L261)&lt;=0.15,0,ROUND(L259-L261,1)),"n/p")</f>
        <v>0</v>
      </c>
      <c r="M262" s="264">
        <f>IF(ISNUMBER(M261),IF(ABS(M259-M261)&lt;=0.15,0,ROUND(M259-M261,1)),"n/p")</f>
        <v>0</v>
      </c>
      <c r="N262" s="264">
        <f>IF(ISNUMBER(N261),IF(ABS(N259-N261)&lt;=0.15,0,ROUND(N259-N261,1)),"n/p")</f>
        <v>0</v>
      </c>
      <c r="O262" s="264">
        <f>IF(ISNUMBER(O261),IF(ABS(O259-O261)&lt;=0.15,0,ROUND(O259-O261,1)),"n/p")</f>
        <v>0</v>
      </c>
      <c r="P262" s="264">
        <f>IF(ISNUMBER(P261),IF(ABS(P259-P261)&lt;=0.15,0,ROUND(P259-P261,1)),"n/p")</f>
        <v>0</v>
      </c>
      <c r="Q262" s="264">
        <f>IF(ISNUMBER(Q261),IF(ABS(Q259-Q261)&lt;=0.15,0,ROUND(Q259-Q261,1)),"n/p")</f>
        <v>0</v>
      </c>
      <c r="R262" s="264">
        <f>IF(ISNUMBER(R261),IF(ABS(R259-R261)&lt;=0.15,0,ROUND(R259-R261,1)),"n/p")</f>
        <v>0</v>
      </c>
      <c r="S262" s="264">
        <f>IF(ISNUMBER(S261),IF(ABS(S259-S261)&lt;=0.15,0,ROUND(S259-S261,1)),"n/p")</f>
        <v>0</v>
      </c>
      <c r="T262" s="264">
        <f>IF(ISNUMBER(T261),IF(ABS(T259-T261)&lt;=0.15,0,ROUND(T259-T261,1)),"n/p")</f>
        <v>0</v>
      </c>
      <c r="U262" s="264">
        <f>IF(ISNUMBER(U261),IF(ABS(U259-U261)&lt;=0.15,0,ROUND(U259-U261,1)),"n/p")</f>
        <v>0</v>
      </c>
      <c r="V262" s="264">
        <f>IF(ISNUMBER(V261),IF(ABS(V259-V261)&lt;=0.15,0,ROUND(V259-V261,1)),"n/p")</f>
        <v>0</v>
      </c>
      <c r="W262" s="264">
        <f>IF(ISNUMBER(W261),IF(ABS(W259-W261)&lt;=0.15,0,ROUND(W259-W261,1)),"n/p")</f>
        <v>0</v>
      </c>
      <c r="X262" s="264">
        <f>IF(ISNUMBER(X261),IF(ABS(X259-X261)&lt;=0.15,0,ROUND(X259-X261,1)),"n/p")</f>
        <v>0</v>
      </c>
      <c r="Y262" s="264">
        <f>IF(ISNUMBER(Y261),IF(ABS(Y259-Y261)&lt;=0.15,0,ROUND(Y259-Y261,1)),"n/p")</f>
        <v>0</v>
      </c>
      <c r="Z262" s="264">
        <f>IF(ISNUMBER(Z261),IF(ABS(Z259-Z261)&lt;=0.15,0,ROUND(Z259-Z261,1)),"n/p")</f>
        <v>0</v>
      </c>
      <c r="AA262" s="264">
        <f>IF(ISNUMBER(AA261),IF(ABS(AA259-AA261)&lt;=0.15,0,ROUND(AA259-AA261,1)),"n/p")</f>
        <v>0</v>
      </c>
      <c r="AB262" s="264">
        <f>IF(ISNUMBER(AB261),IF(ABS(AB259-AB261)&lt;=0.15,0,ROUND(AB259-AB261,1)),"n/p")</f>
        <v>0</v>
      </c>
      <c r="AC262" s="264">
        <f>IF(ISNUMBER(AC261),IF(ABS(AC259-AC261)&lt;=0.15,0,ROUND(AC259-AC261,1)),"n/p")</f>
        <v>0</v>
      </c>
      <c r="AD262" s="264">
        <f>IF(ISNUMBER(AD261),IF(ABS(AD259-AD261)&lt;=0.15,0,ROUND(AD259-AD261,1)),"n/p")</f>
        <v>0</v>
      </c>
      <c r="AE262" s="264">
        <f>IF(ISNUMBER(AE261),IF(ABS(AE259-AE261)&lt;=0.15,0,ROUND(AE259-AE261,1)),"n/p")</f>
        <v>0</v>
      </c>
      <c r="AF262" s="264">
        <f>IF(ISNUMBER(AF261),IF(ABS(AF259-AF261)&lt;=0.15,0,ROUND(AF259-AF261,1)),"n/p")</f>
        <v>0</v>
      </c>
      <c r="AG262" s="264">
        <f>IF(ISNUMBER(AG261),IF(ABS(AG259-AG261)&lt;=0.15,0,ROUND(AG259-AG261,1)),"n/p")</f>
        <v>0</v>
      </c>
      <c r="AH262" s="264">
        <f>IF(ISNUMBER(AH261),IF(ABS(AH259-AH261)&lt;=0.15,0,ROUND(AH259-AH261,1)),"n/p")</f>
        <v>0</v>
      </c>
      <c r="AI262" s="264">
        <f>IF(ISNUMBER(AI261),IF(ABS(AI259-AI261)&lt;=0.15,0,ROUND(AI259-AI261,1)),"n/p")</f>
        <v>0</v>
      </c>
      <c r="AJ262" s="264">
        <f>IF(ISNUMBER(AJ261),IF(ABS(AJ259-AJ261)&lt;=0.15,0,ROUND(AJ259-AJ261,1)),"n/p")</f>
        <v>0</v>
      </c>
      <c r="AK262" s="264">
        <f>IF(ISNUMBER(AK261),IF(ABS(AK259-AK261)&lt;=0.15,0,ROUND(AK259-AK261,1)),"n/p")</f>
        <v>0</v>
      </c>
      <c r="AL262" s="264">
        <f>IF(ISNUMBER(AL261),IF(ABS(AL259-AL261)&lt;=0.15,0,ROUND(AL259-AL261,1)),"n/p")</f>
        <v>0</v>
      </c>
      <c r="AM262" s="264">
        <f>IF(ISNUMBER(AM261),IF(ABS(AM259-AM261)&lt;=0.15,0,ROUND(AM259-AM261,1)),"n/p")</f>
        <v>0</v>
      </c>
      <c r="AN262" s="264">
        <f>IF(ISNUMBER(AN261),IF(ABS(AN259-AN261)&lt;=0.15,0,ROUND(AN259-AN261,1)),"n/p")</f>
        <v>0</v>
      </c>
      <c r="AO262" s="264">
        <f>IF(ISNUMBER(AO261),IF(ABS(AO259-AO261)&lt;=0.15,0,ROUND(AO259-AO261,1)),"n/p")</f>
        <v>0</v>
      </c>
      <c r="AP262" s="264">
        <f>IF(ISNUMBER(AP261),IF(ABS(AP259-AP261)&lt;=0.15,0,ROUND(AP259-AP261,1)),"n/p")</f>
        <v>0</v>
      </c>
      <c r="AQ262" s="264">
        <f>IF(ISNUMBER(AQ261),IF(ABS(AQ259-AQ261)&lt;=0.15,0,ROUND(AQ259-AQ261,1)),"n/p")</f>
        <v>0</v>
      </c>
      <c r="AR262" s="264">
        <f>IF(ISNUMBER(AR261),IF(ABS(AR259-AR261)&lt;=0.15,0,ROUND(AR259-AR261,1)),"n/p")</f>
        <v>0</v>
      </c>
      <c r="AS262" s="264">
        <f>IF(ISNUMBER(AS261),IF(ABS(AS259-AS261)&lt;=0.15,0,ROUND(AS259-AS261,1)),"n/p")</f>
        <v>0</v>
      </c>
      <c r="AT262" s="264">
        <f>IF(ISNUMBER(AT261),IF(ABS(AT259-AT261)&lt;=0.15,0,ROUND(AT259-AT261,1)),"n/p")</f>
        <v>0</v>
      </c>
      <c r="AU262" s="264">
        <f>IF(ISNUMBER(AU261),IF(ABS(AU259-AU261)&lt;=0.15,0,ROUND(AU259-AU261,1)),"n/p")</f>
        <v>0</v>
      </c>
      <c r="AV262" s="264">
        <f>IF(ISNUMBER(AV261),IF(ABS(AV259-AV261)&lt;=0.15,0,ROUND(AV259-AV261,1)),"n/p")</f>
        <v>0</v>
      </c>
      <c r="AW262" s="264">
        <f>IF(ISNUMBER(AW261),IF(ABS(AW259-AW261)&lt;=0.15,0,ROUND(AW259-AW261,1)),"n/p")</f>
        <v>0</v>
      </c>
      <c r="AX262" s="264">
        <f>IF(ISNUMBER(AX261),IF(ABS(AX259-AX261)&lt;=0.15,0,ROUND(AX259-AX261,1)),"n/p")</f>
        <v>0</v>
      </c>
      <c r="AY262" s="264">
        <f>IF(ISNUMBER(AY261),IF(ABS(AY259-AY261)&lt;=0.15,0,ROUND(AY259-AY261,1)),"n/p")</f>
        <v>0</v>
      </c>
      <c r="AZ262" s="264">
        <f>IF(ISNUMBER(AZ261),IF(ABS(AZ259-AZ261)&lt;=0.15,0,ROUND(AZ259-AZ261,1)),"n/p")</f>
        <v>0</v>
      </c>
      <c r="BA262" s="264">
        <f>IF(ISNUMBER(BA261),IF(ABS(BA259-BA261)&lt;=0.15,0,ROUND(BA259-BA261,1)),"n/p")</f>
        <v>0</v>
      </c>
      <c r="BB262" s="264">
        <f>IF(ISNUMBER(BB261),IF(ABS(BB259-BB261)&lt;=0.15,0,ROUND(BB259-BB261,1)),"n/p")</f>
        <v>0</v>
      </c>
      <c r="BC262" s="264">
        <f>IF(ISNUMBER(BC261),IF(ABS(BC259-BC261)&lt;=0.15,0,ROUND(BC259-BC261,1)),"n/p")</f>
        <v>0</v>
      </c>
      <c r="BD262" s="264">
        <f>IF(ISNUMBER(BD261),IF(ABS(BD259-BD261)&lt;=0.15,0,ROUND(BD259-BD261,1)),"n/p")</f>
        <v>0</v>
      </c>
      <c r="BE262" s="264">
        <f>IF(ISNUMBER(BE261),IF(ABS(BE259-BE261)&lt;=0.15,0,ROUND(BE259-BE261,1)),"n/p")</f>
        <v>0</v>
      </c>
      <c r="BF262" s="264">
        <f>IF(ISNUMBER(BF261),IF(ABS(BF259-BF261)&lt;=0.15,0,ROUND(BF259-BF261,1)),"n/p")</f>
        <v>0</v>
      </c>
      <c r="BG262" s="264">
        <f>IF(ISNUMBER(BG261),IF(ABS(BG259-BG261)&lt;=0.15,0,ROUND(BG259-BG261,1)),"n/p")</f>
        <v>0</v>
      </c>
      <c r="BH262" s="264">
        <f>IF(ISNUMBER(BH261),IF(ABS(BH259-BH261)&lt;=0.15,0,ROUND(BH259-BH261,1)),"n/p")</f>
        <v>0</v>
      </c>
      <c r="BI262" s="264">
        <f>IF(ISNUMBER(BI261),IF(ABS(BI259-BI261)&lt;=0.15,0,ROUND(BI259-BI261,1)),"n/p")</f>
        <v>0</v>
      </c>
      <c r="BJ262" s="264">
        <f>IF(ISNUMBER(BJ261),IF(ABS(BJ259-BJ261)&lt;=0.15,0,ROUND(BJ259-BJ261,1)),"n/p")</f>
        <v>0</v>
      </c>
      <c r="BK262" s="264">
        <f>IF(ISNUMBER(BK261),IF(ABS(BK259-BK261)&lt;=0.15,0,ROUND(BK259-BK261,1)),"n/p")</f>
        <v>0</v>
      </c>
      <c r="BL262" s="264">
        <f>IF(ISNUMBER(BL261),IF(ABS(BL259-BL261)&lt;=0.15,0,ROUND(BL259-BL261,1)),"n/p")</f>
        <v>0</v>
      </c>
      <c r="BM262" s="264">
        <f>IF(ISNUMBER(BM261),IF(ABS(BM259-BM261)&lt;=0.15,0,ROUND(BM259-BM261,1)),"n/p")</f>
        <v>0</v>
      </c>
      <c r="BN262" s="264">
        <f>IF(ISNUMBER(BN261),IF(ABS(BN259-BN261)&lt;=0.15,0,ROUND(BN259-BN261,1)),"n/p")</f>
        <v>0</v>
      </c>
      <c r="BO262" s="264">
        <f>IF(ISNUMBER(BO261),IF(ABS(BO259-BO261)&lt;=0.15,0,ROUND(BO259-BO261,1)),"n/p")</f>
        <v>0</v>
      </c>
      <c r="BP262" s="264">
        <f>IF(ISNUMBER(BP261),IF(ABS(BP259-BP261)&lt;=0.15,0,ROUND(BP259-BP261,1)),"n/p")</f>
        <v>0</v>
      </c>
      <c r="BQ262" s="264">
        <f>IF(ISNUMBER(BQ261),IF(ABS(BQ259-BQ261)&lt;=0.15,0,ROUND(BQ259-BQ261,1)),"n/p")</f>
        <v>0</v>
      </c>
      <c r="BR262" s="264">
        <f>IF(ISNUMBER(BR261),IF(ABS(BR259-BR261)&lt;=0.15,0,ROUND(BR259-BR261,1)),"n/p")</f>
        <v>0</v>
      </c>
      <c r="BS262" s="264">
        <f>IF(ISNUMBER(BS261),IF(ABS(BS259-BS261)&lt;=0.15,0,ROUND(BS259-BS261,1)),"n/p")</f>
        <v>0</v>
      </c>
      <c r="BT262" s="264">
        <f>IF(ISNUMBER(BT261),IF(ABS(BT259-BT261)&lt;=0.15,0,ROUND(BT259-BT261,1)),"n/p")</f>
        <v>0</v>
      </c>
      <c r="BU262" s="264">
        <f>IF(ISNUMBER(BU261),IF(ABS(BU259-BU261)&lt;=0.15,0,ROUND(BU259-BU261,1)),"n/p")</f>
        <v>0</v>
      </c>
      <c r="BV262" s="264">
        <f>IF(ISNUMBER(BV261),IF(ABS(BV259-BV261)&lt;=0.15,0,ROUND(BV259-BV261,1)),"n/p")</f>
        <v>0</v>
      </c>
      <c r="BW262" s="264">
        <f>IF(ISNUMBER(BW261),IF(ABS(BW259-BW261)&lt;=0.15,0,ROUND(BW259-BW261,1)),"n/p")</f>
        <v>0</v>
      </c>
      <c r="BX262" s="264">
        <f>IF(ISNUMBER(BX261),IF(ABS(BX259-BX261)&lt;=0.15,0,ROUND(BX259-BX261,1)),"n/p")</f>
        <v>0</v>
      </c>
      <c r="BY262" s="153" t="n"/>
      <c r="BZ262" s="153" t="n"/>
      <c r="CA262" s="153" t="n"/>
      <c r="CB262" s="153" t="n"/>
      <c r="CC262" s="153" t="n"/>
      <c r="CD262" s="153" t="n"/>
      <c r="CE262" s="153" t="n"/>
      <c r="CF262" s="153" t="n"/>
      <c r="CG262" s="153" t="n"/>
    </row>
    <row r="263" ht="15" customHeight="1" s="251">
      <c r="B263" s="22" t="inlineStr">
        <is>
          <t xml:space="preserve">  FCF y/y %</t>
        </is>
      </c>
      <c r="C263" s="23" t="n"/>
      <c r="D263" s="255">
        <f>IF(AND(ISNUMBER(D259),ISNUMBER(C259)),IFERROR(D259/C259-1,""),"")</f>
        <v>2.9934670043392</v>
      </c>
      <c r="E263" s="255">
        <f>IF(AND(ISNUMBER(E259),ISNUMBER(D259)),IFERROR(E259/D259-1,""),"")</f>
        <v>-0.617465171044606</v>
      </c>
      <c r="F263" s="255">
        <f>IF(AND(ISNUMBER(F259),ISNUMBER(E259)),IFERROR(F259/E259-1,""),"")</f>
        <v>0.0255430134209056</v>
      </c>
      <c r="G263" s="255">
        <f>IF(AND(ISNUMBER(G259),ISNUMBER(F259)),IFERROR(G259/F259-1,""),"")</f>
        <v>0.348891085438933</v>
      </c>
      <c r="H263" s="255">
        <f>IF(AND(ISNUMBER(H259),ISNUMBER(G259)),IFERROR(H259/G259-1,""),"")</f>
        <v>0.423969711542131</v>
      </c>
      <c r="I263" s="255">
        <f>IF(AND(ISNUMBER(I259),ISNUMBER(H259)),IFERROR(I259/H259-1,""),"")</f>
        <v>-1.3117180380595</v>
      </c>
      <c r="J263" s="23" t="n"/>
      <c r="K263" s="23" t="n"/>
      <c r="L263" s="23" t="n"/>
      <c r="M263" s="23" t="n"/>
      <c r="N263" s="255">
        <f>IF(AND(ISNUMBER(N259),ISNUMBER(I259)),IFERROR(N259/I259-1,""),"")</f>
        <v>-0.719695276091555</v>
      </c>
      <c r="O263" s="255">
        <f>IF(AND(ISNUMBER(O259),ISNUMBER(J259)),IFERROR(O259/J259-1,""),"")</f>
        <v>-1.20250054202501</v>
      </c>
      <c r="P263" s="255">
        <f>IF(AND(ISNUMBER(P259),ISNUMBER(K259)),IFERROR(P259/K259-1,""),"")</f>
        <v>0.261939778620637</v>
      </c>
      <c r="Q263" s="255">
        <f>IF(AND(ISNUMBER(Q259),ISNUMBER(L259)),IFERROR(Q259/L259-1,""),"")</f>
        <v>-11.4260438782732</v>
      </c>
      <c r="R263" s="255">
        <f>IF(AND(ISNUMBER(R259),ISNUMBER(M259)),IFERROR(R259/M259-1,""),"")</f>
        <v>-15.8743064855558</v>
      </c>
      <c r="S263" s="255">
        <f>IF(AND(ISNUMBER(S259),ISNUMBER(N259)),IFERROR(S259/N259-1,""),"")</f>
        <v>6.77294478527608</v>
      </c>
      <c r="T263" s="255">
        <f>IF(AND(ISNUMBER(T259),ISNUMBER(O259)),IFERROR(T259/O259-1,""),"")</f>
        <v>-20.4026885557935</v>
      </c>
      <c r="U263" s="255">
        <f>IF(AND(ISNUMBER(U259),ISNUMBER(P259)),IFERROR(U259/P259-1,""),"")</f>
        <v>-15.0652640618291</v>
      </c>
      <c r="V263" s="255">
        <f>IF(AND(ISNUMBER(V259),ISNUMBER(Q259)),IFERROR(V259/Q259-1,""),"")</f>
        <v>2.42134129785501</v>
      </c>
      <c r="W263" s="255">
        <f>IF(AND(ISNUMBER(W259),ISNUMBER(R259)),IFERROR(W259/R259-1,""),"")</f>
        <v>2.5516797859752</v>
      </c>
      <c r="X263" s="255">
        <f>IF(AND(ISNUMBER(X259),ISNUMBER(S259)),IFERROR(X259/S259-1,""),"")</f>
        <v>6.26570059747907</v>
      </c>
      <c r="Y263" s="255">
        <f>IF(AND(ISNUMBER(Y259),ISNUMBER(T259)),IFERROR(Y259/T259-1,""),"")</f>
        <v>0.597667674234667</v>
      </c>
      <c r="Z263" s="255">
        <f>IF(AND(ISNUMBER(Z259),ISNUMBER(U259)),IFERROR(Z259/U259-1,""),"")</f>
        <v>0.108230922871621</v>
      </c>
      <c r="AA263" s="255">
        <f>IF(AND(ISNUMBER(AA259),ISNUMBER(V259)),IFERROR(AA259/V259-1,""),"")</f>
        <v>1.00951923687385</v>
      </c>
      <c r="AB263" s="255">
        <f>IF(AND(ISNUMBER(AB259),ISNUMBER(W259)),IFERROR(AB259/W259-1,""),"")</f>
        <v>1.31270823072689</v>
      </c>
      <c r="AC263" s="255">
        <f>IF(AND(ISNUMBER(AC259),ISNUMBER(X259)),IFERROR(AC259/X259-1,""),"")</f>
        <v>0.802989928923467</v>
      </c>
      <c r="AD263" s="255">
        <f>IF(AND(ISNUMBER(AD259),ISNUMBER(Y259)),IFERROR(AD259/Y259-1,""),"")</f>
        <v>0.621472265502076</v>
      </c>
      <c r="AE263" s="255">
        <f>IF(AND(ISNUMBER(AE259),ISNUMBER(Z259)),IFERROR(AE259/Z259-1,""),"")</f>
        <v>1.39429176307629</v>
      </c>
      <c r="AF263" s="255">
        <f>IF(AND(ISNUMBER(AF259),ISNUMBER(AA259)),IFERROR(AF259/AA259-1,""),"")</f>
        <v>-0.0820190707124957</v>
      </c>
      <c r="AG263" s="255">
        <f>IF(AND(ISNUMBER(AG259),ISNUMBER(AB259)),IFERROR(AG259/AB259-1,""),"")</f>
        <v>-0.179799631080671</v>
      </c>
      <c r="AH263" s="255">
        <f>IF(AND(ISNUMBER(AH259),ISNUMBER(AC259)),IFERROR(AH259/AC259-1,""),"")</f>
        <v>0.216841642290579</v>
      </c>
      <c r="AI263" s="255">
        <f>IF(AND(ISNUMBER(AI259),ISNUMBER(AD259)),IFERROR(AI259/AD259-1,""),"")</f>
        <v>-0.321904288554388</v>
      </c>
      <c r="AJ263" s="255">
        <f>IF(AND(ISNUMBER(AJ259),ISNUMBER(AE259)),IFERROR(AJ259/AE259-1,""),"")</f>
        <v>-0.0819989251323451</v>
      </c>
      <c r="AK263" s="255">
        <f>IF(AND(ISNUMBER(AK259),ISNUMBER(AF259)),IFERROR(AK259/AF259-1,""),"")</f>
        <v>0.847958889553317</v>
      </c>
      <c r="AL263" s="255">
        <f>IF(AND(ISNUMBER(AL259),ISNUMBER(AG259)),IFERROR(AL259/AG259-1,""),"")</f>
        <v>1.51133070382094</v>
      </c>
      <c r="AM263" s="255">
        <f>IF(AND(ISNUMBER(AM259),ISNUMBER(AH259)),IFERROR(AM259/AH259-1,""),"")</f>
        <v>0.49510338131338</v>
      </c>
      <c r="AN263" s="255">
        <f>IF(AND(ISNUMBER(AN259),ISNUMBER(AI259)),IFERROR(AN259/AI259-1,""),"")</f>
        <v>0.605192158012488</v>
      </c>
      <c r="AO263" s="255">
        <f>IF(AND(ISNUMBER(AO259),ISNUMBER(AJ259)),IFERROR(AO259/AJ259-1,""),"")</f>
        <v>0.0630824180250824</v>
      </c>
      <c r="AP263" s="255">
        <f>IF(AND(ISNUMBER(AP259),ISNUMBER(AK259)),IFERROR(AP259/AK259-1,""),"")</f>
        <v>-0.358462586063403</v>
      </c>
      <c r="AQ263" s="255">
        <f>IF(AND(ISNUMBER(AQ259),ISNUMBER(AL259)),IFERROR(AQ259/AL259-1,""),"")</f>
        <v>0.269201705906053</v>
      </c>
      <c r="AR263" s="255">
        <f>IF(AND(ISNUMBER(AR259),ISNUMBER(AM259)),IFERROR(AR259/AM259-1,""),"")</f>
        <v>0.0843777600933104</v>
      </c>
      <c r="AS263" s="255">
        <f>IF(AND(ISNUMBER(AS259),ISNUMBER(AN259)),IFERROR(AS259/AN259-1,""),"")</f>
        <v>-1.35139877626103</v>
      </c>
      <c r="AT263" s="255">
        <f>IF(AND(ISNUMBER(AT259),ISNUMBER(AO259)),IFERROR(AT259/AO259-1,""),"")</f>
        <v>-2.51412957442867</v>
      </c>
      <c r="AU263" s="255">
        <f>IF(AND(ISNUMBER(AU259),ISNUMBER(AP259)),IFERROR(AU259/AP259-1,""),"")</f>
        <v>-3.07768149390001</v>
      </c>
      <c r="AV263" s="255">
        <f>IF(AND(ISNUMBER(AV259),ISNUMBER(AQ259)),IFERROR(AV259/AQ259-1,""),"")</f>
        <v>-0.829851348809796</v>
      </c>
      <c r="AW263" s="255">
        <f>IF(AND(ISNUMBER(AW259),ISNUMBER(AR259)),IFERROR(AW259/AR259-1,""),"")</f>
        <v>-1.58689568059477</v>
      </c>
      <c r="AX263" s="255">
        <f>IF(AND(ISNUMBER(AX259),ISNUMBER(AS259)),IFERROR(AX259/AS259-1,""),"")</f>
        <v>3.27977402248637</v>
      </c>
      <c r="AY263" s="255">
        <f>IF(AND(ISNUMBER(AY259),ISNUMBER(AT259)),IFERROR(AY259/AT259-1,""),"")</f>
        <v>-1.19468787364792</v>
      </c>
      <c r="AZ263" s="255">
        <f>IF(AND(ISNUMBER(AZ259),ISNUMBER(AU259)),IFERROR(AZ259/AU259-1,""),"")</f>
        <v>-1.09278759245837</v>
      </c>
      <c r="BA263" s="255">
        <f>IF(AND(ISNUMBER(BA259),ISNUMBER(AV259)),IFERROR(BA259/AV259-1,""),"")</f>
        <v>1.00391099408247</v>
      </c>
      <c r="BB263" s="255">
        <f>IF(AND(ISNUMBER(BB259),ISNUMBER(AW259)),IFERROR(BB259/AW259-1,""),"")</f>
        <v>-1.08268309220424</v>
      </c>
      <c r="BC263" s="255">
        <f>IF(AND(ISNUMBER(BC259),ISNUMBER(AX259)),IFERROR(BC259/AX259-1,""),"")</f>
        <v>0.15908479722403</v>
      </c>
      <c r="BD263" s="255">
        <f>IF(AND(ISNUMBER(BD259),ISNUMBER(AY259)),IFERROR(BD259/AY259-1,""),"")</f>
        <v>-1.0727380755146</v>
      </c>
      <c r="BE263" s="255">
        <f>IF(AND(ISNUMBER(BE259),ISNUMBER(AZ259)),IFERROR(BE259/AZ259-1,""),"")</f>
        <v>-5.44085758385725</v>
      </c>
      <c r="BF263" s="255">
        <f>IF(AND(ISNUMBER(BF259),ISNUMBER(BA259)),IFERROR(BF259/BA259-1,""),"")</f>
        <v>-1.58368598847964</v>
      </c>
      <c r="BG263" s="255">
        <f>IF(AND(ISNUMBER(BG259),ISNUMBER(BB259)),IFERROR(BG259/BB259-1,""),"")</f>
        <v>-11.1862121917756</v>
      </c>
      <c r="BH263" s="255">
        <f>IF(AND(ISNUMBER(BH259),ISNUMBER(BC259)),IFERROR(BH259/BC259-1,""),"")</f>
        <v>1.64035320782206</v>
      </c>
      <c r="BI263" s="255">
        <f>IF(AND(ISNUMBER(BI259),ISNUMBER(BD259)),IFERROR(BI259/BD259-1,""),"")</f>
        <v>104.188501413761</v>
      </c>
      <c r="BJ263" s="255">
        <f>IF(AND(ISNUMBER(BJ259),ISNUMBER(BE259)),IFERROR(BJ259/BE259-1,""),"")</f>
        <v>3.00208964713362</v>
      </c>
      <c r="BK263" s="255">
        <f>IF(AND(ISNUMBER(BK259),ISNUMBER(BF259)),IFERROR(BK259/BF259-1,""),"")</f>
        <v>3.75939987660452</v>
      </c>
      <c r="BL263" s="255">
        <f>IF(AND(ISNUMBER(BL259),ISNUMBER(BG259)),IFERROR(BL259/BG259-1,""),"")</f>
        <v>3.27904182071611</v>
      </c>
      <c r="BM263" s="255">
        <f>IF(AND(ISNUMBER(BM259),ISNUMBER(BH259)),IFERROR(BM259/BH259-1,""),"")</f>
        <v>0.00948967766654185</v>
      </c>
      <c r="BN263" s="255">
        <f>IF(AND(ISNUMBER(BN259),ISNUMBER(BI259)),IFERROR(BN259/BI259-1,""),"")</f>
        <v>-0.0946044830727417</v>
      </c>
      <c r="BO263" s="255">
        <f>IF(AND(ISNUMBER(BO259),ISNUMBER(BJ259)),IFERROR(BO259/BJ259-1,""),"")</f>
        <v>0.161964767796415</v>
      </c>
      <c r="BP263" s="255">
        <f>IF(AND(ISNUMBER(BP259),ISNUMBER(BK259)),IFERROR(BP259/BK259-1,""),"")</f>
        <v>-0.128471172683134</v>
      </c>
      <c r="BQ263" s="255">
        <f>IF(AND(ISNUMBER(BQ259),ISNUMBER(BL259)),IFERROR(BQ259/BL259-1,""),"")</f>
        <v>-0.000566436929782088</v>
      </c>
      <c r="BR263" s="255">
        <f>IF(AND(ISNUMBER(BR259),ISNUMBER(BM259)),IFERROR(BR259/BM259-1,""),"")</f>
        <v>0.245278939427408</v>
      </c>
      <c r="BS263" s="255">
        <f>IF(AND(ISNUMBER(BS259),ISNUMBER(BN259)),IFERROR(BS259/BN259-1,""),"")</f>
        <v>0.869902520287656</v>
      </c>
      <c r="BT263" s="255">
        <f>IF(AND(ISNUMBER(BT259),ISNUMBER(BO259)),IFERROR(BT259/BO259-1,""),"")</f>
        <v>0.212473305083587</v>
      </c>
      <c r="BU263" s="255">
        <f>IF(AND(ISNUMBER(BU259),ISNUMBER(BP259)),IFERROR(BU259/BP259-1,""),"")</f>
        <v>0.358496466456734</v>
      </c>
      <c r="BV263" s="255">
        <f>IF(AND(ISNUMBER(BV259),ISNUMBER(BQ259)),IFERROR(BV259/BQ259-1,""),"")</f>
        <v>0.366843517880975</v>
      </c>
      <c r="BW263" s="255">
        <f>IF(AND(ISNUMBER(BW259),ISNUMBER(BR259)),IFERROR(BW259/BR259-1,""),"")</f>
        <v>0.91440222599535</v>
      </c>
      <c r="BX263" s="255">
        <f>IF(AND(ISNUMBER(BX259),ISNUMBER(BS259)),IFERROR(BX259/BS259-1,""),"")</f>
        <v>-0.327340190326321</v>
      </c>
      <c r="BY263" s="24" t="n"/>
      <c r="BZ263" s="24" t="n"/>
      <c r="CA263" s="256">
        <f>IF(AND(ISNUMBER(CA259),ISNUMBER(BV259)),IFERROR(CA259/BV259-1,""),"")</f>
        <v>0.321206001065632</v>
      </c>
      <c r="CB263" s="256">
        <f>IF(AND(ISNUMBER(CB259),ISNUMBER(CA259)),IFERROR(CB259/CA259-1,""),"")</f>
        <v>0.101175101526108</v>
      </c>
      <c r="CC263" s="256">
        <f>IF(AND(ISNUMBER(CC259),ISNUMBER(CB259)),IFERROR(CC259/CB259-1,""),"")</f>
        <v>0.191523760417725</v>
      </c>
      <c r="CD263" s="256">
        <f>IF(AND(ISNUMBER(CD259),ISNUMBER(CC259)),IFERROR(CD259/CC259-1,""),"")</f>
        <v>0.157340302389478</v>
      </c>
      <c r="CE263" s="256">
        <f>IF(AND(ISNUMBER(CE259),ISNUMBER(CD259)),IFERROR(CE259/CD259-1,""),"")</f>
        <v>0.127990957865555</v>
      </c>
      <c r="CF263" s="256">
        <f>IF(AND(ISNUMBER(CF259),ISNUMBER(CE259)),IFERROR(CF259/CE259-1,""),"")</f>
        <v>0.11362792996515</v>
      </c>
      <c r="CG263" s="153" t="n"/>
    </row>
    <row r="264" ht="15" customHeight="1" s="251">
      <c r="B264" s="25" t="inlineStr">
        <is>
          <t xml:space="preserve">  FCF % of revenue</t>
        </is>
      </c>
      <c r="C264" s="215">
        <f>IF(AND(ISNUMBER(C259),ISNUMBER(C121)),IFERROR(C259/C121,""),"")</f>
        <v>0.0622007505066924</v>
      </c>
      <c r="D264" s="215">
        <f>IF(AND(ISNUMBER(D259),ISNUMBER(D121)),IFERROR(D259/D121,""),"")</f>
        <v>0.205391839646905</v>
      </c>
      <c r="E264" s="215">
        <f>IF(AND(ISNUMBER(E259),ISNUMBER(E121)),IFERROR(E259/E121,""),"")</f>
        <v>0.0693967219697786</v>
      </c>
      <c r="F264" s="215">
        <f>IF(AND(ISNUMBER(F259),ISNUMBER(F121)),IFERROR(F259/F121,""),"")</f>
        <v>0.0581475199503792</v>
      </c>
      <c r="G264" s="215">
        <f>IF(AND(ISNUMBER(G259),ISNUMBER(G121)),IFERROR(G259/G121,""),"")</f>
        <v>0.0605777700710942</v>
      </c>
      <c r="H264" s="215">
        <f>IF(AND(ISNUMBER(H259),ISNUMBER(H121)),IFERROR(H259/H121,""),"")</f>
        <v>0.0582136113440245</v>
      </c>
      <c r="I264" s="215">
        <f>IF(AND(ISNUMBER(I259),ISNUMBER(I121)),IFERROR(I259/I121,""),"")</f>
        <v>-0.0161115147001537</v>
      </c>
      <c r="J264" s="215">
        <f>IF(AND(ISNUMBER(J259),ISNUMBER(J121)),IFERROR(J259/J121,""),"")</f>
        <v>-0.0405396299273117</v>
      </c>
      <c r="K264" s="215">
        <f>IF(AND(ISNUMBER(K259),ISNUMBER(K121)),IFERROR(K259/K121,""),"")</f>
        <v>0.0120809222609157</v>
      </c>
      <c r="L264" s="215">
        <f>IF(AND(ISNUMBER(L259),ISNUMBER(L121)),IFERROR(L259/L121,""),"")</f>
        <v>0.00638789004330022</v>
      </c>
      <c r="M264" s="215">
        <f>IF(AND(ISNUMBER(M259),ISNUMBER(M121)),IFERROR(M259/M121,""),"")</f>
        <v>0.0044476400364184</v>
      </c>
      <c r="N264" s="215">
        <f>IF(AND(ISNUMBER(N259),ISNUMBER(N121)),IFERROR(N259/N121,""),"")</f>
        <v>-0.00372608732028486</v>
      </c>
      <c r="O264" s="215">
        <f>IF(AND(ISNUMBER(O259),ISNUMBER(O121)),IFERROR(O259/O121,""),"")</f>
        <v>0.00661843382629092</v>
      </c>
      <c r="P264" s="215">
        <f>IF(AND(ISNUMBER(P259),ISNUMBER(P121)),IFERROR(P259/P121,""),"")</f>
        <v>0.0121627237100373</v>
      </c>
      <c r="Q264" s="215">
        <f>IF(AND(ISNUMBER(Q259),ISNUMBER(Q121)),IFERROR(Q259/Q121,""),"")</f>
        <v>-0.0522621878884544</v>
      </c>
      <c r="R264" s="215">
        <f>IF(AND(ISNUMBER(R259),ISNUMBER(R121)),IFERROR(R259/R121,""),"")</f>
        <v>-0.0523651470168273</v>
      </c>
      <c r="S264" s="215">
        <f>IF(AND(ISNUMBER(S259),ISNUMBER(S121)),IFERROR(S259/S121,""),"")</f>
        <v>-0.0230166971378411</v>
      </c>
      <c r="T264" s="215">
        <f>IF(AND(ISNUMBER(T259),ISNUMBER(T121)),IFERROR(T259/T121,""),"")</f>
        <v>-0.10367808361552</v>
      </c>
      <c r="U264" s="215">
        <f>IF(AND(ISNUMBER(U259),ISNUMBER(U121)),IFERROR(U259/U121,""),"")</f>
        <v>-0.139421679655912</v>
      </c>
      <c r="V264" s="215">
        <f>IF(AND(ISNUMBER(V259),ISNUMBER(V121)),IFERROR(V259/V121,""),"")</f>
        <v>-0.144973840211004</v>
      </c>
      <c r="W264" s="215">
        <f>IF(AND(ISNUMBER(W259),ISNUMBER(W121)),IFERROR(W259/W121,""),"")</f>
        <v>-0.151445731525728</v>
      </c>
      <c r="X264" s="215">
        <f>IF(AND(ISNUMBER(X259),ISNUMBER(X121)),IFERROR(X259/X121,""),"")</f>
        <v>-0.135785162086174</v>
      </c>
      <c r="Y264" s="215">
        <f>IF(AND(ISNUMBER(Y259),ISNUMBER(Y121)),IFERROR(Y259/Y121,""),"")</f>
        <v>-0.133101705235027</v>
      </c>
      <c r="Z264" s="215">
        <f>IF(AND(ISNUMBER(Z259),ISNUMBER(Z121)),IFERROR(Z259/Z121,""),"")</f>
        <v>-0.120712292015406</v>
      </c>
      <c r="AA264" s="215">
        <f>IF(AND(ISNUMBER(AA259),ISNUMBER(AA121)),IFERROR(AA259/AA121,""),"")</f>
        <v>-0.221130754331085</v>
      </c>
      <c r="AB264" s="215">
        <f>IF(AND(ISNUMBER(AB259),ISNUMBER(AB121)),IFERROR(AB259/AB121,""),"")</f>
        <v>-0.257764452737614</v>
      </c>
      <c r="AC264" s="215">
        <f>IF(AND(ISNUMBER(AC259),ISNUMBER(AC121)),IFERROR(AC259/AC121,""),"")</f>
        <v>-0.187953483478998</v>
      </c>
      <c r="AD264" s="215">
        <f>IF(AND(ISNUMBER(AD259),ISNUMBER(AD121)),IFERROR(AD259/AD121,""),"")</f>
        <v>-0.160249712227897</v>
      </c>
      <c r="AE264" s="215">
        <f>IF(AND(ISNUMBER(AE259),ISNUMBER(AE121)),IFERROR(AE259/AE121,""),"")</f>
        <v>-0.218436497474029</v>
      </c>
      <c r="AF264" s="215">
        <f>IF(AND(ISNUMBER(AF259),ISNUMBER(AF121)),IFERROR(AF259/AF121,""),"")</f>
        <v>-0.155750740654751</v>
      </c>
      <c r="AG264" s="215">
        <f>IF(AND(ISNUMBER(AG259),ISNUMBER(AG121)),IFERROR(AG259/AG121,""),"")</f>
        <v>-0.159414807251301</v>
      </c>
      <c r="AH264" s="215">
        <f>IF(AND(ISNUMBER(AH259),ISNUMBER(AH121)),IFERROR(AH259/AH121,""),"")</f>
        <v>-0.172728005895638</v>
      </c>
      <c r="AI264" s="215">
        <f>IF(AND(ISNUMBER(AI259),ISNUMBER(AI121)),IFERROR(AI259/AI121,""),"")</f>
        <v>-0.077416954347859</v>
      </c>
      <c r="AJ264" s="215">
        <f>IF(AND(ISNUMBER(AJ259),ISNUMBER(AJ121)),IFERROR(AJ259/AJ121,""),"")</f>
        <v>-0.142952752177351</v>
      </c>
      <c r="AK264" s="215">
        <f>IF(AND(ISNUMBER(AK259),ISNUMBER(AK121)),IFERROR(AK259/AK121,""),"")</f>
        <v>-0.214809867744302</v>
      </c>
      <c r="AL264" s="215">
        <f>IF(AND(ISNUMBER(AL259),ISNUMBER(AL121)),IFERROR(AL259/AL121,""),"")</f>
        <v>-0.314181981116551</v>
      </c>
      <c r="AM264" s="215">
        <f>IF(AND(ISNUMBER(AM259),ISNUMBER(AM121)),IFERROR(AM259/AM121,""),"")</f>
        <v>-0.191182335495986</v>
      </c>
      <c r="AN264" s="215">
        <f>IF(AND(ISNUMBER(AN259),ISNUMBER(AN121)),IFERROR(AN259/AN121,""),"")</f>
        <v>-0.101725904403281</v>
      </c>
      <c r="AO264" s="215">
        <f>IF(AND(ISNUMBER(AO259),ISNUMBER(AO121)),IFERROR(AO259/AO121,""),"")</f>
        <v>-0.120612636387199</v>
      </c>
      <c r="AP264" s="215">
        <f>IF(AND(ISNUMBER(AP259),ISNUMBER(AP121)),IFERROR(AP259/AP121,""),"")</f>
        <v>-0.105082551542878</v>
      </c>
      <c r="AQ264" s="215">
        <f>IF(AND(ISNUMBER(AQ259),ISNUMBER(AQ121)),IFERROR(AQ259/AQ121,""),"")</f>
        <v>-0.305361893714675</v>
      </c>
      <c r="AR264" s="215">
        <f>IF(AND(ISNUMBER(AR259),ISNUMBER(AR121)),IFERROR(AR259/AR121,""),"")</f>
        <v>-0.162448570425135</v>
      </c>
      <c r="AS264" s="215">
        <f>IF(AND(ISNUMBER(AS259),ISNUMBER(AS121)),IFERROR(AS259/AS121,""),"")</f>
        <v>0.0280197049391169</v>
      </c>
      <c r="AT264" s="215">
        <f>IF(AND(ISNUMBER(AT259),ISNUMBER(AT121)),IFERROR(AT259/AT121,""),"")</f>
        <v>0.146231811597574</v>
      </c>
      <c r="AU264" s="215">
        <f>IF(AND(ISNUMBER(AU259),ISNUMBER(AU121)),IFERROR(AU259/AU121,""),"")</f>
        <v>0.177932658414389</v>
      </c>
      <c r="AV264" s="215">
        <f>IF(AND(ISNUMBER(AV259),ISNUMBER(AV121)),IFERROR(AV259/AV121,""),"")</f>
        <v>-0.0427531762637103</v>
      </c>
      <c r="AW264" s="215">
        <f>IF(AND(ISNUMBER(AW259),ISNUMBER(AW121)),IFERROR(AW259/AW121,""),"")</f>
        <v>0.0768810487542515</v>
      </c>
      <c r="AX264" s="215">
        <f>IF(AND(ISNUMBER(AX259),ISNUMBER(AX121)),IFERROR(AX259/AX121,""),"")</f>
        <v>0.0965549031854393</v>
      </c>
      <c r="AY264" s="215">
        <f>IF(AND(ISNUMBER(AY259),ISNUMBER(AY121)),IFERROR(AY259/AY121,""),"")</f>
        <v>-0.0238415032219039</v>
      </c>
      <c r="AZ264" s="215">
        <f>IF(AND(ISNUMBER(AZ259),ISNUMBER(AZ121)),IFERROR(AZ259/AZ121,""),"")</f>
        <v>-0.0141982319157685</v>
      </c>
      <c r="BA264" s="215">
        <f>IF(AND(ISNUMBER(BA259),ISNUMBER(BA121)),IFERROR(BA259/BA121,""),"")</f>
        <v>-0.0738396055267146</v>
      </c>
      <c r="BB264" s="215">
        <f>IF(AND(ISNUMBER(BB259),ISNUMBER(BB121)),IFERROR(BB259/BB121,""),"")</f>
        <v>-0.00535035472608719</v>
      </c>
      <c r="BC264" s="215">
        <f>IF(AND(ISNUMBER(BC259),ISNUMBER(BC121)),IFERROR(BC259/BC121,""),"")</f>
        <v>0.101894349438665</v>
      </c>
      <c r="BD264" s="215">
        <f>IF(AND(ISNUMBER(BD259),ISNUMBER(BD121)),IFERROR(BD259/BD121,""),"")</f>
        <v>0.00159746232845818</v>
      </c>
      <c r="BE264" s="215">
        <f>IF(AND(ISNUMBER(BE259),ISNUMBER(BE121)),IFERROR(BE259/BE121,""),"")</f>
        <v>0.0595350074297317</v>
      </c>
      <c r="BF264" s="215">
        <f>IF(AND(ISNUMBER(BF259),ISNUMBER(BF121)),IFERROR(BF259/BF121,""),"")</f>
        <v>0.0423156848279042</v>
      </c>
      <c r="BG264" s="215">
        <f>IF(AND(ISNUMBER(BG259),ISNUMBER(BG121)),IFERROR(BG259/BG121,""),"")</f>
        <v>0.0511940484982864</v>
      </c>
      <c r="BH264" s="215">
        <f>IF(AND(ISNUMBER(BH259),ISNUMBER(BH121)),IFERROR(BH259/BH121,""),"")</f>
        <v>0.259354312557381</v>
      </c>
      <c r="BI264" s="215">
        <f>IF(AND(ISNUMBER(BI259),ISNUMBER(BI121)),IFERROR(BI259/BI121,""),"")</f>
        <v>0.1635777162706</v>
      </c>
      <c r="BJ264" s="215">
        <f>IF(AND(ISNUMBER(BJ259),ISNUMBER(BJ121)),IFERROR(BJ259/BJ121,""),"")</f>
        <v>0.221079302075426</v>
      </c>
      <c r="BK264" s="215">
        <f>IF(AND(ISNUMBER(BK259),ISNUMBER(BK121)),IFERROR(BK259/BK121,""),"")</f>
        <v>0.17903468029764</v>
      </c>
      <c r="BL264" s="215">
        <f>IF(AND(ISNUMBER(BL259),ISNUMBER(BL121)),IFERROR(BL259/BL121,""),"")</f>
        <v>0.205369866416086</v>
      </c>
      <c r="BM264" s="215">
        <f>IF(AND(ISNUMBER(BM259),ISNUMBER(BM121)),IFERROR(BM259/BM121,""),"")</f>
        <v>0.22803710391401</v>
      </c>
      <c r="BN264" s="215">
        <f>IF(AND(ISNUMBER(BN259),ISNUMBER(BN121)),IFERROR(BN259/BN121,""),"")</f>
        <v>0.126845975284827</v>
      </c>
      <c r="BO264" s="215">
        <f>IF(AND(ISNUMBER(BO259),ISNUMBER(BO121)),IFERROR(BO259/BO121,""),"")</f>
        <v>0.22333886327149</v>
      </c>
      <c r="BP264" s="215">
        <f>IF(AND(ISNUMBER(BP259),ISNUMBER(BP121)),IFERROR(BP259/BP121,""),"")</f>
        <v>0.134506246173698</v>
      </c>
      <c r="BQ264" s="215">
        <f>IF(AND(ISNUMBER(BQ259),ISNUMBER(BQ121)),IFERROR(BQ259/BQ121,""),"")</f>
        <v>0.177478321947205</v>
      </c>
      <c r="BR264" s="215">
        <f>IF(AND(ISNUMBER(BR259),ISNUMBER(BR121)),IFERROR(BR259/BR121,""),"")</f>
        <v>0.252392319650158</v>
      </c>
      <c r="BS264" s="215">
        <f>IF(AND(ISNUMBER(BS259),ISNUMBER(BS121)),IFERROR(BS259/BS121,""),"")</f>
        <v>0.204651595616493</v>
      </c>
      <c r="BT264" s="215">
        <f>IF(AND(ISNUMBER(BT259),ISNUMBER(BT121)),IFERROR(BT259/BT121,""),"")</f>
        <v>0.231136754215157</v>
      </c>
      <c r="BU264" s="215">
        <f>IF(AND(ISNUMBER(BU259),ISNUMBER(BU121)),IFERROR(BU259/BU121,""),"")</f>
        <v>0.155368349320981</v>
      </c>
      <c r="BV264" s="215">
        <f>IF(AND(ISNUMBER(BV259),ISNUMBER(BV121)),IFERROR(BV259/BV121,""),"")</f>
        <v>0.209393919434719</v>
      </c>
      <c r="BW264" s="215">
        <f>IF(AND(ISNUMBER(BW259),ISNUMBER(BW121)),IFERROR(BW259/BW121,""),"")</f>
        <v>0.415851106270924</v>
      </c>
      <c r="BX264" s="215">
        <f>IF(AND(ISNUMBER(BX259),ISNUMBER(BX121)),IFERROR(BX259/BX121,""),"")</f>
        <v>0.121431172669801</v>
      </c>
      <c r="BY264" s="24" t="n"/>
      <c r="BZ264" s="24" t="n"/>
      <c r="CA264" s="256">
        <f>IF(AND(ISNUMBER(CA259),ISNUMBER(CA121)),IFERROR(CA259/CA121,""),"")</f>
        <v>0.244140625</v>
      </c>
      <c r="CB264" s="256">
        <f>IF(AND(ISNUMBER(CB259),ISNUMBER(CB121)),IFERROR(CB259/CB121,""),"")</f>
        <v>0.243281280742668</v>
      </c>
      <c r="CC264" s="256">
        <f>IF(AND(ISNUMBER(CC259),ISNUMBER(CC121)),IFERROR(CC259/CC121,""),"")</f>
        <v>0.264665073112835</v>
      </c>
      <c r="CD264" s="256">
        <f>IF(AND(ISNUMBER(CD259),ISNUMBER(CD121)),IFERROR(CD259/CD121,""),"")</f>
        <v>0.28219532500054</v>
      </c>
      <c r="CE264" s="256">
        <f>IF(AND(ISNUMBER(CE259),ISNUMBER(CE121)),IFERROR(CE259/CE121,""),"")</f>
        <v>0.295363356861564</v>
      </c>
      <c r="CF264" s="256">
        <f>IF(AND(ISNUMBER(CF259),ISNUMBER(CF121)),IFERROR(CF259/CF121,""),"")</f>
        <v>0.307440083065081</v>
      </c>
      <c r="CG264" s="153" t="n"/>
      <c r="CI264" s="37">
        <f>IFERROR(AVERAGE(CB264,CC264,CD264,CE264,CF264),"n/m")</f>
        <v>0.278589023756538</v>
      </c>
      <c r="CJ264" s="37">
        <f>IFERROR(AVERAGE(BB264,BG264,BL264,BQ264,BV264),"n/m")</f>
        <v>0.127617160314042</v>
      </c>
      <c r="CK264" s="37">
        <f>IFERROR(AVERAGE(AC264,AH264,AM264,AR264,AW264,BB264,BG264,BL264,BQ264,BV264),"n/m")</f>
        <v>6.54455028704611e-05</v>
      </c>
      <c r="CL264" s="37">
        <f>IFERROR(AVERAGE(C264,D264,E264,F264,G264,H264,I264,N264,S264,X264,AC264,AH264,AM264,AR264,AW264,BB264,BG264,BL264,BQ264,BV264),"n/m")</f>
        <v>0.0167971603636562</v>
      </c>
    </row>
    <row r="265" ht="15" customHeight="1" s="251">
      <c r="B265" s="25" t="inlineStr">
        <is>
          <t xml:space="preserve">  FCF / net income %</t>
        </is>
      </c>
      <c r="C265" s="215">
        <f>IF(AND(ISNUMBER(C259),ISNUMBER(C141)),IFERROR(C259/C141,""),"")</f>
        <v>1.26304959048124</v>
      </c>
      <c r="D265" s="215">
        <f>IF(AND(ISNUMBER(D259),ISNUMBER(D141)),IFERROR(D259/D141,""),"")</f>
        <v>3.69767893416179</v>
      </c>
      <c r="E265" s="215">
        <f>IF(AND(ISNUMBER(E259),ISNUMBER(E141)),IFERROR(E259/E141,""),"")</f>
        <v>1.14064269024161</v>
      </c>
      <c r="F265" s="215">
        <f>IF(AND(ISNUMBER(F259),ISNUMBER(F141)),IFERROR(F259/F141,""),"")</f>
        <v>0.838270326255826</v>
      </c>
      <c r="G265" s="215">
        <f>IF(AND(ISNUMBER(G259),ISNUMBER(G141)),IFERROR(G259/G141,""),"")</f>
        <v>0.814451704351178</v>
      </c>
      <c r="H265" s="215">
        <f>IF(AND(ISNUMBER(H259),ISNUMBER(H141)),IFERROR(H259/H141,""),"")</f>
        <v>0.824982531862766</v>
      </c>
      <c r="I265" s="215">
        <f>IF(AND(ISNUMBER(I259),ISNUMBER(I141)),IFERROR(I259/I141,""),"")</f>
        <v>-3.39033348880593</v>
      </c>
      <c r="J265" s="215">
        <f>IF(AND(ISNUMBER(J259),ISNUMBER(J141)),IFERROR(J259/J141,""),"")</f>
        <v>-15.4373373001119</v>
      </c>
      <c r="K265" s="215">
        <f>IF(AND(ISNUMBER(K259),ISNUMBER(K141)),IFERROR(K259/K141,""),"")</f>
        <v>0.4383631366428</v>
      </c>
      <c r="L265" s="215">
        <f>IF(AND(ISNUMBER(L259),ISNUMBER(L141)),IFERROR(L259/L141,""),"")</f>
        <v>0.222016215197033</v>
      </c>
      <c r="M265" s="215">
        <f>IF(AND(ISNUMBER(M259),ISNUMBER(M141)),IFERROR(M259/M141,""),"")</f>
        <v>0.107949030379381</v>
      </c>
      <c r="N265" s="215">
        <f>IF(AND(ISNUMBER(N259),ISNUMBER(N141)),IFERROR(N259/N141,""),"")</f>
        <v>-0.145013923115931</v>
      </c>
      <c r="O265" s="215">
        <f>IF(AND(ISNUMBER(O259),ISNUMBER(O141)),IFERROR(O259/O141,""),"")</f>
        <v>0.158260378424174</v>
      </c>
      <c r="P265" s="215">
        <f>IF(AND(ISNUMBER(P259),ISNUMBER(P141)),IFERROR(P259/P141,""),"")</f>
        <v>0.229561519614746</v>
      </c>
      <c r="Q265" s="215">
        <f>IF(AND(ISNUMBER(Q259),ISNUMBER(Q141)),IFERROR(Q259/Q141,""),"")</f>
        <v>-1.24226325997133</v>
      </c>
      <c r="R265" s="215">
        <f>IF(AND(ISNUMBER(R259),ISNUMBER(R141)),IFERROR(R259/R141,""),"")</f>
        <v>-0.932554485372611</v>
      </c>
      <c r="S265" s="215">
        <f>IF(AND(ISNUMBER(S259),ISNUMBER(S141)),IFERROR(S259/S141,""),"")</f>
        <v>-0.474885588026942</v>
      </c>
      <c r="T265" s="215">
        <f>IF(AND(ISNUMBER(T259),ISNUMBER(T141)),IFERROR(T259/T141,""),"")</f>
        <v>-6.88297602970971</v>
      </c>
      <c r="U265" s="215">
        <f>IF(AND(ISNUMBER(U259),ISNUMBER(U141)),IFERROR(U259/U141,""),"")</f>
        <v>-8.70727169166508</v>
      </c>
      <c r="V265" s="215">
        <f>IF(AND(ISNUMBER(V259),ISNUMBER(V141)),IFERROR(V259/V141,""),"")</f>
        <v>-8.56265289480838</v>
      </c>
      <c r="W265" s="215">
        <f>IF(AND(ISNUMBER(W259),ISNUMBER(W141)),IFERROR(W259/W141,""),"")</f>
        <v>-6.39529389967112</v>
      </c>
      <c r="X265" s="215">
        <f>IF(AND(ISNUMBER(X259),ISNUMBER(X141)),IFERROR(X259/X141,""),"")</f>
        <v>-7.50611133307781</v>
      </c>
      <c r="Y265" s="215">
        <f>IF(AND(ISNUMBER(Y259),ISNUMBER(Y141)),IFERROR(Y259/Y141,""),"")</f>
        <v>-9.42143322004479</v>
      </c>
      <c r="Z265" s="215">
        <f>IF(AND(ISNUMBER(Z259),ISNUMBER(Z141)),IFERROR(Z259/Z141,""),"")</f>
        <v>-6.23540669856456</v>
      </c>
      <c r="AA265" s="215">
        <f>IF(AND(ISNUMBER(AA259),ISNUMBER(AA141)),IFERROR(AA259/AA141,""),"")</f>
        <v>-9.83036667507812</v>
      </c>
      <c r="AB265" s="215">
        <f>IF(AND(ISNUMBER(AB259),ISNUMBER(AB141)),IFERROR(AB259/AB141,""),"")</f>
        <v>-9.56765745790135</v>
      </c>
      <c r="AC265" s="215">
        <f>IF(AND(ISNUMBER(AC259),ISNUMBER(AC141)),IFERROR(AC259/AC141,""),"")</f>
        <v>-8.89100483184949</v>
      </c>
      <c r="AD265" s="215">
        <f>IF(AND(ISNUMBER(AD259),ISNUMBER(AD141)),IFERROR(AD259/AD141,""),"")</f>
        <v>-2.37075108572454</v>
      </c>
      <c r="AE265" s="215">
        <f>IF(AND(ISNUMBER(AE259),ISNUMBER(AE141)),IFERROR(AE259/AE141,""),"")</f>
        <v>-9.27510670731708</v>
      </c>
      <c r="AF265" s="215">
        <f>IF(AND(ISNUMBER(AF259),ISNUMBER(AF141)),IFERROR(AF259/AF141,""),"")</f>
        <v>-3.58742186897137</v>
      </c>
      <c r="AG265" s="215">
        <f>IF(AND(ISNUMBER(AG259),ISNUMBER(AG141)),IFERROR(AG259/AG141,""),"")</f>
        <v>-2.8234501420355</v>
      </c>
      <c r="AH265" s="215">
        <f>IF(AND(ISNUMBER(AH259),ISNUMBER(AH141)),IFERROR(AH259/AH141,""),"")</f>
        <v>-3.6134446414482</v>
      </c>
      <c r="AI265" s="215">
        <f>IF(AND(ISNUMBER(AI259),ISNUMBER(AI141)),IFERROR(AI259/AI141,""),"")</f>
        <v>-0.987539810563759</v>
      </c>
      <c r="AJ265" s="215">
        <f>IF(AND(ISNUMBER(AJ259),ISNUMBER(AJ141)),IFERROR(AJ259/AJ141,""),"")</f>
        <v>-1.45324952061798</v>
      </c>
      <c r="AK265" s="215">
        <f>IF(AND(ISNUMBER(AK259),ISNUMBER(AK141)),IFERROR(AK259/AK141,""),"")</f>
        <v>-2.13264736182308</v>
      </c>
      <c r="AL265" s="215">
        <f>IF(AND(ISNUMBER(AL259),ISNUMBER(AL141)),IFERROR(AL259/AL141,""),"")</f>
        <v>-9.82147923604161</v>
      </c>
      <c r="AM265" s="215">
        <f>IF(AND(ISNUMBER(AM259),ISNUMBER(AM141)),IFERROR(AM259/AM141,""),"")</f>
        <v>-2.49297745619785</v>
      </c>
      <c r="AN265" s="215">
        <f>IF(AND(ISNUMBER(AN259),ISNUMBER(AN141)),IFERROR(AN259/AN141,""),"")</f>
        <v>-1.33672235592294</v>
      </c>
      <c r="AO265" s="215">
        <f>IF(AND(ISNUMBER(AO259),ISNUMBER(AO141)),IFERROR(AO259/AO141,""),"")</f>
        <v>-2.19394051357842</v>
      </c>
      <c r="AP265" s="215">
        <f>IF(AND(ISNUMBER(AP259),ISNUMBER(AP141)),IFERROR(AP259/AP141,""),"")</f>
        <v>-0.828489997654996</v>
      </c>
      <c r="AQ265" s="215">
        <f>IF(AND(ISNUMBER(AQ259),ISNUMBER(AQ141)),IFERROR(AQ259/AQ141,""),"")</f>
        <v>-2.84434638908292</v>
      </c>
      <c r="AR265" s="215">
        <f>IF(AND(ISNUMBER(AR259),ISNUMBER(AR141)),IFERROR(AR259/AR141,""),"")</f>
        <v>-1.75390108606922</v>
      </c>
      <c r="AS265" s="215">
        <f>IF(AND(ISNUMBER(AS259),ISNUMBER(AS141)),IFERROR(AS259/AS141,""),"")</f>
        <v>0.227917813126263</v>
      </c>
      <c r="AT265" s="215">
        <f>IF(AND(ISNUMBER(AT259),ISNUMBER(AT141)),IFERROR(AT259/AT141,""),"")</f>
        <v>1.24837544224072</v>
      </c>
      <c r="AU265" s="215">
        <f>IF(AND(ISNUMBER(AU259),ISNUMBER(AU141)),IFERROR(AU259/AU141,""),"")</f>
        <v>1.44955036608707</v>
      </c>
      <c r="AV265" s="215">
        <f>IF(AND(ISNUMBER(AV259),ISNUMBER(AV141)),IFERROR(AV259/AV141,""),"")</f>
        <v>-0.523965426925092</v>
      </c>
      <c r="AW265" s="215">
        <f>IF(AND(ISNUMBER(AW259),ISNUMBER(AW141)),IFERROR(AW259/AW141,""),"")</f>
        <v>0.695924704723518</v>
      </c>
      <c r="AX265" s="215">
        <f>IF(AND(ISNUMBER(AX259),ISNUMBER(AX141)),IFERROR(AX259/AX141,""),"")</f>
        <v>0.405252195006196</v>
      </c>
      <c r="AY265" s="215">
        <f>IF(AND(ISNUMBER(AY259),ISNUMBER(AY141)),IFERROR(AY259/AY141,""),"")</f>
        <v>-0.129369784325797</v>
      </c>
      <c r="AZ265" s="215">
        <f>IF(AND(ISNUMBER(AZ259),ISNUMBER(AZ141)),IFERROR(AZ259/AZ141,""),"")</f>
        <v>-0.0733242194481844</v>
      </c>
      <c r="BA265" s="215">
        <f>IF(AND(ISNUMBER(BA259),ISNUMBER(BA141)),IFERROR(BA259/BA141,""),"")</f>
        <v>-0.937151502480125</v>
      </c>
      <c r="BB265" s="215">
        <f>IF(AND(ISNUMBER(BB259),ISNUMBER(BB141)),IFERROR(BB259/BB141,""),"")</f>
        <v>-0.0310568645494298</v>
      </c>
      <c r="BC265" s="215">
        <f>IF(AND(ISNUMBER(BC259),ISNUMBER(BC141)),IFERROR(BC259/BC141,""),"")</f>
        <v>0.501851391626764</v>
      </c>
      <c r="BD265" s="215">
        <f>IF(AND(ISNUMBER(BD259),ISNUMBER(BD141)),IFERROR(BD259/BD141,""),"")</f>
        <v>0.00883583133638826</v>
      </c>
      <c r="BE265" s="215">
        <f>IF(AND(ISNUMBER(BE259),ISNUMBER(BE141)),IFERROR(BE259/BE141,""),"")</f>
        <v>0.337459466959224</v>
      </c>
      <c r="BF265" s="215">
        <f>IF(AND(ISNUMBER(BF259),ISNUMBER(BF141)),IFERROR(BF259/BF141,""),"")</f>
        <v>6.01014760147603</v>
      </c>
      <c r="BG265" s="215">
        <f>IF(AND(ISNUMBER(BG259),ISNUMBER(BG141)),IFERROR(BG259/BG141,""),"")</f>
        <v>0.360319542360913</v>
      </c>
      <c r="BH265" s="215">
        <f>IF(AND(ISNUMBER(BH259),ISNUMBER(BH141)),IFERROR(BH259/BH141,""),"")</f>
        <v>1.6218592926321</v>
      </c>
      <c r="BI265" s="215">
        <f>IF(AND(ISNUMBER(BI259),ISNUMBER(BI141)),IFERROR(BI259/BI141,""),"")</f>
        <v>0.900276282090064</v>
      </c>
      <c r="BJ265" s="215">
        <f>IF(AND(ISNUMBER(BJ259),ISNUMBER(BJ141)),IFERROR(BJ259/BJ141,""),"")</f>
        <v>1.12576680167543</v>
      </c>
      <c r="BK265" s="215">
        <f>IF(AND(ISNUMBER(BK259),ISNUMBER(BK141)),IFERROR(BK259/BK141,""),"")</f>
        <v>1.68619953552746</v>
      </c>
      <c r="BL265" s="215">
        <f>IF(AND(ISNUMBER(BL259),ISNUMBER(BL141)),IFERROR(BL259/BL141,""),"")</f>
        <v>1.28065122161838</v>
      </c>
      <c r="BM265" s="215">
        <f>IF(AND(ISNUMBER(BM259),ISNUMBER(BM141)),IFERROR(BM259/BM141,""),"")</f>
        <v>0.916216342531908</v>
      </c>
      <c r="BN265" s="215">
        <f>IF(AND(ISNUMBER(BN259),ISNUMBER(BN141)),IFERROR(BN259/BN141,""),"")</f>
        <v>0.564688963752721</v>
      </c>
      <c r="BO265" s="215">
        <f>IF(AND(ISNUMBER(BO259),ISNUMBER(BO141)),IFERROR(BO259/BO141,""),"")</f>
        <v>0.92838148701782</v>
      </c>
      <c r="BP265" s="215">
        <f>IF(AND(ISNUMBER(BP259),ISNUMBER(BP141)),IFERROR(BP259/BP141,""),"")</f>
        <v>0.737565469892813</v>
      </c>
      <c r="BQ265" s="215">
        <f>IF(AND(ISNUMBER(BQ259),ISNUMBER(BQ141)),IFERROR(BQ259/BQ141,""),"")</f>
        <v>0.794549952815954</v>
      </c>
      <c r="BR265" s="215">
        <f>IF(AND(ISNUMBER(BR259),ISNUMBER(BR141)),IFERROR(BR259/BR141,""),"")</f>
        <v>0.920622443433341</v>
      </c>
      <c r="BS265" s="215">
        <f>IF(AND(ISNUMBER(BS259),ISNUMBER(BS141)),IFERROR(BS259/BS141,""),"")</f>
        <v>0.725462202915263</v>
      </c>
      <c r="BT265" s="215">
        <f>IF(AND(ISNUMBER(BT259),ISNUMBER(BT141)),IFERROR(BT259/BT141,""),"")</f>
        <v>1.0445790124213</v>
      </c>
      <c r="BU265" s="215">
        <f>IF(AND(ISNUMBER(BU259),ISNUMBER(BU141)),IFERROR(BU259/BU141,""),"")</f>
        <v>0.774153707989304</v>
      </c>
      <c r="BV265" s="215">
        <f>IF(AND(ISNUMBER(BV259),ISNUMBER(BV141)),IFERROR(BV259/BV141,""),"")</f>
        <v>0.861568147236354</v>
      </c>
      <c r="BW265" s="215">
        <f>IF(AND(ISNUMBER(BW259),ISNUMBER(BW141)),IFERROR(BW259/BW141,""),"")</f>
        <v>0.964277216342649</v>
      </c>
      <c r="BX265" s="215">
        <f>IF(AND(ISNUMBER(BX259),ISNUMBER(BX141)),IFERROR(BX259/BX141,""),"")</f>
        <v>0.448392345065905</v>
      </c>
      <c r="BY265" s="24" t="n"/>
      <c r="BZ265" s="24" t="n"/>
      <c r="CA265" s="256">
        <f>IF(AND(ISNUMBER(CA259),ISNUMBER(CA141)),IFERROR(CA259/CA141,""),"")</f>
        <v>0.826680585225347</v>
      </c>
      <c r="CB265" s="256">
        <f>IF(AND(ISNUMBER(CB259),ISNUMBER(CB141)),IFERROR(CB259/CB141,""),"")</f>
        <v>0.89876399915572</v>
      </c>
      <c r="CC265" s="256">
        <f>IF(AND(ISNUMBER(CC259),ISNUMBER(CC141)),IFERROR(CC259/CC141,""),"")</f>
        <v>0.932301977589673</v>
      </c>
      <c r="CD265" s="256">
        <f>IF(AND(ISNUMBER(CD259),ISNUMBER(CD141)),IFERROR(CD259/CD141,""),"")</f>
        <v>0.950297253648265</v>
      </c>
      <c r="CE265" s="256">
        <f>IF(AND(ISNUMBER(CE259),ISNUMBER(CE141)),IFERROR(CE259/CE141,""),"")</f>
        <v>0.965947403625645</v>
      </c>
      <c r="CF265" s="256">
        <f>IF(AND(ISNUMBER(CF259),ISNUMBER(CF141)),IFERROR(CF259/CF141,""),"")</f>
        <v>0.977034864914948</v>
      </c>
      <c r="CG265" s="153" t="n"/>
      <c r="CI265" s="37">
        <f>IFERROR(AVERAGE(CB265,CC265,CD265,CE265,CF265),"n/m")</f>
        <v>0.94486909978685</v>
      </c>
      <c r="CJ265" s="37">
        <f>IFERROR(AVERAGE(BB265,BG265,BL265,BQ265,BV265),"n/m")</f>
        <v>0.653206399896435</v>
      </c>
      <c r="CK265" s="37">
        <f>IFERROR(AVERAGE(AC265,AH265,AM265,AR265,AW265,BB265,BG265,BL265,BQ265,BV265),"n/m")</f>
        <v>-1.27893713113591</v>
      </c>
      <c r="CL265" s="37">
        <f>IFERROR(AVERAGE(C265,D265,E265,F265,G265,H265,I265,N265,S265,X265,AC265,AH265,AM265,AR265,AW265,BB265,BG265,BL265,BQ265,BV265),"n/m")</f>
        <v>-0.786331993351564</v>
      </c>
    </row>
    <row r="266" ht="15" customHeight="1" s="251">
      <c r="B266" s="25" t="inlineStr">
        <is>
          <t xml:space="preserve">  FCF per diluted share ($)</t>
        </is>
      </c>
      <c r="C266" s="282">
        <f>IF(AND(ISNUMBER(C259),ISNUMBER(C148)),IFERROR(C259/C148,""),"")</f>
        <v>0.0128210537200765</v>
      </c>
      <c r="D266" s="282">
        <f>IF(AND(ISNUMBER(D259),ISNUMBER(D148)),IFERROR(D259/D148,""),"")</f>
        <v>0.0513290097322491</v>
      </c>
      <c r="E266" s="282">
        <f>IF(AND(ISNUMBER(E259),ISNUMBER(E148)),IFERROR(E259/E148,""),"")</f>
        <v>0.0215306512190464</v>
      </c>
      <c r="F266" s="282">
        <f>IF(AND(ISNUMBER(F259),ISNUMBER(F148)),IFERROR(F259/F148,""),"")</f>
        <v>0.0237513205775326</v>
      </c>
      <c r="G266" s="282">
        <f>IF(AND(ISNUMBER(G259),ISNUMBER(G148)),IFERROR(G259/G148,""),"")</f>
        <v>0.034463917417291</v>
      </c>
      <c r="H266" s="282">
        <f>IF(AND(ISNUMBER(H259),ISNUMBER(H148)),IFERROR(H259/H148,""),"")</f>
        <v>0.0490169030145855</v>
      </c>
      <c r="I266" s="282">
        <f>IF(AND(ISNUMBER(I259),ISNUMBER(I148)),IFERROR(I259/I148,""),"")</f>
        <v>-0.0141030926834947</v>
      </c>
      <c r="J266" s="282">
        <f>IF(AND(ISNUMBER(J259),ISNUMBER(J148)),IFERROR(J259/J148,""),"")</f>
        <v>-0.00985957978442932</v>
      </c>
      <c r="K266" s="282">
        <f>IF(AND(ISNUMBER(K259),ISNUMBER(K148)),IFERROR(K259/K148,""),"")</f>
        <v>0.00304600004715535</v>
      </c>
      <c r="L266" s="282">
        <f>IF(AND(ISNUMBER(L259),ISNUMBER(L148)),IFERROR(L259/L148,""),"")</f>
        <v>0.00165483802965357</v>
      </c>
      <c r="M266" s="282">
        <f>IF(AND(ISNUMBER(M259),ISNUMBER(M148)),IFERROR(M259/M148,""),"")</f>
        <v>0.00121805149046438</v>
      </c>
      <c r="N266" s="282">
        <f>IF(AND(ISNUMBER(N259),ISNUMBER(N148)),IFERROR(N259/N148,""),"")</f>
        <v>-0.00383234546595913</v>
      </c>
      <c r="O266" s="282">
        <f>IF(AND(ISNUMBER(O259),ISNUMBER(O148)),IFERROR(O259/O148,""),"")</f>
        <v>0.00195109043812495</v>
      </c>
      <c r="P266" s="282">
        <f>IF(AND(ISNUMBER(P259),ISNUMBER(P148)),IFERROR(P259/P148,""),"")</f>
        <v>0.00377875847746374</v>
      </c>
      <c r="Q266" s="282">
        <f>IF(AND(ISNUMBER(Q259),ISNUMBER(Q148)),IFERROR(Q259/Q148,""),"")</f>
        <v>-0.0170217682673199</v>
      </c>
      <c r="R266" s="282">
        <f>IF(AND(ISNUMBER(R259),ISNUMBER(R148)),IFERROR(R259/R148,""),"")</f>
        <v>-0.0179757511860833</v>
      </c>
      <c r="S266" s="282">
        <f>IF(AND(ISNUMBER(S259),ISNUMBER(S148)),IFERROR(S259/S148,""),"")</f>
        <v>-0.0293357382499832</v>
      </c>
      <c r="T266" s="282">
        <f>IF(AND(ISNUMBER(T259),ISNUMBER(T148)),IFERROR(T259/T148,""),"")</f>
        <v>-0.0375967875411181</v>
      </c>
      <c r="U266" s="282">
        <f>IF(AND(ISNUMBER(U259),ISNUMBER(U148)),IFERROR(U259/U148,""),"")</f>
        <v>-0.0525814211058549</v>
      </c>
      <c r="V266" s="282">
        <f>IF(AND(ISNUMBER(V259),ISNUMBER(V148)),IFERROR(V259/V148,""),"")</f>
        <v>-0.0575897039802928</v>
      </c>
      <c r="W266" s="282">
        <f>IF(AND(ISNUMBER(W259),ISNUMBER(W148)),IFERROR(W259/W148,""),"")</f>
        <v>-0.0630077785409018</v>
      </c>
      <c r="X266" s="282">
        <f>IF(AND(ISNUMBER(X259),ISNUMBER(X148)),IFERROR(X259/X148,""),"")</f>
        <v>-0.210916335209047</v>
      </c>
      <c r="Y266" s="282">
        <f>IF(AND(ISNUMBER(Y259),ISNUMBER(Y148)),IFERROR(Y259/Y148,""),"")</f>
        <v>-0.059493644875603</v>
      </c>
      <c r="Z266" s="282">
        <f>IF(AND(ISNUMBER(Z259),ISNUMBER(Z148)),IFERROR(Z259/Z148,""),"")</f>
        <v>-0.0579987858150331</v>
      </c>
      <c r="AA266" s="282">
        <f>IF(AND(ISNUMBER(AA259),ISNUMBER(AA148)),IFERROR(AA259/AA148,""),"")</f>
        <v>-0.115520918636188</v>
      </c>
      <c r="AB266" s="282">
        <f>IF(AND(ISNUMBER(AB259),ISNUMBER(AB148)),IFERROR(AB259/AB148,""),"")</f>
        <v>-0.145120585007147</v>
      </c>
      <c r="AC266" s="282">
        <f>IF(AND(ISNUMBER(AC259),ISNUMBER(AC148)),IFERROR(AC259/AC148,""),"")</f>
        <v>-0.378376252701458</v>
      </c>
      <c r="AD266" s="282">
        <f>IF(AND(ISNUMBER(AD259),ISNUMBER(AD148)),IFERROR(AD259/AD148,""),"")</f>
        <v>-0.0948506929946258</v>
      </c>
      <c r="AE266" s="282">
        <f>IF(AND(ISNUMBER(AE259),ISNUMBER(AE148)),IFERROR(AE259/AE148,""),"")</f>
        <v>-0.136343000300272</v>
      </c>
      <c r="AF266" s="282">
        <f>IF(AND(ISNUMBER(AF259),ISNUMBER(AF148)),IFERROR(AF259/AF148,""),"")</f>
        <v>-0.103918973895861</v>
      </c>
      <c r="AG266" s="282">
        <f>IF(AND(ISNUMBER(AG259),ISNUMBER(AG148)),IFERROR(AG259/AG148,""),"")</f>
        <v>-0.116882148961713</v>
      </c>
      <c r="AH266" s="282">
        <f>IF(AND(ISNUMBER(AH259),ISNUMBER(AH148)),IFERROR(AH259/AH148,""),"")</f>
        <v>-0.452013365740554</v>
      </c>
      <c r="AI266" s="282">
        <f>IF(AND(ISNUMBER(AI259),ISNUMBER(AI148)),IFERROR(AI259/AI148,""),"")</f>
        <v>-0.0636179137088412</v>
      </c>
      <c r="AJ266" s="282">
        <f>IF(AND(ISNUMBER(AJ259),ISNUMBER(AJ148)),IFERROR(AJ259/AJ148,""),"")</f>
        <v>-0.123696717100135</v>
      </c>
      <c r="AK266" s="282">
        <f>IF(AND(ISNUMBER(AK259),ISNUMBER(AK148)),IFERROR(AK259/AK148,""),"")</f>
        <v>-0.19010154474585</v>
      </c>
      <c r="AL266" s="282">
        <f>IF(AND(ISNUMBER(AL259),ISNUMBER(AL148)),IFERROR(AL259/AL148,""),"")</f>
        <v>-0.291594623112459</v>
      </c>
      <c r="AM266" s="282">
        <f>IF(AND(ISNUMBER(AM259),ISNUMBER(AM148)),IFERROR(AM259/AM148,""),"")</f>
        <v>-0.669172110875713</v>
      </c>
      <c r="AN266" s="282">
        <f>IF(AND(ISNUMBER(AN259),ISNUMBER(AN148)),IFERROR(AN259/AN148,""),"")</f>
        <v>-0.101765791441886</v>
      </c>
      <c r="AO266" s="282">
        <f>IF(AND(ISNUMBER(AO259),ISNUMBER(AO148)),IFERROR(AO259/AO148,""),"")</f>
        <v>-0.131312818584903</v>
      </c>
      <c r="AP266" s="282">
        <f>IF(AND(ISNUMBER(AP259),ISNUMBER(AP148)),IFERROR(AP259/AP148,""),"")</f>
        <v>-0.122056374459641</v>
      </c>
      <c r="AQ266" s="282">
        <f>IF(AND(ISNUMBER(AQ259),ISNUMBER(AQ148)),IFERROR(AQ259/AQ148,""),"")</f>
        <v>-0.369886588961976</v>
      </c>
      <c r="AR266" s="282">
        <f>IF(AND(ISNUMBER(AR259),ISNUMBER(AR148)),IFERROR(AR259/AR148,""),"")</f>
        <v>-0.724798512500969</v>
      </c>
      <c r="AS266" s="282">
        <f>IF(AND(ISNUMBER(AS259),ISNUMBER(AS148)),IFERROR(AS259/AS148,""),"")</f>
        <v>0.0357151697039077</v>
      </c>
      <c r="AT266" s="282">
        <f>IF(AND(ISNUMBER(AT259),ISNUMBER(AT148)),IFERROR(AT259/AT148,""),"")</f>
        <v>0.198058134796066</v>
      </c>
      <c r="AU266" s="282">
        <f>IF(AND(ISNUMBER(AU259),ISNUMBER(AU148)),IFERROR(AU259/AU148,""),"")</f>
        <v>0.251623861758605</v>
      </c>
      <c r="AV266" s="282">
        <f>IF(AND(ISNUMBER(AV259),ISNUMBER(AV148)),IFERROR(AV259/AV148,""),"")</f>
        <v>-0.062394378880828</v>
      </c>
      <c r="AW266" s="282">
        <f>IF(AND(ISNUMBER(AW259),ISNUMBER(AW148)),IFERROR(AW259/AW148,""),"")</f>
        <v>0.423093164365225</v>
      </c>
      <c r="AX266" s="282">
        <f>IF(AND(ISNUMBER(AX259),ISNUMBER(AX148)),IFERROR(AX259/AX148,""),"")</f>
        <v>0.151797138536699</v>
      </c>
      <c r="AY266" s="282">
        <f>IF(AND(ISNUMBER(AY259),ISNUMBER(AY148)),IFERROR(AY259/AY148,""),"")</f>
        <v>-0.0384592060712457</v>
      </c>
      <c r="AZ266" s="282">
        <f>IF(AND(ISNUMBER(AZ259),ISNUMBER(AZ148)),IFERROR(AZ259/AZ148,""),"")</f>
        <v>-0.0233559377919437</v>
      </c>
      <c r="BA266" s="282">
        <f>IF(AND(ISNUMBER(BA259),ISNUMBER(BA148)),IFERROR(BA259/BA148,""),"")</f>
        <v>-0.12489233098213</v>
      </c>
      <c r="BB266" s="282">
        <f>IF(AND(ISNUMBER(BB259),ISNUMBER(BB148)),IFERROR(BB259/BB148,""),"")</f>
        <v>-0.0348932301502947</v>
      </c>
      <c r="BC266" s="282">
        <f>IF(AND(ISNUMBER(BC259),ISNUMBER(BC148)),IFERROR(BC259/BC148,""),"")</f>
        <v>0.176977774049415</v>
      </c>
      <c r="BD266" s="282">
        <f>IF(AND(ISNUMBER(BD259),ISNUMBER(BD148)),IFERROR(BD259/BD148,""),"")</f>
        <v>0.00282827116038643</v>
      </c>
      <c r="BE266" s="282">
        <f>IF(AND(ISNUMBER(BE259),ISNUMBER(BE148)),IFERROR(BE259/BE148,""),"")</f>
        <v>0.104775460536834</v>
      </c>
      <c r="BF266" s="282">
        <f>IF(AND(ISNUMBER(BF259),ISNUMBER(BF148)),IFERROR(BF259/BF148,""),"")</f>
        <v>0.0735670841737721</v>
      </c>
      <c r="BG266" s="282">
        <f>IF(AND(ISNUMBER(BG259),ISNUMBER(BG148)),IFERROR(BG259/BG148,""),"")</f>
        <v>0.35864477387046</v>
      </c>
      <c r="BH266" s="282">
        <f>IF(AND(ISNUMBER(BH259),ISNUMBER(BH148)),IFERROR(BH259/BH148,""),"")</f>
        <v>0.467869465559429</v>
      </c>
      <c r="BI266" s="282">
        <f>IF(AND(ISNUMBER(BI259),ISNUMBER(BI148)),IFERROR(BI259/BI148,""),"")</f>
        <v>0.296577290000266</v>
      </c>
      <c r="BJ266" s="282">
        <f>IF(AND(ISNUMBER(BJ259),ISNUMBER(BJ148)),IFERROR(BJ259/BJ148,""),"")</f>
        <v>0.419631075684817</v>
      </c>
      <c r="BK266" s="282">
        <f>IF(AND(ISNUMBER(BK259),ISNUMBER(BK148)),IFERROR(BK259/BK148,""),"")</f>
        <v>0.355933035031016</v>
      </c>
      <c r="BL266" s="282">
        <f>IF(AND(ISNUMBER(BL259),ISNUMBER(BL148)),IFERROR(BL259/BL148,""),"")</f>
        <v>1.54077415249901</v>
      </c>
      <c r="BM266" s="282">
        <f>IF(AND(ISNUMBER(BM259),ISNUMBER(BM148)),IFERROR(BM259/BM148,""),"")</f>
        <v>0.48381946048264</v>
      </c>
      <c r="BN266" s="282">
        <f>IF(AND(ISNUMBER(BN259),ISNUMBER(BN148)),IFERROR(BN259/BN148,""),"")</f>
        <v>0.275745385330844</v>
      </c>
      <c r="BO266" s="282">
        <f>IF(AND(ISNUMBER(BO259),ISNUMBER(BO148)),IFERROR(BO259/BO148,""),"")</f>
        <v>0.501084270766252</v>
      </c>
      <c r="BP266" s="282">
        <f>IF(AND(ISNUMBER(BP259),ISNUMBER(BP148)),IFERROR(BP259/BP148,""),"")</f>
        <v>0.314815914624954</v>
      </c>
      <c r="BQ266" s="282">
        <f>IF(AND(ISNUMBER(BQ259),ISNUMBER(BQ148)),IFERROR(BQ259/BQ148,""),"")</f>
        <v>1.57578888178099</v>
      </c>
      <c r="BR266" s="282">
        <f>IF(AND(ISNUMBER(BR259),ISNUMBER(BR148)),IFERROR(BR259/BR148,""),"")</f>
        <v>0.60895958916336</v>
      </c>
      <c r="BS266" s="282">
        <f>IF(AND(ISNUMBER(BS259),ISNUMBER(BS148)),IFERROR(BS259/BS148,""),"")</f>
        <v>0.521374484631499</v>
      </c>
      <c r="BT266" s="282">
        <f>IF(AND(ISNUMBER(BT259),ISNUMBER(BT148)),IFERROR(BT259/BT148,""),"")</f>
        <v>0.612952983487659</v>
      </c>
      <c r="BU266" s="282">
        <f>IF(AND(ISNUMBER(BU259),ISNUMBER(BU148)),IFERROR(BU259/BU148,""),"")</f>
        <v>0.433691116163834</v>
      </c>
      <c r="BV266" s="282">
        <f>IF(AND(ISNUMBER(BV259),ISNUMBER(BV148)),IFERROR(BV259/BV148,""),"")</f>
        <v>2.17802748383179</v>
      </c>
      <c r="BW266" s="282">
        <f>IF(AND(ISNUMBER(BW259),ISNUMBER(BW148)),IFERROR(BW259/BW148,""),"")</f>
        <v>1.18509937449357</v>
      </c>
      <c r="BX266" s="282">
        <f>IF(AND(ISNUMBER(BX259),ISNUMBER(BX148)),IFERROR(BX259/BX148,""),"")</f>
        <v>0.357911435477436</v>
      </c>
      <c r="BY266" s="35" t="n"/>
      <c r="BZ266" s="35" t="n"/>
      <c r="CA266" s="283">
        <f>IF(AND(ISNUMBER(CA259),ISNUMBER(CA148)),IFERROR(CA259/CA148,""),"")</f>
        <v>2.95158760063745</v>
      </c>
      <c r="CB266" s="283">
        <f>IF(AND(ISNUMBER(CB259),ISNUMBER(CB148)),IFERROR(CB259/CB148,""),"")</f>
        <v>3.38747064345556</v>
      </c>
      <c r="CC266" s="283">
        <f>IF(AND(ISNUMBER(CC259),ISNUMBER(CC148)),IFERROR(CC259/CC148,""),"")</f>
        <v>4.21450056308669</v>
      </c>
      <c r="CD266" s="283">
        <f>IF(AND(ISNUMBER(CD259),ISNUMBER(CD148)),IFERROR(CD259/CD148,""),"")</f>
        <v>5.12744249111405</v>
      </c>
      <c r="CE266" s="283">
        <f>IF(AND(ISNUMBER(CE259),ISNUMBER(CE148)),IFERROR(CE259/CE148,""),"")</f>
        <v>6.11880028583755</v>
      </c>
      <c r="CF266" s="283">
        <f>IF(AND(ISNUMBER(CF259),ISNUMBER(CF148)),IFERROR(CF259/CF148,""),"")</f>
        <v>7.25378429462875</v>
      </c>
      <c r="CG266" s="19" t="n"/>
    </row>
    <row r="267" ht="15" customHeight="1" s="251">
      <c r="B267" s="25" t="inlineStr">
        <is>
          <t xml:space="preserve">  FCF / adjusted EBITDA %</t>
        </is>
      </c>
      <c r="C267" s="215">
        <f>IF(AND(ISNUMBER(C259),ISNUMBER(C175)),IFERROR(C259/C175,""),"")</f>
        <v>0.666498231430015</v>
      </c>
      <c r="D267" s="215">
        <f>IF(AND(ISNUMBER(D259),ISNUMBER(D175)),IFERROR(D259/D175,""),"")</f>
        <v>1.98799495707896</v>
      </c>
      <c r="E267" s="215">
        <f>IF(AND(ISNUMBER(E259),ISNUMBER(E175)),IFERROR(E259/E175,""),"")</f>
        <v>0.569731206083357</v>
      </c>
      <c r="F267" s="215">
        <f>IF(AND(ISNUMBER(F259),ISNUMBER(F175)),IFERROR(F259/F175,""),"")</f>
        <v>0.400336354755339</v>
      </c>
      <c r="G267" s="215">
        <f>IF(AND(ISNUMBER(G259),ISNUMBER(G175)),IFERROR(G259/G175,""),"")</f>
        <v>0.37458826085962</v>
      </c>
      <c r="H267" s="215">
        <f>IF(AND(ISNUMBER(H259),ISNUMBER(H175)),IFERROR(H259/H175,""),"")</f>
        <v>0.387517994503497</v>
      </c>
      <c r="I267" s="215">
        <f>IF(AND(ISNUMBER(I259),ISNUMBER(I175)),IFERROR(I259/I175,""),"")</f>
        <v>-0.343258032335944</v>
      </c>
      <c r="J267" s="215">
        <f>IF(AND(ISNUMBER(J259),ISNUMBER(J175)),IFERROR(J259/J175,""),"")</f>
        <v>-0.673672081663124</v>
      </c>
      <c r="K267" s="215">
        <f>IF(AND(ISNUMBER(K259),ISNUMBER(K175)),IFERROR(K259/K175,""),"")</f>
        <v>0.148327171691657</v>
      </c>
      <c r="L267" s="215">
        <f>IF(AND(ISNUMBER(L259),ISNUMBER(L175)),IFERROR(L259/L175,""),"")</f>
        <v>0.0811611850796677</v>
      </c>
      <c r="M267" s="215">
        <f>IF(AND(ISNUMBER(M259),ISNUMBER(M175)),IFERROR(M259/M175,""),"")</f>
        <v>0.045828766823024</v>
      </c>
      <c r="N267" s="215">
        <f>IF(AND(ISNUMBER(N259),ISNUMBER(N175)),IFERROR(N259/N175,""),"")</f>
        <v>-0.0465952587180301</v>
      </c>
      <c r="O267" s="215">
        <f>IF(AND(ISNUMBER(O259),ISNUMBER(O175)),IFERROR(O259/O175,""),"")</f>
        <v>0.061898941105433</v>
      </c>
      <c r="P267" s="215">
        <f>IF(AND(ISNUMBER(P259),ISNUMBER(P175)),IFERROR(P259/P175,""),"")</f>
        <v>0.094860993122389</v>
      </c>
      <c r="Q267" s="215">
        <f>IF(AND(ISNUMBER(Q259),ISNUMBER(Q175)),IFERROR(Q259/Q175,""),"")</f>
        <v>-0.476325965779025</v>
      </c>
      <c r="R267" s="215">
        <f>IF(AND(ISNUMBER(R259),ISNUMBER(R175)),IFERROR(R259/R175,""),"")</f>
        <v>-0.709321314855531</v>
      </c>
      <c r="S267" s="215">
        <f>IF(AND(ISNUMBER(S259),ISNUMBER(S175)),IFERROR(S259/S175,""),"")</f>
        <v>-0.221534668613343</v>
      </c>
      <c r="T267" s="215">
        <f>IF(AND(ISNUMBER(T259),ISNUMBER(T175)),IFERROR(T259/T175,""),"")</f>
        <v>-1.16446053232808</v>
      </c>
      <c r="U267" s="215">
        <f>IF(AND(ISNUMBER(U259),ISNUMBER(U175)),IFERROR(U259/U175,""),"")</f>
        <v>-1.92684402467102</v>
      </c>
      <c r="V267" s="215">
        <f>IF(AND(ISNUMBER(V259),ISNUMBER(V175)),IFERROR(V259/V175,""),"")</f>
        <v>-2.05690406620852</v>
      </c>
      <c r="W267" s="215">
        <f>IF(AND(ISNUMBER(W259),ISNUMBER(W175)),IFERROR(W259/W175,""),"")</f>
        <v>-2.48229985077578</v>
      </c>
      <c r="X267" s="215">
        <f>IF(AND(ISNUMBER(X259),ISNUMBER(X175)),IFERROR(X259/X175,""),"")</f>
        <v>-1.86788452095432</v>
      </c>
      <c r="Y267" s="215">
        <f>IF(AND(ISNUMBER(Y259),ISNUMBER(Y175)),IFERROR(Y259/Y175,""),"")</f>
        <v>-2.44277371031095</v>
      </c>
      <c r="Z267" s="215">
        <f>IF(AND(ISNUMBER(Z259),ISNUMBER(Z175)),IFERROR(Z259/Z175,""),"")</f>
        <v>-1.97588113176739</v>
      </c>
      <c r="AA267" s="215">
        <f>IF(AND(ISNUMBER(AA259),ISNUMBER(AA175)),IFERROR(AA259/AA175,""),"")</f>
        <v>-3.0891052268804</v>
      </c>
      <c r="AB267" s="215">
        <f>IF(AND(ISNUMBER(AB259),ISNUMBER(AB175)),IFERROR(AB259/AB175,""),"")</f>
        <v>-3.01565384924139</v>
      </c>
      <c r="AC267" s="215">
        <f>IF(AND(ISNUMBER(AC259),ISNUMBER(AC175)),IFERROR(AC259/AC175,""),"")</f>
        <v>-2.71647441227111</v>
      </c>
      <c r="AD267" s="215">
        <f>IF(AND(ISNUMBER(AD259),ISNUMBER(AD175)),IFERROR(AD259/AD175,""),"")</f>
        <v>-1.33337961808766</v>
      </c>
      <c r="AE267" s="215">
        <f>IF(AND(ISNUMBER(AE259),ISNUMBER(AE175)),IFERROR(AE259/AE175,""),"")</f>
        <v>-3.19585998970513</v>
      </c>
      <c r="AF267" s="215">
        <f>IF(AND(ISNUMBER(AF259),ISNUMBER(AF175)),IFERROR(AF259/AF175,""),"")</f>
        <v>-1.70523203779509</v>
      </c>
      <c r="AG267" s="215">
        <f>IF(AND(ISNUMBER(AG259),ISNUMBER(AG175)),IFERROR(AG259/AG175,""),"")</f>
        <v>-1.67397876678619</v>
      </c>
      <c r="AH267" s="215">
        <f>IF(AND(ISNUMBER(AH259),ISNUMBER(AH175)),IFERROR(AH259/AH175,""),"")</f>
        <v>-1.84815231346295</v>
      </c>
      <c r="AI267" s="215">
        <f>IF(AND(ISNUMBER(AI259),ISNUMBER(AI175)),IFERROR(AI259/AI175,""),"")</f>
        <v>-0.536519641807144</v>
      </c>
      <c r="AJ267" s="215">
        <f>IF(AND(ISNUMBER(AJ259),ISNUMBER(AJ175)),IFERROR(AJ259/AJ175,""),"")</f>
        <v>-0.991785944483213</v>
      </c>
      <c r="AK267" s="215">
        <f>IF(AND(ISNUMBER(AK259),ISNUMBER(AK175)),IFERROR(AK259/AK175,""),"")</f>
        <v>-1.47070504754813</v>
      </c>
      <c r="AL267" s="215">
        <f>IF(AND(ISNUMBER(AL259),ISNUMBER(AL175)),IFERROR(AL259/AL175,""),"")</f>
        <v>-4.0141287763198</v>
      </c>
      <c r="AM267" s="215">
        <f>IF(AND(ISNUMBER(AM259),ISNUMBER(AM175)),IFERROR(AM259/AM175,""),"")</f>
        <v>-1.50300591327201</v>
      </c>
      <c r="AN267" s="215">
        <f>IF(AND(ISNUMBER(AN259),ISNUMBER(AN175)),IFERROR(AN259/AN175,""),"")</f>
        <v>-0.787712492185426</v>
      </c>
      <c r="AO267" s="215">
        <f>IF(AND(ISNUMBER(AO259),ISNUMBER(AO175)),IFERROR(AO259/AO175,""),"")</f>
        <v>-0.710476534615675</v>
      </c>
      <c r="AP267" s="215">
        <f>IF(AND(ISNUMBER(AP259),ISNUMBER(AP175)),IFERROR(AP259/AP175,""),"")</f>
        <v>-0.497783156687334</v>
      </c>
      <c r="AQ267" s="215">
        <f>IF(AND(ISNUMBER(AQ259),ISNUMBER(AQ175)),IFERROR(AQ259/AQ175,""),"")</f>
        <v>-2.84713060798505</v>
      </c>
      <c r="AR267" s="215">
        <f>IF(AND(ISNUMBER(AR259),ISNUMBER(AR175)),IFERROR(AR259/AR175,""),"")</f>
        <v>-1.05177198190035</v>
      </c>
      <c r="AS267" s="215">
        <f>IF(AND(ISNUMBER(AS259),ISNUMBER(AS175)),IFERROR(AS259/AS175,""),"")</f>
        <v>0.149114405716226</v>
      </c>
      <c r="AT267" s="215">
        <f>IF(AND(ISNUMBER(AT259),ISNUMBER(AT175)),IFERROR(AT259/AT175,""),"")</f>
        <v>0.603892802184848</v>
      </c>
      <c r="AU267" s="215">
        <f>IF(AND(ISNUMBER(AU259),ISNUMBER(AU175)),IFERROR(AU259/AU175,""),"")</f>
        <v>0.789835074827098</v>
      </c>
      <c r="AV267" s="215">
        <f>IF(AND(ISNUMBER(AV259),ISNUMBER(AV175)),IFERROR(AV259/AV175,""),"")</f>
        <v>-0.259715170980609</v>
      </c>
      <c r="AW267" s="215">
        <f>IF(AND(ISNUMBER(AW259),ISNUMBER(AW175)),IFERROR(AW259/AW175,""),"")</f>
        <v>0.375616842178508</v>
      </c>
      <c r="AX267" s="215">
        <f>IF(AND(ISNUMBER(AX259),ISNUMBER(AX175)),IFERROR(AX259/AX175,""),"")</f>
        <v>0.328914361476241</v>
      </c>
      <c r="AY267" s="215">
        <f>IF(AND(ISNUMBER(AY259),ISNUMBER(AY175)),IFERROR(AY259/AY175,""),"")</f>
        <v>-0.0880634237367098</v>
      </c>
      <c r="AZ267" s="215">
        <f>IF(AND(ISNUMBER(AZ259),ISNUMBER(AZ175)),IFERROR(AZ259/AZ175,""),"")</f>
        <v>-0.0553227559950515</v>
      </c>
      <c r="BA267" s="215">
        <f>IF(AND(ISNUMBER(BA259),ISNUMBER(BA175)),IFERROR(BA259/BA175,""),"")</f>
        <v>-0.71596676070297</v>
      </c>
      <c r="BB267" s="215">
        <f>IF(AND(ISNUMBER(BB259),ISNUMBER(BB175)),IFERROR(BB259/BB175,""),"")</f>
        <v>-0.0233456814955788</v>
      </c>
      <c r="BC267" s="215">
        <f>IF(AND(ISNUMBER(BC259),ISNUMBER(BC175)),IFERROR(BC259/BC175,""),"")</f>
        <v>0.370216727616643</v>
      </c>
      <c r="BD267" s="215">
        <f>IF(AND(ISNUMBER(BD259),ISNUMBER(BD175)),IFERROR(BD259/BD175,""),"")</f>
        <v>0.00702579213985366</v>
      </c>
      <c r="BE267" s="215">
        <f>IF(AND(ISNUMBER(BE259),ISNUMBER(BE175)),IFERROR(BE259/BE175,""),"")</f>
        <v>0.266541563198341</v>
      </c>
      <c r="BF267" s="215">
        <f>IF(AND(ISNUMBER(BF259),ISNUMBER(BF175)),IFERROR(BF259/BF175,""),"")</f>
        <v>0.41685276258343</v>
      </c>
      <c r="BG267" s="215">
        <f>IF(AND(ISNUMBER(BG259),ISNUMBER(BG175)),IFERROR(BG259/BG175,""),"")</f>
        <v>0.247293606612106</v>
      </c>
      <c r="BH267" s="215">
        <f>IF(AND(ISNUMBER(BH259),ISNUMBER(BH175)),IFERROR(BH259/BH175,""),"")</f>
        <v>1.11186862147413</v>
      </c>
      <c r="BI267" s="215">
        <f>IF(AND(ISNUMBER(BI259),ISNUMBER(BI175)),IFERROR(BI259/BI175,""),"")</f>
        <v>0.671443569080085</v>
      </c>
      <c r="BJ267" s="215">
        <f>IF(AND(ISNUMBER(BJ259),ISNUMBER(BJ175)),IFERROR(BJ259/BJ175,""),"")</f>
        <v>0.904930768736816</v>
      </c>
      <c r="BK267" s="215">
        <f>IF(AND(ISNUMBER(BK259),ISNUMBER(BK175)),IFERROR(BK259/BK175,""),"")</f>
        <v>0.949667756629103</v>
      </c>
      <c r="BL267" s="215">
        <f>IF(AND(ISNUMBER(BL259),ISNUMBER(BL175)),IFERROR(BL259/BL175,""),"")</f>
        <v>0.905289035044034</v>
      </c>
      <c r="BM267" s="215">
        <f>IF(AND(ISNUMBER(BM259),ISNUMBER(BM175)),IFERROR(BM259/BM175,""),"")</f>
        <v>0.76420659680063</v>
      </c>
      <c r="BN267" s="215">
        <f>IF(AND(ISNUMBER(BN259),ISNUMBER(BN175)),IFERROR(BN259/BN175,""),"")</f>
        <v>0.440477617579001</v>
      </c>
      <c r="BO267" s="215">
        <f>IF(AND(ISNUMBER(BO259),ISNUMBER(BO175)),IFERROR(BO259/BO175,""),"")</f>
        <v>0.718000183898057</v>
      </c>
      <c r="BP267" s="215">
        <f>IF(AND(ISNUMBER(BP259),ISNUMBER(BP175)),IFERROR(BP259/BP175,""),"")</f>
        <v>0.570896703245721</v>
      </c>
      <c r="BQ267" s="215">
        <f>IF(AND(ISNUMBER(BQ259),ISNUMBER(BQ175)),IFERROR(BQ259/BQ175,""),"")</f>
        <v>0.628165272059936</v>
      </c>
      <c r="BR267" s="215">
        <f>IF(AND(ISNUMBER(BR259),ISNUMBER(BR175)),IFERROR(BR259/BR175,""),"")</f>
        <v>0.760471363169873</v>
      </c>
      <c r="BS267" s="215">
        <f>IF(AND(ISNUMBER(BS259),ISNUMBER(BS175)),IFERROR(BS259/BS175,""),"")</f>
        <v>0.576122283715519</v>
      </c>
      <c r="BT267" s="215">
        <f>IF(AND(ISNUMBER(BT259),ISNUMBER(BT175)),IFERROR(BT259/BT175,""),"")</f>
        <v>0.778694294464108</v>
      </c>
      <c r="BU267" s="215">
        <f>IF(AND(ISNUMBER(BU259),ISNUMBER(BU175)),IFERROR(BU259/BU175,""),"")</f>
        <v>0.589281678925618</v>
      </c>
      <c r="BV267" s="215">
        <f>IF(AND(ISNUMBER(BV259),ISNUMBER(BV175)),IFERROR(BV259/BV175,""),"")</f>
        <v>0.674419416954457</v>
      </c>
      <c r="BW267" s="215">
        <f>IF(AND(ISNUMBER(BW259),ISNUMBER(BW175)),IFERROR(BW259/BW175,""),"")</f>
        <v>1.21403787485012</v>
      </c>
      <c r="BX267" s="215">
        <f>IF(AND(ISNUMBER(BX259),ISNUMBER(BX175)),IFERROR(BX259/BX175,""),"")</f>
        <v>0.344713424396965</v>
      </c>
      <c r="BY267" s="24" t="n"/>
      <c r="BZ267" s="24" t="n"/>
      <c r="CA267" s="256">
        <f>IF(AND(ISNUMBER(CA259),ISNUMBER(CA175)),IFERROR(CA259/CA175,""),"")</f>
        <v>0.726841708108863</v>
      </c>
      <c r="CB267" s="256">
        <f>IF(AND(ISNUMBER(CB259),ISNUMBER(CB175)),IFERROR(CB259/CB175,""),"")</f>
        <v>0.68723525633522</v>
      </c>
      <c r="CC267" s="256">
        <f>IF(AND(ISNUMBER(CC259),ISNUMBER(CC175)),IFERROR(CC259/CC175,""),"")</f>
        <v>0.71724952063099</v>
      </c>
      <c r="CD267" s="256">
        <f>IF(AND(ISNUMBER(CD259),ISNUMBER(CD175)),IFERROR(CD259/CD175,""),"")</f>
        <v>0.734883658855572</v>
      </c>
      <c r="CE267" s="256">
        <f>IF(AND(ISNUMBER(CE259),ISNUMBER(CE175)),IFERROR(CE259/CE175,""),"")</f>
        <v>0.74965319000397</v>
      </c>
      <c r="CF267" s="256">
        <f>IF(AND(ISNUMBER(CF259),ISNUMBER(CF175)),IFERROR(CF259/CF175,""),"")</f>
        <v>0.760990304616537</v>
      </c>
      <c r="CG267" s="153" t="n"/>
      <c r="CI267" s="37">
        <f>IFERROR(AVERAGE(CB267,CC267,CD267,CE267,CF267),"n/m")</f>
        <v>0.730002386088458</v>
      </c>
      <c r="CJ267" s="37">
        <f>IFERROR(AVERAGE(BB267,BG267,BL267,BQ267,BV267),"n/m")</f>
        <v>0.486364329834991</v>
      </c>
      <c r="CK267" s="37">
        <f>IFERROR(AVERAGE(AC267,AH267,AM267,AR267,AW267,BB267,BG267,BL267,BQ267,BV267),"n/m")</f>
        <v>-0.431196612955296</v>
      </c>
      <c r="CL267" s="37">
        <f>IFERROR(AVERAGE(C267,D267,E267,F267,G267,H267,I267,N267,S267,X267,AC267,AH267,AM267,AR267,AW267,BB267,BG267,BL267,BQ267,BV267),"n/m")</f>
        <v>-0.12022858027319</v>
      </c>
    </row>
    <row r="268" ht="15" customHeight="1" s="251">
      <c r="B268" s="25" t="inlineStr">
        <is>
          <t>Capex ratios</t>
        </is>
      </c>
      <c r="CG268" s="153" t="n"/>
    </row>
    <row r="269" ht="15" customHeight="1" s="251">
      <c r="B269" s="25" t="inlineStr">
        <is>
          <t xml:space="preserve">  Capex % of revenue</t>
        </is>
      </c>
      <c r="C269" s="215">
        <f>IF(ISNUMBER(C237),IFERROR(-C237/C121,""),"")</f>
        <v>0.0274245981578472</v>
      </c>
      <c r="D269" s="215">
        <f>IF(ISNUMBER(D237),IFERROR(-D237/D121,""),"")</f>
        <v>0.0367166110806909</v>
      </c>
      <c r="E269" s="215">
        <f>IF(ISNUMBER(E237),IFERROR(-E237/E121,""),"")</f>
        <v>0.0320885553261946</v>
      </c>
      <c r="F269" s="215">
        <f>IF(ISNUMBER(F237),IFERROR(-F237/F121,""),"")</f>
        <v>0.0274997620143821</v>
      </c>
      <c r="G269" s="215">
        <f>IF(ISNUMBER(G237),IFERROR(-G237/G121,""),"")</f>
        <v>0.0156462632217791</v>
      </c>
      <c r="H269" s="215">
        <f>IF(ISNUMBER(H237),IFERROR(-H237/H121,""),"")</f>
        <v>0.0155034502213553</v>
      </c>
      <c r="I269" s="215">
        <f>IF(ISNUMBER(I237),IFERROR(-I237/I121,""),"")</f>
        <v>0.011486218034501</v>
      </c>
      <c r="J269" s="215">
        <f>IF(ISNUMBER(J237),IFERROR(-J237/J121,""),"")</f>
        <v>0.0119174460746064</v>
      </c>
      <c r="K269" s="215">
        <f>IF(ISNUMBER(K237),IFERROR(-K237/K121,""),"")</f>
        <v>0.00748383163202328</v>
      </c>
      <c r="L269" s="215">
        <f>IF(ISNUMBER(L237),IFERROR(-L237/L121,""),"")</f>
        <v>0.00979024393331278</v>
      </c>
      <c r="M269" s="215">
        <f>IF(ISNUMBER(M237),IFERROR(-M237/M121,""),"")</f>
        <v>0.0196633850395242</v>
      </c>
      <c r="N269" s="215">
        <f>IF(ISNUMBER(N237),IFERROR(-N237/N121,""),"")</f>
        <v>0.0123767819498272</v>
      </c>
      <c r="O269" s="215">
        <f>IF(ISNUMBER(O237),IFERROR(-O237/O121,""),"")</f>
        <v>0.010498476878392</v>
      </c>
      <c r="P269" s="215">
        <f>IF(ISNUMBER(P237),IFERROR(-P237/P121,""),"")</f>
        <v>0.0148231096972785</v>
      </c>
      <c r="Q269" s="215">
        <f>IF(ISNUMBER(Q237),IFERROR(-Q237/Q121,""),"")</f>
        <v>0.0149223233188973</v>
      </c>
      <c r="R269" s="215">
        <f>IF(ISNUMBER(R237),IFERROR(-R237/R121,""),"")</f>
        <v>0.0104335608946555</v>
      </c>
      <c r="S269" s="215">
        <f>IF(ISNUMBER(S237),IFERROR(-S237/S121,""),"")</f>
        <v>0.0126667315814104</v>
      </c>
      <c r="T269" s="215">
        <f>IF(ISNUMBER(T237),IFERROR(-T237/T121,""),"")</f>
        <v>0.00828666943397522</v>
      </c>
      <c r="U269" s="215">
        <f>IF(ISNUMBER(U237),IFERROR(-U237/U121,""),"")</f>
        <v>0.0167435401357335</v>
      </c>
      <c r="V269" s="215">
        <f>IF(ISNUMBER(V237),IFERROR(-V237/V121,""),"")</f>
        <v>0.0217562005459184</v>
      </c>
      <c r="W269" s="215">
        <f>IF(ISNUMBER(W237),IFERROR(-W237/W121,""),"")</f>
        <v>0.00704972706576363</v>
      </c>
      <c r="X269" s="215">
        <f>IF(ISNUMBER(X237),IFERROR(-X237/X121,""),"")</f>
        <v>0.0134593778223828</v>
      </c>
      <c r="Y269" s="215">
        <f>IF(ISNUMBER(Y237),IFERROR(-Y237/Y121,""),"")</f>
        <v>0.00430344030042866</v>
      </c>
      <c r="Z269" s="215">
        <f>IF(ISNUMBER(Z237),IFERROR(-Z237/Z121,""),"")</f>
        <v>0.00513679434392106</v>
      </c>
      <c r="AA269" s="215">
        <f>IF(ISNUMBER(AA237),IFERROR(-AA237/AA121,""),"")</f>
        <v>0.0119492373551866</v>
      </c>
      <c r="AB269" s="215">
        <f>IF(ISNUMBER(AB237),IFERROR(-AB237/AB121,""),"")</f>
        <v>0.0246405609432901</v>
      </c>
      <c r="AC269" s="215">
        <f>IF(ISNUMBER(AC237),IFERROR(-AC237/AC121,""),"")</f>
        <v>0.0121908090995144</v>
      </c>
      <c r="AD269" s="215">
        <f>IF(ISNUMBER(AD237),IFERROR(-AD237/AD121,""),"")</f>
        <v>0.0199204668071235</v>
      </c>
      <c r="AE269" s="215">
        <f>IF(ISNUMBER(AE237),IFERROR(-AE237/AE121,""),"")</f>
        <v>0.0234183604598731</v>
      </c>
      <c r="AF269" s="215">
        <f>IF(ISNUMBER(AF237),IFERROR(-AF237/AF121,""),"")</f>
        <v>0.0113784269206686</v>
      </c>
      <c r="AG269" s="215">
        <f>IF(ISNUMBER(AG237),IFERROR(-AG237/AG121,""),"")</f>
        <v>0.00656926642430735</v>
      </c>
      <c r="AH269" s="215">
        <f>IF(ISNUMBER(AH237),IFERROR(-AH237/AH121,""),"")</f>
        <v>0.0148213678040332</v>
      </c>
      <c r="AI269" s="215">
        <f>IF(ISNUMBER(AI237),IFERROR(-AI237/AI121,""),"")</f>
        <v>0.010043622340345</v>
      </c>
      <c r="AJ269" s="215">
        <f>IF(ISNUMBER(AJ237),IFERROR(-AJ237/AJ121,""),"")</f>
        <v>0.00699286202386833</v>
      </c>
      <c r="AK269" s="215">
        <f>IF(ISNUMBER(AK237),IFERROR(-AK237/AK121,""),"")</f>
        <v>0.00983478914450111</v>
      </c>
      <c r="AL269" s="215">
        <f>IF(ISNUMBER(AL237),IFERROR(-AL237/AL121,""),"")</f>
        <v>0.0167477102665231</v>
      </c>
      <c r="AM269" s="215">
        <f>IF(ISNUMBER(AM237),IFERROR(-AM237/AM121,""),"")</f>
        <v>0.0110131850388693</v>
      </c>
      <c r="AN269" s="215">
        <f>IF(ISNUMBER(AN237),IFERROR(-AN237/AN121,""),"")</f>
        <v>0.0133556971567302</v>
      </c>
      <c r="AO269" s="215">
        <f>IF(ISNUMBER(AO237),IFERROR(-AO237/AO121,""),"")</f>
        <v>0.00804043617903783</v>
      </c>
      <c r="AP269" s="215">
        <f>IF(ISNUMBER(AP237),IFERROR(-AP237/AP121,""),"")</f>
        <v>0.00864324520653854</v>
      </c>
      <c r="AQ269" s="215">
        <f>IF(ISNUMBER(AQ237),IFERROR(-AQ237/AQ121,""),"")</f>
        <v>0.0197052218645895</v>
      </c>
      <c r="AR269" s="215">
        <f>IF(ISNUMBER(AR237),IFERROR(-AR237/AR121,""),"")</f>
        <v>0.0125535517246666</v>
      </c>
      <c r="AS269" s="215">
        <f>IF(ISNUMBER(AS237),IFERROR(-AS237/AS121,""),"")</f>
        <v>0.0169938021991816</v>
      </c>
      <c r="AT269" s="215">
        <f>IF(ISNUMBER(AT237),IFERROR(-AT237/AT121,""),"")</f>
        <v>0.0230537421323601</v>
      </c>
      <c r="AU269" s="215">
        <f>IF(ISNUMBER(AU237),IFERROR(-AU237/AU121,""),"")</f>
        <v>0.0170629574042166</v>
      </c>
      <c r="AV269" s="215">
        <f>IF(ISNUMBER(AV237),IFERROR(-AV237/AV121,""),"")</f>
        <v>0.0223278343012099</v>
      </c>
      <c r="AW269" s="215">
        <f>IF(ISNUMBER(AW237),IFERROR(-AW237/AW121,""),"")</f>
        <v>0.0199200625890741</v>
      </c>
      <c r="AX269" s="215">
        <f>IF(ISNUMBER(AX237),IFERROR(-AX237/AX121,""),"")</f>
        <v>0.0113078055561683</v>
      </c>
      <c r="AY269" s="215">
        <f>IF(ISNUMBER(AY237),IFERROR(-AY237/AY121,""),"")</f>
        <v>0.0150206142191461</v>
      </c>
      <c r="AZ269" s="215">
        <f>IF(ISNUMBER(AZ237),IFERROR(-AZ237/AZ121,""),"")</f>
        <v>0.0223595560720719</v>
      </c>
      <c r="BA269" s="215">
        <f>IF(ISNUMBER(BA237),IFERROR(-BA237/BA121,""),"")</f>
        <v>0.0215296606003281</v>
      </c>
      <c r="BB269" s="215">
        <f>IF(ISNUMBER(BB237),IFERROR(-BB237/BB121,""),"")</f>
        <v>0.0176640768939321</v>
      </c>
      <c r="BC269" s="215">
        <f>IF(ISNUMBER(BC237),IFERROR(-BC237/BC121,""),"")</f>
        <v>0.0153992867353596</v>
      </c>
      <c r="BD269" s="215">
        <f>IF(ISNUMBER(BD237),IFERROR(-BD237/BD121,""),"")</f>
        <v>0.0112944049546928</v>
      </c>
      <c r="BE269" s="215">
        <f>IF(ISNUMBER(BE237),IFERROR(-BE237/BE121,""),"")</f>
        <v>0.0107197080242238</v>
      </c>
      <c r="BF269" s="215">
        <f>IF(ISNUMBER(BF237),IFERROR(-BF237/BF121,""),"")</f>
        <v>0.0142119519570232</v>
      </c>
      <c r="BG269" s="215">
        <f>IF(ISNUMBER(BG237),IFERROR(-BG237/BG121,""),"")</f>
        <v>0.0128964702496082</v>
      </c>
      <c r="BH269" s="215">
        <f>IF(ISNUMBER(BH237),IFERROR(-BH237/BH121,""),"")</f>
        <v>0.00759896798420585</v>
      </c>
      <c r="BI269" s="215">
        <f>IF(ISNUMBER(BI237),IFERROR(-BI237/BI121,""),"")</f>
        <v>0.0123327577671812</v>
      </c>
      <c r="BJ269" s="215">
        <f>IF(ISNUMBER(BJ237),IFERROR(-BJ237/BJ121,""),"")</f>
        <v>0.0121672956616904</v>
      </c>
      <c r="BK269" s="215">
        <f>IF(ISNUMBER(BK237),IFERROR(-BK237/BK121,""),"")</f>
        <v>0.00924189033519854</v>
      </c>
      <c r="BL269" s="215">
        <f>IF(ISNUMBER(BL237),IFERROR(-BL237/BL121,""),"")</f>
        <v>0.0103356442283802</v>
      </c>
      <c r="BM269" s="215">
        <f>IF(ISNUMBER(BM237),IFERROR(-BM237/BM121,""),"")</f>
        <v>0.00808009015585181</v>
      </c>
      <c r="BN269" s="215">
        <f>IF(ISNUMBER(BN237),IFERROR(-BN237/BN121,""),"")</f>
        <v>0.00818960782734319</v>
      </c>
      <c r="BO269" s="215">
        <f>IF(ISNUMBER(BO237),IFERROR(-BO237/BO121,""),"")</f>
        <v>0.0129126549677888</v>
      </c>
      <c r="BP269" s="215">
        <f>IF(ISNUMBER(BP237),IFERROR(-BP237/BP121,""),"")</f>
        <v>0.0154856583893467</v>
      </c>
      <c r="BQ269" s="215">
        <f>IF(ISNUMBER(BQ237),IFERROR(-BQ237/BQ121,""),"")</f>
        <v>0.0112699259808078</v>
      </c>
      <c r="BR269" s="215">
        <f>IF(ISNUMBER(BR237),IFERROR(-BR237/BR121,""),"")</f>
        <v>0.0121672599150833</v>
      </c>
      <c r="BS269" s="215">
        <f>IF(ISNUMBER(BS237),IFERROR(-BS237/BS121,""),"")</f>
        <v>0.0140704634265792</v>
      </c>
      <c r="BT269" s="215">
        <f>IF(ISNUMBER(BT237),IFERROR(-BT237/BT121,""),"")</f>
        <v>0.0143105653046439</v>
      </c>
      <c r="BU269" s="215">
        <f>IF(ISNUMBER(BU237),IFERROR(-BU237/BU121,""),"")</f>
        <v>0.0198605698129297</v>
      </c>
      <c r="BV269" s="215">
        <f>IF(ISNUMBER(BV237),IFERROR(-BV237/BV121,""),"")</f>
        <v>0.0152318228460788</v>
      </c>
      <c r="BW269" s="215">
        <f>IF(ISNUMBER(BW237),IFERROR(-BW237/BW121,""),"")</f>
        <v>0.0160109298494656</v>
      </c>
      <c r="BX269" s="215">
        <f>IF(ISNUMBER(BX237),IFERROR(-BX237/BX121,""),"")</f>
        <v>0.0174080477148852</v>
      </c>
      <c r="BY269" s="24" t="n"/>
      <c r="BZ269" s="24" t="n"/>
      <c r="CA269" s="256">
        <f>IF(ISNUMBER(CA237),IFERROR(-CA237/CA121,""),"")</f>
        <v>0.0168634606445312</v>
      </c>
      <c r="CB269" s="274" t="n">
        <v>0.016</v>
      </c>
      <c r="CC269" s="274" t="n">
        <v>0.015</v>
      </c>
      <c r="CD269" s="274" t="n">
        <v>0.014</v>
      </c>
      <c r="CE269" s="274" t="n">
        <v>0.013</v>
      </c>
      <c r="CF269" s="274" t="n">
        <v>0.013</v>
      </c>
      <c r="CG269" s="153" t="inlineStr">
        <is>
          <t>2027E+ input (1H-26 1.7% of revenue: studio and production-facility investment).</t>
        </is>
      </c>
      <c r="CI269" s="37">
        <f>IFERROR(AVERAGE(CB269,CC269,CD269,CE269,CF269),"n/m")</f>
        <v>0.0142</v>
      </c>
      <c r="CJ269" s="37">
        <f>IFERROR(AVERAGE(BB269,BG269,BL269,BQ269,BV269),"n/m")</f>
        <v>0.0134795880397614</v>
      </c>
      <c r="CK269" s="37">
        <f>IFERROR(AVERAGE(AC269,AH269,AM269,AR269,AW269,BB269,BG269,BL269,BQ269,BV269),"n/m")</f>
        <v>0.0137896916454965</v>
      </c>
      <c r="CL269" s="37">
        <f>IFERROR(AVERAGE(C269,D269,E269,F269,G269,H269,I269,N269,S269,X269,AC269,AH269,AM269,AR269,AW269,BB269,BG269,BL269,BQ269,BV269),"n/m")</f>
        <v>0.0171382632932668</v>
      </c>
    </row>
    <row r="270" ht="15" customHeight="1" s="251">
      <c r="B270" s="25" t="inlineStr">
        <is>
          <t xml:space="preserve">  Capex / non-content D&amp;A (x)</t>
        </is>
      </c>
      <c r="C270" s="286">
        <f>IF(ISNUMBER(C237),IFERROR(-C237/C110,""),"")</f>
        <v>1.71873231465761</v>
      </c>
      <c r="D270" s="286">
        <f>IF(ISNUMBER(D237),IFERROR(-D237/D110,""),"")</f>
        <v>2.06861736935589</v>
      </c>
      <c r="E270" s="286">
        <f>IF(ISNUMBER(E237),IFERROR(-E237/E110,""),"")</f>
        <v>1.34929438590004</v>
      </c>
      <c r="F270" s="286">
        <f>IF(ISNUMBER(F237),IFERROR(-F237/F110,""),"")</f>
        <v>1.2073388707812</v>
      </c>
      <c r="G270" s="286">
        <f>IF(ISNUMBER(G237),IFERROR(-G237/G110,""),"")</f>
        <v>0.888133546812252</v>
      </c>
      <c r="H270" s="286">
        <f>IF(ISNUMBER(H237),IFERROR(-H237/H110,""),"")</f>
        <v>1.13566644569913</v>
      </c>
      <c r="I270" s="286">
        <f>IF(ISNUMBER(I237),IFERROR(-I237/I110,""),"")</f>
        <v>0.911764059029229</v>
      </c>
      <c r="J270" s="286">
        <f>IF(ISNUMBER(J237),IFERROR(-J237/J110,""),"")</f>
        <v>1.01261306115675</v>
      </c>
      <c r="K270" s="286">
        <f>IF(ISNUMBER(K237),IFERROR(-K237/K110,""),"")</f>
        <v>0.665474804590055</v>
      </c>
      <c r="L270" s="286">
        <f>IF(ISNUMBER(L237),IFERROR(-L237/L110,""),"")</f>
        <v>0.945511701012924</v>
      </c>
      <c r="M270" s="286">
        <f>IF(ISNUMBER(M237),IFERROR(-M237/M110,""),"")</f>
        <v>1.79906578435189</v>
      </c>
      <c r="N270" s="286">
        <f>IF(ISNUMBER(N237),IFERROR(-N237/N110,""),"")</f>
        <v>1.11925827924091</v>
      </c>
      <c r="O270" s="286">
        <f>IF(ISNUMBER(O237),IFERROR(-O237/O110,""),"")</f>
        <v>1.0768858019706</v>
      </c>
      <c r="P270" s="286">
        <f>IF(ISNUMBER(P237),IFERROR(-P237/P110,""),"")</f>
        <v>1.53109347306774</v>
      </c>
      <c r="Q270" s="286">
        <f>IF(ISNUMBER(Q237),IFERROR(-Q237/Q110,""),"")</f>
        <v>1.46492999930348</v>
      </c>
      <c r="R270" s="286">
        <f>IF(ISNUMBER(R237),IFERROR(-R237/R110,""),"")</f>
        <v>1.08237842370039</v>
      </c>
      <c r="S270" s="286">
        <f>IF(ISNUMBER(S237),IFERROR(-S237/S110,""),"")</f>
        <v>1.29055304656845</v>
      </c>
      <c r="T270" s="286">
        <f>IF(ISNUMBER(T237),IFERROR(-T237/T110,""),"")</f>
        <v>0.859497593459484</v>
      </c>
      <c r="U270" s="286">
        <f>IF(ISNUMBER(U237),IFERROR(-U237/U110,""),"")</f>
        <v>1.76740902381105</v>
      </c>
      <c r="V270" s="286">
        <f>IF(ISNUMBER(V237),IFERROR(-V237/V110,""),"")</f>
        <v>2.35682682121269</v>
      </c>
      <c r="W270" s="286">
        <f>IF(ISNUMBER(W237),IFERROR(-W237/W110,""),"")</f>
        <v>0.829932851239669</v>
      </c>
      <c r="X270" s="286">
        <f>IF(ISNUMBER(X237),IFERROR(-X237/X110,""),"")</f>
        <v>1.46505466981359</v>
      </c>
      <c r="Y270" s="286">
        <f>IF(ISNUMBER(Y237),IFERROR(-Y237/Y110,""),"")</f>
        <v>0.569333693742398</v>
      </c>
      <c r="Z270" s="286">
        <f>IF(ISNUMBER(Z237),IFERROR(-Z237/Z110,""),"")</f>
        <v>0.765267850824429</v>
      </c>
      <c r="AA270" s="286">
        <f>IF(ISNUMBER(AA237),IFERROR(-AA237/AA110,""),"")</f>
        <v>1.89909784871617</v>
      </c>
      <c r="AB270" s="286">
        <f>IF(ISNUMBER(AB237),IFERROR(-AB237/AB110,""),"")</f>
        <v>4.30248784269505</v>
      </c>
      <c r="AC270" s="286">
        <f>IF(ISNUMBER(AC237),IFERROR(-AC237/AC110,""),"")</f>
        <v>1.87131483799193</v>
      </c>
      <c r="AD270" s="286">
        <f>IF(ISNUMBER(AD237),IFERROR(-AD237/AD110,""),"")</f>
        <v>3.49013223469998</v>
      </c>
      <c r="AE270" s="286">
        <f>IF(ISNUMBER(AE237),IFERROR(-AE237/AE110,""),"")</f>
        <v>3.5163063985769</v>
      </c>
      <c r="AF270" s="286">
        <f>IF(ISNUMBER(AF237),IFERROR(-AF237/AF110,""),"")</f>
        <v>1.76541220501092</v>
      </c>
      <c r="AG270" s="286">
        <f>IF(ISNUMBER(AG237),IFERROR(-AG237/AG110,""),"")</f>
        <v>1.13170450374875</v>
      </c>
      <c r="AH270" s="286">
        <f>IF(ISNUMBER(AH237),IFERROR(-AH237/AH110,""),"")</f>
        <v>2.409951189665</v>
      </c>
      <c r="AI270" s="286">
        <f>IF(ISNUMBER(AI237),IFERROR(-AI237/AI110,""),"")</f>
        <v>1.95210335591618</v>
      </c>
      <c r="AJ270" s="286">
        <f>IF(ISNUMBER(AJ237),IFERROR(-AJ237/AJ110,""),"")</f>
        <v>1.38442440210782</v>
      </c>
      <c r="AK270" s="286">
        <f>IF(ISNUMBER(AK237),IFERROR(-AK237/AK110,""),"")</f>
        <v>1.85874958650347</v>
      </c>
      <c r="AL270" s="286">
        <f>IF(ISNUMBER(AL237),IFERROR(-AL237/AL110,""),"")</f>
        <v>3.01994056591585</v>
      </c>
      <c r="AM270" s="286">
        <f>IF(ISNUMBER(AM237),IFERROR(-AM237/AM110,""),"")</f>
        <v>2.09177820267686</v>
      </c>
      <c r="AN270" s="286">
        <f>IF(ISNUMBER(AN237),IFERROR(-AN237/AN110,""),"")</f>
        <v>2.56275200543271</v>
      </c>
      <c r="AO270" s="286">
        <f>IF(ISNUMBER(AO237),IFERROR(-AO237/AO110,""),"")</f>
        <v>1.55255726388453</v>
      </c>
      <c r="AP270" s="286">
        <f>IF(ISNUMBER(AP237),IFERROR(-AP237/AP110,""),"")</f>
        <v>1.69761084481726</v>
      </c>
      <c r="AQ270" s="286">
        <f>IF(ISNUMBER(AQ237),IFERROR(-AQ237/AQ110,""),"")</f>
        <v>3.87292400603925</v>
      </c>
      <c r="AR270" s="286">
        <f>IF(ISNUMBER(AR237),IFERROR(-AR237/AR110,""),"")</f>
        <v>2.44291796599697</v>
      </c>
      <c r="AS270" s="286">
        <f>IF(ISNUMBER(AS237),IFERROR(-AS237/AS110,""),"")</f>
        <v>3.43707262334748</v>
      </c>
      <c r="AT270" s="286">
        <f>IF(ISNUMBER(AT237),IFERROR(-AT237/AT110,""),"")</f>
        <v>5.31641723866322</v>
      </c>
      <c r="AU270" s="286">
        <f>IF(ISNUMBER(AU237),IFERROR(-AU237/AU110,""),"")</f>
        <v>3.84102277099584</v>
      </c>
      <c r="AV270" s="286">
        <f>IF(ISNUMBER(AV237),IFERROR(-AV237/AV110,""),"")</f>
        <v>4.64439783364117</v>
      </c>
      <c r="AW270" s="286">
        <f>IF(ISNUMBER(AW237),IFERROR(-AW237/AW110,""),"")</f>
        <v>4.30319764929565</v>
      </c>
      <c r="AX270" s="286">
        <f>IF(ISNUMBER(AX237),IFERROR(-AX237/AX110,""),"")</f>
        <v>2.26633278307826</v>
      </c>
      <c r="AY270" s="286">
        <f>IF(ISNUMBER(AY237),IFERROR(-AY237/AY110,""),"")</f>
        <v>2.86928240620284</v>
      </c>
      <c r="AZ270" s="286">
        <f>IF(ISNUMBER(AZ237),IFERROR(-AZ237/AZ110,""),"")</f>
        <v>2.38177729064951</v>
      </c>
      <c r="BA270" s="286">
        <f>IF(ISNUMBER(BA237),IFERROR(-BA237/BA110,""),"")</f>
        <v>2.59407039259815</v>
      </c>
      <c r="BB270" s="286">
        <f>IF(ISNUMBER(BB237),IFERROR(-BB237/BB110,""),"")</f>
        <v>2.5170575590657</v>
      </c>
      <c r="BC270" s="286">
        <f>IF(ISNUMBER(BC237),IFERROR(-BC237/BC110,""),"")</f>
        <v>1.62405833623763</v>
      </c>
      <c r="BD270" s="286">
        <f>IF(ISNUMBER(BD237),IFERROR(-BD237/BD110,""),"")</f>
        <v>1.07799532962098</v>
      </c>
      <c r="BE270" s="286">
        <f>IF(ISNUMBER(BE237),IFERROR(-BE237/BE110,""),"")</f>
        <v>0.997323566699535</v>
      </c>
      <c r="BF270" s="286">
        <f>IF(ISNUMBER(BF237),IFERROR(-BF237/BF110,""),"")</f>
        <v>1.19495218820607</v>
      </c>
      <c r="BG270" s="286">
        <f>IF(ISNUMBER(BG237),IFERROR(-BG237/BG110,""),"")</f>
        <v>1.21102108220814</v>
      </c>
      <c r="BH270" s="286">
        <f>IF(ISNUMBER(BH237),IFERROR(-BH237/BH110,""),"")</f>
        <v>0.686544528698733</v>
      </c>
      <c r="BI270" s="286">
        <f>IF(ISNUMBER(BI237),IFERROR(-BI237/BI110,""),"")</f>
        <v>1.12963025116071</v>
      </c>
      <c r="BJ270" s="286">
        <f>IF(ISNUMBER(BJ237),IFERROR(-BJ237/BJ110,""),"")</f>
        <v>1.14636002647253</v>
      </c>
      <c r="BK270" s="286">
        <f>IF(ISNUMBER(BK237),IFERROR(-BK237/BK110,""),"")</f>
        <v>0.942992133260943</v>
      </c>
      <c r="BL270" s="286">
        <f>IF(ISNUMBER(BL237),IFERROR(-BL237/BL110,""),"")</f>
        <v>0.976481102236467</v>
      </c>
      <c r="BM270" s="286">
        <f>IF(ISNUMBER(BM237),IFERROR(-BM237/BM110,""),"")</f>
        <v>0.867941398995805</v>
      </c>
      <c r="BN270" s="286">
        <f>IF(ISNUMBER(BN237),IFERROR(-BN237/BN110,""),"")</f>
        <v>0.963805138685413</v>
      </c>
      <c r="BO270" s="286">
        <f>IF(ISNUMBER(BO237),IFERROR(-BO237/BO110,""),"")</f>
        <v>1.56787453345527</v>
      </c>
      <c r="BP270" s="286">
        <f>IF(ISNUMBER(BP237),IFERROR(-BP237/BP110,""),"")</f>
        <v>1.99492073071072</v>
      </c>
      <c r="BQ270" s="286">
        <f>IF(ISNUMBER(BQ237),IFERROR(-BQ237/BQ110,""),"")</f>
        <v>1.33633107742449</v>
      </c>
      <c r="BR270" s="286">
        <f>IF(ISNUMBER(BR237),IFERROR(-BR237/BR110,""),"")</f>
        <v>1.60212072389374</v>
      </c>
      <c r="BS270" s="286">
        <f>IF(ISNUMBER(BS237),IFERROR(-BS237/BS110,""),"")</f>
        <v>1.94829590191594</v>
      </c>
      <c r="BT270" s="286">
        <f>IF(ISNUMBER(BT237),IFERROR(-BT237/BT110,""),"")</f>
        <v>1.88625380757163</v>
      </c>
      <c r="BU270" s="286">
        <f>IF(ISNUMBER(BU237),IFERROR(-BU237/BU110,""),"")</f>
        <v>2.78351534605678</v>
      </c>
      <c r="BV270" s="286">
        <f>IF(ISNUMBER(BV237),IFERROR(-BV237/BV110,""),"")</f>
        <v>2.06431525935169</v>
      </c>
      <c r="BW270" s="286">
        <f>IF(ISNUMBER(BW237),IFERROR(-BW237/BW110,""),"")</f>
        <v>1.98965254882069</v>
      </c>
      <c r="BX270" s="286">
        <f>IF(ISNUMBER(BX237),IFERROR(-BX237/BX110,""),"")</f>
        <v>2.17491296130508</v>
      </c>
      <c r="BY270" s="35" t="n"/>
      <c r="BZ270" s="35" t="n"/>
      <c r="CA270" s="287">
        <f>IF(ISNUMBER(CA237),IFERROR(-CA237/CA110,""),"")</f>
        <v>2.08218976460036</v>
      </c>
      <c r="CB270" s="287">
        <f>IF(ISNUMBER(CB237),IFERROR(-CB237/CB110,""),"")</f>
        <v>2</v>
      </c>
      <c r="CC270" s="287">
        <f>IF(ISNUMBER(CC237),IFERROR(-CC237/CC110,""),"")</f>
        <v>1.875</v>
      </c>
      <c r="CD270" s="287">
        <f>IF(ISNUMBER(CD237),IFERROR(-CD237/CD110,""),"")</f>
        <v>1.75</v>
      </c>
      <c r="CE270" s="287">
        <f>IF(ISNUMBER(CE237),IFERROR(-CE237/CE110,""),"")</f>
        <v>1.625</v>
      </c>
      <c r="CF270" s="287">
        <f>IF(ISNUMBER(CF237),IFERROR(-CF237/CF110,""),"")</f>
        <v>1.625</v>
      </c>
      <c r="CG270" s="19" t="n"/>
    </row>
    <row r="271" ht="15" customHeight="1" s="251">
      <c r="B271" s="25" t="inlineStr">
        <is>
          <t xml:space="preserve">  FY26 FCF calibration: 2H other operating cash flow — deposits in other non-current assets (solves FCF to guidance)</t>
        </is>
      </c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  <c r="AV271" s="36" t="n"/>
      <c r="AW271" s="36" t="n"/>
      <c r="AX271" s="36" t="n"/>
      <c r="AY271" s="36" t="n"/>
      <c r="AZ271" s="36" t="n"/>
      <c r="BA271" s="36" t="n"/>
      <c r="BB271" s="36" t="n"/>
      <c r="BC271" s="36" t="n"/>
      <c r="BD271" s="36" t="n"/>
      <c r="BE271" s="36" t="n"/>
      <c r="BF271" s="36" t="n"/>
      <c r="BG271" s="36" t="n"/>
      <c r="BH271" s="36" t="n"/>
      <c r="BI271" s="36" t="n"/>
      <c r="BJ271" s="36" t="n"/>
      <c r="BK271" s="36" t="n"/>
      <c r="BL271" s="36" t="n"/>
      <c r="BM271" s="36" t="n"/>
      <c r="BN271" s="36" t="n"/>
      <c r="BO271" s="36" t="n"/>
      <c r="BP271" s="36" t="n"/>
      <c r="BQ271" s="36" t="n"/>
      <c r="BR271" s="36" t="n"/>
      <c r="BS271" s="36" t="n"/>
      <c r="BT271" s="36" t="n"/>
      <c r="BU271" s="36" t="n"/>
      <c r="BV271" s="36" t="n"/>
      <c r="BW271" s="36" t="n"/>
      <c r="BX271" s="36" t="n"/>
      <c r="BY271" s="24" t="n"/>
      <c r="BZ271" s="24" t="n"/>
      <c r="CA271" s="254">
        <f>CA92-(SUM(BW236:BX236)+SUM(BY141:BZ141)+SUM(BY96:BZ96)+(CA228-SUM(BW228:BX228))+(CA229-SUM(BW229:BX229))+SUM(BY144:BZ144)+SUM(BY145:BZ145)-(CA288-BX288)+(CA296-BX296)+(CA297-BX297)+(CA298-BX298)+(CA300-BX300)+CA237)</f>
        <v>-1418.61194552565</v>
      </c>
      <c r="CB271" s="46" t="n"/>
      <c r="CC271" s="46" t="n"/>
      <c r="CD271" s="46" t="n"/>
      <c r="CE271" s="46" t="n"/>
      <c r="CF271" s="46" t="n"/>
      <c r="CG271" s="19" t="inlineStr">
        <is>
          <t>FCF guidance (~$12.5bn) is hit by a 2H-26 other operating cash flow booked to other non-current assets (negative = outflow). The Q4-25 letter expected a ~$700m deposit in 2026 for the Brazilian tax dispute; a deposit does not reverse, so 2027E+ working capital is unaffected.</t>
        </is>
      </c>
    </row>
    <row r="272" ht="15" customHeight="1" s="251">
      <c r="CO272" s="11" t="n"/>
      <c r="CP272" s="12" t="n"/>
      <c r="CQ272" s="12" t="n"/>
      <c r="CR272" s="12" t="n"/>
      <c r="CS272" s="13" t="n"/>
    </row>
    <row r="273" ht="15" customHeight="1" s="251">
      <c r="B273" s="10" t="inlineStr">
        <is>
          <t>SHARE BUYBACK SCHEDULE</t>
        </is>
      </c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0" t="n"/>
      <c r="AL273" s="10" t="n"/>
      <c r="AM273" s="10" t="n"/>
      <c r="AN273" s="10" t="n"/>
      <c r="AO273" s="10" t="n"/>
      <c r="AP273" s="10" t="n"/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0" t="n"/>
      <c r="BC273" s="10" t="n"/>
      <c r="BD273" s="10" t="n"/>
      <c r="BE273" s="10" t="n"/>
      <c r="BF273" s="10" t="n"/>
      <c r="BG273" s="10" t="n"/>
      <c r="BH273" s="10" t="n"/>
      <c r="BI273" s="10" t="n"/>
      <c r="BJ273" s="10" t="n"/>
      <c r="BK273" s="10" t="n"/>
      <c r="BL273" s="10" t="n"/>
      <c r="BM273" s="10" t="n"/>
      <c r="BN273" s="10" t="n"/>
      <c r="BO273" s="10" t="n"/>
      <c r="BP273" s="10" t="n"/>
      <c r="BQ273" s="10" t="n"/>
      <c r="BR273" s="10" t="n"/>
      <c r="BS273" s="10" t="n"/>
      <c r="BT273" s="10" t="n"/>
      <c r="BU273" s="10" t="n"/>
      <c r="BV273" s="10" t="n"/>
      <c r="BW273" s="10" t="n"/>
      <c r="BX273" s="10" t="n"/>
      <c r="BY273" s="10" t="n"/>
      <c r="BZ273" s="10" t="n"/>
      <c r="CA273" s="10" t="n"/>
      <c r="CB273" s="10" t="n"/>
      <c r="CC273" s="10" t="n"/>
      <c r="CD273" s="10" t="n"/>
      <c r="CE273" s="10" t="n"/>
      <c r="CF273" s="10" t="n"/>
      <c r="CG273" s="10" t="inlineStr">
        <is>
          <t>SHARES — 2026E = 2H from shares outstanding at 30-Jun-2026; buybacks = cash-return plug</t>
        </is>
      </c>
    </row>
    <row r="274" ht="15" customHeight="1" s="251">
      <c r="B274" s="25" t="inlineStr">
        <is>
          <t xml:space="preserve">  Avg buyback price ($)</t>
        </is>
      </c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  <c r="AA274" s="34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34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34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5" t="n"/>
      <c r="BZ274" s="35" t="n"/>
      <c r="CA274" s="266">
        <f>CA389</f>
        <v>70</v>
      </c>
      <c r="CB274" s="266">
        <f>CA274*(1+CB332)</f>
        <v>75.6</v>
      </c>
      <c r="CC274" s="266">
        <f>CB274*(1+CC332)</f>
        <v>81.648</v>
      </c>
      <c r="CD274" s="266">
        <f>CC274*(1+CD332)</f>
        <v>88.17984</v>
      </c>
      <c r="CE274" s="266">
        <f>CD274*(1+CE332)</f>
        <v>95.2342272</v>
      </c>
      <c r="CF274" s="266">
        <f>CE274*(1+CF332)</f>
        <v>102.852965376</v>
      </c>
      <c r="CG274" s="19" t="n"/>
    </row>
    <row r="275" ht="15" customHeight="1" s="251">
      <c r="B275" s="25" t="inlineStr">
        <is>
          <t xml:space="preserve">  Buyback cash deployed (USDm; 2026E = 2H)</t>
        </is>
      </c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34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34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5" t="n"/>
      <c r="BZ275" s="35" t="n"/>
      <c r="CA275" s="268">
        <f>CA352</f>
        <v>6550.20966666667</v>
      </c>
      <c r="CB275" s="268">
        <f>-CB246</f>
        <v>12618.1358906848</v>
      </c>
      <c r="CC275" s="268">
        <f>-CC246</f>
        <v>15252.7212486958</v>
      </c>
      <c r="CD275" s="268">
        <f>-CD246</f>
        <v>17848.9967662494</v>
      </c>
      <c r="CE275" s="268">
        <f>-CE246</f>
        <v>20289.8530081977</v>
      </c>
      <c r="CF275" s="268">
        <f>-CF246</f>
        <v>22749.5204500661</v>
      </c>
      <c r="CG275" s="19" t="n"/>
    </row>
    <row r="276" ht="15" customHeight="1" s="251">
      <c r="B276" s="25" t="inlineStr">
        <is>
          <t xml:space="preserve">  Implied shares repurchased (m)</t>
        </is>
      </c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  <c r="AA276" s="34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34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34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5" t="n"/>
      <c r="BZ276" s="35" t="n"/>
      <c r="CA276" s="266">
        <f>IFERROR(CA275/CA274,0)</f>
        <v>93.5744238095238</v>
      </c>
      <c r="CB276" s="266">
        <f>IFERROR(CB275/CB274,0)</f>
        <v>166.906559400592</v>
      </c>
      <c r="CC276" s="266">
        <f>IFERROR(CC275/CC274,0)</f>
        <v>186.810714882125</v>
      </c>
      <c r="CD276" s="266">
        <f>IFERROR(CD275/CD274,0)</f>
        <v>202.415844327336</v>
      </c>
      <c r="CE276" s="266">
        <f>IFERROR(CE275/CE274,0)</f>
        <v>213.052109569674</v>
      </c>
      <c r="CF276" s="266">
        <f>IFERROR(CF275/CF274,0)</f>
        <v>221.184876555582</v>
      </c>
      <c r="CG276" s="19" t="n"/>
    </row>
    <row r="277" ht="15" customHeight="1" s="251">
      <c r="B277" s="25" t="inlineStr">
        <is>
          <t xml:space="preserve">  Shares issued under equity plans (m)</t>
        </is>
      </c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  <c r="AV277" s="36" t="n"/>
      <c r="AW277" s="36" t="n"/>
      <c r="AX277" s="36" t="n"/>
      <c r="AY277" s="36" t="n"/>
      <c r="AZ277" s="36" t="n"/>
      <c r="BA277" s="36" t="n"/>
      <c r="BB277" s="36" t="n"/>
      <c r="BC277" s="36" t="n"/>
      <c r="BD277" s="36" t="n"/>
      <c r="BE277" s="36" t="n"/>
      <c r="BF277" s="36" t="n"/>
      <c r="BG277" s="36" t="n"/>
      <c r="BH277" s="36" t="n"/>
      <c r="BI277" s="36" t="n"/>
      <c r="BJ277" s="36" t="n"/>
      <c r="BK277" s="36" t="n"/>
      <c r="BL277" s="36" t="n"/>
      <c r="BM277" s="36" t="n"/>
      <c r="BN277" s="36" t="n"/>
      <c r="BO277" s="36" t="n"/>
      <c r="BP277" s="36" t="n"/>
      <c r="BQ277" s="36" t="n"/>
      <c r="BR277" s="36" t="n"/>
      <c r="BS277" s="36" t="n"/>
      <c r="BT277" s="36" t="n"/>
      <c r="BU277" s="36" t="n"/>
      <c r="BV277" s="36" t="n"/>
      <c r="BW277" s="36" t="n"/>
      <c r="BX277" s="36" t="n"/>
      <c r="BY277" s="24" t="n"/>
      <c r="BZ277" s="24" t="n"/>
      <c r="CA277" s="288" t="n">
        <v>2</v>
      </c>
      <c r="CB277" s="288" t="n">
        <v>5</v>
      </c>
      <c r="CC277" s="288" t="n">
        <v>5</v>
      </c>
      <c r="CD277" s="288" t="n">
        <v>5</v>
      </c>
      <c r="CE277" s="288" t="n">
        <v>5</v>
      </c>
      <c r="CF277" s="288" t="n">
        <v>5</v>
      </c>
      <c r="CG277" s="19" t="n"/>
    </row>
    <row r="278" ht="15" customHeight="1" s="251">
      <c r="B278" s="25" t="inlineStr">
        <is>
          <t xml:space="preserve">  Beginning shares outstanding (m)</t>
        </is>
      </c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  <c r="AA278" s="34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34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34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5" t="n"/>
      <c r="BZ278" s="35" t="n"/>
      <c r="CA278" s="254">
        <f>BX313</f>
        <v>4163.939676</v>
      </c>
      <c r="CB278" s="254">
        <f>CA279</f>
        <v>4072.36525219048</v>
      </c>
      <c r="CC278" s="254">
        <f>CB279</f>
        <v>3910.45869278988</v>
      </c>
      <c r="CD278" s="254">
        <f>CC279</f>
        <v>3728.64797790776</v>
      </c>
      <c r="CE278" s="254">
        <f>CD279</f>
        <v>3531.23213358042</v>
      </c>
      <c r="CF278" s="254">
        <f>CE279</f>
        <v>3323.18002401075</v>
      </c>
      <c r="CG278" s="19" t="inlineStr">
        <is>
          <t>2026E begins from shares outstanding at 30-Jun-2026 (Q2-26 10-Q, XBRL).</t>
        </is>
      </c>
    </row>
    <row r="279" ht="15" customHeight="1" s="251">
      <c r="B279" s="25" t="inlineStr">
        <is>
          <t xml:space="preserve">  Ending shares outstanding (m)</t>
        </is>
      </c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  <c r="AA279" s="34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34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34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5" t="n"/>
      <c r="BZ279" s="35" t="n"/>
      <c r="CA279" s="254">
        <f>CA278-CA276+CA277</f>
        <v>4072.36525219048</v>
      </c>
      <c r="CB279" s="254">
        <f>CB278-CB276+CB277</f>
        <v>3910.45869278988</v>
      </c>
      <c r="CC279" s="254">
        <f>CC278-CC276+CC277</f>
        <v>3728.64797790776</v>
      </c>
      <c r="CD279" s="254">
        <f>CD278-CD276+CD277</f>
        <v>3531.23213358042</v>
      </c>
      <c r="CE279" s="254">
        <f>CE278-CE276+CE277</f>
        <v>3323.18002401075</v>
      </c>
      <c r="CF279" s="254">
        <f>CF278-CF276+CF277</f>
        <v>3106.99514745517</v>
      </c>
      <c r="CG279" s="19" t="n"/>
    </row>
    <row r="280" ht="15" customHeight="1" s="251">
      <c r="B280" s="25" t="inlineStr">
        <is>
          <t xml:space="preserve">  % of shares repurchased</t>
        </is>
      </c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  <c r="AV280" s="36" t="n"/>
      <c r="AW280" s="36" t="n"/>
      <c r="AX280" s="36" t="n"/>
      <c r="AY280" s="36" t="n"/>
      <c r="AZ280" s="36" t="n"/>
      <c r="BA280" s="36" t="n"/>
      <c r="BB280" s="36" t="n"/>
      <c r="BC280" s="36" t="n"/>
      <c r="BD280" s="36" t="n"/>
      <c r="BE280" s="36" t="n"/>
      <c r="BF280" s="36" t="n"/>
      <c r="BG280" s="36" t="n"/>
      <c r="BH280" s="36" t="n"/>
      <c r="BI280" s="36" t="n"/>
      <c r="BJ280" s="36" t="n"/>
      <c r="BK280" s="36" t="n"/>
      <c r="BL280" s="36" t="n"/>
      <c r="BM280" s="36" t="n"/>
      <c r="BN280" s="36" t="n"/>
      <c r="BO280" s="36" t="n"/>
      <c r="BP280" s="36" t="n"/>
      <c r="BQ280" s="36" t="n"/>
      <c r="BR280" s="36" t="n"/>
      <c r="BS280" s="36" t="n"/>
      <c r="BT280" s="36" t="n"/>
      <c r="BU280" s="36" t="n"/>
      <c r="BV280" s="36" t="n"/>
      <c r="BW280" s="36" t="n"/>
      <c r="BX280" s="36" t="n"/>
      <c r="BY280" s="24" t="n"/>
      <c r="BZ280" s="24" t="n"/>
      <c r="CA280" s="256">
        <f>IF(AND(ISNUMBER(CA276),ISNUMBER(CA278)),IFERROR(CA276/CA278,""),"")</f>
        <v>0.0224725695112409</v>
      </c>
      <c r="CB280" s="256">
        <f>IF(AND(ISNUMBER(CB276),ISNUMBER(CB278)),IFERROR(CB276/CB278,""),"")</f>
        <v>0.0409851644104898</v>
      </c>
      <c r="CC280" s="256">
        <f>IF(AND(ISNUMBER(CC276),ISNUMBER(CC278)),IFERROR(CC276/CC278,""),"")</f>
        <v>0.0477720721680471</v>
      </c>
      <c r="CD280" s="256">
        <f>IF(AND(ISNUMBER(CD276),ISNUMBER(CD278)),IFERROR(CD276/CD278,""),"")</f>
        <v>0.0542866598098426</v>
      </c>
      <c r="CE280" s="256">
        <f>IF(AND(ISNUMBER(CE276),ISNUMBER(CE278)),IFERROR(CE276/CE278,""),"")</f>
        <v>0.0603336460222043</v>
      </c>
      <c r="CF280" s="256">
        <f>IF(AND(ISNUMBER(CF276),ISNUMBER(CF278)),IFERROR(CF276/CF278,""),"")</f>
        <v>0.066558198760666</v>
      </c>
      <c r="CG280" s="153" t="n"/>
    </row>
    <row r="281" ht="15" customHeight="1" s="251">
      <c r="B281" s="156" t="inlineStr">
        <is>
          <t xml:space="preserve">  Memo: cumulative shares repurchased since 30-Jun-2026 (m)</t>
        </is>
      </c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  <c r="AA281" s="34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34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34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153" t="n"/>
      <c r="BZ281" s="153" t="n"/>
      <c r="CA281" s="272">
        <f>CA276</f>
        <v>93.5744238095238</v>
      </c>
      <c r="CB281" s="272">
        <f>CA281+CB276</f>
        <v>260.480983210116</v>
      </c>
      <c r="CC281" s="272">
        <f>CB281+CC276</f>
        <v>447.291698092242</v>
      </c>
      <c r="CD281" s="272">
        <f>CC281+CD276</f>
        <v>649.707542419578</v>
      </c>
      <c r="CE281" s="272">
        <f>CD281+CE276</f>
        <v>862.759651989252</v>
      </c>
      <c r="CF281" s="272">
        <f>CE281+CF276</f>
        <v>1083.94452854483</v>
      </c>
      <c r="CG281" s="153" t="n"/>
    </row>
    <row r="282" ht="15" customHeight="1" s="251">
      <c r="CO282" s="11" t="n"/>
      <c r="CP282" s="12" t="n"/>
      <c r="CQ282" s="12" t="n"/>
      <c r="CR282" s="12" t="n"/>
      <c r="CS282" s="13" t="n"/>
    </row>
    <row r="283" ht="15" customHeight="1" s="251">
      <c r="B283" s="10" t="inlineStr">
        <is>
          <t>CONSOLIDATED BALANCE SHEETS (condensed, as reported)</t>
        </is>
      </c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0" t="n"/>
      <c r="AL283" s="10" t="n"/>
      <c r="AM283" s="10" t="n"/>
      <c r="AN283" s="10" t="n"/>
      <c r="AO283" s="10" t="n"/>
      <c r="AP283" s="10" t="n"/>
      <c r="AQ283" s="10" t="n"/>
      <c r="AR283" s="10" t="n"/>
      <c r="AS283" s="10" t="n"/>
      <c r="AT283" s="10" t="n"/>
      <c r="AU283" s="10" t="n"/>
      <c r="AV283" s="10" t="n"/>
      <c r="AW283" s="10" t="n"/>
      <c r="AX283" s="10" t="n"/>
      <c r="AY283" s="10" t="n"/>
      <c r="AZ283" s="10" t="n"/>
      <c r="BA283" s="10" t="n"/>
      <c r="BB283" s="10" t="n"/>
      <c r="BC283" s="10" t="n"/>
      <c r="BD283" s="10" t="n"/>
      <c r="BE283" s="10" t="n"/>
      <c r="BF283" s="10" t="n"/>
      <c r="BG283" s="10" t="n"/>
      <c r="BH283" s="10" t="n"/>
      <c r="BI283" s="10" t="n"/>
      <c r="BJ283" s="10" t="n"/>
      <c r="BK283" s="10" t="n"/>
      <c r="BL283" s="10" t="n"/>
      <c r="BM283" s="10" t="n"/>
      <c r="BN283" s="10" t="n"/>
      <c r="BO283" s="10" t="n"/>
      <c r="BP283" s="10" t="n"/>
      <c r="BQ283" s="10" t="n"/>
      <c r="BR283" s="10" t="n"/>
      <c r="BS283" s="10" t="n"/>
      <c r="BT283" s="10" t="n"/>
      <c r="BU283" s="10" t="n"/>
      <c r="BV283" s="10" t="n"/>
      <c r="BW283" s="10" t="n"/>
      <c r="BX283" s="10" t="n"/>
      <c r="BY283" s="10" t="n"/>
      <c r="BZ283" s="10" t="n"/>
      <c r="CA283" s="10" t="n"/>
      <c r="CB283" s="10" t="n"/>
      <c r="CC283" s="10" t="n"/>
      <c r="CD283" s="10" t="n"/>
      <c r="CE283" s="10" t="n"/>
      <c r="CF283" s="10" t="n"/>
      <c r="CG283" s="10" t="inlineStr">
        <is>
          <t>BS FORECAST — 2026E rolled forward from the 30-Jun-2026 balance sheet + 2H flows; 2027E+ from prior year end</t>
        </is>
      </c>
    </row>
    <row r="284" ht="15" customHeight="1" s="251">
      <c r="B284" s="25" t="inlineStr">
        <is>
          <t>ASSETS</t>
        </is>
      </c>
      <c r="CG284" s="153" t="n"/>
    </row>
    <row r="285" ht="15" customHeight="1" s="251">
      <c r="B285" s="25" t="inlineStr">
        <is>
          <t xml:space="preserve">  Cash and cash equivalents</t>
        </is>
      </c>
      <c r="C285" s="253" t="n">
        <v>400.43</v>
      </c>
      <c r="D285" s="253" t="n">
        <v>177.439</v>
      </c>
      <c r="E285" s="253" t="n">
        <v>139.881</v>
      </c>
      <c r="F285" s="253" t="n">
        <v>134.224</v>
      </c>
      <c r="G285" s="253" t="n">
        <v>194.499</v>
      </c>
      <c r="H285" s="253" t="n">
        <v>508.053</v>
      </c>
      <c r="I285" s="253" t="n">
        <v>290.291</v>
      </c>
      <c r="J285" s="253" t="n">
        <v>418.051</v>
      </c>
      <c r="K285" s="253" t="n">
        <v>370.678</v>
      </c>
      <c r="L285" s="253" t="n">
        <v>439.056</v>
      </c>
      <c r="M285" s="253" t="n">
        <v>604.965</v>
      </c>
      <c r="N285" s="253" t="n">
        <v>604.965</v>
      </c>
      <c r="O285" s="253" t="n">
        <v>1157.45</v>
      </c>
      <c r="P285" s="253" t="n">
        <v>1214.244</v>
      </c>
      <c r="Q285" s="253" t="n">
        <v>1183.217</v>
      </c>
      <c r="R285" s="253" t="n">
        <v>1113.608</v>
      </c>
      <c r="S285" s="253" t="n">
        <v>1113.608</v>
      </c>
      <c r="T285" s="253" t="n">
        <v>2454.777</v>
      </c>
      <c r="U285" s="253" t="n">
        <v>2293.872</v>
      </c>
      <c r="V285" s="253" t="n">
        <v>2115.437</v>
      </c>
      <c r="W285" s="253" t="n">
        <v>1809.33</v>
      </c>
      <c r="X285" s="253" t="n">
        <v>1809.33</v>
      </c>
      <c r="Y285" s="253" t="n">
        <v>1605.244</v>
      </c>
      <c r="Z285" s="253" t="n">
        <v>1390.925</v>
      </c>
      <c r="AA285" s="253" t="n">
        <v>969.158</v>
      </c>
      <c r="AB285" s="253" t="n">
        <v>1467.576</v>
      </c>
      <c r="AC285" s="253" t="n">
        <v>1467.576</v>
      </c>
      <c r="AD285" s="253" t="n">
        <v>1077.824</v>
      </c>
      <c r="AE285" s="253" t="n">
        <v>1918.777</v>
      </c>
      <c r="AF285" s="253" t="n">
        <v>1746.469</v>
      </c>
      <c r="AG285" s="253" t="n">
        <v>2822.795</v>
      </c>
      <c r="AH285" s="253" t="n">
        <v>2822.795</v>
      </c>
      <c r="AI285" s="253" t="n">
        <v>2593.666</v>
      </c>
      <c r="AJ285" s="253" t="n">
        <v>3906.357</v>
      </c>
      <c r="AK285" s="253" t="n">
        <v>3067.534</v>
      </c>
      <c r="AL285" s="253" t="n">
        <v>3794.483</v>
      </c>
      <c r="AM285" s="253" t="n">
        <v>3794.483</v>
      </c>
      <c r="AN285" s="253" t="n">
        <v>3348.557</v>
      </c>
      <c r="AO285" s="253" t="n">
        <v>5004.247</v>
      </c>
      <c r="AP285" s="253" t="n">
        <v>4435.018</v>
      </c>
      <c r="AQ285" s="253" t="n">
        <v>5018.437</v>
      </c>
      <c r="AR285" s="253" t="n">
        <v>5018.437</v>
      </c>
      <c r="AS285" s="253" t="n">
        <v>5151.884</v>
      </c>
      <c r="AT285" s="253" t="n">
        <v>7153.248</v>
      </c>
      <c r="AU285" s="253" t="n">
        <v>8392.391</v>
      </c>
      <c r="AV285" s="253" t="n">
        <v>8205.549999999999</v>
      </c>
      <c r="AW285" s="253" t="n">
        <v>8205.549999999999</v>
      </c>
      <c r="AX285" s="253" t="n">
        <v>8403.705</v>
      </c>
      <c r="AY285" s="253" t="n">
        <v>7777.53</v>
      </c>
      <c r="AZ285" s="253" t="n">
        <v>7526.681</v>
      </c>
      <c r="BA285" s="253" t="n">
        <v>6027.804</v>
      </c>
      <c r="BB285" s="253" t="n">
        <v>6027.804</v>
      </c>
      <c r="BC285" s="253" t="n">
        <v>6008.946</v>
      </c>
      <c r="BD285" s="253" t="n">
        <v>5819.449</v>
      </c>
      <c r="BE285" s="253" t="n">
        <v>6113.733</v>
      </c>
      <c r="BF285" s="253" t="n">
        <v>5147.176</v>
      </c>
      <c r="BG285" s="253" t="n">
        <v>5147.176</v>
      </c>
      <c r="BH285" s="253" t="n">
        <v>6714.594</v>
      </c>
      <c r="BI285" s="253" t="n">
        <v>7662.788</v>
      </c>
      <c r="BJ285" s="253" t="n">
        <v>7353.245</v>
      </c>
      <c r="BK285" s="253" t="n">
        <v>7116.913</v>
      </c>
      <c r="BL285" s="253" t="n">
        <v>7116.913</v>
      </c>
      <c r="BM285" s="253" t="n">
        <v>7024.766</v>
      </c>
      <c r="BN285" s="253" t="n">
        <v>6624.939</v>
      </c>
      <c r="BO285" s="253" t="n">
        <v>7457.025</v>
      </c>
      <c r="BP285" s="253" t="n">
        <v>7804.733</v>
      </c>
      <c r="BQ285" s="253" t="n">
        <v>7804.733</v>
      </c>
      <c r="BR285" s="253" t="n">
        <v>7199.848</v>
      </c>
      <c r="BS285" s="253" t="n">
        <v>8177.405</v>
      </c>
      <c r="BT285" s="253" t="n">
        <v>9287.287</v>
      </c>
      <c r="BU285" s="253" t="n">
        <v>9033.681</v>
      </c>
      <c r="BV285" s="253" t="n">
        <v>9033.681</v>
      </c>
      <c r="BW285" s="253" t="n">
        <v>12259.772</v>
      </c>
      <c r="BX285" s="253" t="n">
        <v>9099.232</v>
      </c>
      <c r="BY285" s="35" t="n"/>
      <c r="BZ285" s="35" t="n"/>
      <c r="CA285" s="254">
        <f>CA252-CA256</f>
        <v>8529.77933333333</v>
      </c>
      <c r="CB285" s="254">
        <f>CB252-CB256</f>
        <v>9426.3322117249</v>
      </c>
      <c r="CC285" s="254">
        <f>CC252-CC256</f>
        <v>10324.5646861386</v>
      </c>
      <c r="CD285" s="254">
        <f>CD252-CD256</f>
        <v>11207.0526612685</v>
      </c>
      <c r="CE285" s="254">
        <f>CE252-CE256</f>
        <v>12078.1428082098</v>
      </c>
      <c r="CF285" s="254">
        <f>CF252-CF256</f>
        <v>12922.4466626025</v>
      </c>
      <c r="CG285" s="19" t="n"/>
    </row>
    <row r="286" ht="15" customHeight="1" s="251">
      <c r="B286" s="25" t="inlineStr">
        <is>
          <t xml:space="preserve">  Short-term investments</t>
        </is>
      </c>
      <c r="C286" s="253" t="n">
        <v>0</v>
      </c>
      <c r="D286" s="253" t="n">
        <v>207.703</v>
      </c>
      <c r="E286" s="253" t="n">
        <v>157.39</v>
      </c>
      <c r="F286" s="253" t="n">
        <v>186.018</v>
      </c>
      <c r="G286" s="253" t="n">
        <v>155.888</v>
      </c>
      <c r="H286" s="253" t="n">
        <v>289.758</v>
      </c>
      <c r="I286" s="253" t="n">
        <v>457.787</v>
      </c>
      <c r="J286" s="253" t="n">
        <v>607.821</v>
      </c>
      <c r="K286" s="253" t="n">
        <v>709.432</v>
      </c>
      <c r="L286" s="253" t="n">
        <v>695.931</v>
      </c>
      <c r="M286" s="253" t="n">
        <v>595.4400000000001</v>
      </c>
      <c r="N286" s="253" t="n">
        <v>595.4400000000001</v>
      </c>
      <c r="O286" s="253" t="n">
        <v>510.793</v>
      </c>
      <c r="P286" s="253" t="n">
        <v>500.121</v>
      </c>
      <c r="Q286" s="253" t="n">
        <v>483.602</v>
      </c>
      <c r="R286" s="253" t="n">
        <v>494.888</v>
      </c>
      <c r="S286" s="253" t="n">
        <v>494.888</v>
      </c>
      <c r="T286" s="253" t="n">
        <v>502.931</v>
      </c>
      <c r="U286" s="253" t="n">
        <v>502.886</v>
      </c>
      <c r="V286" s="253" t="n">
        <v>494.205</v>
      </c>
      <c r="W286" s="253" t="n">
        <v>501.385</v>
      </c>
      <c r="X286" s="253" t="n">
        <v>501.385</v>
      </c>
      <c r="Y286" s="253" t="n">
        <v>467.227</v>
      </c>
      <c r="Z286" s="253" t="n">
        <v>443.303</v>
      </c>
      <c r="AA286" s="253" t="n">
        <v>374.098</v>
      </c>
      <c r="AB286" s="253" t="n">
        <v>266.206</v>
      </c>
      <c r="AC286" s="253" t="n">
        <v>266.206</v>
      </c>
      <c r="AD286" s="253" t="n">
        <v>263.405</v>
      </c>
      <c r="AE286" s="253" t="n">
        <v>246.125</v>
      </c>
      <c r="AF286" s="253" t="n">
        <v>0</v>
      </c>
      <c r="AG286" s="253" t="n">
        <v>0</v>
      </c>
      <c r="AH286" s="253" t="n">
        <v>0</v>
      </c>
      <c r="AI286" s="253" t="n">
        <v>0</v>
      </c>
      <c r="AJ286" s="253" t="n">
        <v>0</v>
      </c>
      <c r="AK286" s="253" t="n">
        <v>0</v>
      </c>
      <c r="AL286" s="253" t="n">
        <v>0</v>
      </c>
      <c r="AM286" s="253" t="n">
        <v>0</v>
      </c>
      <c r="AN286" s="253" t="n">
        <v>0</v>
      </c>
      <c r="AO286" s="253" t="n">
        <v>0</v>
      </c>
      <c r="AP286" s="253" t="n">
        <v>0</v>
      </c>
      <c r="AQ286" s="253" t="n">
        <v>0</v>
      </c>
      <c r="AR286" s="253" t="n">
        <v>0</v>
      </c>
      <c r="AS286" s="253" t="n">
        <v>0</v>
      </c>
      <c r="AT286" s="253" t="n">
        <v>0</v>
      </c>
      <c r="AU286" s="253" t="n">
        <v>0</v>
      </c>
      <c r="AV286" s="253" t="n">
        <v>0</v>
      </c>
      <c r="AW286" s="253" t="n">
        <v>0</v>
      </c>
      <c r="AX286" s="253" t="n">
        <v>0</v>
      </c>
      <c r="AY286" s="253" t="n">
        <v>0</v>
      </c>
      <c r="AZ286" s="253" t="n">
        <v>0</v>
      </c>
      <c r="BA286" s="253" t="n">
        <v>0</v>
      </c>
      <c r="BB286" s="253" t="n">
        <v>0</v>
      </c>
      <c r="BC286" s="253" t="n">
        <v>0</v>
      </c>
      <c r="BD286" s="253" t="n">
        <v>0</v>
      </c>
      <c r="BE286" s="253" t="n">
        <v>0</v>
      </c>
      <c r="BF286" s="253" t="n">
        <v>911.276</v>
      </c>
      <c r="BG286" s="253" t="n">
        <v>911.276</v>
      </c>
      <c r="BH286" s="253" t="n">
        <v>1112.91</v>
      </c>
      <c r="BI286" s="253" t="n">
        <v>914.201</v>
      </c>
      <c r="BJ286" s="253" t="n">
        <v>514.201</v>
      </c>
      <c r="BK286" s="253" t="n">
        <v>20.973</v>
      </c>
      <c r="BL286" s="253" t="n">
        <v>20.973</v>
      </c>
      <c r="BM286" s="253" t="n">
        <v>20.973</v>
      </c>
      <c r="BN286" s="253" t="n">
        <v>30.973</v>
      </c>
      <c r="BO286" s="253" t="n">
        <v>1766.902</v>
      </c>
      <c r="BP286" s="253" t="n">
        <v>1779.006</v>
      </c>
      <c r="BQ286" s="253" t="n">
        <v>1779.006</v>
      </c>
      <c r="BR286" s="253" t="n">
        <v>1171.142</v>
      </c>
      <c r="BS286" s="253" t="n">
        <v>213.115</v>
      </c>
      <c r="BT286" s="253" t="n">
        <v>37.105</v>
      </c>
      <c r="BU286" s="253" t="n">
        <v>28.678</v>
      </c>
      <c r="BV286" s="253" t="n">
        <v>28.678</v>
      </c>
      <c r="BW286" s="253" t="n">
        <v>28.678</v>
      </c>
      <c r="BX286" s="253" t="n">
        <v>28.678</v>
      </c>
      <c r="BY286" s="35" t="n"/>
      <c r="BZ286" s="35" t="n"/>
      <c r="CA286" s="254">
        <f>BX286</f>
        <v>28.678</v>
      </c>
      <c r="CB286" s="254">
        <f>CA286</f>
        <v>28.678</v>
      </c>
      <c r="CC286" s="254">
        <f>CB286</f>
        <v>28.678</v>
      </c>
      <c r="CD286" s="254">
        <f>CC286</f>
        <v>28.678</v>
      </c>
      <c r="CE286" s="254">
        <f>CD286</f>
        <v>28.678</v>
      </c>
      <c r="CF286" s="254">
        <f>CE286</f>
        <v>28.678</v>
      </c>
      <c r="CG286" s="19" t="n"/>
    </row>
    <row r="287" ht="15" customHeight="1" s="251">
      <c r="B287" s="25" t="inlineStr">
        <is>
          <t xml:space="preserve">  Current content assets / library, net (to 2019)</t>
        </is>
      </c>
      <c r="C287" s="253" t="n">
        <v>0</v>
      </c>
      <c r="D287" s="253" t="n">
        <v>0</v>
      </c>
      <c r="E287" s="253" t="n">
        <v>18.691</v>
      </c>
      <c r="F287" s="253" t="n">
        <v>37.329</v>
      </c>
      <c r="G287" s="253" t="n">
        <v>181.006</v>
      </c>
      <c r="H287" s="253" t="n">
        <v>919.7089999999999</v>
      </c>
      <c r="I287" s="253" t="n">
        <v>1368.162</v>
      </c>
      <c r="J287" s="253" t="n">
        <v>1391.505</v>
      </c>
      <c r="K287" s="253" t="n">
        <v>1363.609</v>
      </c>
      <c r="L287" s="253" t="n">
        <v>1577.514</v>
      </c>
      <c r="M287" s="253" t="n">
        <v>1706.421</v>
      </c>
      <c r="N287" s="253" t="n">
        <v>1706.421</v>
      </c>
      <c r="O287" s="253" t="n">
        <v>1771.41</v>
      </c>
      <c r="P287" s="253" t="n">
        <v>1786.341</v>
      </c>
      <c r="Q287" s="253" t="n">
        <v>2006.981</v>
      </c>
      <c r="R287" s="253" t="n">
        <v>2125.702</v>
      </c>
      <c r="S287" s="253" t="n">
        <v>2125.702</v>
      </c>
      <c r="T287" s="253" t="n">
        <v>2370.447</v>
      </c>
      <c r="U287" s="253" t="n">
        <v>2510.946</v>
      </c>
      <c r="V287" s="253" t="n">
        <v>2695.184</v>
      </c>
      <c r="W287" s="253" t="n">
        <v>2905.998</v>
      </c>
      <c r="X287" s="253" t="n">
        <v>2905.998</v>
      </c>
      <c r="Y287" s="253" t="n">
        <v>3258.641</v>
      </c>
      <c r="Z287" s="253" t="n">
        <v>3349.262</v>
      </c>
      <c r="AA287" s="253" t="n">
        <v>3632.399</v>
      </c>
      <c r="AB287" s="253" t="n">
        <v>3726.307</v>
      </c>
      <c r="AC287" s="253" t="n">
        <v>3726.307</v>
      </c>
      <c r="AD287" s="253" t="n">
        <v>4026.615</v>
      </c>
      <c r="AE287" s="253" t="n">
        <v>4149.111</v>
      </c>
      <c r="AF287" s="253" t="n">
        <v>4223.387</v>
      </c>
      <c r="AG287" s="253" t="n">
        <v>4310.934</v>
      </c>
      <c r="AH287" s="253" t="n">
        <v>4310.934</v>
      </c>
      <c r="AI287" s="253" t="n">
        <v>4626.522</v>
      </c>
      <c r="AJ287" s="253" t="n">
        <v>4803.663</v>
      </c>
      <c r="AK287" s="253" t="n">
        <v>4987.916</v>
      </c>
      <c r="AL287" s="253" t="n">
        <v>5151.186</v>
      </c>
      <c r="AM287" s="253" t="n">
        <v>5151.186</v>
      </c>
      <c r="AN287" s="253" t="n">
        <v>0</v>
      </c>
      <c r="AO287" s="253" t="n">
        <v>0</v>
      </c>
      <c r="AP287" s="253" t="n">
        <v>0</v>
      </c>
      <c r="AQ287" s="253" t="n">
        <v>0</v>
      </c>
      <c r="AR287" s="253" t="n">
        <v>0</v>
      </c>
      <c r="AS287" s="253" t="n">
        <v>0</v>
      </c>
      <c r="AT287" s="253" t="n">
        <v>0</v>
      </c>
      <c r="AU287" s="253" t="n">
        <v>0</v>
      </c>
      <c r="AV287" s="253" t="n">
        <v>0</v>
      </c>
      <c r="AW287" s="253" t="n">
        <v>0</v>
      </c>
      <c r="AX287" s="253" t="n">
        <v>0</v>
      </c>
      <c r="AY287" s="253" t="n">
        <v>0</v>
      </c>
      <c r="AZ287" s="253" t="n">
        <v>0</v>
      </c>
      <c r="BA287" s="253" t="n">
        <v>0</v>
      </c>
      <c r="BB287" s="253" t="n">
        <v>0</v>
      </c>
      <c r="BC287" s="253" t="n">
        <v>0</v>
      </c>
      <c r="BD287" s="253" t="n">
        <v>0</v>
      </c>
      <c r="BE287" s="253" t="n">
        <v>0</v>
      </c>
      <c r="BF287" s="253" t="n">
        <v>0</v>
      </c>
      <c r="BG287" s="253" t="n">
        <v>0</v>
      </c>
      <c r="BH287" s="253" t="n">
        <v>0</v>
      </c>
      <c r="BI287" s="253" t="n">
        <v>0</v>
      </c>
      <c r="BJ287" s="253" t="n">
        <v>0</v>
      </c>
      <c r="BK287" s="253" t="n">
        <v>0</v>
      </c>
      <c r="BL287" s="253" t="n">
        <v>0</v>
      </c>
      <c r="BM287" s="253" t="n">
        <v>0</v>
      </c>
      <c r="BN287" s="253" t="n">
        <v>0</v>
      </c>
      <c r="BO287" s="253" t="n">
        <v>0</v>
      </c>
      <c r="BP287" s="253" t="n">
        <v>0</v>
      </c>
      <c r="BQ287" s="253" t="n">
        <v>0</v>
      </c>
      <c r="BR287" s="253" t="n">
        <v>0</v>
      </c>
      <c r="BS287" s="253" t="n">
        <v>0</v>
      </c>
      <c r="BT287" s="253" t="n">
        <v>0</v>
      </c>
      <c r="BU287" s="253" t="n">
        <v>0</v>
      </c>
      <c r="BV287" s="253" t="n">
        <v>0</v>
      </c>
      <c r="BW287" s="253" t="n">
        <v>0</v>
      </c>
      <c r="BX287" s="253" t="n">
        <v>0</v>
      </c>
      <c r="BY287" s="35" t="n"/>
      <c r="BZ287" s="35" t="n"/>
      <c r="CA287" s="254">
        <f>BX287</f>
        <v>0</v>
      </c>
      <c r="CB287" s="254">
        <f>CA287</f>
        <v>0</v>
      </c>
      <c r="CC287" s="254">
        <f>CB287</f>
        <v>0</v>
      </c>
      <c r="CD287" s="254">
        <f>CC287</f>
        <v>0</v>
      </c>
      <c r="CE287" s="254">
        <f>CD287</f>
        <v>0</v>
      </c>
      <c r="CF287" s="254">
        <f>CE287</f>
        <v>0</v>
      </c>
      <c r="CG287" s="19" t="n"/>
    </row>
    <row r="288" ht="15" customHeight="1" s="251">
      <c r="B288" s="25" t="inlineStr">
        <is>
          <t xml:space="preserve">  Other current assets</t>
        </is>
      </c>
      <c r="C288" s="253" t="n">
        <v>27.988</v>
      </c>
      <c r="D288" s="253" t="n">
        <v>31.39</v>
      </c>
      <c r="E288" s="253" t="n">
        <v>45.485</v>
      </c>
      <c r="F288" s="253" t="n">
        <v>53.442</v>
      </c>
      <c r="G288" s="253" t="n">
        <v>109.574</v>
      </c>
      <c r="H288" s="253" t="n">
        <v>113.337</v>
      </c>
      <c r="I288" s="253" t="n">
        <v>124.551</v>
      </c>
      <c r="J288" s="253" t="n">
        <v>139.723</v>
      </c>
      <c r="K288" s="253" t="n">
        <v>126.603</v>
      </c>
      <c r="L288" s="253" t="n">
        <v>136.777</v>
      </c>
      <c r="M288" s="253" t="n">
        <v>151.937</v>
      </c>
      <c r="N288" s="253" t="n">
        <v>151.937</v>
      </c>
      <c r="O288" s="253" t="n">
        <v>147.131</v>
      </c>
      <c r="P288" s="253" t="n">
        <v>167.674</v>
      </c>
      <c r="Q288" s="253" t="n">
        <v>149.682</v>
      </c>
      <c r="R288" s="253" t="n">
        <v>206.271</v>
      </c>
      <c r="S288" s="253" t="n">
        <v>206.271</v>
      </c>
      <c r="T288" s="253" t="n">
        <v>210.901</v>
      </c>
      <c r="U288" s="253" t="n">
        <v>292.806</v>
      </c>
      <c r="V288" s="253" t="n">
        <v>264.887</v>
      </c>
      <c r="W288" s="253" t="n">
        <v>215.127</v>
      </c>
      <c r="X288" s="253" t="n">
        <v>215.127</v>
      </c>
      <c r="Y288" s="253" t="n">
        <v>212.724</v>
      </c>
      <c r="Z288" s="253" t="n">
        <v>203.428</v>
      </c>
      <c r="AA288" s="253" t="n">
        <v>218.238</v>
      </c>
      <c r="AB288" s="253" t="n">
        <v>260.202</v>
      </c>
      <c r="AC288" s="253" t="n">
        <v>260.202</v>
      </c>
      <c r="AD288" s="253" t="n">
        <v>292.486</v>
      </c>
      <c r="AE288" s="253" t="n">
        <v>386.772</v>
      </c>
      <c r="AF288" s="253" t="n">
        <v>415.492</v>
      </c>
      <c r="AG288" s="253" t="n">
        <v>536.245</v>
      </c>
      <c r="AH288" s="253" t="n">
        <v>536.245</v>
      </c>
      <c r="AI288" s="253" t="n">
        <v>597.388</v>
      </c>
      <c r="AJ288" s="253" t="n">
        <v>636.869</v>
      </c>
      <c r="AK288" s="253" t="n">
        <v>674.5309999999999</v>
      </c>
      <c r="AL288" s="253" t="n">
        <v>748.466</v>
      </c>
      <c r="AM288" s="253" t="n">
        <v>748.466</v>
      </c>
      <c r="AN288" s="253" t="n">
        <v>820.35</v>
      </c>
      <c r="AO288" s="253" t="n">
        <v>872.91</v>
      </c>
      <c r="AP288" s="253" t="n">
        <v>892.74</v>
      </c>
      <c r="AQ288" s="253" t="n">
        <v>1160.067</v>
      </c>
      <c r="AR288" s="253" t="n">
        <v>1160.067</v>
      </c>
      <c r="AS288" s="253" t="n">
        <v>1295.897</v>
      </c>
      <c r="AT288" s="253" t="n">
        <v>1410.891</v>
      </c>
      <c r="AU288" s="253" t="n">
        <v>1434.089</v>
      </c>
      <c r="AV288" s="253" t="n">
        <v>1556.03</v>
      </c>
      <c r="AW288" s="253" t="n">
        <v>1556.03</v>
      </c>
      <c r="AX288" s="253" t="n">
        <v>1703.803</v>
      </c>
      <c r="AY288" s="253" t="n">
        <v>1826.746</v>
      </c>
      <c r="AZ288" s="253" t="n">
        <v>1889.106</v>
      </c>
      <c r="BA288" s="253" t="n">
        <v>2042.021</v>
      </c>
      <c r="BB288" s="253" t="n">
        <v>2042.021</v>
      </c>
      <c r="BC288" s="253" t="n">
        <v>2089.069</v>
      </c>
      <c r="BD288" s="253" t="n">
        <v>2021.329</v>
      </c>
      <c r="BE288" s="253" t="n">
        <v>2703.17</v>
      </c>
      <c r="BF288" s="253" t="n">
        <v>3208.021</v>
      </c>
      <c r="BG288" s="253" t="n">
        <v>3208.021</v>
      </c>
      <c r="BH288" s="253" t="n">
        <v>2655.119</v>
      </c>
      <c r="BI288" s="253" t="n">
        <v>2929.347</v>
      </c>
      <c r="BJ288" s="253" t="n">
        <v>2912.028</v>
      </c>
      <c r="BK288" s="253" t="n">
        <v>2780.247</v>
      </c>
      <c r="BL288" s="253" t="n">
        <v>2780.247</v>
      </c>
      <c r="BM288" s="253" t="n">
        <v>2875.574</v>
      </c>
      <c r="BN288" s="253" t="n">
        <v>2959.641</v>
      </c>
      <c r="BO288" s="253" t="n">
        <v>2905.172</v>
      </c>
      <c r="BP288" s="253" t="n">
        <v>3516.64</v>
      </c>
      <c r="BQ288" s="253" t="n">
        <v>3516.64</v>
      </c>
      <c r="BR288" s="253" t="n">
        <v>3326.642</v>
      </c>
      <c r="BS288" s="253" t="n">
        <v>3602.586</v>
      </c>
      <c r="BT288" s="253" t="n">
        <v>3638.543</v>
      </c>
      <c r="BU288" s="253" t="n">
        <v>3957.832</v>
      </c>
      <c r="BV288" s="253" t="n">
        <v>3957.832</v>
      </c>
      <c r="BW288" s="253" t="n">
        <v>4782.532</v>
      </c>
      <c r="BX288" s="253" t="n">
        <v>4725.393</v>
      </c>
      <c r="BY288" s="35" t="n"/>
      <c r="BZ288" s="35" t="n"/>
      <c r="CA288" s="254">
        <f>CA316*CA317</f>
        <v>4485.12</v>
      </c>
      <c r="CB288" s="254">
        <f>CB316*CB317</f>
        <v>4956.34819288261</v>
      </c>
      <c r="CC288" s="254">
        <f>CC316*CC317</f>
        <v>5428.45918143445</v>
      </c>
      <c r="CD288" s="254">
        <f>CD316*CD317</f>
        <v>5892.29486116274</v>
      </c>
      <c r="CE288" s="254">
        <f>CE316*CE317</f>
        <v>6350.13984239506</v>
      </c>
      <c r="CF288" s="254">
        <f>CF316*CF317</f>
        <v>6793.90594826387</v>
      </c>
      <c r="CG288" s="19" t="n"/>
    </row>
    <row r="289" ht="15" customHeight="1" s="251">
      <c r="B289" s="16" t="inlineStr">
        <is>
          <t>Total current assets</t>
        </is>
      </c>
      <c r="C289" s="278">
        <f>IF(ISNUMBER(C285),SUM(C285:C288),"")</f>
        <v>428.418</v>
      </c>
      <c r="D289" s="278">
        <f>IF(ISNUMBER(D285),SUM(D285:D288),"")</f>
        <v>416.532</v>
      </c>
      <c r="E289" s="278">
        <f>IF(ISNUMBER(E285),SUM(E285:E288),"")</f>
        <v>361.447</v>
      </c>
      <c r="F289" s="278">
        <f>IF(ISNUMBER(F285),SUM(F285:F288),"")</f>
        <v>411.013</v>
      </c>
      <c r="G289" s="278">
        <f>IF(ISNUMBER(G285),SUM(G285:G288),"")</f>
        <v>640.967</v>
      </c>
      <c r="H289" s="278">
        <f>IF(ISNUMBER(H285),SUM(H285:H288),"")</f>
        <v>1830.857</v>
      </c>
      <c r="I289" s="278">
        <f>IF(ISNUMBER(I285),SUM(I285:I288),"")</f>
        <v>2240.791</v>
      </c>
      <c r="J289" s="278">
        <f>IF(ISNUMBER(J285),SUM(J285:J288),"")</f>
        <v>2557.1</v>
      </c>
      <c r="K289" s="278">
        <f>IF(ISNUMBER(K285),SUM(K285:K288),"")</f>
        <v>2570.322</v>
      </c>
      <c r="L289" s="278">
        <f>IF(ISNUMBER(L285),SUM(L285:L288),"")</f>
        <v>2849.278</v>
      </c>
      <c r="M289" s="278">
        <f>IF(ISNUMBER(M285),SUM(M285:M288),"")</f>
        <v>3058.763</v>
      </c>
      <c r="N289" s="278">
        <f>IF(ISNUMBER(N285),SUM(N285:N288),"")</f>
        <v>3058.763</v>
      </c>
      <c r="O289" s="278">
        <f>IF(ISNUMBER(O285),SUM(O285:O288),"")</f>
        <v>3586.784</v>
      </c>
      <c r="P289" s="278">
        <f>IF(ISNUMBER(P285),SUM(P285:P288),"")</f>
        <v>3668.38</v>
      </c>
      <c r="Q289" s="278">
        <f>IF(ISNUMBER(Q285),SUM(Q285:Q288),"")</f>
        <v>3823.482</v>
      </c>
      <c r="R289" s="278">
        <f>IF(ISNUMBER(R285),SUM(R285:R288),"")</f>
        <v>3940.469</v>
      </c>
      <c r="S289" s="278">
        <f>IF(ISNUMBER(S285),SUM(S285:S288),"")</f>
        <v>3940.469</v>
      </c>
      <c r="T289" s="278">
        <f>IF(ISNUMBER(T285),SUM(T285:T288),"")</f>
        <v>5539.056</v>
      </c>
      <c r="U289" s="278">
        <f>IF(ISNUMBER(U285),SUM(U285:U288),"")</f>
        <v>5600.51</v>
      </c>
      <c r="V289" s="278">
        <f>IF(ISNUMBER(V285),SUM(V285:V288),"")</f>
        <v>5569.713</v>
      </c>
      <c r="W289" s="278">
        <f>IF(ISNUMBER(W285),SUM(W285:W288),"")</f>
        <v>5431.84</v>
      </c>
      <c r="X289" s="278">
        <f>IF(ISNUMBER(X285),SUM(X285:X288),"")</f>
        <v>5431.84</v>
      </c>
      <c r="Y289" s="278">
        <f>IF(ISNUMBER(Y285),SUM(Y285:Y288),"")</f>
        <v>5543.836</v>
      </c>
      <c r="Z289" s="278">
        <f>IF(ISNUMBER(Z285),SUM(Z285:Z288),"")</f>
        <v>5386.918</v>
      </c>
      <c r="AA289" s="278">
        <f>IF(ISNUMBER(AA285),SUM(AA285:AA288),"")</f>
        <v>5193.893</v>
      </c>
      <c r="AB289" s="278">
        <f>IF(ISNUMBER(AB285),SUM(AB285:AB288),"")</f>
        <v>5720.291</v>
      </c>
      <c r="AC289" s="278">
        <f>IF(ISNUMBER(AC285),SUM(AC285:AC288),"")</f>
        <v>5720.291</v>
      </c>
      <c r="AD289" s="278">
        <f>IF(ISNUMBER(AD285),SUM(AD285:AD288),"")</f>
        <v>5660.33</v>
      </c>
      <c r="AE289" s="278">
        <f>IF(ISNUMBER(AE285),SUM(AE285:AE288),"")</f>
        <v>6700.785</v>
      </c>
      <c r="AF289" s="278">
        <f>IF(ISNUMBER(AF285),SUM(AF285:AF288),"")</f>
        <v>6385.348</v>
      </c>
      <c r="AG289" s="278">
        <f>IF(ISNUMBER(AG285),SUM(AG285:AG288),"")</f>
        <v>7669.974</v>
      </c>
      <c r="AH289" s="278">
        <f>IF(ISNUMBER(AH285),SUM(AH285:AH288),"")</f>
        <v>7669.974</v>
      </c>
      <c r="AI289" s="278">
        <f>IF(ISNUMBER(AI285),SUM(AI285:AI288),"")</f>
        <v>7817.576</v>
      </c>
      <c r="AJ289" s="278">
        <f>IF(ISNUMBER(AJ285),SUM(AJ285:AJ288),"")</f>
        <v>9346.889</v>
      </c>
      <c r="AK289" s="278">
        <f>IF(ISNUMBER(AK285),SUM(AK285:AK288),"")</f>
        <v>8729.981</v>
      </c>
      <c r="AL289" s="278">
        <f>IF(ISNUMBER(AL285),SUM(AL285:AL288),"")</f>
        <v>9694.135</v>
      </c>
      <c r="AM289" s="278">
        <f>IF(ISNUMBER(AM285),SUM(AM285:AM288),"")</f>
        <v>9694.135</v>
      </c>
      <c r="AN289" s="278">
        <f>IF(ISNUMBER(AN285),SUM(AN285:AN288),"")</f>
        <v>4168.907</v>
      </c>
      <c r="AO289" s="278">
        <f>IF(ISNUMBER(AO285),SUM(AO285:AO288),"")</f>
        <v>5877.157</v>
      </c>
      <c r="AP289" s="278">
        <f>IF(ISNUMBER(AP285),SUM(AP285:AP288),"")</f>
        <v>5327.758</v>
      </c>
      <c r="AQ289" s="278">
        <f>IF(ISNUMBER(AQ285),SUM(AQ285:AQ288),"")</f>
        <v>6178.504</v>
      </c>
      <c r="AR289" s="278">
        <f>IF(ISNUMBER(AR285),SUM(AR285:AR288),"")</f>
        <v>6178.504</v>
      </c>
      <c r="AS289" s="278">
        <f>IF(ISNUMBER(AS285),SUM(AS285:AS288),"")</f>
        <v>6447.781</v>
      </c>
      <c r="AT289" s="278">
        <f>IF(ISNUMBER(AT285),SUM(AT285:AT288),"")</f>
        <v>8564.139</v>
      </c>
      <c r="AU289" s="278">
        <f>IF(ISNUMBER(AU285),SUM(AU285:AU288),"")</f>
        <v>9826.48</v>
      </c>
      <c r="AV289" s="278">
        <f>IF(ISNUMBER(AV285),SUM(AV285:AV288),"")</f>
        <v>9761.58</v>
      </c>
      <c r="AW289" s="278">
        <f>IF(ISNUMBER(AW285),SUM(AW285:AW288),"")</f>
        <v>9761.58</v>
      </c>
      <c r="AX289" s="278">
        <f>IF(ISNUMBER(AX285),SUM(AX285:AX288),"")</f>
        <v>10107.508</v>
      </c>
      <c r="AY289" s="278">
        <f>IF(ISNUMBER(AY285),SUM(AY285:AY288),"")</f>
        <v>9604.276</v>
      </c>
      <c r="AZ289" s="278">
        <f>IF(ISNUMBER(AZ285),SUM(AZ285:AZ288),"")</f>
        <v>9415.787</v>
      </c>
      <c r="BA289" s="278">
        <f>IF(ISNUMBER(BA285),SUM(BA285:BA288),"")</f>
        <v>8069.825</v>
      </c>
      <c r="BB289" s="278">
        <f>IF(ISNUMBER(BB285),SUM(BB285:BB288),"")</f>
        <v>8069.825</v>
      </c>
      <c r="BC289" s="278">
        <f>IF(ISNUMBER(BC285),SUM(BC285:BC288),"")</f>
        <v>8098.015</v>
      </c>
      <c r="BD289" s="278">
        <f>IF(ISNUMBER(BD285),SUM(BD285:BD288),"")</f>
        <v>7840.778</v>
      </c>
      <c r="BE289" s="278">
        <f>IF(ISNUMBER(BE285),SUM(BE285:BE288),"")</f>
        <v>8816.903</v>
      </c>
      <c r="BF289" s="278">
        <f>IF(ISNUMBER(BF285),SUM(BF285:BF288),"")</f>
        <v>9266.473</v>
      </c>
      <c r="BG289" s="278">
        <f>IF(ISNUMBER(BG285),SUM(BG285:BG288),"")</f>
        <v>9266.473</v>
      </c>
      <c r="BH289" s="278">
        <f>IF(ISNUMBER(BH285),SUM(BH285:BH288),"")</f>
        <v>10482.623</v>
      </c>
      <c r="BI289" s="278">
        <f>IF(ISNUMBER(BI285),SUM(BI285:BI288),"")</f>
        <v>11506.336</v>
      </c>
      <c r="BJ289" s="278">
        <f>IF(ISNUMBER(BJ285),SUM(BJ285:BJ288),"")</f>
        <v>10779.474</v>
      </c>
      <c r="BK289" s="278">
        <f>IF(ISNUMBER(BK285),SUM(BK285:BK288),"")</f>
        <v>9918.133</v>
      </c>
      <c r="BL289" s="278">
        <f>IF(ISNUMBER(BL285),SUM(BL285:BL288),"")</f>
        <v>9918.133</v>
      </c>
      <c r="BM289" s="278">
        <f>IF(ISNUMBER(BM285),SUM(BM285:BM288),"")</f>
        <v>9921.313</v>
      </c>
      <c r="BN289" s="278">
        <f>IF(ISNUMBER(BN285),SUM(BN285:BN288),"")</f>
        <v>9615.553</v>
      </c>
      <c r="BO289" s="278">
        <f>IF(ISNUMBER(BO285),SUM(BO285:BO288),"")</f>
        <v>12129.099</v>
      </c>
      <c r="BP289" s="278">
        <f>IF(ISNUMBER(BP285),SUM(BP285:BP288),"")</f>
        <v>13100.379</v>
      </c>
      <c r="BQ289" s="278">
        <f>IF(ISNUMBER(BQ285),SUM(BQ285:BQ288),"")</f>
        <v>13100.379</v>
      </c>
      <c r="BR289" s="278">
        <f>IF(ISNUMBER(BR285),SUM(BR285:BR288),"")</f>
        <v>11697.632</v>
      </c>
      <c r="BS289" s="278">
        <f>IF(ISNUMBER(BS285),SUM(BS285:BS288),"")</f>
        <v>11993.106</v>
      </c>
      <c r="BT289" s="278">
        <f>IF(ISNUMBER(BT285),SUM(BT285:BT288),"")</f>
        <v>12962.935</v>
      </c>
      <c r="BU289" s="278">
        <f>IF(ISNUMBER(BU285),SUM(BU285:BU288),"")</f>
        <v>13020.191</v>
      </c>
      <c r="BV289" s="278">
        <f>IF(ISNUMBER(BV285),SUM(BV285:BV288),"")</f>
        <v>13020.191</v>
      </c>
      <c r="BW289" s="278">
        <f>IF(ISNUMBER(BW285),SUM(BW285:BW288),"")</f>
        <v>17070.982</v>
      </c>
      <c r="BX289" s="278">
        <f>IF(ISNUMBER(BX285),SUM(BX285:BX288),"")</f>
        <v>13853.303</v>
      </c>
      <c r="BY289" s="32" t="n"/>
      <c r="BZ289" s="32" t="n"/>
      <c r="CA289" s="279">
        <f>IF(ISNUMBER(CA285),SUM(CA285:CA288),"")</f>
        <v>13043.5773333333</v>
      </c>
      <c r="CB289" s="279">
        <f>IF(ISNUMBER(CB285),SUM(CB285:CB288),"")</f>
        <v>14411.3584046075</v>
      </c>
      <c r="CC289" s="279">
        <f>IF(ISNUMBER(CC285),SUM(CC285:CC288),"")</f>
        <v>15781.701867573</v>
      </c>
      <c r="CD289" s="279">
        <f>IF(ISNUMBER(CD285),SUM(CD285:CD288),"")</f>
        <v>17128.0255224313</v>
      </c>
      <c r="CE289" s="279">
        <f>IF(ISNUMBER(CE285),SUM(CE285:CE288),"")</f>
        <v>18456.9606506048</v>
      </c>
      <c r="CF289" s="279">
        <f>IF(ISNUMBER(CF285),SUM(CF285:CF288),"")</f>
        <v>19745.0306108664</v>
      </c>
      <c r="CG289" s="153" t="n"/>
    </row>
    <row r="290" ht="15" customHeight="1" s="251">
      <c r="B290" s="25" t="inlineStr">
        <is>
          <t xml:space="preserve">  Content assets, net (non-current; DVD library to 2011)</t>
        </is>
      </c>
      <c r="C290" s="253" t="n">
        <v>104.908</v>
      </c>
      <c r="D290" s="253" t="n">
        <v>132.455</v>
      </c>
      <c r="E290" s="253" t="n">
        <v>98.547</v>
      </c>
      <c r="F290" s="253" t="n">
        <v>108.81</v>
      </c>
      <c r="G290" s="253" t="n">
        <v>180.973</v>
      </c>
      <c r="H290" s="253" t="n">
        <v>1046.934</v>
      </c>
      <c r="I290" s="253" t="n">
        <v>1506.008</v>
      </c>
      <c r="J290" s="253" t="n">
        <v>1576.674</v>
      </c>
      <c r="K290" s="253" t="n">
        <v>1682.202</v>
      </c>
      <c r="L290" s="253" t="n">
        <v>1808.387</v>
      </c>
      <c r="M290" s="253" t="n">
        <v>2091.071</v>
      </c>
      <c r="N290" s="253" t="n">
        <v>2091.071</v>
      </c>
      <c r="O290" s="253" t="n">
        <v>2179.474</v>
      </c>
      <c r="P290" s="253" t="n">
        <v>2348.796</v>
      </c>
      <c r="Q290" s="253" t="n">
        <v>2631.882</v>
      </c>
      <c r="R290" s="253" t="n">
        <v>2773.326</v>
      </c>
      <c r="S290" s="253" t="n">
        <v>2773.326</v>
      </c>
      <c r="T290" s="253" t="n">
        <v>3312.353</v>
      </c>
      <c r="U290" s="253" t="n">
        <v>3640.767</v>
      </c>
      <c r="V290" s="253" t="n">
        <v>3891.79</v>
      </c>
      <c r="W290" s="253" t="n">
        <v>4312.817</v>
      </c>
      <c r="X290" s="253" t="n">
        <v>4312.817</v>
      </c>
      <c r="Y290" s="253" t="n">
        <v>5260.16</v>
      </c>
      <c r="Z290" s="253" t="n">
        <v>5742.938</v>
      </c>
      <c r="AA290" s="253" t="n">
        <v>6677.674</v>
      </c>
      <c r="AB290" s="253" t="n">
        <v>7274.501</v>
      </c>
      <c r="AC290" s="253" t="n">
        <v>7274.501</v>
      </c>
      <c r="AD290" s="253" t="n">
        <v>8029.112</v>
      </c>
      <c r="AE290" s="253" t="n">
        <v>9078.474</v>
      </c>
      <c r="AF290" s="253" t="n">
        <v>9739.704</v>
      </c>
      <c r="AG290" s="253" t="n">
        <v>10371.055</v>
      </c>
      <c r="AH290" s="253" t="n">
        <v>10371.055</v>
      </c>
      <c r="AI290" s="253" t="n">
        <v>11314.803</v>
      </c>
      <c r="AJ290" s="253" t="n">
        <v>12292.07</v>
      </c>
      <c r="AK290" s="253" t="n">
        <v>13408.443</v>
      </c>
      <c r="AL290" s="253" t="n">
        <v>14960.954</v>
      </c>
      <c r="AM290" s="253" t="n">
        <v>14960.954</v>
      </c>
      <c r="AN290" s="253" t="n">
        <v>20888.785</v>
      </c>
      <c r="AO290" s="253" t="n">
        <v>21945.74</v>
      </c>
      <c r="AP290" s="253" t="n">
        <v>23234.994</v>
      </c>
      <c r="AQ290" s="253" t="n">
        <v>24504.567</v>
      </c>
      <c r="AR290" s="253" t="n">
        <v>24504.567</v>
      </c>
      <c r="AS290" s="253" t="n">
        <v>25266.889</v>
      </c>
      <c r="AT290" s="253" t="n">
        <v>25155.117</v>
      </c>
      <c r="AU290" s="253" t="n">
        <v>25067.633</v>
      </c>
      <c r="AV290" s="253" t="n">
        <v>25383.95</v>
      </c>
      <c r="AW290" s="253" t="n">
        <v>25383.95</v>
      </c>
      <c r="AX290" s="253" t="n">
        <v>26043.991</v>
      </c>
      <c r="AY290" s="253" t="n">
        <v>27291.64</v>
      </c>
      <c r="AZ290" s="253" t="n">
        <v>28974.045</v>
      </c>
      <c r="BA290" s="253" t="n">
        <v>30919.539</v>
      </c>
      <c r="BB290" s="253" t="n">
        <v>30919.539</v>
      </c>
      <c r="BC290" s="253" t="n">
        <v>31191.92</v>
      </c>
      <c r="BD290" s="253" t="n">
        <v>32533.199</v>
      </c>
      <c r="BE290" s="253" t="n">
        <v>32777.34</v>
      </c>
      <c r="BF290" s="253" t="n">
        <v>32736.713</v>
      </c>
      <c r="BG290" s="253" t="n">
        <v>32736.713</v>
      </c>
      <c r="BH290" s="253" t="n">
        <v>32349.184</v>
      </c>
      <c r="BI290" s="253" t="n">
        <v>32520.774</v>
      </c>
      <c r="BJ290" s="253" t="n">
        <v>31749.861</v>
      </c>
      <c r="BK290" s="253" t="n">
        <v>31658.056</v>
      </c>
      <c r="BL290" s="253" t="n">
        <v>31658.056</v>
      </c>
      <c r="BM290" s="253" t="n">
        <v>31662.1</v>
      </c>
      <c r="BN290" s="253" t="n">
        <v>31927.355</v>
      </c>
      <c r="BO290" s="253" t="n">
        <v>32175.382</v>
      </c>
      <c r="BP290" s="253" t="n">
        <v>32452.462</v>
      </c>
      <c r="BQ290" s="253" t="n">
        <v>32452.462</v>
      </c>
      <c r="BR290" s="253" t="n">
        <v>32040.839</v>
      </c>
      <c r="BS290" s="253" t="n">
        <v>32089.394</v>
      </c>
      <c r="BT290" s="253" t="n">
        <v>32639.879</v>
      </c>
      <c r="BU290" s="253" t="n">
        <v>32778.392</v>
      </c>
      <c r="BV290" s="253" t="n">
        <v>32778.392</v>
      </c>
      <c r="BW290" s="253" t="n">
        <v>33376.295</v>
      </c>
      <c r="BX290" s="253" t="n">
        <v>33837.573</v>
      </c>
      <c r="BY290" s="35" t="n"/>
      <c r="BZ290" s="35" t="n"/>
      <c r="CA290" s="254">
        <f>BX290-(CA228-SUM(BW228:BX228))-(CA230-SUM(BW230:BX230))</f>
        <v>34262.20226</v>
      </c>
      <c r="CB290" s="254">
        <f>CA290-CB228-CB230</f>
        <v>36213.1555808</v>
      </c>
      <c r="CC290" s="254">
        <f>CB290-CC228-CC230</f>
        <v>37883.1716234048</v>
      </c>
      <c r="CD290" s="254">
        <f>CC290-CD228-CD230</f>
        <v>39439.4178231072</v>
      </c>
      <c r="CE290" s="254">
        <f>CD290-CE228-CE230</f>
        <v>40853.3786559796</v>
      </c>
      <c r="CF290" s="254">
        <f>CE290-CF228-CF230</f>
        <v>42096.4858882133</v>
      </c>
      <c r="CG290" s="19" t="inlineStr">
        <is>
          <t>Roll-forward: prior + additions (cash content spend − change in liabilities) − amortization.</t>
        </is>
      </c>
      <c r="CI290" s="20">
        <f>IFERROR((CF290/CA290)^(1/5)-1,"n/m")</f>
        <v>0.0420441355398811</v>
      </c>
      <c r="CJ290" s="20">
        <f>IFERROR((BV290/AW290)^(1/5)-1,"n/m")</f>
        <v>0.0524602163371348</v>
      </c>
      <c r="CK290" s="20">
        <f>IFERROR((BV290/X290)^(1/10)-1,"n/m")</f>
        <v>0.224849308659659</v>
      </c>
      <c r="CL290" s="20">
        <f>IFERROR((BV290/C290)^(1/19)-1,"n/m")</f>
        <v>0.353019824202018</v>
      </c>
    </row>
    <row r="291" ht="15" customHeight="1" s="251">
      <c r="B291" s="25" t="inlineStr">
        <is>
          <t xml:space="preserve">  Property and equipment, net</t>
        </is>
      </c>
      <c r="C291" s="253" t="n">
        <v>55.503</v>
      </c>
      <c r="D291" s="253" t="n">
        <v>77.32599999999999</v>
      </c>
      <c r="E291" s="253" t="n">
        <v>124.948</v>
      </c>
      <c r="F291" s="253" t="n">
        <v>131.653</v>
      </c>
      <c r="G291" s="253" t="n">
        <v>128.57</v>
      </c>
      <c r="H291" s="253" t="n">
        <v>136.353</v>
      </c>
      <c r="I291" s="253" t="n">
        <v>131.681</v>
      </c>
      <c r="J291" s="253" t="n">
        <v>129.319</v>
      </c>
      <c r="K291" s="253" t="n">
        <v>127.931</v>
      </c>
      <c r="L291" s="253" t="n">
        <v>127.263</v>
      </c>
      <c r="M291" s="253" t="n">
        <v>133.605</v>
      </c>
      <c r="N291" s="253" t="n">
        <v>133.605</v>
      </c>
      <c r="O291" s="253" t="n">
        <v>133.473</v>
      </c>
      <c r="P291" s="253" t="n">
        <v>141.715</v>
      </c>
      <c r="Q291" s="253" t="n">
        <v>144.147</v>
      </c>
      <c r="R291" s="253" t="n">
        <v>149.875</v>
      </c>
      <c r="S291" s="253" t="n">
        <v>149.875</v>
      </c>
      <c r="T291" s="253" t="n">
        <v>145.816</v>
      </c>
      <c r="U291" s="253" t="n">
        <v>171.396</v>
      </c>
      <c r="V291" s="253" t="n">
        <v>181.268</v>
      </c>
      <c r="W291" s="253" t="n">
        <v>173.412</v>
      </c>
      <c r="X291" s="253" t="n">
        <v>173.412</v>
      </c>
      <c r="Y291" s="253" t="n">
        <v>166.254</v>
      </c>
      <c r="Z291" s="253" t="n">
        <v>162.864</v>
      </c>
      <c r="AA291" s="253" t="n">
        <v>191.876</v>
      </c>
      <c r="AB291" s="253" t="n">
        <v>250.395</v>
      </c>
      <c r="AC291" s="253" t="n">
        <v>250.395</v>
      </c>
      <c r="AD291" s="253" t="n">
        <v>275.083</v>
      </c>
      <c r="AE291" s="253" t="n">
        <v>309.831</v>
      </c>
      <c r="AF291" s="253" t="n">
        <v>322.421</v>
      </c>
      <c r="AG291" s="253" t="n">
        <v>319.404</v>
      </c>
      <c r="AH291" s="253" t="n">
        <v>319.404</v>
      </c>
      <c r="AI291" s="253" t="n">
        <v>341.932</v>
      </c>
      <c r="AJ291" s="253" t="n">
        <v>349.646</v>
      </c>
      <c r="AK291" s="253" t="n">
        <v>371.152</v>
      </c>
      <c r="AL291" s="253" t="n">
        <v>418.281</v>
      </c>
      <c r="AM291" s="253" t="n">
        <v>418.281</v>
      </c>
      <c r="AN291" s="253" t="n">
        <v>434.372</v>
      </c>
      <c r="AO291" s="253" t="n">
        <v>452.399</v>
      </c>
      <c r="AP291" s="253" t="n">
        <v>481.992</v>
      </c>
      <c r="AQ291" s="253" t="n">
        <v>565.221</v>
      </c>
      <c r="AR291" s="253" t="n">
        <v>565.221</v>
      </c>
      <c r="AS291" s="253" t="n">
        <v>650.455</v>
      </c>
      <c r="AT291" s="253" t="n">
        <v>751.941</v>
      </c>
      <c r="AU291" s="253" t="n">
        <v>828.1180000000001</v>
      </c>
      <c r="AV291" s="253" t="n">
        <v>960.183</v>
      </c>
      <c r="AW291" s="253" t="n">
        <v>960.183</v>
      </c>
      <c r="AX291" s="253" t="n">
        <v>1015.419</v>
      </c>
      <c r="AY291" s="253" t="n">
        <v>1107.437</v>
      </c>
      <c r="AZ291" s="253" t="n">
        <v>1220.114</v>
      </c>
      <c r="BA291" s="253" t="n">
        <v>1323.453</v>
      </c>
      <c r="BB291" s="253" t="n">
        <v>1323.453</v>
      </c>
      <c r="BC291" s="253" t="n">
        <v>1383.763</v>
      </c>
      <c r="BD291" s="253" t="n">
        <v>1361.92</v>
      </c>
      <c r="BE291" s="253" t="n">
        <v>1372.754</v>
      </c>
      <c r="BF291" s="253" t="n">
        <v>1398.257</v>
      </c>
      <c r="BG291" s="253" t="n">
        <v>1398.257</v>
      </c>
      <c r="BH291" s="253" t="n">
        <v>1413.094</v>
      </c>
      <c r="BI291" s="253" t="n">
        <v>1471.968</v>
      </c>
      <c r="BJ291" s="253" t="n">
        <v>1498.391</v>
      </c>
      <c r="BK291" s="253" t="n">
        <v>1491.444</v>
      </c>
      <c r="BL291" s="253" t="n">
        <v>1491.444</v>
      </c>
      <c r="BM291" s="253" t="n">
        <v>1501.168</v>
      </c>
      <c r="BN291" s="253" t="n">
        <v>1510.958</v>
      </c>
      <c r="BO291" s="253" t="n">
        <v>1568.212</v>
      </c>
      <c r="BP291" s="253" t="n">
        <v>1593.756</v>
      </c>
      <c r="BQ291" s="253" t="n">
        <v>1593.756</v>
      </c>
      <c r="BR291" s="253" t="n">
        <v>1644.346</v>
      </c>
      <c r="BS291" s="253" t="n">
        <v>1743.566</v>
      </c>
      <c r="BT291" s="253" t="n">
        <v>1837.889</v>
      </c>
      <c r="BU291" s="253" t="n">
        <v>2004.35</v>
      </c>
      <c r="BV291" s="253" t="n">
        <v>2004.35</v>
      </c>
      <c r="BW291" s="253" t="n">
        <v>2147.829</v>
      </c>
      <c r="BX291" s="253" t="n">
        <v>2398.848</v>
      </c>
      <c r="BY291" s="35" t="n"/>
      <c r="BZ291" s="35" t="n"/>
      <c r="CA291" s="254">
        <f>BX291-(CA237-SUM(BW237:BX237))-(CA231-SUM(BW231:BX231))</f>
        <v>2631.92416173039</v>
      </c>
      <c r="CB291" s="254">
        <f>CA291-CB237-CB231</f>
        <v>3084.55869989318</v>
      </c>
      <c r="CC291" s="254">
        <f>CB291-CC237-CC231</f>
        <v>3518.339684711</v>
      </c>
      <c r="CD291" s="254">
        <f>CC291-CD237-CD231</f>
        <v>3921.92152451667</v>
      </c>
      <c r="CE291" s="254">
        <f>CD291-CE237-CE231</f>
        <v>4284.37242876296</v>
      </c>
      <c r="CF291" s="254">
        <f>CE291-CF237-CF231</f>
        <v>4672.15244864104</v>
      </c>
      <c r="CG291" s="19" t="inlineStr">
        <is>
          <t>Roll-forward: prior + capex − non-content D&amp;A (intangibles amortization included; small).</t>
        </is>
      </c>
    </row>
    <row r="292" ht="15" customHeight="1" s="251">
      <c r="B292" s="25" t="inlineStr">
        <is>
          <t xml:space="preserve">  Other non-current assets (incl. goodwill, lease right-of-use, deferred taxes; derived)</t>
        </is>
      </c>
      <c r="C292" s="253" t="n">
        <v>19.95</v>
      </c>
      <c r="D292" s="253" t="n">
        <v>20.707</v>
      </c>
      <c r="E292" s="253" t="n">
        <v>33.004</v>
      </c>
      <c r="F292" s="253" t="n">
        <v>28.258</v>
      </c>
      <c r="G292" s="253" t="n">
        <v>31.557</v>
      </c>
      <c r="H292" s="253" t="n">
        <v>55.052</v>
      </c>
      <c r="I292" s="253" t="n">
        <v>89.41</v>
      </c>
      <c r="J292" s="253" t="n">
        <v>100.196</v>
      </c>
      <c r="K292" s="253" t="n">
        <v>100.296</v>
      </c>
      <c r="L292" s="253" t="n">
        <v>116.397</v>
      </c>
      <c r="M292" s="253" t="n">
        <v>129.124</v>
      </c>
      <c r="N292" s="253" t="n">
        <v>129.124</v>
      </c>
      <c r="O292" s="253" t="n">
        <v>148.375</v>
      </c>
      <c r="P292" s="253" t="n">
        <v>166.931</v>
      </c>
      <c r="Q292" s="253" t="n">
        <v>178.818</v>
      </c>
      <c r="R292" s="253" t="n">
        <v>192.981</v>
      </c>
      <c r="S292" s="253" t="n">
        <v>192.981</v>
      </c>
      <c r="T292" s="253" t="n">
        <v>243.401</v>
      </c>
      <c r="U292" s="253" t="n">
        <v>242.188</v>
      </c>
      <c r="V292" s="253" t="n">
        <v>273.496</v>
      </c>
      <c r="W292" s="253" t="n">
        <v>284.802</v>
      </c>
      <c r="X292" s="253" t="n">
        <v>284.802</v>
      </c>
      <c r="Y292" s="253" t="n">
        <v>292.024</v>
      </c>
      <c r="Z292" s="253" t="n">
        <v>300.787</v>
      </c>
      <c r="AA292" s="253" t="n">
        <v>283.895</v>
      </c>
      <c r="AB292" s="253" t="n">
        <v>341.423</v>
      </c>
      <c r="AC292" s="253" t="n">
        <v>341.423</v>
      </c>
      <c r="AD292" s="253" t="n">
        <v>394.571</v>
      </c>
      <c r="AE292" s="253" t="n">
        <v>428.133</v>
      </c>
      <c r="AF292" s="253" t="n">
        <v>504.067</v>
      </c>
      <c r="AG292" s="253" t="n">
        <v>652.309</v>
      </c>
      <c r="AH292" s="253" t="n">
        <v>652.309</v>
      </c>
      <c r="AI292" s="253" t="n">
        <v>678.486</v>
      </c>
      <c r="AJ292" s="253" t="n">
        <v>674.932</v>
      </c>
      <c r="AK292" s="253" t="n">
        <v>856.653</v>
      </c>
      <c r="AL292" s="253" t="n">
        <v>901.03</v>
      </c>
      <c r="AM292" s="253" t="n">
        <v>901.03</v>
      </c>
      <c r="AN292" s="253" t="n">
        <v>1726.568</v>
      </c>
      <c r="AO292" s="253" t="n">
        <v>1896.043</v>
      </c>
      <c r="AP292" s="253" t="n">
        <v>1896.967</v>
      </c>
      <c r="AQ292" s="253" t="n">
        <v>2727.42</v>
      </c>
      <c r="AR292" s="253" t="n">
        <v>2727.42</v>
      </c>
      <c r="AS292" s="253" t="n">
        <v>2694.785</v>
      </c>
      <c r="AT292" s="253" t="n">
        <v>2704.084</v>
      </c>
      <c r="AU292" s="253" t="n">
        <v>2900.312</v>
      </c>
      <c r="AV292" s="253" t="n">
        <v>3174.646</v>
      </c>
      <c r="AW292" s="253" t="n">
        <v>3174.646</v>
      </c>
      <c r="AX292" s="253" t="n">
        <v>2956.096</v>
      </c>
      <c r="AY292" s="253" t="n">
        <v>2967.616</v>
      </c>
      <c r="AZ292" s="253" t="n">
        <v>3129.911</v>
      </c>
      <c r="BA292" s="253" t="n">
        <v>4271.846</v>
      </c>
      <c r="BB292" s="253" t="n">
        <v>4271.846</v>
      </c>
      <c r="BC292" s="253" t="n">
        <v>4657.206</v>
      </c>
      <c r="BD292" s="253" t="n">
        <v>4615.038</v>
      </c>
      <c r="BE292" s="253" t="n">
        <v>4595.19</v>
      </c>
      <c r="BF292" s="253" t="n">
        <v>5193.325</v>
      </c>
      <c r="BG292" s="253" t="n">
        <v>5193.325</v>
      </c>
      <c r="BH292" s="253" t="n">
        <v>5245.444</v>
      </c>
      <c r="BI292" s="253" t="n">
        <v>5318.395</v>
      </c>
      <c r="BJ292" s="253" t="n">
        <v>5474.06</v>
      </c>
      <c r="BK292" s="253" t="n">
        <v>5664.359</v>
      </c>
      <c r="BL292" s="253" t="n">
        <v>5664.359</v>
      </c>
      <c r="BM292" s="253" t="n">
        <v>5743.14</v>
      </c>
      <c r="BN292" s="253" t="n">
        <v>6045.029</v>
      </c>
      <c r="BO292" s="253" t="n">
        <v>6409.151</v>
      </c>
      <c r="BP292" s="253" t="n">
        <v>6483.777</v>
      </c>
      <c r="BQ292" s="253" t="n">
        <v>6483.777</v>
      </c>
      <c r="BR292" s="253" t="n">
        <v>6704.827</v>
      </c>
      <c r="BS292" s="253" t="n">
        <v>7273.598</v>
      </c>
      <c r="BT292" s="253" t="n">
        <v>7494.132</v>
      </c>
      <c r="BU292" s="253" t="n">
        <v>7794.06</v>
      </c>
      <c r="BV292" s="253" t="n">
        <v>7794.06</v>
      </c>
      <c r="BW292" s="253" t="n">
        <v>8420.808000000001</v>
      </c>
      <c r="BX292" s="253" t="n">
        <v>8360.717000000001</v>
      </c>
      <c r="BY292" s="35" t="n"/>
      <c r="BZ292" s="35" t="n"/>
      <c r="CA292" s="254">
        <f>BX292-(CA239-SUM(BW239:BX239))-CA271</f>
        <v>9779.32894552565</v>
      </c>
      <c r="CB292" s="254">
        <f>CA292-CB239</f>
        <v>10279.3289455256</v>
      </c>
      <c r="CC292" s="254">
        <f>CB292-CC239</f>
        <v>10779.3289455256</v>
      </c>
      <c r="CD292" s="254">
        <f>CC292-CD239</f>
        <v>11279.3289455256</v>
      </c>
      <c r="CE292" s="254">
        <f>CD292-CE239</f>
        <v>11779.3289455256</v>
      </c>
      <c r="CF292" s="254">
        <f>CE292-CF239</f>
        <v>12279.3289455256</v>
      </c>
      <c r="CG292" s="19" t="inlineStr">
        <is>
          <t>2026E: + 2H acquisitions + the FCF-calibration deposit; 2027E+: + M&amp;A spend.</t>
        </is>
      </c>
    </row>
    <row r="293" ht="15" customHeight="1" s="251">
      <c r="B293" s="55" t="inlineStr">
        <is>
          <t>TOTAL ASSETS</t>
        </is>
      </c>
      <c r="C293" s="271">
        <f>IF(ISNUMBER(C285),C289+SUM(C290:C292),"")</f>
        <v>608.779</v>
      </c>
      <c r="D293" s="271">
        <f>IF(ISNUMBER(D285),D289+SUM(D290:D292),"")</f>
        <v>647.02</v>
      </c>
      <c r="E293" s="271">
        <f>IF(ISNUMBER(E285),E289+SUM(E290:E292),"")</f>
        <v>617.946</v>
      </c>
      <c r="F293" s="271">
        <f>IF(ISNUMBER(F285),F289+SUM(F290:F292),"")</f>
        <v>679.734</v>
      </c>
      <c r="G293" s="271">
        <f>IF(ISNUMBER(G285),G289+SUM(G290:G292),"")</f>
        <v>982.067</v>
      </c>
      <c r="H293" s="271">
        <f>IF(ISNUMBER(H285),H289+SUM(H290:H292),"")</f>
        <v>3069.196</v>
      </c>
      <c r="I293" s="271">
        <f>IF(ISNUMBER(I285),I289+SUM(I290:I292),"")</f>
        <v>3967.89</v>
      </c>
      <c r="J293" s="271">
        <f>IF(ISNUMBER(J285),J289+SUM(J290:J292),"")</f>
        <v>4363.289</v>
      </c>
      <c r="K293" s="271">
        <f>IF(ISNUMBER(K285),K289+SUM(K290:K292),"")</f>
        <v>4480.751</v>
      </c>
      <c r="L293" s="271">
        <f>IF(ISNUMBER(L285),L289+SUM(L290:L292),"")</f>
        <v>4901.325</v>
      </c>
      <c r="M293" s="271">
        <f>IF(ISNUMBER(M285),M289+SUM(M290:M292),"")</f>
        <v>5412.563</v>
      </c>
      <c r="N293" s="271">
        <f>IF(ISNUMBER(N285),N289+SUM(N290:N292),"")</f>
        <v>5412.563</v>
      </c>
      <c r="O293" s="271">
        <f>IF(ISNUMBER(O285),O289+SUM(O290:O292),"")</f>
        <v>6048.106</v>
      </c>
      <c r="P293" s="271">
        <f>IF(ISNUMBER(P285),P289+SUM(P290:P292),"")</f>
        <v>6325.822</v>
      </c>
      <c r="Q293" s="271">
        <f>IF(ISNUMBER(Q285),Q289+SUM(Q290:Q292),"")</f>
        <v>6778.329</v>
      </c>
      <c r="R293" s="271">
        <f>IF(ISNUMBER(R285),R289+SUM(R290:R292),"")</f>
        <v>7056.651</v>
      </c>
      <c r="S293" s="271">
        <f>IF(ISNUMBER(S285),S289+SUM(S290:S292),"")</f>
        <v>7056.651</v>
      </c>
      <c r="T293" s="271">
        <f>IF(ISNUMBER(T285),T289+SUM(T290:T292),"")</f>
        <v>9240.626</v>
      </c>
      <c r="U293" s="271">
        <f>IF(ISNUMBER(U285),U289+SUM(U290:U292),"")</f>
        <v>9654.861</v>
      </c>
      <c r="V293" s="271">
        <f>IF(ISNUMBER(V285),V289+SUM(V290:V292),"")</f>
        <v>9916.267</v>
      </c>
      <c r="W293" s="271">
        <f>IF(ISNUMBER(W285),W289+SUM(W290:W292),"")</f>
        <v>10202.871</v>
      </c>
      <c r="X293" s="271">
        <f>IF(ISNUMBER(X285),X289+SUM(X290:X292),"")</f>
        <v>10202.871</v>
      </c>
      <c r="Y293" s="271">
        <f>IF(ISNUMBER(Y285),Y289+SUM(Y290:Y292),"")</f>
        <v>11262.274</v>
      </c>
      <c r="Z293" s="271">
        <f>IF(ISNUMBER(Z285),Z289+SUM(Z290:Z292),"")</f>
        <v>11593.507</v>
      </c>
      <c r="AA293" s="271">
        <f>IF(ISNUMBER(AA285),AA289+SUM(AA290:AA292),"")</f>
        <v>12347.338</v>
      </c>
      <c r="AB293" s="271">
        <f>IF(ISNUMBER(AB285),AB289+SUM(AB290:AB292),"")</f>
        <v>13586.61</v>
      </c>
      <c r="AC293" s="271">
        <f>IF(ISNUMBER(AC285),AC289+SUM(AC290:AC292),"")</f>
        <v>13586.61</v>
      </c>
      <c r="AD293" s="271">
        <f>IF(ISNUMBER(AD285),AD289+SUM(AD290:AD292),"")</f>
        <v>14359.096</v>
      </c>
      <c r="AE293" s="271">
        <f>IF(ISNUMBER(AE285),AE289+SUM(AE290:AE292),"")</f>
        <v>16517.223</v>
      </c>
      <c r="AF293" s="271">
        <f>IF(ISNUMBER(AF285),AF289+SUM(AF290:AF292),"")</f>
        <v>16951.54</v>
      </c>
      <c r="AG293" s="271">
        <f>IF(ISNUMBER(AG285),AG289+SUM(AG290:AG292),"")</f>
        <v>19012.742</v>
      </c>
      <c r="AH293" s="271">
        <f>IF(ISNUMBER(AH285),AH289+SUM(AH290:AH292),"")</f>
        <v>19012.742</v>
      </c>
      <c r="AI293" s="271">
        <f>IF(ISNUMBER(AI285),AI289+SUM(AI290:AI292),"")</f>
        <v>20152.797</v>
      </c>
      <c r="AJ293" s="271">
        <f>IF(ISNUMBER(AJ285),AJ289+SUM(AJ290:AJ292),"")</f>
        <v>22663.537</v>
      </c>
      <c r="AK293" s="271">
        <f>IF(ISNUMBER(AK285),AK289+SUM(AK290:AK292),"")</f>
        <v>23366.229</v>
      </c>
      <c r="AL293" s="271">
        <f>IF(ISNUMBER(AL285),AL289+SUM(AL290:AL292),"")</f>
        <v>25974.4</v>
      </c>
      <c r="AM293" s="271">
        <f>IF(ISNUMBER(AM285),AM289+SUM(AM290:AM292),"")</f>
        <v>25974.4</v>
      </c>
      <c r="AN293" s="271">
        <f>IF(ISNUMBER(AN285),AN289+SUM(AN290:AN292),"")</f>
        <v>27218.632</v>
      </c>
      <c r="AO293" s="271">
        <f>IF(ISNUMBER(AO285),AO289+SUM(AO290:AO292),"")</f>
        <v>30171.339</v>
      </c>
      <c r="AP293" s="271">
        <f>IF(ISNUMBER(AP285),AP289+SUM(AP290:AP292),"")</f>
        <v>30941.711</v>
      </c>
      <c r="AQ293" s="271">
        <f>IF(ISNUMBER(AQ285),AQ289+SUM(AQ290:AQ292),"")</f>
        <v>33975.712</v>
      </c>
      <c r="AR293" s="271">
        <f>IF(ISNUMBER(AR285),AR289+SUM(AR290:AR292),"")</f>
        <v>33975.712</v>
      </c>
      <c r="AS293" s="271">
        <f>IF(ISNUMBER(AS285),AS289+SUM(AS290:AS292),"")</f>
        <v>35059.91</v>
      </c>
      <c r="AT293" s="271">
        <f>IF(ISNUMBER(AT285),AT289+SUM(AT290:AT292),"")</f>
        <v>37175.281</v>
      </c>
      <c r="AU293" s="271">
        <f>IF(ISNUMBER(AU285),AU289+SUM(AU290:AU292),"")</f>
        <v>38622.543</v>
      </c>
      <c r="AV293" s="271">
        <f>IF(ISNUMBER(AV285),AV289+SUM(AV290:AV292),"")</f>
        <v>39280.359</v>
      </c>
      <c r="AW293" s="271">
        <f>IF(ISNUMBER(AW285),AW289+SUM(AW290:AW292),"")</f>
        <v>39280.359</v>
      </c>
      <c r="AX293" s="271">
        <f>IF(ISNUMBER(AX285),AX289+SUM(AX290:AX292),"")</f>
        <v>40123.014</v>
      </c>
      <c r="AY293" s="271">
        <f>IF(ISNUMBER(AY285),AY289+SUM(AY290:AY292),"")</f>
        <v>40970.969</v>
      </c>
      <c r="AZ293" s="271">
        <f>IF(ISNUMBER(AZ285),AZ289+SUM(AZ290:AZ292),"")</f>
        <v>42739.857</v>
      </c>
      <c r="BA293" s="271">
        <f>IF(ISNUMBER(BA285),BA289+SUM(BA290:BA292),"")</f>
        <v>44584.663</v>
      </c>
      <c r="BB293" s="271">
        <f>IF(ISNUMBER(BB285),BB289+SUM(BB290:BB292),"")</f>
        <v>44584.663</v>
      </c>
      <c r="BC293" s="271">
        <f>IF(ISNUMBER(BC285),BC289+SUM(BC290:BC292),"")</f>
        <v>45330.904</v>
      </c>
      <c r="BD293" s="271">
        <f>IF(ISNUMBER(BD285),BD289+SUM(BD290:BD292),"")</f>
        <v>46350.935</v>
      </c>
      <c r="BE293" s="271">
        <f>IF(ISNUMBER(BE285),BE289+SUM(BE290:BE292),"")</f>
        <v>47562.187</v>
      </c>
      <c r="BF293" s="271">
        <f>IF(ISNUMBER(BF285),BF289+SUM(BF290:BF292),"")</f>
        <v>48594.768</v>
      </c>
      <c r="BG293" s="271">
        <f>IF(ISNUMBER(BG285),BG289+SUM(BG290:BG292),"")</f>
        <v>48594.768</v>
      </c>
      <c r="BH293" s="271">
        <f>IF(ISNUMBER(BH285),BH289+SUM(BH290:BH292),"")</f>
        <v>49490.345</v>
      </c>
      <c r="BI293" s="271">
        <f>IF(ISNUMBER(BI285),BI289+SUM(BI290:BI292),"")</f>
        <v>50817.473</v>
      </c>
      <c r="BJ293" s="271">
        <f>IF(ISNUMBER(BJ285),BJ289+SUM(BJ290:BJ292),"")</f>
        <v>49501.786</v>
      </c>
      <c r="BK293" s="271">
        <f>IF(ISNUMBER(BK285),BK289+SUM(BK290:BK292),"")</f>
        <v>48731.992</v>
      </c>
      <c r="BL293" s="271">
        <f>IF(ISNUMBER(BL285),BL289+SUM(BL290:BL292),"")</f>
        <v>48731.992</v>
      </c>
      <c r="BM293" s="271">
        <f>IF(ISNUMBER(BM285),BM289+SUM(BM290:BM292),"")</f>
        <v>48827.721</v>
      </c>
      <c r="BN293" s="271">
        <f>IF(ISNUMBER(BN285),BN289+SUM(BN290:BN292),"")</f>
        <v>49098.895</v>
      </c>
      <c r="BO293" s="271">
        <f>IF(ISNUMBER(BO285),BO289+SUM(BO290:BO292),"")</f>
        <v>52281.844</v>
      </c>
      <c r="BP293" s="271">
        <f>IF(ISNUMBER(BP285),BP289+SUM(BP290:BP292),"")</f>
        <v>53630.374</v>
      </c>
      <c r="BQ293" s="271">
        <f>IF(ISNUMBER(BQ285),BQ289+SUM(BQ290:BQ292),"")</f>
        <v>53630.374</v>
      </c>
      <c r="BR293" s="271">
        <f>IF(ISNUMBER(BR285),BR289+SUM(BR290:BR292),"")</f>
        <v>52087.644</v>
      </c>
      <c r="BS293" s="271">
        <f>IF(ISNUMBER(BS285),BS289+SUM(BS290:BS292),"")</f>
        <v>53099.664</v>
      </c>
      <c r="BT293" s="271">
        <f>IF(ISNUMBER(BT285),BT289+SUM(BT290:BT292),"")</f>
        <v>54934.835</v>
      </c>
      <c r="BU293" s="271">
        <f>IF(ISNUMBER(BU285),BU289+SUM(BU290:BU292),"")</f>
        <v>55596.993</v>
      </c>
      <c r="BV293" s="271">
        <f>IF(ISNUMBER(BV285),BV289+SUM(BV290:BV292),"")</f>
        <v>55596.993</v>
      </c>
      <c r="BW293" s="271">
        <f>IF(ISNUMBER(BW285),BW289+SUM(BW290:BW292),"")</f>
        <v>61015.914</v>
      </c>
      <c r="BX293" s="271">
        <f>IF(ISNUMBER(BX285),BX289+SUM(BX290:BX292),"")</f>
        <v>58450.441</v>
      </c>
      <c r="BY293" s="56" t="n"/>
      <c r="BZ293" s="56" t="n"/>
      <c r="CA293" s="271">
        <f>IF(ISNUMBER(CA285),CA289+SUM(CA290:CA292),"")</f>
        <v>59717.0327005894</v>
      </c>
      <c r="CB293" s="271">
        <f>IF(ISNUMBER(CB285),CB289+SUM(CB290:CB292),"")</f>
        <v>63988.4016308263</v>
      </c>
      <c r="CC293" s="271">
        <f>IF(ISNUMBER(CC285),CC289+SUM(CC290:CC292),"")</f>
        <v>67962.5421212145</v>
      </c>
      <c r="CD293" s="271">
        <f>IF(ISNUMBER(CD285),CD289+SUM(CD290:CD292),"")</f>
        <v>71768.6938155807</v>
      </c>
      <c r="CE293" s="271">
        <f>IF(ISNUMBER(CE285),CE289+SUM(CE290:CE292),"")</f>
        <v>75374.040680873</v>
      </c>
      <c r="CF293" s="271">
        <f>IF(ISNUMBER(CF285),CF289+SUM(CF290:CF292),"")</f>
        <v>78792.9978932463</v>
      </c>
      <c r="CG293" s="153" t="n"/>
      <c r="CI293" s="20">
        <f>IFERROR((CF293/CA293)^(1/5)-1,"n/m")</f>
        <v>0.0570070427463913</v>
      </c>
      <c r="CJ293" s="20">
        <f>IFERROR((BV293/AW293)^(1/5)-1,"n/m")</f>
        <v>0.0719515854699953</v>
      </c>
      <c r="CK293" s="20">
        <f>IFERROR((BV293/X293)^(1/10)-1,"n/m")</f>
        <v>0.184766841001105</v>
      </c>
      <c r="CL293" s="20">
        <f>IFERROR((BV293/C293)^(1/19)-1,"n/m")</f>
        <v>0.268203751927488</v>
      </c>
    </row>
    <row r="294" ht="15" customHeight="1" s="251">
      <c r="B294" s="25" t="inlineStr">
        <is>
          <t>LIABILITIES AND STOCKHOLDERS' EQUITY</t>
        </is>
      </c>
      <c r="CG294" s="153" t="n"/>
    </row>
    <row r="295" ht="15" customHeight="1" s="251">
      <c r="B295" s="25" t="inlineStr">
        <is>
          <t xml:space="preserve">  Current content liabilities</t>
        </is>
      </c>
      <c r="C295" s="253" t="n">
        <v>0</v>
      </c>
      <c r="D295" s="253" t="n">
        <v>0</v>
      </c>
      <c r="E295" s="253" t="n">
        <v>0</v>
      </c>
      <c r="F295" s="253" t="n">
        <v>0</v>
      </c>
      <c r="G295" s="253" t="n">
        <v>0</v>
      </c>
      <c r="H295" s="253" t="n">
        <v>924.706</v>
      </c>
      <c r="I295" s="253" t="n">
        <v>1366.847</v>
      </c>
      <c r="J295" s="253" t="n">
        <v>1355.01</v>
      </c>
      <c r="K295" s="253" t="n">
        <v>1321.217</v>
      </c>
      <c r="L295" s="253" t="n">
        <v>1591.981</v>
      </c>
      <c r="M295" s="253" t="n">
        <v>1775.983</v>
      </c>
      <c r="N295" s="253" t="n">
        <v>1775.983</v>
      </c>
      <c r="O295" s="253" t="n">
        <v>1844.897</v>
      </c>
      <c r="P295" s="253" t="n">
        <v>1858.02</v>
      </c>
      <c r="Q295" s="253" t="n">
        <v>2074.766</v>
      </c>
      <c r="R295" s="253" t="n">
        <v>2117.241</v>
      </c>
      <c r="S295" s="253" t="n">
        <v>2117.241</v>
      </c>
      <c r="T295" s="253" t="n">
        <v>2425.619</v>
      </c>
      <c r="U295" s="253" t="n">
        <v>2556.18</v>
      </c>
      <c r="V295" s="253" t="n">
        <v>2622.964</v>
      </c>
      <c r="W295" s="253" t="n">
        <v>2789.023</v>
      </c>
      <c r="X295" s="253" t="n">
        <v>2789.023</v>
      </c>
      <c r="Y295" s="253" t="n">
        <v>3145.861</v>
      </c>
      <c r="Z295" s="253" t="n">
        <v>3242.33</v>
      </c>
      <c r="AA295" s="253" t="n">
        <v>3497.214</v>
      </c>
      <c r="AB295" s="253" t="n">
        <v>3632.711</v>
      </c>
      <c r="AC295" s="253" t="n">
        <v>3632.711</v>
      </c>
      <c r="AD295" s="253" t="n">
        <v>3861.447</v>
      </c>
      <c r="AE295" s="253" t="n">
        <v>4095.374</v>
      </c>
      <c r="AF295" s="253" t="n">
        <v>4142.086</v>
      </c>
      <c r="AG295" s="253" t="n">
        <v>4173.041</v>
      </c>
      <c r="AH295" s="253" t="n">
        <v>4173.041</v>
      </c>
      <c r="AI295" s="253" t="n">
        <v>4466.081</v>
      </c>
      <c r="AJ295" s="253" t="n">
        <v>4541.087</v>
      </c>
      <c r="AK295" s="253" t="n">
        <v>4613.011</v>
      </c>
      <c r="AL295" s="253" t="n">
        <v>4686.019</v>
      </c>
      <c r="AM295" s="253" t="n">
        <v>4686.019</v>
      </c>
      <c r="AN295" s="253" t="n">
        <v>4863.351</v>
      </c>
      <c r="AO295" s="253" t="n">
        <v>4848.201</v>
      </c>
      <c r="AP295" s="253" t="n">
        <v>4860.542</v>
      </c>
      <c r="AQ295" s="253" t="n">
        <v>4413.561</v>
      </c>
      <c r="AR295" s="253" t="n">
        <v>4413.561</v>
      </c>
      <c r="AS295" s="253" t="n">
        <v>4761.585</v>
      </c>
      <c r="AT295" s="253" t="n">
        <v>4664.733</v>
      </c>
      <c r="AU295" s="253" t="n">
        <v>4599.654</v>
      </c>
      <c r="AV295" s="253" t="n">
        <v>4429.536</v>
      </c>
      <c r="AW295" s="253" t="n">
        <v>4429.536</v>
      </c>
      <c r="AX295" s="253" t="n">
        <v>4297.957</v>
      </c>
      <c r="AY295" s="253" t="n">
        <v>4197.874</v>
      </c>
      <c r="AZ295" s="253" t="n">
        <v>4110.962</v>
      </c>
      <c r="BA295" s="253" t="n">
        <v>4292.967</v>
      </c>
      <c r="BB295" s="253" t="n">
        <v>4292.967</v>
      </c>
      <c r="BC295" s="253" t="n">
        <v>4066.289</v>
      </c>
      <c r="BD295" s="253" t="n">
        <v>4174.966</v>
      </c>
      <c r="BE295" s="253" t="n">
        <v>4225.89</v>
      </c>
      <c r="BF295" s="253" t="n">
        <v>4480.15</v>
      </c>
      <c r="BG295" s="253" t="n">
        <v>4480.15</v>
      </c>
      <c r="BH295" s="253" t="n">
        <v>4344.58</v>
      </c>
      <c r="BI295" s="253" t="n">
        <v>4440.412</v>
      </c>
      <c r="BJ295" s="253" t="n">
        <v>4259.582</v>
      </c>
      <c r="BK295" s="253" t="n">
        <v>4466.47</v>
      </c>
      <c r="BL295" s="253" t="n">
        <v>4466.47</v>
      </c>
      <c r="BM295" s="253" t="n">
        <v>4436.021</v>
      </c>
      <c r="BN295" s="253" t="n">
        <v>4391.437</v>
      </c>
      <c r="BO295" s="253" t="n">
        <v>4489.971</v>
      </c>
      <c r="BP295" s="253" t="n">
        <v>4393.681</v>
      </c>
      <c r="BQ295" s="253" t="n">
        <v>4393.681</v>
      </c>
      <c r="BR295" s="253" t="n">
        <v>4128.905</v>
      </c>
      <c r="BS295" s="253" t="n">
        <v>4091.77</v>
      </c>
      <c r="BT295" s="253" t="n">
        <v>4102.64</v>
      </c>
      <c r="BU295" s="253" t="n">
        <v>4084.854</v>
      </c>
      <c r="BV295" s="253" t="n">
        <v>4084.854</v>
      </c>
      <c r="BW295" s="253" t="n">
        <v>4052.278</v>
      </c>
      <c r="BX295" s="253" t="n">
        <v>3866.522</v>
      </c>
      <c r="BY295" s="35" t="n"/>
      <c r="BZ295" s="35" t="n"/>
      <c r="CA295" s="254">
        <f>BX295</f>
        <v>3866.522</v>
      </c>
      <c r="CB295" s="254">
        <f>CA295</f>
        <v>3866.522</v>
      </c>
      <c r="CC295" s="254">
        <f>CB295</f>
        <v>3866.522</v>
      </c>
      <c r="CD295" s="254">
        <f>CC295</f>
        <v>3866.522</v>
      </c>
      <c r="CE295" s="254">
        <f>CD295</f>
        <v>3866.522</v>
      </c>
      <c r="CF295" s="254">
        <f>CE295</f>
        <v>3866.522</v>
      </c>
      <c r="CG295" s="19" t="n"/>
    </row>
    <row r="296" ht="15" customHeight="1" s="251">
      <c r="B296" s="25" t="inlineStr">
        <is>
          <t xml:space="preserve">  Accounts payable</t>
        </is>
      </c>
      <c r="C296" s="253" t="n">
        <v>93.864</v>
      </c>
      <c r="D296" s="253" t="n">
        <v>104.445</v>
      </c>
      <c r="E296" s="253" t="n">
        <v>100.344</v>
      </c>
      <c r="F296" s="253" t="n">
        <v>91.47499999999999</v>
      </c>
      <c r="G296" s="253" t="n">
        <v>222.824</v>
      </c>
      <c r="H296" s="253" t="n">
        <v>87.86</v>
      </c>
      <c r="I296" s="253" t="n">
        <v>86.468</v>
      </c>
      <c r="J296" s="253" t="n">
        <v>102.822</v>
      </c>
      <c r="K296" s="253" t="n">
        <v>103.441</v>
      </c>
      <c r="L296" s="253" t="n">
        <v>100.899</v>
      </c>
      <c r="M296" s="253" t="n">
        <v>108.435</v>
      </c>
      <c r="N296" s="253" t="n">
        <v>108.435</v>
      </c>
      <c r="O296" s="253" t="n">
        <v>133.883</v>
      </c>
      <c r="P296" s="253" t="n">
        <v>137.226</v>
      </c>
      <c r="Q296" s="253" t="n">
        <v>150.374</v>
      </c>
      <c r="R296" s="253" t="n">
        <v>201.581</v>
      </c>
      <c r="S296" s="253" t="n">
        <v>201.581</v>
      </c>
      <c r="T296" s="253" t="n">
        <v>190.567</v>
      </c>
      <c r="U296" s="253" t="n">
        <v>211.729</v>
      </c>
      <c r="V296" s="253" t="n">
        <v>209.365</v>
      </c>
      <c r="W296" s="253" t="n">
        <v>253.491</v>
      </c>
      <c r="X296" s="253" t="n">
        <v>253.491</v>
      </c>
      <c r="Y296" s="253" t="n">
        <v>231.914</v>
      </c>
      <c r="Z296" s="253" t="n">
        <v>240.458</v>
      </c>
      <c r="AA296" s="253" t="n">
        <v>285.753</v>
      </c>
      <c r="AB296" s="253" t="n">
        <v>312.842</v>
      </c>
      <c r="AC296" s="253" t="n">
        <v>312.842</v>
      </c>
      <c r="AD296" s="253" t="n">
        <v>294.831</v>
      </c>
      <c r="AE296" s="253" t="n">
        <v>273.398</v>
      </c>
      <c r="AF296" s="253" t="n">
        <v>301.443</v>
      </c>
      <c r="AG296" s="253" t="n">
        <v>359.555</v>
      </c>
      <c r="AH296" s="253" t="n">
        <v>359.555</v>
      </c>
      <c r="AI296" s="253" t="n">
        <v>436.183</v>
      </c>
      <c r="AJ296" s="253" t="n">
        <v>448.219</v>
      </c>
      <c r="AK296" s="253" t="n">
        <v>441.427</v>
      </c>
      <c r="AL296" s="253" t="n">
        <v>562.985</v>
      </c>
      <c r="AM296" s="253" t="n">
        <v>562.985</v>
      </c>
      <c r="AN296" s="253" t="n">
        <v>439.496</v>
      </c>
      <c r="AO296" s="253" t="n">
        <v>442.194</v>
      </c>
      <c r="AP296" s="253" t="n">
        <v>444.129</v>
      </c>
      <c r="AQ296" s="253" t="n">
        <v>674.347</v>
      </c>
      <c r="AR296" s="253" t="n">
        <v>674.347</v>
      </c>
      <c r="AS296" s="253" t="n">
        <v>545.4880000000001</v>
      </c>
      <c r="AT296" s="253" t="n">
        <v>446.668</v>
      </c>
      <c r="AU296" s="253" t="n">
        <v>541.298</v>
      </c>
      <c r="AV296" s="253" t="n">
        <v>656.183</v>
      </c>
      <c r="AW296" s="253" t="n">
        <v>656.183</v>
      </c>
      <c r="AX296" s="253" t="n">
        <v>532.942</v>
      </c>
      <c r="AY296" s="253" t="n">
        <v>622.931</v>
      </c>
      <c r="AZ296" s="253" t="n">
        <v>643.059</v>
      </c>
      <c r="BA296" s="253" t="n">
        <v>837.4829999999999</v>
      </c>
      <c r="BB296" s="253" t="n">
        <v>837.4829999999999</v>
      </c>
      <c r="BC296" s="253" t="n">
        <v>617.202</v>
      </c>
      <c r="BD296" s="253" t="n">
        <v>504.278</v>
      </c>
      <c r="BE296" s="253" t="n">
        <v>560.1559999999999</v>
      </c>
      <c r="BF296" s="253" t="n">
        <v>671.513</v>
      </c>
      <c r="BG296" s="253" t="n">
        <v>671.513</v>
      </c>
      <c r="BH296" s="253" t="n">
        <v>591.987</v>
      </c>
      <c r="BI296" s="253" t="n">
        <v>615.374</v>
      </c>
      <c r="BJ296" s="253" t="n">
        <v>534.429</v>
      </c>
      <c r="BK296" s="253" t="n">
        <v>747.412</v>
      </c>
      <c r="BL296" s="253" t="n">
        <v>747.412</v>
      </c>
      <c r="BM296" s="253" t="n">
        <v>607.348</v>
      </c>
      <c r="BN296" s="253" t="n">
        <v>598.557</v>
      </c>
      <c r="BO296" s="253" t="n">
        <v>641.953</v>
      </c>
      <c r="BP296" s="253" t="n">
        <v>899.909</v>
      </c>
      <c r="BQ296" s="253" t="n">
        <v>899.909</v>
      </c>
      <c r="BR296" s="253" t="n">
        <v>614.489</v>
      </c>
      <c r="BS296" s="253" t="n">
        <v>632.718</v>
      </c>
      <c r="BT296" s="253" t="n">
        <v>793.2329999999999</v>
      </c>
      <c r="BU296" s="253" t="n">
        <v>900.612</v>
      </c>
      <c r="BV296" s="253" t="n">
        <v>900.612</v>
      </c>
      <c r="BW296" s="253" t="n">
        <v>894.681</v>
      </c>
      <c r="BX296" s="253" t="n">
        <v>814.551</v>
      </c>
      <c r="BY296" s="35" t="n"/>
      <c r="BZ296" s="35" t="n"/>
      <c r="CA296" s="254">
        <f>CA316*CA318</f>
        <v>1018.88</v>
      </c>
      <c r="CB296" s="254">
        <f>CB316*CB318</f>
        <v>1125.92841367995</v>
      </c>
      <c r="CC296" s="254">
        <f>CC316*CC318</f>
        <v>1233.17737112495</v>
      </c>
      <c r="CD296" s="254">
        <f>CD316*CD318</f>
        <v>1338.54643535546</v>
      </c>
      <c r="CE296" s="254">
        <f>CE316*CE318</f>
        <v>1442.55459890025</v>
      </c>
      <c r="CF296" s="254">
        <f>CF316*CF318</f>
        <v>1543.36447911474</v>
      </c>
      <c r="CG296" s="19" t="n"/>
    </row>
    <row r="297" ht="15" customHeight="1" s="251">
      <c r="B297" s="25" t="inlineStr">
        <is>
          <t xml:space="preserve">  Accrued expenses and other liabilities</t>
        </is>
      </c>
      <c r="C297" s="253" t="n">
        <v>29.905</v>
      </c>
      <c r="D297" s="253" t="n">
        <v>36.466</v>
      </c>
      <c r="E297" s="253" t="n">
        <v>31.394</v>
      </c>
      <c r="F297" s="253" t="n">
        <v>33.387</v>
      </c>
      <c r="G297" s="253" t="n">
        <v>36.489</v>
      </c>
      <c r="H297" s="253" t="n">
        <v>63.693</v>
      </c>
      <c r="I297" s="253" t="n">
        <v>53.139</v>
      </c>
      <c r="J297" s="253" t="n">
        <v>52.004</v>
      </c>
      <c r="K297" s="253" t="n">
        <v>59.035</v>
      </c>
      <c r="L297" s="253" t="n">
        <v>46.433</v>
      </c>
      <c r="M297" s="253" t="n">
        <v>54.018</v>
      </c>
      <c r="N297" s="253" t="n">
        <v>54.018</v>
      </c>
      <c r="O297" s="253" t="n">
        <v>54.858</v>
      </c>
      <c r="P297" s="253" t="n">
        <v>98.548</v>
      </c>
      <c r="Q297" s="253" t="n">
        <v>70.559</v>
      </c>
      <c r="R297" s="253" t="n">
        <v>69.746</v>
      </c>
      <c r="S297" s="253" t="n">
        <v>69.746</v>
      </c>
      <c r="T297" s="253" t="n">
        <v>107.323</v>
      </c>
      <c r="U297" s="253" t="n">
        <v>150.406</v>
      </c>
      <c r="V297" s="253" t="n">
        <v>179.35</v>
      </c>
      <c r="W297" s="253" t="n">
        <v>140.389</v>
      </c>
      <c r="X297" s="253" t="n">
        <v>140.389</v>
      </c>
      <c r="Y297" s="253" t="n">
        <v>181.634</v>
      </c>
      <c r="Z297" s="253" t="n">
        <v>172.073</v>
      </c>
      <c r="AA297" s="253" t="n">
        <v>201.232</v>
      </c>
      <c r="AB297" s="253" t="n">
        <v>197.632</v>
      </c>
      <c r="AC297" s="253" t="n">
        <v>197.632</v>
      </c>
      <c r="AD297" s="253" t="n">
        <v>296.258</v>
      </c>
      <c r="AE297" s="253" t="n">
        <v>248.871</v>
      </c>
      <c r="AF297" s="253" t="n">
        <v>331.723</v>
      </c>
      <c r="AG297" s="253" t="n">
        <v>315.094</v>
      </c>
      <c r="AH297" s="253" t="n">
        <v>315.094</v>
      </c>
      <c r="AI297" s="253" t="n">
        <v>429.431</v>
      </c>
      <c r="AJ297" s="253" t="n">
        <v>392.595</v>
      </c>
      <c r="AK297" s="253" t="n">
        <v>527.079</v>
      </c>
      <c r="AL297" s="253" t="n">
        <v>477.417</v>
      </c>
      <c r="AM297" s="253" t="n">
        <v>477.417</v>
      </c>
      <c r="AN297" s="253" t="n">
        <v>746.268</v>
      </c>
      <c r="AO297" s="253" t="n">
        <v>750.812</v>
      </c>
      <c r="AP297" s="253" t="n">
        <v>1037.723</v>
      </c>
      <c r="AQ297" s="253" t="n">
        <v>843.043</v>
      </c>
      <c r="AR297" s="253" t="n">
        <v>843.043</v>
      </c>
      <c r="AS297" s="253" t="n">
        <v>1061.09</v>
      </c>
      <c r="AT297" s="253" t="n">
        <v>986.595</v>
      </c>
      <c r="AU297" s="253" t="n">
        <v>1259.124</v>
      </c>
      <c r="AV297" s="253" t="n">
        <v>1102.196</v>
      </c>
      <c r="AW297" s="253" t="n">
        <v>1102.196</v>
      </c>
      <c r="AX297" s="253" t="n">
        <v>1291.812</v>
      </c>
      <c r="AY297" s="253" t="n">
        <v>1125.591</v>
      </c>
      <c r="AZ297" s="253" t="n">
        <v>1413.12</v>
      </c>
      <c r="BA297" s="253" t="n">
        <v>1449.351</v>
      </c>
      <c r="BB297" s="253" t="n">
        <v>1449.351</v>
      </c>
      <c r="BC297" s="253" t="n">
        <v>1817.117</v>
      </c>
      <c r="BD297" s="253" t="n">
        <v>1596.035</v>
      </c>
      <c r="BE297" s="253" t="n">
        <v>1803.555</v>
      </c>
      <c r="BF297" s="253" t="n">
        <v>1514.65</v>
      </c>
      <c r="BG297" s="253" t="n">
        <v>1514.65</v>
      </c>
      <c r="BH297" s="253" t="n">
        <v>1718.069</v>
      </c>
      <c r="BI297" s="253" t="n">
        <v>1908.714</v>
      </c>
      <c r="BJ297" s="253" t="n">
        <v>1838.908</v>
      </c>
      <c r="BK297" s="253" t="n">
        <v>1803.96</v>
      </c>
      <c r="BL297" s="253" t="n">
        <v>1803.96</v>
      </c>
      <c r="BM297" s="253" t="n">
        <v>1977.428</v>
      </c>
      <c r="BN297" s="253" t="n">
        <v>1876.244</v>
      </c>
      <c r="BO297" s="253" t="n">
        <v>2241.758</v>
      </c>
      <c r="BP297" s="253" t="n">
        <v>2156.544</v>
      </c>
      <c r="BQ297" s="253" t="n">
        <v>2156.544</v>
      </c>
      <c r="BR297" s="253" t="n">
        <v>2359.518</v>
      </c>
      <c r="BS297" s="253" t="n">
        <v>2489.486</v>
      </c>
      <c r="BT297" s="253" t="n">
        <v>3111.311</v>
      </c>
      <c r="BU297" s="253" t="n">
        <v>3220.869</v>
      </c>
      <c r="BV297" s="253" t="n">
        <v>3220.869</v>
      </c>
      <c r="BW297" s="253" t="n">
        <v>4441.986</v>
      </c>
      <c r="BX297" s="253" t="n">
        <v>3172.611</v>
      </c>
      <c r="BY297" s="35" t="n"/>
      <c r="BZ297" s="35" t="n"/>
      <c r="CA297" s="254">
        <f>CA316*CA319</f>
        <v>3650.56</v>
      </c>
      <c r="CB297" s="254">
        <f>CB316*CB319</f>
        <v>4034.10532137591</v>
      </c>
      <c r="CC297" s="254">
        <f>CC316*CC319</f>
        <v>4418.36917393009</v>
      </c>
      <c r="CD297" s="254">
        <f>CD316*CD319</f>
        <v>4795.89752969068</v>
      </c>
      <c r="CE297" s="254">
        <f>CE316*CE319</f>
        <v>5168.54989455215</v>
      </c>
      <c r="CF297" s="254">
        <f>CF316*CF319</f>
        <v>5529.74308346135</v>
      </c>
      <c r="CG297" s="19" t="n"/>
    </row>
    <row r="298" ht="15" customHeight="1" s="251">
      <c r="B298" s="25" t="inlineStr">
        <is>
          <t xml:space="preserve">  Deferred revenue</t>
        </is>
      </c>
      <c r="C298" s="253" t="n">
        <v>69.678</v>
      </c>
      <c r="D298" s="253" t="n">
        <v>71.66500000000001</v>
      </c>
      <c r="E298" s="253" t="n">
        <v>83.127</v>
      </c>
      <c r="F298" s="253" t="n">
        <v>100.097</v>
      </c>
      <c r="G298" s="253" t="n">
        <v>127.183</v>
      </c>
      <c r="H298" s="253" t="n">
        <v>148.796</v>
      </c>
      <c r="I298" s="253" t="n">
        <v>169.472</v>
      </c>
      <c r="J298" s="253" t="n">
        <v>178.878</v>
      </c>
      <c r="K298" s="253" t="n">
        <v>186.571</v>
      </c>
      <c r="L298" s="253" t="n">
        <v>195.823</v>
      </c>
      <c r="M298" s="253" t="n">
        <v>215.767</v>
      </c>
      <c r="N298" s="253" t="n">
        <v>215.767</v>
      </c>
      <c r="O298" s="253" t="n">
        <v>230.015</v>
      </c>
      <c r="P298" s="253" t="n">
        <v>241.33</v>
      </c>
      <c r="Q298" s="253" t="n">
        <v>252.956</v>
      </c>
      <c r="R298" s="253" t="n">
        <v>274.586</v>
      </c>
      <c r="S298" s="253" t="n">
        <v>274.586</v>
      </c>
      <c r="T298" s="253" t="n">
        <v>285.34</v>
      </c>
      <c r="U298" s="253" t="n">
        <v>301.754</v>
      </c>
      <c r="V298" s="253" t="n">
        <v>329.739</v>
      </c>
      <c r="W298" s="253" t="n">
        <v>346.721</v>
      </c>
      <c r="X298" s="253" t="n">
        <v>346.721</v>
      </c>
      <c r="Y298" s="253" t="n">
        <v>374.223</v>
      </c>
      <c r="Z298" s="253" t="n">
        <v>396.976</v>
      </c>
      <c r="AA298" s="253" t="n">
        <v>427.206</v>
      </c>
      <c r="AB298" s="253" t="n">
        <v>443.472</v>
      </c>
      <c r="AC298" s="253" t="n">
        <v>443.472</v>
      </c>
      <c r="AD298" s="253" t="n">
        <v>458.693</v>
      </c>
      <c r="AE298" s="253" t="n">
        <v>505.302</v>
      </c>
      <c r="AF298" s="253" t="n">
        <v>535.425</v>
      </c>
      <c r="AG298" s="253" t="n">
        <v>618.622</v>
      </c>
      <c r="AH298" s="253" t="n">
        <v>618.622</v>
      </c>
      <c r="AI298" s="253" t="n">
        <v>673.8920000000001</v>
      </c>
      <c r="AJ298" s="253" t="n">
        <v>697.74</v>
      </c>
      <c r="AK298" s="253" t="n">
        <v>716.723</v>
      </c>
      <c r="AL298" s="253" t="n">
        <v>760.899</v>
      </c>
      <c r="AM298" s="253" t="n">
        <v>760.899</v>
      </c>
      <c r="AN298" s="253" t="n">
        <v>808.692</v>
      </c>
      <c r="AO298" s="253" t="n">
        <v>892.777</v>
      </c>
      <c r="AP298" s="253" t="n">
        <v>915.506</v>
      </c>
      <c r="AQ298" s="253" t="n">
        <v>924.745</v>
      </c>
      <c r="AR298" s="253" t="n">
        <v>924.745</v>
      </c>
      <c r="AS298" s="253" t="n">
        <v>986.753</v>
      </c>
      <c r="AT298" s="253" t="n">
        <v>1029.261</v>
      </c>
      <c r="AU298" s="253" t="n">
        <v>1040.202</v>
      </c>
      <c r="AV298" s="253" t="n">
        <v>1117.992</v>
      </c>
      <c r="AW298" s="253" t="n">
        <v>1117.992</v>
      </c>
      <c r="AX298" s="253" t="n">
        <v>1140.271</v>
      </c>
      <c r="AY298" s="253" t="n">
        <v>1187.364</v>
      </c>
      <c r="AZ298" s="253" t="n">
        <v>1182.632</v>
      </c>
      <c r="BA298" s="253" t="n">
        <v>1209.342</v>
      </c>
      <c r="BB298" s="253" t="n">
        <v>1209.342</v>
      </c>
      <c r="BC298" s="253" t="n">
        <v>1239.048</v>
      </c>
      <c r="BD298" s="253" t="n">
        <v>1224.743</v>
      </c>
      <c r="BE298" s="253" t="n">
        <v>1176.323</v>
      </c>
      <c r="BF298" s="253" t="n">
        <v>1264.661</v>
      </c>
      <c r="BG298" s="253" t="n">
        <v>1264.661</v>
      </c>
      <c r="BH298" s="253" t="n">
        <v>1262.271</v>
      </c>
      <c r="BI298" s="253" t="n">
        <v>1311.918</v>
      </c>
      <c r="BJ298" s="253" t="n">
        <v>1306.185</v>
      </c>
      <c r="BK298" s="253" t="n">
        <v>1442.969</v>
      </c>
      <c r="BL298" s="253" t="n">
        <v>1442.969</v>
      </c>
      <c r="BM298" s="253" t="n">
        <v>1469.484</v>
      </c>
      <c r="BN298" s="253" t="n">
        <v>1473.72</v>
      </c>
      <c r="BO298" s="253" t="n">
        <v>1513.048</v>
      </c>
      <c r="BP298" s="253" t="n">
        <v>1520.813</v>
      </c>
      <c r="BQ298" s="253" t="n">
        <v>1520.813</v>
      </c>
      <c r="BR298" s="253" t="n">
        <v>1609.726</v>
      </c>
      <c r="BS298" s="253" t="n">
        <v>1728.361</v>
      </c>
      <c r="BT298" s="253" t="n">
        <v>1724.675</v>
      </c>
      <c r="BU298" s="253" t="n">
        <v>1775.73</v>
      </c>
      <c r="BV298" s="253" t="n">
        <v>1775.73</v>
      </c>
      <c r="BW298" s="253" t="n">
        <v>1743.448</v>
      </c>
      <c r="BX298" s="253" t="n">
        <v>1797.456</v>
      </c>
      <c r="BY298" s="35" t="n"/>
      <c r="BZ298" s="35" t="n"/>
      <c r="CA298" s="254">
        <f>CA316*CA320</f>
        <v>2012.16</v>
      </c>
      <c r="CB298" s="254">
        <f>CB316*CB320</f>
        <v>2223.56716872473</v>
      </c>
      <c r="CC298" s="254">
        <f>CC316*CC320</f>
        <v>2435.37038619148</v>
      </c>
      <c r="CD298" s="254">
        <f>CD316*CD320</f>
        <v>2643.46105072712</v>
      </c>
      <c r="CE298" s="254">
        <f>CE316*CE320</f>
        <v>2848.86410737587</v>
      </c>
      <c r="CF298" s="254">
        <f>CF316*CF320</f>
        <v>3047.95095624167</v>
      </c>
      <c r="CG298" s="19" t="n"/>
    </row>
    <row r="299" ht="15" customHeight="1" s="251">
      <c r="B299" s="25" t="inlineStr">
        <is>
          <t xml:space="preserve">  Short-term debt (current portion of notes; lease financing to 2010)</t>
        </is>
      </c>
      <c r="C299" s="253" t="n">
        <v>0</v>
      </c>
      <c r="D299" s="253" t="n">
        <v>0</v>
      </c>
      <c r="E299" s="253" t="n">
        <v>1.152</v>
      </c>
      <c r="F299" s="253" t="n">
        <v>1.41</v>
      </c>
      <c r="G299" s="253" t="n">
        <v>2.083</v>
      </c>
      <c r="H299" s="253" t="n">
        <v>0</v>
      </c>
      <c r="I299" s="253" t="n">
        <v>0</v>
      </c>
      <c r="J299" s="253" t="n">
        <v>0</v>
      </c>
      <c r="K299" s="253" t="n">
        <v>0</v>
      </c>
      <c r="L299" s="253" t="n">
        <v>0</v>
      </c>
      <c r="M299" s="253" t="n">
        <v>0</v>
      </c>
      <c r="N299" s="253" t="n">
        <v>0</v>
      </c>
      <c r="O299" s="253" t="n">
        <v>0</v>
      </c>
      <c r="P299" s="253" t="n">
        <v>0</v>
      </c>
      <c r="Q299" s="253" t="n">
        <v>0</v>
      </c>
      <c r="R299" s="253" t="n">
        <v>0</v>
      </c>
      <c r="S299" s="253" t="n">
        <v>0</v>
      </c>
      <c r="T299" s="253" t="n">
        <v>0</v>
      </c>
      <c r="U299" s="253" t="n">
        <v>0</v>
      </c>
      <c r="V299" s="253" t="n">
        <v>0</v>
      </c>
      <c r="W299" s="253" t="n">
        <v>0</v>
      </c>
      <c r="X299" s="253" t="n">
        <v>0</v>
      </c>
      <c r="Y299" s="253" t="n">
        <v>0</v>
      </c>
      <c r="Z299" s="253" t="n">
        <v>0</v>
      </c>
      <c r="AA299" s="253" t="n">
        <v>0</v>
      </c>
      <c r="AB299" s="253" t="n">
        <v>0</v>
      </c>
      <c r="AC299" s="253" t="n">
        <v>0</v>
      </c>
      <c r="AD299" s="253" t="n">
        <v>0</v>
      </c>
      <c r="AE299" s="253" t="n">
        <v>0</v>
      </c>
      <c r="AF299" s="253" t="n">
        <v>0</v>
      </c>
      <c r="AG299" s="253" t="n">
        <v>0</v>
      </c>
      <c r="AH299" s="253" t="n">
        <v>0</v>
      </c>
      <c r="AI299" s="253" t="n">
        <v>0</v>
      </c>
      <c r="AJ299" s="253" t="n">
        <v>0</v>
      </c>
      <c r="AK299" s="253" t="n">
        <v>0</v>
      </c>
      <c r="AL299" s="253" t="n">
        <v>0</v>
      </c>
      <c r="AM299" s="253" t="n">
        <v>0</v>
      </c>
      <c r="AN299" s="253" t="n">
        <v>0</v>
      </c>
      <c r="AO299" s="253" t="n">
        <v>0</v>
      </c>
      <c r="AP299" s="253" t="n">
        <v>0</v>
      </c>
      <c r="AQ299" s="253" t="n">
        <v>0</v>
      </c>
      <c r="AR299" s="253" t="n">
        <v>0</v>
      </c>
      <c r="AS299" s="253" t="n">
        <v>498.809</v>
      </c>
      <c r="AT299" s="253" t="n">
        <v>499.161</v>
      </c>
      <c r="AU299" s="253" t="n">
        <v>499.517</v>
      </c>
      <c r="AV299" s="253" t="n">
        <v>499.878</v>
      </c>
      <c r="AW299" s="253" t="n">
        <v>499.878</v>
      </c>
      <c r="AX299" s="253" t="n">
        <v>698.788</v>
      </c>
      <c r="AY299" s="253" t="n">
        <v>699.128</v>
      </c>
      <c r="AZ299" s="253" t="n">
        <v>699.473</v>
      </c>
      <c r="BA299" s="253" t="n">
        <v>699.823</v>
      </c>
      <c r="BB299" s="253" t="n">
        <v>699.823</v>
      </c>
      <c r="BC299" s="253" t="n">
        <v>0</v>
      </c>
      <c r="BD299" s="253" t="n">
        <v>0</v>
      </c>
      <c r="BE299" s="253" t="n">
        <v>0</v>
      </c>
      <c r="BF299" s="253" t="n">
        <v>0</v>
      </c>
      <c r="BG299" s="253" t="n">
        <v>0</v>
      </c>
      <c r="BH299" s="253" t="n">
        <v>399.163</v>
      </c>
      <c r="BI299" s="253" t="n">
        <v>399.387</v>
      </c>
      <c r="BJ299" s="253" t="n">
        <v>399.614</v>
      </c>
      <c r="BK299" s="253" t="n">
        <v>399.844</v>
      </c>
      <c r="BL299" s="253" t="n">
        <v>399.844</v>
      </c>
      <c r="BM299" s="253" t="n">
        <v>798.936</v>
      </c>
      <c r="BN299" s="253" t="n">
        <v>1800.041</v>
      </c>
      <c r="BO299" s="253" t="n">
        <v>1820.396</v>
      </c>
      <c r="BP299" s="253" t="n">
        <v>1784.453</v>
      </c>
      <c r="BQ299" s="253" t="n">
        <v>1784.453</v>
      </c>
      <c r="BR299" s="253" t="n">
        <v>1005.881</v>
      </c>
      <c r="BS299" s="253" t="n">
        <v>0</v>
      </c>
      <c r="BT299" s="253" t="n">
        <v>0</v>
      </c>
      <c r="BU299" s="253" t="n">
        <v>998.865</v>
      </c>
      <c r="BV299" s="253" t="n">
        <v>998.865</v>
      </c>
      <c r="BW299" s="253" t="n">
        <v>999.1849999999999</v>
      </c>
      <c r="BX299" s="253" t="n">
        <v>2483.758</v>
      </c>
      <c r="BY299" s="35" t="n"/>
      <c r="BZ299" s="35" t="n"/>
      <c r="CA299" s="254">
        <f>CA341+MIN(CA335,CA339)</f>
        <v>1486</v>
      </c>
      <c r="CB299" s="254">
        <f>CB341+MIN(CB335,CB339)</f>
        <v>3500</v>
      </c>
      <c r="CC299" s="254">
        <f>CC341+MIN(CC335,CC339)</f>
        <v>4329</v>
      </c>
      <c r="CD299" s="254">
        <f>CD341+MIN(CD335,CD339)</f>
        <v>2257</v>
      </c>
      <c r="CE299" s="254">
        <f>CE341+MIN(CE335,CE339)</f>
        <v>0</v>
      </c>
      <c r="CF299" s="254">
        <f>CF341+MIN(CF335,CF339)</f>
        <v>1000</v>
      </c>
      <c r="CG299" s="19" t="n"/>
    </row>
    <row r="300" ht="15" customHeight="1" s="251">
      <c r="B300" s="25" t="inlineStr">
        <is>
          <t xml:space="preserve">  Other current liabilities (derived)</t>
        </is>
      </c>
      <c r="C300" s="253" t="n">
        <v>0</v>
      </c>
      <c r="D300" s="253" t="n">
        <v>0</v>
      </c>
      <c r="E300" s="253" t="n">
        <v>0</v>
      </c>
      <c r="F300" s="253" t="n">
        <v>0</v>
      </c>
      <c r="G300" s="253" t="n">
        <v>0</v>
      </c>
      <c r="H300" s="253" t="n">
        <v>0</v>
      </c>
      <c r="I300" s="253" t="n">
        <v>0</v>
      </c>
      <c r="J300" s="253" t="n">
        <v>0</v>
      </c>
      <c r="K300" s="253" t="n">
        <v>0</v>
      </c>
      <c r="L300" s="253" t="n">
        <v>0</v>
      </c>
      <c r="M300" s="253" t="n">
        <v>0</v>
      </c>
      <c r="N300" s="253" t="n">
        <v>0</v>
      </c>
      <c r="O300" s="253" t="n">
        <v>0</v>
      </c>
      <c r="P300" s="253" t="n">
        <v>0</v>
      </c>
      <c r="Q300" s="253" t="n">
        <v>0</v>
      </c>
      <c r="R300" s="253" t="n">
        <v>0</v>
      </c>
      <c r="S300" s="253" t="n">
        <v>0</v>
      </c>
      <c r="T300" s="253" t="n">
        <v>0</v>
      </c>
      <c r="U300" s="253" t="n">
        <v>0</v>
      </c>
      <c r="V300" s="253" t="n">
        <v>0</v>
      </c>
      <c r="W300" s="253" t="n">
        <v>0</v>
      </c>
      <c r="X300" s="253" t="n">
        <v>0</v>
      </c>
      <c r="Y300" s="253" t="n">
        <v>0</v>
      </c>
      <c r="Z300" s="253" t="n">
        <v>0</v>
      </c>
      <c r="AA300" s="253" t="n">
        <v>0</v>
      </c>
      <c r="AB300" s="253" t="n">
        <v>0</v>
      </c>
      <c r="AC300" s="253" t="n">
        <v>0</v>
      </c>
      <c r="AD300" s="253" t="n">
        <v>0</v>
      </c>
      <c r="AE300" s="253" t="n">
        <v>0</v>
      </c>
      <c r="AF300" s="253" t="n">
        <v>0</v>
      </c>
      <c r="AG300" s="253" t="n">
        <v>0</v>
      </c>
      <c r="AH300" s="253" t="n">
        <v>0</v>
      </c>
      <c r="AI300" s="253" t="n">
        <v>0</v>
      </c>
      <c r="AJ300" s="253" t="n">
        <v>0</v>
      </c>
      <c r="AK300" s="253" t="n">
        <v>0</v>
      </c>
      <c r="AL300" s="253" t="n">
        <v>0</v>
      </c>
      <c r="AM300" s="253" t="n">
        <v>0</v>
      </c>
      <c r="AN300" s="253" t="n">
        <v>0</v>
      </c>
      <c r="AO300" s="253" t="n">
        <v>0</v>
      </c>
      <c r="AP300" s="253" t="n">
        <v>0</v>
      </c>
      <c r="AQ300" s="253" t="n">
        <v>0</v>
      </c>
      <c r="AR300" s="253" t="n">
        <v>0</v>
      </c>
      <c r="AS300" s="253" t="n">
        <v>0</v>
      </c>
      <c r="AT300" s="253" t="n">
        <v>0</v>
      </c>
      <c r="AU300" s="253" t="n">
        <v>0</v>
      </c>
      <c r="AV300" s="253" t="n">
        <v>0</v>
      </c>
      <c r="AW300" s="253" t="n">
        <v>0</v>
      </c>
      <c r="AX300" s="253" t="n">
        <v>0</v>
      </c>
      <c r="AY300" s="253" t="n">
        <v>0</v>
      </c>
      <c r="AZ300" s="253" t="n">
        <v>0</v>
      </c>
      <c r="BA300" s="253" t="n">
        <v>0</v>
      </c>
      <c r="BB300" s="253" t="n">
        <v>0</v>
      </c>
      <c r="BC300" s="253" t="n">
        <v>0</v>
      </c>
      <c r="BD300" s="253" t="n">
        <v>0</v>
      </c>
      <c r="BE300" s="253" t="n">
        <v>0</v>
      </c>
      <c r="BF300" s="253" t="n">
        <v>0</v>
      </c>
      <c r="BG300" s="253" t="n">
        <v>0</v>
      </c>
      <c r="BH300" s="253" t="n">
        <v>0</v>
      </c>
      <c r="BI300" s="253" t="n">
        <v>0</v>
      </c>
      <c r="BJ300" s="253" t="n">
        <v>0</v>
      </c>
      <c r="BK300" s="253" t="n">
        <v>0</v>
      </c>
      <c r="BL300" s="253" t="n">
        <v>0</v>
      </c>
      <c r="BM300" s="253" t="n">
        <v>0</v>
      </c>
      <c r="BN300" s="253" t="n">
        <v>0</v>
      </c>
      <c r="BO300" s="253" t="n">
        <v>0</v>
      </c>
      <c r="BP300" s="253" t="n">
        <v>0</v>
      </c>
      <c r="BQ300" s="253" t="n">
        <v>0</v>
      </c>
      <c r="BR300" s="253" t="n">
        <v>0</v>
      </c>
      <c r="BS300" s="253" t="n">
        <v>0</v>
      </c>
      <c r="BT300" s="253" t="n">
        <v>0</v>
      </c>
      <c r="BU300" s="253" t="n">
        <v>0</v>
      </c>
      <c r="BV300" s="253" t="n">
        <v>0</v>
      </c>
      <c r="BW300" s="253" t="n">
        <v>0</v>
      </c>
      <c r="BX300" s="253" t="n">
        <v>0</v>
      </c>
      <c r="BY300" s="35" t="n"/>
      <c r="BZ300" s="35" t="n"/>
      <c r="CA300" s="254">
        <f>BX300</f>
        <v>0</v>
      </c>
      <c r="CB300" s="254">
        <f>CA300</f>
        <v>0</v>
      </c>
      <c r="CC300" s="254">
        <f>CB300</f>
        <v>0</v>
      </c>
      <c r="CD300" s="254">
        <f>CC300</f>
        <v>0</v>
      </c>
      <c r="CE300" s="254">
        <f>CD300</f>
        <v>0</v>
      </c>
      <c r="CF300" s="254">
        <f>CE300</f>
        <v>0</v>
      </c>
      <c r="CG300" s="19" t="n"/>
    </row>
    <row r="301" ht="15" customHeight="1" s="251">
      <c r="B301" s="16" t="inlineStr">
        <is>
          <t>Total current liabilities</t>
        </is>
      </c>
      <c r="C301" s="278">
        <f>IF(ISNUMBER(C295),SUM(C295:C300),"")</f>
        <v>193.447</v>
      </c>
      <c r="D301" s="278">
        <f>IF(ISNUMBER(D295),SUM(D295:D300),"")</f>
        <v>212.576</v>
      </c>
      <c r="E301" s="278">
        <f>IF(ISNUMBER(E295),SUM(E295:E300),"")</f>
        <v>216.017</v>
      </c>
      <c r="F301" s="278">
        <f>IF(ISNUMBER(F295),SUM(F295:F300),"")</f>
        <v>226.369</v>
      </c>
      <c r="G301" s="278">
        <f>IF(ISNUMBER(G295),SUM(G295:G300),"")</f>
        <v>388.579</v>
      </c>
      <c r="H301" s="278">
        <f>IF(ISNUMBER(H295),SUM(H295:H300),"")</f>
        <v>1225.055</v>
      </c>
      <c r="I301" s="278">
        <f>IF(ISNUMBER(I295),SUM(I295:I300),"")</f>
        <v>1675.926</v>
      </c>
      <c r="J301" s="278">
        <f>IF(ISNUMBER(J295),SUM(J295:J300),"")</f>
        <v>1688.714</v>
      </c>
      <c r="K301" s="278">
        <f>IF(ISNUMBER(K295),SUM(K295:K300),"")</f>
        <v>1670.264</v>
      </c>
      <c r="L301" s="278">
        <f>IF(ISNUMBER(L295),SUM(L295:L300),"")</f>
        <v>1935.136</v>
      </c>
      <c r="M301" s="278">
        <f>IF(ISNUMBER(M295),SUM(M295:M300),"")</f>
        <v>2154.203</v>
      </c>
      <c r="N301" s="278">
        <f>IF(ISNUMBER(N295),SUM(N295:N300),"")</f>
        <v>2154.203</v>
      </c>
      <c r="O301" s="278">
        <f>IF(ISNUMBER(O295),SUM(O295:O300),"")</f>
        <v>2263.653</v>
      </c>
      <c r="P301" s="278">
        <f>IF(ISNUMBER(P295),SUM(P295:P300),"")</f>
        <v>2335.124</v>
      </c>
      <c r="Q301" s="278">
        <f>IF(ISNUMBER(Q295),SUM(Q295:Q300),"")</f>
        <v>2548.655</v>
      </c>
      <c r="R301" s="278">
        <f>IF(ISNUMBER(R295),SUM(R295:R300),"")</f>
        <v>2663.154</v>
      </c>
      <c r="S301" s="278">
        <f>IF(ISNUMBER(S295),SUM(S295:S300),"")</f>
        <v>2663.154</v>
      </c>
      <c r="T301" s="278">
        <f>IF(ISNUMBER(T295),SUM(T295:T300),"")</f>
        <v>3008.849</v>
      </c>
      <c r="U301" s="278">
        <f>IF(ISNUMBER(U295),SUM(U295:U300),"")</f>
        <v>3220.069</v>
      </c>
      <c r="V301" s="278">
        <f>IF(ISNUMBER(V295),SUM(V295:V300),"")</f>
        <v>3341.418</v>
      </c>
      <c r="W301" s="278">
        <f>IF(ISNUMBER(W295),SUM(W295:W300),"")</f>
        <v>3529.624</v>
      </c>
      <c r="X301" s="278">
        <f>IF(ISNUMBER(X295),SUM(X295:X300),"")</f>
        <v>3529.624</v>
      </c>
      <c r="Y301" s="278">
        <f>IF(ISNUMBER(Y295),SUM(Y295:Y300),"")</f>
        <v>3933.632</v>
      </c>
      <c r="Z301" s="278">
        <f>IF(ISNUMBER(Z295),SUM(Z295:Z300),"")</f>
        <v>4051.837</v>
      </c>
      <c r="AA301" s="278">
        <f>IF(ISNUMBER(AA295),SUM(AA295:AA300),"")</f>
        <v>4411.405</v>
      </c>
      <c r="AB301" s="278">
        <f>IF(ISNUMBER(AB295),SUM(AB295:AB300),"")</f>
        <v>4586.657</v>
      </c>
      <c r="AC301" s="278">
        <f>IF(ISNUMBER(AC295),SUM(AC295:AC300),"")</f>
        <v>4586.657</v>
      </c>
      <c r="AD301" s="278">
        <f>IF(ISNUMBER(AD295),SUM(AD295:AD300),"")</f>
        <v>4911.229</v>
      </c>
      <c r="AE301" s="278">
        <f>IF(ISNUMBER(AE295),SUM(AE295:AE300),"")</f>
        <v>5122.945</v>
      </c>
      <c r="AF301" s="278">
        <f>IF(ISNUMBER(AF295),SUM(AF295:AF300),"")</f>
        <v>5310.677</v>
      </c>
      <c r="AG301" s="278">
        <f>IF(ISNUMBER(AG295),SUM(AG295:AG300),"")</f>
        <v>5466.312</v>
      </c>
      <c r="AH301" s="278">
        <f>IF(ISNUMBER(AH295),SUM(AH295:AH300),"")</f>
        <v>5466.312</v>
      </c>
      <c r="AI301" s="278">
        <f>IF(ISNUMBER(AI295),SUM(AI295:AI300),"")</f>
        <v>6005.587</v>
      </c>
      <c r="AJ301" s="278">
        <f>IF(ISNUMBER(AJ295),SUM(AJ295:AJ300),"")</f>
        <v>6079.641</v>
      </c>
      <c r="AK301" s="278">
        <f>IF(ISNUMBER(AK295),SUM(AK295:AK300),"")</f>
        <v>6298.24</v>
      </c>
      <c r="AL301" s="278">
        <f>IF(ISNUMBER(AL295),SUM(AL295:AL300),"")</f>
        <v>6487.32</v>
      </c>
      <c r="AM301" s="278">
        <f>IF(ISNUMBER(AM295),SUM(AM295:AM300),"")</f>
        <v>6487.32</v>
      </c>
      <c r="AN301" s="278">
        <f>IF(ISNUMBER(AN295),SUM(AN295:AN300),"")</f>
        <v>6857.807</v>
      </c>
      <c r="AO301" s="278">
        <f>IF(ISNUMBER(AO295),SUM(AO295:AO300),"")</f>
        <v>6933.984</v>
      </c>
      <c r="AP301" s="278">
        <f>IF(ISNUMBER(AP295),SUM(AP295:AP300),"")</f>
        <v>7257.9</v>
      </c>
      <c r="AQ301" s="278">
        <f>IF(ISNUMBER(AQ295),SUM(AQ295:AQ300),"")</f>
        <v>6855.696</v>
      </c>
      <c r="AR301" s="278">
        <f>IF(ISNUMBER(AR295),SUM(AR295:AR300),"")</f>
        <v>6855.696</v>
      </c>
      <c r="AS301" s="278">
        <f>IF(ISNUMBER(AS295),SUM(AS295:AS300),"")</f>
        <v>7853.725</v>
      </c>
      <c r="AT301" s="278">
        <f>IF(ISNUMBER(AT295),SUM(AT295:AT300),"")</f>
        <v>7626.418</v>
      </c>
      <c r="AU301" s="278">
        <f>IF(ISNUMBER(AU295),SUM(AU295:AU300),"")</f>
        <v>7939.795</v>
      </c>
      <c r="AV301" s="278">
        <f>IF(ISNUMBER(AV295),SUM(AV295:AV300),"")</f>
        <v>7805.785</v>
      </c>
      <c r="AW301" s="278">
        <f>IF(ISNUMBER(AW295),SUM(AW295:AW300),"")</f>
        <v>7805.785</v>
      </c>
      <c r="AX301" s="278">
        <f>IF(ISNUMBER(AX295),SUM(AX295:AX300),"")</f>
        <v>7961.77</v>
      </c>
      <c r="AY301" s="278">
        <f>IF(ISNUMBER(AY295),SUM(AY295:AY300),"")</f>
        <v>7832.888</v>
      </c>
      <c r="AZ301" s="278">
        <f>IF(ISNUMBER(AZ295),SUM(AZ295:AZ300),"")</f>
        <v>8049.246</v>
      </c>
      <c r="BA301" s="278">
        <f>IF(ISNUMBER(BA295),SUM(BA295:BA300),"")</f>
        <v>8488.966</v>
      </c>
      <c r="BB301" s="278">
        <f>IF(ISNUMBER(BB295),SUM(BB295:BB300),"")</f>
        <v>8488.966</v>
      </c>
      <c r="BC301" s="278">
        <f>IF(ISNUMBER(BC295),SUM(BC295:BC300),"")</f>
        <v>7739.656</v>
      </c>
      <c r="BD301" s="278">
        <f>IF(ISNUMBER(BD295),SUM(BD295:BD300),"")</f>
        <v>7500.022</v>
      </c>
      <c r="BE301" s="278">
        <f>IF(ISNUMBER(BE295),SUM(BE295:BE300),"")</f>
        <v>7765.924</v>
      </c>
      <c r="BF301" s="278">
        <f>IF(ISNUMBER(BF295),SUM(BF295:BF300),"")</f>
        <v>7930.974</v>
      </c>
      <c r="BG301" s="278">
        <f>IF(ISNUMBER(BG295),SUM(BG295:BG300),"")</f>
        <v>7930.974</v>
      </c>
      <c r="BH301" s="278">
        <f>IF(ISNUMBER(BH295),SUM(BH295:BH300),"")</f>
        <v>8316.07</v>
      </c>
      <c r="BI301" s="278">
        <f>IF(ISNUMBER(BI295),SUM(BI295:BI300),"")</f>
        <v>8675.805</v>
      </c>
      <c r="BJ301" s="278">
        <f>IF(ISNUMBER(BJ295),SUM(BJ295:BJ300),"")</f>
        <v>8338.718</v>
      </c>
      <c r="BK301" s="278">
        <f>IF(ISNUMBER(BK295),SUM(BK295:BK300),"")</f>
        <v>8860.655</v>
      </c>
      <c r="BL301" s="278">
        <f>IF(ISNUMBER(BL295),SUM(BL295:BL300),"")</f>
        <v>8860.655</v>
      </c>
      <c r="BM301" s="278">
        <f>IF(ISNUMBER(BM295),SUM(BM295:BM300),"")</f>
        <v>9289.217</v>
      </c>
      <c r="BN301" s="278">
        <f>IF(ISNUMBER(BN295),SUM(BN295:BN300),"")</f>
        <v>10139.999</v>
      </c>
      <c r="BO301" s="278">
        <f>IF(ISNUMBER(BO295),SUM(BO295:BO300),"")</f>
        <v>10707.126</v>
      </c>
      <c r="BP301" s="278">
        <f>IF(ISNUMBER(BP295),SUM(BP295:BP300),"")</f>
        <v>10755.4</v>
      </c>
      <c r="BQ301" s="278">
        <f>IF(ISNUMBER(BQ295),SUM(BQ295:BQ300),"")</f>
        <v>10755.4</v>
      </c>
      <c r="BR301" s="278">
        <f>IF(ISNUMBER(BR295),SUM(BR295:BR300),"")</f>
        <v>9718.519</v>
      </c>
      <c r="BS301" s="278">
        <f>IF(ISNUMBER(BS295),SUM(BS295:BS300),"")</f>
        <v>8942.335</v>
      </c>
      <c r="BT301" s="278">
        <f>IF(ISNUMBER(BT295),SUM(BT295:BT300),"")</f>
        <v>9731.859</v>
      </c>
      <c r="BU301" s="278">
        <f>IF(ISNUMBER(BU295),SUM(BU295:BU300),"")</f>
        <v>10980.93</v>
      </c>
      <c r="BV301" s="278">
        <f>IF(ISNUMBER(BV295),SUM(BV295:BV300),"")</f>
        <v>10980.93</v>
      </c>
      <c r="BW301" s="278">
        <f>IF(ISNUMBER(BW295),SUM(BW295:BW300),"")</f>
        <v>12131.578</v>
      </c>
      <c r="BX301" s="278">
        <f>IF(ISNUMBER(BX295),SUM(BX295:BX300),"")</f>
        <v>12134.898</v>
      </c>
      <c r="BY301" s="32" t="n"/>
      <c r="BZ301" s="32" t="n"/>
      <c r="CA301" s="279">
        <f>IF(ISNUMBER(CA295),SUM(CA295:CA300),"")</f>
        <v>12034.122</v>
      </c>
      <c r="CB301" s="279">
        <f>IF(ISNUMBER(CB295),SUM(CB295:CB300),"")</f>
        <v>14750.1229037806</v>
      </c>
      <c r="CC301" s="279">
        <f>IF(ISNUMBER(CC295),SUM(CC295:CC300),"")</f>
        <v>16282.4389312465</v>
      </c>
      <c r="CD301" s="279">
        <f>IF(ISNUMBER(CD295),SUM(CD295:CD300),"")</f>
        <v>14901.4270157733</v>
      </c>
      <c r="CE301" s="279">
        <f>IF(ISNUMBER(CE295),SUM(CE295:CE300),"")</f>
        <v>13326.4906008283</v>
      </c>
      <c r="CF301" s="279">
        <f>IF(ISNUMBER(CF295),SUM(CF295:CF300),"")</f>
        <v>14987.5805188178</v>
      </c>
      <c r="CG301" s="153" t="n"/>
    </row>
    <row r="302" ht="15" customHeight="1" s="251">
      <c r="B302" s="25" t="inlineStr">
        <is>
          <t xml:space="preserve">  Non-current content liabilities</t>
        </is>
      </c>
      <c r="C302" s="253" t="n">
        <v>0</v>
      </c>
      <c r="D302" s="253" t="n">
        <v>0</v>
      </c>
      <c r="E302" s="253" t="n">
        <v>0</v>
      </c>
      <c r="F302" s="253" t="n">
        <v>0</v>
      </c>
      <c r="G302" s="253" t="n">
        <v>0</v>
      </c>
      <c r="H302" s="253" t="n">
        <v>739.628</v>
      </c>
      <c r="I302" s="253" t="n">
        <v>1076.622</v>
      </c>
      <c r="J302" s="253" t="n">
        <v>1083.427</v>
      </c>
      <c r="K302" s="253" t="n">
        <v>1124.249</v>
      </c>
      <c r="L302" s="253" t="n">
        <v>1179.055</v>
      </c>
      <c r="M302" s="253" t="n">
        <v>1345.59</v>
      </c>
      <c r="N302" s="253" t="n">
        <v>1345.59</v>
      </c>
      <c r="O302" s="253" t="n">
        <v>1321.879</v>
      </c>
      <c r="P302" s="253" t="n">
        <v>1390.77</v>
      </c>
      <c r="Q302" s="253" t="n">
        <v>1510.403</v>
      </c>
      <c r="R302" s="253" t="n">
        <v>1575.832</v>
      </c>
      <c r="S302" s="253" t="n">
        <v>1575.832</v>
      </c>
      <c r="T302" s="253" t="n">
        <v>1861.791</v>
      </c>
      <c r="U302" s="253" t="n">
        <v>1942.624</v>
      </c>
      <c r="V302" s="253" t="n">
        <v>1966.854</v>
      </c>
      <c r="W302" s="253" t="n">
        <v>2026.36</v>
      </c>
      <c r="X302" s="253" t="n">
        <v>2026.36</v>
      </c>
      <c r="Y302" s="253" t="n">
        <v>2586.098</v>
      </c>
      <c r="Z302" s="253" t="n">
        <v>2698.52</v>
      </c>
      <c r="AA302" s="253" t="n">
        <v>2975.189</v>
      </c>
      <c r="AB302" s="253" t="n">
        <v>2894.654</v>
      </c>
      <c r="AC302" s="253" t="n">
        <v>2894.654</v>
      </c>
      <c r="AD302" s="253" t="n">
        <v>3035.43</v>
      </c>
      <c r="AE302" s="253" t="n">
        <v>3356.09</v>
      </c>
      <c r="AF302" s="253" t="n">
        <v>3296.504</v>
      </c>
      <c r="AG302" s="253" t="n">
        <v>3329.796</v>
      </c>
      <c r="AH302" s="253" t="n">
        <v>3329.796</v>
      </c>
      <c r="AI302" s="253" t="n">
        <v>3444.476</v>
      </c>
      <c r="AJ302" s="253" t="n">
        <v>3604.158</v>
      </c>
      <c r="AK302" s="253" t="n">
        <v>3593.823</v>
      </c>
      <c r="AL302" s="253" t="n">
        <v>3759.026</v>
      </c>
      <c r="AM302" s="253" t="n">
        <v>3759.026</v>
      </c>
      <c r="AN302" s="253" t="n">
        <v>3560.364</v>
      </c>
      <c r="AO302" s="253" t="n">
        <v>3564.44</v>
      </c>
      <c r="AP302" s="253" t="n">
        <v>3419.552</v>
      </c>
      <c r="AQ302" s="253" t="n">
        <v>3334.323</v>
      </c>
      <c r="AR302" s="253" t="n">
        <v>3334.323</v>
      </c>
      <c r="AS302" s="253" t="n">
        <v>3206.051</v>
      </c>
      <c r="AT302" s="253" t="n">
        <v>3208.164</v>
      </c>
      <c r="AU302" s="253" t="n">
        <v>2926.574</v>
      </c>
      <c r="AV302" s="253" t="n">
        <v>2618.084</v>
      </c>
      <c r="AW302" s="253" t="n">
        <v>2618.084</v>
      </c>
      <c r="AX302" s="253" t="n">
        <v>2465.626</v>
      </c>
      <c r="AY302" s="253" t="n">
        <v>2265.286</v>
      </c>
      <c r="AZ302" s="253" t="n">
        <v>2301.026</v>
      </c>
      <c r="BA302" s="253" t="n">
        <v>3094.213</v>
      </c>
      <c r="BB302" s="253" t="n">
        <v>3094.213</v>
      </c>
      <c r="BC302" s="253" t="n">
        <v>2945.221</v>
      </c>
      <c r="BD302" s="253" t="n">
        <v>2989.961</v>
      </c>
      <c r="BE302" s="253" t="n">
        <v>2955.368</v>
      </c>
      <c r="BF302" s="253" t="n">
        <v>3081.277</v>
      </c>
      <c r="BG302" s="253" t="n">
        <v>3081.277</v>
      </c>
      <c r="BH302" s="253" t="n">
        <v>2908.029</v>
      </c>
      <c r="BI302" s="253" t="n">
        <v>2849.387</v>
      </c>
      <c r="BJ302" s="253" t="n">
        <v>2668.472</v>
      </c>
      <c r="BK302" s="253" t="n">
        <v>2578.173</v>
      </c>
      <c r="BL302" s="253" t="n">
        <v>2578.173</v>
      </c>
      <c r="BM302" s="253" t="n">
        <v>2370.692</v>
      </c>
      <c r="BN302" s="253" t="n">
        <v>2028.782</v>
      </c>
      <c r="BO302" s="253" t="n">
        <v>1918.089</v>
      </c>
      <c r="BP302" s="253" t="n">
        <v>1780.806</v>
      </c>
      <c r="BQ302" s="253" t="n">
        <v>1780.806</v>
      </c>
      <c r="BR302" s="253" t="n">
        <v>1696.662</v>
      </c>
      <c r="BS302" s="253" t="n">
        <v>1606.404</v>
      </c>
      <c r="BT302" s="253" t="n">
        <v>1591.973</v>
      </c>
      <c r="BU302" s="253" t="n">
        <v>1579.476</v>
      </c>
      <c r="BV302" s="253" t="n">
        <v>1579.476</v>
      </c>
      <c r="BW302" s="253" t="n">
        <v>1626.498</v>
      </c>
      <c r="BX302" s="253" t="n">
        <v>1625.6</v>
      </c>
      <c r="BY302" s="35" t="n"/>
      <c r="BZ302" s="35" t="n"/>
      <c r="CA302" s="254">
        <f>BX302</f>
        <v>1625.6</v>
      </c>
      <c r="CB302" s="254">
        <f>CA302</f>
        <v>1625.6</v>
      </c>
      <c r="CC302" s="254">
        <f>CB302</f>
        <v>1625.6</v>
      </c>
      <c r="CD302" s="254">
        <f>CC302</f>
        <v>1625.6</v>
      </c>
      <c r="CE302" s="254">
        <f>CD302</f>
        <v>1625.6</v>
      </c>
      <c r="CF302" s="254">
        <f>CE302</f>
        <v>1625.6</v>
      </c>
      <c r="CG302" s="19" t="n"/>
    </row>
    <row r="303" ht="15" customHeight="1" s="251">
      <c r="B303" s="25" t="inlineStr">
        <is>
          <t xml:space="preserve">  Long-term debt</t>
        </is>
      </c>
      <c r="C303" s="253" t="n">
        <v>0</v>
      </c>
      <c r="D303" s="253" t="n">
        <v>0</v>
      </c>
      <c r="E303" s="253" t="n">
        <v>37.988</v>
      </c>
      <c r="F303" s="253" t="n">
        <v>236.572</v>
      </c>
      <c r="G303" s="253" t="n">
        <v>234.123</v>
      </c>
      <c r="H303" s="253" t="n">
        <v>400</v>
      </c>
      <c r="I303" s="253" t="n">
        <v>400</v>
      </c>
      <c r="J303" s="253" t="n">
        <v>700</v>
      </c>
      <c r="K303" s="253" t="n">
        <v>500</v>
      </c>
      <c r="L303" s="253" t="n">
        <v>500</v>
      </c>
      <c r="M303" s="253" t="n">
        <v>500</v>
      </c>
      <c r="N303" s="253" t="n">
        <v>500</v>
      </c>
      <c r="O303" s="253" t="n">
        <v>900</v>
      </c>
      <c r="P303" s="253" t="n">
        <v>900</v>
      </c>
      <c r="Q303" s="253" t="n">
        <v>900</v>
      </c>
      <c r="R303" s="253" t="n">
        <v>900</v>
      </c>
      <c r="S303" s="253" t="n">
        <v>900</v>
      </c>
      <c r="T303" s="253" t="n">
        <v>2400</v>
      </c>
      <c r="U303" s="253" t="n">
        <v>2400</v>
      </c>
      <c r="V303" s="253" t="n">
        <v>2400</v>
      </c>
      <c r="W303" s="253" t="n">
        <v>2371.362</v>
      </c>
      <c r="X303" s="253" t="n">
        <v>2371.362</v>
      </c>
      <c r="Y303" s="253" t="n">
        <v>2372.218</v>
      </c>
      <c r="Z303" s="253" t="n">
        <v>2373.085</v>
      </c>
      <c r="AA303" s="253" t="n">
        <v>2373.966</v>
      </c>
      <c r="AB303" s="253" t="n">
        <v>3364.311</v>
      </c>
      <c r="AC303" s="253" t="n">
        <v>3364.311</v>
      </c>
      <c r="AD303" s="253" t="n">
        <v>3365.431</v>
      </c>
      <c r="AE303" s="253" t="n">
        <v>4836.502</v>
      </c>
      <c r="AF303" s="253" t="n">
        <v>4888.783</v>
      </c>
      <c r="AG303" s="253" t="n">
        <v>6499.432</v>
      </c>
      <c r="AH303" s="253" t="n">
        <v>6499.432</v>
      </c>
      <c r="AI303" s="253" t="n">
        <v>6542.373</v>
      </c>
      <c r="AJ303" s="253" t="n">
        <v>8342.066999999999</v>
      </c>
      <c r="AK303" s="253" t="n">
        <v>8336.585999999999</v>
      </c>
      <c r="AL303" s="253" t="n">
        <v>10360.058</v>
      </c>
      <c r="AM303" s="253" t="n">
        <v>10360.058</v>
      </c>
      <c r="AN303" s="253" t="n">
        <v>10305.023</v>
      </c>
      <c r="AO303" s="253" t="n">
        <v>12594.135</v>
      </c>
      <c r="AP303" s="253" t="n">
        <v>12425.746</v>
      </c>
      <c r="AQ303" s="253" t="n">
        <v>14759.26</v>
      </c>
      <c r="AR303" s="253" t="n">
        <v>14759.26</v>
      </c>
      <c r="AS303" s="253" t="n">
        <v>14170.692</v>
      </c>
      <c r="AT303" s="253" t="n">
        <v>15294.998</v>
      </c>
      <c r="AU303" s="253" t="n">
        <v>15547.616</v>
      </c>
      <c r="AV303" s="253" t="n">
        <v>15809.095</v>
      </c>
      <c r="AW303" s="253" t="n">
        <v>15809.095</v>
      </c>
      <c r="AX303" s="253" t="n">
        <v>14860.552</v>
      </c>
      <c r="AY303" s="253" t="n">
        <v>14926.889</v>
      </c>
      <c r="AZ303" s="253" t="n">
        <v>14793.691</v>
      </c>
      <c r="BA303" s="253" t="n">
        <v>14693.072</v>
      </c>
      <c r="BB303" s="253" t="n">
        <v>14693.072</v>
      </c>
      <c r="BC303" s="253" t="n">
        <v>14534.561</v>
      </c>
      <c r="BD303" s="253" t="n">
        <v>14233.303</v>
      </c>
      <c r="BE303" s="253" t="n">
        <v>13888.117</v>
      </c>
      <c r="BF303" s="253" t="n">
        <v>14353.076</v>
      </c>
      <c r="BG303" s="253" t="n">
        <v>14353.076</v>
      </c>
      <c r="BH303" s="253" t="n">
        <v>14037.965</v>
      </c>
      <c r="BI303" s="253" t="n">
        <v>14070.151</v>
      </c>
      <c r="BJ303" s="253" t="n">
        <v>13900.754</v>
      </c>
      <c r="BK303" s="253" t="n">
        <v>14143.417</v>
      </c>
      <c r="BL303" s="253" t="n">
        <v>14143.417</v>
      </c>
      <c r="BM303" s="253" t="n">
        <v>13217.038</v>
      </c>
      <c r="BN303" s="253" t="n">
        <v>12180.024</v>
      </c>
      <c r="BO303" s="253" t="n">
        <v>14160.932</v>
      </c>
      <c r="BP303" s="253" t="n">
        <v>13798.351</v>
      </c>
      <c r="BQ303" s="253" t="n">
        <v>13798.351</v>
      </c>
      <c r="BR303" s="253" t="n">
        <v>14011.037</v>
      </c>
      <c r="BS303" s="253" t="n">
        <v>14453.206</v>
      </c>
      <c r="BT303" s="253" t="n">
        <v>14463.02</v>
      </c>
      <c r="BU303" s="253" t="n">
        <v>13463.971</v>
      </c>
      <c r="BV303" s="253" t="n">
        <v>13463.971</v>
      </c>
      <c r="BW303" s="253" t="n">
        <v>13361.331</v>
      </c>
      <c r="BX303" s="253" t="n">
        <v>11825.548</v>
      </c>
      <c r="BY303" s="35" t="n"/>
      <c r="BZ303" s="35" t="n"/>
      <c r="CA303" s="254">
        <f>CA334-CA299</f>
        <v>12823.306</v>
      </c>
      <c r="CB303" s="254">
        <f>CB334-CB299</f>
        <v>10809.306</v>
      </c>
      <c r="CC303" s="254">
        <f>CC334-CC299</f>
        <v>9980.306</v>
      </c>
      <c r="CD303" s="254">
        <f>CD334-CD299</f>
        <v>12052.306</v>
      </c>
      <c r="CE303" s="254">
        <f>CE334-CE299</f>
        <v>14309.306</v>
      </c>
      <c r="CF303" s="254">
        <f>CF334-CF299</f>
        <v>13309.306</v>
      </c>
      <c r="CG303" s="19" t="n"/>
    </row>
    <row r="304" ht="15" customHeight="1" s="251">
      <c r="B304" s="25" t="inlineStr">
        <is>
          <t xml:space="preserve">  Other non-current liabilities (incl. leases, deferred taxes; derived)</t>
        </is>
      </c>
      <c r="C304" s="253" t="n">
        <v>1.121</v>
      </c>
      <c r="D304" s="253" t="n">
        <v>3.695</v>
      </c>
      <c r="E304" s="253" t="n">
        <v>16.786</v>
      </c>
      <c r="F304" s="253" t="n">
        <v>17.65</v>
      </c>
      <c r="G304" s="253" t="n">
        <v>69.20099999999999</v>
      </c>
      <c r="H304" s="253" t="n">
        <v>61.703</v>
      </c>
      <c r="I304" s="253" t="n">
        <v>70.669</v>
      </c>
      <c r="J304" s="253" t="n">
        <v>78.229</v>
      </c>
      <c r="K304" s="253" t="n">
        <v>80.616</v>
      </c>
      <c r="L304" s="253" t="n">
        <v>82.764</v>
      </c>
      <c r="M304" s="253" t="n">
        <v>79.209</v>
      </c>
      <c r="N304" s="253" t="n">
        <v>79.209</v>
      </c>
      <c r="O304" s="253" t="n">
        <v>84.21599999999999</v>
      </c>
      <c r="P304" s="253" t="n">
        <v>90.223</v>
      </c>
      <c r="Q304" s="253" t="n">
        <v>94.39700000000001</v>
      </c>
      <c r="R304" s="253" t="n">
        <v>59.957</v>
      </c>
      <c r="S304" s="253" t="n">
        <v>59.957</v>
      </c>
      <c r="T304" s="253" t="n">
        <v>60.772</v>
      </c>
      <c r="U304" s="253" t="n">
        <v>60.093</v>
      </c>
      <c r="V304" s="253" t="n">
        <v>40.677</v>
      </c>
      <c r="W304" s="253" t="n">
        <v>52.099</v>
      </c>
      <c r="X304" s="253" t="n">
        <v>52.099</v>
      </c>
      <c r="Y304" s="253" t="n">
        <v>53.093</v>
      </c>
      <c r="Z304" s="253" t="n">
        <v>54.231</v>
      </c>
      <c r="AA304" s="253" t="n">
        <v>57.812</v>
      </c>
      <c r="AB304" s="253" t="n">
        <v>61.188</v>
      </c>
      <c r="AC304" s="253" t="n">
        <v>61.188</v>
      </c>
      <c r="AD304" s="253" t="n">
        <v>73.32299999999999</v>
      </c>
      <c r="AE304" s="253" t="n">
        <v>89.18600000000001</v>
      </c>
      <c r="AF304" s="253" t="n">
        <v>128.215</v>
      </c>
      <c r="AG304" s="253" t="n">
        <v>135.246</v>
      </c>
      <c r="AH304" s="253" t="n">
        <v>135.246</v>
      </c>
      <c r="AI304" s="253" t="n">
        <v>139.631</v>
      </c>
      <c r="AJ304" s="253" t="n">
        <v>141.071</v>
      </c>
      <c r="AK304" s="253" t="n">
        <v>127.927</v>
      </c>
      <c r="AL304" s="253" t="n">
        <v>129.231</v>
      </c>
      <c r="AM304" s="253" t="n">
        <v>129.231</v>
      </c>
      <c r="AN304" s="253" t="n">
        <v>792.38</v>
      </c>
      <c r="AO304" s="253" t="n">
        <v>973.232</v>
      </c>
      <c r="AP304" s="253" t="n">
        <v>977.008</v>
      </c>
      <c r="AQ304" s="253" t="n">
        <v>1444.276</v>
      </c>
      <c r="AR304" s="253" t="n">
        <v>1444.276</v>
      </c>
      <c r="AS304" s="253" t="n">
        <v>1420.148</v>
      </c>
      <c r="AT304" s="253" t="n">
        <v>1710.948</v>
      </c>
      <c r="AU304" s="253" t="n">
        <v>1875.235</v>
      </c>
      <c r="AV304" s="253" t="n">
        <v>1982.155</v>
      </c>
      <c r="AW304" s="253" t="n">
        <v>1982.155</v>
      </c>
      <c r="AX304" s="253" t="n">
        <v>1950.986</v>
      </c>
      <c r="AY304" s="253" t="n">
        <v>2082.035</v>
      </c>
      <c r="AZ304" s="253" t="n">
        <v>2281.277</v>
      </c>
      <c r="BA304" s="253" t="n">
        <v>2459.164</v>
      </c>
      <c r="BB304" s="253" t="n">
        <v>2459.164</v>
      </c>
      <c r="BC304" s="253" t="n">
        <v>2567.427</v>
      </c>
      <c r="BD304" s="253" t="n">
        <v>2551.675</v>
      </c>
      <c r="BE304" s="253" t="n">
        <v>2424.637</v>
      </c>
      <c r="BF304" s="253" t="n">
        <v>2452.04</v>
      </c>
      <c r="BG304" s="253" t="n">
        <v>2452.04</v>
      </c>
      <c r="BH304" s="253" t="n">
        <v>2400.085</v>
      </c>
      <c r="BI304" s="253" t="n">
        <v>2389.915</v>
      </c>
      <c r="BJ304" s="253" t="n">
        <v>2486.215</v>
      </c>
      <c r="BK304" s="253" t="n">
        <v>2561.434</v>
      </c>
      <c r="BL304" s="253" t="n">
        <v>2561.434</v>
      </c>
      <c r="BM304" s="253" t="n">
        <v>2585.364</v>
      </c>
      <c r="BN304" s="253" t="n">
        <v>2637.397</v>
      </c>
      <c r="BO304" s="253" t="n">
        <v>2774.961</v>
      </c>
      <c r="BP304" s="253" t="n">
        <v>2552.25</v>
      </c>
      <c r="BQ304" s="253" t="n">
        <v>2552.25</v>
      </c>
      <c r="BR304" s="253" t="n">
        <v>2633.353</v>
      </c>
      <c r="BS304" s="253" t="n">
        <v>3145.82</v>
      </c>
      <c r="BT304" s="253" t="n">
        <v>3193.948</v>
      </c>
      <c r="BU304" s="253" t="n">
        <v>2957.128</v>
      </c>
      <c r="BV304" s="253" t="n">
        <v>2957.128</v>
      </c>
      <c r="BW304" s="253" t="n">
        <v>2770.108</v>
      </c>
      <c r="BX304" s="253" t="n">
        <v>2712.343</v>
      </c>
      <c r="BY304" s="35" t="n"/>
      <c r="BZ304" s="35" t="n"/>
      <c r="CA304" s="254">
        <f>BX304+(CA234-SUM(BW234:BX234))</f>
        <v>2712.343</v>
      </c>
      <c r="CB304" s="254">
        <f>CA304+CB234</f>
        <v>2712.343</v>
      </c>
      <c r="CC304" s="254">
        <f>CB304+CC234</f>
        <v>2712.343</v>
      </c>
      <c r="CD304" s="254">
        <f>CC304+CD234</f>
        <v>2712.343</v>
      </c>
      <c r="CE304" s="254">
        <f>CD304+CE234</f>
        <v>2712.343</v>
      </c>
      <c r="CF304" s="254">
        <f>CE304+CF234</f>
        <v>2712.343</v>
      </c>
      <c r="CG304" s="19" t="n"/>
    </row>
    <row r="305" ht="15" customHeight="1" s="251">
      <c r="B305" s="16" t="inlineStr">
        <is>
          <t>Total liabilities</t>
        </is>
      </c>
      <c r="C305" s="278">
        <f>IF(ISNUMBER(C295),C301+SUM(C302:C304),"")</f>
        <v>194.568</v>
      </c>
      <c r="D305" s="278">
        <f>IF(ISNUMBER(D295),D301+SUM(D302:D304),"")</f>
        <v>216.271</v>
      </c>
      <c r="E305" s="278">
        <f>IF(ISNUMBER(E295),E301+SUM(E302:E304),"")</f>
        <v>270.791</v>
      </c>
      <c r="F305" s="278">
        <f>IF(ISNUMBER(F295),F301+SUM(F302:F304),"")</f>
        <v>480.591</v>
      </c>
      <c r="G305" s="278">
        <f>IF(ISNUMBER(G295),G301+SUM(G302:G304),"")</f>
        <v>691.903</v>
      </c>
      <c r="H305" s="278">
        <f>IF(ISNUMBER(H295),H301+SUM(H302:H304),"")</f>
        <v>2426.386</v>
      </c>
      <c r="I305" s="278">
        <f>IF(ISNUMBER(I295),I301+SUM(I302:I304),"")</f>
        <v>3223.217</v>
      </c>
      <c r="J305" s="278">
        <f>IF(ISNUMBER(J295),J301+SUM(J302:J304),"")</f>
        <v>3550.37</v>
      </c>
      <c r="K305" s="278">
        <f>IF(ISNUMBER(K295),K301+SUM(K302:K304),"")</f>
        <v>3375.129</v>
      </c>
      <c r="L305" s="278">
        <f>IF(ISNUMBER(L295),L301+SUM(L302:L304),"")</f>
        <v>3696.955</v>
      </c>
      <c r="M305" s="278">
        <f>IF(ISNUMBER(M295),M301+SUM(M302:M304),"")</f>
        <v>4079.002</v>
      </c>
      <c r="N305" s="278">
        <f>IF(ISNUMBER(N295),N301+SUM(N302:N304),"")</f>
        <v>4079.002</v>
      </c>
      <c r="O305" s="278">
        <f>IF(ISNUMBER(O295),O301+SUM(O302:O304),"")</f>
        <v>4569.748</v>
      </c>
      <c r="P305" s="278">
        <f>IF(ISNUMBER(P295),P301+SUM(P302:P304),"")</f>
        <v>4716.117</v>
      </c>
      <c r="Q305" s="278">
        <f>IF(ISNUMBER(Q295),Q301+SUM(Q302:Q304),"")</f>
        <v>5053.455</v>
      </c>
      <c r="R305" s="278">
        <f>IF(ISNUMBER(R295),R301+SUM(R302:R304),"")</f>
        <v>5198.943</v>
      </c>
      <c r="S305" s="278">
        <f>IF(ISNUMBER(S295),S301+SUM(S302:S304),"")</f>
        <v>5198.943</v>
      </c>
      <c r="T305" s="278">
        <f>IF(ISNUMBER(T295),T301+SUM(T302:T304),"")</f>
        <v>7331.412</v>
      </c>
      <c r="U305" s="278">
        <f>IF(ISNUMBER(U295),U301+SUM(U302:U304),"")</f>
        <v>7622.786</v>
      </c>
      <c r="V305" s="278">
        <f>IF(ISNUMBER(V295),V301+SUM(V302:V304),"")</f>
        <v>7748.949</v>
      </c>
      <c r="W305" s="278">
        <f>IF(ISNUMBER(W295),W301+SUM(W302:W304),"")</f>
        <v>7979.445</v>
      </c>
      <c r="X305" s="278">
        <f>IF(ISNUMBER(X295),X301+SUM(X302:X304),"")</f>
        <v>7979.445</v>
      </c>
      <c r="Y305" s="278">
        <f>IF(ISNUMBER(Y295),Y301+SUM(Y302:Y304),"")</f>
        <v>8945.041</v>
      </c>
      <c r="Z305" s="278">
        <f>IF(ISNUMBER(Z295),Z301+SUM(Z302:Z304),"")</f>
        <v>9177.673</v>
      </c>
      <c r="AA305" s="278">
        <f>IF(ISNUMBER(AA295),AA301+SUM(AA302:AA304),"")</f>
        <v>9818.372</v>
      </c>
      <c r="AB305" s="278">
        <f>IF(ISNUMBER(AB295),AB301+SUM(AB302:AB304),"")</f>
        <v>10906.81</v>
      </c>
      <c r="AC305" s="278">
        <f>IF(ISNUMBER(AC295),AC301+SUM(AC302:AC304),"")</f>
        <v>10906.81</v>
      </c>
      <c r="AD305" s="278">
        <f>IF(ISNUMBER(AD295),AD301+SUM(AD302:AD304),"")</f>
        <v>11385.413</v>
      </c>
      <c r="AE305" s="278">
        <f>IF(ISNUMBER(AE295),AE301+SUM(AE302:AE304),"")</f>
        <v>13404.723</v>
      </c>
      <c r="AF305" s="278">
        <f>IF(ISNUMBER(AF295),AF301+SUM(AF302:AF304),"")</f>
        <v>13624.179</v>
      </c>
      <c r="AG305" s="278">
        <f>IF(ISNUMBER(AG295),AG301+SUM(AG302:AG304),"")</f>
        <v>15430.786</v>
      </c>
      <c r="AH305" s="278">
        <f>IF(ISNUMBER(AH295),AH301+SUM(AH302:AH304),"")</f>
        <v>15430.786</v>
      </c>
      <c r="AI305" s="278">
        <f>IF(ISNUMBER(AI295),AI301+SUM(AI302:AI304),"")</f>
        <v>16132.067</v>
      </c>
      <c r="AJ305" s="278">
        <f>IF(ISNUMBER(AJ295),AJ301+SUM(AJ302:AJ304),"")</f>
        <v>18166.937</v>
      </c>
      <c r="AK305" s="278">
        <f>IF(ISNUMBER(AK295),AK301+SUM(AK302:AK304),"")</f>
        <v>18356.576</v>
      </c>
      <c r="AL305" s="278">
        <f>IF(ISNUMBER(AL295),AL301+SUM(AL302:AL304),"")</f>
        <v>20735.635</v>
      </c>
      <c r="AM305" s="278">
        <f>IF(ISNUMBER(AM295),AM301+SUM(AM302:AM304),"")</f>
        <v>20735.635</v>
      </c>
      <c r="AN305" s="278">
        <f>IF(ISNUMBER(AN295),AN301+SUM(AN302:AN304),"")</f>
        <v>21515.574</v>
      </c>
      <c r="AO305" s="278">
        <f>IF(ISNUMBER(AO295),AO301+SUM(AO302:AO304),"")</f>
        <v>24065.791</v>
      </c>
      <c r="AP305" s="278">
        <f>IF(ISNUMBER(AP295),AP301+SUM(AP302:AP304),"")</f>
        <v>24080.206</v>
      </c>
      <c r="AQ305" s="278">
        <f>IF(ISNUMBER(AQ295),AQ301+SUM(AQ302:AQ304),"")</f>
        <v>26393.555</v>
      </c>
      <c r="AR305" s="278">
        <f>IF(ISNUMBER(AR295),AR301+SUM(AR302:AR304),"")</f>
        <v>26393.555</v>
      </c>
      <c r="AS305" s="278">
        <f>IF(ISNUMBER(AS295),AS301+SUM(AS302:AS304),"")</f>
        <v>26650.616</v>
      </c>
      <c r="AT305" s="278">
        <f>IF(ISNUMBER(AT295),AT301+SUM(AT302:AT304),"")</f>
        <v>27840.528</v>
      </c>
      <c r="AU305" s="278">
        <f>IF(ISNUMBER(AU295),AU301+SUM(AU302:AU304),"")</f>
        <v>28289.22</v>
      </c>
      <c r="AV305" s="278">
        <f>IF(ISNUMBER(AV295),AV301+SUM(AV302:AV304),"")</f>
        <v>28215.119</v>
      </c>
      <c r="AW305" s="278">
        <f>IF(ISNUMBER(AW295),AW301+SUM(AW302:AW304),"")</f>
        <v>28215.119</v>
      </c>
      <c r="AX305" s="278">
        <f>IF(ISNUMBER(AX295),AX301+SUM(AX302:AX304),"")</f>
        <v>27238.934</v>
      </c>
      <c r="AY305" s="278">
        <f>IF(ISNUMBER(AY295),AY301+SUM(AY302:AY304),"")</f>
        <v>27107.098</v>
      </c>
      <c r="AZ305" s="278">
        <f>IF(ISNUMBER(AZ295),AZ301+SUM(AZ302:AZ304),"")</f>
        <v>27425.24</v>
      </c>
      <c r="BA305" s="278">
        <f>IF(ISNUMBER(BA295),BA301+SUM(BA302:BA304),"")</f>
        <v>28735.415</v>
      </c>
      <c r="BB305" s="278">
        <f>IF(ISNUMBER(BB295),BB301+SUM(BB302:BB304),"")</f>
        <v>28735.415</v>
      </c>
      <c r="BC305" s="278">
        <f>IF(ISNUMBER(BC295),BC301+SUM(BC302:BC304),"")</f>
        <v>27786.865</v>
      </c>
      <c r="BD305" s="278">
        <f>IF(ISNUMBER(BD295),BD301+SUM(BD302:BD304),"")</f>
        <v>27274.961</v>
      </c>
      <c r="BE305" s="278">
        <f>IF(ISNUMBER(BE295),BE301+SUM(BE302:BE304),"")</f>
        <v>27034.046</v>
      </c>
      <c r="BF305" s="278">
        <f>IF(ISNUMBER(BF295),BF301+SUM(BF302:BF304),"")</f>
        <v>27817.367</v>
      </c>
      <c r="BG305" s="278">
        <f>IF(ISNUMBER(BG295),BG301+SUM(BG302:BG304),"")</f>
        <v>27817.367</v>
      </c>
      <c r="BH305" s="278">
        <f>IF(ISNUMBER(BH295),BH301+SUM(BH302:BH304),"")</f>
        <v>27662.149</v>
      </c>
      <c r="BI305" s="278">
        <f>IF(ISNUMBER(BI295),BI301+SUM(BI302:BI304),"")</f>
        <v>27985.258</v>
      </c>
      <c r="BJ305" s="278">
        <f>IF(ISNUMBER(BJ295),BJ301+SUM(BJ302:BJ304),"")</f>
        <v>27394.159</v>
      </c>
      <c r="BK305" s="278">
        <f>IF(ISNUMBER(BK295),BK301+SUM(BK302:BK304),"")</f>
        <v>28143.679</v>
      </c>
      <c r="BL305" s="278">
        <f>IF(ISNUMBER(BL295),BL301+SUM(BL302:BL304),"")</f>
        <v>28143.679</v>
      </c>
      <c r="BM305" s="278">
        <f>IF(ISNUMBER(BM295),BM301+SUM(BM302:BM304),"")</f>
        <v>27462.311</v>
      </c>
      <c r="BN305" s="278">
        <f>IF(ISNUMBER(BN295),BN301+SUM(BN302:BN304),"")</f>
        <v>26986.202</v>
      </c>
      <c r="BO305" s="278">
        <f>IF(ISNUMBER(BO295),BO301+SUM(BO302:BO304),"")</f>
        <v>29561.108</v>
      </c>
      <c r="BP305" s="278">
        <f>IF(ISNUMBER(BP295),BP301+SUM(BP302:BP304),"")</f>
        <v>28886.807</v>
      </c>
      <c r="BQ305" s="278">
        <f>IF(ISNUMBER(BQ295),BQ301+SUM(BQ302:BQ304),"")</f>
        <v>28886.807</v>
      </c>
      <c r="BR305" s="278">
        <f>IF(ISNUMBER(BR295),BR301+SUM(BR302:BR304),"")</f>
        <v>28059.571</v>
      </c>
      <c r="BS305" s="278">
        <f>IF(ISNUMBER(BS295),BS301+SUM(BS302:BS304),"")</f>
        <v>28147.765</v>
      </c>
      <c r="BT305" s="278">
        <f>IF(ISNUMBER(BT295),BT301+SUM(BT302:BT304),"")</f>
        <v>28980.8</v>
      </c>
      <c r="BU305" s="278">
        <f>IF(ISNUMBER(BU295),BU301+SUM(BU302:BU304),"")</f>
        <v>28981.505</v>
      </c>
      <c r="BV305" s="278">
        <f>IF(ISNUMBER(BV295),BV301+SUM(BV302:BV304),"")</f>
        <v>28981.505</v>
      </c>
      <c r="BW305" s="278">
        <f>IF(ISNUMBER(BW295),BW301+SUM(BW302:BW304),"")</f>
        <v>29889.515</v>
      </c>
      <c r="BX305" s="278">
        <f>IF(ISNUMBER(BX295),BX301+SUM(BX302:BX304),"")</f>
        <v>28298.389</v>
      </c>
      <c r="BY305" s="32" t="n"/>
      <c r="BZ305" s="32" t="n"/>
      <c r="CA305" s="279">
        <f>IF(ISNUMBER(CA295),CA301+SUM(CA302:CA304),"")</f>
        <v>29195.371</v>
      </c>
      <c r="CB305" s="279">
        <f>IF(ISNUMBER(CB295),CB301+SUM(CB302:CB304),"")</f>
        <v>29897.3719037806</v>
      </c>
      <c r="CC305" s="279">
        <f>IF(ISNUMBER(CC295),CC301+SUM(CC302:CC304),"")</f>
        <v>30600.6879312465</v>
      </c>
      <c r="CD305" s="279">
        <f>IF(ISNUMBER(CD295),CD301+SUM(CD302:CD304),"")</f>
        <v>31291.6760157733</v>
      </c>
      <c r="CE305" s="279">
        <f>IF(ISNUMBER(CE295),CE301+SUM(CE302:CE304),"")</f>
        <v>31973.7396008283</v>
      </c>
      <c r="CF305" s="279">
        <f>IF(ISNUMBER(CF295),CF301+SUM(CF302:CF304),"")</f>
        <v>32634.8295188178</v>
      </c>
      <c r="CG305" s="153" t="n"/>
    </row>
    <row r="306" ht="15" customHeight="1" s="251">
      <c r="B306" s="25" t="inlineStr">
        <is>
          <t>Total stockholders' equity</t>
        </is>
      </c>
      <c r="C306" s="253" t="n">
        <v>414.211</v>
      </c>
      <c r="D306" s="253" t="n">
        <v>430.749</v>
      </c>
      <c r="E306" s="253" t="n">
        <v>347.155</v>
      </c>
      <c r="F306" s="253" t="n">
        <v>199.143</v>
      </c>
      <c r="G306" s="253" t="n">
        <v>290.164</v>
      </c>
      <c r="H306" s="253" t="n">
        <v>642.8099999999999</v>
      </c>
      <c r="I306" s="253" t="n">
        <v>744.673</v>
      </c>
      <c r="J306" s="253" t="n">
        <v>812.919</v>
      </c>
      <c r="K306" s="253" t="n">
        <v>1105.622</v>
      </c>
      <c r="L306" s="253" t="n">
        <v>1204.37</v>
      </c>
      <c r="M306" s="253" t="n">
        <v>1333.561</v>
      </c>
      <c r="N306" s="253" t="n">
        <v>1333.561</v>
      </c>
      <c r="O306" s="253" t="n">
        <v>1478.358</v>
      </c>
      <c r="P306" s="253" t="n">
        <v>1609.705</v>
      </c>
      <c r="Q306" s="253" t="n">
        <v>1724.874</v>
      </c>
      <c r="R306" s="253" t="n">
        <v>1857.708</v>
      </c>
      <c r="S306" s="253" t="n">
        <v>1857.708</v>
      </c>
      <c r="T306" s="253" t="n">
        <v>1909.214</v>
      </c>
      <c r="U306" s="253" t="n">
        <v>2032.075</v>
      </c>
      <c r="V306" s="253" t="n">
        <v>2167.318</v>
      </c>
      <c r="W306" s="253" t="n">
        <v>2223.426</v>
      </c>
      <c r="X306" s="253" t="n">
        <v>2223.426</v>
      </c>
      <c r="Y306" s="253" t="n">
        <v>2317.233</v>
      </c>
      <c r="Z306" s="253" t="n">
        <v>2415.834</v>
      </c>
      <c r="AA306" s="253" t="n">
        <v>2528.966</v>
      </c>
      <c r="AB306" s="253" t="n">
        <v>2679.8</v>
      </c>
      <c r="AC306" s="253" t="n">
        <v>2679.8</v>
      </c>
      <c r="AD306" s="253" t="n">
        <v>2973.683</v>
      </c>
      <c r="AE306" s="253" t="n">
        <v>3112.5</v>
      </c>
      <c r="AF306" s="253" t="n">
        <v>3327.361</v>
      </c>
      <c r="AG306" s="253" t="n">
        <v>3581.956</v>
      </c>
      <c r="AH306" s="253" t="n">
        <v>3581.956</v>
      </c>
      <c r="AI306" s="253" t="n">
        <v>4020.73</v>
      </c>
      <c r="AJ306" s="253" t="n">
        <v>4496.6</v>
      </c>
      <c r="AK306" s="253" t="n">
        <v>5009.653</v>
      </c>
      <c r="AL306" s="253" t="n">
        <v>5238.765</v>
      </c>
      <c r="AM306" s="253" t="n">
        <v>5238.765</v>
      </c>
      <c r="AN306" s="253" t="n">
        <v>5703.058</v>
      </c>
      <c r="AO306" s="253" t="n">
        <v>6105.548</v>
      </c>
      <c r="AP306" s="253" t="n">
        <v>6861.505</v>
      </c>
      <c r="AQ306" s="253" t="n">
        <v>7582.157</v>
      </c>
      <c r="AR306" s="253" t="n">
        <v>7582.157</v>
      </c>
      <c r="AS306" s="253" t="n">
        <v>8409.294</v>
      </c>
      <c r="AT306" s="253" t="n">
        <v>9334.753000000001</v>
      </c>
      <c r="AU306" s="253" t="n">
        <v>10333.323</v>
      </c>
      <c r="AV306" s="253" t="n">
        <v>11065.24</v>
      </c>
      <c r="AW306" s="253" t="n">
        <v>11065.24</v>
      </c>
      <c r="AX306" s="253" t="n">
        <v>12884.08</v>
      </c>
      <c r="AY306" s="253" t="n">
        <v>13863.871</v>
      </c>
      <c r="AZ306" s="253" t="n">
        <v>15314.617</v>
      </c>
      <c r="BA306" s="253" t="n">
        <v>15849.248</v>
      </c>
      <c r="BB306" s="253" t="n">
        <v>15849.248</v>
      </c>
      <c r="BC306" s="253" t="n">
        <v>17544.039</v>
      </c>
      <c r="BD306" s="253" t="n">
        <v>19075.974</v>
      </c>
      <c r="BE306" s="253" t="n">
        <v>20528.141</v>
      </c>
      <c r="BF306" s="253" t="n">
        <v>20777.401</v>
      </c>
      <c r="BG306" s="253" t="n">
        <v>20777.401</v>
      </c>
      <c r="BH306" s="253" t="n">
        <v>21828.196</v>
      </c>
      <c r="BI306" s="253" t="n">
        <v>22832.215</v>
      </c>
      <c r="BJ306" s="253" t="n">
        <v>22107.627</v>
      </c>
      <c r="BK306" s="253" t="n">
        <v>20588.313</v>
      </c>
      <c r="BL306" s="253" t="n">
        <v>20588.313</v>
      </c>
      <c r="BM306" s="253" t="n">
        <v>21365.41</v>
      </c>
      <c r="BN306" s="253" t="n">
        <v>22112.693</v>
      </c>
      <c r="BO306" s="253" t="n">
        <v>22720.736</v>
      </c>
      <c r="BP306" s="253" t="n">
        <v>24743.567</v>
      </c>
      <c r="BQ306" s="253" t="n">
        <v>24743.567</v>
      </c>
      <c r="BR306" s="253" t="n">
        <v>24028.073</v>
      </c>
      <c r="BS306" s="253" t="n">
        <v>24951.899</v>
      </c>
      <c r="BT306" s="253" t="n">
        <v>25954.035</v>
      </c>
      <c r="BU306" s="253" t="n">
        <v>26615.488</v>
      </c>
      <c r="BV306" s="253" t="n">
        <v>26615.488</v>
      </c>
      <c r="BW306" s="253" t="n">
        <v>31126.399</v>
      </c>
      <c r="BX306" s="253" t="n">
        <v>30152.052</v>
      </c>
      <c r="BY306" s="35" t="n"/>
      <c r="BZ306" s="35" t="n"/>
      <c r="CA306" s="254">
        <f>BX306+SUM(BY141:BZ141)+(CA246-SUM(BW246:BX246))+SUM(BY145:BZ145)+(CA245-SUM(BW245:BX245))</f>
        <v>30521.6617005894</v>
      </c>
      <c r="CB306" s="254">
        <f>CA306+CB141+CB246+CB232+CB245</f>
        <v>34091.0297270457</v>
      </c>
      <c r="CC306" s="254">
        <f>CB306+CC141+CC246+CC232+CC245</f>
        <v>37361.854189968</v>
      </c>
      <c r="CD306" s="254">
        <f>CC306+CD141+CD246+CD232+CD245</f>
        <v>40477.0177998075</v>
      </c>
      <c r="CE306" s="254">
        <f>CD306+CE141+CE246+CE232+CE245</f>
        <v>43400.3010800448</v>
      </c>
      <c r="CF306" s="254">
        <f>CE306+CF141+CF246+CF232+CF245</f>
        <v>46158.1683744286</v>
      </c>
      <c r="CG306" s="19" t="inlineStr">
        <is>
          <t>+ net income − repurchases + stock-based compensation + stock issued (OCI held flat; no dividends).</t>
        </is>
      </c>
      <c r="CI306" s="20">
        <f>IFERROR((CF306/CA306)^(1/5)-1,"n/m")</f>
        <v>0.0862457206781135</v>
      </c>
      <c r="CJ306" s="20">
        <f>IFERROR((BV306/AW306)^(1/5)-1,"n/m")</f>
        <v>0.191886001495069</v>
      </c>
      <c r="CK306" s="20">
        <f>IFERROR((BV306/X306)^(1/10)-1,"n/m")</f>
        <v>0.28177316599663</v>
      </c>
      <c r="CL306" s="20">
        <f>IFERROR((BV306/C306)^(1/19)-1,"n/m")</f>
        <v>0.244954001816374</v>
      </c>
    </row>
    <row r="307" ht="15" customHeight="1" s="251">
      <c r="B307" s="55" t="inlineStr">
        <is>
          <t>TOTAL LIABILITIES AND STOCKHOLDERS' EQUITY</t>
        </is>
      </c>
      <c r="C307" s="271">
        <f>IF(ISNUMBER(C305),C305+C306,"")</f>
        <v>608.779</v>
      </c>
      <c r="D307" s="271">
        <f>IF(ISNUMBER(D305),D305+D306,"")</f>
        <v>647.02</v>
      </c>
      <c r="E307" s="271">
        <f>IF(ISNUMBER(E305),E305+E306,"")</f>
        <v>617.946</v>
      </c>
      <c r="F307" s="271">
        <f>IF(ISNUMBER(F305),F305+F306,"")</f>
        <v>679.734</v>
      </c>
      <c r="G307" s="271">
        <f>IF(ISNUMBER(G305),G305+G306,"")</f>
        <v>982.067</v>
      </c>
      <c r="H307" s="271">
        <f>IF(ISNUMBER(H305),H305+H306,"")</f>
        <v>3069.196</v>
      </c>
      <c r="I307" s="271">
        <f>IF(ISNUMBER(I305),I305+I306,"")</f>
        <v>3967.89</v>
      </c>
      <c r="J307" s="271">
        <f>IF(ISNUMBER(J305),J305+J306,"")</f>
        <v>4363.289</v>
      </c>
      <c r="K307" s="271">
        <f>IF(ISNUMBER(K305),K305+K306,"")</f>
        <v>4480.751</v>
      </c>
      <c r="L307" s="271">
        <f>IF(ISNUMBER(L305),L305+L306,"")</f>
        <v>4901.325</v>
      </c>
      <c r="M307" s="271">
        <f>IF(ISNUMBER(M305),M305+M306,"")</f>
        <v>5412.563</v>
      </c>
      <c r="N307" s="271">
        <f>IF(ISNUMBER(N305),N305+N306,"")</f>
        <v>5412.563</v>
      </c>
      <c r="O307" s="271">
        <f>IF(ISNUMBER(O305),O305+O306,"")</f>
        <v>6048.106</v>
      </c>
      <c r="P307" s="271">
        <f>IF(ISNUMBER(P305),P305+P306,"")</f>
        <v>6325.822</v>
      </c>
      <c r="Q307" s="271">
        <f>IF(ISNUMBER(Q305),Q305+Q306,"")</f>
        <v>6778.329</v>
      </c>
      <c r="R307" s="271">
        <f>IF(ISNUMBER(R305),R305+R306,"")</f>
        <v>7056.651</v>
      </c>
      <c r="S307" s="271">
        <f>IF(ISNUMBER(S305),S305+S306,"")</f>
        <v>7056.651</v>
      </c>
      <c r="T307" s="271">
        <f>IF(ISNUMBER(T305),T305+T306,"")</f>
        <v>9240.626</v>
      </c>
      <c r="U307" s="271">
        <f>IF(ISNUMBER(U305),U305+U306,"")</f>
        <v>9654.861</v>
      </c>
      <c r="V307" s="271">
        <f>IF(ISNUMBER(V305),V305+V306,"")</f>
        <v>9916.267</v>
      </c>
      <c r="W307" s="271">
        <f>IF(ISNUMBER(W305),W305+W306,"")</f>
        <v>10202.871</v>
      </c>
      <c r="X307" s="271">
        <f>IF(ISNUMBER(X305),X305+X306,"")</f>
        <v>10202.871</v>
      </c>
      <c r="Y307" s="271">
        <f>IF(ISNUMBER(Y305),Y305+Y306,"")</f>
        <v>11262.274</v>
      </c>
      <c r="Z307" s="271">
        <f>IF(ISNUMBER(Z305),Z305+Z306,"")</f>
        <v>11593.507</v>
      </c>
      <c r="AA307" s="271">
        <f>IF(ISNUMBER(AA305),AA305+AA306,"")</f>
        <v>12347.338</v>
      </c>
      <c r="AB307" s="271">
        <f>IF(ISNUMBER(AB305),AB305+AB306,"")</f>
        <v>13586.61</v>
      </c>
      <c r="AC307" s="271">
        <f>IF(ISNUMBER(AC305),AC305+AC306,"")</f>
        <v>13586.61</v>
      </c>
      <c r="AD307" s="271">
        <f>IF(ISNUMBER(AD305),AD305+AD306,"")</f>
        <v>14359.096</v>
      </c>
      <c r="AE307" s="271">
        <f>IF(ISNUMBER(AE305),AE305+AE306,"")</f>
        <v>16517.223</v>
      </c>
      <c r="AF307" s="271">
        <f>IF(ISNUMBER(AF305),AF305+AF306,"")</f>
        <v>16951.54</v>
      </c>
      <c r="AG307" s="271">
        <f>IF(ISNUMBER(AG305),AG305+AG306,"")</f>
        <v>19012.742</v>
      </c>
      <c r="AH307" s="271">
        <f>IF(ISNUMBER(AH305),AH305+AH306,"")</f>
        <v>19012.742</v>
      </c>
      <c r="AI307" s="271">
        <f>IF(ISNUMBER(AI305),AI305+AI306,"")</f>
        <v>20152.797</v>
      </c>
      <c r="AJ307" s="271">
        <f>IF(ISNUMBER(AJ305),AJ305+AJ306,"")</f>
        <v>22663.537</v>
      </c>
      <c r="AK307" s="271">
        <f>IF(ISNUMBER(AK305),AK305+AK306,"")</f>
        <v>23366.229</v>
      </c>
      <c r="AL307" s="271">
        <f>IF(ISNUMBER(AL305),AL305+AL306,"")</f>
        <v>25974.4</v>
      </c>
      <c r="AM307" s="271">
        <f>IF(ISNUMBER(AM305),AM305+AM306,"")</f>
        <v>25974.4</v>
      </c>
      <c r="AN307" s="271">
        <f>IF(ISNUMBER(AN305),AN305+AN306,"")</f>
        <v>27218.632</v>
      </c>
      <c r="AO307" s="271">
        <f>IF(ISNUMBER(AO305),AO305+AO306,"")</f>
        <v>30171.339</v>
      </c>
      <c r="AP307" s="271">
        <f>IF(ISNUMBER(AP305),AP305+AP306,"")</f>
        <v>30941.711</v>
      </c>
      <c r="AQ307" s="271">
        <f>IF(ISNUMBER(AQ305),AQ305+AQ306,"")</f>
        <v>33975.712</v>
      </c>
      <c r="AR307" s="271">
        <f>IF(ISNUMBER(AR305),AR305+AR306,"")</f>
        <v>33975.712</v>
      </c>
      <c r="AS307" s="271">
        <f>IF(ISNUMBER(AS305),AS305+AS306,"")</f>
        <v>35059.91</v>
      </c>
      <c r="AT307" s="271">
        <f>IF(ISNUMBER(AT305),AT305+AT306,"")</f>
        <v>37175.281</v>
      </c>
      <c r="AU307" s="271">
        <f>IF(ISNUMBER(AU305),AU305+AU306,"")</f>
        <v>38622.543</v>
      </c>
      <c r="AV307" s="271">
        <f>IF(ISNUMBER(AV305),AV305+AV306,"")</f>
        <v>39280.359</v>
      </c>
      <c r="AW307" s="271">
        <f>IF(ISNUMBER(AW305),AW305+AW306,"")</f>
        <v>39280.359</v>
      </c>
      <c r="AX307" s="271">
        <f>IF(ISNUMBER(AX305),AX305+AX306,"")</f>
        <v>40123.014</v>
      </c>
      <c r="AY307" s="271">
        <f>IF(ISNUMBER(AY305),AY305+AY306,"")</f>
        <v>40970.969</v>
      </c>
      <c r="AZ307" s="271">
        <f>IF(ISNUMBER(AZ305),AZ305+AZ306,"")</f>
        <v>42739.857</v>
      </c>
      <c r="BA307" s="271">
        <f>IF(ISNUMBER(BA305),BA305+BA306,"")</f>
        <v>44584.663</v>
      </c>
      <c r="BB307" s="271">
        <f>IF(ISNUMBER(BB305),BB305+BB306,"")</f>
        <v>44584.663</v>
      </c>
      <c r="BC307" s="271">
        <f>IF(ISNUMBER(BC305),BC305+BC306,"")</f>
        <v>45330.904</v>
      </c>
      <c r="BD307" s="271">
        <f>IF(ISNUMBER(BD305),BD305+BD306,"")</f>
        <v>46350.935</v>
      </c>
      <c r="BE307" s="271">
        <f>IF(ISNUMBER(BE305),BE305+BE306,"")</f>
        <v>47562.187</v>
      </c>
      <c r="BF307" s="271">
        <f>IF(ISNUMBER(BF305),BF305+BF306,"")</f>
        <v>48594.768</v>
      </c>
      <c r="BG307" s="271">
        <f>IF(ISNUMBER(BG305),BG305+BG306,"")</f>
        <v>48594.768</v>
      </c>
      <c r="BH307" s="271">
        <f>IF(ISNUMBER(BH305),BH305+BH306,"")</f>
        <v>49490.345</v>
      </c>
      <c r="BI307" s="271">
        <f>IF(ISNUMBER(BI305),BI305+BI306,"")</f>
        <v>50817.473</v>
      </c>
      <c r="BJ307" s="271">
        <f>IF(ISNUMBER(BJ305),BJ305+BJ306,"")</f>
        <v>49501.786</v>
      </c>
      <c r="BK307" s="271">
        <f>IF(ISNUMBER(BK305),BK305+BK306,"")</f>
        <v>48731.992</v>
      </c>
      <c r="BL307" s="271">
        <f>IF(ISNUMBER(BL305),BL305+BL306,"")</f>
        <v>48731.992</v>
      </c>
      <c r="BM307" s="271">
        <f>IF(ISNUMBER(BM305),BM305+BM306,"")</f>
        <v>48827.721</v>
      </c>
      <c r="BN307" s="271">
        <f>IF(ISNUMBER(BN305),BN305+BN306,"")</f>
        <v>49098.895</v>
      </c>
      <c r="BO307" s="271">
        <f>IF(ISNUMBER(BO305),BO305+BO306,"")</f>
        <v>52281.844</v>
      </c>
      <c r="BP307" s="271">
        <f>IF(ISNUMBER(BP305),BP305+BP306,"")</f>
        <v>53630.374</v>
      </c>
      <c r="BQ307" s="271">
        <f>IF(ISNUMBER(BQ305),BQ305+BQ306,"")</f>
        <v>53630.374</v>
      </c>
      <c r="BR307" s="271">
        <f>IF(ISNUMBER(BR305),BR305+BR306,"")</f>
        <v>52087.644</v>
      </c>
      <c r="BS307" s="271">
        <f>IF(ISNUMBER(BS305),BS305+BS306,"")</f>
        <v>53099.664</v>
      </c>
      <c r="BT307" s="271">
        <f>IF(ISNUMBER(BT305),BT305+BT306,"")</f>
        <v>54934.835</v>
      </c>
      <c r="BU307" s="271">
        <f>IF(ISNUMBER(BU305),BU305+BU306,"")</f>
        <v>55596.993</v>
      </c>
      <c r="BV307" s="271">
        <f>IF(ISNUMBER(BV305),BV305+BV306,"")</f>
        <v>55596.993</v>
      </c>
      <c r="BW307" s="271">
        <f>IF(ISNUMBER(BW305),BW305+BW306,"")</f>
        <v>61015.914</v>
      </c>
      <c r="BX307" s="271">
        <f>IF(ISNUMBER(BX305),BX305+BX306,"")</f>
        <v>58450.441</v>
      </c>
      <c r="BY307" s="56" t="n"/>
      <c r="BZ307" s="56" t="n"/>
      <c r="CA307" s="271">
        <f>IF(ISNUMBER(CA305),CA305+CA306,"")</f>
        <v>59717.0327005894</v>
      </c>
      <c r="CB307" s="271">
        <f>IF(ISNUMBER(CB305),CB305+CB306,"")</f>
        <v>63988.4016308263</v>
      </c>
      <c r="CC307" s="271">
        <f>IF(ISNUMBER(CC305),CC305+CC306,"")</f>
        <v>67962.5421212145</v>
      </c>
      <c r="CD307" s="271">
        <f>IF(ISNUMBER(CD305),CD305+CD306,"")</f>
        <v>71768.6938155807</v>
      </c>
      <c r="CE307" s="271">
        <f>IF(ISNUMBER(CE305),CE305+CE306,"")</f>
        <v>75374.040680873</v>
      </c>
      <c r="CF307" s="271">
        <f>IF(ISNUMBER(CF305),CF305+CF306,"")</f>
        <v>78792.9978932463</v>
      </c>
      <c r="CG307" s="153" t="n"/>
    </row>
    <row r="308" ht="15" customHeight="1" s="251">
      <c r="B308" s="25" t="inlineStr">
        <is>
          <t xml:space="preserve">  Noncontrolling interests (none)</t>
        </is>
      </c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  <c r="AA308" s="34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34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34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5" t="n"/>
      <c r="BZ308" s="35" t="n"/>
      <c r="CA308" s="254">
        <f>0</f>
        <v>0</v>
      </c>
      <c r="CB308" s="254">
        <f>0</f>
        <v>0</v>
      </c>
      <c r="CC308" s="254">
        <f>0</f>
        <v>0</v>
      </c>
      <c r="CD308" s="254">
        <f>0</f>
        <v>0</v>
      </c>
      <c r="CE308" s="254">
        <f>0</f>
        <v>0</v>
      </c>
      <c r="CF308" s="254">
        <f>0</f>
        <v>0</v>
      </c>
      <c r="CG308" s="19" t="n"/>
    </row>
    <row r="309" ht="15" customHeight="1" s="251">
      <c r="B309" s="57" t="inlineStr">
        <is>
          <t>BS tie-out check (TA − TL&amp;E)</t>
        </is>
      </c>
      <c r="C309" s="264">
        <f>IF(ISNUMBER(C293),IF(ABS(C293-C307)&lt;=0.15,0,ROUND(C293-C307,1)),"")</f>
        <v>0</v>
      </c>
      <c r="D309" s="264">
        <f>IF(ISNUMBER(D293),IF(ABS(D293-D307)&lt;=0.15,0,ROUND(D293-D307,1)),"")</f>
        <v>0</v>
      </c>
      <c r="E309" s="264">
        <f>IF(ISNUMBER(E293),IF(ABS(E293-E307)&lt;=0.15,0,ROUND(E293-E307,1)),"")</f>
        <v>0</v>
      </c>
      <c r="F309" s="264">
        <f>IF(ISNUMBER(F293),IF(ABS(F293-F307)&lt;=0.15,0,ROUND(F293-F307,1)),"")</f>
        <v>0</v>
      </c>
      <c r="G309" s="264">
        <f>IF(ISNUMBER(G293),IF(ABS(G293-G307)&lt;=0.15,0,ROUND(G293-G307,1)),"")</f>
        <v>0</v>
      </c>
      <c r="H309" s="264">
        <f>IF(ISNUMBER(H293),IF(ABS(H293-H307)&lt;=0.15,0,ROUND(H293-H307,1)),"")</f>
        <v>0</v>
      </c>
      <c r="I309" s="264">
        <f>IF(ISNUMBER(I293),IF(ABS(I293-I307)&lt;=0.15,0,ROUND(I293-I307,1)),"")</f>
        <v>0</v>
      </c>
      <c r="J309" s="264">
        <f>IF(ISNUMBER(J293),IF(ABS(J293-J307)&lt;=0.15,0,ROUND(J293-J307,1)),"")</f>
        <v>0</v>
      </c>
      <c r="K309" s="264">
        <f>IF(ISNUMBER(K293),IF(ABS(K293-K307)&lt;=0.15,0,ROUND(K293-K307,1)),"")</f>
        <v>0</v>
      </c>
      <c r="L309" s="264">
        <f>IF(ISNUMBER(L293),IF(ABS(L293-L307)&lt;=0.15,0,ROUND(L293-L307,1)),"")</f>
        <v>0</v>
      </c>
      <c r="M309" s="264">
        <f>IF(ISNUMBER(M293),IF(ABS(M293-M307)&lt;=0.15,0,ROUND(M293-M307,1)),"")</f>
        <v>0</v>
      </c>
      <c r="N309" s="264">
        <f>IF(ISNUMBER(N293),IF(ABS(N293-N307)&lt;=0.15,0,ROUND(N293-N307,1)),"")</f>
        <v>0</v>
      </c>
      <c r="O309" s="264">
        <f>IF(ISNUMBER(O293),IF(ABS(O293-O307)&lt;=0.15,0,ROUND(O293-O307,1)),"")</f>
        <v>0</v>
      </c>
      <c r="P309" s="264">
        <f>IF(ISNUMBER(P293),IF(ABS(P293-P307)&lt;=0.15,0,ROUND(P293-P307,1)),"")</f>
        <v>0</v>
      </c>
      <c r="Q309" s="264">
        <f>IF(ISNUMBER(Q293),IF(ABS(Q293-Q307)&lt;=0.15,0,ROUND(Q293-Q307,1)),"")</f>
        <v>0</v>
      </c>
      <c r="R309" s="264">
        <f>IF(ISNUMBER(R293),IF(ABS(R293-R307)&lt;=0.15,0,ROUND(R293-R307,1)),"")</f>
        <v>0</v>
      </c>
      <c r="S309" s="264">
        <f>IF(ISNUMBER(S293),IF(ABS(S293-S307)&lt;=0.15,0,ROUND(S293-S307,1)),"")</f>
        <v>0</v>
      </c>
      <c r="T309" s="264">
        <f>IF(ISNUMBER(T293),IF(ABS(T293-T307)&lt;=0.15,0,ROUND(T293-T307,1)),"")</f>
        <v>0</v>
      </c>
      <c r="U309" s="264">
        <f>IF(ISNUMBER(U293),IF(ABS(U293-U307)&lt;=0.15,0,ROUND(U293-U307,1)),"")</f>
        <v>0</v>
      </c>
      <c r="V309" s="264">
        <f>IF(ISNUMBER(V293),IF(ABS(V293-V307)&lt;=0.15,0,ROUND(V293-V307,1)),"")</f>
        <v>0</v>
      </c>
      <c r="W309" s="264">
        <f>IF(ISNUMBER(W293),IF(ABS(W293-W307)&lt;=0.15,0,ROUND(W293-W307,1)),"")</f>
        <v>0</v>
      </c>
      <c r="X309" s="264">
        <f>IF(ISNUMBER(X293),IF(ABS(X293-X307)&lt;=0.15,0,ROUND(X293-X307,1)),"")</f>
        <v>0</v>
      </c>
      <c r="Y309" s="264">
        <f>IF(ISNUMBER(Y293),IF(ABS(Y293-Y307)&lt;=0.15,0,ROUND(Y293-Y307,1)),"")</f>
        <v>0</v>
      </c>
      <c r="Z309" s="264">
        <f>IF(ISNUMBER(Z293),IF(ABS(Z293-Z307)&lt;=0.15,0,ROUND(Z293-Z307,1)),"")</f>
        <v>0</v>
      </c>
      <c r="AA309" s="264">
        <f>IF(ISNUMBER(AA293),IF(ABS(AA293-AA307)&lt;=0.15,0,ROUND(AA293-AA307,1)),"")</f>
        <v>0</v>
      </c>
      <c r="AB309" s="264">
        <f>IF(ISNUMBER(AB293),IF(ABS(AB293-AB307)&lt;=0.15,0,ROUND(AB293-AB307,1)),"")</f>
        <v>0</v>
      </c>
      <c r="AC309" s="264">
        <f>IF(ISNUMBER(AC293),IF(ABS(AC293-AC307)&lt;=0.15,0,ROUND(AC293-AC307,1)),"")</f>
        <v>0</v>
      </c>
      <c r="AD309" s="264">
        <f>IF(ISNUMBER(AD293),IF(ABS(AD293-AD307)&lt;=0.15,0,ROUND(AD293-AD307,1)),"")</f>
        <v>0</v>
      </c>
      <c r="AE309" s="264">
        <f>IF(ISNUMBER(AE293),IF(ABS(AE293-AE307)&lt;=0.15,0,ROUND(AE293-AE307,1)),"")</f>
        <v>0</v>
      </c>
      <c r="AF309" s="264">
        <f>IF(ISNUMBER(AF293),IF(ABS(AF293-AF307)&lt;=0.15,0,ROUND(AF293-AF307,1)),"")</f>
        <v>0</v>
      </c>
      <c r="AG309" s="264">
        <f>IF(ISNUMBER(AG293),IF(ABS(AG293-AG307)&lt;=0.15,0,ROUND(AG293-AG307,1)),"")</f>
        <v>0</v>
      </c>
      <c r="AH309" s="264">
        <f>IF(ISNUMBER(AH293),IF(ABS(AH293-AH307)&lt;=0.15,0,ROUND(AH293-AH307,1)),"")</f>
        <v>0</v>
      </c>
      <c r="AI309" s="264">
        <f>IF(ISNUMBER(AI293),IF(ABS(AI293-AI307)&lt;=0.15,0,ROUND(AI293-AI307,1)),"")</f>
        <v>0</v>
      </c>
      <c r="AJ309" s="264">
        <f>IF(ISNUMBER(AJ293),IF(ABS(AJ293-AJ307)&lt;=0.15,0,ROUND(AJ293-AJ307,1)),"")</f>
        <v>0</v>
      </c>
      <c r="AK309" s="264">
        <f>IF(ISNUMBER(AK293),IF(ABS(AK293-AK307)&lt;=0.15,0,ROUND(AK293-AK307,1)),"")</f>
        <v>0</v>
      </c>
      <c r="AL309" s="264">
        <f>IF(ISNUMBER(AL293),IF(ABS(AL293-AL307)&lt;=0.15,0,ROUND(AL293-AL307,1)),"")</f>
        <v>0</v>
      </c>
      <c r="AM309" s="264">
        <f>IF(ISNUMBER(AM293),IF(ABS(AM293-AM307)&lt;=0.15,0,ROUND(AM293-AM307,1)),"")</f>
        <v>0</v>
      </c>
      <c r="AN309" s="264">
        <f>IF(ISNUMBER(AN293),IF(ABS(AN293-AN307)&lt;=0.15,0,ROUND(AN293-AN307,1)),"")</f>
        <v>0</v>
      </c>
      <c r="AO309" s="264">
        <f>IF(ISNUMBER(AO293),IF(ABS(AO293-AO307)&lt;=0.15,0,ROUND(AO293-AO307,1)),"")</f>
        <v>0</v>
      </c>
      <c r="AP309" s="264">
        <f>IF(ISNUMBER(AP293),IF(ABS(AP293-AP307)&lt;=0.15,0,ROUND(AP293-AP307,1)),"")</f>
        <v>0</v>
      </c>
      <c r="AQ309" s="264">
        <f>IF(ISNUMBER(AQ293),IF(ABS(AQ293-AQ307)&lt;=0.15,0,ROUND(AQ293-AQ307,1)),"")</f>
        <v>0</v>
      </c>
      <c r="AR309" s="264">
        <f>IF(ISNUMBER(AR293),IF(ABS(AR293-AR307)&lt;=0.15,0,ROUND(AR293-AR307,1)),"")</f>
        <v>0</v>
      </c>
      <c r="AS309" s="264">
        <f>IF(ISNUMBER(AS293),IF(ABS(AS293-AS307)&lt;=0.15,0,ROUND(AS293-AS307,1)),"")</f>
        <v>0</v>
      </c>
      <c r="AT309" s="264">
        <f>IF(ISNUMBER(AT293),IF(ABS(AT293-AT307)&lt;=0.15,0,ROUND(AT293-AT307,1)),"")</f>
        <v>0</v>
      </c>
      <c r="AU309" s="264">
        <f>IF(ISNUMBER(AU293),IF(ABS(AU293-AU307)&lt;=0.15,0,ROUND(AU293-AU307,1)),"")</f>
        <v>0</v>
      </c>
      <c r="AV309" s="264">
        <f>IF(ISNUMBER(AV293),IF(ABS(AV293-AV307)&lt;=0.15,0,ROUND(AV293-AV307,1)),"")</f>
        <v>0</v>
      </c>
      <c r="AW309" s="264">
        <f>IF(ISNUMBER(AW293),IF(ABS(AW293-AW307)&lt;=0.15,0,ROUND(AW293-AW307,1)),"")</f>
        <v>0</v>
      </c>
      <c r="AX309" s="264">
        <f>IF(ISNUMBER(AX293),IF(ABS(AX293-AX307)&lt;=0.15,0,ROUND(AX293-AX307,1)),"")</f>
        <v>0</v>
      </c>
      <c r="AY309" s="264">
        <f>IF(ISNUMBER(AY293),IF(ABS(AY293-AY307)&lt;=0.15,0,ROUND(AY293-AY307,1)),"")</f>
        <v>0</v>
      </c>
      <c r="AZ309" s="264">
        <f>IF(ISNUMBER(AZ293),IF(ABS(AZ293-AZ307)&lt;=0.15,0,ROUND(AZ293-AZ307,1)),"")</f>
        <v>0</v>
      </c>
      <c r="BA309" s="264">
        <f>IF(ISNUMBER(BA293),IF(ABS(BA293-BA307)&lt;=0.15,0,ROUND(BA293-BA307,1)),"")</f>
        <v>0</v>
      </c>
      <c r="BB309" s="264">
        <f>IF(ISNUMBER(BB293),IF(ABS(BB293-BB307)&lt;=0.15,0,ROUND(BB293-BB307,1)),"")</f>
        <v>0</v>
      </c>
      <c r="BC309" s="264">
        <f>IF(ISNUMBER(BC293),IF(ABS(BC293-BC307)&lt;=0.15,0,ROUND(BC293-BC307,1)),"")</f>
        <v>0</v>
      </c>
      <c r="BD309" s="264">
        <f>IF(ISNUMBER(BD293),IF(ABS(BD293-BD307)&lt;=0.15,0,ROUND(BD293-BD307,1)),"")</f>
        <v>0</v>
      </c>
      <c r="BE309" s="264">
        <f>IF(ISNUMBER(BE293),IF(ABS(BE293-BE307)&lt;=0.15,0,ROUND(BE293-BE307,1)),"")</f>
        <v>0</v>
      </c>
      <c r="BF309" s="264">
        <f>IF(ISNUMBER(BF293),IF(ABS(BF293-BF307)&lt;=0.15,0,ROUND(BF293-BF307,1)),"")</f>
        <v>0</v>
      </c>
      <c r="BG309" s="264">
        <f>IF(ISNUMBER(BG293),IF(ABS(BG293-BG307)&lt;=0.15,0,ROUND(BG293-BG307,1)),"")</f>
        <v>0</v>
      </c>
      <c r="BH309" s="264">
        <f>IF(ISNUMBER(BH293),IF(ABS(BH293-BH307)&lt;=0.15,0,ROUND(BH293-BH307,1)),"")</f>
        <v>0</v>
      </c>
      <c r="BI309" s="264">
        <f>IF(ISNUMBER(BI293),IF(ABS(BI293-BI307)&lt;=0.15,0,ROUND(BI293-BI307,1)),"")</f>
        <v>0</v>
      </c>
      <c r="BJ309" s="264">
        <f>IF(ISNUMBER(BJ293),IF(ABS(BJ293-BJ307)&lt;=0.15,0,ROUND(BJ293-BJ307,1)),"")</f>
        <v>0</v>
      </c>
      <c r="BK309" s="264">
        <f>IF(ISNUMBER(BK293),IF(ABS(BK293-BK307)&lt;=0.15,0,ROUND(BK293-BK307,1)),"")</f>
        <v>0</v>
      </c>
      <c r="BL309" s="264">
        <f>IF(ISNUMBER(BL293),IF(ABS(BL293-BL307)&lt;=0.15,0,ROUND(BL293-BL307,1)),"")</f>
        <v>0</v>
      </c>
      <c r="BM309" s="264">
        <f>IF(ISNUMBER(BM293),IF(ABS(BM293-BM307)&lt;=0.15,0,ROUND(BM293-BM307,1)),"")</f>
        <v>0</v>
      </c>
      <c r="BN309" s="264">
        <f>IF(ISNUMBER(BN293),IF(ABS(BN293-BN307)&lt;=0.15,0,ROUND(BN293-BN307,1)),"")</f>
        <v>0</v>
      </c>
      <c r="BO309" s="264">
        <f>IF(ISNUMBER(BO293),IF(ABS(BO293-BO307)&lt;=0.15,0,ROUND(BO293-BO307,1)),"")</f>
        <v>0</v>
      </c>
      <c r="BP309" s="264">
        <f>IF(ISNUMBER(BP293),IF(ABS(BP293-BP307)&lt;=0.15,0,ROUND(BP293-BP307,1)),"")</f>
        <v>0</v>
      </c>
      <c r="BQ309" s="264">
        <f>IF(ISNUMBER(BQ293),IF(ABS(BQ293-BQ307)&lt;=0.15,0,ROUND(BQ293-BQ307,1)),"")</f>
        <v>0</v>
      </c>
      <c r="BR309" s="264">
        <f>IF(ISNUMBER(BR293),IF(ABS(BR293-BR307)&lt;=0.15,0,ROUND(BR293-BR307,1)),"")</f>
        <v>0</v>
      </c>
      <c r="BS309" s="264">
        <f>IF(ISNUMBER(BS293),IF(ABS(BS293-BS307)&lt;=0.15,0,ROUND(BS293-BS307,1)),"")</f>
        <v>0</v>
      </c>
      <c r="BT309" s="264">
        <f>IF(ISNUMBER(BT293),IF(ABS(BT293-BT307)&lt;=0.15,0,ROUND(BT293-BT307,1)),"")</f>
        <v>0</v>
      </c>
      <c r="BU309" s="264">
        <f>IF(ISNUMBER(BU293),IF(ABS(BU293-BU307)&lt;=0.15,0,ROUND(BU293-BU307,1)),"")</f>
        <v>0</v>
      </c>
      <c r="BV309" s="264">
        <f>IF(ISNUMBER(BV293),IF(ABS(BV293-BV307)&lt;=0.15,0,ROUND(BV293-BV307,1)),"")</f>
        <v>0</v>
      </c>
      <c r="BW309" s="264">
        <f>IF(ISNUMBER(BW293),IF(ABS(BW293-BW307)&lt;=0.15,0,ROUND(BW293-BW307,1)),"")</f>
        <v>0</v>
      </c>
      <c r="BX309" s="264">
        <f>IF(ISNUMBER(BX293),IF(ABS(BX293-BX307)&lt;=0.15,0,ROUND(BX293-BX307,1)),"")</f>
        <v>0</v>
      </c>
      <c r="BY309" s="153" t="n"/>
      <c r="BZ309" s="153" t="n"/>
      <c r="CA309" s="272">
        <f>IF(ISNUMBER(CA293),IF(ABS(CA293-CA307)&lt;=0.15,0,ROUND(CA293-CA307,1)),"")</f>
        <v>0</v>
      </c>
      <c r="CB309" s="272">
        <f>IF(ISNUMBER(CB293),IF(ABS(CB293-CB307)&lt;=0.15,0,ROUND(CB293-CB307,1)),"")</f>
        <v>0</v>
      </c>
      <c r="CC309" s="272">
        <f>IF(ISNUMBER(CC293),IF(ABS(CC293-CC307)&lt;=0.15,0,ROUND(CC293-CC307,1)),"")</f>
        <v>0</v>
      </c>
      <c r="CD309" s="272">
        <f>IF(ISNUMBER(CD293),IF(ABS(CD293-CD307)&lt;=0.15,0,ROUND(CD293-CD307,1)),"")</f>
        <v>0</v>
      </c>
      <c r="CE309" s="272">
        <f>IF(ISNUMBER(CE293),IF(ABS(CE293-CE307)&lt;=0.15,0,ROUND(CE293-CE307,1)),"")</f>
        <v>0</v>
      </c>
      <c r="CF309" s="272">
        <f>IF(ISNUMBER(CF293),IF(ABS(CF293-CF307)&lt;=0.15,0,ROUND(CF293-CF307,1)),"")</f>
        <v>0</v>
      </c>
      <c r="CG309" s="153" t="n"/>
    </row>
    <row r="310" ht="15" customHeight="1" s="251">
      <c r="B310" s="57" t="inlineStr">
        <is>
          <t xml:space="preserve">  Check: model total assets vs reported (should be 0)</t>
        </is>
      </c>
      <c r="C310" s="264">
        <f>IF(ISNUMBER(C311),IF(ABS(C293-C311)&lt;=0.15,0,ROUND(C293-C311,1)),"")</f>
        <v>0</v>
      </c>
      <c r="D310" s="264">
        <f>IF(ISNUMBER(D311),IF(ABS(D293-D311)&lt;=0.15,0,ROUND(D293-D311,1)),"")</f>
        <v>0</v>
      </c>
      <c r="E310" s="264">
        <f>IF(ISNUMBER(E311),IF(ABS(E293-E311)&lt;=0.15,0,ROUND(E293-E311,1)),"")</f>
        <v>0</v>
      </c>
      <c r="F310" s="264">
        <f>IF(ISNUMBER(F311),IF(ABS(F293-F311)&lt;=0.15,0,ROUND(F293-F311,1)),"")</f>
        <v>0</v>
      </c>
      <c r="G310" s="264">
        <f>IF(ISNUMBER(G311),IF(ABS(G293-G311)&lt;=0.15,0,ROUND(G293-G311,1)),"")</f>
        <v>0</v>
      </c>
      <c r="H310" s="264">
        <f>IF(ISNUMBER(H311),IF(ABS(H293-H311)&lt;=0.15,0,ROUND(H293-H311,1)),"")</f>
        <v>0</v>
      </c>
      <c r="I310" s="264">
        <f>IF(ISNUMBER(I311),IF(ABS(I293-I311)&lt;=0.15,0,ROUND(I293-I311,1)),"")</f>
        <v>0</v>
      </c>
      <c r="J310" s="264">
        <f>IF(ISNUMBER(J311),IF(ABS(J293-J311)&lt;=0.15,0,ROUND(J293-J311,1)),"")</f>
        <v>0</v>
      </c>
      <c r="K310" s="264">
        <f>IF(ISNUMBER(K311),IF(ABS(K293-K311)&lt;=0.15,0,ROUND(K293-K311,1)),"")</f>
        <v>0</v>
      </c>
      <c r="L310" s="264">
        <f>IF(ISNUMBER(L311),IF(ABS(L293-L311)&lt;=0.15,0,ROUND(L293-L311,1)),"")</f>
        <v>0</v>
      </c>
      <c r="M310" s="264">
        <f>IF(ISNUMBER(M311),IF(ABS(M293-M311)&lt;=0.15,0,ROUND(M293-M311,1)),"")</f>
        <v>0</v>
      </c>
      <c r="N310" s="264">
        <f>IF(ISNUMBER(N311),IF(ABS(N293-N311)&lt;=0.15,0,ROUND(N293-N311,1)),"")</f>
        <v>0</v>
      </c>
      <c r="O310" s="264">
        <f>IF(ISNUMBER(O311),IF(ABS(O293-O311)&lt;=0.15,0,ROUND(O293-O311,1)),"")</f>
        <v>0</v>
      </c>
      <c r="P310" s="264">
        <f>IF(ISNUMBER(P311),IF(ABS(P293-P311)&lt;=0.15,0,ROUND(P293-P311,1)),"")</f>
        <v>0</v>
      </c>
      <c r="Q310" s="264">
        <f>IF(ISNUMBER(Q311),IF(ABS(Q293-Q311)&lt;=0.15,0,ROUND(Q293-Q311,1)),"")</f>
        <v>0</v>
      </c>
      <c r="R310" s="264">
        <f>IF(ISNUMBER(R311),IF(ABS(R293-R311)&lt;=0.15,0,ROUND(R293-R311,1)),"")</f>
        <v>0</v>
      </c>
      <c r="S310" s="264">
        <f>IF(ISNUMBER(S311),IF(ABS(S293-S311)&lt;=0.15,0,ROUND(S293-S311,1)),"")</f>
        <v>0</v>
      </c>
      <c r="T310" s="264">
        <f>IF(ISNUMBER(T311),IF(ABS(T293-T311)&lt;=0.15,0,ROUND(T293-T311,1)),"")</f>
        <v>0</v>
      </c>
      <c r="U310" s="264">
        <f>IF(ISNUMBER(U311),IF(ABS(U293-U311)&lt;=0.15,0,ROUND(U293-U311,1)),"")</f>
        <v>0</v>
      </c>
      <c r="V310" s="264">
        <f>IF(ISNUMBER(V311),IF(ABS(V293-V311)&lt;=0.15,0,ROUND(V293-V311,1)),"")</f>
        <v>0</v>
      </c>
      <c r="W310" s="264">
        <f>IF(ISNUMBER(W311),IF(ABS(W293-W311)&lt;=0.15,0,ROUND(W293-W311,1)),"")</f>
        <v>0</v>
      </c>
      <c r="X310" s="264">
        <f>IF(ISNUMBER(X311),IF(ABS(X293-X311)&lt;=0.15,0,ROUND(X293-X311,1)),"")</f>
        <v>0</v>
      </c>
      <c r="Y310" s="264">
        <f>IF(ISNUMBER(Y311),IF(ABS(Y293-Y311)&lt;=0.15,0,ROUND(Y293-Y311,1)),"")</f>
        <v>0</v>
      </c>
      <c r="Z310" s="264">
        <f>IF(ISNUMBER(Z311),IF(ABS(Z293-Z311)&lt;=0.15,0,ROUND(Z293-Z311,1)),"")</f>
        <v>0</v>
      </c>
      <c r="AA310" s="264">
        <f>IF(ISNUMBER(AA311),IF(ABS(AA293-AA311)&lt;=0.15,0,ROUND(AA293-AA311,1)),"")</f>
        <v>0</v>
      </c>
      <c r="AB310" s="264">
        <f>IF(ISNUMBER(AB311),IF(ABS(AB293-AB311)&lt;=0.15,0,ROUND(AB293-AB311,1)),"")</f>
        <v>0</v>
      </c>
      <c r="AC310" s="264">
        <f>IF(ISNUMBER(AC311),IF(ABS(AC293-AC311)&lt;=0.15,0,ROUND(AC293-AC311,1)),"")</f>
        <v>0</v>
      </c>
      <c r="AD310" s="264">
        <f>IF(ISNUMBER(AD311),IF(ABS(AD293-AD311)&lt;=0.15,0,ROUND(AD293-AD311,1)),"")</f>
        <v>0</v>
      </c>
      <c r="AE310" s="264">
        <f>IF(ISNUMBER(AE311),IF(ABS(AE293-AE311)&lt;=0.15,0,ROUND(AE293-AE311,1)),"")</f>
        <v>0</v>
      </c>
      <c r="AF310" s="264">
        <f>IF(ISNUMBER(AF311),IF(ABS(AF293-AF311)&lt;=0.15,0,ROUND(AF293-AF311,1)),"")</f>
        <v>0</v>
      </c>
      <c r="AG310" s="264">
        <f>IF(ISNUMBER(AG311),IF(ABS(AG293-AG311)&lt;=0.15,0,ROUND(AG293-AG311,1)),"")</f>
        <v>0</v>
      </c>
      <c r="AH310" s="264">
        <f>IF(ISNUMBER(AH311),IF(ABS(AH293-AH311)&lt;=0.15,0,ROUND(AH293-AH311,1)),"")</f>
        <v>0</v>
      </c>
      <c r="AI310" s="264">
        <f>IF(ISNUMBER(AI311),IF(ABS(AI293-AI311)&lt;=0.15,0,ROUND(AI293-AI311,1)),"")</f>
        <v>0</v>
      </c>
      <c r="AJ310" s="264">
        <f>IF(ISNUMBER(AJ311),IF(ABS(AJ293-AJ311)&lt;=0.15,0,ROUND(AJ293-AJ311,1)),"")</f>
        <v>0</v>
      </c>
      <c r="AK310" s="264">
        <f>IF(ISNUMBER(AK311),IF(ABS(AK293-AK311)&lt;=0.15,0,ROUND(AK293-AK311,1)),"")</f>
        <v>0</v>
      </c>
      <c r="AL310" s="264">
        <f>IF(ISNUMBER(AL311),IF(ABS(AL293-AL311)&lt;=0.15,0,ROUND(AL293-AL311,1)),"")</f>
        <v>0</v>
      </c>
      <c r="AM310" s="264">
        <f>IF(ISNUMBER(AM311),IF(ABS(AM293-AM311)&lt;=0.15,0,ROUND(AM293-AM311,1)),"")</f>
        <v>0</v>
      </c>
      <c r="AN310" s="264">
        <f>IF(ISNUMBER(AN311),IF(ABS(AN293-AN311)&lt;=0.15,0,ROUND(AN293-AN311,1)),"")</f>
        <v>0</v>
      </c>
      <c r="AO310" s="264">
        <f>IF(ISNUMBER(AO311),IF(ABS(AO293-AO311)&lt;=0.15,0,ROUND(AO293-AO311,1)),"")</f>
        <v>0</v>
      </c>
      <c r="AP310" s="264">
        <f>IF(ISNUMBER(AP311),IF(ABS(AP293-AP311)&lt;=0.15,0,ROUND(AP293-AP311,1)),"")</f>
        <v>0</v>
      </c>
      <c r="AQ310" s="264">
        <f>IF(ISNUMBER(AQ311),IF(ABS(AQ293-AQ311)&lt;=0.15,0,ROUND(AQ293-AQ311,1)),"")</f>
        <v>0</v>
      </c>
      <c r="AR310" s="264">
        <f>IF(ISNUMBER(AR311),IF(ABS(AR293-AR311)&lt;=0.15,0,ROUND(AR293-AR311,1)),"")</f>
        <v>0</v>
      </c>
      <c r="AS310" s="264">
        <f>IF(ISNUMBER(AS311),IF(ABS(AS293-AS311)&lt;=0.15,0,ROUND(AS293-AS311,1)),"")</f>
        <v>0</v>
      </c>
      <c r="AT310" s="264">
        <f>IF(ISNUMBER(AT311),IF(ABS(AT293-AT311)&lt;=0.15,0,ROUND(AT293-AT311,1)),"")</f>
        <v>0</v>
      </c>
      <c r="AU310" s="264">
        <f>IF(ISNUMBER(AU311),IF(ABS(AU293-AU311)&lt;=0.15,0,ROUND(AU293-AU311,1)),"")</f>
        <v>0</v>
      </c>
      <c r="AV310" s="264">
        <f>IF(ISNUMBER(AV311),IF(ABS(AV293-AV311)&lt;=0.15,0,ROUND(AV293-AV311,1)),"")</f>
        <v>0</v>
      </c>
      <c r="AW310" s="264">
        <f>IF(ISNUMBER(AW311),IF(ABS(AW293-AW311)&lt;=0.15,0,ROUND(AW293-AW311,1)),"")</f>
        <v>0</v>
      </c>
      <c r="AX310" s="264">
        <f>IF(ISNUMBER(AX311),IF(ABS(AX293-AX311)&lt;=0.15,0,ROUND(AX293-AX311,1)),"")</f>
        <v>0</v>
      </c>
      <c r="AY310" s="264">
        <f>IF(ISNUMBER(AY311),IF(ABS(AY293-AY311)&lt;=0.15,0,ROUND(AY293-AY311,1)),"")</f>
        <v>0</v>
      </c>
      <c r="AZ310" s="264">
        <f>IF(ISNUMBER(AZ311),IF(ABS(AZ293-AZ311)&lt;=0.15,0,ROUND(AZ293-AZ311,1)),"")</f>
        <v>0</v>
      </c>
      <c r="BA310" s="264">
        <f>IF(ISNUMBER(BA311),IF(ABS(BA293-BA311)&lt;=0.15,0,ROUND(BA293-BA311,1)),"")</f>
        <v>0</v>
      </c>
      <c r="BB310" s="264">
        <f>IF(ISNUMBER(BB311),IF(ABS(BB293-BB311)&lt;=0.15,0,ROUND(BB293-BB311,1)),"")</f>
        <v>0</v>
      </c>
      <c r="BC310" s="264">
        <f>IF(ISNUMBER(BC311),IF(ABS(BC293-BC311)&lt;=0.15,0,ROUND(BC293-BC311,1)),"")</f>
        <v>0</v>
      </c>
      <c r="BD310" s="264">
        <f>IF(ISNUMBER(BD311),IF(ABS(BD293-BD311)&lt;=0.15,0,ROUND(BD293-BD311,1)),"")</f>
        <v>0</v>
      </c>
      <c r="BE310" s="264">
        <f>IF(ISNUMBER(BE311),IF(ABS(BE293-BE311)&lt;=0.15,0,ROUND(BE293-BE311,1)),"")</f>
        <v>0</v>
      </c>
      <c r="BF310" s="264">
        <f>IF(ISNUMBER(BF311),IF(ABS(BF293-BF311)&lt;=0.15,0,ROUND(BF293-BF311,1)),"")</f>
        <v>0</v>
      </c>
      <c r="BG310" s="264">
        <f>IF(ISNUMBER(BG311),IF(ABS(BG293-BG311)&lt;=0.15,0,ROUND(BG293-BG311,1)),"")</f>
        <v>0</v>
      </c>
      <c r="BH310" s="264">
        <f>IF(ISNUMBER(BH311),IF(ABS(BH293-BH311)&lt;=0.15,0,ROUND(BH293-BH311,1)),"")</f>
        <v>0</v>
      </c>
      <c r="BI310" s="264">
        <f>IF(ISNUMBER(BI311),IF(ABS(BI293-BI311)&lt;=0.15,0,ROUND(BI293-BI311,1)),"")</f>
        <v>0</v>
      </c>
      <c r="BJ310" s="264">
        <f>IF(ISNUMBER(BJ311),IF(ABS(BJ293-BJ311)&lt;=0.15,0,ROUND(BJ293-BJ311,1)),"")</f>
        <v>0</v>
      </c>
      <c r="BK310" s="264">
        <f>IF(ISNUMBER(BK311),IF(ABS(BK293-BK311)&lt;=0.15,0,ROUND(BK293-BK311,1)),"")</f>
        <v>0</v>
      </c>
      <c r="BL310" s="264">
        <f>IF(ISNUMBER(BL311),IF(ABS(BL293-BL311)&lt;=0.15,0,ROUND(BL293-BL311,1)),"")</f>
        <v>0</v>
      </c>
      <c r="BM310" s="264">
        <f>IF(ISNUMBER(BM311),IF(ABS(BM293-BM311)&lt;=0.15,0,ROUND(BM293-BM311,1)),"")</f>
        <v>0</v>
      </c>
      <c r="BN310" s="264">
        <f>IF(ISNUMBER(BN311),IF(ABS(BN293-BN311)&lt;=0.15,0,ROUND(BN293-BN311,1)),"")</f>
        <v>0</v>
      </c>
      <c r="BO310" s="264">
        <f>IF(ISNUMBER(BO311),IF(ABS(BO293-BO311)&lt;=0.15,0,ROUND(BO293-BO311,1)),"")</f>
        <v>0</v>
      </c>
      <c r="BP310" s="264">
        <f>IF(ISNUMBER(BP311),IF(ABS(BP293-BP311)&lt;=0.15,0,ROUND(BP293-BP311,1)),"")</f>
        <v>0</v>
      </c>
      <c r="BQ310" s="264">
        <f>IF(ISNUMBER(BQ311),IF(ABS(BQ293-BQ311)&lt;=0.15,0,ROUND(BQ293-BQ311,1)),"")</f>
        <v>0</v>
      </c>
      <c r="BR310" s="264">
        <f>IF(ISNUMBER(BR311),IF(ABS(BR293-BR311)&lt;=0.15,0,ROUND(BR293-BR311,1)),"")</f>
        <v>0</v>
      </c>
      <c r="BS310" s="264">
        <f>IF(ISNUMBER(BS311),IF(ABS(BS293-BS311)&lt;=0.15,0,ROUND(BS293-BS311,1)),"")</f>
        <v>0</v>
      </c>
      <c r="BT310" s="264">
        <f>IF(ISNUMBER(BT311),IF(ABS(BT293-BT311)&lt;=0.15,0,ROUND(BT293-BT311,1)),"")</f>
        <v>0</v>
      </c>
      <c r="BU310" s="264">
        <f>IF(ISNUMBER(BU311),IF(ABS(BU293-BU311)&lt;=0.15,0,ROUND(BU293-BU311,1)),"")</f>
        <v>0</v>
      </c>
      <c r="BV310" s="264">
        <f>IF(ISNUMBER(BV311),IF(ABS(BV293-BV311)&lt;=0.15,0,ROUND(BV293-BV311,1)),"")</f>
        <v>0</v>
      </c>
      <c r="BW310" s="264">
        <f>IF(ISNUMBER(BW311),IF(ABS(BW293-BW311)&lt;=0.15,0,ROUND(BW293-BW311,1)),"")</f>
        <v>0</v>
      </c>
      <c r="BX310" s="264">
        <f>IF(ISNUMBER(BX311),IF(ABS(BX293-BX311)&lt;=0.15,0,ROUND(BX293-BX311,1)),"")</f>
        <v>0</v>
      </c>
      <c r="BY310" s="153" t="n"/>
      <c r="BZ310" s="153" t="n"/>
      <c r="CA310" s="153" t="n"/>
      <c r="CB310" s="153" t="n"/>
      <c r="CC310" s="153" t="n"/>
      <c r="CD310" s="153" t="n"/>
      <c r="CE310" s="153" t="n"/>
      <c r="CF310" s="153" t="n"/>
      <c r="CG310" s="153" t="n"/>
    </row>
    <row r="311" ht="15" customHeight="1" s="251">
      <c r="B311" s="156" t="inlineStr">
        <is>
          <t xml:space="preserve">  Memo: total assets as reported</t>
        </is>
      </c>
      <c r="C311" s="253" t="n">
        <v>608.779</v>
      </c>
      <c r="D311" s="253" t="n">
        <v>647.02</v>
      </c>
      <c r="E311" s="253" t="n">
        <v>617.946</v>
      </c>
      <c r="F311" s="253" t="n">
        <v>679.734</v>
      </c>
      <c r="G311" s="253" t="n">
        <v>982.067</v>
      </c>
      <c r="H311" s="253" t="n">
        <v>3069.196</v>
      </c>
      <c r="I311" s="253" t="n">
        <v>3967.89</v>
      </c>
      <c r="J311" s="253" t="n">
        <v>4363.289</v>
      </c>
      <c r="K311" s="253" t="n">
        <v>4480.751</v>
      </c>
      <c r="L311" s="253" t="n">
        <v>4901.325</v>
      </c>
      <c r="M311" s="253" t="n">
        <v>5412.563</v>
      </c>
      <c r="N311" s="253" t="n">
        <v>5412.563</v>
      </c>
      <c r="O311" s="253" t="n">
        <v>6048.106</v>
      </c>
      <c r="P311" s="253" t="n">
        <v>6325.822</v>
      </c>
      <c r="Q311" s="253" t="n">
        <v>6778.329</v>
      </c>
      <c r="R311" s="253" t="n">
        <v>7056.651</v>
      </c>
      <c r="S311" s="253" t="n">
        <v>7056.651</v>
      </c>
      <c r="T311" s="253" t="n">
        <v>9240.626</v>
      </c>
      <c r="U311" s="253" t="n">
        <v>9654.861000000001</v>
      </c>
      <c r="V311" s="253" t="n">
        <v>9916.267</v>
      </c>
      <c r="W311" s="253" t="n">
        <v>10202.871</v>
      </c>
      <c r="X311" s="253" t="n">
        <v>10202.871</v>
      </c>
      <c r="Y311" s="253" t="n">
        <v>11262.274</v>
      </c>
      <c r="Z311" s="253" t="n">
        <v>11593.507</v>
      </c>
      <c r="AA311" s="253" t="n">
        <v>12347.338</v>
      </c>
      <c r="AB311" s="253" t="n">
        <v>13586.61</v>
      </c>
      <c r="AC311" s="253" t="n">
        <v>13586.61</v>
      </c>
      <c r="AD311" s="253" t="n">
        <v>14359.096</v>
      </c>
      <c r="AE311" s="253" t="n">
        <v>16517.223</v>
      </c>
      <c r="AF311" s="253" t="n">
        <v>16951.54</v>
      </c>
      <c r="AG311" s="253" t="n">
        <v>19012.742</v>
      </c>
      <c r="AH311" s="253" t="n">
        <v>19012.742</v>
      </c>
      <c r="AI311" s="253" t="n">
        <v>20152.797</v>
      </c>
      <c r="AJ311" s="253" t="n">
        <v>22663.537</v>
      </c>
      <c r="AK311" s="253" t="n">
        <v>23366.229</v>
      </c>
      <c r="AL311" s="253" t="n">
        <v>25974.4</v>
      </c>
      <c r="AM311" s="253" t="n">
        <v>25974.4</v>
      </c>
      <c r="AN311" s="253" t="n">
        <v>27218.632</v>
      </c>
      <c r="AO311" s="253" t="n">
        <v>30171.339</v>
      </c>
      <c r="AP311" s="253" t="n">
        <v>30941.711</v>
      </c>
      <c r="AQ311" s="253" t="n">
        <v>33975.712</v>
      </c>
      <c r="AR311" s="253" t="n">
        <v>33975.712</v>
      </c>
      <c r="AS311" s="253" t="n">
        <v>35059.91</v>
      </c>
      <c r="AT311" s="253" t="n">
        <v>37175.281</v>
      </c>
      <c r="AU311" s="253" t="n">
        <v>38622.543</v>
      </c>
      <c r="AV311" s="253" t="n">
        <v>39280.359</v>
      </c>
      <c r="AW311" s="253" t="n">
        <v>39280.359</v>
      </c>
      <c r="AX311" s="253" t="n">
        <v>40123.014</v>
      </c>
      <c r="AY311" s="253" t="n">
        <v>40970.969</v>
      </c>
      <c r="AZ311" s="253" t="n">
        <v>42739.857</v>
      </c>
      <c r="BA311" s="253" t="n">
        <v>44584.663</v>
      </c>
      <c r="BB311" s="253" t="n">
        <v>44584.663</v>
      </c>
      <c r="BC311" s="253" t="n">
        <v>45330.904</v>
      </c>
      <c r="BD311" s="253" t="n">
        <v>46350.935</v>
      </c>
      <c r="BE311" s="253" t="n">
        <v>47562.187</v>
      </c>
      <c r="BF311" s="253" t="n">
        <v>48594.768</v>
      </c>
      <c r="BG311" s="253" t="n">
        <v>48594.768</v>
      </c>
      <c r="BH311" s="253" t="n">
        <v>49490.345</v>
      </c>
      <c r="BI311" s="253" t="n">
        <v>50817.473</v>
      </c>
      <c r="BJ311" s="253" t="n">
        <v>49501.786</v>
      </c>
      <c r="BK311" s="253" t="n">
        <v>48731.992</v>
      </c>
      <c r="BL311" s="253" t="n">
        <v>48731.992</v>
      </c>
      <c r="BM311" s="253" t="n">
        <v>48827.721</v>
      </c>
      <c r="BN311" s="253" t="n">
        <v>49098.895</v>
      </c>
      <c r="BO311" s="253" t="n">
        <v>52281.844</v>
      </c>
      <c r="BP311" s="253" t="n">
        <v>53630.374</v>
      </c>
      <c r="BQ311" s="253" t="n">
        <v>53630.374</v>
      </c>
      <c r="BR311" s="253" t="n">
        <v>52087.644</v>
      </c>
      <c r="BS311" s="253" t="n">
        <v>53099.664</v>
      </c>
      <c r="BT311" s="253" t="n">
        <v>54934.835</v>
      </c>
      <c r="BU311" s="253" t="n">
        <v>55596.993</v>
      </c>
      <c r="BV311" s="253" t="n">
        <v>55596.993</v>
      </c>
      <c r="BW311" s="253" t="n">
        <v>61015.914</v>
      </c>
      <c r="BX311" s="253" t="n">
        <v>58450.441</v>
      </c>
      <c r="BY311" s="153" t="n"/>
      <c r="BZ311" s="153" t="n"/>
      <c r="CA311" s="153" t="n"/>
      <c r="CB311" s="153" t="n"/>
      <c r="CC311" s="153" t="n"/>
      <c r="CD311" s="153" t="n"/>
      <c r="CE311" s="153" t="n"/>
      <c r="CF311" s="153" t="n"/>
      <c r="CG311" s="153" t="n"/>
    </row>
    <row r="312" ht="15" customHeight="1" s="251">
      <c r="B312" s="57" t="inlineStr">
        <is>
          <t xml:space="preserve">  Check: BS cash + restricted cash vs cash-flow ending cash (should be 0)</t>
        </is>
      </c>
      <c r="C312" s="264">
        <f>IF(AND(ISNUMBER(C285),ISNUMBER(C252)),IF(ABS(C285+N(C256)-C252)&lt;=0.15,0,ROUND(C285+N(C256)-C252,1)),"")</f>
        <v>0</v>
      </c>
      <c r="D312" s="264">
        <f>IF(AND(ISNUMBER(D285),ISNUMBER(D252)),IF(ABS(D285+N(D256)-D252)&lt;=0.15,0,ROUND(D285+N(D256)-D252,1)),"")</f>
        <v>0</v>
      </c>
      <c r="E312" s="264">
        <f>IF(AND(ISNUMBER(E285),ISNUMBER(E252)),IF(ABS(E285+N(E256)-E252)&lt;=0.15,0,ROUND(E285+N(E256)-E252,1)),"")</f>
        <v>0</v>
      </c>
      <c r="F312" s="264">
        <f>IF(AND(ISNUMBER(F285),ISNUMBER(F252)),IF(ABS(F285+N(F256)-F252)&lt;=0.15,0,ROUND(F285+N(F256)-F252,1)),"")</f>
        <v>0</v>
      </c>
      <c r="G312" s="264">
        <f>IF(AND(ISNUMBER(G285),ISNUMBER(G252)),IF(ABS(G285+N(G256)-G252)&lt;=0.15,0,ROUND(G285+N(G256)-G252,1)),"")</f>
        <v>0</v>
      </c>
      <c r="H312" s="264">
        <f>IF(AND(ISNUMBER(H285),ISNUMBER(H252)),IF(ABS(H285+N(H256)-H252)&lt;=0.15,0,ROUND(H285+N(H256)-H252,1)),"")</f>
        <v>0</v>
      </c>
      <c r="I312" s="264">
        <f>IF(AND(ISNUMBER(I285),ISNUMBER(I252)),IF(ABS(I285+N(I256)-I252)&lt;=0.15,0,ROUND(I285+N(I256)-I252,1)),"")</f>
        <v>0</v>
      </c>
      <c r="J312" s="264">
        <f>IF(AND(ISNUMBER(J285),ISNUMBER(J252)),IF(ABS(J285+N(J256)-J252)&lt;=0.15,0,ROUND(J285+N(J256)-J252,1)),"")</f>
        <v>0</v>
      </c>
      <c r="K312" s="264">
        <f>IF(AND(ISNUMBER(K285),ISNUMBER(K252)),IF(ABS(K285+N(K256)-K252)&lt;=0.15,0,ROUND(K285+N(K256)-K252,1)),"")</f>
        <v>0</v>
      </c>
      <c r="L312" s="264">
        <f>IF(AND(ISNUMBER(L285),ISNUMBER(L252)),IF(ABS(L285+N(L256)-L252)&lt;=0.15,0,ROUND(L285+N(L256)-L252,1)),"")</f>
        <v>0</v>
      </c>
      <c r="M312" s="264">
        <f>IF(AND(ISNUMBER(M285),ISNUMBER(M252)),IF(ABS(M285+N(M256)-M252)&lt;=0.15,0,ROUND(M285+N(M256)-M252,1)),"")</f>
        <v>0</v>
      </c>
      <c r="N312" s="264">
        <f>IF(AND(ISNUMBER(N285),ISNUMBER(N252)),IF(ABS(N285+N(N256)-N252)&lt;=0.15,0,ROUND(N285+N(N256)-N252,1)),"")</f>
        <v>0</v>
      </c>
      <c r="O312" s="264">
        <f>IF(AND(ISNUMBER(O285),ISNUMBER(O252)),IF(ABS(O285+N(O256)-O252)&lt;=0.15,0,ROUND(O285+N(O256)-O252,1)),"")</f>
        <v>0</v>
      </c>
      <c r="P312" s="264">
        <f>IF(AND(ISNUMBER(P285),ISNUMBER(P252)),IF(ABS(P285+N(P256)-P252)&lt;=0.15,0,ROUND(P285+N(P256)-P252,1)),"")</f>
        <v>0</v>
      </c>
      <c r="Q312" s="264">
        <f>IF(AND(ISNUMBER(Q285),ISNUMBER(Q252)),IF(ABS(Q285+N(Q256)-Q252)&lt;=0.15,0,ROUND(Q285+N(Q256)-Q252,1)),"")</f>
        <v>0</v>
      </c>
      <c r="R312" s="264">
        <f>IF(AND(ISNUMBER(R285),ISNUMBER(R252)),IF(ABS(R285+N(R256)-R252)&lt;=0.15,0,ROUND(R285+N(R256)-R252,1)),"")</f>
        <v>0</v>
      </c>
      <c r="S312" s="264">
        <f>IF(AND(ISNUMBER(S285),ISNUMBER(S252)),IF(ABS(S285+N(S256)-S252)&lt;=0.15,0,ROUND(S285+N(S256)-S252,1)),"")</f>
        <v>0</v>
      </c>
      <c r="T312" s="264">
        <f>IF(AND(ISNUMBER(T285),ISNUMBER(T252)),IF(ABS(T285+N(T256)-T252)&lt;=0.15,0,ROUND(T285+N(T256)-T252,1)),"")</f>
        <v>0</v>
      </c>
      <c r="U312" s="264">
        <f>IF(AND(ISNUMBER(U285),ISNUMBER(U252)),IF(ABS(U285+N(U256)-U252)&lt;=0.15,0,ROUND(U285+N(U256)-U252,1)),"")</f>
        <v>0</v>
      </c>
      <c r="V312" s="264">
        <f>IF(AND(ISNUMBER(V285),ISNUMBER(V252)),IF(ABS(V285+N(V256)-V252)&lt;=0.15,0,ROUND(V285+N(V256)-V252,1)),"")</f>
        <v>0</v>
      </c>
      <c r="W312" s="264">
        <f>IF(AND(ISNUMBER(W285),ISNUMBER(W252)),IF(ABS(W285+N(W256)-W252)&lt;=0.15,0,ROUND(W285+N(W256)-W252,1)),"")</f>
        <v>0</v>
      </c>
      <c r="X312" s="264">
        <f>IF(AND(ISNUMBER(X285),ISNUMBER(X252)),IF(ABS(X285+N(X256)-X252)&lt;=0.15,0,ROUND(X285+N(X256)-X252,1)),"")</f>
        <v>0</v>
      </c>
      <c r="Y312" s="264">
        <f>IF(AND(ISNUMBER(Y285),ISNUMBER(Y252)),IF(ABS(Y285+N(Y256)-Y252)&lt;=0.15,0,ROUND(Y285+N(Y256)-Y252,1)),"")</f>
        <v>0</v>
      </c>
      <c r="Z312" s="264">
        <f>IF(AND(ISNUMBER(Z285),ISNUMBER(Z252)),IF(ABS(Z285+N(Z256)-Z252)&lt;=0.15,0,ROUND(Z285+N(Z256)-Z252,1)),"")</f>
        <v>0</v>
      </c>
      <c r="AA312" s="264">
        <f>IF(AND(ISNUMBER(AA285),ISNUMBER(AA252)),IF(ABS(AA285+N(AA256)-AA252)&lt;=0.15,0,ROUND(AA285+N(AA256)-AA252,1)),"")</f>
        <v>0</v>
      </c>
      <c r="AB312" s="264">
        <f>IF(AND(ISNUMBER(AB285),ISNUMBER(AB252)),IF(ABS(AB285+N(AB256)-AB252)&lt;=0.15,0,ROUND(AB285+N(AB256)-AB252,1)),"")</f>
        <v>0</v>
      </c>
      <c r="AC312" s="264">
        <f>IF(AND(ISNUMBER(AC285),ISNUMBER(AC252)),IF(ABS(AC285+N(AC256)-AC252)&lt;=0.15,0,ROUND(AC285+N(AC256)-AC252,1)),"")</f>
        <v>0</v>
      </c>
      <c r="AD312" s="264">
        <f>IF(AND(ISNUMBER(AD285),ISNUMBER(AD252)),IF(ABS(AD285+N(AD256)-AD252)&lt;=0.15,0,ROUND(AD285+N(AD256)-AD252,1)),"")</f>
        <v>0</v>
      </c>
      <c r="AE312" s="264">
        <f>IF(AND(ISNUMBER(AE285),ISNUMBER(AE252)),IF(ABS(AE285+N(AE256)-AE252)&lt;=0.15,0,ROUND(AE285+N(AE256)-AE252,1)),"")</f>
        <v>0</v>
      </c>
      <c r="AF312" s="264">
        <f>IF(AND(ISNUMBER(AF285),ISNUMBER(AF252)),IF(ABS(AF285+N(AF256)-AF252)&lt;=0.15,0,ROUND(AF285+N(AF256)-AF252,1)),"")</f>
        <v>0</v>
      </c>
      <c r="AG312" s="264">
        <f>IF(AND(ISNUMBER(AG285),ISNUMBER(AG252)),IF(ABS(AG285+N(AG256)-AG252)&lt;=0.15,0,ROUND(AG285+N(AG256)-AG252,1)),"")</f>
        <v>0</v>
      </c>
      <c r="AH312" s="264">
        <f>IF(AND(ISNUMBER(AH285),ISNUMBER(AH252)),IF(ABS(AH285+N(AH256)-AH252)&lt;=0.15,0,ROUND(AH285+N(AH256)-AH252,1)),"")</f>
        <v>0</v>
      </c>
      <c r="AI312" s="264">
        <f>IF(AND(ISNUMBER(AI285),ISNUMBER(AI252)),IF(ABS(AI285+N(AI256)-AI252)&lt;=0.15,0,ROUND(AI285+N(AI256)-AI252,1)),"")</f>
        <v>0</v>
      </c>
      <c r="AJ312" s="264">
        <f>IF(AND(ISNUMBER(AJ285),ISNUMBER(AJ252)),IF(ABS(AJ285+N(AJ256)-AJ252)&lt;=0.15,0,ROUND(AJ285+N(AJ256)-AJ252,1)),"")</f>
        <v>0</v>
      </c>
      <c r="AK312" s="264">
        <f>IF(AND(ISNUMBER(AK285),ISNUMBER(AK252)),IF(ABS(AK285+N(AK256)-AK252)&lt;=0.15,0,ROUND(AK285+N(AK256)-AK252,1)),"")</f>
        <v>0</v>
      </c>
      <c r="AL312" s="264">
        <f>IF(AND(ISNUMBER(AL285),ISNUMBER(AL252)),IF(ABS(AL285+N(AL256)-AL252)&lt;=0.15,0,ROUND(AL285+N(AL256)-AL252,1)),"")</f>
        <v>0</v>
      </c>
      <c r="AM312" s="264">
        <f>IF(AND(ISNUMBER(AM285),ISNUMBER(AM252)),IF(ABS(AM285+N(AM256)-AM252)&lt;=0.15,0,ROUND(AM285+N(AM256)-AM252,1)),"")</f>
        <v>0</v>
      </c>
      <c r="AN312" s="264">
        <f>IF(AND(ISNUMBER(AN285),ISNUMBER(AN252)),IF(ABS(AN285+N(AN256)-AN252)&lt;=0.15,0,ROUND(AN285+N(AN256)-AN252,1)),"")</f>
        <v>0</v>
      </c>
      <c r="AO312" s="264">
        <f>IF(AND(ISNUMBER(AO285),ISNUMBER(AO252)),IF(ABS(AO285+N(AO256)-AO252)&lt;=0.15,0,ROUND(AO285+N(AO256)-AO252,1)),"")</f>
        <v>0</v>
      </c>
      <c r="AP312" s="264">
        <f>IF(AND(ISNUMBER(AP285),ISNUMBER(AP252)),IF(ABS(AP285+N(AP256)-AP252)&lt;=0.15,0,ROUND(AP285+N(AP256)-AP252,1)),"")</f>
        <v>0</v>
      </c>
      <c r="AQ312" s="264">
        <f>IF(AND(ISNUMBER(AQ285),ISNUMBER(AQ252)),IF(ABS(AQ285+N(AQ256)-AQ252)&lt;=0.15,0,ROUND(AQ285+N(AQ256)-AQ252,1)),"")</f>
        <v>0</v>
      </c>
      <c r="AR312" s="264">
        <f>IF(AND(ISNUMBER(AR285),ISNUMBER(AR252)),IF(ABS(AR285+N(AR256)-AR252)&lt;=0.15,0,ROUND(AR285+N(AR256)-AR252,1)),"")</f>
        <v>0</v>
      </c>
      <c r="AS312" s="264">
        <f>IF(AND(ISNUMBER(AS285),ISNUMBER(AS252)),IF(ABS(AS285+N(AS256)-AS252)&lt;=0.15,0,ROUND(AS285+N(AS256)-AS252,1)),"")</f>
        <v>0</v>
      </c>
      <c r="AT312" s="264">
        <f>IF(AND(ISNUMBER(AT285),ISNUMBER(AT252)),IF(ABS(AT285+N(AT256)-AT252)&lt;=0.15,0,ROUND(AT285+N(AT256)-AT252,1)),"")</f>
        <v>0</v>
      </c>
      <c r="AU312" s="264">
        <f>IF(AND(ISNUMBER(AU285),ISNUMBER(AU252)),IF(ABS(AU285+N(AU256)-AU252)&lt;=0.15,0,ROUND(AU285+N(AU256)-AU252,1)),"")</f>
        <v>0</v>
      </c>
      <c r="AV312" s="264">
        <f>IF(AND(ISNUMBER(AV285),ISNUMBER(AV252)),IF(ABS(AV285+N(AV256)-AV252)&lt;=0.15,0,ROUND(AV285+N(AV256)-AV252,1)),"")</f>
        <v>0</v>
      </c>
      <c r="AW312" s="264">
        <f>IF(AND(ISNUMBER(AW285),ISNUMBER(AW252)),IF(ABS(AW285+N(AW256)-AW252)&lt;=0.15,0,ROUND(AW285+N(AW256)-AW252,1)),"")</f>
        <v>0</v>
      </c>
      <c r="AX312" s="264">
        <f>IF(AND(ISNUMBER(AX285),ISNUMBER(AX252)),IF(ABS(AX285+N(AX256)-AX252)&lt;=0.15,0,ROUND(AX285+N(AX256)-AX252,1)),"")</f>
        <v>0</v>
      </c>
      <c r="AY312" s="264">
        <f>IF(AND(ISNUMBER(AY285),ISNUMBER(AY252)),IF(ABS(AY285+N(AY256)-AY252)&lt;=0.15,0,ROUND(AY285+N(AY256)-AY252,1)),"")</f>
        <v>0</v>
      </c>
      <c r="AZ312" s="264">
        <f>IF(AND(ISNUMBER(AZ285),ISNUMBER(AZ252)),IF(ABS(AZ285+N(AZ256)-AZ252)&lt;=0.15,0,ROUND(AZ285+N(AZ256)-AZ252,1)),"")</f>
        <v>0</v>
      </c>
      <c r="BA312" s="264">
        <f>IF(AND(ISNUMBER(BA285),ISNUMBER(BA252)),IF(ABS(BA285+N(BA256)-BA252)&lt;=0.15,0,ROUND(BA285+N(BA256)-BA252,1)),"")</f>
        <v>0</v>
      </c>
      <c r="BB312" s="264">
        <f>IF(AND(ISNUMBER(BB285),ISNUMBER(BB252)),IF(ABS(BB285+N(BB256)-BB252)&lt;=0.15,0,ROUND(BB285+N(BB256)-BB252,1)),"")</f>
        <v>0</v>
      </c>
      <c r="BC312" s="264">
        <f>IF(AND(ISNUMBER(BC285),ISNUMBER(BC252)),IF(ABS(BC285+N(BC256)-BC252)&lt;=0.15,0,ROUND(BC285+N(BC256)-BC252,1)),"")</f>
        <v>0</v>
      </c>
      <c r="BD312" s="264">
        <f>IF(AND(ISNUMBER(BD285),ISNUMBER(BD252)),IF(ABS(BD285+N(BD256)-BD252)&lt;=0.15,0,ROUND(BD285+N(BD256)-BD252,1)),"")</f>
        <v>0</v>
      </c>
      <c r="BE312" s="264">
        <f>IF(AND(ISNUMBER(BE285),ISNUMBER(BE252)),IF(ABS(BE285+N(BE256)-BE252)&lt;=0.15,0,ROUND(BE285+N(BE256)-BE252,1)),"")</f>
        <v>0</v>
      </c>
      <c r="BF312" s="264">
        <f>IF(AND(ISNUMBER(BF285),ISNUMBER(BF252)),IF(ABS(BF285+N(BF256)-BF252)&lt;=0.15,0,ROUND(BF285+N(BF256)-BF252,1)),"")</f>
        <v>0</v>
      </c>
      <c r="BG312" s="264">
        <f>IF(AND(ISNUMBER(BG285),ISNUMBER(BG252)),IF(ABS(BG285+N(BG256)-BG252)&lt;=0.15,0,ROUND(BG285+N(BG256)-BG252,1)),"")</f>
        <v>0</v>
      </c>
      <c r="BH312" s="264">
        <f>IF(AND(ISNUMBER(BH285),ISNUMBER(BH252)),IF(ABS(BH285+N(BH256)-BH252)&lt;=0.15,0,ROUND(BH285+N(BH256)-BH252,1)),"")</f>
        <v>0</v>
      </c>
      <c r="BI312" s="264">
        <f>IF(AND(ISNUMBER(BI285),ISNUMBER(BI252)),IF(ABS(BI285+N(BI256)-BI252)&lt;=0.15,0,ROUND(BI285+N(BI256)-BI252,1)),"")</f>
        <v>0</v>
      </c>
      <c r="BJ312" s="264">
        <f>IF(AND(ISNUMBER(BJ285),ISNUMBER(BJ252)),IF(ABS(BJ285+N(BJ256)-BJ252)&lt;=0.15,0,ROUND(BJ285+N(BJ256)-BJ252,1)),"")</f>
        <v>0</v>
      </c>
      <c r="BK312" s="264">
        <f>IF(AND(ISNUMBER(BK285),ISNUMBER(BK252)),IF(ABS(BK285+N(BK256)-BK252)&lt;=0.15,0,ROUND(BK285+N(BK256)-BK252,1)),"")</f>
        <v>0</v>
      </c>
      <c r="BL312" s="264">
        <f>IF(AND(ISNUMBER(BL285),ISNUMBER(BL252)),IF(ABS(BL285+N(BL256)-BL252)&lt;=0.15,0,ROUND(BL285+N(BL256)-BL252,1)),"")</f>
        <v>0</v>
      </c>
      <c r="BM312" s="264">
        <f>IF(AND(ISNUMBER(BM285),ISNUMBER(BM252)),IF(ABS(BM285+N(BM256)-BM252)&lt;=0.15,0,ROUND(BM285+N(BM256)-BM252,1)),"")</f>
        <v>0</v>
      </c>
      <c r="BN312" s="264">
        <f>IF(AND(ISNUMBER(BN285),ISNUMBER(BN252)),IF(ABS(BN285+N(BN256)-BN252)&lt;=0.15,0,ROUND(BN285+N(BN256)-BN252,1)),"")</f>
        <v>0</v>
      </c>
      <c r="BO312" s="264">
        <f>IF(AND(ISNUMBER(BO285),ISNUMBER(BO252)),IF(ABS(BO285+N(BO256)-BO252)&lt;=0.15,0,ROUND(BO285+N(BO256)-BO252,1)),"")</f>
        <v>0</v>
      </c>
      <c r="BP312" s="264">
        <f>IF(AND(ISNUMBER(BP285),ISNUMBER(BP252)),IF(ABS(BP285+N(BP256)-BP252)&lt;=0.15,0,ROUND(BP285+N(BP256)-BP252,1)),"")</f>
        <v>0</v>
      </c>
      <c r="BQ312" s="264">
        <f>IF(AND(ISNUMBER(BQ285),ISNUMBER(BQ252)),IF(ABS(BQ285+N(BQ256)-BQ252)&lt;=0.15,0,ROUND(BQ285+N(BQ256)-BQ252,1)),"")</f>
        <v>0</v>
      </c>
      <c r="BR312" s="264">
        <f>IF(AND(ISNUMBER(BR285),ISNUMBER(BR252)),IF(ABS(BR285+N(BR256)-BR252)&lt;=0.15,0,ROUND(BR285+N(BR256)-BR252,1)),"")</f>
        <v>0</v>
      </c>
      <c r="BS312" s="264">
        <f>IF(AND(ISNUMBER(BS285),ISNUMBER(BS252)),IF(ABS(BS285+N(BS256)-BS252)&lt;=0.15,0,ROUND(BS285+N(BS256)-BS252,1)),"")</f>
        <v>0</v>
      </c>
      <c r="BT312" s="264">
        <f>IF(AND(ISNUMBER(BT285),ISNUMBER(BT252)),IF(ABS(BT285+N(BT256)-BT252)&lt;=0.15,0,ROUND(BT285+N(BT256)-BT252,1)),"")</f>
        <v>0</v>
      </c>
      <c r="BU312" s="264">
        <f>IF(AND(ISNUMBER(BU285),ISNUMBER(BU252)),IF(ABS(BU285+N(BU256)-BU252)&lt;=0.15,0,ROUND(BU285+N(BU256)-BU252,1)),"")</f>
        <v>0</v>
      </c>
      <c r="BV312" s="264">
        <f>IF(AND(ISNUMBER(BV285),ISNUMBER(BV252)),IF(ABS(BV285+N(BV256)-BV252)&lt;=0.15,0,ROUND(BV285+N(BV256)-BV252,1)),"")</f>
        <v>0</v>
      </c>
      <c r="BW312" s="264">
        <f>IF(AND(ISNUMBER(BW285),ISNUMBER(BW252)),IF(ABS(BW285+N(BW256)-BW252)&lt;=0.15,0,ROUND(BW285+N(BW256)-BW252,1)),"")</f>
        <v>0</v>
      </c>
      <c r="BX312" s="264">
        <f>IF(AND(ISNUMBER(BX285),ISNUMBER(BX252)),IF(ABS(BX285+N(BX256)-BX252)&lt;=0.15,0,ROUND(BX285+N(BX256)-BX252,1)),"")</f>
        <v>0</v>
      </c>
      <c r="BY312" s="153" t="n"/>
      <c r="BZ312" s="153" t="n"/>
      <c r="CA312" s="272">
        <f>IF(AND(ISNUMBER(CA285),ISNUMBER(CA252)),IF(ABS(CA285+N(CA256)-CA252)&lt;=0.15,0,ROUND(CA285+N(CA256)-CA252,1)),"")</f>
        <v>0</v>
      </c>
      <c r="CB312" s="272">
        <f>IF(AND(ISNUMBER(CB285),ISNUMBER(CB252)),IF(ABS(CB285+N(CB256)-CB252)&lt;=0.15,0,ROUND(CB285+N(CB256)-CB252,1)),"")</f>
        <v>0</v>
      </c>
      <c r="CC312" s="272">
        <f>IF(AND(ISNUMBER(CC285),ISNUMBER(CC252)),IF(ABS(CC285+N(CC256)-CC252)&lt;=0.15,0,ROUND(CC285+N(CC256)-CC252,1)),"")</f>
        <v>0</v>
      </c>
      <c r="CD312" s="272">
        <f>IF(AND(ISNUMBER(CD285),ISNUMBER(CD252)),IF(ABS(CD285+N(CD256)-CD252)&lt;=0.15,0,ROUND(CD285+N(CD256)-CD252,1)),"")</f>
        <v>0</v>
      </c>
      <c r="CE312" s="272">
        <f>IF(AND(ISNUMBER(CE285),ISNUMBER(CE252)),IF(ABS(CE285+N(CE256)-CE252)&lt;=0.15,0,ROUND(CE285+N(CE256)-CE252,1)),"")</f>
        <v>0</v>
      </c>
      <c r="CF312" s="272">
        <f>IF(AND(ISNUMBER(CF285),ISNUMBER(CF252)),IF(ABS(CF285+N(CF256)-CF252)&lt;=0.15,0,ROUND(CF285+N(CF256)-CF252,1)),"")</f>
        <v>0</v>
      </c>
      <c r="CG312" s="153" t="n"/>
    </row>
    <row r="313" ht="15" customHeight="1" s="251">
      <c r="B313" s="156" t="inlineStr">
        <is>
          <t xml:space="preserve">  Memo: shares outstanding at period end (m; XBRL, split-adjusted)</t>
        </is>
      </c>
      <c r="C313" s="34" t="n"/>
      <c r="D313" s="34" t="n"/>
      <c r="E313" s="253" t="n">
        <v>4120.37346</v>
      </c>
      <c r="F313" s="253" t="n">
        <v>3740.80511</v>
      </c>
      <c r="G313" s="253" t="n">
        <v>3694.73643</v>
      </c>
      <c r="H313" s="253" t="n">
        <v>3877.90305</v>
      </c>
      <c r="I313" s="253" t="n">
        <v>3877.90305</v>
      </c>
      <c r="J313" s="253" t="n">
        <v>3930.07902</v>
      </c>
      <c r="K313" s="253" t="n">
        <v>4124.57451</v>
      </c>
      <c r="L313" s="253" t="n">
        <v>4148.04586</v>
      </c>
      <c r="M313" s="253" t="n">
        <v>4172.49007</v>
      </c>
      <c r="N313" s="253" t="n">
        <v>4172.49007</v>
      </c>
      <c r="O313" s="253" t="n">
        <v>4195.82352</v>
      </c>
      <c r="P313" s="253" t="n">
        <v>4206.37105</v>
      </c>
      <c r="Q313" s="253" t="n">
        <v>4217.24653</v>
      </c>
      <c r="R313" s="253" t="n">
        <v>4229.10887</v>
      </c>
      <c r="S313" s="253" t="n">
        <v>4229.10887</v>
      </c>
      <c r="T313" s="253" t="n">
        <v>4243.45047</v>
      </c>
      <c r="U313" s="253" t="n">
        <v>4260.04831</v>
      </c>
      <c r="V313" s="253" t="n">
        <v>4273.88288</v>
      </c>
      <c r="W313" s="253" t="n">
        <v>4279.4044</v>
      </c>
      <c r="X313" s="253" t="n">
        <v>4279.4044</v>
      </c>
      <c r="Y313" s="253" t="n">
        <v>4282.89216</v>
      </c>
      <c r="Z313" s="253" t="n">
        <v>4287.25388</v>
      </c>
      <c r="AA313" s="253" t="n">
        <v>4291.45023</v>
      </c>
      <c r="AB313" s="253" t="n">
        <v>4300.54212</v>
      </c>
      <c r="AC313" s="253" t="n">
        <v>4300.54212</v>
      </c>
      <c r="AD313" s="253" t="n">
        <v>4309.93429</v>
      </c>
      <c r="AE313" s="253" t="n">
        <v>4317.49744</v>
      </c>
      <c r="AF313" s="253" t="n">
        <v>4327.3113</v>
      </c>
      <c r="AG313" s="253" t="n">
        <v>4333.92686</v>
      </c>
      <c r="AH313" s="253" t="n">
        <v>4333.92686</v>
      </c>
      <c r="AI313" s="253" t="n">
        <v>4346.57303</v>
      </c>
      <c r="AJ313" s="253" t="n">
        <v>4354.57505</v>
      </c>
      <c r="AK313" s="253" t="n">
        <v>4360.84995</v>
      </c>
      <c r="AL313" s="253" t="n">
        <v>4365.98597</v>
      </c>
      <c r="AM313" s="253" t="n">
        <v>4365.98597</v>
      </c>
      <c r="AN313" s="253" t="n">
        <v>4371.91891</v>
      </c>
      <c r="AO313" s="253" t="n">
        <v>4378.34882</v>
      </c>
      <c r="AP313" s="253" t="n">
        <v>4382.51289</v>
      </c>
      <c r="AQ313" s="253" t="n">
        <v>4388.06649</v>
      </c>
      <c r="AR313" s="253" t="n">
        <v>4388.06649</v>
      </c>
      <c r="AS313" s="253" t="n">
        <v>4397.80618</v>
      </c>
      <c r="AT313" s="253" t="n">
        <v>4410.15443</v>
      </c>
      <c r="AU313" s="253" t="n">
        <v>4417.95008</v>
      </c>
      <c r="AV313" s="253" t="n">
        <v>4428.95261</v>
      </c>
      <c r="AW313" s="253" t="n">
        <v>4428.95261</v>
      </c>
      <c r="AX313" s="253" t="n">
        <v>4433.83732</v>
      </c>
      <c r="AY313" s="253" t="n">
        <v>4425.95888</v>
      </c>
      <c r="AZ313" s="253" t="n">
        <v>4429.52194</v>
      </c>
      <c r="BA313" s="253" t="n">
        <v>4439.63107</v>
      </c>
      <c r="BB313" s="253" t="n">
        <v>4439.63107</v>
      </c>
      <c r="BC313" s="253" t="n">
        <v>4442.7385</v>
      </c>
      <c r="BD313" s="253" t="n">
        <v>4447.05591</v>
      </c>
      <c r="BE313" s="253" t="n">
        <v>4450.20494</v>
      </c>
      <c r="BF313" s="253" t="n">
        <v>4453.46776</v>
      </c>
      <c r="BG313" s="253" t="n">
        <v>4453.46776</v>
      </c>
      <c r="BH313" s="253" t="n">
        <v>4445.36878</v>
      </c>
      <c r="BI313" s="253" t="n">
        <v>4431.46751</v>
      </c>
      <c r="BJ313" s="253" t="n">
        <v>4376.79669</v>
      </c>
      <c r="BK313" s="253" t="n">
        <v>4327.59584</v>
      </c>
      <c r="BL313" s="253" t="n">
        <v>4327.59584</v>
      </c>
      <c r="BM313" s="253" t="n">
        <v>4309.64991</v>
      </c>
      <c r="BN313" s="253" t="n">
        <v>4291.64615</v>
      </c>
      <c r="BO313" s="253" t="n">
        <v>4274.58114</v>
      </c>
      <c r="BP313" s="253" t="n">
        <v>4277.571</v>
      </c>
      <c r="BQ313" s="253" t="n">
        <v>4277.571</v>
      </c>
      <c r="BR313" s="253" t="n">
        <v>4256.8321</v>
      </c>
      <c r="BS313" s="253" t="n">
        <v>4249.26346</v>
      </c>
      <c r="BT313" s="253" t="n">
        <v>4237.32334</v>
      </c>
      <c r="BU313" s="253" t="n">
        <v>4222.16215</v>
      </c>
      <c r="BV313" s="253" t="n">
        <v>4222.16215</v>
      </c>
      <c r="BW313" s="253" t="n">
        <v>4212.794271</v>
      </c>
      <c r="BX313" s="253" t="n">
        <v>4163.939676</v>
      </c>
      <c r="BY313" s="153" t="n"/>
      <c r="BZ313" s="153" t="n"/>
      <c r="CA313" s="272">
        <f>CA279</f>
        <v>4072.36525219048</v>
      </c>
      <c r="CB313" s="272">
        <f>CB279</f>
        <v>3910.45869278988</v>
      </c>
      <c r="CC313" s="272">
        <f>CC279</f>
        <v>3728.64797790776</v>
      </c>
      <c r="CD313" s="272">
        <f>CD279</f>
        <v>3531.23213358042</v>
      </c>
      <c r="CE313" s="272">
        <f>CE279</f>
        <v>3323.18002401075</v>
      </c>
      <c r="CF313" s="272">
        <f>CF279</f>
        <v>3106.99514745517</v>
      </c>
      <c r="CG313" s="153" t="n"/>
    </row>
    <row r="314" ht="15" customHeight="1" s="251">
      <c r="CO314" s="11" t="n"/>
      <c r="CP314" s="12" t="n"/>
      <c r="CQ314" s="12" t="n"/>
      <c r="CR314" s="12" t="n"/>
      <c r="CS314" s="13" t="n"/>
    </row>
    <row r="315" ht="15" customHeight="1" s="251">
      <c r="B315" s="10" t="inlineStr">
        <is>
          <t>WORKING CAPITAL, CONTENT INVESTMENT &amp; CASH CONVERSION</t>
        </is>
      </c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n"/>
      <c r="BC315" s="10" t="n"/>
      <c r="BD315" s="10" t="n"/>
      <c r="BE315" s="10" t="n"/>
      <c r="BF315" s="10" t="n"/>
      <c r="BG315" s="10" t="n"/>
      <c r="BH315" s="10" t="n"/>
      <c r="BI315" s="10" t="n"/>
      <c r="BJ315" s="10" t="n"/>
      <c r="BK315" s="10" t="n"/>
      <c r="BL315" s="10" t="n"/>
      <c r="BM315" s="10" t="n"/>
      <c r="BN315" s="10" t="n"/>
      <c r="BO315" s="10" t="n"/>
      <c r="BP315" s="10" t="n"/>
      <c r="BQ315" s="10" t="n"/>
      <c r="BR315" s="10" t="n"/>
      <c r="BS315" s="10" t="n"/>
      <c r="BT315" s="10" t="n"/>
      <c r="BU315" s="10" t="n"/>
      <c r="BV315" s="10" t="n"/>
      <c r="BW315" s="10" t="n"/>
      <c r="BX315" s="10" t="n"/>
      <c r="BY315" s="10" t="n"/>
      <c r="BZ315" s="10" t="n"/>
      <c r="CA315" s="10" t="n"/>
      <c r="CB315" s="10" t="n"/>
      <c r="CC315" s="10" t="n"/>
      <c r="CD315" s="10" t="n"/>
      <c r="CE315" s="10" t="n"/>
      <c r="CF315" s="10" t="n"/>
      <c r="CG315" s="10" t="inlineStr">
        <is>
          <t>WORKING CAPITAL — forecast drivers (blue = input; year-end ratios)</t>
        </is>
      </c>
    </row>
    <row r="316" ht="15" customHeight="1" s="251">
      <c r="B316" s="25" t="inlineStr">
        <is>
          <t xml:space="preserve">  Revenue — annualised (quarters × 4)</t>
        </is>
      </c>
      <c r="C316" s="264">
        <f>IF(ISNUMBER(C121),C121*1,"")</f>
        <v>996.66</v>
      </c>
      <c r="D316" s="264">
        <f>IF(ISNUMBER(D121),D121*1,"")</f>
        <v>1205.34</v>
      </c>
      <c r="E316" s="264">
        <f>IF(ISNUMBER(E121),E121*1,"")</f>
        <v>1364.661</v>
      </c>
      <c r="F316" s="264">
        <f>IF(ISNUMBER(F121),F121*1,"")</f>
        <v>1670.269</v>
      </c>
      <c r="G316" s="264">
        <f>IF(ISNUMBER(G121),G121*1,"")</f>
        <v>2162.625</v>
      </c>
      <c r="H316" s="264">
        <f>IF(ISNUMBER(H121),H121*1,"")</f>
        <v>3204.577</v>
      </c>
      <c r="I316" s="264">
        <f>IF(ISNUMBER(I121),I121*1,"")</f>
        <v>3609.282</v>
      </c>
      <c r="J316" s="264">
        <f>IF(ISNUMBER(J121),J121*4,"")</f>
        <v>4095.844</v>
      </c>
      <c r="K316" s="264">
        <f>IF(ISNUMBER(K121),K121*4,"")</f>
        <v>4277.488</v>
      </c>
      <c r="L316" s="264">
        <f>IF(ISNUMBER(L121),L121*4,"")</f>
        <v>4423.996</v>
      </c>
      <c r="M316" s="264">
        <f>IF(ISNUMBER(M121),M121*4,"")</f>
        <v>4700.92</v>
      </c>
      <c r="N316" s="264">
        <f>IF(ISNUMBER(N121),N121*1,"")</f>
        <v>4374.562</v>
      </c>
      <c r="O316" s="264">
        <f>IF(ISNUMBER(O121),O121*4,"")</f>
        <v>5080.356</v>
      </c>
      <c r="P316" s="264">
        <f>IF(ISNUMBER(P121),P121*4,"")</f>
        <v>5361.628</v>
      </c>
      <c r="Q316" s="264">
        <f>IF(ISNUMBER(Q121),Q121*4,"")</f>
        <v>5637.728</v>
      </c>
      <c r="R316" s="264">
        <f>IF(ISNUMBER(R121),R121*4,"")</f>
        <v>5938.912</v>
      </c>
      <c r="S316" s="264">
        <f>IF(ISNUMBER(S121),S121*1,"")</f>
        <v>5504.656</v>
      </c>
      <c r="T316" s="264">
        <f>IF(ISNUMBER(T121),T121*4,"")</f>
        <v>6292.516</v>
      </c>
      <c r="U316" s="264">
        <f>IF(ISNUMBER(U121),U121*4,"")</f>
        <v>6578.776</v>
      </c>
      <c r="V316" s="264">
        <f>IF(ISNUMBER(V121),V121*4,"")</f>
        <v>6953.42</v>
      </c>
      <c r="W316" s="264">
        <f>IF(ISNUMBER(W121),W121*4,"")</f>
        <v>7293.332</v>
      </c>
      <c r="X316" s="264">
        <f>IF(ISNUMBER(X121),X121*1,"")</f>
        <v>6779.511</v>
      </c>
      <c r="Y316" s="264">
        <f>IF(ISNUMBER(Y121),Y121*4,"")</f>
        <v>7830.944</v>
      </c>
      <c r="Z316" s="264">
        <f>IF(ISNUMBER(Z121),Z121*4,"")</f>
        <v>8420.816</v>
      </c>
      <c r="AA316" s="264">
        <f>IF(ISNUMBER(AA121),AA121*4,"")</f>
        <v>9160.752</v>
      </c>
      <c r="AB316" s="264">
        <f>IF(ISNUMBER(AB121),AB121*4,"")</f>
        <v>9910.164</v>
      </c>
      <c r="AC316" s="264">
        <f>IF(ISNUMBER(AC121),AC121*1,"")</f>
        <v>8830.669</v>
      </c>
      <c r="AD316" s="264">
        <f>IF(ISNUMBER(AD121),AD121*4,"")</f>
        <v>10546.54</v>
      </c>
      <c r="AE316" s="264">
        <f>IF(ISNUMBER(AE121),AE121*4,"")</f>
        <v>11141.856</v>
      </c>
      <c r="AF316" s="264">
        <f>IF(ISNUMBER(AF121),AF121*4,"")</f>
        <v>11939.436</v>
      </c>
      <c r="AG316" s="264">
        <f>IF(ISNUMBER(AG121),AG121*4,"")</f>
        <v>13143.02</v>
      </c>
      <c r="AH316" s="264">
        <f>IF(ISNUMBER(AH121),AH121*1,"")</f>
        <v>11692.713</v>
      </c>
      <c r="AI316" s="264">
        <f>IF(ISNUMBER(AI121),AI121*4,"")</f>
        <v>14803.424</v>
      </c>
      <c r="AJ316" s="264">
        <f>IF(ISNUMBER(AJ121),AJ121*4,"")</f>
        <v>15629.08</v>
      </c>
      <c r="AK316" s="264">
        <f>IF(ISNUMBER(AK121),AK121*4,"")</f>
        <v>15997.496</v>
      </c>
      <c r="AL316" s="264">
        <f>IF(ISNUMBER(AL121),AL121*4,"")</f>
        <v>16747.364</v>
      </c>
      <c r="AM316" s="264">
        <f>IF(ISNUMBER(AM121),AM121*1,"")</f>
        <v>15794.341</v>
      </c>
      <c r="AN316" s="264">
        <f>IF(ISNUMBER(AN121),AN121*4,"")</f>
        <v>18083.968</v>
      </c>
      <c r="AO316" s="264">
        <f>IF(ISNUMBER(AO121),AO121*4,"")</f>
        <v>19692.464</v>
      </c>
      <c r="AP316" s="264">
        <f>IF(ISNUMBER(AP121),AP121*4,"")</f>
        <v>20979.62</v>
      </c>
      <c r="AQ316" s="264">
        <f>IF(ISNUMBER(AQ121),AQ121*4,"")</f>
        <v>21869.736</v>
      </c>
      <c r="AR316" s="264">
        <f>IF(ISNUMBER(AR121),AR121*1,"")</f>
        <v>20156.447</v>
      </c>
      <c r="AS316" s="264">
        <f>IF(ISNUMBER(AS121),AS121*4,"")</f>
        <v>23070.764</v>
      </c>
      <c r="AT316" s="264">
        <f>IF(ISNUMBER(AT121),AT121*4,"")</f>
        <v>24593.144</v>
      </c>
      <c r="AU316" s="264">
        <f>IF(ISNUMBER(AU121),AU121*4,"")</f>
        <v>25742.548</v>
      </c>
      <c r="AV316" s="264">
        <f>IF(ISNUMBER(AV121),AV121*4,"")</f>
        <v>26577.768</v>
      </c>
      <c r="AW316" s="264">
        <f>IF(ISNUMBER(AW121),AW121*1,"")</f>
        <v>24996.056</v>
      </c>
      <c r="AX316" s="264">
        <f>IF(ISNUMBER(AX121),AX121*4,"")</f>
        <v>28653.128</v>
      </c>
      <c r="AY316" s="264">
        <f>IF(ISNUMBER(AY121),AY121*4,"")</f>
        <v>29367.108</v>
      </c>
      <c r="AZ316" s="264">
        <f>IF(ISNUMBER(AZ121),AZ121*4,"")</f>
        <v>29933.868</v>
      </c>
      <c r="BA316" s="264">
        <f>IF(ISNUMBER(BA121),BA121*4,"")</f>
        <v>30837.272</v>
      </c>
      <c r="BB316" s="264">
        <f>IF(ISNUMBER(BB121),BB121*1,"")</f>
        <v>29697.844</v>
      </c>
      <c r="BC316" s="264">
        <f>IF(ISNUMBER(BC121),BC121*4,"")</f>
        <v>31471.068</v>
      </c>
      <c r="BD316" s="264">
        <f>IF(ISNUMBER(BD121),BD121*4,"")</f>
        <v>31880.564</v>
      </c>
      <c r="BE316" s="264">
        <f>IF(ISNUMBER(BE121),BE121*4,"")</f>
        <v>31702.356</v>
      </c>
      <c r="BF316" s="264">
        <f>IF(ISNUMBER(BF121),BF121*4,"")</f>
        <v>31408.212</v>
      </c>
      <c r="BG316" s="264">
        <f>IF(ISNUMBER(BG121),BG121*1,"")</f>
        <v>31615.55</v>
      </c>
      <c r="BH316" s="264">
        <f>IF(ISNUMBER(BH121),BH121*4,"")</f>
        <v>32646.012</v>
      </c>
      <c r="BI316" s="264">
        <f>IF(ISNUMBER(BI121),BI121*4,"")</f>
        <v>32749.204</v>
      </c>
      <c r="BJ316" s="264">
        <f>IF(ISNUMBER(BJ121),BJ121*4,"")</f>
        <v>34166.672</v>
      </c>
      <c r="BK316" s="264">
        <f>IF(ISNUMBER(BK121),BK121*4,"")</f>
        <v>35331.3</v>
      </c>
      <c r="BL316" s="264">
        <f>IF(ISNUMBER(BL121),BL121*1,"")</f>
        <v>33723.297</v>
      </c>
      <c r="BM316" s="264">
        <f>IF(ISNUMBER(BM121),BM121*4,"")</f>
        <v>37481.76</v>
      </c>
      <c r="BN316" s="264">
        <f>IF(ISNUMBER(BN121),BN121*4,"")</f>
        <v>38237.24</v>
      </c>
      <c r="BO316" s="264">
        <f>IF(ISNUMBER(BO121),BO121*4,"")</f>
        <v>39298.812</v>
      </c>
      <c r="BP316" s="264">
        <f>IF(ISNUMBER(BP121),BP121*4,"")</f>
        <v>40986.052</v>
      </c>
      <c r="BQ316" s="264">
        <f>IF(ISNUMBER(BQ121),BQ121*1,"")</f>
        <v>39000.966</v>
      </c>
      <c r="BR316" s="264">
        <f>IF(ISNUMBER(BR121),BR121*4,"")</f>
        <v>42171.204</v>
      </c>
      <c r="BS316" s="264">
        <f>IF(ISNUMBER(BS121),BS121*4,"")</f>
        <v>44316.664</v>
      </c>
      <c r="BT316" s="264">
        <f>IF(ISNUMBER(BT121),BT121*4,"")</f>
        <v>46041.228</v>
      </c>
      <c r="BU316" s="264">
        <f>IF(ISNUMBER(BU121),BU121*4,"")</f>
        <v>48203.048</v>
      </c>
      <c r="BV316" s="264">
        <f>IF(ISNUMBER(BV121),BV121*1,"")</f>
        <v>45183.036</v>
      </c>
      <c r="BW316" s="264">
        <f>IF(ISNUMBER(BW121),BW121*4,"")</f>
        <v>48999.028</v>
      </c>
      <c r="BX316" s="264">
        <f>IF(ISNUMBER(BX121),BX121*4,"")</f>
        <v>50239.752</v>
      </c>
      <c r="BY316" s="35" t="n"/>
      <c r="BZ316" s="35" t="n"/>
      <c r="CA316" s="254">
        <f>IF(ISNUMBER(CA121),CA121*1,"")</f>
        <v>51200</v>
      </c>
      <c r="CB316" s="254">
        <f>IF(ISNUMBER(CB121),CB121*1,"")</f>
        <v>56579.3172703494</v>
      </c>
      <c r="CC316" s="254">
        <f>IF(ISNUMBER(CC121),CC121*1,"")</f>
        <v>61968.7121168316</v>
      </c>
      <c r="CD316" s="254">
        <f>IF(ISNUMBER(CD121),CD121*1,"")</f>
        <v>67263.6399676112</v>
      </c>
      <c r="CE316" s="254">
        <f>IF(ISNUMBER(CE121),CE121*1,"")</f>
        <v>72490.1808492587</v>
      </c>
      <c r="CF316" s="254">
        <f>IF(ISNUMBER(CF121),CF121*1,"")</f>
        <v>77556.003975615</v>
      </c>
      <c r="CG316" s="19" t="n"/>
    </row>
    <row r="317" ht="15" customHeight="1" s="251">
      <c r="B317" s="25" t="inlineStr">
        <is>
          <t xml:space="preserve">  Other current assets % of revenue</t>
        </is>
      </c>
      <c r="C317" s="215">
        <f>IFERROR(C288/C316,"")</f>
        <v>0.0280817931892521</v>
      </c>
      <c r="D317" s="215">
        <f>IFERROR(D288/D316,"")</f>
        <v>0.0260424444555063</v>
      </c>
      <c r="E317" s="215">
        <f>IFERROR(E288/E316,"")</f>
        <v>0.0333306220372679</v>
      </c>
      <c r="F317" s="215">
        <f>IFERROR(F288/F316,"")</f>
        <v>0.0319960437510365</v>
      </c>
      <c r="G317" s="215">
        <f>IFERROR(G288/G316,"")</f>
        <v>0.050667129067684</v>
      </c>
      <c r="H317" s="215">
        <f>IFERROR(H288/H316,"")</f>
        <v>0.0353672263141126</v>
      </c>
      <c r="I317" s="215">
        <f>IFERROR(I288/I316,"")</f>
        <v>0.0345085255183718</v>
      </c>
      <c r="J317" s="215">
        <f>IFERROR(J288/J316,"")</f>
        <v>0.0341133597861637</v>
      </c>
      <c r="K317" s="215">
        <f>IFERROR(K288/K316,"")</f>
        <v>0.0295975114366189</v>
      </c>
      <c r="L317" s="215">
        <f>IFERROR(L288/L316,"")</f>
        <v>0.0309170713535907</v>
      </c>
      <c r="M317" s="215">
        <f>IFERROR(M288/M316,"")</f>
        <v>0.0323206946725322</v>
      </c>
      <c r="N317" s="215">
        <f>IFERROR(N288/N316,"")</f>
        <v>0.0347319343056516</v>
      </c>
      <c r="O317" s="215">
        <f>IFERROR(O288/O316,"")</f>
        <v>0.0289607657416134</v>
      </c>
      <c r="P317" s="215">
        <f>IFERROR(P288/P316,"")</f>
        <v>0.0312729641071704</v>
      </c>
      <c r="Q317" s="215">
        <f>IFERROR(Q288/Q316,"")</f>
        <v>0.0265500570442561</v>
      </c>
      <c r="R317" s="215">
        <f>IFERROR(R288/R316,"")</f>
        <v>0.0347321192838015</v>
      </c>
      <c r="S317" s="215">
        <f>IFERROR(S288/S316,"")</f>
        <v>0.0374720963489817</v>
      </c>
      <c r="T317" s="215">
        <f>IFERROR(T288/T316,"")</f>
        <v>0.0335161642815052</v>
      </c>
      <c r="U317" s="215">
        <f>IFERROR(U288/U316,"")</f>
        <v>0.044507671335823</v>
      </c>
      <c r="V317" s="215">
        <f>IFERROR(V288/V316,"")</f>
        <v>0.0380944916314562</v>
      </c>
      <c r="W317" s="215">
        <f>IFERROR(W288/W316,"")</f>
        <v>0.0294963947891033</v>
      </c>
      <c r="X317" s="215">
        <f>IFERROR(X288/X316,"")</f>
        <v>0.0317319346483839</v>
      </c>
      <c r="Y317" s="215">
        <f>IFERROR(Y288/Y316,"")</f>
        <v>0.027164541082148</v>
      </c>
      <c r="Z317" s="215">
        <f>IFERROR(Z288/Z316,"")</f>
        <v>0.0241577538328827</v>
      </c>
      <c r="AA317" s="215">
        <f>IFERROR(AA288/AA316,"")</f>
        <v>0.023823153383041</v>
      </c>
      <c r="AB317" s="215">
        <f>IFERROR(AB288/AB316,"")</f>
        <v>0.0262560740669882</v>
      </c>
      <c r="AC317" s="215">
        <f>IFERROR(AC288/AC316,"")</f>
        <v>0.0294657177162908</v>
      </c>
      <c r="AD317" s="215">
        <f>IFERROR(AD288/AD316,"")</f>
        <v>0.0277328868045824</v>
      </c>
      <c r="AE317" s="215">
        <f>IFERROR(AE288/AE316,"")</f>
        <v>0.0347134265601709</v>
      </c>
      <c r="AF317" s="215">
        <f>IFERROR(AF288/AF316,"")</f>
        <v>0.0347999687757445</v>
      </c>
      <c r="AG317" s="215">
        <f>IFERROR(AG288/AG316,"")</f>
        <v>0.0408007444255582</v>
      </c>
      <c r="AH317" s="215">
        <f>IFERROR(AH288/AH316,"")</f>
        <v>0.0458614694468256</v>
      </c>
      <c r="AI317" s="215">
        <f>IFERROR(AI288/AI316,"")</f>
        <v>0.0403547179355263</v>
      </c>
      <c r="AJ317" s="215">
        <f>IFERROR(AJ288/AJ316,"")</f>
        <v>0.0407489756274842</v>
      </c>
      <c r="AK317" s="215">
        <f>IFERROR(AK288/AK316,"")</f>
        <v>0.0421647862890542</v>
      </c>
      <c r="AL317" s="215">
        <f>IFERROR(AL288/AL316,"")</f>
        <v>0.0446915705659709</v>
      </c>
      <c r="AM317" s="215">
        <f>IFERROR(AM288/AM316,"")</f>
        <v>0.0473882386102719</v>
      </c>
      <c r="AN317" s="215">
        <f>IFERROR(AN288/AN316,"")</f>
        <v>0.0453633848500506</v>
      </c>
      <c r="AO317" s="215">
        <f>IFERROR(AO288/AO316,"")</f>
        <v>0.0443271090910716</v>
      </c>
      <c r="AP317" s="215">
        <f>IFERROR(AP288/AP316,"")</f>
        <v>0.0425527249778595</v>
      </c>
      <c r="AQ317" s="215">
        <f>IFERROR(AQ288/AQ316,"")</f>
        <v>0.0530443988898631</v>
      </c>
      <c r="AR317" s="215">
        <f>IFERROR(AR288/AR316,"")</f>
        <v>0.0575531491239503</v>
      </c>
      <c r="AS317" s="215">
        <f>IFERROR(AS288/AS316,"")</f>
        <v>0.0561705282061747</v>
      </c>
      <c r="AT317" s="215">
        <f>IFERROR(AT288/AT316,"")</f>
        <v>0.0573692814550267</v>
      </c>
      <c r="AU317" s="215">
        <f>IFERROR(AU288/AU316,"")</f>
        <v>0.0557088987461536</v>
      </c>
      <c r="AV317" s="215">
        <f>IFERROR(AV288/AV316,"")</f>
        <v>0.0585463008029869</v>
      </c>
      <c r="AW317" s="215">
        <f>IFERROR(AW288/AW316,"")</f>
        <v>0.062251020721029</v>
      </c>
      <c r="AX317" s="215">
        <f>IFERROR(AX288/AX316,"")</f>
        <v>0.0594630715362037</v>
      </c>
      <c r="AY317" s="215">
        <f>IFERROR(AY288/AY316,"")</f>
        <v>0.0622038097861049</v>
      </c>
      <c r="AZ317" s="215">
        <f>IFERROR(AZ288/AZ316,"")</f>
        <v>0.0631093181809982</v>
      </c>
      <c r="BA317" s="215">
        <f>IFERROR(BA288/BA316,"")</f>
        <v>0.0662192492254179</v>
      </c>
      <c r="BB317" s="215">
        <f>IFERROR(BB288/BB316,"")</f>
        <v>0.0687599072848521</v>
      </c>
      <c r="BC317" s="215">
        <f>IFERROR(BC288/BC316,"")</f>
        <v>0.0663806198124576</v>
      </c>
      <c r="BD317" s="215">
        <f>IFERROR(BD288/BD316,"")</f>
        <v>0.0634031756778205</v>
      </c>
      <c r="BE317" s="215">
        <f>IFERROR(BE288/BE316,"")</f>
        <v>0.0852671643710013</v>
      </c>
      <c r="BF317" s="215">
        <f>IFERROR(BF288/BF316,"")</f>
        <v>0.102139561462461</v>
      </c>
      <c r="BG317" s="215">
        <f>IFERROR(BG288/BG316,"")</f>
        <v>0.101469719805602</v>
      </c>
      <c r="BH317" s="215">
        <f>IFERROR(BH288/BH316,"")</f>
        <v>0.0813305772233374</v>
      </c>
      <c r="BI317" s="215">
        <f>IFERROR(BI288/BI316,"")</f>
        <v>0.0894478839852108</v>
      </c>
      <c r="BJ317" s="215">
        <f>IFERROR(BJ288/BJ316,"")</f>
        <v>0.0852300745006713</v>
      </c>
      <c r="BK317" s="215">
        <f>IFERROR(BK288/BK316,"")</f>
        <v>0.0786907642798312</v>
      </c>
      <c r="BL317" s="215">
        <f>IFERROR(BL288/BL316,"")</f>
        <v>0.0824429177253932</v>
      </c>
      <c r="BM317" s="215">
        <f>IFERROR(BM288/BM316,"")</f>
        <v>0.0767192895957927</v>
      </c>
      <c r="BN317" s="215">
        <f>IFERROR(BN288/BN316,"")</f>
        <v>0.0774020562153545</v>
      </c>
      <c r="BO317" s="215">
        <f>IFERROR(BO288/BO316,"")</f>
        <v>0.0739251863389662</v>
      </c>
      <c r="BP317" s="215">
        <f>IFERROR(BP288/BP316,"")</f>
        <v>0.0858008963634751</v>
      </c>
      <c r="BQ317" s="215">
        <f>IFERROR(BQ288/BQ316,"")</f>
        <v>0.0901680230176863</v>
      </c>
      <c r="BR317" s="215">
        <f>IFERROR(BR288/BR316,"")</f>
        <v>0.0788842073373101</v>
      </c>
      <c r="BS317" s="215">
        <f>IFERROR(BS288/BS316,"")</f>
        <v>0.0812919041018069</v>
      </c>
      <c r="BT317" s="215">
        <f>IFERROR(BT288/BT316,"")</f>
        <v>0.0790279312272036</v>
      </c>
      <c r="BU317" s="215">
        <f>IFERROR(BU288/BU316,"")</f>
        <v>0.0821075049030094</v>
      </c>
      <c r="BV317" s="215">
        <f>IFERROR(BV288/BV316,"")</f>
        <v>0.0875955303224865</v>
      </c>
      <c r="BW317" s="215">
        <f>IFERROR(BW288/BW316,"")</f>
        <v>0.0976046300347019</v>
      </c>
      <c r="BX317" s="215">
        <f>IFERROR(BX288/BX316,"")</f>
        <v>0.0940568536245959</v>
      </c>
      <c r="BY317" s="24" t="n"/>
      <c r="BZ317" s="24" t="n"/>
      <c r="CA317" s="274" t="n">
        <v>0.0876</v>
      </c>
      <c r="CB317" s="274" t="n">
        <v>0.0876</v>
      </c>
      <c r="CC317" s="274" t="n">
        <v>0.0876</v>
      </c>
      <c r="CD317" s="274" t="n">
        <v>0.0876</v>
      </c>
      <c r="CE317" s="274" t="n">
        <v>0.0876</v>
      </c>
      <c r="CF317" s="274" t="n">
        <v>0.0876</v>
      </c>
      <c r="CG317" s="153" t="n"/>
    </row>
    <row r="318" ht="15" customHeight="1" s="251">
      <c r="B318" s="25" t="inlineStr">
        <is>
          <t xml:space="preserve">  Accounts payable % of revenue</t>
        </is>
      </c>
      <c r="C318" s="215">
        <f>IFERROR(C296/C316,"")</f>
        <v>0.0941785563783035</v>
      </c>
      <c r="D318" s="215">
        <f>IFERROR(D296/D316,"")</f>
        <v>0.0866518990492309</v>
      </c>
      <c r="E318" s="215">
        <f>IFERROR(E296/E316,"")</f>
        <v>0.0735303492955393</v>
      </c>
      <c r="F318" s="215">
        <f>IFERROR(F296/F316,"")</f>
        <v>0.0547666274115128</v>
      </c>
      <c r="G318" s="215">
        <f>IFERROR(G296/G316,"")</f>
        <v>0.103034044274897</v>
      </c>
      <c r="H318" s="215">
        <f>IFERROR(H296/H316,"")</f>
        <v>0.0274170350720235</v>
      </c>
      <c r="I318" s="215">
        <f>IFERROR(I296/I316,"")</f>
        <v>0.0239571194492423</v>
      </c>
      <c r="J318" s="215">
        <f>IFERROR(J296/J316,"")</f>
        <v>0.0251039834524948</v>
      </c>
      <c r="K318" s="215">
        <f>IFERROR(K296/K316,"")</f>
        <v>0.0241826511260815</v>
      </c>
      <c r="L318" s="215">
        <f>IFERROR(L296/L316,"")</f>
        <v>0.0228072086864455</v>
      </c>
      <c r="M318" s="215">
        <f>IFERROR(M296/M316,"")</f>
        <v>0.0230667613998962</v>
      </c>
      <c r="N318" s="215">
        <f>IFERROR(N296/N316,"")</f>
        <v>0.0247876244524595</v>
      </c>
      <c r="O318" s="215">
        <f>IFERROR(O296/O316,"")</f>
        <v>0.0263530744695844</v>
      </c>
      <c r="P318" s="215">
        <f>IFERROR(P296/P316,"")</f>
        <v>0.0255940919437156</v>
      </c>
      <c r="Q318" s="215">
        <f>IFERROR(Q296/Q316,"")</f>
        <v>0.026672801525721</v>
      </c>
      <c r="R318" s="215">
        <f>IFERROR(R296/R316,"")</f>
        <v>0.0339424123475815</v>
      </c>
      <c r="S318" s="215">
        <f>IFERROR(S296/S316,"")</f>
        <v>0.0366200903380702</v>
      </c>
      <c r="T318" s="215">
        <f>IFERROR(T296/T316,"")</f>
        <v>0.0302847064671747</v>
      </c>
      <c r="U318" s="215">
        <f>IFERROR(U296/U316,"")</f>
        <v>0.0321836463196193</v>
      </c>
      <c r="V318" s="215">
        <f>IFERROR(V296/V316,"")</f>
        <v>0.0301096438874683</v>
      </c>
      <c r="W318" s="215">
        <f>IFERROR(W296/W316,"")</f>
        <v>0.0347565420030241</v>
      </c>
      <c r="X318" s="215">
        <f>IFERROR(X296/X316,"")</f>
        <v>0.0373907498638176</v>
      </c>
      <c r="Y318" s="215">
        <f>IFERROR(Y296/Y316,"")</f>
        <v>0.0296150757814128</v>
      </c>
      <c r="Z318" s="215">
        <f>IFERROR(Z296/Z316,"")</f>
        <v>0.0285551899008362</v>
      </c>
      <c r="AA318" s="215">
        <f>IFERROR(AA296/AA316,"")</f>
        <v>0.0311931815204691</v>
      </c>
      <c r="AB318" s="215">
        <f>IFERROR(AB296/AB316,"")</f>
        <v>0.0315677924199842</v>
      </c>
      <c r="AC318" s="215">
        <f>IFERROR(AC296/AC316,"")</f>
        <v>0.0354267609849265</v>
      </c>
      <c r="AD318" s="215">
        <f>IFERROR(AD296/AD316,"")</f>
        <v>0.0279552346077481</v>
      </c>
      <c r="AE318" s="215">
        <f>IFERROR(AE296/AE316,"")</f>
        <v>0.0245379225866857</v>
      </c>
      <c r="AF318" s="215">
        <f>IFERROR(AF296/AF316,"")</f>
        <v>0.0252476750158048</v>
      </c>
      <c r="AG318" s="215">
        <f>IFERROR(AG296/AG316,"")</f>
        <v>0.0273571066619392</v>
      </c>
      <c r="AH318" s="215">
        <f>IFERROR(AH296/AH316,"")</f>
        <v>0.0307503485290368</v>
      </c>
      <c r="AI318" s="215">
        <f>IFERROR(AI296/AI316,"")</f>
        <v>0.0294650075550089</v>
      </c>
      <c r="AJ318" s="215">
        <f>IFERROR(AJ296/AJ316,"")</f>
        <v>0.0286785274629089</v>
      </c>
      <c r="AK318" s="215">
        <f>IFERROR(AK296/AK316,"")</f>
        <v>0.0275935058836708</v>
      </c>
      <c r="AL318" s="215">
        <f>IFERROR(AL296/AL316,"")</f>
        <v>0.0336163350841362</v>
      </c>
      <c r="AM318" s="215">
        <f>IFERROR(AM296/AM316,"")</f>
        <v>0.0356447287037807</v>
      </c>
      <c r="AN318" s="215">
        <f>IFERROR(AN296/AN316,"")</f>
        <v>0.024303073307805</v>
      </c>
      <c r="AO318" s="215">
        <f>IFERROR(AO296/AO316,"")</f>
        <v>0.02245498582605</v>
      </c>
      <c r="AP318" s="215">
        <f>IFERROR(AP296/AP316,"")</f>
        <v>0.0211695445389383</v>
      </c>
      <c r="AQ318" s="215">
        <f>IFERROR(AQ296/AQ316,"")</f>
        <v>0.0308347114935452</v>
      </c>
      <c r="AR318" s="215">
        <f>IFERROR(AR296/AR316,"")</f>
        <v>0.0334556482102228</v>
      </c>
      <c r="AS318" s="215">
        <f>IFERROR(AS296/AS316,"")</f>
        <v>0.023644123792346</v>
      </c>
      <c r="AT318" s="215">
        <f>IFERROR(AT296/AT316,"")</f>
        <v>0.0181622975899299</v>
      </c>
      <c r="AU318" s="215">
        <f>IFERROR(AU296/AU316,"")</f>
        <v>0.0210273668325296</v>
      </c>
      <c r="AV318" s="215">
        <f>IFERROR(AV296/AV316,"")</f>
        <v>0.0246891687819685</v>
      </c>
      <c r="AW318" s="215">
        <f>IFERROR(AW296/AW316,"")</f>
        <v>0.0262514614305553</v>
      </c>
      <c r="AX318" s="215">
        <f>IFERROR(AX296/AX316,"")</f>
        <v>0.0185997842888218</v>
      </c>
      <c r="AY318" s="215">
        <f>IFERROR(AY296/AY316,"")</f>
        <v>0.0212118605618231</v>
      </c>
      <c r="AZ318" s="215">
        <f>IFERROR(AZ296/AZ316,"")</f>
        <v>0.021482656367697</v>
      </c>
      <c r="BA318" s="215">
        <f>IFERROR(BA296/BA316,"")</f>
        <v>0.0271581416151208</v>
      </c>
      <c r="BB318" s="215">
        <f>IFERROR(BB296/BB316,"")</f>
        <v>0.0282001279284786</v>
      </c>
      <c r="BC318" s="215">
        <f>IFERROR(BC296/BC316,"")</f>
        <v>0.0196117271901926</v>
      </c>
      <c r="BD318" s="215">
        <f>IFERROR(BD296/BD316,"")</f>
        <v>0.0158177251820263</v>
      </c>
      <c r="BE318" s="215">
        <f>IFERROR(BE296/BE316,"")</f>
        <v>0.0176692230697302</v>
      </c>
      <c r="BF318" s="215">
        <f>IFERROR(BF296/BF316,"")</f>
        <v>0.0213801728032147</v>
      </c>
      <c r="BG318" s="215">
        <f>IFERROR(BG296/BG316,"")</f>
        <v>0.0212399594503338</v>
      </c>
      <c r="BH318" s="215">
        <f>IFERROR(BH296/BH316,"")</f>
        <v>0.0181335165838939</v>
      </c>
      <c r="BI318" s="215">
        <f>IFERROR(BI296/BI316,"")</f>
        <v>0.018790502511145</v>
      </c>
      <c r="BJ318" s="215">
        <f>IFERROR(BJ296/BJ316,"")</f>
        <v>0.0156418219485937</v>
      </c>
      <c r="BK318" s="215">
        <f>IFERROR(BK296/BK316,"")</f>
        <v>0.0211543871864324</v>
      </c>
      <c r="BL318" s="215">
        <f>IFERROR(BL296/BL316,"")</f>
        <v>0.0221630761666038</v>
      </c>
      <c r="BM318" s="215">
        <f>IFERROR(BM296/BM316,"")</f>
        <v>0.0162038282087074</v>
      </c>
      <c r="BN318" s="215">
        <f>IFERROR(BN296/BN316,"")</f>
        <v>0.0156537710357756</v>
      </c>
      <c r="BO318" s="215">
        <f>IFERROR(BO296/BO316,"")</f>
        <v>0.0163351757299941</v>
      </c>
      <c r="BP318" s="215">
        <f>IFERROR(BP296/BP316,"")</f>
        <v>0.0219564694838137</v>
      </c>
      <c r="BQ318" s="215">
        <f>IFERROR(BQ296/BQ316,"")</f>
        <v>0.0230740182179077</v>
      </c>
      <c r="BR318" s="215">
        <f>IFERROR(BR296/BR316,"")</f>
        <v>0.014571293719762</v>
      </c>
      <c r="BS318" s="215">
        <f>IFERROR(BS296/BS316,"")</f>
        <v>0.0142772028147245</v>
      </c>
      <c r="BT318" s="215">
        <f>IFERROR(BT296/BT316,"")</f>
        <v>0.0172287541939585</v>
      </c>
      <c r="BU318" s="215">
        <f>IFERROR(BU296/BU316,"")</f>
        <v>0.0186837147725596</v>
      </c>
      <c r="BV318" s="215">
        <f>IFERROR(BV296/BV316,"")</f>
        <v>0.019932525118498</v>
      </c>
      <c r="BW318" s="215">
        <f>IFERROR(BW296/BW316,"")</f>
        <v>0.0182591581204427</v>
      </c>
      <c r="BX318" s="215">
        <f>IFERROR(BX296/BX316,"")</f>
        <v>0.0162132766897416</v>
      </c>
      <c r="BY318" s="24" t="n"/>
      <c r="BZ318" s="24" t="n"/>
      <c r="CA318" s="274" t="n">
        <v>0.0199</v>
      </c>
      <c r="CB318" s="274" t="n">
        <v>0.0199</v>
      </c>
      <c r="CC318" s="274" t="n">
        <v>0.0199</v>
      </c>
      <c r="CD318" s="274" t="n">
        <v>0.0199</v>
      </c>
      <c r="CE318" s="274" t="n">
        <v>0.0199</v>
      </c>
      <c r="CF318" s="274" t="n">
        <v>0.0199</v>
      </c>
      <c r="CG318" s="153" t="n"/>
    </row>
    <row r="319" ht="15" customHeight="1" s="251">
      <c r="B319" s="25" t="inlineStr">
        <is>
          <t xml:space="preserve">  Accrued expenses &amp; other liabilities % of revenue</t>
        </is>
      </c>
      <c r="C319" s="215">
        <f>IFERROR(C297/C316,"")</f>
        <v>0.0300052174262035</v>
      </c>
      <c r="D319" s="215">
        <f>IFERROR(D297/D316,"")</f>
        <v>0.0302537043489804</v>
      </c>
      <c r="E319" s="215">
        <f>IFERROR(E297/E316,"")</f>
        <v>0.0230049807241505</v>
      </c>
      <c r="F319" s="215">
        <f>IFERROR(F297/F316,"")</f>
        <v>0.0199889957845114</v>
      </c>
      <c r="G319" s="215">
        <f>IFERROR(G297/G316,"")</f>
        <v>0.0168725507196116</v>
      </c>
      <c r="H319" s="215">
        <f>IFERROR(H297/H316,"")</f>
        <v>0.0198756341320555</v>
      </c>
      <c r="I319" s="215">
        <f>IFERROR(I297/I316,"")</f>
        <v>0.0147228728594773</v>
      </c>
      <c r="J319" s="215">
        <f>IFERROR(J297/J316,"")</f>
        <v>0.0126967726309889</v>
      </c>
      <c r="K319" s="215">
        <f>IFERROR(K297/K316,"")</f>
        <v>0.0138013245156971</v>
      </c>
      <c r="L319" s="215">
        <f>IFERROR(L297/L316,"")</f>
        <v>0.0104957147339193</v>
      </c>
      <c r="M319" s="215">
        <f>IFERROR(M297/M316,"")</f>
        <v>0.0114909421985484</v>
      </c>
      <c r="N319" s="215">
        <f>IFERROR(N297/N316,"")</f>
        <v>0.0123482076605612</v>
      </c>
      <c r="O319" s="215">
        <f>IFERROR(O297/O316,"")</f>
        <v>0.0107980621830439</v>
      </c>
      <c r="P319" s="215">
        <f>IFERROR(P297/P316,"")</f>
        <v>0.0183802382410716</v>
      </c>
      <c r="Q319" s="215">
        <f>IFERROR(Q297/Q316,"")</f>
        <v>0.0125155026989596</v>
      </c>
      <c r="R319" s="215">
        <f>IFERROR(R297/R316,"")</f>
        <v>0.0117439019133471</v>
      </c>
      <c r="S319" s="215">
        <f>IFERROR(S297/S316,"")</f>
        <v>0.0126703648693034</v>
      </c>
      <c r="T319" s="215">
        <f>IFERROR(T297/T316,"")</f>
        <v>0.0170556578640404</v>
      </c>
      <c r="U319" s="215">
        <f>IFERROR(U297/U316,"")</f>
        <v>0.0228623075173862</v>
      </c>
      <c r="V319" s="215">
        <f>IFERROR(V297/V316,"")</f>
        <v>0.0257930629819571</v>
      </c>
      <c r="W319" s="215">
        <f>IFERROR(W297/W316,"")</f>
        <v>0.0192489523307043</v>
      </c>
      <c r="X319" s="215">
        <f>IFERROR(X297/X316,"")</f>
        <v>0.0207078357126347</v>
      </c>
      <c r="Y319" s="215">
        <f>IFERROR(Y297/Y316,"")</f>
        <v>0.0231943939325833</v>
      </c>
      <c r="Z319" s="215">
        <f>IFERROR(Z297/Z316,"")</f>
        <v>0.020434242952227</v>
      </c>
      <c r="AA319" s="215">
        <f>IFERROR(AA297/AA316,"")</f>
        <v>0.0219667555676652</v>
      </c>
      <c r="AB319" s="215">
        <f>IFERROR(AB297/AB316,"")</f>
        <v>0.0199423541325855</v>
      </c>
      <c r="AC319" s="215">
        <f>IFERROR(AC297/AC316,"")</f>
        <v>0.02238018433258</v>
      </c>
      <c r="AD319" s="215">
        <f>IFERROR(AD297/AD316,"")</f>
        <v>0.0280905396461778</v>
      </c>
      <c r="AE319" s="215">
        <f>IFERROR(AE297/AE316,"")</f>
        <v>0.0223365837792196</v>
      </c>
      <c r="AF319" s="215">
        <f>IFERROR(AF297/AF316,"")</f>
        <v>0.0277838082133863</v>
      </c>
      <c r="AG319" s="215">
        <f>IFERROR(AG297/AG316,"")</f>
        <v>0.0239742464060771</v>
      </c>
      <c r="AH319" s="215">
        <f>IFERROR(AH297/AH316,"")</f>
        <v>0.0269478948127778</v>
      </c>
      <c r="AI319" s="215">
        <f>IFERROR(AI297/AI316,"")</f>
        <v>0.0290088968606182</v>
      </c>
      <c r="AJ319" s="215">
        <f>IFERROR(AJ297/AJ316,"")</f>
        <v>0.0251195207907311</v>
      </c>
      <c r="AK319" s="215">
        <f>IFERROR(AK297/AK316,"")</f>
        <v>0.0329475937984295</v>
      </c>
      <c r="AL319" s="215">
        <f>IFERROR(AL297/AL316,"")</f>
        <v>0.028506993697635</v>
      </c>
      <c r="AM319" s="215">
        <f>IFERROR(AM297/AM316,"")</f>
        <v>0.0302270920958336</v>
      </c>
      <c r="AN319" s="215">
        <f>IFERROR(AN297/AN316,"")</f>
        <v>0.0412668281651461</v>
      </c>
      <c r="AO319" s="215">
        <f>IFERROR(AO297/AO316,"")</f>
        <v>0.0381268692429754</v>
      </c>
      <c r="AP319" s="215">
        <f>IFERROR(AP297/AP316,"")</f>
        <v>0.0494633839888425</v>
      </c>
      <c r="AQ319" s="215">
        <f>IFERROR(AQ297/AQ316,"")</f>
        <v>0.03854838485476</v>
      </c>
      <c r="AR319" s="215">
        <f>IFERROR(AR297/AR316,"")</f>
        <v>0.0418249803648431</v>
      </c>
      <c r="AS319" s="215">
        <f>IFERROR(AS297/AS316,"")</f>
        <v>0.0459928418495374</v>
      </c>
      <c r="AT319" s="215">
        <f>IFERROR(AT297/AT316,"")</f>
        <v>0.0401166682877147</v>
      </c>
      <c r="AU319" s="215">
        <f>IFERROR(AU297/AU316,"")</f>
        <v>0.0489121745058026</v>
      </c>
      <c r="AV319" s="215">
        <f>IFERROR(AV297/AV316,"")</f>
        <v>0.0414706005410236</v>
      </c>
      <c r="AW319" s="215">
        <f>IFERROR(AW297/AW316,"")</f>
        <v>0.0440947963950793</v>
      </c>
      <c r="AX319" s="215">
        <f>IFERROR(AX297/AX316,"")</f>
        <v>0.0450845017688819</v>
      </c>
      <c r="AY319" s="215">
        <f>IFERROR(AY297/AY316,"")</f>
        <v>0.0383282889142506</v>
      </c>
      <c r="AZ319" s="215">
        <f>IFERROR(AZ297/AZ316,"")</f>
        <v>0.0472080654594989</v>
      </c>
      <c r="BA319" s="215">
        <f>IFERROR(BA297/BA316,"")</f>
        <v>0.0469999745762206</v>
      </c>
      <c r="BB319" s="215">
        <f>IFERROR(BB297/BB316,"")</f>
        <v>0.0488032397233954</v>
      </c>
      <c r="BC319" s="215">
        <f>IFERROR(BC297/BC316,"")</f>
        <v>0.0577392861278175</v>
      </c>
      <c r="BD319" s="215">
        <f>IFERROR(BD297/BD316,"")</f>
        <v>0.0500629474434643</v>
      </c>
      <c r="BE319" s="215">
        <f>IFERROR(BE297/BE316,"")</f>
        <v>0.0568902513112906</v>
      </c>
      <c r="BF319" s="215">
        <f>IFERROR(BF297/BF316,"")</f>
        <v>0.0482246490185433</v>
      </c>
      <c r="BG319" s="215">
        <f>IFERROR(BG297/BG316,"")</f>
        <v>0.0479083868539374</v>
      </c>
      <c r="BH319" s="215">
        <f>IFERROR(BH297/BH316,"")</f>
        <v>0.0526272244217762</v>
      </c>
      <c r="BI319" s="215">
        <f>IFERROR(BI297/BI316,"")</f>
        <v>0.0582827600939553</v>
      </c>
      <c r="BJ319" s="215">
        <f>IFERROR(BJ297/BJ316,"")</f>
        <v>0.0538216891595412</v>
      </c>
      <c r="BK319" s="215">
        <f>IFERROR(BK297/BK316,"")</f>
        <v>0.0510584099651018</v>
      </c>
      <c r="BL319" s="215">
        <f>IFERROR(BL297/BL316,"")</f>
        <v>0.0534929903206083</v>
      </c>
      <c r="BM319" s="215">
        <f>IFERROR(BM297/BM316,"")</f>
        <v>0.052757074374309</v>
      </c>
      <c r="BN319" s="215">
        <f>IFERROR(BN297/BN316,"")</f>
        <v>0.0490684997138915</v>
      </c>
      <c r="BO319" s="215">
        <f>IFERROR(BO297/BO316,"")</f>
        <v>0.0570439126760371</v>
      </c>
      <c r="BP319" s="215">
        <f>IFERROR(BP297/BP316,"")</f>
        <v>0.052616534034554</v>
      </c>
      <c r="BQ319" s="215">
        <f>IFERROR(BQ297/BQ316,"")</f>
        <v>0.0552946303945395</v>
      </c>
      <c r="BR319" s="215">
        <f>IFERROR(BR297/BR316,"")</f>
        <v>0.0559509280313647</v>
      </c>
      <c r="BS319" s="215">
        <f>IFERROR(BS297/BS316,"")</f>
        <v>0.0561749413268111</v>
      </c>
      <c r="BT319" s="215">
        <f>IFERROR(BT297/BT316,"")</f>
        <v>0.0675766293635782</v>
      </c>
      <c r="BU319" s="215">
        <f>IFERROR(BU297/BU316,"")</f>
        <v>0.0668187829118192</v>
      </c>
      <c r="BV319" s="215">
        <f>IFERROR(BV297/BV316,"")</f>
        <v>0.0712849176403286</v>
      </c>
      <c r="BW319" s="215">
        <f>IFERROR(BW297/BW316,"")</f>
        <v>0.0906545738009334</v>
      </c>
      <c r="BX319" s="215">
        <f>IFERROR(BX297/BX316,"")</f>
        <v>0.0631494160241874</v>
      </c>
      <c r="BY319" s="24" t="n"/>
      <c r="BZ319" s="24" t="n"/>
      <c r="CA319" s="274" t="n">
        <v>0.0713</v>
      </c>
      <c r="CB319" s="274" t="n">
        <v>0.0713</v>
      </c>
      <c r="CC319" s="274" t="n">
        <v>0.0713</v>
      </c>
      <c r="CD319" s="274" t="n">
        <v>0.0713</v>
      </c>
      <c r="CE319" s="274" t="n">
        <v>0.0713</v>
      </c>
      <c r="CF319" s="274" t="n">
        <v>0.0713</v>
      </c>
      <c r="CG319" s="153" t="n"/>
    </row>
    <row r="320" ht="15" customHeight="1" s="251">
      <c r="B320" s="25" t="inlineStr">
        <is>
          <t xml:space="preserve">  Deferred revenue % of revenue</t>
        </is>
      </c>
      <c r="C320" s="215">
        <f>IFERROR(C298/C316,"")</f>
        <v>0.0699115044247788</v>
      </c>
      <c r="D320" s="215">
        <f>IFERROR(D298/D316,"")</f>
        <v>0.0594562530074502</v>
      </c>
      <c r="E320" s="215">
        <f>IFERROR(E298/E316,"")</f>
        <v>0.0609140291984603</v>
      </c>
      <c r="F320" s="215">
        <f>IFERROR(F298/F316,"")</f>
        <v>0.0599286701722896</v>
      </c>
      <c r="G320" s="215">
        <f>IFERROR(G298/G316,"")</f>
        <v>0.0588095485810069</v>
      </c>
      <c r="H320" s="215">
        <f>IFERROR(H298/H316,"")</f>
        <v>0.0464323372476305</v>
      </c>
      <c r="I320" s="215">
        <f>IFERROR(I298/I316,"")</f>
        <v>0.0469544912256787</v>
      </c>
      <c r="J320" s="215">
        <f>IFERROR(J298/J316,"")</f>
        <v>0.0436730500478046</v>
      </c>
      <c r="K320" s="215">
        <f>IFERROR(K298/K316,"")</f>
        <v>0.0436169546238353</v>
      </c>
      <c r="L320" s="215">
        <f>IFERROR(L298/L316,"")</f>
        <v>0.0442638284483078</v>
      </c>
      <c r="M320" s="215">
        <f>IFERROR(M298/M316,"")</f>
        <v>0.0458988878772666</v>
      </c>
      <c r="N320" s="215">
        <f>IFERROR(N298/N316,"")</f>
        <v>0.0493231093764359</v>
      </c>
      <c r="O320" s="215">
        <f>IFERROR(O298/O316,"")</f>
        <v>0.0452753704661642</v>
      </c>
      <c r="P320" s="215">
        <f>IFERROR(P298/P316,"")</f>
        <v>0.0450105826066262</v>
      </c>
      <c r="Q320" s="215">
        <f>IFERROR(Q298/Q316,"")</f>
        <v>0.0448684292679604</v>
      </c>
      <c r="R320" s="215">
        <f>IFERROR(R298/R316,"")</f>
        <v>0.0462350679720461</v>
      </c>
      <c r="S320" s="215">
        <f>IFERROR(S298/S316,"")</f>
        <v>0.04988249946954</v>
      </c>
      <c r="T320" s="215">
        <f>IFERROR(T298/T316,"")</f>
        <v>0.0453459315796734</v>
      </c>
      <c r="U320" s="215">
        <f>IFERROR(U298/U316,"")</f>
        <v>0.0458678027645264</v>
      </c>
      <c r="V320" s="215">
        <f>IFERROR(V298/V316,"")</f>
        <v>0.0474211251441737</v>
      </c>
      <c r="W320" s="215">
        <f>IFERROR(W298/W316,"")</f>
        <v>0.0475394511041044</v>
      </c>
      <c r="X320" s="215">
        <f>IFERROR(X298/X316,"")</f>
        <v>0.0511424791552075</v>
      </c>
      <c r="Y320" s="215">
        <f>IFERROR(Y298/Y316,"")</f>
        <v>0.0477877252091191</v>
      </c>
      <c r="Z320" s="215">
        <f>IFERROR(Z298/Z316,"")</f>
        <v>0.047142224696514</v>
      </c>
      <c r="AA320" s="215">
        <f>IFERROR(AA298/AA316,"")</f>
        <v>0.0466343811075772</v>
      </c>
      <c r="AB320" s="215">
        <f>IFERROR(AB298/AB316,"")</f>
        <v>0.0447492089939178</v>
      </c>
      <c r="AC320" s="215">
        <f>IFERROR(AC298/AC316,"")</f>
        <v>0.0502195247041872</v>
      </c>
      <c r="AD320" s="215">
        <f>IFERROR(AD298/AD316,"")</f>
        <v>0.0434922732953177</v>
      </c>
      <c r="AE320" s="215">
        <f>IFERROR(AE298/AE316,"")</f>
        <v>0.0453516900595377</v>
      </c>
      <c r="AF320" s="215">
        <f>IFERROR(AF298/AF316,"")</f>
        <v>0.0448450831345802</v>
      </c>
      <c r="AG320" s="215">
        <f>IFERROR(AG298/AG316,"")</f>
        <v>0.0470684819775059</v>
      </c>
      <c r="AH320" s="215">
        <f>IFERROR(AH298/AH316,"")</f>
        <v>0.0529066265459522</v>
      </c>
      <c r="AI320" s="215">
        <f>IFERROR(AI298/AI316,"")</f>
        <v>0.04552271150242</v>
      </c>
      <c r="AJ320" s="215">
        <f>IFERROR(AJ298/AJ316,"")</f>
        <v>0.0446437026363676</v>
      </c>
      <c r="AK320" s="215">
        <f>IFERROR(AK298/AK316,"")</f>
        <v>0.0448021990441504</v>
      </c>
      <c r="AL320" s="215">
        <f>IFERROR(AL298/AL316,"")</f>
        <v>0.0454339560542184</v>
      </c>
      <c r="AM320" s="215">
        <f>IFERROR(AM298/AM316,"")</f>
        <v>0.0481754192846666</v>
      </c>
      <c r="AN320" s="215">
        <f>IFERROR(AN298/AN316,"")</f>
        <v>0.0447187254478663</v>
      </c>
      <c r="AO320" s="215">
        <f>IFERROR(AO298/AO316,"")</f>
        <v>0.0453359721769709</v>
      </c>
      <c r="AP320" s="215">
        <f>IFERROR(AP298/AP316,"")</f>
        <v>0.0436378733265903</v>
      </c>
      <c r="AQ320" s="215">
        <f>IFERROR(AQ298/AQ316,"")</f>
        <v>0.0422842324205468</v>
      </c>
      <c r="AR320" s="215">
        <f>IFERROR(AR298/AR316,"")</f>
        <v>0.0458783733065654</v>
      </c>
      <c r="AS320" s="215">
        <f>IFERROR(AS298/AS316,"")</f>
        <v>0.0427707118845306</v>
      </c>
      <c r="AT320" s="215">
        <f>IFERROR(AT298/AT316,"")</f>
        <v>0.0418515420395213</v>
      </c>
      <c r="AU320" s="215">
        <f>IFERROR(AU298/AU316,"")</f>
        <v>0.0404078881391228</v>
      </c>
      <c r="AV320" s="215">
        <f>IFERROR(AV298/AV316,"")</f>
        <v>0.0420649318633529</v>
      </c>
      <c r="AW320" s="215">
        <f>IFERROR(AW298/AW316,"")</f>
        <v>0.0447267360898855</v>
      </c>
      <c r="AX320" s="215">
        <f>IFERROR(AX298/AX316,"")</f>
        <v>0.0397956900203008</v>
      </c>
      <c r="AY320" s="215">
        <f>IFERROR(AY298/AY316,"")</f>
        <v>0.0404317646804037</v>
      </c>
      <c r="AZ320" s="215">
        <f>IFERROR(AZ298/AZ316,"")</f>
        <v>0.0395081584511564</v>
      </c>
      <c r="BA320" s="215">
        <f>IFERROR(BA298/BA316,"")</f>
        <v>0.0392168931155778</v>
      </c>
      <c r="BB320" s="215">
        <f>IFERROR(BB298/BB316,"")</f>
        <v>0.0407215419408897</v>
      </c>
      <c r="BC320" s="215">
        <f>IFERROR(BC298/BC316,"")</f>
        <v>0.0393710184859313</v>
      </c>
      <c r="BD320" s="215">
        <f>IFERROR(BD298/BD316,"")</f>
        <v>0.0384166039220636</v>
      </c>
      <c r="BE320" s="215">
        <f>IFERROR(BE298/BE316,"")</f>
        <v>0.0371052233468074</v>
      </c>
      <c r="BF320" s="215">
        <f>IFERROR(BF298/BF316,"")</f>
        <v>0.0402652974960816</v>
      </c>
      <c r="BG320" s="215">
        <f>IFERROR(BG298/BG316,"")</f>
        <v>0.0400012335701894</v>
      </c>
      <c r="BH320" s="215">
        <f>IFERROR(BH298/BH316,"")</f>
        <v>0.0386653965574723</v>
      </c>
      <c r="BI320" s="215">
        <f>IFERROR(BI298/BI316,"")</f>
        <v>0.0400595385463415</v>
      </c>
      <c r="BJ320" s="215">
        <f>IFERROR(BJ298/BJ316,"")</f>
        <v>0.0382297989104704</v>
      </c>
      <c r="BK320" s="215">
        <f>IFERROR(BK298/BK316,"")</f>
        <v>0.0408410955724811</v>
      </c>
      <c r="BL320" s="215">
        <f>IFERROR(BL298/BL316,"")</f>
        <v>0.0427884912913468</v>
      </c>
      <c r="BM320" s="215">
        <f>IFERROR(BM298/BM316,"")</f>
        <v>0.0392053094625226</v>
      </c>
      <c r="BN320" s="215">
        <f>IFERROR(BN298/BN316,"")</f>
        <v>0.0385414846887485</v>
      </c>
      <c r="BO320" s="215">
        <f>IFERROR(BO298/BO316,"")</f>
        <v>0.0385011129598523</v>
      </c>
      <c r="BP320" s="215">
        <f>IFERROR(BP298/BP316,"")</f>
        <v>0.0371056231519933</v>
      </c>
      <c r="BQ320" s="215">
        <f>IFERROR(BQ298/BQ316,"")</f>
        <v>0.038994239270894</v>
      </c>
      <c r="BR320" s="215">
        <f>IFERROR(BR298/BR316,"")</f>
        <v>0.0381712127545612</v>
      </c>
      <c r="BS320" s="215">
        <f>IFERROR(BS298/BS316,"")</f>
        <v>0.0390002505603761</v>
      </c>
      <c r="BT320" s="215">
        <f>IFERROR(BT298/BT316,"")</f>
        <v>0.0374593614227666</v>
      </c>
      <c r="BU320" s="215">
        <f>IFERROR(BU298/BU316,"")</f>
        <v>0.0368385418283093</v>
      </c>
      <c r="BV320" s="215">
        <f>IFERROR(BV298/BV316,"")</f>
        <v>0.0393008119241921</v>
      </c>
      <c r="BW320" s="215">
        <f>IFERROR(BW298/BW316,"")</f>
        <v>0.0355812772449282</v>
      </c>
      <c r="BX320" s="215">
        <f>IFERROR(BX298/BX316,"")</f>
        <v>0.0357775651440318</v>
      </c>
      <c r="BY320" s="24" t="n"/>
      <c r="BZ320" s="24" t="n"/>
      <c r="CA320" s="274" t="n">
        <v>0.0393</v>
      </c>
      <c r="CB320" s="274" t="n">
        <v>0.0393</v>
      </c>
      <c r="CC320" s="274" t="n">
        <v>0.0393</v>
      </c>
      <c r="CD320" s="274" t="n">
        <v>0.0393</v>
      </c>
      <c r="CE320" s="274" t="n">
        <v>0.0393</v>
      </c>
      <c r="CF320" s="274" t="n">
        <v>0.0393</v>
      </c>
      <c r="CG320" s="153" t="inlineStr">
        <is>
          <t>Forecast inputs at fiscal-year-end 2025 levels on FY2025 revenue (other current assets 8.8%, payables 2.0%, accrued 7.1%, deferred revenue 3.9%); year ends are compared with year ends.</t>
        </is>
      </c>
    </row>
    <row r="321" ht="15" customHeight="1" s="251">
      <c r="B321" s="25" t="inlineStr">
        <is>
          <t xml:space="preserve">  Operating NWC (other current assets − payables − accrued − deferred revenue − other current liabilities)</t>
        </is>
      </c>
      <c r="C321" s="264">
        <f>IF(ISNUMBER(C288),C288-C296-C297-C298-C300,"")</f>
        <v>-165.459</v>
      </c>
      <c r="D321" s="264">
        <f>IF(ISNUMBER(D288),D288-D296-D297-D298-D300,"")</f>
        <v>-181.186</v>
      </c>
      <c r="E321" s="264">
        <f>IF(ISNUMBER(E288),E288-E296-E297-E298-E300,"")</f>
        <v>-169.38</v>
      </c>
      <c r="F321" s="264">
        <f>IF(ISNUMBER(F288),F288-F296-F297-F298-F300,"")</f>
        <v>-171.517</v>
      </c>
      <c r="G321" s="264">
        <f>IF(ISNUMBER(G288),G288-G296-G297-G298-G300,"")</f>
        <v>-276.922</v>
      </c>
      <c r="H321" s="264">
        <f>IF(ISNUMBER(H288),H288-H296-H297-H298-H300,"")</f>
        <v>-187.012</v>
      </c>
      <c r="I321" s="264">
        <f>IF(ISNUMBER(I288),I288-I296-I297-I298-I300,"")</f>
        <v>-184.528</v>
      </c>
      <c r="J321" s="264">
        <f>IF(ISNUMBER(J288),J288-J296-J297-J298-J300,"")</f>
        <v>-193.981</v>
      </c>
      <c r="K321" s="264">
        <f>IF(ISNUMBER(K288),K288-K296-K297-K298-K300,"")</f>
        <v>-222.444</v>
      </c>
      <c r="L321" s="264">
        <f>IF(ISNUMBER(L288),L288-L296-L297-L298-L300,"")</f>
        <v>-206.378</v>
      </c>
      <c r="M321" s="264">
        <f>IF(ISNUMBER(M288),M288-M296-M297-M298-M300,"")</f>
        <v>-226.283</v>
      </c>
      <c r="N321" s="264">
        <f>IF(ISNUMBER(N288),N288-N296-N297-N298-N300,"")</f>
        <v>-226.283</v>
      </c>
      <c r="O321" s="264">
        <f>IF(ISNUMBER(O288),O288-O296-O297-O298-O300,"")</f>
        <v>-271.625</v>
      </c>
      <c r="P321" s="264">
        <f>IF(ISNUMBER(P288),P288-P296-P297-P298-P300,"")</f>
        <v>-309.43</v>
      </c>
      <c r="Q321" s="264">
        <f>IF(ISNUMBER(Q288),Q288-Q296-Q297-Q298-Q300,"")</f>
        <v>-324.207</v>
      </c>
      <c r="R321" s="264">
        <f>IF(ISNUMBER(R288),R288-R296-R297-R298-R300,"")</f>
        <v>-339.642</v>
      </c>
      <c r="S321" s="264">
        <f>IF(ISNUMBER(S288),S288-S296-S297-S298-S300,"")</f>
        <v>-339.642</v>
      </c>
      <c r="T321" s="264">
        <f>IF(ISNUMBER(T288),T288-T296-T297-T298-T300,"")</f>
        <v>-372.329</v>
      </c>
      <c r="U321" s="264">
        <f>IF(ISNUMBER(U288),U288-U296-U297-U298-U300,"")</f>
        <v>-371.083</v>
      </c>
      <c r="V321" s="264">
        <f>IF(ISNUMBER(V288),V288-V296-V297-V298-V300,"")</f>
        <v>-453.567</v>
      </c>
      <c r="W321" s="264">
        <f>IF(ISNUMBER(W288),W288-W296-W297-W298-W300,"")</f>
        <v>-525.474</v>
      </c>
      <c r="X321" s="264">
        <f>IF(ISNUMBER(X288),X288-X296-X297-X298-X300,"")</f>
        <v>-525.474</v>
      </c>
      <c r="Y321" s="264">
        <f>IF(ISNUMBER(Y288),Y288-Y296-Y297-Y298-Y300,"")</f>
        <v>-575.047</v>
      </c>
      <c r="Z321" s="264">
        <f>IF(ISNUMBER(Z288),Z288-Z296-Z297-Z298-Z300,"")</f>
        <v>-606.079</v>
      </c>
      <c r="AA321" s="264">
        <f>IF(ISNUMBER(AA288),AA288-AA296-AA297-AA298-AA300,"")</f>
        <v>-695.953</v>
      </c>
      <c r="AB321" s="264">
        <f>IF(ISNUMBER(AB288),AB288-AB296-AB297-AB298-AB300,"")</f>
        <v>-693.744</v>
      </c>
      <c r="AC321" s="264">
        <f>IF(ISNUMBER(AC288),AC288-AC296-AC297-AC298-AC300,"")</f>
        <v>-693.744</v>
      </c>
      <c r="AD321" s="264">
        <f>IF(ISNUMBER(AD288),AD288-AD296-AD297-AD298-AD300,"")</f>
        <v>-757.296</v>
      </c>
      <c r="AE321" s="264">
        <f>IF(ISNUMBER(AE288),AE288-AE296-AE297-AE298-AE300,"")</f>
        <v>-640.799</v>
      </c>
      <c r="AF321" s="264">
        <f>IF(ISNUMBER(AF288),AF288-AF296-AF297-AF298-AF300,"")</f>
        <v>-753.099</v>
      </c>
      <c r="AG321" s="264">
        <f>IF(ISNUMBER(AG288),AG288-AG296-AG297-AG298-AG300,"")</f>
        <v>-757.026</v>
      </c>
      <c r="AH321" s="264">
        <f>IF(ISNUMBER(AH288),AH288-AH296-AH297-AH298-AH300,"")</f>
        <v>-757.026</v>
      </c>
      <c r="AI321" s="264">
        <f>IF(ISNUMBER(AI288),AI288-AI296-AI297-AI298-AI300,"")</f>
        <v>-942.118</v>
      </c>
      <c r="AJ321" s="264">
        <f>IF(ISNUMBER(AJ288),AJ288-AJ296-AJ297-AJ298-AJ300,"")</f>
        <v>-901.685</v>
      </c>
      <c r="AK321" s="264">
        <f>IF(ISNUMBER(AK288),AK288-AK296-AK297-AK298-AK300,"")</f>
        <v>-1010.698</v>
      </c>
      <c r="AL321" s="264">
        <f>IF(ISNUMBER(AL288),AL288-AL296-AL297-AL298-AL300,"")</f>
        <v>-1052.835</v>
      </c>
      <c r="AM321" s="264">
        <f>IF(ISNUMBER(AM288),AM288-AM296-AM297-AM298-AM300,"")</f>
        <v>-1052.835</v>
      </c>
      <c r="AN321" s="264">
        <f>IF(ISNUMBER(AN288),AN288-AN296-AN297-AN298-AN300,"")</f>
        <v>-1174.106</v>
      </c>
      <c r="AO321" s="264">
        <f>IF(ISNUMBER(AO288),AO288-AO296-AO297-AO298-AO300,"")</f>
        <v>-1212.873</v>
      </c>
      <c r="AP321" s="264">
        <f>IF(ISNUMBER(AP288),AP288-AP296-AP297-AP298-AP300,"")</f>
        <v>-1504.618</v>
      </c>
      <c r="AQ321" s="264">
        <f>IF(ISNUMBER(AQ288),AQ288-AQ296-AQ297-AQ298-AQ300,"")</f>
        <v>-1282.068</v>
      </c>
      <c r="AR321" s="264">
        <f>IF(ISNUMBER(AR288),AR288-AR296-AR297-AR298-AR300,"")</f>
        <v>-1282.068</v>
      </c>
      <c r="AS321" s="264">
        <f>IF(ISNUMBER(AS288),AS288-AS296-AS297-AS298-AS300,"")</f>
        <v>-1297.434</v>
      </c>
      <c r="AT321" s="264">
        <f>IF(ISNUMBER(AT288),AT288-AT296-AT297-AT298-AT300,"")</f>
        <v>-1051.633</v>
      </c>
      <c r="AU321" s="264">
        <f>IF(ISNUMBER(AU288),AU288-AU296-AU297-AU298-AU300,"")</f>
        <v>-1406.535</v>
      </c>
      <c r="AV321" s="264">
        <f>IF(ISNUMBER(AV288),AV288-AV296-AV297-AV298-AV300,"")</f>
        <v>-1320.341</v>
      </c>
      <c r="AW321" s="264">
        <f>IF(ISNUMBER(AW288),AW288-AW296-AW297-AW298-AW300,"")</f>
        <v>-1320.341</v>
      </c>
      <c r="AX321" s="264">
        <f>IF(ISNUMBER(AX288),AX288-AX296-AX297-AX298-AX300,"")</f>
        <v>-1261.222</v>
      </c>
      <c r="AY321" s="264">
        <f>IF(ISNUMBER(AY288),AY288-AY296-AY297-AY298-AY300,"")</f>
        <v>-1109.14</v>
      </c>
      <c r="AZ321" s="264">
        <f>IF(ISNUMBER(AZ288),AZ288-AZ296-AZ297-AZ298-AZ300,"")</f>
        <v>-1349.705</v>
      </c>
      <c r="BA321" s="264">
        <f>IF(ISNUMBER(BA288),BA288-BA296-BA297-BA298-BA300,"")</f>
        <v>-1454.155</v>
      </c>
      <c r="BB321" s="264">
        <f>IF(ISNUMBER(BB288),BB288-BB296-BB297-BB298-BB300,"")</f>
        <v>-1454.155</v>
      </c>
      <c r="BC321" s="264">
        <f>IF(ISNUMBER(BC288),BC288-BC296-BC297-BC298-BC300,"")</f>
        <v>-1584.298</v>
      </c>
      <c r="BD321" s="264">
        <f>IF(ISNUMBER(BD288),BD288-BD296-BD297-BD298-BD300,"")</f>
        <v>-1303.727</v>
      </c>
      <c r="BE321" s="264">
        <f>IF(ISNUMBER(BE288),BE288-BE296-BE297-BE298-BE300,"")</f>
        <v>-836.864</v>
      </c>
      <c r="BF321" s="264">
        <f>IF(ISNUMBER(BF288),BF288-BF296-BF297-BF298-BF300,"")</f>
        <v>-242.803</v>
      </c>
      <c r="BG321" s="264">
        <f>IF(ISNUMBER(BG288),BG288-BG296-BG297-BG298-BG300,"")</f>
        <v>-242.803</v>
      </c>
      <c r="BH321" s="264">
        <f>IF(ISNUMBER(BH288),BH288-BH296-BH297-BH298-BH300,"")</f>
        <v>-917.208</v>
      </c>
      <c r="BI321" s="264">
        <f>IF(ISNUMBER(BI288),BI288-BI296-BI297-BI298-BI300,"")</f>
        <v>-906.659</v>
      </c>
      <c r="BJ321" s="264">
        <f>IF(ISNUMBER(BJ288),BJ288-BJ296-BJ297-BJ298-BJ300,"")</f>
        <v>-767.494</v>
      </c>
      <c r="BK321" s="264">
        <f>IF(ISNUMBER(BK288),BK288-BK296-BK297-BK298-BK300,"")</f>
        <v>-1214.094</v>
      </c>
      <c r="BL321" s="264">
        <f>IF(ISNUMBER(BL288),BL288-BL296-BL297-BL298-BL300,"")</f>
        <v>-1214.094</v>
      </c>
      <c r="BM321" s="264">
        <f>IF(ISNUMBER(BM288),BM288-BM296-BM297-BM298-BM300,"")</f>
        <v>-1178.686</v>
      </c>
      <c r="BN321" s="264">
        <f>IF(ISNUMBER(BN288),BN288-BN296-BN297-BN298-BN300,"")</f>
        <v>-988.88</v>
      </c>
      <c r="BO321" s="264">
        <f>IF(ISNUMBER(BO288),BO288-BO296-BO297-BO298-BO300,"")</f>
        <v>-1491.587</v>
      </c>
      <c r="BP321" s="264">
        <f>IF(ISNUMBER(BP288),BP288-BP296-BP297-BP298-BP300,"")</f>
        <v>-1060.626</v>
      </c>
      <c r="BQ321" s="264">
        <f>IF(ISNUMBER(BQ288),BQ288-BQ296-BQ297-BQ298-BQ300,"")</f>
        <v>-1060.626</v>
      </c>
      <c r="BR321" s="264">
        <f>IF(ISNUMBER(BR288),BR288-BR296-BR297-BR298-BR300,"")</f>
        <v>-1257.091</v>
      </c>
      <c r="BS321" s="264">
        <f>IF(ISNUMBER(BS288),BS288-BS296-BS297-BS298-BS300,"")</f>
        <v>-1247.979</v>
      </c>
      <c r="BT321" s="264">
        <f>IF(ISNUMBER(BT288),BT288-BT296-BT297-BT298-BT300,"")</f>
        <v>-1990.676</v>
      </c>
      <c r="BU321" s="264">
        <f>IF(ISNUMBER(BU288),BU288-BU296-BU297-BU298-BU300,"")</f>
        <v>-1939.379</v>
      </c>
      <c r="BV321" s="264">
        <f>IF(ISNUMBER(BV288),BV288-BV296-BV297-BV298-BV300,"")</f>
        <v>-1939.379</v>
      </c>
      <c r="BW321" s="264">
        <f>IF(ISNUMBER(BW288),BW288-BW296-BW297-BW298-BW300,"")</f>
        <v>-2297.583</v>
      </c>
      <c r="BX321" s="264">
        <f>IF(ISNUMBER(BX288),BX288-BX296-BX297-BX298-BX300,"")</f>
        <v>-1059.225</v>
      </c>
      <c r="BY321" s="35" t="n"/>
      <c r="BZ321" s="35" t="n"/>
      <c r="CA321" s="254">
        <f>IF(ISNUMBER(CA288),CA288-CA296-CA297-CA298-CA300,"")</f>
        <v>-2196.48</v>
      </c>
      <c r="CB321" s="254">
        <f>IF(ISNUMBER(CB288),CB288-CB296-CB297-CB298-CB300,"")</f>
        <v>-2427.25271089799</v>
      </c>
      <c r="CC321" s="254">
        <f>IF(ISNUMBER(CC288),CC288-CC296-CC297-CC298-CC300,"")</f>
        <v>-2658.45774981208</v>
      </c>
      <c r="CD321" s="254">
        <f>IF(ISNUMBER(CD288),CD288-CD296-CD297-CD298-CD300,"")</f>
        <v>-2885.61015461052</v>
      </c>
      <c r="CE321" s="254">
        <f>IF(ISNUMBER(CE288),CE288-CE296-CE297-CE298-CE300,"")</f>
        <v>-3109.8287584332</v>
      </c>
      <c r="CF321" s="254">
        <f>IF(ISNUMBER(CF288),CF288-CF296-CF297-CF298-CF300,"")</f>
        <v>-3327.15257055388</v>
      </c>
      <c r="CG321" s="19" t="n"/>
    </row>
    <row r="322" ht="15" customHeight="1" s="251">
      <c r="B322" s="25" t="inlineStr">
        <is>
          <t xml:space="preserve">  NWC % of revenue</t>
        </is>
      </c>
      <c r="C322" s="215">
        <f>IF(ISNUMBER(C321),IFERROR(C321/C316,""),"")</f>
        <v>-0.166013485040034</v>
      </c>
      <c r="D322" s="215">
        <f>IF(ISNUMBER(D321),IFERROR(D321/D316,""),"")</f>
        <v>-0.150319411950155</v>
      </c>
      <c r="E322" s="215">
        <f>IF(ISNUMBER(E321),IFERROR(E321/E316,""),"")</f>
        <v>-0.124118737180882</v>
      </c>
      <c r="F322" s="215">
        <f>IF(ISNUMBER(F321),IFERROR(F321/F316,""),"")</f>
        <v>-0.102688249617277</v>
      </c>
      <c r="G322" s="215">
        <f>IF(ISNUMBER(G321),IFERROR(G321/G316,""),"")</f>
        <v>-0.128049014507832</v>
      </c>
      <c r="H322" s="215">
        <f>IF(ISNUMBER(H321),IFERROR(H321/H316,""),"")</f>
        <v>-0.0583577801375969</v>
      </c>
      <c r="I322" s="215">
        <f>IF(ISNUMBER(I321),IFERROR(I321/I316,""),"")</f>
        <v>-0.0511259580160265</v>
      </c>
      <c r="J322" s="215">
        <f>IF(ISNUMBER(J321),IFERROR(J321/J316,""),"")</f>
        <v>-0.0473604463451245</v>
      </c>
      <c r="K322" s="215">
        <f>IF(ISNUMBER(K321),IFERROR(K321/K316,""),"")</f>
        <v>-0.052003418828995</v>
      </c>
      <c r="L322" s="215">
        <f>IF(ISNUMBER(L321),IFERROR(L321/L316,""),"")</f>
        <v>-0.0466496805150818</v>
      </c>
      <c r="M322" s="215">
        <f>IF(ISNUMBER(M321),IFERROR(M321/M316,""),"")</f>
        <v>-0.048135896803179</v>
      </c>
      <c r="N322" s="215">
        <f>IF(ISNUMBER(N321),IFERROR(N321/N316,""),"")</f>
        <v>-0.0517270071838049</v>
      </c>
      <c r="O322" s="215">
        <f>IF(ISNUMBER(O321),IFERROR(O321/O316,""),"")</f>
        <v>-0.0534657413771791</v>
      </c>
      <c r="P322" s="215">
        <f>IF(ISNUMBER(P321),IFERROR(P321/P316,""),"")</f>
        <v>-0.0577119486842429</v>
      </c>
      <c r="Q322" s="215">
        <f>IF(ISNUMBER(Q321),IFERROR(Q321/Q316,""),"")</f>
        <v>-0.0575066764483849</v>
      </c>
      <c r="R322" s="215">
        <f>IF(ISNUMBER(R321),IFERROR(R321/R316,""),"")</f>
        <v>-0.0571892629491732</v>
      </c>
      <c r="S322" s="215">
        <f>IF(ISNUMBER(S321),IFERROR(S321/S316,""),"")</f>
        <v>-0.0617008583279318</v>
      </c>
      <c r="T322" s="215">
        <f>IF(ISNUMBER(T321),IFERROR(T321/T316,""),"")</f>
        <v>-0.0591701316293832</v>
      </c>
      <c r="U322" s="215">
        <f>IF(ISNUMBER(U321),IFERROR(U321/U316,""),"")</f>
        <v>-0.056406085265709</v>
      </c>
      <c r="V322" s="215">
        <f>IF(ISNUMBER(V321),IFERROR(V321/V316,""),"")</f>
        <v>-0.0652293403821429</v>
      </c>
      <c r="W322" s="215">
        <f>IF(ISNUMBER(W321),IFERROR(W321/W316,""),"")</f>
        <v>-0.0720485506487296</v>
      </c>
      <c r="X322" s="215">
        <f>IF(ISNUMBER(X321),IFERROR(X321/X316,""),"")</f>
        <v>-0.0775091300832759</v>
      </c>
      <c r="Y322" s="215">
        <f>IF(ISNUMBER(Y321),IFERROR(Y321/Y316,""),"")</f>
        <v>-0.0734326538409673</v>
      </c>
      <c r="Z322" s="215">
        <f>IF(ISNUMBER(Z321),IFERROR(Z321/Z316,""),"")</f>
        <v>-0.0719739037166944</v>
      </c>
      <c r="AA322" s="215">
        <f>IF(ISNUMBER(AA321),IFERROR(AA321/AA316,""),"")</f>
        <v>-0.0759711648126704</v>
      </c>
      <c r="AB322" s="215">
        <f>IF(ISNUMBER(AB321),IFERROR(AB321/AB316,""),"")</f>
        <v>-0.0700032814794992</v>
      </c>
      <c r="AC322" s="215">
        <f>IF(ISNUMBER(AC321),IFERROR(AC321/AC316,""),"")</f>
        <v>-0.0785607523054029</v>
      </c>
      <c r="AD322" s="215">
        <f>IF(ISNUMBER(AD321),IFERROR(AD321/AD316,""),"")</f>
        <v>-0.0718051607446613</v>
      </c>
      <c r="AE322" s="215">
        <f>IF(ISNUMBER(AE321),IFERROR(AE321/AE316,""),"")</f>
        <v>-0.057512769865272</v>
      </c>
      <c r="AF322" s="215">
        <f>IF(ISNUMBER(AF321),IFERROR(AF321/AF316,""),"")</f>
        <v>-0.0630765975880268</v>
      </c>
      <c r="AG322" s="215">
        <f>IF(ISNUMBER(AG321),IFERROR(AG321/AG316,""),"")</f>
        <v>-0.0575990906199641</v>
      </c>
      <c r="AH322" s="215">
        <f>IF(ISNUMBER(AH321),IFERROR(AH321/AH316,""),"")</f>
        <v>-0.0647434004409413</v>
      </c>
      <c r="AI322" s="215">
        <f>IF(ISNUMBER(AI321),IFERROR(AI321/AI316,""),"")</f>
        <v>-0.0636418979825208</v>
      </c>
      <c r="AJ322" s="215">
        <f>IF(ISNUMBER(AJ321),IFERROR(AJ321/AJ316,""),"")</f>
        <v>-0.0576927752625235</v>
      </c>
      <c r="AK322" s="215">
        <f>IF(ISNUMBER(AK321),IFERROR(AK321/AK316,""),"")</f>
        <v>-0.0631785124371964</v>
      </c>
      <c r="AL322" s="215">
        <f>IF(ISNUMBER(AL321),IFERROR(AL321/AL316,""),"")</f>
        <v>-0.0628657142700188</v>
      </c>
      <c r="AM322" s="215">
        <f>IF(ISNUMBER(AM321),IFERROR(AM321/AM316,""),"")</f>
        <v>-0.066659001474009</v>
      </c>
      <c r="AN322" s="215">
        <f>IF(ISNUMBER(AN321),IFERROR(AN321/AN316,""),"")</f>
        <v>-0.0649252420707668</v>
      </c>
      <c r="AO322" s="215">
        <f>IF(ISNUMBER(AO321),IFERROR(AO321/AO316,""),"")</f>
        <v>-0.0615907181549246</v>
      </c>
      <c r="AP322" s="215">
        <f>IF(ISNUMBER(AP321),IFERROR(AP321/AP316,""),"")</f>
        <v>-0.0717180768765116</v>
      </c>
      <c r="AQ322" s="215">
        <f>IF(ISNUMBER(AQ321),IFERROR(AQ321/AQ316,""),"")</f>
        <v>-0.0586229298789889</v>
      </c>
      <c r="AR322" s="215">
        <f>IF(ISNUMBER(AR321),IFERROR(AR321/AR316,""),"")</f>
        <v>-0.063605852757681</v>
      </c>
      <c r="AS322" s="215">
        <f>IF(ISNUMBER(AS321),IFERROR(AS321/AS316,""),"")</f>
        <v>-0.0562371493202393</v>
      </c>
      <c r="AT322" s="215">
        <f>IF(ISNUMBER(AT321),IFERROR(AT321/AT316,""),"")</f>
        <v>-0.0427612264621392</v>
      </c>
      <c r="AU322" s="215">
        <f>IF(ISNUMBER(AU321),IFERROR(AU321/AU316,""),"")</f>
        <v>-0.0546385307313014</v>
      </c>
      <c r="AV322" s="215">
        <f>IF(ISNUMBER(AV321),IFERROR(AV321/AV316,""),"")</f>
        <v>-0.049678400383358</v>
      </c>
      <c r="AW322" s="215">
        <f>IF(ISNUMBER(AW321),IFERROR(AW321/AW316,""),"")</f>
        <v>-0.0528219731944912</v>
      </c>
      <c r="AX322" s="215">
        <f>IF(ISNUMBER(AX321),IFERROR(AX321/AX316,""),"")</f>
        <v>-0.0440169045418008</v>
      </c>
      <c r="AY322" s="215">
        <f>IF(ISNUMBER(AY321),IFERROR(AY321/AY316,""),"")</f>
        <v>-0.0377681043703725</v>
      </c>
      <c r="AZ322" s="215">
        <f>IF(ISNUMBER(AZ321),IFERROR(AZ321/AZ316,""),"")</f>
        <v>-0.0450895620973541</v>
      </c>
      <c r="BA322" s="215">
        <f>IF(ISNUMBER(BA321),IFERROR(BA321/BA316,""),"")</f>
        <v>-0.0471557600815014</v>
      </c>
      <c r="BB322" s="215">
        <f>IF(ISNUMBER(BB321),IFERROR(BB321/BB316,""),"")</f>
        <v>-0.0489650023079117</v>
      </c>
      <c r="BC322" s="215">
        <f>IF(ISNUMBER(BC321),IFERROR(BC321/BC316,""),"")</f>
        <v>-0.0503414119914837</v>
      </c>
      <c r="BD322" s="215">
        <f>IF(ISNUMBER(BD321),IFERROR(BD321/BD316,""),"")</f>
        <v>-0.0408941008697337</v>
      </c>
      <c r="BE322" s="215">
        <f>IF(ISNUMBER(BE321),IFERROR(BE321/BE316,""),"")</f>
        <v>-0.0263975333568269</v>
      </c>
      <c r="BF322" s="215">
        <f>IF(ISNUMBER(BF321),IFERROR(BF321/BF316,""),"")</f>
        <v>-0.00773055785537871</v>
      </c>
      <c r="BG322" s="215">
        <f>IF(ISNUMBER(BG321),IFERROR(BG321/BG316,""),"")</f>
        <v>-0.00767986006885852</v>
      </c>
      <c r="BH322" s="215">
        <f>IF(ISNUMBER(BH321),IFERROR(BH321/BH316,""),"")</f>
        <v>-0.0280955603398051</v>
      </c>
      <c r="BI322" s="215">
        <f>IF(ISNUMBER(BI321),IFERROR(BI321/BI316,""),"")</f>
        <v>-0.027684917166231</v>
      </c>
      <c r="BJ322" s="215">
        <f>IF(ISNUMBER(BJ321),IFERROR(BJ321/BJ316,""),"")</f>
        <v>-0.022463235517934</v>
      </c>
      <c r="BK322" s="215">
        <f>IF(ISNUMBER(BK321),IFERROR(BK321/BK316,""),"")</f>
        <v>-0.0343631284441841</v>
      </c>
      <c r="BL322" s="215">
        <f>IF(ISNUMBER(BL321),IFERROR(BL321/BL316,""),"")</f>
        <v>-0.0360016400531656</v>
      </c>
      <c r="BM322" s="215">
        <f>IF(ISNUMBER(BM321),IFERROR(BM321/BM316,""),"")</f>
        <v>-0.0314469224497462</v>
      </c>
      <c r="BN322" s="215">
        <f>IF(ISNUMBER(BN321),IFERROR(BN321/BN316,""),"")</f>
        <v>-0.0258616992230611</v>
      </c>
      <c r="BO322" s="215">
        <f>IF(ISNUMBER(BO321),IFERROR(BO321/BO316,""),"")</f>
        <v>-0.0379550150269174</v>
      </c>
      <c r="BP322" s="215">
        <f>IF(ISNUMBER(BP321),IFERROR(BP321/BP316,""),"")</f>
        <v>-0.0258777303068859</v>
      </c>
      <c r="BQ322" s="215">
        <f>IF(ISNUMBER(BQ321),IFERROR(BQ321/BQ316,""),"")</f>
        <v>-0.0271948648656549</v>
      </c>
      <c r="BR322" s="215">
        <f>IF(ISNUMBER(BR321),IFERROR(BR321/BR316,""),"")</f>
        <v>-0.0298092271683778</v>
      </c>
      <c r="BS322" s="215">
        <f>IF(ISNUMBER(BS321),IFERROR(BS321/BS316,""),"")</f>
        <v>-0.0281604906001047</v>
      </c>
      <c r="BT322" s="215">
        <f>IF(ISNUMBER(BT321),IFERROR(BT321/BT316,""),"")</f>
        <v>-0.0432368137530997</v>
      </c>
      <c r="BU322" s="215">
        <f>IF(ISNUMBER(BU321),IFERROR(BU321/BU316,""),"")</f>
        <v>-0.0402335346096786</v>
      </c>
      <c r="BV322" s="215">
        <f>IF(ISNUMBER(BV321),IFERROR(BV321/BV316,""),"")</f>
        <v>-0.0429227243605321</v>
      </c>
      <c r="BW322" s="215">
        <f>IF(ISNUMBER(BW321),IFERROR(BW321/BW316,""),"")</f>
        <v>-0.0468903791316024</v>
      </c>
      <c r="BX322" s="215">
        <f>IF(ISNUMBER(BX321),IFERROR(BX321/BX316,""),"")</f>
        <v>-0.0210834042333648</v>
      </c>
      <c r="BY322" s="24" t="n"/>
      <c r="BZ322" s="24" t="n"/>
      <c r="CA322" s="256">
        <f>IF(ISNUMBER(CA321),IFERROR(CA321/CA316,""),"")</f>
        <v>-0.0429</v>
      </c>
      <c r="CB322" s="256">
        <f>IF(ISNUMBER(CB321),IFERROR(CB321/CB316,""),"")</f>
        <v>-0.0429</v>
      </c>
      <c r="CC322" s="256">
        <f>IF(ISNUMBER(CC321),IFERROR(CC321/CC316,""),"")</f>
        <v>-0.0429</v>
      </c>
      <c r="CD322" s="256">
        <f>IF(ISNUMBER(CD321),IFERROR(CD321/CD316,""),"")</f>
        <v>-0.0429</v>
      </c>
      <c r="CE322" s="256">
        <f>IF(ISNUMBER(CE321),IFERROR(CE321/CE316,""),"")</f>
        <v>-0.0429</v>
      </c>
      <c r="CF322" s="256">
        <f>IF(ISNUMBER(CF321),IFERROR(CF321/CF316,""),"")</f>
        <v>-0.0429</v>
      </c>
      <c r="CG322" s="153" t="n"/>
      <c r="CI322" s="37">
        <f>IFERROR(AVERAGE(CB322,CC322,CD322,CE322,CF322),"n/m")</f>
        <v>-0.0429</v>
      </c>
      <c r="CJ322" s="37">
        <f>IFERROR(AVERAGE(BB322,BG322,BL322,BQ322,BV322),"n/m")</f>
        <v>-0.0325528183312246</v>
      </c>
      <c r="CK322" s="37">
        <f>IFERROR(AVERAGE(AC322,AH322,AM322,AR322,AW322,BB322,BG322,BL322,BQ322,BV322),"n/m")</f>
        <v>-0.0489155071828648</v>
      </c>
      <c r="CL322" s="37">
        <f>IFERROR(AVERAGE(C322,D322,E322,F322,G322,H322,I322,N322,S322,X322,AC322,AH322,AM322,AR322,AW322,BB322,BG322,BL322,BQ322,BV322),"n/m")</f>
        <v>-0.0730382351936732</v>
      </c>
    </row>
    <row r="323" ht="15" customHeight="1" s="251">
      <c r="B323" s="25" t="inlineStr">
        <is>
          <t xml:space="preserve">  Net content assets (content assets − content liabilities)</t>
        </is>
      </c>
      <c r="C323" s="264">
        <f>IF(ISNUMBER(C290),C290+N(C287)-C295-C302,"")</f>
        <v>104.908</v>
      </c>
      <c r="D323" s="264">
        <f>IF(ISNUMBER(D290),D290+N(D287)-D295-D302,"")</f>
        <v>132.455</v>
      </c>
      <c r="E323" s="264">
        <f>IF(ISNUMBER(E290),E290+N(E287)-E295-E302,"")</f>
        <v>117.238</v>
      </c>
      <c r="F323" s="264">
        <f>IF(ISNUMBER(F290),F290+N(F287)-F295-F302,"")</f>
        <v>146.139</v>
      </c>
      <c r="G323" s="264">
        <f>IF(ISNUMBER(G290),G290+N(G287)-G295-G302,"")</f>
        <v>361.979</v>
      </c>
      <c r="H323" s="264">
        <f>IF(ISNUMBER(H290),H290+N(H287)-H295-H302,"")</f>
        <v>302.309</v>
      </c>
      <c r="I323" s="264">
        <f>IF(ISNUMBER(I290),I290+N(I287)-I295-I302,"")</f>
        <v>430.701</v>
      </c>
      <c r="J323" s="264">
        <f>IF(ISNUMBER(J290),J290+N(J287)-J295-J302,"")</f>
        <v>529.742</v>
      </c>
      <c r="K323" s="264">
        <f>IF(ISNUMBER(K290),K290+N(K287)-K295-K302,"")</f>
        <v>600.345</v>
      </c>
      <c r="L323" s="264">
        <f>IF(ISNUMBER(L290),L290+N(L287)-L295-L302,"")</f>
        <v>614.865</v>
      </c>
      <c r="M323" s="264">
        <f>IF(ISNUMBER(M290),M290+N(M287)-M295-M302,"")</f>
        <v>675.919</v>
      </c>
      <c r="N323" s="264">
        <f>IF(ISNUMBER(N290),N290+N(N287)-N295-N302,"")</f>
        <v>675.919</v>
      </c>
      <c r="O323" s="264">
        <f>IF(ISNUMBER(O290),O290+N(O287)-O295-O302,"")</f>
        <v>784.108</v>
      </c>
      <c r="P323" s="264">
        <f>IF(ISNUMBER(P290),P290+N(P287)-P295-P302,"")</f>
        <v>886.347</v>
      </c>
      <c r="Q323" s="264">
        <f>IF(ISNUMBER(Q290),Q290+N(Q287)-Q295-Q302,"")</f>
        <v>1053.694</v>
      </c>
      <c r="R323" s="264">
        <f>IF(ISNUMBER(R290),R290+N(R287)-R295-R302,"")</f>
        <v>1205.955</v>
      </c>
      <c r="S323" s="264">
        <f>IF(ISNUMBER(S290),S290+N(S287)-S295-S302,"")</f>
        <v>1205.955</v>
      </c>
      <c r="T323" s="264">
        <f>IF(ISNUMBER(T290),T290+N(T287)-T295-T302,"")</f>
        <v>1395.39</v>
      </c>
      <c r="U323" s="264">
        <f>IF(ISNUMBER(U290),U290+N(U287)-U295-U302,"")</f>
        <v>1652.909</v>
      </c>
      <c r="V323" s="264">
        <f>IF(ISNUMBER(V290),V290+N(V287)-V295-V302,"")</f>
        <v>1997.156</v>
      </c>
      <c r="W323" s="264">
        <f>IF(ISNUMBER(W290),W290+N(W287)-W295-W302,"")</f>
        <v>2403.432</v>
      </c>
      <c r="X323" s="264">
        <f>IF(ISNUMBER(X290),X290+N(X287)-X295-X302,"")</f>
        <v>2403.432</v>
      </c>
      <c r="Y323" s="264">
        <f>IF(ISNUMBER(Y290),Y290+N(Y287)-Y295-Y302,"")</f>
        <v>2786.842</v>
      </c>
      <c r="Z323" s="264">
        <f>IF(ISNUMBER(Z290),Z290+N(Z287)-Z295-Z302,"")</f>
        <v>3151.35</v>
      </c>
      <c r="AA323" s="264">
        <f>IF(ISNUMBER(AA290),AA290+N(AA287)-AA295-AA302,"")</f>
        <v>3837.67</v>
      </c>
      <c r="AB323" s="264">
        <f>IF(ISNUMBER(AB290),AB290+N(AB287)-AB295-AB302,"")</f>
        <v>4473.443</v>
      </c>
      <c r="AC323" s="264">
        <f>IF(ISNUMBER(AC290),AC290+N(AC287)-AC295-AC302,"")</f>
        <v>4473.443</v>
      </c>
      <c r="AD323" s="264">
        <f>IF(ISNUMBER(AD290),AD290+N(AD287)-AD295-AD302,"")</f>
        <v>5158.85</v>
      </c>
      <c r="AE323" s="264">
        <f>IF(ISNUMBER(AE290),AE290+N(AE287)-AE295-AE302,"")</f>
        <v>5776.121</v>
      </c>
      <c r="AF323" s="264">
        <f>IF(ISNUMBER(AF290),AF290+N(AF287)-AF295-AF302,"")</f>
        <v>6524.501</v>
      </c>
      <c r="AG323" s="264">
        <f>IF(ISNUMBER(AG290),AG290+N(AG287)-AG295-AG302,"")</f>
        <v>7179.152</v>
      </c>
      <c r="AH323" s="264">
        <f>IF(ISNUMBER(AH290),AH290+N(AH287)-AH295-AH302,"")</f>
        <v>7179.152</v>
      </c>
      <c r="AI323" s="264">
        <f>IF(ISNUMBER(AI290),AI290+N(AI287)-AI295-AI302,"")</f>
        <v>8030.768</v>
      </c>
      <c r="AJ323" s="264">
        <f>IF(ISNUMBER(AJ290),AJ290+N(AJ287)-AJ295-AJ302,"")</f>
        <v>8950.488</v>
      </c>
      <c r="AK323" s="264">
        <f>IF(ISNUMBER(AK290),AK290+N(AK287)-AK295-AK302,"")</f>
        <v>10189.525</v>
      </c>
      <c r="AL323" s="264">
        <f>IF(ISNUMBER(AL290),AL290+N(AL287)-AL295-AL302,"")</f>
        <v>11667.095</v>
      </c>
      <c r="AM323" s="264">
        <f>IF(ISNUMBER(AM290),AM290+N(AM287)-AM295-AM302,"")</f>
        <v>11667.095</v>
      </c>
      <c r="AN323" s="264">
        <f>IF(ISNUMBER(AN290),AN290+N(AN287)-AN295-AN302,"")</f>
        <v>12465.07</v>
      </c>
      <c r="AO323" s="264">
        <f>IF(ISNUMBER(AO290),AO290+N(AO287)-AO295-AO302,"")</f>
        <v>13533.099</v>
      </c>
      <c r="AP323" s="264">
        <f>IF(ISNUMBER(AP290),AP290+N(AP287)-AP295-AP302,"")</f>
        <v>14954.9</v>
      </c>
      <c r="AQ323" s="264">
        <f>IF(ISNUMBER(AQ290),AQ290+N(AQ287)-AQ295-AQ302,"")</f>
        <v>16756.683</v>
      </c>
      <c r="AR323" s="264">
        <f>IF(ISNUMBER(AR290),AR290+N(AR287)-AR295-AR302,"")</f>
        <v>16756.683</v>
      </c>
      <c r="AS323" s="264">
        <f>IF(ISNUMBER(AS290),AS290+N(AS287)-AS295-AS302,"")</f>
        <v>17299.253</v>
      </c>
      <c r="AT323" s="264">
        <f>IF(ISNUMBER(AT290),AT290+N(AT287)-AT295-AT302,"")</f>
        <v>17282.22</v>
      </c>
      <c r="AU323" s="264">
        <f>IF(ISNUMBER(AU290),AU290+N(AU287)-AU295-AU302,"")</f>
        <v>17541.405</v>
      </c>
      <c r="AV323" s="264">
        <f>IF(ISNUMBER(AV290),AV290+N(AV287)-AV295-AV302,"")</f>
        <v>18336.33</v>
      </c>
      <c r="AW323" s="264">
        <f>IF(ISNUMBER(AW290),AW290+N(AW287)-AW295-AW302,"")</f>
        <v>18336.33</v>
      </c>
      <c r="AX323" s="264">
        <f>IF(ISNUMBER(AX290),AX290+N(AX287)-AX295-AX302,"")</f>
        <v>19280.408</v>
      </c>
      <c r="AY323" s="264">
        <f>IF(ISNUMBER(AY290),AY290+N(AY287)-AY295-AY302,"")</f>
        <v>20828.48</v>
      </c>
      <c r="AZ323" s="264">
        <f>IF(ISNUMBER(AZ290),AZ290+N(AZ287)-AZ295-AZ302,"")</f>
        <v>22562.057</v>
      </c>
      <c r="BA323" s="264">
        <f>IF(ISNUMBER(BA290),BA290+N(BA287)-BA295-BA302,"")</f>
        <v>23532.359</v>
      </c>
      <c r="BB323" s="264">
        <f>IF(ISNUMBER(BB290),BB290+N(BB287)-BB295-BB302,"")</f>
        <v>23532.359</v>
      </c>
      <c r="BC323" s="264">
        <f>IF(ISNUMBER(BC290),BC290+N(BC287)-BC295-BC302,"")</f>
        <v>24180.41</v>
      </c>
      <c r="BD323" s="264">
        <f>IF(ISNUMBER(BD290),BD290+N(BD287)-BD295-BD302,"")</f>
        <v>25368.272</v>
      </c>
      <c r="BE323" s="264">
        <f>IF(ISNUMBER(BE290),BE290+N(BE287)-BE295-BE302,"")</f>
        <v>25596.082</v>
      </c>
      <c r="BF323" s="264">
        <f>IF(ISNUMBER(BF290),BF290+N(BF287)-BF295-BF302,"")</f>
        <v>25175.286</v>
      </c>
      <c r="BG323" s="264">
        <f>IF(ISNUMBER(BG290),BG290+N(BG287)-BG295-BG302,"")</f>
        <v>25175.286</v>
      </c>
      <c r="BH323" s="264">
        <f>IF(ISNUMBER(BH290),BH290+N(BH287)-BH295-BH302,"")</f>
        <v>25096.575</v>
      </c>
      <c r="BI323" s="264">
        <f>IF(ISNUMBER(BI290),BI290+N(BI287)-BI295-BI302,"")</f>
        <v>25230.975</v>
      </c>
      <c r="BJ323" s="264">
        <f>IF(ISNUMBER(BJ290),BJ290+N(BJ287)-BJ295-BJ302,"")</f>
        <v>24821.807</v>
      </c>
      <c r="BK323" s="264">
        <f>IF(ISNUMBER(BK290),BK290+N(BK287)-BK295-BK302,"")</f>
        <v>24613.413</v>
      </c>
      <c r="BL323" s="264">
        <f>IF(ISNUMBER(BL290),BL290+N(BL287)-BL295-BL302,"")</f>
        <v>24613.413</v>
      </c>
      <c r="BM323" s="264">
        <f>IF(ISNUMBER(BM290),BM290+N(BM287)-BM295-BM302,"")</f>
        <v>24855.387</v>
      </c>
      <c r="BN323" s="264">
        <f>IF(ISNUMBER(BN290),BN290+N(BN287)-BN295-BN302,"")</f>
        <v>25507.136</v>
      </c>
      <c r="BO323" s="264">
        <f>IF(ISNUMBER(BO290),BO290+N(BO287)-BO295-BO302,"")</f>
        <v>25767.322</v>
      </c>
      <c r="BP323" s="264">
        <f>IF(ISNUMBER(BP290),BP290+N(BP287)-BP295-BP302,"")</f>
        <v>26277.975</v>
      </c>
      <c r="BQ323" s="264">
        <f>IF(ISNUMBER(BQ290),BQ290+N(BQ287)-BQ295-BQ302,"")</f>
        <v>26277.975</v>
      </c>
      <c r="BR323" s="264">
        <f>IF(ISNUMBER(BR290),BR290+N(BR287)-BR295-BR302,"")</f>
        <v>26215.272</v>
      </c>
      <c r="BS323" s="264">
        <f>IF(ISNUMBER(BS290),BS290+N(BS287)-BS295-BS302,"")</f>
        <v>26391.22</v>
      </c>
      <c r="BT323" s="264">
        <f>IF(ISNUMBER(BT290),BT290+N(BT287)-BT295-BT302,"")</f>
        <v>26945.266</v>
      </c>
      <c r="BU323" s="264">
        <f>IF(ISNUMBER(BU290),BU290+N(BU287)-BU295-BU302,"")</f>
        <v>27114.062</v>
      </c>
      <c r="BV323" s="264">
        <f>IF(ISNUMBER(BV290),BV290+N(BV287)-BV295-BV302,"")</f>
        <v>27114.062</v>
      </c>
      <c r="BW323" s="264">
        <f>IF(ISNUMBER(BW290),BW290+N(BW287)-BW295-BW302,"")</f>
        <v>27697.519</v>
      </c>
      <c r="BX323" s="264">
        <f>IF(ISNUMBER(BX290),BX290+N(BX287)-BX295-BX302,"")</f>
        <v>28345.451</v>
      </c>
      <c r="BY323" s="35" t="n"/>
      <c r="BZ323" s="35" t="n"/>
      <c r="CA323" s="254">
        <f>IF(ISNUMBER(CA290),CA290+N(CA287)-CA295-CA302,"")</f>
        <v>28770.08026</v>
      </c>
      <c r="CB323" s="254">
        <f>IF(ISNUMBER(CB290),CB290+N(CB287)-CB295-CB302,"")</f>
        <v>30721.0335808</v>
      </c>
      <c r="CC323" s="254">
        <f>IF(ISNUMBER(CC290),CC290+N(CC287)-CC295-CC302,"")</f>
        <v>32391.0496234048</v>
      </c>
      <c r="CD323" s="254">
        <f>IF(ISNUMBER(CD290),CD290+N(CD287)-CD295-CD302,"")</f>
        <v>33947.2958231072</v>
      </c>
      <c r="CE323" s="254">
        <f>IF(ISNUMBER(CE290),CE290+N(CE287)-CE295-CE302,"")</f>
        <v>35361.2566559796</v>
      </c>
      <c r="CF323" s="254">
        <f>IF(ISNUMBER(CF290),CF290+N(CF287)-CF295-CF302,"")</f>
        <v>36604.3638882133</v>
      </c>
      <c r="CG323" s="19" t="n"/>
    </row>
    <row r="324" ht="15" customHeight="1" s="251">
      <c r="B324" s="25" t="inlineStr">
        <is>
          <t xml:space="preserve">  Content assets / annualised content amortization (years)</t>
        </is>
      </c>
      <c r="C324" s="286">
        <f>IF(AND(ISNUMBER(C290),ISNUMBER(C96)),IFERROR((C290+N(C287))/(C96*1),""),"")</f>
        <v>0.743185038254463</v>
      </c>
      <c r="D324" s="286">
        <f>IF(AND(ISNUMBER(D290),ISNUMBER(D96)),IFERROR((D290+N(D287))/(D96*1),""),"")</f>
        <v>0.651156502716122</v>
      </c>
      <c r="E324" s="286">
        <f>IF(AND(ISNUMBER(E290),ISNUMBER(E96)),IFERROR((E290+N(E287))/(E96*1),""),"")</f>
        <v>0.558922944168729</v>
      </c>
      <c r="F324" s="286">
        <f>IF(AND(ISNUMBER(F290),ISNUMBER(F96)),IFERROR((F290+N(F287))/(F96*1),""),"")</f>
        <v>0.665811654289489</v>
      </c>
      <c r="G324" s="286">
        <f>IF(AND(ISNUMBER(G290),ISNUMBER(G96)),IFERROR((G290+N(G287))/(G96*1),""),"")</f>
        <v>1.204204314096</v>
      </c>
      <c r="H324" s="286">
        <f>IF(AND(ISNUMBER(H290),ISNUMBER(H96)),IFERROR((H290+N(H287))/(H96*1),""),"")</f>
        <v>2.47105439065578</v>
      </c>
      <c r="I324" s="286">
        <f>IF(AND(ISNUMBER(I290),ISNUMBER(I96)),IFERROR((I290+N(I287))/(I96*1),""),"")</f>
        <v>1.7349666246935</v>
      </c>
      <c r="J324" s="286">
        <f>IF(AND(ISNUMBER(J290),ISNUMBER(J96)),IFERROR((J290+N(J287))/(J96*4),""),"")</f>
        <v>1.47237820376724</v>
      </c>
      <c r="K324" s="286">
        <f>IF(AND(ISNUMBER(K290),ISNUMBER(K96)),IFERROR((K290+N(K287))/(K96*4),""),"")</f>
        <v>1.44225735331721</v>
      </c>
      <c r="L324" s="286">
        <f>IF(AND(ISNUMBER(L290),ISNUMBER(L96)),IFERROR((L290+N(L287))/(L96*4),""),"")</f>
        <v>1.48259930990997</v>
      </c>
      <c r="M324" s="286">
        <f>IF(AND(ISNUMBER(M290),ISNUMBER(M96)),IFERROR((M290+N(M287))/(M96*4),""),"")</f>
        <v>1.6079348949071</v>
      </c>
      <c r="N324" s="286">
        <f>IF(AND(ISNUMBER(N290),ISNUMBER(N96)),IFERROR((N290+N(N287))/(N96*1),""),"")</f>
        <v>1.73140090803563</v>
      </c>
      <c r="O324" s="286">
        <f>IF(AND(ISNUMBER(O290),ISNUMBER(O96)),IFERROR((O290+N(O287))/(O96*4),""),"")</f>
        <v>1.60121811249303</v>
      </c>
      <c r="P324" s="286">
        <f>IF(AND(ISNUMBER(P290),ISNUMBER(P96)),IFERROR((P290+N(P287))/(P96*4),""),"")</f>
        <v>1.57598672175133</v>
      </c>
      <c r="Q324" s="286">
        <f>IF(AND(ISNUMBER(Q290),ISNUMBER(Q96)),IFERROR((Q290+N(Q287))/(Q96*4),""),"")</f>
        <v>1.64633430481401</v>
      </c>
      <c r="R324" s="286">
        <f>IF(AND(ISNUMBER(R290),ISNUMBER(R96)),IFERROR((R290+N(R287))/(R96*4),""),"")</f>
        <v>1.63185398071499</v>
      </c>
      <c r="S324" s="286">
        <f>IF(AND(ISNUMBER(S290),ISNUMBER(S96)),IFERROR((S290+N(S287))/(S96*1),""),"")</f>
        <v>1.79598279913629</v>
      </c>
      <c r="T324" s="286">
        <f>IF(AND(ISNUMBER(T290),ISNUMBER(T96)),IFERROR((T290+N(T287))/(T96*4),""),"")</f>
        <v>1.84338195128344</v>
      </c>
      <c r="U324" s="286">
        <f>IF(AND(ISNUMBER(U290),ISNUMBER(U96)),IFERROR((U290+N(U287))/(U96*4),""),"")</f>
        <v>1.8234580804422</v>
      </c>
      <c r="V324" s="286">
        <f>IF(AND(ISNUMBER(V290),ISNUMBER(V96)),IFERROR((V290+N(V287))/(V96*4),""),"")</f>
        <v>1.85029022732789</v>
      </c>
      <c r="W324" s="286">
        <f>IF(AND(ISNUMBER(W290),ISNUMBER(W96)),IFERROR((W290+N(W287))/(W96*4),""),"")</f>
        <v>1.84030631598913</v>
      </c>
      <c r="X324" s="286">
        <f>IF(AND(ISNUMBER(X290),ISNUMBER(X96)),IFERROR((X290+N(X287))/(X96*1),""),"")</f>
        <v>2.07153745363385</v>
      </c>
      <c r="Y324" s="286">
        <f>IF(AND(ISNUMBER(Y290),ISNUMBER(Y96)),IFERROR((Y290+N(Y287))/(Y96*4),""),"")</f>
        <v>1.97384175717032</v>
      </c>
      <c r="Z324" s="286">
        <f>IF(AND(ISNUMBER(Z290),ISNUMBER(Z96)),IFERROR((Z290+N(Z287))/(Z96*4),""),"")</f>
        <v>1.90152603937486</v>
      </c>
      <c r="AA324" s="286">
        <f>IF(AND(ISNUMBER(AA290),ISNUMBER(AA96)),IFERROR((AA290+N(AA287))/(AA96*4),""),"")</f>
        <v>2.07297316534126</v>
      </c>
      <c r="AB324" s="286">
        <f>IF(AND(ISNUMBER(AB290),ISNUMBER(AB96)),IFERROR((AB290+N(AB287))/(AB96*4),""),"")</f>
        <v>2.03761833988534</v>
      </c>
      <c r="AC324" s="286">
        <f>IF(AND(ISNUMBER(AC290),ISNUMBER(AC96)),IFERROR((AC290+N(AC287))/(AC96*1),""),"")</f>
        <v>2.26007622060833</v>
      </c>
      <c r="AD324" s="286">
        <f>IF(AND(ISNUMBER(AD290),ISNUMBER(AD96)),IFERROR((AD290+N(AD287))/(AD96*4),""),"")</f>
        <v>2.27590046976435</v>
      </c>
      <c r="AE324" s="286">
        <f>IF(AND(ISNUMBER(AE290),ISNUMBER(AE96)),IFERROR((AE290+N(AE287))/(AE96*4),""),"")</f>
        <v>2.10992515815365</v>
      </c>
      <c r="AF324" s="286">
        <f>IF(AND(ISNUMBER(AF290),ISNUMBER(AF96)),IFERROR((AF290+N(AF287))/(AF96*4),""),"")</f>
        <v>2.12756515978195</v>
      </c>
      <c r="AG324" s="286">
        <f>IF(AND(ISNUMBER(AG290),ISNUMBER(AG96)),IFERROR((AG290+N(AG287))/(AG96*4),""),"")</f>
        <v>2.12640442440758</v>
      </c>
      <c r="AH324" s="286">
        <f>IF(AND(ISNUMBER(AH290),ISNUMBER(AH96)),IFERROR((AH290+N(AH287))/(AH96*1),""),"")</f>
        <v>2.34593752406737</v>
      </c>
      <c r="AI324" s="286">
        <f>IF(AND(ISNUMBER(AI290),ISNUMBER(AI96)),IFERROR((AI290+N(AI287))/(AI96*4),""),"")</f>
        <v>2.26442106094508</v>
      </c>
      <c r="AJ324" s="286">
        <f>IF(AND(ISNUMBER(AJ290),ISNUMBER(AJ96)),IFERROR((AJ290+N(AJ287))/(AJ96*4),""),"")</f>
        <v>2.33679661951994</v>
      </c>
      <c r="AK324" s="286">
        <f>IF(AND(ISNUMBER(AK290),ISNUMBER(AK96)),IFERROR((AK290+N(AK287))/(AK96*4),""),"")</f>
        <v>2.39320785065093</v>
      </c>
      <c r="AL324" s="286">
        <f>IF(AND(ISNUMBER(AL290),ISNUMBER(AL96)),IFERROR((AL290+N(AL287))/(AL96*4),""),"")</f>
        <v>2.43768741288407</v>
      </c>
      <c r="AM324" s="286">
        <f>IF(AND(ISNUMBER(AM290),ISNUMBER(AM96)),IFERROR((AM290+N(AM287))/(AM96*1),""),"")</f>
        <v>2.65566397739427</v>
      </c>
      <c r="AN324" s="286">
        <f>IF(AND(ISNUMBER(AN290),ISNUMBER(AN96)),IFERROR((AN290+N(AN287))/(AN96*4),""),"")</f>
        <v>2.44806323378782</v>
      </c>
      <c r="AO324" s="286">
        <f>IF(AND(ISNUMBER(AO290),ISNUMBER(AO96)),IFERROR((AO290+N(AO287))/(AO96*4),""),"")</f>
        <v>2.44977051408506</v>
      </c>
      <c r="AP324" s="286">
        <f>IF(AND(ISNUMBER(AP290),ISNUMBER(AP96)),IFERROR((AP290+N(AP287))/(AP96*4),""),"")</f>
        <v>2.54030864621358</v>
      </c>
      <c r="AQ324" s="286">
        <f>IF(AND(ISNUMBER(AQ290),ISNUMBER(AQ96)),IFERROR((AQ290+N(AQ287))/(AQ96*4),""),"")</f>
        <v>2.39597229012261</v>
      </c>
      <c r="AR324" s="286">
        <f>IF(AND(ISNUMBER(AR290),ISNUMBER(AR96)),IFERROR((AR290+N(AR287))/(AR96*1),""),"")</f>
        <v>2.65884442984221</v>
      </c>
      <c r="AS324" s="286">
        <f>IF(AND(ISNUMBER(AS290),ISNUMBER(AS96)),IFERROR((AS290+N(AS287))/(AS96*4),""),"")</f>
        <v>2.54359362321992</v>
      </c>
      <c r="AT324" s="286">
        <f>IF(AND(ISNUMBER(AT290),ISNUMBER(AT96)),IFERROR((AT290+N(AT287))/(AT96*4),""),"")</f>
        <v>2.41211957153361</v>
      </c>
      <c r="AU324" s="286">
        <f>IF(AND(ISNUMBER(AU290),ISNUMBER(AU96)),IFERROR((AU290+N(AU287))/(AU96*4),""),"")</f>
        <v>2.29242772638101</v>
      </c>
      <c r="AV324" s="286">
        <f>IF(AND(ISNUMBER(AV290),ISNUMBER(AV96)),IFERROR((AV290+N(AV287))/(AV96*4),""),"")</f>
        <v>2.12765181677214</v>
      </c>
      <c r="AW324" s="286">
        <f>IF(AND(ISNUMBER(AW290),ISNUMBER(AW96)),IFERROR((AW290+N(AW287))/(AW96*1),""),"")</f>
        <v>2.34886246876073</v>
      </c>
      <c r="AX324" s="286">
        <f>IF(AND(ISNUMBER(AX290),ISNUMBER(AX96)),IFERROR((AX290+N(AX287))/(AX96*4),""),"")</f>
        <v>2.3944569460973</v>
      </c>
      <c r="AY324" s="286">
        <f>IF(AND(ISNUMBER(AY290),ISNUMBER(AY96)),IFERROR((AY290+N(AY287))/(AY96*4),""),"")</f>
        <v>2.43084748021147</v>
      </c>
      <c r="AZ324" s="286">
        <f>IF(AND(ISNUMBER(AZ290),ISNUMBER(AZ96)),IFERROR((AZ290+N(AZ287))/(AZ96*4),""),"")</f>
        <v>2.44461241132873</v>
      </c>
      <c r="BA324" s="286">
        <f>IF(AND(ISNUMBER(BA290),ISNUMBER(BA96)),IFERROR((BA290+N(BA287))/(BA96*4),""),"")</f>
        <v>2.0660865545475</v>
      </c>
      <c r="BB324" s="286">
        <f>IF(AND(ISNUMBER(BB290),ISNUMBER(BB96)),IFERROR((BB290+N(BB287))/(BB96*1),""),"")</f>
        <v>2.52809576360219</v>
      </c>
      <c r="BC324" s="286">
        <f>IF(AND(ISNUMBER(BC290),ISNUMBER(BC96)),IFERROR((BC290+N(BC287))/(BC96*4),""),"")</f>
        <v>2.46275460978125</v>
      </c>
      <c r="BD324" s="286">
        <f>IF(AND(ISNUMBER(BD290),ISNUMBER(BD96)),IFERROR((BD290+N(BD287))/(BD96*4),""),"")</f>
        <v>2.49384602624436</v>
      </c>
      <c r="BE324" s="286">
        <f>IF(AND(ISNUMBER(BE290),ISNUMBER(BE96)),IFERROR((BE290+N(BE287))/(BE96*4),""),"")</f>
        <v>2.24281611083011</v>
      </c>
      <c r="BF324" s="286">
        <f>IF(AND(ISNUMBER(BF290),ISNUMBER(BF96)),IFERROR((BF290+N(BF287))/(BF96*4),""),"")</f>
        <v>2.07466087866464</v>
      </c>
      <c r="BG324" s="286">
        <f>IF(AND(ISNUMBER(BG290),ISNUMBER(BG96)),IFERROR((BG290+N(BG287))/(BG96*1),""),"")</f>
        <v>2.33398010228337</v>
      </c>
      <c r="BH324" s="286">
        <f>IF(AND(ISNUMBER(BH290),ISNUMBER(BH96)),IFERROR((BH290+N(BH287))/(BH96*4),""),"")</f>
        <v>2.33737959481894</v>
      </c>
      <c r="BI324" s="286">
        <f>IF(AND(ISNUMBER(BI290),ISNUMBER(BI96)),IFERROR((BI290+N(BI287))/(BI96*4),""),"")</f>
        <v>2.38420628494663</v>
      </c>
      <c r="BJ324" s="286">
        <f>IF(AND(ISNUMBER(BJ290),ISNUMBER(BJ96)),IFERROR((BJ290+N(BJ287))/(BJ96*4),""),"")</f>
        <v>2.22129334829221</v>
      </c>
      <c r="BK324" s="286">
        <f>IF(AND(ISNUMBER(BK290),ISNUMBER(BK96)),IFERROR((BK290+N(BK287))/(BK96*4),""),"")</f>
        <v>2.10824385954584</v>
      </c>
      <c r="BL324" s="286">
        <f>IF(AND(ISNUMBER(BL290),ISNUMBER(BL96)),IFERROR((BL290+N(BL287))/(BL96*1),""),"")</f>
        <v>2.22984303434486</v>
      </c>
      <c r="BM324" s="286">
        <f>IF(AND(ISNUMBER(BM290),ISNUMBER(BM96)),IFERROR((BM290+N(BM287))/(BM96*4),""),"")</f>
        <v>2.15634581515499</v>
      </c>
      <c r="BN324" s="286">
        <f>IF(AND(ISNUMBER(BN290),ISNUMBER(BN96)),IFERROR((BN290+N(BN287))/(BN96*4),""),"")</f>
        <v>2.11737271499779</v>
      </c>
      <c r="BO324" s="286">
        <f>IF(AND(ISNUMBER(BO290),ISNUMBER(BO96)),IFERROR((BO290+N(BO287))/(BO96*4),""),"")</f>
        <v>2.17429378019479</v>
      </c>
      <c r="BP324" s="286">
        <f>IF(AND(ISNUMBER(BP290),ISNUMBER(BP96)),IFERROR((BP290+N(BP287))/(BP96*4),""),"")</f>
        <v>1.94956471234778</v>
      </c>
      <c r="BQ324" s="286">
        <f>IF(AND(ISNUMBER(BQ290),ISNUMBER(BQ96)),IFERROR((BQ290+N(BQ287))/(BQ96*1),""),"")</f>
        <v>2.12086566318882</v>
      </c>
      <c r="BR324" s="286">
        <f>IF(AND(ISNUMBER(BR290),ISNUMBER(BR96)),IFERROR((BR290+N(BR287))/(BR96*4),""),"")</f>
        <v>2.09520666671549</v>
      </c>
      <c r="BS324" s="286">
        <f>IF(AND(ISNUMBER(BS290),ISNUMBER(BS96)),IFERROR((BS290+N(BS287))/(BS96*4),""),"")</f>
        <v>2.09347431704085</v>
      </c>
      <c r="BT324" s="286">
        <f>IF(AND(ISNUMBER(BT290),ISNUMBER(BT96)),IFERROR((BT290+N(BT287))/(BT96*4),""),"")</f>
        <v>2.03859396204204</v>
      </c>
      <c r="BU324" s="286">
        <f>IF(AND(ISNUMBER(BU290),ISNUMBER(BU96)),IFERROR((BU290+N(BU287))/(BU96*4),""),"")</f>
        <v>1.72002352528296</v>
      </c>
      <c r="BV324" s="286">
        <f>IF(AND(ISNUMBER(BV290),ISNUMBER(BV96)),IFERROR((BV290+N(BV287))/(BV96*1),""),"")</f>
        <v>1.99598469531973</v>
      </c>
      <c r="BW324" s="286">
        <f>IF(AND(ISNUMBER(BW290),ISNUMBER(BW96)),IFERROR((BW290+N(BW287))/(BW96*4),""),"")</f>
        <v>1.97825309988383</v>
      </c>
      <c r="BX324" s="286">
        <f>IF(AND(ISNUMBER(BX290),ISNUMBER(BX96)),IFERROR((BX290+N(BX287))/(BX96*4),""),"")</f>
        <v>1.96214032675459</v>
      </c>
      <c r="BY324" s="35" t="n"/>
      <c r="BZ324" s="35" t="n"/>
      <c r="CA324" s="287">
        <f>IF(AND(ISNUMBER(CA290),ISNUMBER(CA96)),IFERROR((CA290+N(CA287))/(CA96*1),""),"")</f>
        <v>1.89667164489751</v>
      </c>
      <c r="CB324" s="287">
        <f>IF(AND(ISNUMBER(CB290),ISNUMBER(CB96)),IFERROR((CB290+N(CB287))/(CB96*1),""),"")</f>
        <v>1.85617744897918</v>
      </c>
      <c r="CC324" s="287">
        <f>IF(AND(ISNUMBER(CC290),ISNUMBER(CC96)),IFERROR((CC290+N(CC287))/(CC96*1),""),"")</f>
        <v>1.81474527941979</v>
      </c>
      <c r="CD324" s="287">
        <f>IF(AND(ISNUMBER(CD290),ISNUMBER(CD96)),IFERROR((CD290+N(CD287))/(CD96*1),""),"")</f>
        <v>1.77398617785896</v>
      </c>
      <c r="CE324" s="287">
        <f>IF(AND(ISNUMBER(CE290),ISNUMBER(CE96)),IFERROR((CE290+N(CE287))/(CE96*1),""),"")</f>
        <v>1.73357186590468</v>
      </c>
      <c r="CF324" s="287">
        <f>IF(AND(ISNUMBER(CF290),ISNUMBER(CF96)),IFERROR((CF290+N(CF287))/(CF96*1),""),"")</f>
        <v>1.69319608142624</v>
      </c>
      <c r="CG324" s="19" t="n"/>
    </row>
    <row r="325" ht="15" customHeight="1" s="251">
      <c r="B325" s="25" t="inlineStr">
        <is>
          <t xml:space="preserve">  Cash and short-term investments in months of revenue</t>
        </is>
      </c>
      <c r="C325" s="286">
        <f>IF(ISNUMBER(C285),IFERROR((C285+N(C286))/(C316/12),""),"")</f>
        <v>4.82126301848173</v>
      </c>
      <c r="D325" s="286">
        <f>IF(ISNUMBER(D285),IFERROR((D285+N(D286))/(D316/12),""),"")</f>
        <v>3.83435711085669</v>
      </c>
      <c r="E325" s="286">
        <f>IF(ISNUMBER(E285),IFERROR((E285+N(E286))/(E316/12),""),"")</f>
        <v>2.61402062490245</v>
      </c>
      <c r="F325" s="286">
        <f>IF(ISNUMBER(F285),IFERROR((F285+N(F286))/(F316/12),""),"")</f>
        <v>2.30076951676646</v>
      </c>
      <c r="G325" s="286">
        <f>IF(ISNUMBER(G285),IFERROR((G285+N(G286))/(G316/12),""),"")</f>
        <v>1.94423166290966</v>
      </c>
      <c r="H325" s="286">
        <f>IF(ISNUMBER(H285),IFERROR((H285+N(H286))/(H316/12),""),"")</f>
        <v>2.98751816542402</v>
      </c>
      <c r="I325" s="286">
        <f>IF(ISNUMBER(I285),IFERROR((I285+N(I286))/(I316/12),""),"")</f>
        <v>2.48718055280801</v>
      </c>
      <c r="J325" s="286">
        <f>IF(ISNUMBER(J285),IFERROR((J285+N(J286))/(J316/12),""),"")</f>
        <v>3.0055988460498</v>
      </c>
      <c r="K325" s="286">
        <f>IF(ISNUMBER(K285),IFERROR((K285+N(K286))/(K316/12),""),"")</f>
        <v>3.03012422244084</v>
      </c>
      <c r="L325" s="286">
        <f>IF(ISNUMBER(L285),IFERROR((L285+N(L286))/(L316/12),""),"")</f>
        <v>3.07862936584934</v>
      </c>
      <c r="M325" s="286">
        <f>IF(ISNUMBER(M285),IFERROR((M285+N(M286))/(M316/12),""),"")</f>
        <v>3.0642640164053</v>
      </c>
      <c r="N325" s="286">
        <f>IF(ISNUMBER(N285),IFERROR((N285+N(N286))/(N316/12),""),"")</f>
        <v>3.29286909180851</v>
      </c>
      <c r="O325" s="286">
        <f>IF(ISNUMBER(O285),IFERROR((O285+N(O286))/(O316/12),""),"")</f>
        <v>3.94045535391614</v>
      </c>
      <c r="P325" s="286">
        <f>IF(ISNUMBER(P285),IFERROR((P285+N(P286))/(P316/12),""),"")</f>
        <v>3.83696519042351</v>
      </c>
      <c r="Q325" s="286">
        <f>IF(ISNUMBER(Q285),IFERROR((Q285+N(Q286))/(Q316/12),""),"")</f>
        <v>3.54785261012947</v>
      </c>
      <c r="R325" s="286">
        <f>IF(ISNUMBER(R285),IFERROR((R285+N(R286))/(R316/12),""),"")</f>
        <v>3.25008216993281</v>
      </c>
      <c r="S325" s="286">
        <f>IF(ISNUMBER(S285),IFERROR((S285+N(S286))/(S316/12),""),"")</f>
        <v>3.50647742565566</v>
      </c>
      <c r="T325" s="286">
        <f>IF(ISNUMBER(T285),IFERROR((T285+N(T286))/(T316/12),""),"")</f>
        <v>5.64042999652286</v>
      </c>
      <c r="U325" s="286">
        <f>IF(ISNUMBER(U285),IFERROR((U285+N(U286))/(U316/12),""),"")</f>
        <v>5.10141947377445</v>
      </c>
      <c r="V325" s="286">
        <f>IF(ISNUMBER(V285),IFERROR((V285+N(V286))/(V316/12),""),"")</f>
        <v>4.50364051071271</v>
      </c>
      <c r="W325" s="286">
        <f>IF(ISNUMBER(W285),IFERROR((W285+N(W286))/(W316/12),""),"")</f>
        <v>3.80190837329221</v>
      </c>
      <c r="X325" s="286">
        <f>IF(ISNUMBER(X285),IFERROR((X285+N(X286))/(X316/12),""),"")</f>
        <v>4.09005605271531</v>
      </c>
      <c r="Y325" s="286">
        <f>IF(ISNUMBER(Y285),IFERROR((Y285+N(Y286))/(Y316/12),""),"")</f>
        <v>3.17581788351443</v>
      </c>
      <c r="Z325" s="286">
        <f>IF(ISNUMBER(Z285),IFERROR((Z285+N(Z286))/(Z316/12),""),"")</f>
        <v>2.61384834913861</v>
      </c>
      <c r="AA325" s="286">
        <f>IF(ISNUMBER(AA285),IFERROR((AA285+N(AA286))/(AA316/12),""),"")</f>
        <v>1.75957956290051</v>
      </c>
      <c r="AB325" s="286">
        <f>IF(ISNUMBER(AB285),IFERROR((AB285+N(AB286))/(AB316/12),""),"")</f>
        <v>2.09939855687555</v>
      </c>
      <c r="AC325" s="286">
        <f>IF(ISNUMBER(AC285),IFERROR((AC285+N(AC286))/(AC316/12),""),"")</f>
        <v>2.35603712470709</v>
      </c>
      <c r="AD325" s="286">
        <f>IF(ISNUMBER(AD285),IFERROR((AD285+N(AD286))/(AD316/12),""),"")</f>
        <v>1.52606902358499</v>
      </c>
      <c r="AE325" s="286">
        <f>IF(ISNUMBER(AE285),IFERROR((AE285+N(AE286))/(AE316/12),""),"")</f>
        <v>2.3316424121798</v>
      </c>
      <c r="AF325" s="286">
        <f>IF(ISNUMBER(AF285),IFERROR((AF285+N(AF286))/(AF316/12),""),"")</f>
        <v>1.75532814112827</v>
      </c>
      <c r="AG325" s="286">
        <f>IF(ISNUMBER(AG285),IFERROR((AG285+N(AG286))/(AG316/12),""),"")</f>
        <v>2.57730262907612</v>
      </c>
      <c r="AH325" s="286">
        <f>IF(ISNUMBER(AH285),IFERROR((AH285+N(AH286))/(AH316/12),""),"")</f>
        <v>2.89697865670696</v>
      </c>
      <c r="AI325" s="286">
        <f>IF(ISNUMBER(AI285),IFERROR((AI285+N(AI286))/(AI316/12),""),"")</f>
        <v>2.10248601945064</v>
      </c>
      <c r="AJ325" s="286">
        <f>IF(ISNUMBER(AJ285),IFERROR((AJ285+N(AJ286))/(AJ316/12),""),"")</f>
        <v>2.99929899904537</v>
      </c>
      <c r="AK325" s="286">
        <f>IF(ISNUMBER(AK285),IFERROR((AK285+N(AK286))/(AK316/12),""),"")</f>
        <v>2.30101060816018</v>
      </c>
      <c r="AL325" s="286">
        <f>IF(ISNUMBER(AL285),IFERROR((AL285+N(AL286))/(AL316/12),""),"")</f>
        <v>2.71886345815377</v>
      </c>
      <c r="AM325" s="286">
        <f>IF(ISNUMBER(AM285),IFERROR((AM285+N(AM286))/(AM316/12),""),"")</f>
        <v>2.88291838196985</v>
      </c>
      <c r="AN325" s="286">
        <f>IF(ISNUMBER(AN285),IFERROR((AN285+N(AN286))/(AN316/12),""),"")</f>
        <v>2.22200592259398</v>
      </c>
      <c r="AO325" s="286">
        <f>IF(ISNUMBER(AO285),IFERROR((AO285+N(AO286))/(AO316/12),""),"")</f>
        <v>3.04943881070444</v>
      </c>
      <c r="AP325" s="286">
        <f>IF(ISNUMBER(AP285),IFERROR((AP285+N(AP286))/(AP316/12),""),"")</f>
        <v>2.53675786310715</v>
      </c>
      <c r="AQ325" s="286">
        <f>IF(ISNUMBER(AQ285),IFERROR((AQ285+N(AQ286))/(AQ316/12),""),"")</f>
        <v>2.75363378872063</v>
      </c>
      <c r="AR325" s="286">
        <f>IF(ISNUMBER(AR285),IFERROR((AR285+N(AR286))/(AR316/12),""),"")</f>
        <v>2.98769143192746</v>
      </c>
      <c r="AS325" s="286">
        <f>IF(ISNUMBER(AS285),IFERROR((AS285+N(AS286))/(AS316/12),""),"")</f>
        <v>2.67969487269689</v>
      </c>
      <c r="AT325" s="286">
        <f>IF(ISNUMBER(AT285),IFERROR((AT285+N(AT286))/(AT316/12),""),"")</f>
        <v>3.49036202935257</v>
      </c>
      <c r="AU325" s="286">
        <f>IF(ISNUMBER(AU285),IFERROR((AU285+N(AU286))/(AU316/12),""),"")</f>
        <v>3.91214933346924</v>
      </c>
      <c r="AV325" s="286">
        <f>IF(ISNUMBER(AV285),IFERROR((AV285+N(AV286))/(AV316/12),""),"")</f>
        <v>3.70484835295424</v>
      </c>
      <c r="AW325" s="286">
        <f>IF(ISNUMBER(AW285),IFERROR((AW285+N(AW286))/(AW316/12),""),"")</f>
        <v>3.93928546167443</v>
      </c>
      <c r="AX325" s="286">
        <f>IF(ISNUMBER(AX285),IFERROR((AX285+N(AX286))/(AX316/12),""),"")</f>
        <v>3.519492182494</v>
      </c>
      <c r="AY325" s="286">
        <f>IF(ISNUMBER(AY285),IFERROR((AY285+N(AY286))/(AY316/12),""),"")</f>
        <v>3.17805757379991</v>
      </c>
      <c r="AZ325" s="286">
        <f>IF(ISNUMBER(AZ285),IFERROR((AZ285+N(AZ286))/(AZ316/12),""),"")</f>
        <v>3.0173237885595</v>
      </c>
      <c r="BA325" s="286">
        <f>IF(ISNUMBER(BA285),IFERROR((BA285+N(BA286))/(BA316/12),""),"")</f>
        <v>2.34565651592009</v>
      </c>
      <c r="BB325" s="286">
        <f>IF(ISNUMBER(BB285),IFERROR((BB285+N(BB286))/(BB316/12),""),"")</f>
        <v>2.43565317401492</v>
      </c>
      <c r="BC325" s="286">
        <f>IF(ISNUMBER(BC285),IFERROR((BC285+N(BC286))/(BC316/12),""),"")</f>
        <v>2.29122672290626</v>
      </c>
      <c r="BD325" s="286">
        <f>IF(ISNUMBER(BD285),IFERROR((BD285+N(BD286))/(BD316/12),""),"")</f>
        <v>2.19046902683403</v>
      </c>
      <c r="BE325" s="286">
        <f>IF(ISNUMBER(BE285),IFERROR((BE285+N(BE286))/(BE316/12),""),"")</f>
        <v>2.31417488340614</v>
      </c>
      <c r="BF325" s="286">
        <f>IF(ISNUMBER(BF285),IFERROR((BF285+N(BF286))/(BF316/12),""),"")</f>
        <v>2.31472660716885</v>
      </c>
      <c r="BG325" s="286">
        <f>IF(ISNUMBER(BG285),IFERROR((BG285+N(BG286))/(BG316/12),""),"")</f>
        <v>2.29954639410037</v>
      </c>
      <c r="BH325" s="286">
        <f>IF(ISNUMBER(BH285),IFERROR((BH285+N(BH286))/(BH316/12),""),"")</f>
        <v>2.87722886336009</v>
      </c>
      <c r="BI325" s="286">
        <f>IF(ISNUMBER(BI285),IFERROR((BI285+N(BI286))/(BI316/12),""),"")</f>
        <v>3.14278991330598</v>
      </c>
      <c r="BJ325" s="286">
        <f>IF(ISNUMBER(BJ285),IFERROR((BJ285+N(BJ286))/(BJ316/12),""),"")</f>
        <v>2.76320011501267</v>
      </c>
      <c r="BK325" s="286">
        <f>IF(ISNUMBER(BK285),IFERROR((BK285+N(BK286))/(BK316/12),""),"")</f>
        <v>2.42432721128291</v>
      </c>
      <c r="BL325" s="286">
        <f>IF(ISNUMBER(BL285),IFERROR((BL285+N(BL286))/(BL316/12),""),"")</f>
        <v>2.53992461057411</v>
      </c>
      <c r="BM325" s="286">
        <f>IF(ISNUMBER(BM285),IFERROR((BM285+N(BM286))/(BM316/12),""),"")</f>
        <v>2.25573366885653</v>
      </c>
      <c r="BN325" s="286">
        <f>IF(ISNUMBER(BN285),IFERROR((BN285+N(BN286))/(BN316/12),""),"")</f>
        <v>2.08882607635907</v>
      </c>
      <c r="BO325" s="286">
        <f>IF(ISNUMBER(BO285),IFERROR((BO285+N(BO286))/(BO316/12),""),"")</f>
        <v>2.81655140109579</v>
      </c>
      <c r="BP325" s="286">
        <f>IF(ISNUMBER(BP285),IFERROR((BP285+N(BP286))/(BP316/12),""),"")</f>
        <v>2.80595135145</v>
      </c>
      <c r="BQ325" s="286">
        <f>IF(ISNUMBER(BQ285),IFERROR((BQ285+N(BQ286))/(BQ316/12),""),"")</f>
        <v>2.94876973047283</v>
      </c>
      <c r="BR325" s="286">
        <f>IF(ISNUMBER(BR285),IFERROR((BR285+N(BR286))/(BR316/12),""),"")</f>
        <v>2.38200170903349</v>
      </c>
      <c r="BS325" s="286">
        <f>IF(ISNUMBER(BS285),IFERROR((BS285+N(BS286))/(BS316/12),""),"")</f>
        <v>2.2719724571326</v>
      </c>
      <c r="BT325" s="286">
        <f>IF(ISNUMBER(BT285),IFERROR((BT285+N(BT286))/(BT316/12),""),"")</f>
        <v>2.43027192932387</v>
      </c>
      <c r="BU325" s="286">
        <f>IF(ISNUMBER(BU285),IFERROR((BU285+N(BU286))/(BU316/12),""),"")</f>
        <v>2.2560462981511</v>
      </c>
      <c r="BV325" s="286">
        <f>IF(ISNUMBER(BV285),IFERROR((BV285+N(BV286))/(BV316/12),""),"")</f>
        <v>2.4068393279283</v>
      </c>
      <c r="BW325" s="286">
        <f>IF(ISNUMBER(BW285),IFERROR((BW285+N(BW286))/(BW316/12),""),"")</f>
        <v>3.00947602470808</v>
      </c>
      <c r="BX325" s="286">
        <f>IF(ISNUMBER(BX285),IFERROR((BX285+N(BX286))/(BX316/12),""),"")</f>
        <v>2.18024404260594</v>
      </c>
      <c r="BY325" s="35" t="n"/>
      <c r="BZ325" s="35" t="n"/>
      <c r="CA325" s="287">
        <f>IF(ISNUMBER(CA285),IFERROR((CA285+N(CA286))/(CA316/12),""),"")</f>
        <v>2.0058884375</v>
      </c>
      <c r="CB325" s="287">
        <f>IF(ISNUMBER(CB285),IFERROR((CB285+N(CB286))/(CB316/12),""),"")</f>
        <v>2.00532859027901</v>
      </c>
      <c r="CC325" s="287">
        <f>IF(ISNUMBER(CC285),IFERROR((CC285+N(CC286))/(CC316/12),""),"")</f>
        <v>2.00486516485015</v>
      </c>
      <c r="CD325" s="287">
        <f>IF(ISNUMBER(CD285),IFERROR((CD285+N(CD286))/(CD316/12),""),"")</f>
        <v>2.00448218383877</v>
      </c>
      <c r="CE325" s="287">
        <f>IF(ISNUMBER(CE285),IFERROR((CE285+N(CE286))/(CE316/12),""),"")</f>
        <v>2.00415901845557</v>
      </c>
      <c r="CF325" s="287">
        <f>IF(ISNUMBER(CF285),IFERROR((CF285+N(CF286))/(CF316/12),""),"")</f>
        <v>2.00388735861243</v>
      </c>
      <c r="CG325" s="19" t="n"/>
    </row>
    <row r="326" ht="15" customHeight="1" s="251">
      <c r="B326" s="25" t="inlineStr">
        <is>
          <t xml:space="preserve">  Δ(NWC + net content assets) y/y (investment; DCF working-capital line)</t>
        </is>
      </c>
      <c r="C326" s="34" t="n"/>
      <c r="D326" s="264">
        <f>IF(AND(ISNUMBER(D321),ISNUMBER(C321)),D321+D323-C321-C323,"")</f>
        <v>11.82</v>
      </c>
      <c r="E326" s="264">
        <f>IF(AND(ISNUMBER(E321),ISNUMBER(D321)),E321+E323-D321-D323,"")</f>
        <v>-3.41100000000003</v>
      </c>
      <c r="F326" s="264">
        <f>IF(AND(ISNUMBER(F321),ISNUMBER(E321)),F321+F323-E321-E323,"")</f>
        <v>26.764</v>
      </c>
      <c r="G326" s="264">
        <f>IF(AND(ISNUMBER(G321),ISNUMBER(F321)),G321+G323-F321-F323,"")</f>
        <v>110.435</v>
      </c>
      <c r="H326" s="264">
        <f>IF(AND(ISNUMBER(H321),ISNUMBER(G321)),H321+H323-G321-G323,"")</f>
        <v>30.2399999999998</v>
      </c>
      <c r="I326" s="264">
        <f>IF(AND(ISNUMBER(I321),ISNUMBER(H321)),I321+I323-H321-H323,"")</f>
        <v>130.876</v>
      </c>
      <c r="J326" s="34" t="n"/>
      <c r="K326" s="34" t="n"/>
      <c r="L326" s="34" t="n"/>
      <c r="M326" s="34" t="n"/>
      <c r="N326" s="264">
        <f>IF(AND(ISNUMBER(N321),ISNUMBER(I321)),N321+N323-I321-I323,"")</f>
        <v>203.463</v>
      </c>
      <c r="O326" s="264">
        <f>IF(AND(ISNUMBER(O321),ISNUMBER(J321)),O321+O323-J321-J323,"")</f>
        <v>176.722</v>
      </c>
      <c r="P326" s="264">
        <f>IF(AND(ISNUMBER(P321),ISNUMBER(K321)),P321+P323-K321-K323,"")</f>
        <v>199.016</v>
      </c>
      <c r="Q326" s="264">
        <f>IF(AND(ISNUMBER(Q321),ISNUMBER(L321)),Q321+Q323-L321-L323,"")</f>
        <v>321</v>
      </c>
      <c r="R326" s="264">
        <f>IF(AND(ISNUMBER(R321),ISNUMBER(M321)),R321+R323-M321-M323,"")</f>
        <v>416.677</v>
      </c>
      <c r="S326" s="264">
        <f>IF(AND(ISNUMBER(S321),ISNUMBER(N321)),S321+S323-N321-N323,"")</f>
        <v>416.677</v>
      </c>
      <c r="T326" s="264">
        <f>IF(AND(ISNUMBER(T321),ISNUMBER(O321)),T321+T323-O321-O323,"")</f>
        <v>510.578</v>
      </c>
      <c r="U326" s="264">
        <f>IF(AND(ISNUMBER(U321),ISNUMBER(P321)),U321+U323-P321-P323,"")</f>
        <v>704.909</v>
      </c>
      <c r="V326" s="264">
        <f>IF(AND(ISNUMBER(V321),ISNUMBER(Q321)),V321+V323-Q321-Q323,"")</f>
        <v>814.102</v>
      </c>
      <c r="W326" s="264">
        <f>IF(AND(ISNUMBER(W321),ISNUMBER(R321)),W321+W323-R321-R323,"")</f>
        <v>1011.645</v>
      </c>
      <c r="X326" s="264">
        <f>IF(AND(ISNUMBER(X321),ISNUMBER(S321)),X321+X323-S321-S323,"")</f>
        <v>1011.645</v>
      </c>
      <c r="Y326" s="264">
        <f>IF(AND(ISNUMBER(Y321),ISNUMBER(T321)),Y321+Y323-T321-T323,"")</f>
        <v>1188.734</v>
      </c>
      <c r="Z326" s="264">
        <f>IF(AND(ISNUMBER(Z321),ISNUMBER(U321)),Z321+Z323-U321-U323,"")</f>
        <v>1263.445</v>
      </c>
      <c r="AA326" s="264">
        <f>IF(AND(ISNUMBER(AA321),ISNUMBER(V321)),AA321+AA323-V321-V323,"")</f>
        <v>1598.128</v>
      </c>
      <c r="AB326" s="264">
        <f>IF(AND(ISNUMBER(AB321),ISNUMBER(W321)),AB321+AB323-W321-W323,"")</f>
        <v>1901.741</v>
      </c>
      <c r="AC326" s="264">
        <f>IF(AND(ISNUMBER(AC321),ISNUMBER(X321)),AC321+AC323-X321-X323,"")</f>
        <v>1901.741</v>
      </c>
      <c r="AD326" s="264">
        <f>IF(AND(ISNUMBER(AD321),ISNUMBER(Y321)),AD321+AD323-Y321-Y323,"")</f>
        <v>2189.759</v>
      </c>
      <c r="AE326" s="264">
        <f>IF(AND(ISNUMBER(AE321),ISNUMBER(Z321)),AE321+AE323-Z321-Z323,"")</f>
        <v>2590.051</v>
      </c>
      <c r="AF326" s="264">
        <f>IF(AND(ISNUMBER(AF321),ISNUMBER(AA321)),AF321+AF323-AA321-AA323,"")</f>
        <v>2629.685</v>
      </c>
      <c r="AG326" s="264">
        <f>IF(AND(ISNUMBER(AG321),ISNUMBER(AB321)),AG321+AG323-AB321-AB323,"")</f>
        <v>2642.427</v>
      </c>
      <c r="AH326" s="264">
        <f>IF(AND(ISNUMBER(AH321),ISNUMBER(AC321)),AH321+AH323-AC321-AC323,"")</f>
        <v>2642.427</v>
      </c>
      <c r="AI326" s="264">
        <f>IF(AND(ISNUMBER(AI321),ISNUMBER(AD321)),AI321+AI323-AD321-AD323,"")</f>
        <v>2687.096</v>
      </c>
      <c r="AJ326" s="264">
        <f>IF(AND(ISNUMBER(AJ321),ISNUMBER(AE321)),AJ321+AJ323-AE321-AE323,"")</f>
        <v>2913.481</v>
      </c>
      <c r="AK326" s="264">
        <f>IF(AND(ISNUMBER(AK321),ISNUMBER(AF321)),AK321+AK323-AF321-AF323,"")</f>
        <v>3407.425</v>
      </c>
      <c r="AL326" s="264">
        <f>IF(AND(ISNUMBER(AL321),ISNUMBER(AG321)),AL321+AL323-AG321-AG323,"")</f>
        <v>4192.134</v>
      </c>
      <c r="AM326" s="264">
        <f>IF(AND(ISNUMBER(AM321),ISNUMBER(AH321)),AM321+AM323-AH321-AH323,"")</f>
        <v>4192.134</v>
      </c>
      <c r="AN326" s="264">
        <f>IF(AND(ISNUMBER(AN321),ISNUMBER(AI321)),AN321+AN323-AI321-AI323,"")</f>
        <v>4202.314</v>
      </c>
      <c r="AO326" s="264">
        <f>IF(AND(ISNUMBER(AO321),ISNUMBER(AJ321)),AO321+AO323-AJ321-AJ323,"")</f>
        <v>4271.423</v>
      </c>
      <c r="AP326" s="264">
        <f>IF(AND(ISNUMBER(AP321),ISNUMBER(AK321)),AP321+AP323-AK321-AK323,"")</f>
        <v>4271.455</v>
      </c>
      <c r="AQ326" s="264">
        <f>IF(AND(ISNUMBER(AQ321),ISNUMBER(AL321)),AQ321+AQ323-AL321-AL323,"")</f>
        <v>4860.355</v>
      </c>
      <c r="AR326" s="264">
        <f>IF(AND(ISNUMBER(AR321),ISNUMBER(AM321)),AR321+AR323-AM321-AM323,"")</f>
        <v>4860.355</v>
      </c>
      <c r="AS326" s="264">
        <f>IF(AND(ISNUMBER(AS321),ISNUMBER(AN321)),AS321+AS323-AN321-AN323,"")</f>
        <v>4710.855</v>
      </c>
      <c r="AT326" s="264">
        <f>IF(AND(ISNUMBER(AT321),ISNUMBER(AO321)),AT321+AT323-AO321-AO323,"")</f>
        <v>3910.361</v>
      </c>
      <c r="AU326" s="264">
        <f>IF(AND(ISNUMBER(AU321),ISNUMBER(AP321)),AU321+AU323-AP321-AP323,"")</f>
        <v>2684.588</v>
      </c>
      <c r="AV326" s="264">
        <f>IF(AND(ISNUMBER(AV321),ISNUMBER(AQ321)),AV321+AV323-AQ321-AQ323,"")</f>
        <v>1541.374</v>
      </c>
      <c r="AW326" s="264">
        <f>IF(AND(ISNUMBER(AW321),ISNUMBER(AR321)),AW321+AW323-AR321-AR323,"")</f>
        <v>1541.374</v>
      </c>
      <c r="AX326" s="264">
        <f>IF(AND(ISNUMBER(AX321),ISNUMBER(AS321)),AX321+AX323-AS321-AS323,"")</f>
        <v>2017.367</v>
      </c>
      <c r="AY326" s="264">
        <f>IF(AND(ISNUMBER(AY321),ISNUMBER(AT321)),AY321+AY323-AT321-AT323,"")</f>
        <v>3488.753</v>
      </c>
      <c r="AZ326" s="264">
        <f>IF(AND(ISNUMBER(AZ321),ISNUMBER(AU321)),AZ321+AZ323-AU321-AU323,"")</f>
        <v>5077.482</v>
      </c>
      <c r="BA326" s="264">
        <f>IF(AND(ISNUMBER(BA321),ISNUMBER(AV321)),BA321+BA323-AV321-AV323,"")</f>
        <v>5062.215</v>
      </c>
      <c r="BB326" s="264">
        <f>IF(AND(ISNUMBER(BB321),ISNUMBER(AW321)),BB321+BB323-AW321-AW323,"")</f>
        <v>5062.215</v>
      </c>
      <c r="BC326" s="264">
        <f>IF(AND(ISNUMBER(BC321),ISNUMBER(AX321)),BC321+BC323-AX321-AX323,"")</f>
        <v>4576.926</v>
      </c>
      <c r="BD326" s="264">
        <f>IF(AND(ISNUMBER(BD321),ISNUMBER(AY321)),BD321+BD323-AY321-AY323,"")</f>
        <v>4345.205</v>
      </c>
      <c r="BE326" s="264">
        <f>IF(AND(ISNUMBER(BE321),ISNUMBER(AZ321)),BE321+BE323-AZ321-AZ323,"")</f>
        <v>3546.86599999999</v>
      </c>
      <c r="BF326" s="264">
        <f>IF(AND(ISNUMBER(BF321),ISNUMBER(BA321)),BF321+BF323-BA321-BA323,"")</f>
        <v>2854.279</v>
      </c>
      <c r="BG326" s="264">
        <f>IF(AND(ISNUMBER(BG321),ISNUMBER(BB321)),BG321+BG323-BB321-BB323,"")</f>
        <v>2854.279</v>
      </c>
      <c r="BH326" s="264">
        <f>IF(AND(ISNUMBER(BH321),ISNUMBER(BC321)),BH321+BH323-BC321-BC323,"")</f>
        <v>1583.255</v>
      </c>
      <c r="BI326" s="264">
        <f>IF(AND(ISNUMBER(BI321),ISNUMBER(BD321)),BI321+BI323-BD321-BD323,"")</f>
        <v>259.771000000001</v>
      </c>
      <c r="BJ326" s="264">
        <f>IF(AND(ISNUMBER(BJ321),ISNUMBER(BE321)),BJ321+BJ323-BE321-BE323,"")</f>
        <v>-704.904999999995</v>
      </c>
      <c r="BK326" s="264">
        <f>IF(AND(ISNUMBER(BK321),ISNUMBER(BF321)),BK321+BK323-BF321-BF323,"")</f>
        <v>-1533.164</v>
      </c>
      <c r="BL326" s="264">
        <f>IF(AND(ISNUMBER(BL321),ISNUMBER(BG321)),BL321+BL323-BG321-BG323,"")</f>
        <v>-1533.164</v>
      </c>
      <c r="BM326" s="264">
        <f>IF(AND(ISNUMBER(BM321),ISNUMBER(BH321)),BM321+BM323-BH321-BH323,"")</f>
        <v>-502.666000000005</v>
      </c>
      <c r="BN326" s="264">
        <f>IF(AND(ISNUMBER(BN321),ISNUMBER(BI321)),BN321+BN323-BI321-BI323,"")</f>
        <v>193.939999999995</v>
      </c>
      <c r="BO326" s="264">
        <f>IF(AND(ISNUMBER(BO321),ISNUMBER(BJ321)),BO321+BO323-BJ321-BJ323,"")</f>
        <v>221.421999999999</v>
      </c>
      <c r="BP326" s="264">
        <f>IF(AND(ISNUMBER(BP321),ISNUMBER(BK321)),BP321+BP323-BK321-BK323,"")</f>
        <v>1818.03</v>
      </c>
      <c r="BQ326" s="264">
        <f>IF(AND(ISNUMBER(BQ321),ISNUMBER(BL321)),BQ321+BQ323-BL321-BL323,"")</f>
        <v>1818.03</v>
      </c>
      <c r="BR326" s="264">
        <f>IF(AND(ISNUMBER(BR321),ISNUMBER(BM321)),BR321+BR323-BM321-BM323,"")</f>
        <v>1281.48</v>
      </c>
      <c r="BS326" s="264">
        <f>IF(AND(ISNUMBER(BS321),ISNUMBER(BN321)),BS321+BS323-BN321-BN323,"")</f>
        <v>624.985000000004</v>
      </c>
      <c r="BT326" s="264">
        <f>IF(AND(ISNUMBER(BT321),ISNUMBER(BO321)),BT321+BT323-BO321-BO323,"")</f>
        <v>678.855000000003</v>
      </c>
      <c r="BU326" s="264">
        <f>IF(AND(ISNUMBER(BU321),ISNUMBER(BP321)),BU321+BU323-BP321-BP323,"")</f>
        <v>-42.6659999999974</v>
      </c>
      <c r="BV326" s="264">
        <f>IF(AND(ISNUMBER(BV321),ISNUMBER(BQ321)),BV321+BV323-BQ321-BQ323,"")</f>
        <v>-42.6659999999974</v>
      </c>
      <c r="BW326" s="264">
        <f>IF(AND(ISNUMBER(BW321),ISNUMBER(BR321)),BW321+BW323-BR321-BR323,"")</f>
        <v>441.755000000001</v>
      </c>
      <c r="BX326" s="264">
        <f>IF(AND(ISNUMBER(BX321),ISNUMBER(BS321)),BX321+BX323-BS321-BS323,"")</f>
        <v>2142.985</v>
      </c>
      <c r="BY326" s="35" t="n"/>
      <c r="BZ326" s="35" t="n"/>
      <c r="CA326" s="254">
        <f>IF(AND(ISNUMBER(CA321),ISNUMBER(BV321)),CA321+CA323-BV321-BV323,"")</f>
        <v>1398.91725999999</v>
      </c>
      <c r="CB326" s="254">
        <f>IF(AND(ISNUMBER(CB321),ISNUMBER(CA321)),CB321+CB323-CA321-CA323,"")</f>
        <v>1720.18060990202</v>
      </c>
      <c r="CC326" s="254">
        <f>IF(AND(ISNUMBER(CC321),ISNUMBER(CB321)),CC321+CC323-CB321-CB323,"")</f>
        <v>1438.81100369073</v>
      </c>
      <c r="CD326" s="254">
        <f>IF(AND(ISNUMBER(CD321),ISNUMBER(CC321)),CD321+CD323-CC321-CC323,"")</f>
        <v>1329.09379490391</v>
      </c>
      <c r="CE326" s="254">
        <f>IF(AND(ISNUMBER(CE321),ISNUMBER(CD321)),CE321+CE323-CD321-CD323,"")</f>
        <v>1189.74222904974</v>
      </c>
      <c r="CF326" s="254">
        <f>IF(AND(ISNUMBER(CF321),ISNUMBER(CE321)),CF321+CF323-CE321-CE323,"")</f>
        <v>1025.783420113</v>
      </c>
      <c r="CG326" s="19" t="n"/>
    </row>
    <row r="327" ht="15" customHeight="1" s="251">
      <c r="B327" s="25" t="inlineStr">
        <is>
          <t xml:space="preserve">  Content &amp; working-capital cash flow (cash-flow statement: content additions + liabilities + amortization + other operating)</t>
        </is>
      </c>
      <c r="C327" s="264">
        <f>IF(ISNUMBER(C228),C228+C229+C230+C235+N(C238),"")</f>
        <v>-15.497</v>
      </c>
      <c r="D327" s="264">
        <f>IF(ISNUMBER(D228),D228+D229+D230+D235+N(D238),"")</f>
        <v>-31.274</v>
      </c>
      <c r="E327" s="264">
        <f>IF(ISNUMBER(E228),E228+E229+E230+E235+N(E238),"")</f>
        <v>1.87100000000001</v>
      </c>
      <c r="F327" s="264">
        <f>IF(ISNUMBER(F228),F228+F229+F230+F235+N(F238),"")</f>
        <v>-40.831</v>
      </c>
      <c r="G327" s="264">
        <f>IF(ISNUMBER(G228),G228+G229+G230+G235+N(G238),"")</f>
        <v>-479.696</v>
      </c>
      <c r="H327" s="264">
        <f>IF(ISNUMBER(H228),H228+H229+H230+H235+N(H238),"")</f>
        <v>-80.2999999999999</v>
      </c>
      <c r="I327" s="264">
        <f>IF(ISNUMBER(I228),I228+I229+I230+I235+N(I238),"")</f>
        <v>-132.008</v>
      </c>
      <c r="J327" s="264">
        <f>IF(ISNUMBER(J228),J228+J229+J230+J235+N(J238),"")</f>
        <v>-59.096</v>
      </c>
      <c r="K327" s="264">
        <f>IF(ISNUMBER(K228),K228+K229+K230+K235+N(K238),"")</f>
        <v>-37.577</v>
      </c>
      <c r="L327" s="264">
        <f>IF(ISNUMBER(L228),L228+L229+L230+L235+N(L238),"")</f>
        <v>-40.105</v>
      </c>
      <c r="M327" s="264">
        <f>IF(ISNUMBER(M228),M228+M229+M230+M235+N(M238),"")</f>
        <v>-43.151</v>
      </c>
      <c r="N327" s="264">
        <f>IF(ISNUMBER(N228),N228+N229+N230+N235+N(N238),"")</f>
        <v>-179.929</v>
      </c>
      <c r="O327" s="264">
        <f>IF(ISNUMBER(O228),O228+O229+O230+O235+N(O238),"")</f>
        <v>-56.774</v>
      </c>
      <c r="P327" s="264">
        <f>IF(ISNUMBER(P228),P228+P229+P230+P235+N(P238),"")</f>
        <v>-61.6679999999999</v>
      </c>
      <c r="Q327" s="264">
        <f>IF(ISNUMBER(Q228),Q228+Q229+Q230+Q235+N(Q238),"")</f>
        <v>-148.607</v>
      </c>
      <c r="R327" s="264">
        <f>IF(ISNUMBER(R228),R228+R229+R230+R235+N(R238),"")</f>
        <v>-197.261</v>
      </c>
      <c r="S327" s="264">
        <f>IF(ISNUMBER(S228),S228+S229+S230+S235+N(S238),"")</f>
        <v>-464.31</v>
      </c>
      <c r="T327" s="264">
        <f>IF(ISNUMBER(T228),T228+T229+T230+T235+N(T238),"")</f>
        <v>-179.55</v>
      </c>
      <c r="U327" s="264">
        <f>IF(ISNUMBER(U228),U228+U229+U230+U235+N(U238),"")</f>
        <v>-267.403</v>
      </c>
      <c r="V327" s="264">
        <f>IF(ISNUMBER(V228),V228+V229+V230+V235+N(V238),"")</f>
        <v>-259.332</v>
      </c>
      <c r="W327" s="264">
        <f>IF(ISNUMBER(W228),W228+W229+W230+W235+N(W238),"")</f>
        <v>-372.106</v>
      </c>
      <c r="X327" s="264">
        <f>IF(ISNUMBER(X228),X228+X229+X230+X235+N(X238),"")</f>
        <v>-1078.391</v>
      </c>
      <c r="Y327" s="264">
        <f>IF(ISNUMBER(Y228),Y228+Y229+Y230+Y235+N(Y238),"")</f>
        <v>-320.072</v>
      </c>
      <c r="Z327" s="264">
        <f>IF(ISNUMBER(Z228),Z228+Z229+Z230+Z235+N(Z238),"")</f>
        <v>-325.339</v>
      </c>
      <c r="AA327" s="264">
        <f>IF(ISNUMBER(AA228),AA228+AA229+AA230+AA235+N(AA238),"")</f>
        <v>-602.95</v>
      </c>
      <c r="AB327" s="264">
        <f>IF(ISNUMBER(AB228),AB228+AB229+AB230+AB235+N(AB238),"")</f>
        <v>-673.834</v>
      </c>
      <c r="AC327" s="264">
        <f>IF(ISNUMBER(AC228),AC228+AC229+AC230+AC235+N(AC238),"")</f>
        <v>-1922.195</v>
      </c>
      <c r="AD327" s="264">
        <f>IF(ISNUMBER(AD228),AD228+AD229+AD230+AD235+N(AD238),"")</f>
        <v>-580.623</v>
      </c>
      <c r="AE327" s="264">
        <f>IF(ISNUMBER(AE228),AE228+AE229+AE230+AE235+N(AE238),"")</f>
        <v>-713.849</v>
      </c>
      <c r="AF327" s="264">
        <f>IF(ISNUMBER(AF228),AF228+AF229+AF230+AF235+N(AF238),"")</f>
        <v>-617.155</v>
      </c>
      <c r="AG327" s="264">
        <f>IF(ISNUMBER(AG228),AG228+AG229+AG230+AG235+N(AG238),"")</f>
        <v>-673.192</v>
      </c>
      <c r="AH327" s="264">
        <f>IF(ISNUMBER(AH228),AH228+AH229+AH230+AH235+N(AH238),"")</f>
        <v>-2584.819</v>
      </c>
      <c r="AI327" s="264">
        <f>IF(ISNUMBER(AI228),AI228+AI229+AI230+AI235+N(AI238),"")</f>
        <v>-644.144</v>
      </c>
      <c r="AJ327" s="264">
        <f>IF(ISNUMBER(AJ228),AJ228+AJ229+AJ230+AJ235+N(AJ238),"")</f>
        <v>-921.159</v>
      </c>
      <c r="AK327" s="264">
        <f>IF(ISNUMBER(AK228),AK228+AK229+AK230+AK235+N(AK238),"")</f>
        <v>-1157.331</v>
      </c>
      <c r="AL327" s="264">
        <f>IF(ISNUMBER(AL228),AL228+AL229+AL230+AL235+N(AL238),"")</f>
        <v>-1452.014</v>
      </c>
      <c r="AM327" s="264">
        <f>IF(ISNUMBER(AM228),AM228+AM229+AM230+AM235+N(AM238),"")</f>
        <v>-4174.648</v>
      </c>
      <c r="AN327" s="264">
        <f>IF(ISNUMBER(AN228),AN228+AN229+AN230+AN235+N(AN238),"")</f>
        <v>-806.809</v>
      </c>
      <c r="AO327" s="264">
        <f>IF(ISNUMBER(AO228),AO228+AO229+AO230+AO235+N(AO238),"")</f>
        <v>-1048.349</v>
      </c>
      <c r="AP327" s="264">
        <f>IF(ISNUMBER(AP228),AP228+AP229+AP230+AP235+N(AP238),"")</f>
        <v>-1179.383</v>
      </c>
      <c r="AQ327" s="264">
        <f>IF(ISNUMBER(AQ228),AQ228+AQ229+AQ230+AQ235+N(AQ238),"")</f>
        <v>-2088.633</v>
      </c>
      <c r="AR327" s="264">
        <f>IF(ISNUMBER(AR228),AR228+AR229+AR230+AR235+N(AR238),"")</f>
        <v>-5123.174</v>
      </c>
      <c r="AS327" s="264">
        <f>IF(ISNUMBER(AS228),AS228+AS229+AS230+AS235+N(AS238),"")</f>
        <v>-528.25</v>
      </c>
      <c r="AT327" s="264">
        <f>IF(ISNUMBER(AT228),AT228+AT229+AT230+AT235+N(AT238),"")</f>
        <v>-152.46</v>
      </c>
      <c r="AU327" s="264">
        <f>IF(ISNUMBER(AU228),AU228+AU229+AU230+AU235+N(AU238),"")</f>
        <v>129.922</v>
      </c>
      <c r="AV327" s="264">
        <f>IF(ISNUMBER(AV228),AV228+AV229+AV230+AV235+N(AV238),"")</f>
        <v>-917.764</v>
      </c>
      <c r="AW327" s="264">
        <f>IF(ISNUMBER(AW228),AW228+AW229+AW230+AW235+N(AW238),"")</f>
        <v>-1468.552</v>
      </c>
      <c r="AX327" s="264">
        <f>IF(ISNUMBER(AX228),AX228+AX229+AX230+AX235+N(AX238),"")</f>
        <v>-978.823</v>
      </c>
      <c r="AY327" s="264">
        <f>IF(ISNUMBER(AY228),AY228+AY229+AY230+AY235+N(AY238),"")</f>
        <v>-1670.992</v>
      </c>
      <c r="AZ327" s="264">
        <f>IF(ISNUMBER(AZ228),AZ228+AZ229+AZ230+AZ235+N(AZ238),"")</f>
        <v>-1446.502</v>
      </c>
      <c r="BA327" s="264">
        <f>IF(ISNUMBER(BA228),BA228+BA229+BA230+BA235+N(BA238),"")</f>
        <v>-1007.82</v>
      </c>
      <c r="BB327" s="264">
        <f>IF(ISNUMBER(BB228),BB228+BB229+BB230+BB235+N(BB238),"")</f>
        <v>-5104.137</v>
      </c>
      <c r="BC327" s="264">
        <f>IF(ISNUMBER(BC228),BC228+BC229+BC230+BC235+N(BC238),"")</f>
        <v>-637.692</v>
      </c>
      <c r="BD327" s="264">
        <f>IF(ISNUMBER(BD228),BD228+BD229+BD230+BD235+N(BD238),"")</f>
        <v>-1151.765</v>
      </c>
      <c r="BE327" s="264">
        <f>IF(ISNUMBER(BE228),BE228+BE229+BE230+BE235+N(BE238),"")</f>
        <v>-672.427</v>
      </c>
      <c r="BF327" s="264">
        <f>IF(ISNUMBER(BF228),BF228+BF229+BF230+BF235+N(BF238),"")</f>
        <v>-396.256</v>
      </c>
      <c r="BG327" s="264">
        <f>IF(ISNUMBER(BG228),BG228+BG229+BG230+BG235+N(BG238),"")</f>
        <v>-2858.14</v>
      </c>
      <c r="BH327" s="264">
        <f>IF(ISNUMBER(BH228),BH228+BH229+BH230+BH235+N(BH238),"")</f>
        <v>702.317</v>
      </c>
      <c r="BI327" s="264">
        <f>IF(ISNUMBER(BI228),BI228+BI229+BI230+BI235+N(BI238),"")</f>
        <v>-140.573</v>
      </c>
      <c r="BJ327" s="264">
        <f>IF(ISNUMBER(BJ228),BJ228+BJ229+BJ230+BJ235+N(BJ238),"")</f>
        <v>403.468</v>
      </c>
      <c r="BK327" s="264">
        <f>IF(ISNUMBER(BK228),BK228+BK229+BK230+BK235+N(BK238),"")</f>
        <v>487.847000000001</v>
      </c>
      <c r="BL327" s="264">
        <f>IF(ISNUMBER(BL228),BL228+BL229+BL230+BL235+N(BL238),"")</f>
        <v>1453.059</v>
      </c>
      <c r="BM327" s="264">
        <f>IF(ISNUMBER(BM228),BM228+BM229+BM230+BM235+N(BM238),"")</f>
        <v>-45.3880000000001</v>
      </c>
      <c r="BN327" s="264">
        <f>IF(ISNUMBER(BN228),BN228+BN229+BN230+BN235+N(BN238),"")</f>
        <v>-754.373</v>
      </c>
      <c r="BO327" s="264">
        <f>IF(ISNUMBER(BO228),BO228+BO229+BO230+BO235+N(BO238),"")</f>
        <v>-92.7989999999996</v>
      </c>
      <c r="BP327" s="264">
        <f>IF(ISNUMBER(BP228),BP228+BP229+BP230+BP235+N(BP238),"")</f>
        <v>-346.972</v>
      </c>
      <c r="BQ327" s="264">
        <f>IF(ISNUMBER(BQ228),BQ228+BQ229+BQ230+BQ235+N(BQ238),"")</f>
        <v>-1239.532</v>
      </c>
      <c r="BR327" s="264">
        <f>IF(ISNUMBER(BR228),BR228+BR229+BR230+BR235+N(BR238),"")</f>
        <v>-117.815</v>
      </c>
      <c r="BS327" s="264">
        <f>IF(ISNUMBER(BS228),BS228+BS229+BS230+BS235+N(BS238),"")</f>
        <v>-782.513</v>
      </c>
      <c r="BT327" s="264">
        <f>IF(ISNUMBER(BT228),BT228+BT229+BT230+BT235+N(BT238),"")</f>
        <v>91.1139999999995</v>
      </c>
      <c r="BU327" s="264">
        <f>IF(ISNUMBER(BU228),BU228+BU229+BU230+BU235+N(BU238),"")</f>
        <v>-354.844000000001</v>
      </c>
      <c r="BV327" s="264">
        <f>IF(ISNUMBER(BV228),BV228+BV229+BV230+BV235+N(BV238),"")</f>
        <v>-1164.058</v>
      </c>
      <c r="BW327" s="264">
        <f>IF(ISNUMBER(BW228),BW228+BW229+BW230+BW235+N(BW238),"")</f>
        <v>-280.275</v>
      </c>
      <c r="BX327" s="264">
        <f>IF(ISNUMBER(BX228),BX228+BX229+BX230+BX235+N(BX238),"")</f>
        <v>-1961.891</v>
      </c>
      <c r="BY327" s="35" t="n"/>
      <c r="BZ327" s="35" t="n"/>
      <c r="CA327" s="254">
        <f>IF(ISNUMBER(CA228),CA228+CA229+CA230+CA235+N(CA238),"")</f>
        <v>-2948.15220552565</v>
      </c>
      <c r="CB327" s="254">
        <f>IF(ISNUMBER(CB228),CB228+CB229+CB230+CB235+N(CB238),"")</f>
        <v>-1720.18060990201</v>
      </c>
      <c r="CC327" s="254">
        <f>IF(ISNUMBER(CC228),CC228+CC229+CC230+CC235+N(CC238),"")</f>
        <v>-1438.81100369072</v>
      </c>
      <c r="CD327" s="254">
        <f>IF(ISNUMBER(CD228),CD228+CD229+CD230+CD235+N(CD238),"")</f>
        <v>-1329.0937949039</v>
      </c>
      <c r="CE327" s="254">
        <f>IF(ISNUMBER(CE228),CE228+CE229+CE230+CE235+N(CE238),"")</f>
        <v>-1189.74222904974</v>
      </c>
      <c r="CF327" s="254">
        <f>IF(ISNUMBER(CF228),CF228+CF229+CF230+CF235+N(CF238),"")</f>
        <v>-1025.78342011299</v>
      </c>
      <c r="CG327" s="19" t="inlineStr">
        <is>
          <t>DCF row "Δ working capital": cash content spend in excess of amortization + other operating items (negative = investment).</t>
        </is>
      </c>
    </row>
    <row r="328" ht="15" customHeight="1" s="251">
      <c r="CO328" s="11" t="n"/>
      <c r="CP328" s="12" t="n"/>
      <c r="CQ328" s="12" t="n"/>
      <c r="CR328" s="12" t="n"/>
      <c r="CS328" s="13" t="n"/>
    </row>
    <row r="329" ht="15" customHeight="1" s="251">
      <c r="B329" s="10" t="inlineStr">
        <is>
          <t>BALANCE SHEET FORECAST SCHEDULES</t>
        </is>
      </c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inlineStr">
        <is>
          <t>BS FORECAST SCHEDULES — explicit driver assumptions</t>
        </is>
      </c>
    </row>
    <row r="330" ht="15" customHeight="1" s="251">
      <c r="B330" s="25" t="inlineStr">
        <is>
          <t>Share count &amp; pricing</t>
        </is>
      </c>
      <c r="CG330" s="153" t="n"/>
    </row>
    <row r="331" ht="15" customHeight="1" s="251">
      <c r="B331" s="69" t="inlineStr">
        <is>
          <t xml:space="preserve">  Dilutive securities (m shares; options &amp; RSUs)</t>
        </is>
      </c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B331" s="44" t="n"/>
      <c r="AC331" s="44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  <c r="AQ331" s="44" t="n"/>
      <c r="AR331" s="44" t="n"/>
      <c r="AS331" s="44" t="n"/>
      <c r="AT331" s="44" t="n"/>
      <c r="AU331" s="44" t="n"/>
      <c r="AV331" s="44" t="n"/>
      <c r="AW331" s="44" t="n"/>
      <c r="AX331" s="44" t="n"/>
      <c r="AY331" s="44" t="n"/>
      <c r="AZ331" s="44" t="n"/>
      <c r="BA331" s="44" t="n"/>
      <c r="BB331" s="44" t="n"/>
      <c r="BC331" s="44" t="n"/>
      <c r="BD331" s="44" t="n"/>
      <c r="BE331" s="44" t="n"/>
      <c r="BF331" s="44" t="n"/>
      <c r="BG331" s="44" t="n"/>
      <c r="BH331" s="44" t="n"/>
      <c r="BI331" s="44" t="n"/>
      <c r="BJ331" s="44" t="n"/>
      <c r="BK331" s="44" t="n"/>
      <c r="BL331" s="44" t="n"/>
      <c r="BM331" s="44" t="n"/>
      <c r="BN331" s="44" t="n"/>
      <c r="BO331" s="44" t="n"/>
      <c r="BP331" s="44" t="n"/>
      <c r="BQ331" s="44" t="n"/>
      <c r="BR331" s="44" t="n"/>
      <c r="BS331" s="44" t="n"/>
      <c r="BT331" s="44" t="n"/>
      <c r="BU331" s="44" t="n"/>
      <c r="BV331" s="44" t="n"/>
      <c r="BW331" s="44" t="n"/>
      <c r="BX331" s="44" t="n"/>
      <c r="BY331" s="153" t="n"/>
      <c r="BZ331" s="153" t="n"/>
      <c r="CA331" s="35" t="n"/>
      <c r="CB331" s="276" t="n">
        <v>72</v>
      </c>
      <c r="CC331" s="276" t="n">
        <v>72</v>
      </c>
      <c r="CD331" s="276" t="n">
        <v>72</v>
      </c>
      <c r="CE331" s="276" t="n">
        <v>72</v>
      </c>
      <c r="CF331" s="276" t="n">
        <v>72</v>
      </c>
      <c r="CG331" s="19" t="n"/>
    </row>
    <row r="332" ht="15" customHeight="1" s="251">
      <c r="B332" s="69" t="inlineStr">
        <is>
          <t xml:space="preserve">  Share-price appreciation % (buyback pricing)</t>
        </is>
      </c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  <c r="AC332" s="44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  <c r="AQ332" s="44" t="n"/>
      <c r="AR332" s="44" t="n"/>
      <c r="AS332" s="44" t="n"/>
      <c r="AT332" s="44" t="n"/>
      <c r="AU332" s="44" t="n"/>
      <c r="AV332" s="44" t="n"/>
      <c r="AW332" s="44" t="n"/>
      <c r="AX332" s="44" t="n"/>
      <c r="AY332" s="44" t="n"/>
      <c r="AZ332" s="44" t="n"/>
      <c r="BA332" s="44" t="n"/>
      <c r="BB332" s="44" t="n"/>
      <c r="BC332" s="44" t="n"/>
      <c r="BD332" s="44" t="n"/>
      <c r="BE332" s="44" t="n"/>
      <c r="BF332" s="44" t="n"/>
      <c r="BG332" s="44" t="n"/>
      <c r="BH332" s="44" t="n"/>
      <c r="BI332" s="44" t="n"/>
      <c r="BJ332" s="44" t="n"/>
      <c r="BK332" s="44" t="n"/>
      <c r="BL332" s="44" t="n"/>
      <c r="BM332" s="44" t="n"/>
      <c r="BN332" s="44" t="n"/>
      <c r="BO332" s="44" t="n"/>
      <c r="BP332" s="44" t="n"/>
      <c r="BQ332" s="44" t="n"/>
      <c r="BR332" s="44" t="n"/>
      <c r="BS332" s="44" t="n"/>
      <c r="BT332" s="44" t="n"/>
      <c r="BU332" s="44" t="n"/>
      <c r="BV332" s="44" t="n"/>
      <c r="BW332" s="44" t="n"/>
      <c r="BX332" s="44" t="n"/>
      <c r="BY332" s="153" t="n"/>
      <c r="BZ332" s="153" t="n"/>
      <c r="CA332" s="35" t="n"/>
      <c r="CB332" s="274" t="n">
        <v>0.08</v>
      </c>
      <c r="CC332" s="274" t="n">
        <v>0.08</v>
      </c>
      <c r="CD332" s="274" t="n">
        <v>0.08</v>
      </c>
      <c r="CE332" s="274" t="n">
        <v>0.08</v>
      </c>
      <c r="CF332" s="274" t="n">
        <v>0.08</v>
      </c>
      <c r="CG332" s="19" t="n"/>
    </row>
    <row r="333" ht="15" customHeight="1" s="251">
      <c r="B333" s="25" t="inlineStr">
        <is>
          <t>Debt schedule (senior notes repaid at maturity and refinanced; $3bn revolver drawn or repaid to a minimum cash balance)</t>
        </is>
      </c>
      <c r="CG333" s="153" t="n"/>
    </row>
    <row r="334" ht="15" customHeight="1" s="251">
      <c r="B334" s="69" t="inlineStr">
        <is>
          <t xml:space="preserve">  Total debt (short-term + long-term debt)</t>
        </is>
      </c>
      <c r="C334" s="264">
        <f>IF(ISNUMBER(C303),N(C299)+C303,"")</f>
        <v>0</v>
      </c>
      <c r="D334" s="264">
        <f>IF(ISNUMBER(D303),N(D299)+D303,"")</f>
        <v>0</v>
      </c>
      <c r="E334" s="264">
        <f>IF(ISNUMBER(E303),N(E299)+E303,"")</f>
        <v>39.14</v>
      </c>
      <c r="F334" s="264">
        <f>IF(ISNUMBER(F303),N(F299)+F303,"")</f>
        <v>237.982</v>
      </c>
      <c r="G334" s="264">
        <f>IF(ISNUMBER(G303),N(G299)+G303,"")</f>
        <v>236.206</v>
      </c>
      <c r="H334" s="264">
        <f>IF(ISNUMBER(H303),N(H299)+H303,"")</f>
        <v>400</v>
      </c>
      <c r="I334" s="264">
        <f>IF(ISNUMBER(I303),N(I299)+I303,"")</f>
        <v>400</v>
      </c>
      <c r="J334" s="264">
        <f>IF(ISNUMBER(J303),N(J299)+J303,"")</f>
        <v>700</v>
      </c>
      <c r="K334" s="264">
        <f>IF(ISNUMBER(K303),N(K299)+K303,"")</f>
        <v>500</v>
      </c>
      <c r="L334" s="264">
        <f>IF(ISNUMBER(L303),N(L299)+L303,"")</f>
        <v>500</v>
      </c>
      <c r="M334" s="264">
        <f>IF(ISNUMBER(M303),N(M299)+M303,"")</f>
        <v>500</v>
      </c>
      <c r="N334" s="264">
        <f>IF(ISNUMBER(N303),N(N299)+N303,"")</f>
        <v>500</v>
      </c>
      <c r="O334" s="264">
        <f>IF(ISNUMBER(O303),N(O299)+O303,"")</f>
        <v>900</v>
      </c>
      <c r="P334" s="264">
        <f>IF(ISNUMBER(P303),N(P299)+P303,"")</f>
        <v>900</v>
      </c>
      <c r="Q334" s="264">
        <f>IF(ISNUMBER(Q303),N(Q299)+Q303,"")</f>
        <v>900</v>
      </c>
      <c r="R334" s="264">
        <f>IF(ISNUMBER(R303),N(R299)+R303,"")</f>
        <v>900</v>
      </c>
      <c r="S334" s="264">
        <f>IF(ISNUMBER(S303),N(S299)+S303,"")</f>
        <v>900</v>
      </c>
      <c r="T334" s="264">
        <f>IF(ISNUMBER(T303),N(T299)+T303,"")</f>
        <v>2400</v>
      </c>
      <c r="U334" s="264">
        <f>IF(ISNUMBER(U303),N(U299)+U303,"")</f>
        <v>2400</v>
      </c>
      <c r="V334" s="264">
        <f>IF(ISNUMBER(V303),N(V299)+V303,"")</f>
        <v>2400</v>
      </c>
      <c r="W334" s="264">
        <f>IF(ISNUMBER(W303),N(W299)+W303,"")</f>
        <v>2371.362</v>
      </c>
      <c r="X334" s="264">
        <f>IF(ISNUMBER(X303),N(X299)+X303,"")</f>
        <v>2371.362</v>
      </c>
      <c r="Y334" s="264">
        <f>IF(ISNUMBER(Y303),N(Y299)+Y303,"")</f>
        <v>2372.218</v>
      </c>
      <c r="Z334" s="264">
        <f>IF(ISNUMBER(Z303),N(Z299)+Z303,"")</f>
        <v>2373.085</v>
      </c>
      <c r="AA334" s="264">
        <f>IF(ISNUMBER(AA303),N(AA299)+AA303,"")</f>
        <v>2373.966</v>
      </c>
      <c r="AB334" s="264">
        <f>IF(ISNUMBER(AB303),N(AB299)+AB303,"")</f>
        <v>3364.311</v>
      </c>
      <c r="AC334" s="264">
        <f>IF(ISNUMBER(AC303),N(AC299)+AC303,"")</f>
        <v>3364.311</v>
      </c>
      <c r="AD334" s="264">
        <f>IF(ISNUMBER(AD303),N(AD299)+AD303,"")</f>
        <v>3365.431</v>
      </c>
      <c r="AE334" s="264">
        <f>IF(ISNUMBER(AE303),N(AE299)+AE303,"")</f>
        <v>4836.502</v>
      </c>
      <c r="AF334" s="264">
        <f>IF(ISNUMBER(AF303),N(AF299)+AF303,"")</f>
        <v>4888.783</v>
      </c>
      <c r="AG334" s="264">
        <f>IF(ISNUMBER(AG303),N(AG299)+AG303,"")</f>
        <v>6499.432</v>
      </c>
      <c r="AH334" s="264">
        <f>IF(ISNUMBER(AH303),N(AH299)+AH303,"")</f>
        <v>6499.432</v>
      </c>
      <c r="AI334" s="264">
        <f>IF(ISNUMBER(AI303),N(AI299)+AI303,"")</f>
        <v>6542.373</v>
      </c>
      <c r="AJ334" s="264">
        <f>IF(ISNUMBER(AJ303),N(AJ299)+AJ303,"")</f>
        <v>8342.067</v>
      </c>
      <c r="AK334" s="264">
        <f>IF(ISNUMBER(AK303),N(AK299)+AK303,"")</f>
        <v>8336.586</v>
      </c>
      <c r="AL334" s="264">
        <f>IF(ISNUMBER(AL303),N(AL299)+AL303,"")</f>
        <v>10360.058</v>
      </c>
      <c r="AM334" s="264">
        <f>IF(ISNUMBER(AM303),N(AM299)+AM303,"")</f>
        <v>10360.058</v>
      </c>
      <c r="AN334" s="264">
        <f>IF(ISNUMBER(AN303),N(AN299)+AN303,"")</f>
        <v>10305.023</v>
      </c>
      <c r="AO334" s="264">
        <f>IF(ISNUMBER(AO303),N(AO299)+AO303,"")</f>
        <v>12594.135</v>
      </c>
      <c r="AP334" s="264">
        <f>IF(ISNUMBER(AP303),N(AP299)+AP303,"")</f>
        <v>12425.746</v>
      </c>
      <c r="AQ334" s="264">
        <f>IF(ISNUMBER(AQ303),N(AQ299)+AQ303,"")</f>
        <v>14759.26</v>
      </c>
      <c r="AR334" s="264">
        <f>IF(ISNUMBER(AR303),N(AR299)+AR303,"")</f>
        <v>14759.26</v>
      </c>
      <c r="AS334" s="264">
        <f>IF(ISNUMBER(AS303),N(AS299)+AS303,"")</f>
        <v>14669.501</v>
      </c>
      <c r="AT334" s="264">
        <f>IF(ISNUMBER(AT303),N(AT299)+AT303,"")</f>
        <v>15794.159</v>
      </c>
      <c r="AU334" s="264">
        <f>IF(ISNUMBER(AU303),N(AU299)+AU303,"")</f>
        <v>16047.133</v>
      </c>
      <c r="AV334" s="264">
        <f>IF(ISNUMBER(AV303),N(AV299)+AV303,"")</f>
        <v>16308.973</v>
      </c>
      <c r="AW334" s="264">
        <f>IF(ISNUMBER(AW303),N(AW299)+AW303,"")</f>
        <v>16308.973</v>
      </c>
      <c r="AX334" s="264">
        <f>IF(ISNUMBER(AX303),N(AX299)+AX303,"")</f>
        <v>15559.34</v>
      </c>
      <c r="AY334" s="264">
        <f>IF(ISNUMBER(AY303),N(AY299)+AY303,"")</f>
        <v>15626.017</v>
      </c>
      <c r="AZ334" s="264">
        <f>IF(ISNUMBER(AZ303),N(AZ299)+AZ303,"")</f>
        <v>15493.164</v>
      </c>
      <c r="BA334" s="264">
        <f>IF(ISNUMBER(BA303),N(BA299)+BA303,"")</f>
        <v>15392.895</v>
      </c>
      <c r="BB334" s="264">
        <f>IF(ISNUMBER(BB303),N(BB299)+BB303,"")</f>
        <v>15392.895</v>
      </c>
      <c r="BC334" s="264">
        <f>IF(ISNUMBER(BC303),N(BC299)+BC303,"")</f>
        <v>14534.561</v>
      </c>
      <c r="BD334" s="264">
        <f>IF(ISNUMBER(BD303),N(BD299)+BD303,"")</f>
        <v>14233.303</v>
      </c>
      <c r="BE334" s="264">
        <f>IF(ISNUMBER(BE303),N(BE299)+BE303,"")</f>
        <v>13888.117</v>
      </c>
      <c r="BF334" s="264">
        <f>IF(ISNUMBER(BF303),N(BF299)+BF303,"")</f>
        <v>14353.076</v>
      </c>
      <c r="BG334" s="264">
        <f>IF(ISNUMBER(BG303),N(BG299)+BG303,"")</f>
        <v>14353.076</v>
      </c>
      <c r="BH334" s="264">
        <f>IF(ISNUMBER(BH303),N(BH299)+BH303,"")</f>
        <v>14437.128</v>
      </c>
      <c r="BI334" s="264">
        <f>IF(ISNUMBER(BI303),N(BI299)+BI303,"")</f>
        <v>14469.538</v>
      </c>
      <c r="BJ334" s="264">
        <f>IF(ISNUMBER(BJ303),N(BJ299)+BJ303,"")</f>
        <v>14300.368</v>
      </c>
      <c r="BK334" s="264">
        <f>IF(ISNUMBER(BK303),N(BK299)+BK303,"")</f>
        <v>14543.261</v>
      </c>
      <c r="BL334" s="264">
        <f>IF(ISNUMBER(BL303),N(BL299)+BL303,"")</f>
        <v>14543.261</v>
      </c>
      <c r="BM334" s="264">
        <f>IF(ISNUMBER(BM303),N(BM299)+BM303,"")</f>
        <v>14015.974</v>
      </c>
      <c r="BN334" s="264">
        <f>IF(ISNUMBER(BN303),N(BN299)+BN303,"")</f>
        <v>13980.065</v>
      </c>
      <c r="BO334" s="264">
        <f>IF(ISNUMBER(BO303),N(BO299)+BO303,"")</f>
        <v>15981.328</v>
      </c>
      <c r="BP334" s="264">
        <f>IF(ISNUMBER(BP303),N(BP299)+BP303,"")</f>
        <v>15582.804</v>
      </c>
      <c r="BQ334" s="264">
        <f>IF(ISNUMBER(BQ303),N(BQ299)+BQ303,"")</f>
        <v>15582.804</v>
      </c>
      <c r="BR334" s="264">
        <f>IF(ISNUMBER(BR303),N(BR299)+BR303,"")</f>
        <v>15016.918</v>
      </c>
      <c r="BS334" s="264">
        <f>IF(ISNUMBER(BS303),N(BS299)+BS303,"")</f>
        <v>14453.206</v>
      </c>
      <c r="BT334" s="264">
        <f>IF(ISNUMBER(BT303),N(BT299)+BT303,"")</f>
        <v>14463.02</v>
      </c>
      <c r="BU334" s="264">
        <f>IF(ISNUMBER(BU303),N(BU299)+BU303,"")</f>
        <v>14462.836</v>
      </c>
      <c r="BV334" s="264">
        <f>IF(ISNUMBER(BV303),N(BV299)+BV303,"")</f>
        <v>14462.836</v>
      </c>
      <c r="BW334" s="264">
        <f>IF(ISNUMBER(BW303),N(BW299)+BW303,"")</f>
        <v>14360.516</v>
      </c>
      <c r="BX334" s="264">
        <f>IF(ISNUMBER(BX303),N(BX299)+BX303,"")</f>
        <v>14309.306</v>
      </c>
      <c r="BY334" s="153" t="n"/>
      <c r="BZ334" s="153" t="n"/>
      <c r="CA334" s="254">
        <f>CA335+CA341</f>
        <v>14309.306</v>
      </c>
      <c r="CB334" s="254">
        <f>CB335+CB341</f>
        <v>14309.306</v>
      </c>
      <c r="CC334" s="254">
        <f>CC335+CC341</f>
        <v>14309.306</v>
      </c>
      <c r="CD334" s="254">
        <f>CD335+CD341</f>
        <v>14309.306</v>
      </c>
      <c r="CE334" s="254">
        <f>CE335+CE341</f>
        <v>14309.306</v>
      </c>
      <c r="CF334" s="254">
        <f>CF335+CF341</f>
        <v>14309.306</v>
      </c>
      <c r="CG334" s="19" t="inlineStr">
        <is>
          <t>Senior notes $14,309m carrying ($14,372m par less $49m issuance costs / discount, plus $14m fair-value hedge adjustment); EUR 4,700m of the notes are remeasured each quarter. $3bn revolving credit facility (Apr-2024, matures Apr-2029) undrawn.</t>
        </is>
      </c>
    </row>
    <row r="335" ht="15" customHeight="1" s="251">
      <c r="B335" s="69" t="inlineStr">
        <is>
          <t xml:space="preserve">  Senior notes (carrying amount)</t>
        </is>
      </c>
      <c r="C335" s="253" t="n">
        <v>0</v>
      </c>
      <c r="D335" s="253" t="n">
        <v>0</v>
      </c>
      <c r="E335" s="253" t="n">
        <v>39.14</v>
      </c>
      <c r="F335" s="253" t="n">
        <v>237.982</v>
      </c>
      <c r="G335" s="253" t="n">
        <v>236.206</v>
      </c>
      <c r="H335" s="253" t="n">
        <v>400</v>
      </c>
      <c r="I335" s="253" t="n">
        <v>400</v>
      </c>
      <c r="J335" s="253" t="n">
        <v>700</v>
      </c>
      <c r="K335" s="253" t="n">
        <v>500</v>
      </c>
      <c r="L335" s="253" t="n">
        <v>500</v>
      </c>
      <c r="M335" s="253" t="n">
        <v>500</v>
      </c>
      <c r="N335" s="253" t="n">
        <v>500</v>
      </c>
      <c r="O335" s="253" t="n">
        <v>900</v>
      </c>
      <c r="P335" s="253" t="n">
        <v>900</v>
      </c>
      <c r="Q335" s="253" t="n">
        <v>900</v>
      </c>
      <c r="R335" s="253" t="n">
        <v>900</v>
      </c>
      <c r="S335" s="253" t="n">
        <v>900</v>
      </c>
      <c r="T335" s="253" t="n">
        <v>2400</v>
      </c>
      <c r="U335" s="253" t="n">
        <v>2400</v>
      </c>
      <c r="V335" s="253" t="n">
        <v>2400</v>
      </c>
      <c r="W335" s="253" t="n">
        <v>2371.362</v>
      </c>
      <c r="X335" s="253" t="n">
        <v>2371.362</v>
      </c>
      <c r="Y335" s="253" t="n">
        <v>2372.218</v>
      </c>
      <c r="Z335" s="253" t="n">
        <v>2373.085</v>
      </c>
      <c r="AA335" s="253" t="n">
        <v>2373.966</v>
      </c>
      <c r="AB335" s="253" t="n">
        <v>3364.311</v>
      </c>
      <c r="AC335" s="253" t="n">
        <v>3364.311</v>
      </c>
      <c r="AD335" s="253" t="n">
        <v>3365.431</v>
      </c>
      <c r="AE335" s="253" t="n">
        <v>4836.502</v>
      </c>
      <c r="AF335" s="253" t="n">
        <v>4888.783</v>
      </c>
      <c r="AG335" s="253" t="n">
        <v>6499.432</v>
      </c>
      <c r="AH335" s="253" t="n">
        <v>6499.432</v>
      </c>
      <c r="AI335" s="253" t="n">
        <v>6542.373</v>
      </c>
      <c r="AJ335" s="253" t="n">
        <v>8342.066999999999</v>
      </c>
      <c r="AK335" s="253" t="n">
        <v>8336.585999999999</v>
      </c>
      <c r="AL335" s="253" t="n">
        <v>10360.058</v>
      </c>
      <c r="AM335" s="253" t="n">
        <v>10360.058</v>
      </c>
      <c r="AN335" s="253" t="n">
        <v>10305.023</v>
      </c>
      <c r="AO335" s="253" t="n">
        <v>12594.135</v>
      </c>
      <c r="AP335" s="253" t="n">
        <v>12425.746</v>
      </c>
      <c r="AQ335" s="253" t="n">
        <v>14759.26</v>
      </c>
      <c r="AR335" s="253" t="n">
        <v>14759.26</v>
      </c>
      <c r="AS335" s="253" t="n">
        <v>14669.501</v>
      </c>
      <c r="AT335" s="253" t="n">
        <v>15794.159</v>
      </c>
      <c r="AU335" s="253" t="n">
        <v>16047.133</v>
      </c>
      <c r="AV335" s="253" t="n">
        <v>16308.973</v>
      </c>
      <c r="AW335" s="253" t="n">
        <v>16308.973</v>
      </c>
      <c r="AX335" s="253" t="n">
        <v>15559.34</v>
      </c>
      <c r="AY335" s="253" t="n">
        <v>15626.017</v>
      </c>
      <c r="AZ335" s="253" t="n">
        <v>15493.164</v>
      </c>
      <c r="BA335" s="253" t="n">
        <v>15392.895</v>
      </c>
      <c r="BB335" s="253" t="n">
        <v>15392.895</v>
      </c>
      <c r="BC335" s="253" t="n">
        <v>14534.561</v>
      </c>
      <c r="BD335" s="253" t="n">
        <v>14233.303</v>
      </c>
      <c r="BE335" s="253" t="n">
        <v>13888.117</v>
      </c>
      <c r="BF335" s="253" t="n">
        <v>14353.076</v>
      </c>
      <c r="BG335" s="253" t="n">
        <v>14353.076</v>
      </c>
      <c r="BH335" s="253" t="n">
        <v>14437.128</v>
      </c>
      <c r="BI335" s="253" t="n">
        <v>14469.538</v>
      </c>
      <c r="BJ335" s="253" t="n">
        <v>14300.368</v>
      </c>
      <c r="BK335" s="253" t="n">
        <v>14543.261</v>
      </c>
      <c r="BL335" s="253" t="n">
        <v>14543.261</v>
      </c>
      <c r="BM335" s="253" t="n">
        <v>14015.974</v>
      </c>
      <c r="BN335" s="253" t="n">
        <v>13980.065</v>
      </c>
      <c r="BO335" s="253" t="n">
        <v>15981.328</v>
      </c>
      <c r="BP335" s="253" t="n">
        <v>15582.804</v>
      </c>
      <c r="BQ335" s="253" t="n">
        <v>15582.804</v>
      </c>
      <c r="BR335" s="253" t="n">
        <v>15016.918</v>
      </c>
      <c r="BS335" s="253" t="n">
        <v>14453.206</v>
      </c>
      <c r="BT335" s="253" t="n">
        <v>14463.02</v>
      </c>
      <c r="BU335" s="253" t="n">
        <v>14462.836</v>
      </c>
      <c r="BV335" s="253" t="n">
        <v>14462.836</v>
      </c>
      <c r="BW335" s="253" t="n">
        <v>14360.516</v>
      </c>
      <c r="BX335" s="253" t="n">
        <v>14309.306</v>
      </c>
      <c r="BY335" s="153" t="n"/>
      <c r="BZ335" s="153" t="n"/>
      <c r="CA335" s="254">
        <f>BX335-CA336+CA337</f>
        <v>14309.306</v>
      </c>
      <c r="CB335" s="254">
        <f>CA335-CB336+CB337</f>
        <v>14309.306</v>
      </c>
      <c r="CC335" s="254">
        <f>CB335-CC336+CC337</f>
        <v>14309.306</v>
      </c>
      <c r="CD335" s="254">
        <f>CC335-CD336+CD337</f>
        <v>14309.306</v>
      </c>
      <c r="CE335" s="254">
        <f>CD335-CE336+CE337</f>
        <v>14309.306</v>
      </c>
      <c r="CF335" s="254">
        <f>CE335-CF336+CF337</f>
        <v>14309.306</v>
      </c>
      <c r="CG335" s="19" t="n"/>
    </row>
    <row r="336" ht="15" customHeight="1" s="251">
      <c r="B336" s="69" t="inlineStr">
        <is>
          <t xml:space="preserve">  Notes repaid at maturity (input, par)</t>
        </is>
      </c>
      <c r="C336" s="44" t="n"/>
      <c r="D336" s="44" t="n"/>
      <c r="E336" s="44" t="n"/>
      <c r="F336" s="44" t="n"/>
      <c r="G336" s="44" t="n"/>
      <c r="H336" s="44" t="n"/>
      <c r="I336" s="44" t="n"/>
      <c r="J336" s="44" t="n"/>
      <c r="K336" s="44" t="n"/>
      <c r="L336" s="44" t="n"/>
      <c r="M336" s="44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  <c r="AC336" s="44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  <c r="AQ336" s="44" t="n"/>
      <c r="AR336" s="44" t="n"/>
      <c r="AS336" s="44" t="n"/>
      <c r="AT336" s="44" t="n"/>
      <c r="AU336" s="44" t="n"/>
      <c r="AV336" s="44" t="n"/>
      <c r="AW336" s="44" t="n"/>
      <c r="AX336" s="44" t="n"/>
      <c r="AY336" s="44" t="n"/>
      <c r="AZ336" s="44" t="n"/>
      <c r="BA336" s="44" t="n"/>
      <c r="BB336" s="44" t="n"/>
      <c r="BC336" s="44" t="n"/>
      <c r="BD336" s="44" t="n"/>
      <c r="BE336" s="44" t="n"/>
      <c r="BF336" s="44" t="n"/>
      <c r="BG336" s="44" t="n"/>
      <c r="BH336" s="44" t="n"/>
      <c r="BI336" s="44" t="n"/>
      <c r="BJ336" s="44" t="n"/>
      <c r="BK336" s="44" t="n"/>
      <c r="BL336" s="44" t="n"/>
      <c r="BM336" s="44" t="n"/>
      <c r="BN336" s="44" t="n"/>
      <c r="BO336" s="44" t="n"/>
      <c r="BP336" s="44" t="n"/>
      <c r="BQ336" s="44" t="n"/>
      <c r="BR336" s="44" t="n"/>
      <c r="BS336" s="44" t="n"/>
      <c r="BT336" s="44" t="n"/>
      <c r="BU336" s="44" t="n"/>
      <c r="BV336" s="44" t="n"/>
      <c r="BW336" s="44" t="n"/>
      <c r="BX336" s="44" t="n"/>
      <c r="BY336" s="153" t="n"/>
      <c r="BZ336" s="153" t="n"/>
      <c r="CA336" s="276" t="n">
        <v>1000</v>
      </c>
      <c r="CB336" s="276" t="n">
        <v>1486</v>
      </c>
      <c r="CC336" s="276" t="n">
        <v>3500</v>
      </c>
      <c r="CD336" s="276" t="n">
        <v>4329</v>
      </c>
      <c r="CE336" s="276" t="n">
        <v>2257</v>
      </c>
      <c r="CF336" s="276" t="n">
        <v>0</v>
      </c>
      <c r="CG336" s="19" t="inlineStr">
        <is>
          <t>Par maturities (Q2-26 10-Q Note 7): Nov-2026 $1,000m 4.375%; May-2027 EUR 3.625% $1,486m; 2028 $3,500m (4.875% Apr, 5.875% Nov); 2029 $4,329m (EUR 4.625% $1,257m, 6.375% $800m, EUR 3.875% $1,372m, 5.375% $900m); Jun-2030 $2,257m (EUR 3.625% $1,257m, 4.875% $1,000m); 2034 $1,000m; 2036 $1,000m (new); 2054 $800m. EUR notes at 30-Jun-2026 FX.</t>
        </is>
      </c>
    </row>
    <row r="337" ht="15" customHeight="1" s="251">
      <c r="B337" s="69" t="inlineStr">
        <is>
          <t xml:space="preserve">  New notes issued (2026E actual; 2027E+ = maturities × refinancing %)</t>
        </is>
      </c>
      <c r="C337" s="44" t="n"/>
      <c r="D337" s="44" t="n"/>
      <c r="E337" s="44" t="n"/>
      <c r="F337" s="44" t="n"/>
      <c r="G337" s="44" t="n"/>
      <c r="H337" s="44" t="n"/>
      <c r="I337" s="44" t="n"/>
      <c r="J337" s="44" t="n"/>
      <c r="K337" s="44" t="n"/>
      <c r="L337" s="44" t="n"/>
      <c r="M337" s="44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44" t="n"/>
      <c r="X337" s="44" t="n"/>
      <c r="Y337" s="44" t="n"/>
      <c r="Z337" s="44" t="n"/>
      <c r="AA337" s="44" t="n"/>
      <c r="AB337" s="44" t="n"/>
      <c r="AC337" s="44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  <c r="AQ337" s="44" t="n"/>
      <c r="AR337" s="44" t="n"/>
      <c r="AS337" s="44" t="n"/>
      <c r="AT337" s="44" t="n"/>
      <c r="AU337" s="44" t="n"/>
      <c r="AV337" s="44" t="n"/>
      <c r="AW337" s="44" t="n"/>
      <c r="AX337" s="44" t="n"/>
      <c r="AY337" s="44" t="n"/>
      <c r="AZ337" s="44" t="n"/>
      <c r="BA337" s="44" t="n"/>
      <c r="BB337" s="44" t="n"/>
      <c r="BC337" s="44" t="n"/>
      <c r="BD337" s="44" t="n"/>
      <c r="BE337" s="44" t="n"/>
      <c r="BF337" s="44" t="n"/>
      <c r="BG337" s="44" t="n"/>
      <c r="BH337" s="44" t="n"/>
      <c r="BI337" s="44" t="n"/>
      <c r="BJ337" s="44" t="n"/>
      <c r="BK337" s="44" t="n"/>
      <c r="BL337" s="44" t="n"/>
      <c r="BM337" s="44" t="n"/>
      <c r="BN337" s="44" t="n"/>
      <c r="BO337" s="44" t="n"/>
      <c r="BP337" s="44" t="n"/>
      <c r="BQ337" s="44" t="n"/>
      <c r="BR337" s="44" t="n"/>
      <c r="BS337" s="44" t="n"/>
      <c r="BT337" s="44" t="n"/>
      <c r="BU337" s="44" t="n"/>
      <c r="BV337" s="44" t="n"/>
      <c r="BW337" s="44" t="n"/>
      <c r="BX337" s="44" t="n"/>
      <c r="BY337" s="153" t="n"/>
      <c r="BZ337" s="153" t="n"/>
      <c r="CA337" s="276" t="n">
        <v>1000</v>
      </c>
      <c r="CB337" s="254">
        <f>CB336*CB338</f>
        <v>1486</v>
      </c>
      <c r="CC337" s="254">
        <f>CC336*CC338</f>
        <v>3500</v>
      </c>
      <c r="CD337" s="254">
        <f>CD336*CD338</f>
        <v>4329</v>
      </c>
      <c r="CE337" s="254">
        <f>CE336*CE338</f>
        <v>2257</v>
      </c>
      <c r="CF337" s="254">
        <f>CF336*CF338</f>
        <v>0</v>
      </c>
      <c r="CG337" s="19" t="inlineStr">
        <is>
          <t>$1,000m 5.250% senior notes due 2036 issued 22-Jul-2026 (8-K 22-Jul-2026); the Q2-26 letter says the $1bn of notes maturing later in 2026 will be refinanced.</t>
        </is>
      </c>
    </row>
    <row r="338" ht="15" customHeight="1" s="251">
      <c r="B338" s="69" t="inlineStr">
        <is>
          <t xml:space="preserve">  Refinancing % of maturities (assumption)</t>
        </is>
      </c>
      <c r="C338" s="44" t="n"/>
      <c r="D338" s="44" t="n"/>
      <c r="E338" s="44" t="n"/>
      <c r="F338" s="44" t="n"/>
      <c r="G338" s="44" t="n"/>
      <c r="H338" s="44" t="n"/>
      <c r="I338" s="44" t="n"/>
      <c r="J338" s="44" t="n"/>
      <c r="K338" s="44" t="n"/>
      <c r="L338" s="44" t="n"/>
      <c r="M338" s="44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  <c r="AC338" s="44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  <c r="AQ338" s="44" t="n"/>
      <c r="AR338" s="44" t="n"/>
      <c r="AS338" s="44" t="n"/>
      <c r="AT338" s="44" t="n"/>
      <c r="AU338" s="44" t="n"/>
      <c r="AV338" s="44" t="n"/>
      <c r="AW338" s="44" t="n"/>
      <c r="AX338" s="44" t="n"/>
      <c r="AY338" s="44" t="n"/>
      <c r="AZ338" s="44" t="n"/>
      <c r="BA338" s="44" t="n"/>
      <c r="BB338" s="44" t="n"/>
      <c r="BC338" s="44" t="n"/>
      <c r="BD338" s="44" t="n"/>
      <c r="BE338" s="44" t="n"/>
      <c r="BF338" s="44" t="n"/>
      <c r="BG338" s="44" t="n"/>
      <c r="BH338" s="44" t="n"/>
      <c r="BI338" s="44" t="n"/>
      <c r="BJ338" s="44" t="n"/>
      <c r="BK338" s="44" t="n"/>
      <c r="BL338" s="44" t="n"/>
      <c r="BM338" s="44" t="n"/>
      <c r="BN338" s="44" t="n"/>
      <c r="BO338" s="44" t="n"/>
      <c r="BP338" s="44" t="n"/>
      <c r="BQ338" s="44" t="n"/>
      <c r="BR338" s="44" t="n"/>
      <c r="BS338" s="44" t="n"/>
      <c r="BT338" s="44" t="n"/>
      <c r="BU338" s="44" t="n"/>
      <c r="BV338" s="44" t="n"/>
      <c r="BW338" s="44" t="n"/>
      <c r="BX338" s="44" t="n"/>
      <c r="BY338" s="153" t="n"/>
      <c r="BZ338" s="153" t="n"/>
      <c r="CA338" s="35" t="n"/>
      <c r="CB338" s="274" t="n">
        <v>1</v>
      </c>
      <c r="CC338" s="274" t="n">
        <v>1</v>
      </c>
      <c r="CD338" s="274" t="n">
        <v>1</v>
      </c>
      <c r="CE338" s="274" t="n">
        <v>1</v>
      </c>
      <c r="CF338" s="274" t="n">
        <v>1</v>
      </c>
      <c r="CG338" s="19" t="inlineStr">
        <is>
          <t>Netflix plans to refinance the 2026 maturity (Q2-26 letter) and targets a solid investment-grade rating; 100% refinancing assumed.</t>
        </is>
      </c>
    </row>
    <row r="339" ht="15" customHeight="1" s="251">
      <c r="B339" s="69" t="inlineStr">
        <is>
          <t xml:space="preserve">  Maturities in the following year (current portion, par)</t>
        </is>
      </c>
      <c r="C339" s="44" t="n"/>
      <c r="D339" s="44" t="n"/>
      <c r="E339" s="44" t="n"/>
      <c r="F339" s="44" t="n"/>
      <c r="G339" s="44" t="n"/>
      <c r="H339" s="44" t="n"/>
      <c r="I339" s="44" t="n"/>
      <c r="J339" s="44" t="n"/>
      <c r="K339" s="44" t="n"/>
      <c r="L339" s="44" t="n"/>
      <c r="M339" s="44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44" t="n"/>
      <c r="X339" s="44" t="n"/>
      <c r="Y339" s="44" t="n"/>
      <c r="Z339" s="44" t="n"/>
      <c r="AA339" s="44" t="n"/>
      <c r="AB339" s="44" t="n"/>
      <c r="AC339" s="44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  <c r="AQ339" s="44" t="n"/>
      <c r="AR339" s="44" t="n"/>
      <c r="AS339" s="44" t="n"/>
      <c r="AT339" s="44" t="n"/>
      <c r="AU339" s="44" t="n"/>
      <c r="AV339" s="44" t="n"/>
      <c r="AW339" s="44" t="n"/>
      <c r="AX339" s="44" t="n"/>
      <c r="AY339" s="44" t="n"/>
      <c r="AZ339" s="44" t="n"/>
      <c r="BA339" s="44" t="n"/>
      <c r="BB339" s="44" t="n"/>
      <c r="BC339" s="44" t="n"/>
      <c r="BD339" s="44" t="n"/>
      <c r="BE339" s="44" t="n"/>
      <c r="BF339" s="44" t="n"/>
      <c r="BG339" s="44" t="n"/>
      <c r="BH339" s="44" t="n"/>
      <c r="BI339" s="44" t="n"/>
      <c r="BJ339" s="44" t="n"/>
      <c r="BK339" s="44" t="n"/>
      <c r="BL339" s="44" t="n"/>
      <c r="BM339" s="44" t="n"/>
      <c r="BN339" s="44" t="n"/>
      <c r="BO339" s="44" t="n"/>
      <c r="BP339" s="44" t="n"/>
      <c r="BQ339" s="44" t="n"/>
      <c r="BR339" s="44" t="n"/>
      <c r="BS339" s="44" t="n"/>
      <c r="BT339" s="44" t="n"/>
      <c r="BU339" s="44" t="n"/>
      <c r="BV339" s="44" t="n"/>
      <c r="BW339" s="44" t="n"/>
      <c r="BX339" s="44" t="n"/>
      <c r="BY339" s="153" t="n"/>
      <c r="BZ339" s="153" t="n"/>
      <c r="CA339" s="276" t="n">
        <v>1486</v>
      </c>
      <c r="CB339" s="276" t="n">
        <v>3500</v>
      </c>
      <c r="CC339" s="276" t="n">
        <v>4329</v>
      </c>
      <c r="CD339" s="276" t="n">
        <v>2257</v>
      </c>
      <c r="CE339" s="276" t="n">
        <v>0</v>
      </c>
      <c r="CF339" s="276" t="n">
        <v>1000</v>
      </c>
      <c r="CG339" s="19" t="n"/>
    </row>
    <row r="340" ht="15" customHeight="1" s="251">
      <c r="B340" s="69" t="inlineStr">
        <is>
          <t xml:space="preserve">  Minimum cash balance (cash-flow basis)</t>
        </is>
      </c>
      <c r="C340" s="44" t="n"/>
      <c r="D340" s="44" t="n"/>
      <c r="E340" s="44" t="n"/>
      <c r="F340" s="44" t="n"/>
      <c r="G340" s="44" t="n"/>
      <c r="H340" s="44" t="n"/>
      <c r="I340" s="44" t="n"/>
      <c r="J340" s="44" t="n"/>
      <c r="K340" s="44" t="n"/>
      <c r="L340" s="44" t="n"/>
      <c r="M340" s="44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  <c r="AC340" s="44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  <c r="AQ340" s="44" t="n"/>
      <c r="AR340" s="44" t="n"/>
      <c r="AS340" s="44" t="n"/>
      <c r="AT340" s="44" t="n"/>
      <c r="AU340" s="44" t="n"/>
      <c r="AV340" s="44" t="n"/>
      <c r="AW340" s="44" t="n"/>
      <c r="AX340" s="44" t="n"/>
      <c r="AY340" s="44" t="n"/>
      <c r="AZ340" s="44" t="n"/>
      <c r="BA340" s="44" t="n"/>
      <c r="BB340" s="44" t="n"/>
      <c r="BC340" s="44" t="n"/>
      <c r="BD340" s="44" t="n"/>
      <c r="BE340" s="44" t="n"/>
      <c r="BF340" s="44" t="n"/>
      <c r="BG340" s="44" t="n"/>
      <c r="BH340" s="44" t="n"/>
      <c r="BI340" s="44" t="n"/>
      <c r="BJ340" s="44" t="n"/>
      <c r="BK340" s="44" t="n"/>
      <c r="BL340" s="44" t="n"/>
      <c r="BM340" s="44" t="n"/>
      <c r="BN340" s="44" t="n"/>
      <c r="BO340" s="44" t="n"/>
      <c r="BP340" s="44" t="n"/>
      <c r="BQ340" s="44" t="n"/>
      <c r="BR340" s="44" t="n"/>
      <c r="BS340" s="44" t="n"/>
      <c r="BT340" s="44" t="n"/>
      <c r="BU340" s="44" t="n"/>
      <c r="BV340" s="44" t="n"/>
      <c r="BW340" s="44" t="n"/>
      <c r="BX340" s="44" t="n"/>
      <c r="BY340" s="153" t="n"/>
      <c r="BZ340" s="153" t="n"/>
      <c r="CA340" s="276" t="n">
        <v>3000</v>
      </c>
      <c r="CB340" s="276" t="n">
        <v>3000</v>
      </c>
      <c r="CC340" s="276" t="n">
        <v>3000</v>
      </c>
      <c r="CD340" s="276" t="n">
        <v>3000</v>
      </c>
      <c r="CE340" s="276" t="n">
        <v>3000</v>
      </c>
      <c r="CF340" s="276" t="n">
        <v>3000</v>
      </c>
      <c r="CG340" s="19" t="n"/>
    </row>
    <row r="341" ht="15" customHeight="1" s="251">
      <c r="B341" s="69" t="inlineStr">
        <is>
          <t xml:space="preserve">  Revolving credit facility (year end)</t>
        </is>
      </c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B341" s="44" t="n"/>
      <c r="AC341" s="44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  <c r="AQ341" s="44" t="n"/>
      <c r="AR341" s="44" t="n"/>
      <c r="AS341" s="44" t="n"/>
      <c r="AT341" s="44" t="n"/>
      <c r="AU341" s="44" t="n"/>
      <c r="AV341" s="44" t="n"/>
      <c r="AW341" s="44" t="n"/>
      <c r="AX341" s="44" t="n"/>
      <c r="AY341" s="44" t="n"/>
      <c r="AZ341" s="44" t="n"/>
      <c r="BA341" s="44" t="n"/>
      <c r="BB341" s="44" t="n"/>
      <c r="BC341" s="44" t="n"/>
      <c r="BD341" s="44" t="n"/>
      <c r="BE341" s="44" t="n"/>
      <c r="BF341" s="44" t="n"/>
      <c r="BG341" s="44" t="n"/>
      <c r="BH341" s="44" t="n"/>
      <c r="BI341" s="44" t="n"/>
      <c r="BJ341" s="44" t="n"/>
      <c r="BK341" s="44" t="n"/>
      <c r="BL341" s="44" t="n"/>
      <c r="BM341" s="44" t="n"/>
      <c r="BN341" s="44" t="n"/>
      <c r="BO341" s="44" t="n"/>
      <c r="BP341" s="44" t="n"/>
      <c r="BQ341" s="44" t="n"/>
      <c r="BR341" s="44" t="n"/>
      <c r="BS341" s="44" t="n"/>
      <c r="BT341" s="44" t="n"/>
      <c r="BU341" s="44" t="n"/>
      <c r="BV341" s="44" t="n"/>
      <c r="BW341" s="44" t="n"/>
      <c r="BX341" s="44" t="n"/>
      <c r="BY341" s="153" t="n"/>
      <c r="BZ341" s="153" t="n"/>
      <c r="CA341" s="254">
        <f>MAX(0,CA340-(CA351-CA352))</f>
        <v>0</v>
      </c>
      <c r="CB341" s="254">
        <f>MAX(0,CB340-(CB351-CB352))</f>
        <v>0</v>
      </c>
      <c r="CC341" s="254">
        <f>MAX(0,CC340-(CC351-CC352))</f>
        <v>0</v>
      </c>
      <c r="CD341" s="254">
        <f>MAX(0,CD340-(CD351-CD352))</f>
        <v>0</v>
      </c>
      <c r="CE341" s="254">
        <f>MAX(0,CE340-(CE351-CE352))</f>
        <v>0</v>
      </c>
      <c r="CF341" s="254">
        <f>MAX(0,CF340-(CF351-CF352))</f>
        <v>0</v>
      </c>
      <c r="CG341" s="19" t="inlineStr">
        <is>
          <t>$3bn revolver (Apr-2024, matures Apr-2029), undrawn at 30-Jun-2026. Drawn only if cash before draws falls below the minimum; repaid first from surplus cash.</t>
        </is>
      </c>
    </row>
    <row r="342" ht="15" customHeight="1" s="251">
      <c r="B342" s="156" t="inlineStr">
        <is>
          <t xml:space="preserve">  Memo: revolver headroom vs the $3.0bn commitment (negative = would need other financing)</t>
        </is>
      </c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  <c r="AC342" s="44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  <c r="AQ342" s="44" t="n"/>
      <c r="AR342" s="44" t="n"/>
      <c r="AS342" s="44" t="n"/>
      <c r="AT342" s="44" t="n"/>
      <c r="AU342" s="44" t="n"/>
      <c r="AV342" s="44" t="n"/>
      <c r="AW342" s="44" t="n"/>
      <c r="AX342" s="44" t="n"/>
      <c r="AY342" s="44" t="n"/>
      <c r="AZ342" s="44" t="n"/>
      <c r="BA342" s="44" t="n"/>
      <c r="BB342" s="44" t="n"/>
      <c r="BC342" s="44" t="n"/>
      <c r="BD342" s="44" t="n"/>
      <c r="BE342" s="44" t="n"/>
      <c r="BF342" s="44" t="n"/>
      <c r="BG342" s="44" t="n"/>
      <c r="BH342" s="44" t="n"/>
      <c r="BI342" s="44" t="n"/>
      <c r="BJ342" s="44" t="n"/>
      <c r="BK342" s="44" t="n"/>
      <c r="BL342" s="44" t="n"/>
      <c r="BM342" s="44" t="n"/>
      <c r="BN342" s="44" t="n"/>
      <c r="BO342" s="44" t="n"/>
      <c r="BP342" s="44" t="n"/>
      <c r="BQ342" s="44" t="n"/>
      <c r="BR342" s="44" t="n"/>
      <c r="BS342" s="44" t="n"/>
      <c r="BT342" s="44" t="n"/>
      <c r="BU342" s="44" t="n"/>
      <c r="BV342" s="44" t="n"/>
      <c r="BW342" s="44" t="n"/>
      <c r="BX342" s="44" t="n"/>
      <c r="BY342" s="35" t="n"/>
      <c r="BZ342" s="35" t="n"/>
      <c r="CA342" s="254">
        <f>3000-CA341</f>
        <v>3000</v>
      </c>
      <c r="CB342" s="254">
        <f>3000-CB341</f>
        <v>3000</v>
      </c>
      <c r="CC342" s="254">
        <f>3000-CC341</f>
        <v>3000</v>
      </c>
      <c r="CD342" s="254">
        <f>3000-CD341</f>
        <v>3000</v>
      </c>
      <c r="CE342" s="254">
        <f>3000-CE341</f>
        <v>3000</v>
      </c>
      <c r="CF342" s="254">
        <f>3000-CF341</f>
        <v>3000</v>
      </c>
      <c r="CG342" s="153" t="n"/>
    </row>
    <row r="343" ht="15" customHeight="1" s="251">
      <c r="B343" s="69" t="inlineStr">
        <is>
          <t xml:space="preserve">  Net debt issuance / (repayment)</t>
        </is>
      </c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B343" s="44" t="n"/>
      <c r="AC343" s="44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  <c r="AQ343" s="44" t="n"/>
      <c r="AR343" s="44" t="n"/>
      <c r="AS343" s="44" t="n"/>
      <c r="AT343" s="44" t="n"/>
      <c r="AU343" s="44" t="n"/>
      <c r="AV343" s="44" t="n"/>
      <c r="AW343" s="44" t="n"/>
      <c r="AX343" s="44" t="n"/>
      <c r="AY343" s="44" t="n"/>
      <c r="AZ343" s="44" t="n"/>
      <c r="BA343" s="44" t="n"/>
      <c r="BB343" s="44" t="n"/>
      <c r="BC343" s="44" t="n"/>
      <c r="BD343" s="44" t="n"/>
      <c r="BE343" s="44" t="n"/>
      <c r="BF343" s="44" t="n"/>
      <c r="BG343" s="44" t="n"/>
      <c r="BH343" s="44" t="n"/>
      <c r="BI343" s="44" t="n"/>
      <c r="BJ343" s="44" t="n"/>
      <c r="BK343" s="44" t="n"/>
      <c r="BL343" s="44" t="n"/>
      <c r="BM343" s="44" t="n"/>
      <c r="BN343" s="44" t="n"/>
      <c r="BO343" s="44" t="n"/>
      <c r="BP343" s="44" t="n"/>
      <c r="BQ343" s="44" t="n"/>
      <c r="BR343" s="44" t="n"/>
      <c r="BS343" s="44" t="n"/>
      <c r="BT343" s="44" t="n"/>
      <c r="BU343" s="44" t="n"/>
      <c r="BV343" s="44" t="n"/>
      <c r="BW343" s="44" t="n"/>
      <c r="BX343" s="44" t="n"/>
      <c r="BY343" s="153" t="n"/>
      <c r="BZ343" s="153" t="n"/>
      <c r="CA343" s="254">
        <f>IFERROR(CA334-BV334,"")</f>
        <v>-153.529999999999</v>
      </c>
      <c r="CB343" s="254">
        <f>IFERROR(CB334-CA334,"")</f>
        <v>0</v>
      </c>
      <c r="CC343" s="254">
        <f>IFERROR(CC334-CB334,"")</f>
        <v>0</v>
      </c>
      <c r="CD343" s="254">
        <f>IFERROR(CD334-CC334,"")</f>
        <v>0</v>
      </c>
      <c r="CE343" s="254">
        <f>IFERROR(CE334-CD334,"")</f>
        <v>0</v>
      </c>
      <c r="CF343" s="254">
        <f>IFERROR(CF334-CE334,"")</f>
        <v>0</v>
      </c>
      <c r="CG343" s="19" t="n"/>
    </row>
    <row r="344" ht="15" customHeight="1" s="251">
      <c r="B344" s="69" t="inlineStr">
        <is>
          <t xml:space="preserve">  Interest rate on opening notes %</t>
        </is>
      </c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  <c r="AC344" s="44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  <c r="AQ344" s="44" t="n"/>
      <c r="AR344" s="44" t="n"/>
      <c r="AS344" s="44" t="n"/>
      <c r="AT344" s="44" t="n"/>
      <c r="AU344" s="44" t="n"/>
      <c r="AV344" s="44" t="n"/>
      <c r="AW344" s="44" t="n"/>
      <c r="AX344" s="44" t="n"/>
      <c r="AY344" s="44" t="n"/>
      <c r="AZ344" s="44" t="n"/>
      <c r="BA344" s="44" t="n"/>
      <c r="BB344" s="44" t="n"/>
      <c r="BC344" s="44" t="n"/>
      <c r="BD344" s="44" t="n"/>
      <c r="BE344" s="44" t="n"/>
      <c r="BF344" s="44" t="n"/>
      <c r="BG344" s="44" t="n"/>
      <c r="BH344" s="44" t="n"/>
      <c r="BI344" s="44" t="n"/>
      <c r="BJ344" s="44" t="n"/>
      <c r="BK344" s="44" t="n"/>
      <c r="BL344" s="44" t="n"/>
      <c r="BM344" s="44" t="n"/>
      <c r="BN344" s="44" t="n"/>
      <c r="BO344" s="44" t="n"/>
      <c r="BP344" s="44" t="n"/>
      <c r="BQ344" s="44" t="n"/>
      <c r="BR344" s="44" t="n"/>
      <c r="BS344" s="44" t="n"/>
      <c r="BT344" s="44" t="n"/>
      <c r="BU344" s="44" t="n"/>
      <c r="BV344" s="44" t="n"/>
      <c r="BW344" s="44" t="n"/>
      <c r="BX344" s="44" t="n"/>
      <c r="BY344" s="153" t="n"/>
      <c r="BZ344" s="153" t="n"/>
      <c r="CA344" s="35" t="n"/>
      <c r="CB344" s="274" t="n">
        <v>0.049</v>
      </c>
      <c r="CC344" s="274" t="n">
        <v>0.05</v>
      </c>
      <c r="CD344" s="274" t="n">
        <v>0.051</v>
      </c>
      <c r="CE344" s="274" t="n">
        <v>0.052</v>
      </c>
      <c r="CF344" s="274" t="n">
        <v>0.052</v>
      </c>
      <c r="CG344" s="19" t="inlineStr">
        <is>
          <t>Par-weighted coupon of the 30-Jun-2026 notes 4.76% (EUR notes 3.625-4.625%, USD notes 4.375-6.375%); Q2-26 interest expense $175.7m (~4.9% annualised on $14.4bn). Refinancing at ~5.25% (Jul-2026 notes) lifts the average coupon as low-coupon EUR notes mature (assumption).</t>
        </is>
      </c>
    </row>
    <row r="345" ht="15" customHeight="1" s="251">
      <c r="B345" s="69" t="inlineStr">
        <is>
          <t xml:space="preserve">  Interest rate on opening revolver %</t>
        </is>
      </c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B345" s="44" t="n"/>
      <c r="AC345" s="44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  <c r="AQ345" s="44" t="n"/>
      <c r="AR345" s="44" t="n"/>
      <c r="AS345" s="44" t="n"/>
      <c r="AT345" s="44" t="n"/>
      <c r="AU345" s="44" t="n"/>
      <c r="AV345" s="44" t="n"/>
      <c r="AW345" s="44" t="n"/>
      <c r="AX345" s="44" t="n"/>
      <c r="AY345" s="44" t="n"/>
      <c r="AZ345" s="44" t="n"/>
      <c r="BA345" s="44" t="n"/>
      <c r="BB345" s="44" t="n"/>
      <c r="BC345" s="44" t="n"/>
      <c r="BD345" s="44" t="n"/>
      <c r="BE345" s="44" t="n"/>
      <c r="BF345" s="44" t="n"/>
      <c r="BG345" s="44" t="n"/>
      <c r="BH345" s="44" t="n"/>
      <c r="BI345" s="44" t="n"/>
      <c r="BJ345" s="44" t="n"/>
      <c r="BK345" s="44" t="n"/>
      <c r="BL345" s="44" t="n"/>
      <c r="BM345" s="44" t="n"/>
      <c r="BN345" s="44" t="n"/>
      <c r="BO345" s="44" t="n"/>
      <c r="BP345" s="44" t="n"/>
      <c r="BQ345" s="44" t="n"/>
      <c r="BR345" s="44" t="n"/>
      <c r="BS345" s="44" t="n"/>
      <c r="BT345" s="44" t="n"/>
      <c r="BU345" s="44" t="n"/>
      <c r="BV345" s="44" t="n"/>
      <c r="BW345" s="44" t="n"/>
      <c r="BX345" s="44" t="n"/>
      <c r="BY345" s="153" t="n"/>
      <c r="BZ345" s="153" t="n"/>
      <c r="CA345" s="35" t="n"/>
      <c r="CB345" s="274" t="n">
        <v>0.055</v>
      </c>
      <c r="CC345" s="274" t="n">
        <v>0.055</v>
      </c>
      <c r="CD345" s="274" t="n">
        <v>0.055</v>
      </c>
      <c r="CE345" s="274" t="n">
        <v>0.055</v>
      </c>
      <c r="CF345" s="274" t="n">
        <v>0.055</v>
      </c>
      <c r="CG345" s="19" t="inlineStr">
        <is>
          <t>Adjusted term SOFR + 0.75–1.25% (credit-rating grid).</t>
        </is>
      </c>
    </row>
    <row r="346" ht="15" customHeight="1" s="251">
      <c r="B346" s="69" t="inlineStr">
        <is>
          <t xml:space="preserve">  Commitment fees &amp; financing-cost amortization ($m)</t>
        </is>
      </c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  <c r="AC346" s="44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  <c r="AQ346" s="44" t="n"/>
      <c r="AR346" s="44" t="n"/>
      <c r="AS346" s="44" t="n"/>
      <c r="AT346" s="44" t="n"/>
      <c r="AU346" s="44" t="n"/>
      <c r="AV346" s="44" t="n"/>
      <c r="AW346" s="44" t="n"/>
      <c r="AX346" s="44" t="n"/>
      <c r="AY346" s="44" t="n"/>
      <c r="AZ346" s="44" t="n"/>
      <c r="BA346" s="44" t="n"/>
      <c r="BB346" s="44" t="n"/>
      <c r="BC346" s="44" t="n"/>
      <c r="BD346" s="44" t="n"/>
      <c r="BE346" s="44" t="n"/>
      <c r="BF346" s="44" t="n"/>
      <c r="BG346" s="44" t="n"/>
      <c r="BH346" s="44" t="n"/>
      <c r="BI346" s="44" t="n"/>
      <c r="BJ346" s="44" t="n"/>
      <c r="BK346" s="44" t="n"/>
      <c r="BL346" s="44" t="n"/>
      <c r="BM346" s="44" t="n"/>
      <c r="BN346" s="44" t="n"/>
      <c r="BO346" s="44" t="n"/>
      <c r="BP346" s="44" t="n"/>
      <c r="BQ346" s="44" t="n"/>
      <c r="BR346" s="44" t="n"/>
      <c r="BS346" s="44" t="n"/>
      <c r="BT346" s="44" t="n"/>
      <c r="BU346" s="44" t="n"/>
      <c r="BV346" s="44" t="n"/>
      <c r="BW346" s="44" t="n"/>
      <c r="BX346" s="44" t="n"/>
      <c r="BY346" s="153" t="n"/>
      <c r="BZ346" s="153" t="n"/>
      <c r="CA346" s="35" t="n"/>
      <c r="CB346" s="276" t="n">
        <v>15</v>
      </c>
      <c r="CC346" s="276" t="n">
        <v>15</v>
      </c>
      <c r="CD346" s="276" t="n">
        <v>15</v>
      </c>
      <c r="CE346" s="276" t="n">
        <v>15</v>
      </c>
      <c r="CF346" s="276" t="n">
        <v>15</v>
      </c>
      <c r="CG346" s="19" t="n"/>
    </row>
    <row r="347" ht="15" customHeight="1" s="251">
      <c r="B347" s="69" t="inlineStr">
        <is>
          <t xml:space="preserve">  Interest and other income yield on opening cash &amp; investments %</t>
        </is>
      </c>
      <c r="C347" s="44" t="n"/>
      <c r="D347" s="44" t="n"/>
      <c r="E347" s="44" t="n"/>
      <c r="F347" s="44" t="n"/>
      <c r="G347" s="44" t="n"/>
      <c r="H347" s="44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44" t="n"/>
      <c r="X347" s="44" t="n"/>
      <c r="Y347" s="44" t="n"/>
      <c r="Z347" s="44" t="n"/>
      <c r="AA347" s="44" t="n"/>
      <c r="AB347" s="44" t="n"/>
      <c r="AC347" s="44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  <c r="AQ347" s="44" t="n"/>
      <c r="AR347" s="44" t="n"/>
      <c r="AS347" s="44" t="n"/>
      <c r="AT347" s="44" t="n"/>
      <c r="AU347" s="44" t="n"/>
      <c r="AV347" s="44" t="n"/>
      <c r="AW347" s="44" t="n"/>
      <c r="AX347" s="44" t="n"/>
      <c r="AY347" s="44" t="n"/>
      <c r="AZ347" s="44" t="n"/>
      <c r="BA347" s="44" t="n"/>
      <c r="BB347" s="44" t="n"/>
      <c r="BC347" s="44" t="n"/>
      <c r="BD347" s="44" t="n"/>
      <c r="BE347" s="44" t="n"/>
      <c r="BF347" s="44" t="n"/>
      <c r="BG347" s="44" t="n"/>
      <c r="BH347" s="44" t="n"/>
      <c r="BI347" s="44" t="n"/>
      <c r="BJ347" s="44" t="n"/>
      <c r="BK347" s="44" t="n"/>
      <c r="BL347" s="44" t="n"/>
      <c r="BM347" s="44" t="n"/>
      <c r="BN347" s="44" t="n"/>
      <c r="BO347" s="44" t="n"/>
      <c r="BP347" s="44" t="n"/>
      <c r="BQ347" s="44" t="n"/>
      <c r="BR347" s="44" t="n"/>
      <c r="BS347" s="44" t="n"/>
      <c r="BT347" s="44" t="n"/>
      <c r="BU347" s="44" t="n"/>
      <c r="BV347" s="44" t="n"/>
      <c r="BW347" s="44" t="n"/>
      <c r="BX347" s="44" t="n"/>
      <c r="BY347" s="153" t="n"/>
      <c r="BZ347" s="153" t="n"/>
      <c r="CA347" s="35" t="n"/>
      <c r="CB347" s="274" t="n">
        <v>0.025</v>
      </c>
      <c r="CC347" s="274" t="n">
        <v>0.025</v>
      </c>
      <c r="CD347" s="274" t="n">
        <v>0.025</v>
      </c>
      <c r="CE347" s="274" t="n">
        <v>0.025</v>
      </c>
      <c r="CF347" s="274" t="n">
        <v>0.025</v>
      </c>
      <c r="CG347" s="19" t="inlineStr">
        <is>
          <t>FY25 interest and other income $172m on ~$8bn average cash and investments (incl. F/X and hedging); 1H-26 interest income $152m (10-Q). 2.5% (assumption).</t>
        </is>
      </c>
    </row>
    <row r="348" ht="15" customHeight="1" s="251">
      <c r="B348" s="25" t="inlineStr">
        <is>
          <t>Cash-return buybacks (repurchases return cash above the target year-end balance)</t>
        </is>
      </c>
      <c r="CG348" s="153" t="n"/>
    </row>
    <row r="349" ht="15" customHeight="1" s="251">
      <c r="B349" s="69" t="inlineStr">
        <is>
          <t xml:space="preserve">  Target year-end cash (months of revenue, scenario)</t>
        </is>
      </c>
      <c r="C349" s="44" t="n"/>
      <c r="D349" s="44" t="n"/>
      <c r="E349" s="44" t="n"/>
      <c r="F349" s="44" t="n"/>
      <c r="G349" s="44" t="n"/>
      <c r="H349" s="44" t="n"/>
      <c r="I349" s="44" t="n"/>
      <c r="J349" s="44" t="n"/>
      <c r="K349" s="44" t="n"/>
      <c r="L349" s="44" t="n"/>
      <c r="M349" s="44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44" t="n"/>
      <c r="X349" s="44" t="n"/>
      <c r="Y349" s="44" t="n"/>
      <c r="Z349" s="44" t="n"/>
      <c r="AA349" s="44" t="n"/>
      <c r="AB349" s="44" t="n"/>
      <c r="AC349" s="44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  <c r="AQ349" s="44" t="n"/>
      <c r="AR349" s="44" t="n"/>
      <c r="AS349" s="44" t="n"/>
      <c r="AT349" s="44" t="n"/>
      <c r="AU349" s="44" t="n"/>
      <c r="AV349" s="44" t="n"/>
      <c r="AW349" s="44" t="n"/>
      <c r="AX349" s="44" t="n"/>
      <c r="AY349" s="44" t="n"/>
      <c r="AZ349" s="44" t="n"/>
      <c r="BA349" s="44" t="n"/>
      <c r="BB349" s="44" t="n"/>
      <c r="BC349" s="44" t="n"/>
      <c r="BD349" s="44" t="n"/>
      <c r="BE349" s="44" t="n"/>
      <c r="BF349" s="44" t="n"/>
      <c r="BG349" s="44" t="n"/>
      <c r="BH349" s="44" t="n"/>
      <c r="BI349" s="44" t="n"/>
      <c r="BJ349" s="44" t="n"/>
      <c r="BK349" s="44" t="n"/>
      <c r="BL349" s="44" t="n"/>
      <c r="BM349" s="44" t="n"/>
      <c r="BN349" s="44" t="n"/>
      <c r="BO349" s="44" t="n"/>
      <c r="BP349" s="44" t="n"/>
      <c r="BQ349" s="44" t="n"/>
      <c r="BR349" s="44" t="n"/>
      <c r="BS349" s="44" t="n"/>
      <c r="BT349" s="44" t="n"/>
      <c r="BU349" s="44" t="n"/>
      <c r="BV349" s="44" t="n"/>
      <c r="BW349" s="44" t="n"/>
      <c r="BX349" s="44" t="n"/>
      <c r="BY349" s="153" t="n"/>
      <c r="BZ349" s="153" t="n"/>
      <c r="CA349" s="287">
        <f>CHOOSE(MATCH($CG$2,{"Bull","Base","Bear"},0),$CP$28,$CQ$28,$CR$28)</f>
        <v>2</v>
      </c>
      <c r="CB349" s="287">
        <f>CHOOSE(MATCH($CG$2,{"Bull","Base","Bear"},0),$CP$28,$CQ$28,$CR$28)</f>
        <v>2</v>
      </c>
      <c r="CC349" s="287">
        <f>CHOOSE(MATCH($CG$2,{"Bull","Base","Bear"},0),$CP$28,$CQ$28,$CR$28)</f>
        <v>2</v>
      </c>
      <c r="CD349" s="287">
        <f>CHOOSE(MATCH($CG$2,{"Bull","Base","Bear"},0),$CP$28,$CQ$28,$CR$28)</f>
        <v>2</v>
      </c>
      <c r="CE349" s="287">
        <f>CHOOSE(MATCH($CG$2,{"Bull","Base","Bear"},0),$CP$28,$CQ$28,$CR$28)</f>
        <v>2</v>
      </c>
      <c r="CF349" s="287">
        <f>CHOOSE(MATCH($CG$2,{"Bull","Base","Bear"},0),$CP$28,$CQ$28,$CR$28)</f>
        <v>2</v>
      </c>
      <c r="CG349" s="19" t="inlineStr">
        <is>
          <t>Netflix dropped its former anchors ("$10–15bn gross debt and minimum cash equivalent to two months of revenue", Q1-24 letter) for policies consistent with a solid investment-grade rating and returns excess cash via buybacks. Year-end cash was 2.4 months of revenue at YE2025 and 30-Jun-2026 cash $9.1bn. Base keeps two months; Bull runs leaner (more buybacks); Bear holds more cash.</t>
        </is>
      </c>
    </row>
    <row r="350" ht="15" customHeight="1" s="251">
      <c r="B350" s="69" t="inlineStr">
        <is>
          <t xml:space="preserve">  Target year-end cash (cash-flow basis)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  <c r="AQ350" s="44" t="n"/>
      <c r="AR350" s="44" t="n"/>
      <c r="AS350" s="44" t="n"/>
      <c r="AT350" s="44" t="n"/>
      <c r="AU350" s="44" t="n"/>
      <c r="AV350" s="44" t="n"/>
      <c r="AW350" s="44" t="n"/>
      <c r="AX350" s="44" t="n"/>
      <c r="AY350" s="44" t="n"/>
      <c r="AZ350" s="44" t="n"/>
      <c r="BA350" s="44" t="n"/>
      <c r="BB350" s="44" t="n"/>
      <c r="BC350" s="44" t="n"/>
      <c r="BD350" s="44" t="n"/>
      <c r="BE350" s="44" t="n"/>
      <c r="BF350" s="44" t="n"/>
      <c r="BG350" s="44" t="n"/>
      <c r="BH350" s="44" t="n"/>
      <c r="BI350" s="44" t="n"/>
      <c r="BJ350" s="44" t="n"/>
      <c r="BK350" s="44" t="n"/>
      <c r="BL350" s="44" t="n"/>
      <c r="BM350" s="44" t="n"/>
      <c r="BN350" s="44" t="n"/>
      <c r="BO350" s="44" t="n"/>
      <c r="BP350" s="44" t="n"/>
      <c r="BQ350" s="44" t="n"/>
      <c r="BR350" s="44" t="n"/>
      <c r="BS350" s="44" t="n"/>
      <c r="BT350" s="44" t="n"/>
      <c r="BU350" s="44" t="n"/>
      <c r="BV350" s="44" t="n"/>
      <c r="BW350" s="44" t="n"/>
      <c r="BX350" s="44" t="n"/>
      <c r="BY350" s="153" t="n"/>
      <c r="BZ350" s="153" t="n"/>
      <c r="CA350" s="254">
        <f>MAX(CA340,CA349*CA121/12)</f>
        <v>8533.33333333333</v>
      </c>
      <c r="CB350" s="254">
        <f>MAX(CB340,CB349*CB121/12)</f>
        <v>9429.8862117249</v>
      </c>
      <c r="CC350" s="254">
        <f>MAX(CC340,CC349*CC121/12)</f>
        <v>10328.1186861386</v>
      </c>
      <c r="CD350" s="254">
        <f>MAX(CD340,CD349*CD121/12)</f>
        <v>11210.6066612685</v>
      </c>
      <c r="CE350" s="254">
        <f>MAX(CE340,CE349*CE121/12)</f>
        <v>12081.6968082098</v>
      </c>
      <c r="CF350" s="254">
        <f>MAX(CF340,CF349*CF121/12)</f>
        <v>12926.0006626025</v>
      </c>
      <c r="CG350" s="19" t="n"/>
    </row>
    <row r="351" ht="15" customHeight="1" s="251">
      <c r="B351" s="69" t="inlineStr">
        <is>
          <t xml:space="preserve">  Cash available before buybacks and revolver (after notes issued / repaid and repaying the opening revolver)</t>
        </is>
      </c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B351" s="44" t="n"/>
      <c r="AC351" s="44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  <c r="AQ351" s="44" t="n"/>
      <c r="AR351" s="44" t="n"/>
      <c r="AS351" s="44" t="n"/>
      <c r="AT351" s="44" t="n"/>
      <c r="AU351" s="44" t="n"/>
      <c r="AV351" s="44" t="n"/>
      <c r="AW351" s="44" t="n"/>
      <c r="AX351" s="44" t="n"/>
      <c r="AY351" s="44" t="n"/>
      <c r="AZ351" s="44" t="n"/>
      <c r="BA351" s="44" t="n"/>
      <c r="BB351" s="44" t="n"/>
      <c r="BC351" s="44" t="n"/>
      <c r="BD351" s="44" t="n"/>
      <c r="BE351" s="44" t="n"/>
      <c r="BF351" s="44" t="n"/>
      <c r="BG351" s="44" t="n"/>
      <c r="BH351" s="44" t="n"/>
      <c r="BI351" s="44" t="n"/>
      <c r="BJ351" s="44" t="n"/>
      <c r="BK351" s="44" t="n"/>
      <c r="BL351" s="44" t="n"/>
      <c r="BM351" s="44" t="n"/>
      <c r="BN351" s="44" t="n"/>
      <c r="BO351" s="44" t="n"/>
      <c r="BP351" s="44" t="n"/>
      <c r="BQ351" s="44" t="n"/>
      <c r="BR351" s="44" t="n"/>
      <c r="BS351" s="44" t="n"/>
      <c r="BT351" s="44" t="n"/>
      <c r="BU351" s="44" t="n"/>
      <c r="BV351" s="44" t="n"/>
      <c r="BW351" s="44" t="n"/>
      <c r="BX351" s="44" t="n"/>
      <c r="BY351" s="153" t="n"/>
      <c r="BZ351" s="153" t="n"/>
      <c r="CA351" s="254">
        <f>BX252+(CA236-SUM(BW236:BX236))+(CA242-SUM(BW242:BX242))+(CA245-SUM(BW245:BX245))+(CA247-SUM(BW247:BX247))+(CA249-SUM(BW249:BX249))+CA337-CA336-BX341</f>
        <v>15083.543</v>
      </c>
      <c r="CB351" s="254">
        <f>CB251+CB236+CB242+CB245+CB247+CB249+CB337-CB336-CA341</f>
        <v>22048.0221024097</v>
      </c>
      <c r="CC351" s="254">
        <f>CC251+CC236+CC242+CC245+CC247+CC249+CC337-CC336-CB341</f>
        <v>25580.8399348344</v>
      </c>
      <c r="CD351" s="254">
        <f>CD251+CD236+CD242+CD245+CD247+CD249+CD337-CD336-CC341</f>
        <v>29059.6034275179</v>
      </c>
      <c r="CE351" s="254">
        <f>CE251+CE236+CE242+CE245+CE247+CE249+CE337-CE336-CD341</f>
        <v>32371.5498164074</v>
      </c>
      <c r="CF351" s="254">
        <f>CF251+CF236+CF242+CF245+CF247+CF249+CF337-CF336-CE341</f>
        <v>35675.5211126686</v>
      </c>
      <c r="CG351" s="19" t="n"/>
    </row>
    <row r="352" ht="15" customHeight="1" s="251">
      <c r="B352" s="69" t="inlineStr">
        <is>
          <t xml:space="preserve">  Share repurchases: plug to the target cash balance (2026E = 2H)</t>
        </is>
      </c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  <c r="AC352" s="44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  <c r="AQ352" s="44" t="n"/>
      <c r="AR352" s="44" t="n"/>
      <c r="AS352" s="44" t="n"/>
      <c r="AT352" s="44" t="n"/>
      <c r="AU352" s="44" t="n"/>
      <c r="AV352" s="44" t="n"/>
      <c r="AW352" s="44" t="n"/>
      <c r="AX352" s="44" t="n"/>
      <c r="AY352" s="44" t="n"/>
      <c r="AZ352" s="44" t="n"/>
      <c r="BA352" s="44" t="n"/>
      <c r="BB352" s="44" t="n"/>
      <c r="BC352" s="44" t="n"/>
      <c r="BD352" s="44" t="n"/>
      <c r="BE352" s="44" t="n"/>
      <c r="BF352" s="44" t="n"/>
      <c r="BG352" s="44" t="n"/>
      <c r="BH352" s="44" t="n"/>
      <c r="BI352" s="44" t="n"/>
      <c r="BJ352" s="44" t="n"/>
      <c r="BK352" s="44" t="n"/>
      <c r="BL352" s="44" t="n"/>
      <c r="BM352" s="44" t="n"/>
      <c r="BN352" s="44" t="n"/>
      <c r="BO352" s="44" t="n"/>
      <c r="BP352" s="44" t="n"/>
      <c r="BQ352" s="44" t="n"/>
      <c r="BR352" s="44" t="n"/>
      <c r="BS352" s="44" t="n"/>
      <c r="BT352" s="44" t="n"/>
      <c r="BU352" s="44" t="n"/>
      <c r="BV352" s="44" t="n"/>
      <c r="BW352" s="44" t="n"/>
      <c r="BX352" s="44" t="n"/>
      <c r="BY352" s="153" t="n"/>
      <c r="BZ352" s="153" t="n"/>
      <c r="CA352" s="254">
        <f>MAX(0,CA351-CA350)</f>
        <v>6550.20966666667</v>
      </c>
      <c r="CB352" s="254">
        <f>MAX(0,CB351-CB350)</f>
        <v>12618.1358906848</v>
      </c>
      <c r="CC352" s="254">
        <f>MAX(0,CC351-CC350)</f>
        <v>15252.7212486958</v>
      </c>
      <c r="CD352" s="254">
        <f>MAX(0,CD351-CD350)</f>
        <v>17848.9967662494</v>
      </c>
      <c r="CE352" s="254">
        <f>MAX(0,CE351-CE350)</f>
        <v>20289.8530081977</v>
      </c>
      <c r="CF352" s="254">
        <f>MAX(0,CF351-CF350)</f>
        <v>22749.5204500661</v>
      </c>
      <c r="CG352" s="19" t="inlineStr">
        <is>
          <t>Surplus cash above the target is returned via buybacks; feeds the cash-flow repurchase line. Check against the $27.1bn authorization remaining at 30-Jun-2026.</t>
        </is>
      </c>
    </row>
    <row r="353" ht="15" customHeight="1" s="251">
      <c r="B353" s="156" t="inlineStr">
        <is>
          <t xml:space="preserve">  Memo: cumulative buybacks from 2H-26 vs the $27.1bn authorization remaining at 30-Jun-2026 (headroom)</t>
        </is>
      </c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B353" s="44" t="n"/>
      <c r="AC353" s="44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  <c r="AQ353" s="44" t="n"/>
      <c r="AR353" s="44" t="n"/>
      <c r="AS353" s="44" t="n"/>
      <c r="AT353" s="44" t="n"/>
      <c r="AU353" s="44" t="n"/>
      <c r="AV353" s="44" t="n"/>
      <c r="AW353" s="44" t="n"/>
      <c r="AX353" s="44" t="n"/>
      <c r="AY353" s="44" t="n"/>
      <c r="AZ353" s="44" t="n"/>
      <c r="BA353" s="44" t="n"/>
      <c r="BB353" s="44" t="n"/>
      <c r="BC353" s="44" t="n"/>
      <c r="BD353" s="44" t="n"/>
      <c r="BE353" s="44" t="n"/>
      <c r="BF353" s="44" t="n"/>
      <c r="BG353" s="44" t="n"/>
      <c r="BH353" s="44" t="n"/>
      <c r="BI353" s="44" t="n"/>
      <c r="BJ353" s="44" t="n"/>
      <c r="BK353" s="44" t="n"/>
      <c r="BL353" s="44" t="n"/>
      <c r="BM353" s="44" t="n"/>
      <c r="BN353" s="44" t="n"/>
      <c r="BO353" s="44" t="n"/>
      <c r="BP353" s="44" t="n"/>
      <c r="BQ353" s="44" t="n"/>
      <c r="BR353" s="44" t="n"/>
      <c r="BS353" s="44" t="n"/>
      <c r="BT353" s="44" t="n"/>
      <c r="BU353" s="44" t="n"/>
      <c r="BV353" s="44" t="n"/>
      <c r="BW353" s="44" t="n"/>
      <c r="BX353" s="44" t="n"/>
      <c r="BY353" s="35" t="n"/>
      <c r="BZ353" s="35" t="n"/>
      <c r="CA353" s="254">
        <f>27100-CA352</f>
        <v>20549.7903333333</v>
      </c>
      <c r="CB353" s="254">
        <f>CA353-CB352</f>
        <v>7931.65444264855</v>
      </c>
      <c r="CC353" s="254">
        <f>CB353-CC352</f>
        <v>-7321.06680604723</v>
      </c>
      <c r="CD353" s="254">
        <f>CC353-CD352</f>
        <v>-25170.0635722966</v>
      </c>
      <c r="CE353" s="254">
        <f>CD353-CE352</f>
        <v>-45459.9165804943</v>
      </c>
      <c r="CF353" s="254">
        <f>CE353-CF352</f>
        <v>-68209.4370305604</v>
      </c>
      <c r="CG353" s="153" t="n"/>
    </row>
    <row r="354" ht="15" customHeight="1" s="251">
      <c r="B354" s="25" t="inlineStr">
        <is>
          <t>Historical reference (driver context)</t>
        </is>
      </c>
      <c r="CG354" s="153" t="n"/>
    </row>
    <row r="355" ht="15" customHeight="1" s="251">
      <c r="B355" s="25" t="inlineStr">
        <is>
          <t xml:space="preserve">  Interest expense ÷ average total debt %</t>
        </is>
      </c>
      <c r="C355" s="36" t="n"/>
      <c r="D355" s="215">
        <f>IFERROR(D135*1/AVERAGE(D334,C334),"")</f>
      </c>
      <c r="E355" s="215">
        <f>IFERROR(E135*1/AVERAGE(E334,D334),"")</f>
        <v>0.125600408788963</v>
      </c>
      <c r="F355" s="215">
        <f>IFERROR(F135*1/AVERAGE(F334,E334),"")</f>
        <v>0.0467303209416791</v>
      </c>
      <c r="G355" s="215">
        <f>IFERROR(G135*1/AVERAGE(G334,F334),"")</f>
        <v>0.0827899482905514</v>
      </c>
      <c r="H355" s="215">
        <f>IFERROR(H135*1/AVERAGE(H334,G334),"")</f>
        <v>0.0629513082240658</v>
      </c>
      <c r="I355" s="215">
        <f>IFERROR(I135*1/AVERAGE(I334,H334),"")</f>
        <v>0.049965</v>
      </c>
      <c r="J355" s="36" t="n"/>
      <c r="K355" s="215">
        <f>IFERROR(K135*4/AVERAGE(K334,J334),"")</f>
        <v>0.0501866666666667</v>
      </c>
      <c r="L355" s="215">
        <f>IFERROR(L135*4/AVERAGE(L334,K334),"")</f>
        <v>0.059488</v>
      </c>
      <c r="M355" s="215">
        <f>IFERROR(M135*4/AVERAGE(M334,L334),"")</f>
        <v>0.059504</v>
      </c>
      <c r="N355" s="215">
        <f>IFERROR(N135*1/AVERAGE(N334,I334),"")</f>
        <v>0.06476</v>
      </c>
      <c r="O355" s="215">
        <f>IFERROR(O135*4/AVERAGE(O334,M334),"")</f>
        <v>0.05744</v>
      </c>
      <c r="P355" s="215">
        <f>IFERROR(P135*4/AVERAGE(P334,O334),"")</f>
        <v>0.0592355555555556</v>
      </c>
      <c r="Q355" s="215">
        <f>IFERROR(Q135*4/AVERAGE(Q334,P334),"")</f>
        <v>0.0599377777777778</v>
      </c>
      <c r="R355" s="215">
        <f>IFERROR(R135*4/AVERAGE(R334,Q334),"")</f>
        <v>0.0593466666666667</v>
      </c>
      <c r="S355" s="215">
        <f>IFERROR(S135*1/AVERAGE(S334,N334),"")</f>
        <v>0.0717414285714286</v>
      </c>
      <c r="T355" s="215">
        <f>IFERROR(T135*4/AVERAGE(T334,R334),"")</f>
        <v>0.0648169696969697</v>
      </c>
      <c r="U355" s="215">
        <f>IFERROR(U135*4/AVERAGE(U334,T334),"")</f>
        <v>0.058695</v>
      </c>
      <c r="V355" s="215">
        <f>IFERROR(V135*4/AVERAGE(V334,U334),"")</f>
        <v>0.0588883333333333</v>
      </c>
      <c r="W355" s="215">
        <f>IFERROR(W135*4/AVERAGE(W334,V334),"")</f>
        <v>0.0594027449604536</v>
      </c>
      <c r="X355" s="215">
        <f>IFERROR(X135*1/AVERAGE(X334,S334),"")</f>
        <v>0.0811380703205576</v>
      </c>
      <c r="Y355" s="215">
        <f>IFERROR(Y135*4/AVERAGE(Y334,W334),"")</f>
        <v>0.0599327933754675</v>
      </c>
      <c r="Z355" s="215">
        <f>IFERROR(Z135*4/AVERAGE(Z334,Y334),"")</f>
        <v>0.0597727900620888</v>
      </c>
      <c r="AA355" s="215">
        <f>IFERROR(AA135*4/AVERAGE(AA334,Z334),"")</f>
        <v>0.0598872858117598</v>
      </c>
      <c r="AB355" s="215">
        <f>IFERROR(AB135*4/AVERAGE(AB334,AA334),"")</f>
        <v>0.0607652784973608</v>
      </c>
      <c r="AC355" s="215">
        <f>IFERROR(AC135*1/AVERAGE(AC334,X334),"")</f>
        <v>0.0523439882294545</v>
      </c>
      <c r="AD355" s="215">
        <f>IFERROR(AD135*4/AVERAGE(AD334,AB334),"")</f>
        <v>0.055564685837882</v>
      </c>
      <c r="AE355" s="215">
        <f>IFERROR(AE135*4/AVERAGE(AE334,AD334),"")</f>
        <v>0.0541160236251625</v>
      </c>
      <c r="AF355" s="215">
        <f>IFERROR(AF135*4/AVERAGE(AF334,AE334),"")</f>
        <v>0.049921827483719</v>
      </c>
      <c r="AG355" s="215">
        <f>IFERROR(AG135*4/AVERAGE(AG334,AF334),"")</f>
        <v>0.0528911686335392</v>
      </c>
      <c r="AH355" s="215">
        <f>IFERROR(AH135*1/AVERAGE(AH334,AC334),"")</f>
        <v>0.0482989064090579</v>
      </c>
      <c r="AI355" s="215">
        <f>IFERROR(AI135*4/AVERAGE(AI334,AG334),"")</f>
        <v>0.0498207111668975</v>
      </c>
      <c r="AJ355" s="215">
        <f>IFERROR(AJ135*4/AVERAGE(AJ334,AI334),"")</f>
        <v>0.0546100491520004</v>
      </c>
      <c r="AK355" s="215">
        <f>IFERROR(AK135*4/AVERAGE(AK334,AJ334),"")</f>
        <v>0.0522162071481432</v>
      </c>
      <c r="AL355" s="215">
        <f>IFERROR(AL135*4/AVERAGE(AL334,AK334),"")</f>
        <v>0.0551144900657038</v>
      </c>
      <c r="AM355" s="215">
        <f>IFERROR(AM135*1/AVERAGE(AM334,AH334),"")</f>
        <v>0.0498820545579967</v>
      </c>
      <c r="AN355" s="215">
        <f>IFERROR(AN135*4/AVERAGE(AN334,AL334),"")</f>
        <v>0.0524668642721507</v>
      </c>
      <c r="AO355" s="215">
        <f>IFERROR(AO135*4/AVERAGE(AO334,AN334),"")</f>
        <v>0.0531139179877269</v>
      </c>
      <c r="AP355" s="215">
        <f>IFERROR(AP135*4/AVERAGE(AP334,AO334),"")</f>
        <v>0.0513703482442622</v>
      </c>
      <c r="AQ355" s="215">
        <f>IFERROR(AQ135*4/AVERAGE(AQ334,AP334),"")</f>
        <v>0.052323254959002</v>
      </c>
      <c r="AR355" s="215">
        <f>IFERROR(AR135*1/AVERAGE(AR334,AM334),"")</f>
        <v>0.049843948788737</v>
      </c>
      <c r="AS355" s="215">
        <f>IFERROR(AS135*4/AVERAGE(AS334,AQ334),"")</f>
        <v>0.0500416582267939</v>
      </c>
      <c r="AT355" s="215">
        <f>IFERROR(AT135*4/AVERAGE(AT334,AS334),"")</f>
        <v>0.0496725606837787</v>
      </c>
      <c r="AU355" s="215">
        <f>IFERROR(AU135*4/AVERAGE(AU334,AT334),"")</f>
        <v>0.0495153274559336</v>
      </c>
      <c r="AV355" s="215">
        <f>IFERROR(AV135*4/AVERAGE(AV334,AU334),"")</f>
        <v>0.0487539507998892</v>
      </c>
      <c r="AW355" s="215">
        <f>IFERROR(AW135*1/AVERAGE(AW334,AR334),"")</f>
        <v>0.0494073158264263</v>
      </c>
      <c r="AX355" s="215">
        <f>IFERROR(AX135*4/AVERAGE(AX334,AV334),"")</f>
        <v>0.0488108673967147</v>
      </c>
      <c r="AY355" s="215">
        <f>IFERROR(AY135*4/AVERAGE(AY334,AX334),"")</f>
        <v>0.0490799576224188</v>
      </c>
      <c r="AZ355" s="215">
        <f>IFERROR(AZ135*4/AVERAGE(AZ334,AY334),"")</f>
        <v>0.0489547588029389</v>
      </c>
      <c r="BA355" s="215">
        <f>IFERROR(BA135*4/AVERAGE(BA334,AZ334),"")</f>
        <v>0.0490652433190003</v>
      </c>
      <c r="BB355" s="215">
        <f>IFERROR(BB135*1/AVERAGE(BB334,AW334),"")</f>
        <v>0.0483012546768537</v>
      </c>
      <c r="BC355" s="215">
        <f>IFERROR(BC135*4/AVERAGE(BC334,BA334),"")</f>
        <v>0.0501423174759659</v>
      </c>
      <c r="BD355" s="215">
        <f>IFERROR(BD135*4/AVERAGE(BD334,BC334),"")</f>
        <v>0.0487919436771531</v>
      </c>
      <c r="BE355" s="215">
        <f>IFERROR(BE135*4/AVERAGE(BE334,BD334),"")</f>
        <v>0.0490942491524255</v>
      </c>
      <c r="BF355" s="215">
        <f>IFERROR(BF135*4/AVERAGE(BF334,BE334),"")</f>
        <v>0.0483274201624556</v>
      </c>
      <c r="BG355" s="215">
        <f>IFERROR(BG135*1/AVERAGE(BG334,BB334),"")</f>
        <v>0.0474828675117044</v>
      </c>
      <c r="BH355" s="215">
        <f>IFERROR(BH135*4/AVERAGE(BH334,BF334),"")</f>
        <v>0.0484161904514466</v>
      </c>
      <c r="BI355" s="215">
        <f>IFERROR(BI135*4/AVERAGE(BI334,BH334),"")</f>
        <v>0.0483797059128161</v>
      </c>
      <c r="BJ355" s="215">
        <f>IFERROR(BJ135*4/AVERAGE(BJ334,BI334),"")</f>
        <v>0.0488185119548183</v>
      </c>
      <c r="BK355" s="215">
        <f>IFERROR(BK135*4/AVERAGE(BK334,BJ334),"")</f>
        <v>0.0485963815440838</v>
      </c>
      <c r="BL355" s="215">
        <f>IFERROR(BL135*1/AVERAGE(BL334,BG334),"")</f>
        <v>0.0484370043164987</v>
      </c>
      <c r="BM355" s="215">
        <f>IFERROR(BM135*4/AVERAGE(BM334,BK334),"")</f>
        <v>0.0485486393455567</v>
      </c>
      <c r="BN355" s="215">
        <f>IFERROR(BN135*4/AVERAGE(BN334,BM334),"")</f>
        <v>0.0480027906804959</v>
      </c>
      <c r="BO355" s="215">
        <f>IFERROR(BO135*4/AVERAGE(BO334,BN334),"")</f>
        <v>0.0493515104588094</v>
      </c>
      <c r="BP355" s="215">
        <f>IFERROR(BP135*4/AVERAGE(BP334,BO334),"")</f>
        <v>0.0488156620305605</v>
      </c>
      <c r="BQ355" s="215">
        <f>IFERROR(BQ135*1/AVERAGE(BQ334,BL334),"")</f>
        <v>0.0477150268380554</v>
      </c>
      <c r="BR355" s="215">
        <f>IFERROR(BR135*4/AVERAGE(BR334,BP334),"")</f>
        <v>0.0481499799246542</v>
      </c>
      <c r="BS355" s="215">
        <f>IFERROR(BS135*4/AVERAGE(BS334,BR334),"")</f>
        <v>0.0495821463119734</v>
      </c>
      <c r="BT355" s="215">
        <f>IFERROR(BT135*4/AVERAGE(BT334,BS334),"")</f>
        <v>0.0484970618226597</v>
      </c>
      <c r="BU355" s="215">
        <f>IFERROR(BU135*4/AVERAGE(BU334,BT334),"")</f>
        <v>0.0648264307199759</v>
      </c>
      <c r="BV355" s="215">
        <f>IFERROR(BV135*1/AVERAGE(BV334,BQ334),"")</f>
        <v>0.0516886975947259</v>
      </c>
      <c r="BW355" s="215">
        <f>IFERROR(BW135*4/AVERAGE(BW334,BU334),"")</f>
        <v>0.0727401864987806</v>
      </c>
      <c r="BX355" s="215">
        <f>IFERROR(BX135*4/AVERAGE(BX334,BW334),"")</f>
        <v>0.0490229761454396</v>
      </c>
      <c r="BY355" s="24" t="n"/>
      <c r="BZ355" s="24" t="n"/>
      <c r="CA355" s="256">
        <f>IFERROR(CA135*1/AVERAGE(CA334,BV334),"")</f>
        <v>0.056148895692229</v>
      </c>
      <c r="CB355" s="256">
        <f>IFERROR(CB135*1/AVERAGE(CB334,CA334),"")</f>
        <v>0.0500482688678263</v>
      </c>
      <c r="CC355" s="256">
        <f>IFERROR(CC135*1/AVERAGE(CC334,CB334),"")</f>
        <v>0.0510482688678263</v>
      </c>
      <c r="CD355" s="256">
        <f>IFERROR(CD135*1/AVERAGE(CD334,CC334),"")</f>
        <v>0.0520482688678263</v>
      </c>
      <c r="CE355" s="256">
        <f>IFERROR(CE135*1/AVERAGE(CE334,CD334),"")</f>
        <v>0.0530482688678263</v>
      </c>
      <c r="CF355" s="256">
        <f>IFERROR(CF135*1/AVERAGE(CF334,CE334),"")</f>
        <v>0.0530482688678263</v>
      </c>
      <c r="CG355" s="153" t="n"/>
    </row>
    <row r="356" ht="15" customHeight="1" s="251">
      <c r="B356" s="25" t="inlineStr">
        <is>
          <t xml:space="preserve">  Interest and other income ÷ opening cash &amp; investments %</t>
        </is>
      </c>
      <c r="C356" s="36" t="n"/>
      <c r="D356" s="215">
        <f>IFERROR(D136*1/(C285+N(C286)),"")</f>
        <v>0.0507953949504283</v>
      </c>
      <c r="E356" s="215">
        <f>IFERROR(E136*1/(D285+N(D286)),"")</f>
        <v>0.0323309324872385</v>
      </c>
      <c r="F356" s="215">
        <f>IFERROR(F136*1/(E285+N(E286)),"")</f>
        <v>0.0226325474062388</v>
      </c>
      <c r="G356" s="215">
        <f>IFERROR(G136*1/(F285+N(F286)),"")</f>
        <v>0.0115038002510601</v>
      </c>
      <c r="H356" s="215">
        <f>IFERROR(H136*1/(G285+N(G286)),"")</f>
        <v>0.00992902133926202</v>
      </c>
      <c r="I356" s="215">
        <f>IFERROR(I136*1/(H285+N(H286)),"")</f>
        <v>0.000594125676382</v>
      </c>
      <c r="J356" s="36" t="n"/>
      <c r="K356" s="215">
        <f>IFERROR(K136*4/(J285+N(J286)),"")</f>
        <v>-0.0114634184381677</v>
      </c>
      <c r="L356" s="215">
        <f>IFERROR(L136*4/(K285+N(K286)),"")</f>
        <v>-0.000714742017016785</v>
      </c>
      <c r="M356" s="215">
        <f>IFERROR(M136*4/(L285+N(L286)),"")</f>
        <v>-0.00298153194706195</v>
      </c>
      <c r="N356" s="215">
        <f>IFERROR(N136*1/(I285+N(I286)),"")</f>
        <v>-0.00401295052120233</v>
      </c>
      <c r="O356" s="215">
        <f>IFERROR(O136*4/(M285+N(M286)),"")</f>
        <v>0.00466842440676272</v>
      </c>
      <c r="P356" s="215">
        <f>IFERROR(P136*4/(O285+N(O286)),"")</f>
        <v>0.0026375054473479</v>
      </c>
      <c r="Q356" s="215">
        <f>IFERROR(Q136*4/(P285+N(P286)),"")</f>
        <v>0.00143726685974107</v>
      </c>
      <c r="R356" s="215">
        <f>IFERROR(R136*4/(Q285+N(Q286)),"")</f>
        <v>-0.0148234451371145</v>
      </c>
      <c r="S356" s="215">
        <f>IFERROR(S136*1/(N285+N(N286)),"")</f>
        <v>-0.00254913966536294</v>
      </c>
      <c r="T356" s="215">
        <f>IFERROR(T136*4/(R285+N(R286)),"")</f>
        <v>-0.0803060747431141</v>
      </c>
      <c r="U356" s="215">
        <f>IFERROR(U136*4/(T285+N(T286)),"")</f>
        <v>0.00117929153249746</v>
      </c>
      <c r="V356" s="215">
        <f>IFERROR(V136*4/(U285+N(U286)),"")</f>
        <v>0.0056207937905246</v>
      </c>
      <c r="W356" s="215">
        <f>IFERROR(W136*4/(V285+N(V286)),"")</f>
        <v>-0.00572339041140509</v>
      </c>
      <c r="X356" s="215">
        <f>IFERROR(X136*1/(S285+N(S286)),"")</f>
        <v>-0.0194125443892929</v>
      </c>
      <c r="Y356" s="215">
        <f>IFERROR(Y136*4/(W285+N(W286)),"")</f>
        <v>0.0449436646232876</v>
      </c>
      <c r="Z356" s="215">
        <f>IFERROR(Z136*4/(Y285+N(Y286)),"")</f>
        <v>0.0314928411543515</v>
      </c>
      <c r="AA356" s="215">
        <f>IFERROR(AA136*4/(Z285+N(Z286)),"")</f>
        <v>0.0188133645326535</v>
      </c>
      <c r="AB356" s="215">
        <f>IFERROR(AB136*4/(AA285+N(AA286)),"")</f>
        <v>-0.059792027729636</v>
      </c>
      <c r="AC356" s="215">
        <f>IFERROR(AC136*1/(X285+N(X286)),"")</f>
        <v>0.0133413250876893</v>
      </c>
      <c r="AD356" s="215">
        <f>IFERROR(AD136*4/(AB285+N(AB286)),"")</f>
        <v>0.0313580369389001</v>
      </c>
      <c r="AE356" s="215">
        <f>IFERROR(AE136*4/(AD285+N(AD286)),"")</f>
        <v>-0.174058270437039</v>
      </c>
      <c r="AF356" s="215">
        <f>IFERROR(AF136*4/(AE285+N(AE286)),"")</f>
        <v>-0.058574475888516</v>
      </c>
      <c r="AG356" s="215">
        <f>IFERROR(AG136*4/(AF285+N(AF286)),"")</f>
        <v>-0.0885924685751651</v>
      </c>
      <c r="AH356" s="215">
        <f>IFERROR(AH136*1/(AC285+N(AC286)),"")</f>
        <v>-0.0664178080058508</v>
      </c>
      <c r="AI356" s="215">
        <f>IFERROR(AI136*4/(AG285+N(AG286)),"")</f>
        <v>-0.0931601480093312</v>
      </c>
      <c r="AJ356" s="215">
        <f>IFERROR(AJ136*4/(AI285+N(AI286)),"")</f>
        <v>0.104914048300745</v>
      </c>
      <c r="AK356" s="215">
        <f>IFERROR(AK136*4/(AJ285+N(AJ286)),"")</f>
        <v>0.0071718995473276</v>
      </c>
      <c r="AL356" s="215">
        <f>IFERROR(AL136*4/(AK285+N(AK286)),"")</f>
        <v>0.042295863713328</v>
      </c>
      <c r="AM356" s="215">
        <f>IFERROR(AM136*1/(AH285+N(AH286)),"")</f>
        <v>0.0147814488831105</v>
      </c>
      <c r="AN356" s="215">
        <f>IFERROR(AN136*4/(AL285+N(AL286)),"")</f>
        <v>0.0802259490950414</v>
      </c>
      <c r="AO356" s="215">
        <f>IFERROR(AO136*4/(AN285+N(AN286)),"")</f>
        <v>-0.0638722888695041</v>
      </c>
      <c r="AP356" s="215">
        <f>IFERROR(AP136*4/(AO285+N(AO286)),"")</f>
        <v>0.154064337751514</v>
      </c>
      <c r="AQ356" s="215">
        <f>IFERROR(AQ136*4/(AP285+N(AP286)),"")</f>
        <v>-0.118491514577844</v>
      </c>
      <c r="AR356" s="215">
        <f>IFERROR(AR136*1/(AM285+N(AM286)),"")</f>
        <v>0.0221374031719209</v>
      </c>
      <c r="AS356" s="215">
        <f>IFERROR(AS136*4/(AQ285+N(AQ286)),"")</f>
        <v>0.0172938307285715</v>
      </c>
      <c r="AT356" s="215">
        <f>IFERROR(AT136*4/(AS285+N(AS286)),"")</f>
        <v>-0.103399067215023</v>
      </c>
      <c r="AU356" s="215">
        <f>IFERROR(AU136*4/(AT285+N(AT286)),"")</f>
        <v>-0.143332930719024</v>
      </c>
      <c r="AV356" s="215">
        <f>IFERROR(AV136*4/(AU285+N(AU286)),"")</f>
        <v>-0.119460115716725</v>
      </c>
      <c r="AW356" s="215">
        <f>IFERROR(AW136*1/(AR285+N(AR286)),"")</f>
        <v>-0.12323378773112</v>
      </c>
      <c r="AX356" s="215">
        <f>IFERROR(AX136*4/(AV285+N(AV286)),"")</f>
        <v>0.131172681904321</v>
      </c>
      <c r="AY356" s="215">
        <f>IFERROR(AY136*4/(AX285+N(AX286)),"")</f>
        <v>-0.0297578270536626</v>
      </c>
      <c r="AZ356" s="215">
        <f>IFERROR(AZ136*4/(AY285+N(AY286)),"")</f>
        <v>0.0494424322374841</v>
      </c>
      <c r="BA356" s="215">
        <f>IFERROR(BA136*4/(AZ285+N(AZ286)),"")</f>
        <v>0.0576679149813842</v>
      </c>
      <c r="BB356" s="215">
        <f>IFERROR(BB136*1/(AW285+N(AW286)),"")</f>
        <v>0.0501141300705011</v>
      </c>
      <c r="BC356" s="215">
        <f>IFERROR(BC136*4/(BA285+N(BA286)),"")</f>
        <v>0.129828375308819</v>
      </c>
      <c r="BD356" s="215">
        <f>IFERROR(BD136*4/(BC285+N(BC286)),"")</f>
        <v>0.146598754590239</v>
      </c>
      <c r="BE356" s="215">
        <f>IFERROR(BE136*4/(BD285+N(BD286)),"")</f>
        <v>0.179676117103183</v>
      </c>
      <c r="BF356" s="215">
        <f>IFERROR(BF136*4/(BE285+N(BE286)),"")</f>
        <v>-0.222427116133465</v>
      </c>
      <c r="BG356" s="215">
        <f>IFERROR(BG136*1/(BB285+N(BB286)),"")</f>
        <v>0.0559590192381836</v>
      </c>
      <c r="BH356" s="215">
        <f>IFERROR(BH136*4/(BF285+N(BF286)),"")</f>
        <v>-0.0470113487735811</v>
      </c>
      <c r="BI356" s="215">
        <f>IFERROR(BI136*4/(BH285+N(BH286)),"")</f>
        <v>0.0137775720076285</v>
      </c>
      <c r="BJ356" s="215">
        <f>IFERROR(BJ136*4/(BI285+N(BI286)),"")</f>
        <v>0.0784508409652851</v>
      </c>
      <c r="BK356" s="215">
        <f>IFERROR(BK136*4/(BJ285+N(BJ286)),"")</f>
        <v>-0.0878287566257207</v>
      </c>
      <c r="BL356" s="215">
        <f>IFERROR(BL136*1/(BG285+N(BG286)),"")</f>
        <v>-0.00805024121673325</v>
      </c>
      <c r="BM356" s="215">
        <f>IFERROR(BM136*4/(BK285+N(BK286)),"")</f>
        <v>0.0870616314129982</v>
      </c>
      <c r="BN356" s="215">
        <f>IFERROR(BN136*4/(BM285+N(BM286)),"")</f>
        <v>0.0448526407237055</v>
      </c>
      <c r="BO356" s="215">
        <f>IFERROR(BO136*4/(BN285+N(BN286)),"")</f>
        <v>-0.0130368310157947</v>
      </c>
      <c r="BP356" s="215">
        <f>IFERROR(BP136*4/(BO285+N(BO286)),"")</f>
        <v>0.0234628916729285</v>
      </c>
      <c r="BQ356" s="215">
        <f>IFERROR(BQ136*1/(BL285+N(BL286)),"")</f>
        <v>0.0373746512622925</v>
      </c>
      <c r="BR356" s="215">
        <f>IFERROR(BR136*4/(BP285+N(BP286)),"")</f>
        <v>0.0212439007364454</v>
      </c>
      <c r="BS356" s="215">
        <f>IFERROR(BS136*4/(BR285+N(BR286)),"")</f>
        <v>0.0189368282604567</v>
      </c>
      <c r="BT356" s="215">
        <f>IFERROR(BT136*4/(BS285+N(BS286)),"")</f>
        <v>0.0173800908644518</v>
      </c>
      <c r="BU356" s="215">
        <f>IFERROR(BU136*4/(BT285+N(BT286)),"")</f>
        <v>0.0195071163889292</v>
      </c>
      <c r="BV356" s="215">
        <f>IFERROR(BV136*1/(BQ285+N(BQ286)),"")</f>
        <v>0.0179949600046495</v>
      </c>
      <c r="BW356" s="215">
        <f>IFERROR(BW136*4/(BU285+N(BU286)),"")</f>
        <v>1.25890664892</v>
      </c>
      <c r="BX356" s="215">
        <f>IFERROR(BX136*4/(BW285+N(BW286)),"")</f>
        <v>0.0168161159462748</v>
      </c>
      <c r="BY356" s="24" t="n"/>
      <c r="BZ356" s="24" t="n"/>
      <c r="CA356" s="256">
        <f>IFERROR(CA136*1/(BV285+N(BV286)),"")</f>
        <v>0.331461929504227</v>
      </c>
      <c r="CB356" s="256">
        <f>IFERROR(CB136*1/(CA285+N(CA286)),"")</f>
        <v>0.025010381543839</v>
      </c>
      <c r="CC356" s="256">
        <f>IFERROR(CC136*1/(CB285+N(CB286)),"")</f>
        <v>0.0250093971342188</v>
      </c>
      <c r="CD356" s="256">
        <f>IFERROR(CD136*1/(CC285+N(CC286)),"")</f>
        <v>0.0250085818523426</v>
      </c>
      <c r="CE356" s="256">
        <f>IFERROR(CE136*1/(CD285+N(CD286)),"")</f>
        <v>0.025007907807928</v>
      </c>
      <c r="CF356" s="256">
        <f>IFERROR(CF136*1/(CE285+N(CE286)),"")</f>
        <v>0.0250073388382803</v>
      </c>
      <c r="CG356" s="153" t="n"/>
    </row>
    <row r="357" ht="15" customHeight="1" s="251">
      <c r="CO357" s="11" t="n"/>
      <c r="CP357" s="12" t="n"/>
      <c r="CQ357" s="12" t="n"/>
      <c r="CR357" s="12" t="n"/>
      <c r="CS357" s="13" t="n"/>
    </row>
    <row r="358" ht="15" customHeight="1" s="251">
      <c r="B358" s="10" t="inlineStr">
        <is>
          <t>RATIO ANALYSIS</t>
        </is>
      </c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0" t="n"/>
      <c r="AL358" s="10" t="n"/>
      <c r="AM358" s="10" t="n"/>
      <c r="AN358" s="10" t="n"/>
      <c r="AO358" s="10" t="n"/>
      <c r="AP358" s="10" t="n"/>
      <c r="AQ358" s="10" t="n"/>
      <c r="AR358" s="10" t="n"/>
      <c r="AS358" s="10" t="n"/>
      <c r="AT358" s="10" t="n"/>
      <c r="AU358" s="10" t="n"/>
      <c r="AV358" s="10" t="n"/>
      <c r="AW358" s="10" t="n"/>
      <c r="AX358" s="10" t="n"/>
      <c r="AY358" s="10" t="n"/>
      <c r="AZ358" s="10" t="n"/>
      <c r="BA358" s="10" t="n"/>
      <c r="BB358" s="10" t="n"/>
      <c r="BC358" s="10" t="n"/>
      <c r="BD358" s="10" t="n"/>
      <c r="BE358" s="10" t="n"/>
      <c r="BF358" s="10" t="n"/>
      <c r="BG358" s="10" t="n"/>
      <c r="BH358" s="10" t="n"/>
      <c r="BI358" s="10" t="n"/>
      <c r="BJ358" s="10" t="n"/>
      <c r="BK358" s="10" t="n"/>
      <c r="BL358" s="10" t="n"/>
      <c r="BM358" s="10" t="n"/>
      <c r="BN358" s="10" t="n"/>
      <c r="BO358" s="10" t="n"/>
      <c r="BP358" s="10" t="n"/>
      <c r="BQ358" s="10" t="n"/>
      <c r="BR358" s="10" t="n"/>
      <c r="BS358" s="10" t="n"/>
      <c r="BT358" s="10" t="n"/>
      <c r="BU358" s="10" t="n"/>
      <c r="BV358" s="10" t="n"/>
      <c r="BW358" s="10" t="n"/>
      <c r="BX358" s="10" t="n"/>
      <c r="BY358" s="10" t="n"/>
      <c r="BZ358" s="10" t="n"/>
      <c r="CA358" s="10" t="n"/>
      <c r="CB358" s="10" t="n"/>
      <c r="CC358" s="10" t="n"/>
      <c r="CD358" s="10" t="n"/>
      <c r="CE358" s="10" t="n"/>
      <c r="CF358" s="10" t="n"/>
      <c r="CG358" s="10" t="inlineStr">
        <is>
          <t>RETURNS — annual columns (NOPAT on adjusted EBIT, full-cost: after content amortization, D&amp;A and SBC)</t>
        </is>
      </c>
    </row>
    <row r="359" ht="15" customHeight="1" s="251">
      <c r="B359" s="25" t="inlineStr">
        <is>
          <t>DuPont decomposition of ROIC</t>
        </is>
      </c>
      <c r="CG359" s="153" t="n"/>
    </row>
    <row r="360" ht="15" customHeight="1" s="251">
      <c r="B360" s="25" t="inlineStr">
        <is>
          <t>Adjusted EBIT, full-cost (= adjusted operating income)</t>
        </is>
      </c>
      <c r="C360" s="264">
        <f>C184</f>
        <v>64.414</v>
      </c>
      <c r="D360" s="264">
        <f>D184</f>
        <v>91.1609999999999</v>
      </c>
      <c r="E360" s="264">
        <f>E184</f>
        <v>121.506</v>
      </c>
      <c r="F360" s="264">
        <f>F184</f>
        <v>191.939</v>
      </c>
      <c r="G360" s="264">
        <f>G184</f>
        <v>283.641</v>
      </c>
      <c r="H360" s="264">
        <f>H184</f>
        <v>376.068</v>
      </c>
      <c r="I360" s="264">
        <f>I184</f>
        <v>49.9920000000002</v>
      </c>
      <c r="J360" s="34" t="n"/>
      <c r="K360" s="34" t="n"/>
      <c r="L360" s="34" t="n"/>
      <c r="M360" s="34" t="n"/>
      <c r="N360" s="264">
        <f>N184</f>
        <v>228.347</v>
      </c>
      <c r="O360" s="34" t="n"/>
      <c r="P360" s="34" t="n"/>
      <c r="Q360" s="34" t="n"/>
      <c r="R360" s="34" t="n"/>
      <c r="S360" s="264">
        <f>S184</f>
        <v>402.648</v>
      </c>
      <c r="T360" s="34" t="n"/>
      <c r="U360" s="34" t="n"/>
      <c r="V360" s="34" t="n"/>
      <c r="W360" s="34" t="n"/>
      <c r="X360" s="264">
        <f>X184</f>
        <v>305.826000000001</v>
      </c>
      <c r="Y360" s="34" t="n"/>
      <c r="Z360" s="34" t="n"/>
      <c r="AA360" s="34" t="n"/>
      <c r="AB360" s="34" t="n"/>
      <c r="AC360" s="264">
        <f>AC184</f>
        <v>379.793</v>
      </c>
      <c r="AD360" s="34" t="n"/>
      <c r="AE360" s="34" t="n"/>
      <c r="AF360" s="34" t="n"/>
      <c r="AG360" s="34" t="n"/>
      <c r="AH360" s="264">
        <f>AH184</f>
        <v>838.679</v>
      </c>
      <c r="AI360" s="34" t="n"/>
      <c r="AJ360" s="34" t="n"/>
      <c r="AK360" s="34" t="n"/>
      <c r="AL360" s="34" t="n"/>
      <c r="AM360" s="264">
        <f>AM184</f>
        <v>1605.226</v>
      </c>
      <c r="AN360" s="34" t="n"/>
      <c r="AO360" s="34" t="n"/>
      <c r="AP360" s="34" t="n"/>
      <c r="AQ360" s="34" t="n"/>
      <c r="AR360" s="264">
        <f>AR184</f>
        <v>2604.254</v>
      </c>
      <c r="AS360" s="34" t="n"/>
      <c r="AT360" s="34" t="n"/>
      <c r="AU360" s="34" t="n"/>
      <c r="AV360" s="34" t="n"/>
      <c r="AW360" s="264">
        <f>AW184</f>
        <v>4585.289</v>
      </c>
      <c r="AX360" s="34" t="n"/>
      <c r="AY360" s="34" t="n"/>
      <c r="AZ360" s="34" t="n"/>
      <c r="BA360" s="34" t="n"/>
      <c r="BB360" s="264">
        <f>BB184</f>
        <v>6194.509</v>
      </c>
      <c r="BC360" s="34" t="n"/>
      <c r="BD360" s="34" t="n"/>
      <c r="BE360" s="34" t="n"/>
      <c r="BF360" s="34" t="n"/>
      <c r="BG360" s="264">
        <f>BG184</f>
        <v>5782.831</v>
      </c>
      <c r="BH360" s="34" t="n"/>
      <c r="BI360" s="34" t="n"/>
      <c r="BJ360" s="34" t="n"/>
      <c r="BK360" s="34" t="n"/>
      <c r="BL360" s="264">
        <f>BL184</f>
        <v>6954.003</v>
      </c>
      <c r="BM360" s="34" t="n"/>
      <c r="BN360" s="34" t="n"/>
      <c r="BO360" s="34" t="n"/>
      <c r="BP360" s="34" t="n"/>
      <c r="BQ360" s="264">
        <f>BQ184</f>
        <v>10417.614</v>
      </c>
      <c r="BR360" s="34" t="n"/>
      <c r="BS360" s="34" t="n"/>
      <c r="BT360" s="34" t="n"/>
      <c r="BU360" s="34" t="n"/>
      <c r="BV360" s="264">
        <f>BV184</f>
        <v>13945.603</v>
      </c>
      <c r="BW360" s="34" t="n"/>
      <c r="BX360" s="34" t="n"/>
      <c r="BY360" s="35" t="n"/>
      <c r="BZ360" s="35" t="n"/>
      <c r="CA360" s="254">
        <f>CA184</f>
        <v>16128</v>
      </c>
      <c r="CB360" s="254">
        <f>CB184</f>
        <v>18954.071285567</v>
      </c>
      <c r="CC360" s="254">
        <f>CC184</f>
        <v>21689.0492408911</v>
      </c>
      <c r="CD360" s="254">
        <f>CD184</f>
        <v>24551.2285881781</v>
      </c>
      <c r="CE360" s="254">
        <f>CE184</f>
        <v>27183.817818472</v>
      </c>
      <c r="CF360" s="254">
        <f>CF184</f>
        <v>29859.0615306118</v>
      </c>
      <c r="CG360" s="19" t="n"/>
    </row>
    <row r="361" ht="15" customHeight="1" s="251">
      <c r="B361" s="25" t="inlineStr">
        <is>
          <t>Effective tax rate</t>
        </is>
      </c>
      <c r="C361" s="215">
        <f>MAX(0.1,MIN(0.35,IFERROR(C140+0,0.17)))</f>
        <v>0.35</v>
      </c>
      <c r="D361" s="215">
        <f>MAX(0.1,MIN(0.35,IFERROR(D140+0,0.17)))</f>
        <v>0.35</v>
      </c>
      <c r="E361" s="215">
        <f>MAX(0.1,MIN(0.35,IFERROR(E140+0,0.17)))</f>
        <v>0.35</v>
      </c>
      <c r="F361" s="215">
        <f>MAX(0.1,MIN(0.35,IFERROR(F140+0,0.17)))</f>
        <v>0.35</v>
      </c>
      <c r="G361" s="215">
        <f>MAX(0.1,MIN(0.35,IFERROR(G140+0,0.17)))</f>
        <v>0.35</v>
      </c>
      <c r="H361" s="215">
        <f>MAX(0.1,MIN(0.35,IFERROR(H140+0,0.17)))</f>
        <v>0.35</v>
      </c>
      <c r="I361" s="215">
        <f>MAX(0.1,MIN(0.35,IFERROR(I140+0,0.17)))</f>
        <v>0.35</v>
      </c>
      <c r="J361" s="34" t="n"/>
      <c r="K361" s="34" t="n"/>
      <c r="L361" s="34" t="n"/>
      <c r="M361" s="34" t="n"/>
      <c r="N361" s="215">
        <f>MAX(0.1,MIN(0.35,IFERROR(N140+0,0.17)))</f>
        <v>0.342956849082853</v>
      </c>
      <c r="O361" s="34" t="n"/>
      <c r="P361" s="34" t="n"/>
      <c r="Q361" s="34" t="n"/>
      <c r="R361" s="34" t="n"/>
      <c r="S361" s="215">
        <f>MAX(0.1,MIN(0.35,IFERROR(S140+0,0.17)))</f>
        <v>0.236340373645058</v>
      </c>
      <c r="T361" s="34" t="n"/>
      <c r="U361" s="34" t="n"/>
      <c r="V361" s="34" t="n"/>
      <c r="W361" s="34" t="n"/>
      <c r="X361" s="215">
        <f>MAX(0.1,MIN(0.35,IFERROR(X140+0,0.17)))</f>
        <v>0.135630968742291</v>
      </c>
      <c r="Y361" s="34" t="n"/>
      <c r="Z361" s="34" t="n"/>
      <c r="AA361" s="34" t="n"/>
      <c r="AB361" s="34" t="n"/>
      <c r="AC361" s="215">
        <f>MAX(0.1,MIN(0.35,IFERROR(AC140+0,0.17)))</f>
        <v>0.283405052455404</v>
      </c>
      <c r="AD361" s="34" t="n"/>
      <c r="AE361" s="34" t="n"/>
      <c r="AF361" s="34" t="n"/>
      <c r="AG361" s="34" t="n"/>
      <c r="AH361" s="215">
        <f>MAX(0.1,MIN(0.35,IFERROR(AH140+0,0.17)))</f>
        <v>0.1</v>
      </c>
      <c r="AI361" s="34" t="n"/>
      <c r="AJ361" s="34" t="n"/>
      <c r="AK361" s="34" t="n"/>
      <c r="AL361" s="34" t="n"/>
      <c r="AM361" s="215">
        <f>MAX(0.1,MIN(0.35,IFERROR(AM140+0,0.17)))</f>
        <v>0.1</v>
      </c>
      <c r="AN361" s="34" t="n"/>
      <c r="AO361" s="34" t="n"/>
      <c r="AP361" s="34" t="n"/>
      <c r="AQ361" s="34" t="n"/>
      <c r="AR361" s="215">
        <f>MAX(0.1,MIN(0.35,IFERROR(AR140+0,0.17)))</f>
        <v>0.1</v>
      </c>
      <c r="AS361" s="34" t="n"/>
      <c r="AT361" s="34" t="n"/>
      <c r="AU361" s="34" t="n"/>
      <c r="AV361" s="34" t="n"/>
      <c r="AW361" s="215">
        <f>MAX(0.1,MIN(0.35,IFERROR(AW140+0,0.17)))</f>
        <v>0.136888473248776</v>
      </c>
      <c r="AX361" s="34" t="n"/>
      <c r="AY361" s="34" t="n"/>
      <c r="AZ361" s="34" t="n"/>
      <c r="BA361" s="34" t="n"/>
      <c r="BB361" s="215">
        <f>MAX(0.1,MIN(0.35,IFERROR(BB140+0,0.17)))</f>
        <v>0.123949012543101</v>
      </c>
      <c r="BC361" s="34" t="n"/>
      <c r="BD361" s="34" t="n"/>
      <c r="BE361" s="34" t="n"/>
      <c r="BF361" s="34" t="n"/>
      <c r="BG361" s="215">
        <f>MAX(0.1,MIN(0.35,IFERROR(BG140+0,0.17)))</f>
        <v>0.146659462922087</v>
      </c>
      <c r="BH361" s="34" t="n"/>
      <c r="BI361" s="34" t="n"/>
      <c r="BJ361" s="34" t="n"/>
      <c r="BK361" s="34" t="n"/>
      <c r="BL361" s="215">
        <f>MAX(0.1,MIN(0.35,IFERROR(BL140+0,0.17)))</f>
        <v>0.128503296722776</v>
      </c>
      <c r="BM361" s="34" t="n"/>
      <c r="BN361" s="34" t="n"/>
      <c r="BO361" s="34" t="n"/>
      <c r="BP361" s="34" t="n"/>
      <c r="BQ361" s="215">
        <f>MAX(0.1,MIN(0.35,IFERROR(BQ140+0,0.17)))</f>
        <v>0.125834754296681</v>
      </c>
      <c r="BR361" s="34" t="n"/>
      <c r="BS361" s="34" t="n"/>
      <c r="BT361" s="34" t="n"/>
      <c r="BU361" s="34" t="n"/>
      <c r="BV361" s="215">
        <f>MAX(0.1,MIN(0.35,IFERROR(BV140+0,0.17)))</f>
        <v>0.136871203198855</v>
      </c>
      <c r="BW361" s="34" t="n"/>
      <c r="BX361" s="34" t="n"/>
      <c r="BY361" s="35" t="n"/>
      <c r="BZ361" s="35" t="n"/>
      <c r="CA361" s="256">
        <f>MAX(0.1,MIN(0.35,IFERROR(CA140+0,0.17)))</f>
        <v>0.1748166602225</v>
      </c>
      <c r="CB361" s="256">
        <f>MAX(0.1,MIN(0.35,IFERROR(CB140+0,0.17)))</f>
        <v>0.17</v>
      </c>
      <c r="CC361" s="256">
        <f>MAX(0.1,MIN(0.35,IFERROR(CC140+0,0.17)))</f>
        <v>0.17</v>
      </c>
      <c r="CD361" s="256">
        <f>MAX(0.1,MIN(0.35,IFERROR(CD140+0,0.17)))</f>
        <v>0.17</v>
      </c>
      <c r="CE361" s="256">
        <f>MAX(0.1,MIN(0.35,IFERROR(CE140+0,0.17)))</f>
        <v>0.17</v>
      </c>
      <c r="CF361" s="256">
        <f>MAX(0.1,MIN(0.35,IFERROR(CF140+0,0.17)))</f>
        <v>0.17</v>
      </c>
      <c r="CG361" s="19" t="n"/>
    </row>
    <row r="362" ht="15" customHeight="1" s="251">
      <c r="B362" s="25" t="inlineStr">
        <is>
          <t>NOPAT = Adjusted EBIT × (1 − tax rate)</t>
        </is>
      </c>
      <c r="C362" s="264">
        <f>IFERROR(C360*(1-C361),"n/a")</f>
        <v>41.8691</v>
      </c>
      <c r="D362" s="264">
        <f>IFERROR(D360*(1-D361),"n/a")</f>
        <v>59.25465</v>
      </c>
      <c r="E362" s="264">
        <f>IFERROR(E360*(1-E361),"n/a")</f>
        <v>78.9789</v>
      </c>
      <c r="F362" s="264">
        <f>IFERROR(F360*(1-F361),"n/a")</f>
        <v>124.76035</v>
      </c>
      <c r="G362" s="264">
        <f>IFERROR(G360*(1-G361),"n/a")</f>
        <v>184.36665</v>
      </c>
      <c r="H362" s="264">
        <f>IFERROR(H360*(1-H361),"n/a")</f>
        <v>244.4442</v>
      </c>
      <c r="I362" s="264">
        <f>IFERROR(I360*(1-I361),"n/a")</f>
        <v>32.4948000000001</v>
      </c>
      <c r="J362" s="34" t="n"/>
      <c r="K362" s="34" t="n"/>
      <c r="L362" s="34" t="n"/>
      <c r="M362" s="34" t="n"/>
      <c r="N362" s="264">
        <f>IFERROR(N360*(1-N361),"n/a")</f>
        <v>150.033832382478</v>
      </c>
      <c r="O362" s="34" t="n"/>
      <c r="P362" s="34" t="n"/>
      <c r="Q362" s="34" t="n"/>
      <c r="R362" s="34" t="n"/>
      <c r="S362" s="264">
        <f>IFERROR(S360*(1-S361),"n/a")</f>
        <v>307.486021232565</v>
      </c>
      <c r="T362" s="34" t="n"/>
      <c r="U362" s="34" t="n"/>
      <c r="V362" s="34" t="n"/>
      <c r="W362" s="34" t="n"/>
      <c r="X362" s="264">
        <f>IFERROR(X360*(1-X361),"n/a")</f>
        <v>264.346523353421</v>
      </c>
      <c r="Y362" s="34" t="n"/>
      <c r="Z362" s="34" t="n"/>
      <c r="AA362" s="34" t="n"/>
      <c r="AB362" s="34" t="n"/>
      <c r="AC362" s="264">
        <f>IFERROR(AC360*(1-AC361),"n/a")</f>
        <v>272.157744912805</v>
      </c>
      <c r="AD362" s="34" t="n"/>
      <c r="AE362" s="34" t="n"/>
      <c r="AF362" s="34" t="n"/>
      <c r="AG362" s="34" t="n"/>
      <c r="AH362" s="264">
        <f>IFERROR(AH360*(1-AH361),"n/a")</f>
        <v>754.8111</v>
      </c>
      <c r="AI362" s="34" t="n"/>
      <c r="AJ362" s="34" t="n"/>
      <c r="AK362" s="34" t="n"/>
      <c r="AL362" s="34" t="n"/>
      <c r="AM362" s="264">
        <f>IFERROR(AM360*(1-AM361),"n/a")</f>
        <v>1444.7034</v>
      </c>
      <c r="AN362" s="34" t="n"/>
      <c r="AO362" s="34" t="n"/>
      <c r="AP362" s="34" t="n"/>
      <c r="AQ362" s="34" t="n"/>
      <c r="AR362" s="264">
        <f>IFERROR(AR360*(1-AR361),"n/a")</f>
        <v>2343.8286</v>
      </c>
      <c r="AS362" s="34" t="n"/>
      <c r="AT362" s="34" t="n"/>
      <c r="AU362" s="34" t="n"/>
      <c r="AV362" s="34" t="n"/>
      <c r="AW362" s="264">
        <f>IFERROR(AW360*(1-AW361),"n/a")</f>
        <v>3957.61578938559</v>
      </c>
      <c r="AX362" s="34" t="n"/>
      <c r="AY362" s="34" t="n"/>
      <c r="AZ362" s="34" t="n"/>
      <c r="BA362" s="34" t="n"/>
      <c r="BB362" s="264">
        <f>IFERROR(BB360*(1-BB361),"n/a")</f>
        <v>5426.70572626065</v>
      </c>
      <c r="BC362" s="34" t="n"/>
      <c r="BD362" s="34" t="n"/>
      <c r="BE362" s="34" t="n"/>
      <c r="BF362" s="34" t="n"/>
      <c r="BG362" s="264">
        <f>IFERROR(BG360*(1-BG361),"n/a")</f>
        <v>4934.7241113708</v>
      </c>
      <c r="BH362" s="34" t="n"/>
      <c r="BI362" s="34" t="n"/>
      <c r="BJ362" s="34" t="n"/>
      <c r="BK362" s="34" t="n"/>
      <c r="BL362" s="264">
        <f>IFERROR(BL360*(1-BL361),"n/a")</f>
        <v>6060.39068907992</v>
      </c>
      <c r="BM362" s="34" t="n"/>
      <c r="BN362" s="34" t="n"/>
      <c r="BO362" s="34" t="n"/>
      <c r="BP362" s="34" t="n"/>
      <c r="BQ362" s="264">
        <f>IFERROR(BQ360*(1-BQ361),"n/a")</f>
        <v>9106.71610195233</v>
      </c>
      <c r="BR362" s="34" t="n"/>
      <c r="BS362" s="34" t="n"/>
      <c r="BT362" s="34" t="n"/>
      <c r="BU362" s="34" t="n"/>
      <c r="BV362" s="264">
        <f>IFERROR(BV360*(1-BV361),"n/a")</f>
        <v>12036.8515380564</v>
      </c>
      <c r="BW362" s="34" t="n"/>
      <c r="BX362" s="34" t="n"/>
      <c r="BY362" s="35" t="n"/>
      <c r="BZ362" s="35" t="n"/>
      <c r="CA362" s="254">
        <f>IFERROR(CA360*(1-CA361),"n/a")</f>
        <v>13308.5569039315</v>
      </c>
      <c r="CB362" s="254">
        <f>IFERROR(CB360*(1-CB361),"n/a")</f>
        <v>15731.8791670206</v>
      </c>
      <c r="CC362" s="254">
        <f>IFERROR(CC360*(1-CC361),"n/a")</f>
        <v>18001.9108699396</v>
      </c>
      <c r="CD362" s="254">
        <f>IFERROR(CD360*(1-CD361),"n/a")</f>
        <v>20377.5197281878</v>
      </c>
      <c r="CE362" s="254">
        <f>IFERROR(CE360*(1-CE361),"n/a")</f>
        <v>22562.5687893318</v>
      </c>
      <c r="CF362" s="254">
        <f>IFERROR(CF360*(1-CF361),"n/a")</f>
        <v>24783.0210704078</v>
      </c>
      <c r="CG362" s="19" t="n"/>
    </row>
    <row r="363" ht="15" customHeight="1" s="251">
      <c r="B363" s="25" t="inlineStr">
        <is>
          <t>Invested capital (IC) = Equity + Net debt</t>
        </is>
      </c>
      <c r="C363" s="264">
        <f>IFERROR(C364+C365,"n/a")</f>
        <v>13.781</v>
      </c>
      <c r="D363" s="264">
        <f>IFERROR(D364+D365,"n/a")</f>
        <v>45.607</v>
      </c>
      <c r="E363" s="264">
        <f>IFERROR(E364+E365,"n/a")</f>
        <v>89.024</v>
      </c>
      <c r="F363" s="264">
        <f>IFERROR(F364+F365,"n/a")</f>
        <v>116.883</v>
      </c>
      <c r="G363" s="264">
        <f>IFERROR(G364+G365,"n/a")</f>
        <v>175.983</v>
      </c>
      <c r="H363" s="264">
        <f>IFERROR(H364+H365,"n/a")</f>
        <v>244.999</v>
      </c>
      <c r="I363" s="264">
        <f>IFERROR(I364+I365,"n/a")</f>
        <v>396.595</v>
      </c>
      <c r="J363" s="34" t="n"/>
      <c r="K363" s="34" t="n"/>
      <c r="L363" s="34" t="n"/>
      <c r="M363" s="34" t="n"/>
      <c r="N363" s="264">
        <f>IFERROR(N364+N365,"n/a")</f>
        <v>633.156</v>
      </c>
      <c r="O363" s="34" t="n"/>
      <c r="P363" s="34" t="n"/>
      <c r="Q363" s="34" t="n"/>
      <c r="R363" s="34" t="n"/>
      <c r="S363" s="264">
        <f>IFERROR(S364+S365,"n/a")</f>
        <v>1149.212</v>
      </c>
      <c r="T363" s="34" t="n"/>
      <c r="U363" s="34" t="n"/>
      <c r="V363" s="34" t="n"/>
      <c r="W363" s="34" t="n"/>
      <c r="X363" s="264">
        <f>IFERROR(X364+X365,"n/a")</f>
        <v>2284.073</v>
      </c>
      <c r="Y363" s="34" t="n"/>
      <c r="Z363" s="34" t="n"/>
      <c r="AA363" s="34" t="n"/>
      <c r="AB363" s="34" t="n"/>
      <c r="AC363" s="264">
        <f>IFERROR(AC364+AC365,"n/a")</f>
        <v>4310.329</v>
      </c>
      <c r="AD363" s="34" t="n"/>
      <c r="AE363" s="34" t="n"/>
      <c r="AF363" s="34" t="n"/>
      <c r="AG363" s="34" t="n"/>
      <c r="AH363" s="264">
        <f>IFERROR(AH364+AH365,"n/a")</f>
        <v>7258.593</v>
      </c>
      <c r="AI363" s="34" t="n"/>
      <c r="AJ363" s="34" t="n"/>
      <c r="AK363" s="34" t="n"/>
      <c r="AL363" s="34" t="n"/>
      <c r="AM363" s="264">
        <f>IFERROR(AM364+AM365,"n/a")</f>
        <v>11804.34</v>
      </c>
      <c r="AN363" s="34" t="n"/>
      <c r="AO363" s="34" t="n"/>
      <c r="AP363" s="34" t="n"/>
      <c r="AQ363" s="34" t="n"/>
      <c r="AR363" s="264">
        <f>IFERROR(AR364+AR365,"n/a")</f>
        <v>17322.98</v>
      </c>
      <c r="AS363" s="34" t="n"/>
      <c r="AT363" s="34" t="n"/>
      <c r="AU363" s="34" t="n"/>
      <c r="AV363" s="34" t="n"/>
      <c r="AW363" s="264">
        <f>IFERROR(AW364+AW365,"n/a")</f>
        <v>19168.663</v>
      </c>
      <c r="AX363" s="34" t="n"/>
      <c r="AY363" s="34" t="n"/>
      <c r="AZ363" s="34" t="n"/>
      <c r="BA363" s="34" t="n"/>
      <c r="BB363" s="264">
        <f>IFERROR(BB364+BB365,"n/a")</f>
        <v>25214.339</v>
      </c>
      <c r="BC363" s="34" t="n"/>
      <c r="BD363" s="34" t="n"/>
      <c r="BE363" s="34" t="n"/>
      <c r="BF363" s="34" t="n"/>
      <c r="BG363" s="264">
        <f>IFERROR(BG364+BG365,"n/a")</f>
        <v>29072.025</v>
      </c>
      <c r="BH363" s="34" t="n"/>
      <c r="BI363" s="34" t="n"/>
      <c r="BJ363" s="34" t="n"/>
      <c r="BK363" s="34" t="n"/>
      <c r="BL363" s="264">
        <f>IFERROR(BL364+BL365,"n/a")</f>
        <v>27993.688</v>
      </c>
      <c r="BM363" s="34" t="n"/>
      <c r="BN363" s="34" t="n"/>
      <c r="BO363" s="34" t="n"/>
      <c r="BP363" s="34" t="n"/>
      <c r="BQ363" s="264">
        <f>IFERROR(BQ364+BQ365,"n/a")</f>
        <v>30742.632</v>
      </c>
      <c r="BR363" s="34" t="n"/>
      <c r="BS363" s="34" t="n"/>
      <c r="BT363" s="34" t="n"/>
      <c r="BU363" s="34" t="n"/>
      <c r="BV363" s="264">
        <f>IFERROR(BV364+BV365,"n/a")</f>
        <v>32015.965</v>
      </c>
      <c r="BW363" s="34" t="n"/>
      <c r="BX363" s="34" t="n"/>
      <c r="BY363" s="35" t="n"/>
      <c r="BZ363" s="35" t="n"/>
      <c r="CA363" s="254">
        <f>IFERROR(CA364+CA365,"n/a")</f>
        <v>36272.510367256</v>
      </c>
      <c r="CB363" s="254">
        <f>IFERROR(CB364+CB365,"n/a")</f>
        <v>38945.3255153208</v>
      </c>
      <c r="CC363" s="254">
        <f>IFERROR(CC364+CC365,"n/a")</f>
        <v>41317.9175038294</v>
      </c>
      <c r="CD363" s="254">
        <f>IFERROR(CD364+CD365,"n/a")</f>
        <v>43550.593138539</v>
      </c>
      <c r="CE363" s="254">
        <f>IFERROR(CE364+CE365,"n/a")</f>
        <v>45602.786271835</v>
      </c>
      <c r="CF363" s="254">
        <f>IFERROR(CF364+CF365,"n/a")</f>
        <v>47516.3497118261</v>
      </c>
      <c r="CG363" s="19" t="n"/>
    </row>
    <row r="364" ht="15" customHeight="1" s="251">
      <c r="B364" s="25" t="inlineStr">
        <is>
          <t xml:space="preserve">  Total equity</t>
        </is>
      </c>
      <c r="C364" s="264">
        <f>IF(ISNUMBER(C306),C306,"n/a")</f>
        <v>414.211</v>
      </c>
      <c r="D364" s="264">
        <f>IF(ISNUMBER(D306),D306,"n/a")</f>
        <v>430.749</v>
      </c>
      <c r="E364" s="264">
        <f>IF(ISNUMBER(E306),E306,"n/a")</f>
        <v>347.155</v>
      </c>
      <c r="F364" s="264">
        <f>IF(ISNUMBER(F306),F306,"n/a")</f>
        <v>199.143</v>
      </c>
      <c r="G364" s="264">
        <f>IF(ISNUMBER(G306),G306,"n/a")</f>
        <v>290.164</v>
      </c>
      <c r="H364" s="264">
        <f>IF(ISNUMBER(H306),H306,"n/a")</f>
        <v>642.81</v>
      </c>
      <c r="I364" s="264">
        <f>IF(ISNUMBER(I306),I306,"n/a")</f>
        <v>744.673</v>
      </c>
      <c r="J364" s="34" t="n"/>
      <c r="K364" s="34" t="n"/>
      <c r="L364" s="34" t="n"/>
      <c r="M364" s="34" t="n"/>
      <c r="N364" s="264">
        <f>IF(ISNUMBER(N306),N306,"n/a")</f>
        <v>1333.561</v>
      </c>
      <c r="O364" s="34" t="n"/>
      <c r="P364" s="34" t="n"/>
      <c r="Q364" s="34" t="n"/>
      <c r="R364" s="34" t="n"/>
      <c r="S364" s="264">
        <f>IF(ISNUMBER(S306),S306,"n/a")</f>
        <v>1857.708</v>
      </c>
      <c r="T364" s="34" t="n"/>
      <c r="U364" s="34" t="n"/>
      <c r="V364" s="34" t="n"/>
      <c r="W364" s="34" t="n"/>
      <c r="X364" s="264">
        <f>IF(ISNUMBER(X306),X306,"n/a")</f>
        <v>2223.426</v>
      </c>
      <c r="Y364" s="34" t="n"/>
      <c r="Z364" s="34" t="n"/>
      <c r="AA364" s="34" t="n"/>
      <c r="AB364" s="34" t="n"/>
      <c r="AC364" s="264">
        <f>IF(ISNUMBER(AC306),AC306,"n/a")</f>
        <v>2679.8</v>
      </c>
      <c r="AD364" s="34" t="n"/>
      <c r="AE364" s="34" t="n"/>
      <c r="AF364" s="34" t="n"/>
      <c r="AG364" s="34" t="n"/>
      <c r="AH364" s="264">
        <f>IF(ISNUMBER(AH306),AH306,"n/a")</f>
        <v>3581.956</v>
      </c>
      <c r="AI364" s="34" t="n"/>
      <c r="AJ364" s="34" t="n"/>
      <c r="AK364" s="34" t="n"/>
      <c r="AL364" s="34" t="n"/>
      <c r="AM364" s="264">
        <f>IF(ISNUMBER(AM306),AM306,"n/a")</f>
        <v>5238.765</v>
      </c>
      <c r="AN364" s="34" t="n"/>
      <c r="AO364" s="34" t="n"/>
      <c r="AP364" s="34" t="n"/>
      <c r="AQ364" s="34" t="n"/>
      <c r="AR364" s="264">
        <f>IF(ISNUMBER(AR306),AR306,"n/a")</f>
        <v>7582.157</v>
      </c>
      <c r="AS364" s="34" t="n"/>
      <c r="AT364" s="34" t="n"/>
      <c r="AU364" s="34" t="n"/>
      <c r="AV364" s="34" t="n"/>
      <c r="AW364" s="264">
        <f>IF(ISNUMBER(AW306),AW306,"n/a")</f>
        <v>11065.24</v>
      </c>
      <c r="AX364" s="34" t="n"/>
      <c r="AY364" s="34" t="n"/>
      <c r="AZ364" s="34" t="n"/>
      <c r="BA364" s="34" t="n"/>
      <c r="BB364" s="264">
        <f>IF(ISNUMBER(BB306),BB306,"n/a")</f>
        <v>15849.248</v>
      </c>
      <c r="BC364" s="34" t="n"/>
      <c r="BD364" s="34" t="n"/>
      <c r="BE364" s="34" t="n"/>
      <c r="BF364" s="34" t="n"/>
      <c r="BG364" s="264">
        <f>IF(ISNUMBER(BG306),BG306,"n/a")</f>
        <v>20777.401</v>
      </c>
      <c r="BH364" s="34" t="n"/>
      <c r="BI364" s="34" t="n"/>
      <c r="BJ364" s="34" t="n"/>
      <c r="BK364" s="34" t="n"/>
      <c r="BL364" s="264">
        <f>IF(ISNUMBER(BL306),BL306,"n/a")</f>
        <v>20588.313</v>
      </c>
      <c r="BM364" s="34" t="n"/>
      <c r="BN364" s="34" t="n"/>
      <c r="BO364" s="34" t="n"/>
      <c r="BP364" s="34" t="n"/>
      <c r="BQ364" s="264">
        <f>IF(ISNUMBER(BQ306),BQ306,"n/a")</f>
        <v>24743.567</v>
      </c>
      <c r="BR364" s="34" t="n"/>
      <c r="BS364" s="34" t="n"/>
      <c r="BT364" s="34" t="n"/>
      <c r="BU364" s="34" t="n"/>
      <c r="BV364" s="264">
        <f>IF(ISNUMBER(BV306),BV306,"n/a")</f>
        <v>26615.488</v>
      </c>
      <c r="BW364" s="34" t="n"/>
      <c r="BX364" s="34" t="n"/>
      <c r="BY364" s="35" t="n"/>
      <c r="BZ364" s="35" t="n"/>
      <c r="CA364" s="254">
        <f>IF(ISNUMBER(CA306),CA306,"n/a")</f>
        <v>30521.6617005894</v>
      </c>
      <c r="CB364" s="254">
        <f>IF(ISNUMBER(CB306),CB306,"n/a")</f>
        <v>34091.0297270457</v>
      </c>
      <c r="CC364" s="254">
        <f>IF(ISNUMBER(CC306),CC306,"n/a")</f>
        <v>37361.854189968</v>
      </c>
      <c r="CD364" s="254">
        <f>IF(ISNUMBER(CD306),CD306,"n/a")</f>
        <v>40477.0177998075</v>
      </c>
      <c r="CE364" s="254">
        <f>IF(ISNUMBER(CE306),CE306,"n/a")</f>
        <v>43400.3010800448</v>
      </c>
      <c r="CF364" s="254">
        <f>IF(ISNUMBER(CF306),CF306,"n/a")</f>
        <v>46158.1683744286</v>
      </c>
      <c r="CG364" s="19" t="n"/>
    </row>
    <row r="365" ht="15" customHeight="1" s="251">
      <c r="B365" s="25" t="inlineStr">
        <is>
          <t xml:space="preserve">  Net debt = Total debt − cash − short-term investments</t>
        </is>
      </c>
      <c r="C365" s="264">
        <f>IFERROR(C334-C285-N(C286),"n/a")</f>
        <v>-400.43</v>
      </c>
      <c r="D365" s="264">
        <f>IFERROR(D334-D285-N(D286),"n/a")</f>
        <v>-385.142</v>
      </c>
      <c r="E365" s="264">
        <f>IFERROR(E334-E285-N(E286),"n/a")</f>
        <v>-258.131</v>
      </c>
      <c r="F365" s="264">
        <f>IFERROR(F334-F285-N(F286),"n/a")</f>
        <v>-82.26</v>
      </c>
      <c r="G365" s="264">
        <f>IFERROR(G334-G285-N(G286),"n/a")</f>
        <v>-114.181</v>
      </c>
      <c r="H365" s="264">
        <f>IFERROR(H334-H285-N(H286),"n/a")</f>
        <v>-397.811</v>
      </c>
      <c r="I365" s="264">
        <f>IFERROR(I334-I285-N(I286),"n/a")</f>
        <v>-348.078</v>
      </c>
      <c r="J365" s="34" t="n"/>
      <c r="K365" s="34" t="n"/>
      <c r="L365" s="34" t="n"/>
      <c r="M365" s="34" t="n"/>
      <c r="N365" s="264">
        <f>IFERROR(N334-N285-N(N286),"n/a")</f>
        <v>-700.405</v>
      </c>
      <c r="O365" s="34" t="n"/>
      <c r="P365" s="34" t="n"/>
      <c r="Q365" s="34" t="n"/>
      <c r="R365" s="34" t="n"/>
      <c r="S365" s="264">
        <f>IFERROR(S334-S285-N(S286),"n/a")</f>
        <v>-708.496</v>
      </c>
      <c r="T365" s="34" t="n"/>
      <c r="U365" s="34" t="n"/>
      <c r="V365" s="34" t="n"/>
      <c r="W365" s="34" t="n"/>
      <c r="X365" s="264">
        <f>IFERROR(X334-X285-N(X286),"n/a")</f>
        <v>60.6470000000002</v>
      </c>
      <c r="Y365" s="34" t="n"/>
      <c r="Z365" s="34" t="n"/>
      <c r="AA365" s="34" t="n"/>
      <c r="AB365" s="34" t="n"/>
      <c r="AC365" s="264">
        <f>IFERROR(AC334-AC285-N(AC286),"n/a")</f>
        <v>1630.529</v>
      </c>
      <c r="AD365" s="34" t="n"/>
      <c r="AE365" s="34" t="n"/>
      <c r="AF365" s="34" t="n"/>
      <c r="AG365" s="34" t="n"/>
      <c r="AH365" s="264">
        <f>IFERROR(AH334-AH285-N(AH286),"n/a")</f>
        <v>3676.637</v>
      </c>
      <c r="AI365" s="34" t="n"/>
      <c r="AJ365" s="34" t="n"/>
      <c r="AK365" s="34" t="n"/>
      <c r="AL365" s="34" t="n"/>
      <c r="AM365" s="264">
        <f>IFERROR(AM334-AM285-N(AM286),"n/a")</f>
        <v>6565.575</v>
      </c>
      <c r="AN365" s="34" t="n"/>
      <c r="AO365" s="34" t="n"/>
      <c r="AP365" s="34" t="n"/>
      <c r="AQ365" s="34" t="n"/>
      <c r="AR365" s="264">
        <f>IFERROR(AR334-AR285-N(AR286),"n/a")</f>
        <v>9740.823</v>
      </c>
      <c r="AS365" s="34" t="n"/>
      <c r="AT365" s="34" t="n"/>
      <c r="AU365" s="34" t="n"/>
      <c r="AV365" s="34" t="n"/>
      <c r="AW365" s="264">
        <f>IFERROR(AW334-AW285-N(AW286),"n/a")</f>
        <v>8103.423</v>
      </c>
      <c r="AX365" s="34" t="n"/>
      <c r="AY365" s="34" t="n"/>
      <c r="AZ365" s="34" t="n"/>
      <c r="BA365" s="34" t="n"/>
      <c r="BB365" s="264">
        <f>IFERROR(BB334-BB285-N(BB286),"n/a")</f>
        <v>9365.091</v>
      </c>
      <c r="BC365" s="34" t="n"/>
      <c r="BD365" s="34" t="n"/>
      <c r="BE365" s="34" t="n"/>
      <c r="BF365" s="34" t="n"/>
      <c r="BG365" s="264">
        <f>IFERROR(BG334-BG285-N(BG286),"n/a")</f>
        <v>8294.624</v>
      </c>
      <c r="BH365" s="34" t="n"/>
      <c r="BI365" s="34" t="n"/>
      <c r="BJ365" s="34" t="n"/>
      <c r="BK365" s="34" t="n"/>
      <c r="BL365" s="264">
        <f>IFERROR(BL334-BL285-N(BL286),"n/a")</f>
        <v>7405.375</v>
      </c>
      <c r="BM365" s="34" t="n"/>
      <c r="BN365" s="34" t="n"/>
      <c r="BO365" s="34" t="n"/>
      <c r="BP365" s="34" t="n"/>
      <c r="BQ365" s="264">
        <f>IFERROR(BQ334-BQ285-N(BQ286),"n/a")</f>
        <v>5999.065</v>
      </c>
      <c r="BR365" s="34" t="n"/>
      <c r="BS365" s="34" t="n"/>
      <c r="BT365" s="34" t="n"/>
      <c r="BU365" s="34" t="n"/>
      <c r="BV365" s="264">
        <f>IFERROR(BV334-BV285-N(BV286),"n/a")</f>
        <v>5400.477</v>
      </c>
      <c r="BW365" s="34" t="n"/>
      <c r="BX365" s="34" t="n"/>
      <c r="BY365" s="35" t="n"/>
      <c r="BZ365" s="35" t="n"/>
      <c r="CA365" s="254">
        <f>IFERROR(CA334-CA285-N(CA286),"n/a")</f>
        <v>5750.84866666667</v>
      </c>
      <c r="CB365" s="254">
        <f>IFERROR(CB334-CB285-N(CB286),"n/a")</f>
        <v>4854.29578827511</v>
      </c>
      <c r="CC365" s="254">
        <f>IFERROR(CC334-CC285-N(CC286),"n/a")</f>
        <v>3956.06331386141</v>
      </c>
      <c r="CD365" s="254">
        <f>IFERROR(CD334-CD285-N(CD286),"n/a")</f>
        <v>3073.57533873147</v>
      </c>
      <c r="CE365" s="254">
        <f>IFERROR(CE334-CE285-N(CE286),"n/a")</f>
        <v>2202.48519179022</v>
      </c>
      <c r="CF365" s="254">
        <f>IFERROR(CF334-CF285-N(CF286),"n/a")</f>
        <v>1358.1813373975</v>
      </c>
      <c r="CG365" s="19" t="n"/>
    </row>
    <row r="366" ht="15" customHeight="1" s="251">
      <c r="B366" s="55" t="inlineStr">
        <is>
          <t>ROIC = NOPAT / IC</t>
        </is>
      </c>
      <c r="C366" s="289">
        <f>IFERROR(C362/C363,"n/a")</f>
        <v>3.03817574921994</v>
      </c>
      <c r="D366" s="289">
        <f>IFERROR(D362/D363,"n/a")</f>
        <v>1.29924463349924</v>
      </c>
      <c r="E366" s="289">
        <f>IFERROR(E362/E363,"n/a")</f>
        <v>0.887164135514019</v>
      </c>
      <c r="F366" s="289">
        <f>IFERROR(F362/F363,"n/a")</f>
        <v>1.06739517295073</v>
      </c>
      <c r="G366" s="289">
        <f>IFERROR(G362/G363,"n/a")</f>
        <v>1.04763897649205</v>
      </c>
      <c r="H366" s="289">
        <f>IFERROR(H362/H363,"n/a")</f>
        <v>0.997735500961229</v>
      </c>
      <c r="I366" s="289">
        <f>IFERROR(I362/I363,"n/a")</f>
        <v>0.0819344671516286</v>
      </c>
      <c r="J366" s="56" t="n"/>
      <c r="K366" s="56" t="n"/>
      <c r="L366" s="56" t="n"/>
      <c r="M366" s="56" t="n"/>
      <c r="N366" s="289">
        <f>IFERROR(N362/N363,"n/a")</f>
        <v>0.236961874139198</v>
      </c>
      <c r="O366" s="56" t="n"/>
      <c r="P366" s="56" t="n"/>
      <c r="Q366" s="56" t="n"/>
      <c r="R366" s="56" t="n"/>
      <c r="S366" s="289">
        <f>IFERROR(S362/S363,"n/a")</f>
        <v>0.267562487367487</v>
      </c>
      <c r="T366" s="56" t="n"/>
      <c r="U366" s="56" t="n"/>
      <c r="V366" s="56" t="n"/>
      <c r="W366" s="56" t="n"/>
      <c r="X366" s="289">
        <f>IFERROR(X362/X363,"n/a")</f>
        <v>0.115734708721403</v>
      </c>
      <c r="Y366" s="56" t="n"/>
      <c r="Z366" s="56" t="n"/>
      <c r="AA366" s="56" t="n"/>
      <c r="AB366" s="56" t="n"/>
      <c r="AC366" s="289">
        <f>IFERROR(AC362/AC363,"n/a")</f>
        <v>0.0631408286728936</v>
      </c>
      <c r="AD366" s="56" t="n"/>
      <c r="AE366" s="56" t="n"/>
      <c r="AF366" s="56" t="n"/>
      <c r="AG366" s="56" t="n"/>
      <c r="AH366" s="289">
        <f>IFERROR(AH362/AH363,"n/a")</f>
        <v>0.10398862424164</v>
      </c>
      <c r="AI366" s="56" t="n"/>
      <c r="AJ366" s="56" t="n"/>
      <c r="AK366" s="56" t="n"/>
      <c r="AL366" s="56" t="n"/>
      <c r="AM366" s="289">
        <f>IFERROR(AM362/AM363,"n/a")</f>
        <v>0.122387477825952</v>
      </c>
      <c r="AN366" s="56" t="n"/>
      <c r="AO366" s="56" t="n"/>
      <c r="AP366" s="56" t="n"/>
      <c r="AQ366" s="56" t="n"/>
      <c r="AR366" s="289">
        <f>IFERROR(AR362/AR363,"n/a")</f>
        <v>0.135301697513938</v>
      </c>
      <c r="AS366" s="56" t="n"/>
      <c r="AT366" s="56" t="n"/>
      <c r="AU366" s="56" t="n"/>
      <c r="AV366" s="56" t="n"/>
      <c r="AW366" s="289">
        <f>IFERROR(AW362/AW363,"n/a")</f>
        <v>0.206462797608033</v>
      </c>
      <c r="AX366" s="56" t="n"/>
      <c r="AY366" s="56" t="n"/>
      <c r="AZ366" s="56" t="n"/>
      <c r="BA366" s="56" t="n"/>
      <c r="BB366" s="289">
        <f>IFERROR(BB362/BB363,"n/a")</f>
        <v>0.215223001731699</v>
      </c>
      <c r="BC366" s="56" t="n"/>
      <c r="BD366" s="56" t="n"/>
      <c r="BE366" s="56" t="n"/>
      <c r="BF366" s="56" t="n"/>
      <c r="BG366" s="289">
        <f>IFERROR(BG362/BG363,"n/a")</f>
        <v>0.169741327319676</v>
      </c>
      <c r="BH366" s="56" t="n"/>
      <c r="BI366" s="56" t="n"/>
      <c r="BJ366" s="56" t="n"/>
      <c r="BK366" s="56" t="n"/>
      <c r="BL366" s="289">
        <f>IFERROR(BL362/BL363,"n/a")</f>
        <v>0.216491327940782</v>
      </c>
      <c r="BM366" s="56" t="n"/>
      <c r="BN366" s="56" t="n"/>
      <c r="BO366" s="56" t="n"/>
      <c r="BP366" s="56" t="n"/>
      <c r="BQ366" s="289">
        <f>IFERROR(BQ362/BQ363,"n/a")</f>
        <v>0.296224347412815</v>
      </c>
      <c r="BR366" s="56" t="n"/>
      <c r="BS366" s="56" t="n"/>
      <c r="BT366" s="56" t="n"/>
      <c r="BU366" s="56" t="n"/>
      <c r="BV366" s="289">
        <f>IFERROR(BV362/BV363,"n/a")</f>
        <v>0.375964039755055</v>
      </c>
      <c r="BW366" s="56" t="n"/>
      <c r="BX366" s="56" t="n"/>
      <c r="BY366" s="56" t="n"/>
      <c r="BZ366" s="56" t="n"/>
      <c r="CA366" s="289">
        <f>IFERROR(CA362/CA363,"n/a")</f>
        <v>0.366904765321825</v>
      </c>
      <c r="CB366" s="289">
        <f>IFERROR(CB362/CB363,"n/a")</f>
        <v>0.403947815530052</v>
      </c>
      <c r="CC366" s="289">
        <f>IFERROR(CC362/CC363,"n/a")</f>
        <v>0.43569259917979</v>
      </c>
      <c r="CD366" s="289">
        <f>IFERROR(CD362/CD363,"n/a")</f>
        <v>0.467904528036273</v>
      </c>
      <c r="CE366" s="289">
        <f>IFERROR(CE362/CE363,"n/a")</f>
        <v>0.49476294397535</v>
      </c>
      <c r="CF366" s="289">
        <f>IFERROR(CF362/CF363,"n/a")</f>
        <v>0.521568285878654</v>
      </c>
      <c r="CG366" s="153" t="n"/>
      <c r="CI366" s="37">
        <f>IFERROR(AVERAGE(CB366,CC366,CD366,CE366,CF366),"n/m")</f>
        <v>0.464775234520024</v>
      </c>
      <c r="CJ366" s="37">
        <f>IFERROR(AVERAGE(BB366,BG366,BL366,BQ366,BV366),"n/m")</f>
        <v>0.254728808832005</v>
      </c>
      <c r="CK366" s="37">
        <f>IFERROR(AVERAGE(AC366,AH366,AM366,AR366,AW366,BB366,BG366,BL366,BQ366,BV366),"n/m")</f>
        <v>0.190492547002248</v>
      </c>
      <c r="CL366" s="37">
        <f>IFERROR(AVERAGE(C366,D366,E366,F366,G366,H366,I366,N366,S366,X366,AC366,AH366,AM366,AR366,AW366,BB366,BG366,BL366,BQ366,BV366),"n/m")</f>
        <v>0.54722365880197</v>
      </c>
    </row>
    <row r="367" ht="15" customHeight="1" s="251">
      <c r="B367" s="25" t="inlineStr">
        <is>
          <t xml:space="preserve">  Margin = Adjusted EBIT / Revenue</t>
        </is>
      </c>
      <c r="C367" s="215">
        <f>IFERROR(C360/C121,"n/a")</f>
        <v>0.064629863744908</v>
      </c>
      <c r="D367" s="215">
        <f>IFERROR(D360/D121,"n/a")</f>
        <v>0.075630942306735</v>
      </c>
      <c r="E367" s="215">
        <f>IFERROR(E360/E121,"n/a")</f>
        <v>0.0890374972245855</v>
      </c>
      <c r="F367" s="215">
        <f>IFERROR(F360/F121,"n/a")</f>
        <v>0.114915022670001</v>
      </c>
      <c r="G367" s="215">
        <f>IFERROR(G360/G121,"n/a")</f>
        <v>0.131155886942951</v>
      </c>
      <c r="H367" s="215">
        <f>IFERROR(H360/H121,"n/a")</f>
        <v>0.117353397967969</v>
      </c>
      <c r="I367" s="215">
        <f>IFERROR(I360/I121,"n/a")</f>
        <v>0.0138509542895236</v>
      </c>
      <c r="J367" s="34" t="n"/>
      <c r="K367" s="34" t="n"/>
      <c r="L367" s="34" t="n"/>
      <c r="M367" s="34" t="n"/>
      <c r="N367" s="215">
        <f>IFERROR(N360/N121,"n/a")</f>
        <v>0.0521988258481649</v>
      </c>
      <c r="O367" s="34" t="n"/>
      <c r="P367" s="34" t="n"/>
      <c r="Q367" s="34" t="n"/>
      <c r="R367" s="34" t="n"/>
      <c r="S367" s="215">
        <f>IFERROR(S360/S121,"n/a")</f>
        <v>0.0731468051772898</v>
      </c>
      <c r="T367" s="34" t="n"/>
      <c r="U367" s="34" t="n"/>
      <c r="V367" s="34" t="n"/>
      <c r="W367" s="34" t="n"/>
      <c r="X367" s="215">
        <f>IFERROR(X360/X121,"n/a")</f>
        <v>0.0451103331788975</v>
      </c>
      <c r="Y367" s="34" t="n"/>
      <c r="Z367" s="34" t="n"/>
      <c r="AA367" s="34" t="n"/>
      <c r="AB367" s="34" t="n"/>
      <c r="AC367" s="215">
        <f>IFERROR(AC360/AC121,"n/a")</f>
        <v>0.0430084062713709</v>
      </c>
      <c r="AD367" s="34" t="n"/>
      <c r="AE367" s="34" t="n"/>
      <c r="AF367" s="34" t="n"/>
      <c r="AG367" s="34" t="n"/>
      <c r="AH367" s="215">
        <f>IFERROR(AH360/AH121,"n/a")</f>
        <v>0.0717266386338226</v>
      </c>
      <c r="AI367" s="34" t="n"/>
      <c r="AJ367" s="34" t="n"/>
      <c r="AK367" s="34" t="n"/>
      <c r="AL367" s="34" t="n"/>
      <c r="AM367" s="215">
        <f>IFERROR(AM360/AM121,"n/a")</f>
        <v>0.101632983611029</v>
      </c>
      <c r="AN367" s="34" t="n"/>
      <c r="AO367" s="34" t="n"/>
      <c r="AP367" s="34" t="n"/>
      <c r="AQ367" s="34" t="n"/>
      <c r="AR367" s="215">
        <f>IFERROR(AR360/AR121,"n/a")</f>
        <v>0.129202036450174</v>
      </c>
      <c r="AS367" s="34" t="n"/>
      <c r="AT367" s="34" t="n"/>
      <c r="AU367" s="34" t="n"/>
      <c r="AV367" s="34" t="n"/>
      <c r="AW367" s="215">
        <f>IFERROR(AW360/AW121,"n/a")</f>
        <v>0.183440499573213</v>
      </c>
      <c r="AX367" s="34" t="n"/>
      <c r="AY367" s="34" t="n"/>
      <c r="AZ367" s="34" t="n"/>
      <c r="BA367" s="34" t="n"/>
      <c r="BB367" s="215">
        <f>IFERROR(BB360/BB121,"n/a")</f>
        <v>0.208584468286654</v>
      </c>
      <c r="BC367" s="34" t="n"/>
      <c r="BD367" s="34" t="n"/>
      <c r="BE367" s="34" t="n"/>
      <c r="BF367" s="34" t="n"/>
      <c r="BG367" s="215">
        <f>IFERROR(BG360/BG121,"n/a")</f>
        <v>0.182910972606834</v>
      </c>
      <c r="BH367" s="34" t="n"/>
      <c r="BI367" s="34" t="n"/>
      <c r="BJ367" s="34" t="n"/>
      <c r="BK367" s="34" t="n"/>
      <c r="BL367" s="215">
        <f>IFERROR(BL360/BL121,"n/a")</f>
        <v>0.20620768485359</v>
      </c>
      <c r="BM367" s="34" t="n"/>
      <c r="BN367" s="34" t="n"/>
      <c r="BO367" s="34" t="n"/>
      <c r="BP367" s="34" t="n"/>
      <c r="BQ367" s="215">
        <f>IFERROR(BQ360/BQ121,"n/a")</f>
        <v>0.267111691541179</v>
      </c>
      <c r="BR367" s="34" t="n"/>
      <c r="BS367" s="34" t="n"/>
      <c r="BT367" s="34" t="n"/>
      <c r="BU367" s="34" t="n"/>
      <c r="BV367" s="215">
        <f>IFERROR(BV360/BV121,"n/a")</f>
        <v>0.30864687800085</v>
      </c>
      <c r="BW367" s="34" t="n"/>
      <c r="BX367" s="34" t="n"/>
      <c r="BY367" s="35" t="n"/>
      <c r="BZ367" s="35" t="n"/>
      <c r="CA367" s="256">
        <f>IFERROR(CA360/CA121,"n/a")</f>
        <v>0.315</v>
      </c>
      <c r="CB367" s="256">
        <f>IFERROR(CB360/CB121,"n/a")</f>
        <v>0.335</v>
      </c>
      <c r="CC367" s="256">
        <f>IFERROR(CC360/CC121,"n/a")</f>
        <v>0.35</v>
      </c>
      <c r="CD367" s="256">
        <f>IFERROR(CD360/CD121,"n/a")</f>
        <v>0.365</v>
      </c>
      <c r="CE367" s="256">
        <f>IFERROR(CE360/CE121,"n/a")</f>
        <v>0.375</v>
      </c>
      <c r="CF367" s="256">
        <f>IFERROR(CF360/CF121,"n/a")</f>
        <v>0.385</v>
      </c>
      <c r="CG367" s="19" t="n"/>
    </row>
    <row r="368" ht="15" customHeight="1" s="251">
      <c r="B368" s="25" t="inlineStr">
        <is>
          <t xml:space="preserve">  Capital turnover = Revenue / IC</t>
        </is>
      </c>
      <c r="C368" s="286">
        <f>IFERROR(C121/C363,"n/a")</f>
        <v>72.3213119512372</v>
      </c>
      <c r="D368" s="286">
        <f>IFERROR(D121/D363,"n/a")</f>
        <v>26.4288376784265</v>
      </c>
      <c r="E368" s="286">
        <f>IFERROR(E121/E363,"n/a")</f>
        <v>15.3291359633357</v>
      </c>
      <c r="F368" s="286">
        <f>IFERROR(F121/F363,"n/a")</f>
        <v>14.2900935123157</v>
      </c>
      <c r="G368" s="286">
        <f>IFERROR(G121/G363,"n/a")</f>
        <v>12.2888290346227</v>
      </c>
      <c r="H368" s="286">
        <f>IFERROR(H121/H363,"n/a")</f>
        <v>13.0799595100388</v>
      </c>
      <c r="I368" s="286">
        <f>IFERROR(I121/I363,"n/a")</f>
        <v>9.10067449160983</v>
      </c>
      <c r="J368" s="34" t="n"/>
      <c r="K368" s="34" t="n"/>
      <c r="L368" s="34" t="n"/>
      <c r="M368" s="34" t="n"/>
      <c r="N368" s="286">
        <f>IFERROR(N121/N363,"n/a")</f>
        <v>6.90913771645535</v>
      </c>
      <c r="O368" s="34" t="n"/>
      <c r="P368" s="34" t="n"/>
      <c r="Q368" s="34" t="n"/>
      <c r="R368" s="34" t="n"/>
      <c r="S368" s="286">
        <f>IFERROR(S121/S363,"n/a")</f>
        <v>4.78993954118126</v>
      </c>
      <c r="T368" s="34" t="n"/>
      <c r="U368" s="34" t="n"/>
      <c r="V368" s="34" t="n"/>
      <c r="W368" s="34" t="n"/>
      <c r="X368" s="286">
        <f>IFERROR(X121/X363,"n/a")</f>
        <v>2.96816739219806</v>
      </c>
      <c r="Y368" s="34" t="n"/>
      <c r="Z368" s="34" t="n"/>
      <c r="AA368" s="34" t="n"/>
      <c r="AB368" s="34" t="n"/>
      <c r="AC368" s="286">
        <f>IFERROR(AC121/AC363,"n/a")</f>
        <v>2.04872273090987</v>
      </c>
      <c r="AD368" s="34" t="n"/>
      <c r="AE368" s="34" t="n"/>
      <c r="AF368" s="34" t="n"/>
      <c r="AG368" s="34" t="n"/>
      <c r="AH368" s="286">
        <f>IFERROR(AH121/AH363,"n/a")</f>
        <v>1.61087871988414</v>
      </c>
      <c r="AI368" s="34" t="n"/>
      <c r="AJ368" s="34" t="n"/>
      <c r="AK368" s="34" t="n"/>
      <c r="AL368" s="34" t="n"/>
      <c r="AM368" s="286">
        <f>IFERROR(AM121/AM363,"n/a")</f>
        <v>1.33801135853423</v>
      </c>
      <c r="AN368" s="34" t="n"/>
      <c r="AO368" s="34" t="n"/>
      <c r="AP368" s="34" t="n"/>
      <c r="AQ368" s="34" t="n"/>
      <c r="AR368" s="286">
        <f>IFERROR(AR121/AR363,"n/a")</f>
        <v>1.16356694979732</v>
      </c>
      <c r="AS368" s="34" t="n"/>
      <c r="AT368" s="34" t="n"/>
      <c r="AU368" s="34" t="n"/>
      <c r="AV368" s="34" t="n"/>
      <c r="AW368" s="286">
        <f>IFERROR(AW121/AW363,"n/a")</f>
        <v>1.30400623142052</v>
      </c>
      <c r="AX368" s="34" t="n"/>
      <c r="AY368" s="34" t="n"/>
      <c r="AZ368" s="34" t="n"/>
      <c r="BA368" s="34" t="n"/>
      <c r="BB368" s="286">
        <f>IFERROR(BB121/BB363,"n/a")</f>
        <v>1.17781568654249</v>
      </c>
      <c r="BC368" s="34" t="n"/>
      <c r="BD368" s="34" t="n"/>
      <c r="BE368" s="34" t="n"/>
      <c r="BF368" s="34" t="n"/>
      <c r="BG368" s="286">
        <f>IFERROR(BG121/BG363,"n/a")</f>
        <v>1.08749046549045</v>
      </c>
      <c r="BH368" s="34" t="n"/>
      <c r="BI368" s="34" t="n"/>
      <c r="BJ368" s="34" t="n"/>
      <c r="BK368" s="34" t="n"/>
      <c r="BL368" s="286">
        <f>IFERROR(BL121/BL363,"n/a")</f>
        <v>1.20467503245732</v>
      </c>
      <c r="BM368" s="34" t="n"/>
      <c r="BN368" s="34" t="n"/>
      <c r="BO368" s="34" t="n"/>
      <c r="BP368" s="34" t="n"/>
      <c r="BQ368" s="286">
        <f>IFERROR(BQ121/BQ363,"n/a")</f>
        <v>1.26862807322418</v>
      </c>
      <c r="BR368" s="34" t="n"/>
      <c r="BS368" s="34" t="n"/>
      <c r="BT368" s="34" t="n"/>
      <c r="BU368" s="34" t="n"/>
      <c r="BV368" s="286">
        <f>IFERROR(BV121/BV363,"n/a")</f>
        <v>1.41126578567911</v>
      </c>
      <c r="BW368" s="34" t="n"/>
      <c r="BX368" s="34" t="n"/>
      <c r="BY368" s="35" t="n"/>
      <c r="BZ368" s="35" t="n"/>
      <c r="CA368" s="287">
        <f>IFERROR(CA121/CA363,"n/a")</f>
        <v>1.41153726283636</v>
      </c>
      <c r="CB368" s="287">
        <f>IFERROR(CB121/CB363,"n/a")</f>
        <v>1.45278840327298</v>
      </c>
      <c r="CC368" s="287">
        <f>IFERROR(CC121/CC363,"n/a")</f>
        <v>1.49980240681511</v>
      </c>
      <c r="CD368" s="287">
        <f>IFERROR(CD121/CD363,"n/a")</f>
        <v>1.54449423349158</v>
      </c>
      <c r="CE368" s="287">
        <f>IFERROR(CE121/CE363,"n/a")</f>
        <v>1.58959982000113</v>
      </c>
      <c r="CF368" s="287">
        <f>IFERROR(CF121/CF363,"n/a")</f>
        <v>1.63219616923378</v>
      </c>
      <c r="CG368" s="19" t="n"/>
    </row>
    <row r="369" ht="15" customHeight="1" s="251">
      <c r="B369" s="25" t="inlineStr">
        <is>
          <t xml:space="preserve">  Tax burden = (1 − tax rate)</t>
        </is>
      </c>
      <c r="C369" s="215">
        <f>IFERROR(1-C361,"n/a")</f>
        <v>0.65</v>
      </c>
      <c r="D369" s="215">
        <f>IFERROR(1-D361,"n/a")</f>
        <v>0.65</v>
      </c>
      <c r="E369" s="215">
        <f>IFERROR(1-E361,"n/a")</f>
        <v>0.65</v>
      </c>
      <c r="F369" s="215">
        <f>IFERROR(1-F361,"n/a")</f>
        <v>0.65</v>
      </c>
      <c r="G369" s="215">
        <f>IFERROR(1-G361,"n/a")</f>
        <v>0.65</v>
      </c>
      <c r="H369" s="215">
        <f>IFERROR(1-H361,"n/a")</f>
        <v>0.65</v>
      </c>
      <c r="I369" s="215">
        <f>IFERROR(1-I361,"n/a")</f>
        <v>0.65</v>
      </c>
      <c r="J369" s="34" t="n"/>
      <c r="K369" s="34" t="n"/>
      <c r="L369" s="34" t="n"/>
      <c r="M369" s="34" t="n"/>
      <c r="N369" s="215">
        <f>IFERROR(1-N361,"n/a")</f>
        <v>0.657043150917147</v>
      </c>
      <c r="O369" s="34" t="n"/>
      <c r="P369" s="34" t="n"/>
      <c r="Q369" s="34" t="n"/>
      <c r="R369" s="34" t="n"/>
      <c r="S369" s="215">
        <f>IFERROR(1-S361,"n/a")</f>
        <v>0.763659626354942</v>
      </c>
      <c r="T369" s="34" t="n"/>
      <c r="U369" s="34" t="n"/>
      <c r="V369" s="34" t="n"/>
      <c r="W369" s="34" t="n"/>
      <c r="X369" s="215">
        <f>IFERROR(1-X361,"n/a")</f>
        <v>0.864369031257709</v>
      </c>
      <c r="Y369" s="34" t="n"/>
      <c r="Z369" s="34" t="n"/>
      <c r="AA369" s="34" t="n"/>
      <c r="AB369" s="34" t="n"/>
      <c r="AC369" s="215">
        <f>IFERROR(1-AC361,"n/a")</f>
        <v>0.716594947544596</v>
      </c>
      <c r="AD369" s="34" t="n"/>
      <c r="AE369" s="34" t="n"/>
      <c r="AF369" s="34" t="n"/>
      <c r="AG369" s="34" t="n"/>
      <c r="AH369" s="215">
        <f>IFERROR(1-AH361,"n/a")</f>
        <v>0.9</v>
      </c>
      <c r="AI369" s="34" t="n"/>
      <c r="AJ369" s="34" t="n"/>
      <c r="AK369" s="34" t="n"/>
      <c r="AL369" s="34" t="n"/>
      <c r="AM369" s="215">
        <f>IFERROR(1-AM361,"n/a")</f>
        <v>0.9</v>
      </c>
      <c r="AN369" s="34" t="n"/>
      <c r="AO369" s="34" t="n"/>
      <c r="AP369" s="34" t="n"/>
      <c r="AQ369" s="34" t="n"/>
      <c r="AR369" s="215">
        <f>IFERROR(1-AR361,"n/a")</f>
        <v>0.9</v>
      </c>
      <c r="AS369" s="34" t="n"/>
      <c r="AT369" s="34" t="n"/>
      <c r="AU369" s="34" t="n"/>
      <c r="AV369" s="34" t="n"/>
      <c r="AW369" s="215">
        <f>IFERROR(1-AW361,"n/a")</f>
        <v>0.863111526751224</v>
      </c>
      <c r="AX369" s="34" t="n"/>
      <c r="AY369" s="34" t="n"/>
      <c r="AZ369" s="34" t="n"/>
      <c r="BA369" s="34" t="n"/>
      <c r="BB369" s="215">
        <f>IFERROR(1-BB361,"n/a")</f>
        <v>0.876050987456899</v>
      </c>
      <c r="BC369" s="34" t="n"/>
      <c r="BD369" s="34" t="n"/>
      <c r="BE369" s="34" t="n"/>
      <c r="BF369" s="34" t="n"/>
      <c r="BG369" s="215">
        <f>IFERROR(1-BG361,"n/a")</f>
        <v>0.853340537077913</v>
      </c>
      <c r="BH369" s="34" t="n"/>
      <c r="BI369" s="34" t="n"/>
      <c r="BJ369" s="34" t="n"/>
      <c r="BK369" s="34" t="n"/>
      <c r="BL369" s="215">
        <f>IFERROR(1-BL361,"n/a")</f>
        <v>0.871496703277224</v>
      </c>
      <c r="BM369" s="34" t="n"/>
      <c r="BN369" s="34" t="n"/>
      <c r="BO369" s="34" t="n"/>
      <c r="BP369" s="34" t="n"/>
      <c r="BQ369" s="215">
        <f>IFERROR(1-BQ361,"n/a")</f>
        <v>0.874165245703319</v>
      </c>
      <c r="BR369" s="34" t="n"/>
      <c r="BS369" s="34" t="n"/>
      <c r="BT369" s="34" t="n"/>
      <c r="BU369" s="34" t="n"/>
      <c r="BV369" s="215">
        <f>IFERROR(1-BV361,"n/a")</f>
        <v>0.863128796801145</v>
      </c>
      <c r="BW369" s="34" t="n"/>
      <c r="BX369" s="34" t="n"/>
      <c r="BY369" s="35" t="n"/>
      <c r="BZ369" s="35" t="n"/>
      <c r="CA369" s="256">
        <f>IFERROR(1-CA361,"n/a")</f>
        <v>0.8251833397775</v>
      </c>
      <c r="CB369" s="256">
        <f>IFERROR(1-CB361,"n/a")</f>
        <v>0.83</v>
      </c>
      <c r="CC369" s="256">
        <f>IFERROR(1-CC361,"n/a")</f>
        <v>0.83</v>
      </c>
      <c r="CD369" s="256">
        <f>IFERROR(1-CD361,"n/a")</f>
        <v>0.83</v>
      </c>
      <c r="CE369" s="256">
        <f>IFERROR(1-CE361,"n/a")</f>
        <v>0.83</v>
      </c>
      <c r="CF369" s="256">
        <f>IFERROR(1-CF361,"n/a")</f>
        <v>0.83</v>
      </c>
      <c r="CG369" s="19" t="n"/>
    </row>
    <row r="370" ht="15" customHeight="1" s="251">
      <c r="B370" s="25" t="inlineStr">
        <is>
          <t xml:space="preserve">  Check: Margin × Turnover × Tax burden = ROIC</t>
        </is>
      </c>
      <c r="C370" s="215">
        <f>IFERROR(C367*C368*C369,"n/a")</f>
        <v>3.03817574921994</v>
      </c>
      <c r="D370" s="215">
        <f>IFERROR(D367*D368*D369,"n/a")</f>
        <v>1.29924463349924</v>
      </c>
      <c r="E370" s="215">
        <f>IFERROR(E367*E368*E369,"n/a")</f>
        <v>0.887164135514019</v>
      </c>
      <c r="F370" s="215">
        <f>IFERROR(F367*F368*F369,"n/a")</f>
        <v>1.06739517295073</v>
      </c>
      <c r="G370" s="215">
        <f>IFERROR(G367*G368*G369,"n/a")</f>
        <v>1.04763897649205</v>
      </c>
      <c r="H370" s="215">
        <f>IFERROR(H367*H368*H369,"n/a")</f>
        <v>0.997735500961229</v>
      </c>
      <c r="I370" s="215">
        <f>IFERROR(I367*I368*I369,"n/a")</f>
        <v>0.0819344671516286</v>
      </c>
      <c r="J370" s="34" t="n"/>
      <c r="K370" s="34" t="n"/>
      <c r="L370" s="34" t="n"/>
      <c r="M370" s="34" t="n"/>
      <c r="N370" s="215">
        <f>IFERROR(N367*N368*N369,"n/a")</f>
        <v>0.236961874139198</v>
      </c>
      <c r="O370" s="34" t="n"/>
      <c r="P370" s="34" t="n"/>
      <c r="Q370" s="34" t="n"/>
      <c r="R370" s="34" t="n"/>
      <c r="S370" s="215">
        <f>IFERROR(S367*S368*S369,"n/a")</f>
        <v>0.267562487367487</v>
      </c>
      <c r="T370" s="34" t="n"/>
      <c r="U370" s="34" t="n"/>
      <c r="V370" s="34" t="n"/>
      <c r="W370" s="34" t="n"/>
      <c r="X370" s="215">
        <f>IFERROR(X367*X368*X369,"n/a")</f>
        <v>0.115734708721403</v>
      </c>
      <c r="Y370" s="34" t="n"/>
      <c r="Z370" s="34" t="n"/>
      <c r="AA370" s="34" t="n"/>
      <c r="AB370" s="34" t="n"/>
      <c r="AC370" s="215">
        <f>IFERROR(AC367*AC368*AC369,"n/a")</f>
        <v>0.0631408286728936</v>
      </c>
      <c r="AD370" s="34" t="n"/>
      <c r="AE370" s="34" t="n"/>
      <c r="AF370" s="34" t="n"/>
      <c r="AG370" s="34" t="n"/>
      <c r="AH370" s="215">
        <f>IFERROR(AH367*AH368*AH369,"n/a")</f>
        <v>0.10398862424164</v>
      </c>
      <c r="AI370" s="34" t="n"/>
      <c r="AJ370" s="34" t="n"/>
      <c r="AK370" s="34" t="n"/>
      <c r="AL370" s="34" t="n"/>
      <c r="AM370" s="215">
        <f>IFERROR(AM367*AM368*AM369,"n/a")</f>
        <v>0.122387477825952</v>
      </c>
      <c r="AN370" s="34" t="n"/>
      <c r="AO370" s="34" t="n"/>
      <c r="AP370" s="34" t="n"/>
      <c r="AQ370" s="34" t="n"/>
      <c r="AR370" s="215">
        <f>IFERROR(AR367*AR368*AR369,"n/a")</f>
        <v>0.135301697513938</v>
      </c>
      <c r="AS370" s="34" t="n"/>
      <c r="AT370" s="34" t="n"/>
      <c r="AU370" s="34" t="n"/>
      <c r="AV370" s="34" t="n"/>
      <c r="AW370" s="215">
        <f>IFERROR(AW367*AW368*AW369,"n/a")</f>
        <v>0.206462797608033</v>
      </c>
      <c r="AX370" s="34" t="n"/>
      <c r="AY370" s="34" t="n"/>
      <c r="AZ370" s="34" t="n"/>
      <c r="BA370" s="34" t="n"/>
      <c r="BB370" s="215">
        <f>IFERROR(BB367*BB368*BB369,"n/a")</f>
        <v>0.215223001731699</v>
      </c>
      <c r="BC370" s="34" t="n"/>
      <c r="BD370" s="34" t="n"/>
      <c r="BE370" s="34" t="n"/>
      <c r="BF370" s="34" t="n"/>
      <c r="BG370" s="215">
        <f>IFERROR(BG367*BG368*BG369,"n/a")</f>
        <v>0.169741327319676</v>
      </c>
      <c r="BH370" s="34" t="n"/>
      <c r="BI370" s="34" t="n"/>
      <c r="BJ370" s="34" t="n"/>
      <c r="BK370" s="34" t="n"/>
      <c r="BL370" s="215">
        <f>IFERROR(BL367*BL368*BL369,"n/a")</f>
        <v>0.216491327940782</v>
      </c>
      <c r="BM370" s="34" t="n"/>
      <c r="BN370" s="34" t="n"/>
      <c r="BO370" s="34" t="n"/>
      <c r="BP370" s="34" t="n"/>
      <c r="BQ370" s="215">
        <f>IFERROR(BQ367*BQ368*BQ369,"n/a")</f>
        <v>0.296224347412815</v>
      </c>
      <c r="BR370" s="34" t="n"/>
      <c r="BS370" s="34" t="n"/>
      <c r="BT370" s="34" t="n"/>
      <c r="BU370" s="34" t="n"/>
      <c r="BV370" s="215">
        <f>IFERROR(BV367*BV368*BV369,"n/a")</f>
        <v>0.375964039755055</v>
      </c>
      <c r="BW370" s="34" t="n"/>
      <c r="BX370" s="34" t="n"/>
      <c r="BY370" s="35" t="n"/>
      <c r="BZ370" s="35" t="n"/>
      <c r="CA370" s="256">
        <f>IFERROR(CA367*CA368*CA369,"n/a")</f>
        <v>0.366904765321825</v>
      </c>
      <c r="CB370" s="256">
        <f>IFERROR(CB367*CB368*CB369,"n/a")</f>
        <v>0.403947815530052</v>
      </c>
      <c r="CC370" s="256">
        <f>IFERROR(CC367*CC368*CC369,"n/a")</f>
        <v>0.43569259917979</v>
      </c>
      <c r="CD370" s="256">
        <f>IFERROR(CD367*CD368*CD369,"n/a")</f>
        <v>0.467904528036273</v>
      </c>
      <c r="CE370" s="256">
        <f>IFERROR(CE367*CE368*CE369,"n/a")</f>
        <v>0.49476294397535</v>
      </c>
      <c r="CF370" s="256">
        <f>IFERROR(CF367*CF368*CF369,"n/a")</f>
        <v>0.521568285878654</v>
      </c>
      <c r="CG370" s="19" t="n"/>
    </row>
    <row r="371" ht="15" customHeight="1" s="251">
      <c r="B371" s="25" t="inlineStr">
        <is>
          <t>RONTA decomposition</t>
        </is>
      </c>
      <c r="CG371" s="153" t="n"/>
    </row>
    <row r="372" ht="15" customHeight="1" s="251">
      <c r="B372" s="25" t="inlineStr">
        <is>
          <t>NOPAT = Adjusted EBIT × (1 − tax rate)</t>
        </is>
      </c>
      <c r="C372" s="264">
        <f>C362</f>
        <v>41.8691</v>
      </c>
      <c r="D372" s="264">
        <f>D362</f>
        <v>59.25465</v>
      </c>
      <c r="E372" s="264">
        <f>E362</f>
        <v>78.9789</v>
      </c>
      <c r="F372" s="264">
        <f>F362</f>
        <v>124.76035</v>
      </c>
      <c r="G372" s="264">
        <f>G362</f>
        <v>184.36665</v>
      </c>
      <c r="H372" s="264">
        <f>H362</f>
        <v>244.4442</v>
      </c>
      <c r="I372" s="264">
        <f>I362</f>
        <v>32.4948000000001</v>
      </c>
      <c r="J372" s="34" t="n"/>
      <c r="K372" s="34" t="n"/>
      <c r="L372" s="34" t="n"/>
      <c r="M372" s="34" t="n"/>
      <c r="N372" s="264">
        <f>N362</f>
        <v>150.033832382478</v>
      </c>
      <c r="O372" s="34" t="n"/>
      <c r="P372" s="34" t="n"/>
      <c r="Q372" s="34" t="n"/>
      <c r="R372" s="34" t="n"/>
      <c r="S372" s="264">
        <f>S362</f>
        <v>307.486021232565</v>
      </c>
      <c r="T372" s="34" t="n"/>
      <c r="U372" s="34" t="n"/>
      <c r="V372" s="34" t="n"/>
      <c r="W372" s="34" t="n"/>
      <c r="X372" s="264">
        <f>X362</f>
        <v>264.346523353421</v>
      </c>
      <c r="Y372" s="34" t="n"/>
      <c r="Z372" s="34" t="n"/>
      <c r="AA372" s="34" t="n"/>
      <c r="AB372" s="34" t="n"/>
      <c r="AC372" s="264">
        <f>AC362</f>
        <v>272.157744912805</v>
      </c>
      <c r="AD372" s="34" t="n"/>
      <c r="AE372" s="34" t="n"/>
      <c r="AF372" s="34" t="n"/>
      <c r="AG372" s="34" t="n"/>
      <c r="AH372" s="264">
        <f>AH362</f>
        <v>754.8111</v>
      </c>
      <c r="AI372" s="34" t="n"/>
      <c r="AJ372" s="34" t="n"/>
      <c r="AK372" s="34" t="n"/>
      <c r="AL372" s="34" t="n"/>
      <c r="AM372" s="264">
        <f>AM362</f>
        <v>1444.7034</v>
      </c>
      <c r="AN372" s="34" t="n"/>
      <c r="AO372" s="34" t="n"/>
      <c r="AP372" s="34" t="n"/>
      <c r="AQ372" s="34" t="n"/>
      <c r="AR372" s="264">
        <f>AR362</f>
        <v>2343.8286</v>
      </c>
      <c r="AS372" s="34" t="n"/>
      <c r="AT372" s="34" t="n"/>
      <c r="AU372" s="34" t="n"/>
      <c r="AV372" s="34" t="n"/>
      <c r="AW372" s="264">
        <f>AW362</f>
        <v>3957.61578938559</v>
      </c>
      <c r="AX372" s="34" t="n"/>
      <c r="AY372" s="34" t="n"/>
      <c r="AZ372" s="34" t="n"/>
      <c r="BA372" s="34" t="n"/>
      <c r="BB372" s="264">
        <f>BB362</f>
        <v>5426.70572626065</v>
      </c>
      <c r="BC372" s="34" t="n"/>
      <c r="BD372" s="34" t="n"/>
      <c r="BE372" s="34" t="n"/>
      <c r="BF372" s="34" t="n"/>
      <c r="BG372" s="264">
        <f>BG362</f>
        <v>4934.7241113708</v>
      </c>
      <c r="BH372" s="34" t="n"/>
      <c r="BI372" s="34" t="n"/>
      <c r="BJ372" s="34" t="n"/>
      <c r="BK372" s="34" t="n"/>
      <c r="BL372" s="264">
        <f>BL362</f>
        <v>6060.39068907992</v>
      </c>
      <c r="BM372" s="34" t="n"/>
      <c r="BN372" s="34" t="n"/>
      <c r="BO372" s="34" t="n"/>
      <c r="BP372" s="34" t="n"/>
      <c r="BQ372" s="264">
        <f>BQ362</f>
        <v>9106.71610195233</v>
      </c>
      <c r="BR372" s="34" t="n"/>
      <c r="BS372" s="34" t="n"/>
      <c r="BT372" s="34" t="n"/>
      <c r="BU372" s="34" t="n"/>
      <c r="BV372" s="264">
        <f>BV362</f>
        <v>12036.8515380564</v>
      </c>
      <c r="BW372" s="34" t="n"/>
      <c r="BX372" s="34" t="n"/>
      <c r="BY372" s="35" t="n"/>
      <c r="BZ372" s="35" t="n"/>
      <c r="CA372" s="254">
        <f>CA362</f>
        <v>13308.5569039315</v>
      </c>
      <c r="CB372" s="254">
        <f>CB362</f>
        <v>15731.8791670206</v>
      </c>
      <c r="CC372" s="254">
        <f>CC362</f>
        <v>18001.9108699396</v>
      </c>
      <c r="CD372" s="254">
        <f>CD362</f>
        <v>20377.5197281878</v>
      </c>
      <c r="CE372" s="254">
        <f>CE362</f>
        <v>22562.5687893318</v>
      </c>
      <c r="CF372" s="254">
        <f>CF362</f>
        <v>24783.0210704078</v>
      </c>
      <c r="CG372" s="19" t="n"/>
    </row>
    <row r="373" ht="15" customHeight="1" s="251">
      <c r="B373" s="25" t="inlineStr">
        <is>
          <t xml:space="preserve">  Total assets</t>
        </is>
      </c>
      <c r="C373" s="264">
        <f>C293</f>
        <v>608.779</v>
      </c>
      <c r="D373" s="264">
        <f>D293</f>
        <v>647.02</v>
      </c>
      <c r="E373" s="264">
        <f>E293</f>
        <v>617.946</v>
      </c>
      <c r="F373" s="264">
        <f>F293</f>
        <v>679.734</v>
      </c>
      <c r="G373" s="264">
        <f>G293</f>
        <v>982.067</v>
      </c>
      <c r="H373" s="264">
        <f>H293</f>
        <v>3069.196</v>
      </c>
      <c r="I373" s="264">
        <f>I293</f>
        <v>3967.89</v>
      </c>
      <c r="J373" s="34" t="n"/>
      <c r="K373" s="34" t="n"/>
      <c r="L373" s="34" t="n"/>
      <c r="M373" s="34" t="n"/>
      <c r="N373" s="264">
        <f>N293</f>
        <v>5412.563</v>
      </c>
      <c r="O373" s="34" t="n"/>
      <c r="P373" s="34" t="n"/>
      <c r="Q373" s="34" t="n"/>
      <c r="R373" s="34" t="n"/>
      <c r="S373" s="264">
        <f>S293</f>
        <v>7056.651</v>
      </c>
      <c r="T373" s="34" t="n"/>
      <c r="U373" s="34" t="n"/>
      <c r="V373" s="34" t="n"/>
      <c r="W373" s="34" t="n"/>
      <c r="X373" s="264">
        <f>X293</f>
        <v>10202.871</v>
      </c>
      <c r="Y373" s="34" t="n"/>
      <c r="Z373" s="34" t="n"/>
      <c r="AA373" s="34" t="n"/>
      <c r="AB373" s="34" t="n"/>
      <c r="AC373" s="264">
        <f>AC293</f>
        <v>13586.61</v>
      </c>
      <c r="AD373" s="34" t="n"/>
      <c r="AE373" s="34" t="n"/>
      <c r="AF373" s="34" t="n"/>
      <c r="AG373" s="34" t="n"/>
      <c r="AH373" s="264">
        <f>AH293</f>
        <v>19012.742</v>
      </c>
      <c r="AI373" s="34" t="n"/>
      <c r="AJ373" s="34" t="n"/>
      <c r="AK373" s="34" t="n"/>
      <c r="AL373" s="34" t="n"/>
      <c r="AM373" s="264">
        <f>AM293</f>
        <v>25974.4</v>
      </c>
      <c r="AN373" s="34" t="n"/>
      <c r="AO373" s="34" t="n"/>
      <c r="AP373" s="34" t="n"/>
      <c r="AQ373" s="34" t="n"/>
      <c r="AR373" s="264">
        <f>AR293</f>
        <v>33975.712</v>
      </c>
      <c r="AS373" s="34" t="n"/>
      <c r="AT373" s="34" t="n"/>
      <c r="AU373" s="34" t="n"/>
      <c r="AV373" s="34" t="n"/>
      <c r="AW373" s="264">
        <f>AW293</f>
        <v>39280.359</v>
      </c>
      <c r="AX373" s="34" t="n"/>
      <c r="AY373" s="34" t="n"/>
      <c r="AZ373" s="34" t="n"/>
      <c r="BA373" s="34" t="n"/>
      <c r="BB373" s="264">
        <f>BB293</f>
        <v>44584.663</v>
      </c>
      <c r="BC373" s="34" t="n"/>
      <c r="BD373" s="34" t="n"/>
      <c r="BE373" s="34" t="n"/>
      <c r="BF373" s="34" t="n"/>
      <c r="BG373" s="264">
        <f>BG293</f>
        <v>48594.768</v>
      </c>
      <c r="BH373" s="34" t="n"/>
      <c r="BI373" s="34" t="n"/>
      <c r="BJ373" s="34" t="n"/>
      <c r="BK373" s="34" t="n"/>
      <c r="BL373" s="264">
        <f>BL293</f>
        <v>48731.992</v>
      </c>
      <c r="BM373" s="34" t="n"/>
      <c r="BN373" s="34" t="n"/>
      <c r="BO373" s="34" t="n"/>
      <c r="BP373" s="34" t="n"/>
      <c r="BQ373" s="264">
        <f>BQ293</f>
        <v>53630.374</v>
      </c>
      <c r="BR373" s="34" t="n"/>
      <c r="BS373" s="34" t="n"/>
      <c r="BT373" s="34" t="n"/>
      <c r="BU373" s="34" t="n"/>
      <c r="BV373" s="264">
        <f>BV293</f>
        <v>55596.993</v>
      </c>
      <c r="BW373" s="34" t="n"/>
      <c r="BX373" s="34" t="n"/>
      <c r="BY373" s="35" t="n"/>
      <c r="BZ373" s="35" t="n"/>
      <c r="CA373" s="254">
        <f>CA293</f>
        <v>59717.0327005894</v>
      </c>
      <c r="CB373" s="254">
        <f>CB293</f>
        <v>63988.4016308263</v>
      </c>
      <c r="CC373" s="254">
        <f>CC293</f>
        <v>67962.5421212145</v>
      </c>
      <c r="CD373" s="254">
        <f>CD293</f>
        <v>71768.6938155807</v>
      </c>
      <c r="CE373" s="254">
        <f>CE293</f>
        <v>75374.040680873</v>
      </c>
      <c r="CF373" s="254">
        <f>CF293</f>
        <v>78792.9978932463</v>
      </c>
      <c r="CG373" s="19" t="n"/>
    </row>
    <row r="374" ht="15" customHeight="1" s="251">
      <c r="B374" s="25" t="inlineStr">
        <is>
          <t xml:space="preserve">  − Goodwill &amp; intangibles (inside other non-current assets; not split out — 0)</t>
        </is>
      </c>
      <c r="C374" s="264">
        <f>0</f>
        <v>0</v>
      </c>
      <c r="D374" s="264">
        <f>0</f>
        <v>0</v>
      </c>
      <c r="E374" s="264">
        <f>0</f>
        <v>0</v>
      </c>
      <c r="F374" s="264">
        <f>0</f>
        <v>0</v>
      </c>
      <c r="G374" s="264">
        <f>0</f>
        <v>0</v>
      </c>
      <c r="H374" s="264">
        <f>0</f>
        <v>0</v>
      </c>
      <c r="I374" s="264">
        <f>0</f>
        <v>0</v>
      </c>
      <c r="J374" s="34" t="n"/>
      <c r="K374" s="34" t="n"/>
      <c r="L374" s="34" t="n"/>
      <c r="M374" s="34" t="n"/>
      <c r="N374" s="264">
        <f>0</f>
        <v>0</v>
      </c>
      <c r="O374" s="34" t="n"/>
      <c r="P374" s="34" t="n"/>
      <c r="Q374" s="34" t="n"/>
      <c r="R374" s="34" t="n"/>
      <c r="S374" s="264">
        <f>0</f>
        <v>0</v>
      </c>
      <c r="T374" s="34" t="n"/>
      <c r="U374" s="34" t="n"/>
      <c r="V374" s="34" t="n"/>
      <c r="W374" s="34" t="n"/>
      <c r="X374" s="264">
        <f>0</f>
        <v>0</v>
      </c>
      <c r="Y374" s="34" t="n"/>
      <c r="Z374" s="34" t="n"/>
      <c r="AA374" s="34" t="n"/>
      <c r="AB374" s="34" t="n"/>
      <c r="AC374" s="264">
        <f>0</f>
        <v>0</v>
      </c>
      <c r="AD374" s="34" t="n"/>
      <c r="AE374" s="34" t="n"/>
      <c r="AF374" s="34" t="n"/>
      <c r="AG374" s="34" t="n"/>
      <c r="AH374" s="264">
        <f>0</f>
        <v>0</v>
      </c>
      <c r="AI374" s="34" t="n"/>
      <c r="AJ374" s="34" t="n"/>
      <c r="AK374" s="34" t="n"/>
      <c r="AL374" s="34" t="n"/>
      <c r="AM374" s="264">
        <f>0</f>
        <v>0</v>
      </c>
      <c r="AN374" s="34" t="n"/>
      <c r="AO374" s="34" t="n"/>
      <c r="AP374" s="34" t="n"/>
      <c r="AQ374" s="34" t="n"/>
      <c r="AR374" s="264">
        <f>0</f>
        <v>0</v>
      </c>
      <c r="AS374" s="34" t="n"/>
      <c r="AT374" s="34" t="n"/>
      <c r="AU374" s="34" t="n"/>
      <c r="AV374" s="34" t="n"/>
      <c r="AW374" s="264">
        <f>0</f>
        <v>0</v>
      </c>
      <c r="AX374" s="34" t="n"/>
      <c r="AY374" s="34" t="n"/>
      <c r="AZ374" s="34" t="n"/>
      <c r="BA374" s="34" t="n"/>
      <c r="BB374" s="264">
        <f>0</f>
        <v>0</v>
      </c>
      <c r="BC374" s="34" t="n"/>
      <c r="BD374" s="34" t="n"/>
      <c r="BE374" s="34" t="n"/>
      <c r="BF374" s="34" t="n"/>
      <c r="BG374" s="264">
        <f>0</f>
        <v>0</v>
      </c>
      <c r="BH374" s="34" t="n"/>
      <c r="BI374" s="34" t="n"/>
      <c r="BJ374" s="34" t="n"/>
      <c r="BK374" s="34" t="n"/>
      <c r="BL374" s="264">
        <f>0</f>
        <v>0</v>
      </c>
      <c r="BM374" s="34" t="n"/>
      <c r="BN374" s="34" t="n"/>
      <c r="BO374" s="34" t="n"/>
      <c r="BP374" s="34" t="n"/>
      <c r="BQ374" s="264">
        <f>0</f>
        <v>0</v>
      </c>
      <c r="BR374" s="34" t="n"/>
      <c r="BS374" s="34" t="n"/>
      <c r="BT374" s="34" t="n"/>
      <c r="BU374" s="34" t="n"/>
      <c r="BV374" s="264">
        <f>0</f>
        <v>0</v>
      </c>
      <c r="BW374" s="34" t="n"/>
      <c r="BX374" s="34" t="n"/>
      <c r="BY374" s="35" t="n"/>
      <c r="BZ374" s="35" t="n"/>
      <c r="CA374" s="254">
        <f>0</f>
        <v>0</v>
      </c>
      <c r="CB374" s="254">
        <f>0</f>
        <v>0</v>
      </c>
      <c r="CC374" s="254">
        <f>0</f>
        <v>0</v>
      </c>
      <c r="CD374" s="254">
        <f>0</f>
        <v>0</v>
      </c>
      <c r="CE374" s="254">
        <f>0</f>
        <v>0</v>
      </c>
      <c r="CF374" s="254">
        <f>0</f>
        <v>0</v>
      </c>
      <c r="CG374" s="19" t="n"/>
    </row>
    <row r="375" ht="15" customHeight="1" s="251">
      <c r="B375" s="25" t="inlineStr">
        <is>
          <t xml:space="preserve">  − Non-interest-bearing current liabilities (total CL excl. short-term debt)</t>
        </is>
      </c>
      <c r="C375" s="264">
        <f>IFERROR(-(C301-N(C299)),"n/a")</f>
        <v>-193.447</v>
      </c>
      <c r="D375" s="264">
        <f>IFERROR(-(D301-N(D299)),"n/a")</f>
        <v>-212.576</v>
      </c>
      <c r="E375" s="264">
        <f>IFERROR(-(E301-N(E299)),"n/a")</f>
        <v>-214.865</v>
      </c>
      <c r="F375" s="264">
        <f>IFERROR(-(F301-N(F299)),"n/a")</f>
        <v>-224.959</v>
      </c>
      <c r="G375" s="264">
        <f>IFERROR(-(G301-N(G299)),"n/a")</f>
        <v>-386.496</v>
      </c>
      <c r="H375" s="264">
        <f>IFERROR(-(H301-N(H299)),"n/a")</f>
        <v>-1225.055</v>
      </c>
      <c r="I375" s="264">
        <f>IFERROR(-(I301-N(I299)),"n/a")</f>
        <v>-1675.926</v>
      </c>
      <c r="J375" s="34" t="n"/>
      <c r="K375" s="34" t="n"/>
      <c r="L375" s="34" t="n"/>
      <c r="M375" s="34" t="n"/>
      <c r="N375" s="264">
        <f>IFERROR(-(N301-N(N299)),"n/a")</f>
        <v>-2154.203</v>
      </c>
      <c r="O375" s="34" t="n"/>
      <c r="P375" s="34" t="n"/>
      <c r="Q375" s="34" t="n"/>
      <c r="R375" s="34" t="n"/>
      <c r="S375" s="264">
        <f>IFERROR(-(S301-N(S299)),"n/a")</f>
        <v>-2663.154</v>
      </c>
      <c r="T375" s="34" t="n"/>
      <c r="U375" s="34" t="n"/>
      <c r="V375" s="34" t="n"/>
      <c r="W375" s="34" t="n"/>
      <c r="X375" s="264">
        <f>IFERROR(-(X301-N(X299)),"n/a")</f>
        <v>-3529.624</v>
      </c>
      <c r="Y375" s="34" t="n"/>
      <c r="Z375" s="34" t="n"/>
      <c r="AA375" s="34" t="n"/>
      <c r="AB375" s="34" t="n"/>
      <c r="AC375" s="264">
        <f>IFERROR(-(AC301-N(AC299)),"n/a")</f>
        <v>-4586.657</v>
      </c>
      <c r="AD375" s="34" t="n"/>
      <c r="AE375" s="34" t="n"/>
      <c r="AF375" s="34" t="n"/>
      <c r="AG375" s="34" t="n"/>
      <c r="AH375" s="264">
        <f>IFERROR(-(AH301-N(AH299)),"n/a")</f>
        <v>-5466.312</v>
      </c>
      <c r="AI375" s="34" t="n"/>
      <c r="AJ375" s="34" t="n"/>
      <c r="AK375" s="34" t="n"/>
      <c r="AL375" s="34" t="n"/>
      <c r="AM375" s="264">
        <f>IFERROR(-(AM301-N(AM299)),"n/a")</f>
        <v>-6487.32</v>
      </c>
      <c r="AN375" s="34" t="n"/>
      <c r="AO375" s="34" t="n"/>
      <c r="AP375" s="34" t="n"/>
      <c r="AQ375" s="34" t="n"/>
      <c r="AR375" s="264">
        <f>IFERROR(-(AR301-N(AR299)),"n/a")</f>
        <v>-6855.696</v>
      </c>
      <c r="AS375" s="34" t="n"/>
      <c r="AT375" s="34" t="n"/>
      <c r="AU375" s="34" t="n"/>
      <c r="AV375" s="34" t="n"/>
      <c r="AW375" s="264">
        <f>IFERROR(-(AW301-N(AW299)),"n/a")</f>
        <v>-7305.907</v>
      </c>
      <c r="AX375" s="34" t="n"/>
      <c r="AY375" s="34" t="n"/>
      <c r="AZ375" s="34" t="n"/>
      <c r="BA375" s="34" t="n"/>
      <c r="BB375" s="264">
        <f>IFERROR(-(BB301-N(BB299)),"n/a")</f>
        <v>-7789.143</v>
      </c>
      <c r="BC375" s="34" t="n"/>
      <c r="BD375" s="34" t="n"/>
      <c r="BE375" s="34" t="n"/>
      <c r="BF375" s="34" t="n"/>
      <c r="BG375" s="264">
        <f>IFERROR(-(BG301-N(BG299)),"n/a")</f>
        <v>-7930.974</v>
      </c>
      <c r="BH375" s="34" t="n"/>
      <c r="BI375" s="34" t="n"/>
      <c r="BJ375" s="34" t="n"/>
      <c r="BK375" s="34" t="n"/>
      <c r="BL375" s="264">
        <f>IFERROR(-(BL301-N(BL299)),"n/a")</f>
        <v>-8460.811</v>
      </c>
      <c r="BM375" s="34" t="n"/>
      <c r="BN375" s="34" t="n"/>
      <c r="BO375" s="34" t="n"/>
      <c r="BP375" s="34" t="n"/>
      <c r="BQ375" s="264">
        <f>IFERROR(-(BQ301-N(BQ299)),"n/a")</f>
        <v>-8970.947</v>
      </c>
      <c r="BR375" s="34" t="n"/>
      <c r="BS375" s="34" t="n"/>
      <c r="BT375" s="34" t="n"/>
      <c r="BU375" s="34" t="n"/>
      <c r="BV375" s="264">
        <f>IFERROR(-(BV301-N(BV299)),"n/a")</f>
        <v>-9982.065</v>
      </c>
      <c r="BW375" s="34" t="n"/>
      <c r="BX375" s="34" t="n"/>
      <c r="BY375" s="35" t="n"/>
      <c r="BZ375" s="35" t="n"/>
      <c r="CA375" s="254">
        <f>IFERROR(-(CA301-N(CA299)),"n/a")</f>
        <v>-10548.122</v>
      </c>
      <c r="CB375" s="254">
        <f>IFERROR(-(CB301-N(CB299)),"n/a")</f>
        <v>-11250.1229037806</v>
      </c>
      <c r="CC375" s="254">
        <f>IFERROR(-(CC301-N(CC299)),"n/a")</f>
        <v>-11953.4389312465</v>
      </c>
      <c r="CD375" s="254">
        <f>IFERROR(-(CD301-N(CD299)),"n/a")</f>
        <v>-12644.4270157733</v>
      </c>
      <c r="CE375" s="254">
        <f>IFERROR(-(CE301-N(CE299)),"n/a")</f>
        <v>-13326.4906008283</v>
      </c>
      <c r="CF375" s="254">
        <f>IFERROR(-(CF301-N(CF299)),"n/a")</f>
        <v>-13987.5805188178</v>
      </c>
      <c r="CG375" s="19" t="n"/>
    </row>
    <row r="376" ht="15" customHeight="1" s="251">
      <c r="B376" s="25" t="inlineStr">
        <is>
          <t xml:space="preserve">  = Net tangible assets</t>
        </is>
      </c>
      <c r="C376" s="264">
        <f>IFERROR(SUM(C373:C375),"n/a")</f>
        <v>415.332</v>
      </c>
      <c r="D376" s="264">
        <f>IFERROR(SUM(D373:D375),"n/a")</f>
        <v>434.444</v>
      </c>
      <c r="E376" s="264">
        <f>IFERROR(SUM(E373:E375),"n/a")</f>
        <v>403.081</v>
      </c>
      <c r="F376" s="264">
        <f>IFERROR(SUM(F373:F375),"n/a")</f>
        <v>454.775</v>
      </c>
      <c r="G376" s="264">
        <f>IFERROR(SUM(G373:G375),"n/a")</f>
        <v>595.571</v>
      </c>
      <c r="H376" s="264">
        <f>IFERROR(SUM(H373:H375),"n/a")</f>
        <v>1844.141</v>
      </c>
      <c r="I376" s="264">
        <f>IFERROR(SUM(I373:I375),"n/a")</f>
        <v>2291.964</v>
      </c>
      <c r="J376" s="34" t="n"/>
      <c r="K376" s="34" t="n"/>
      <c r="L376" s="34" t="n"/>
      <c r="M376" s="34" t="n"/>
      <c r="N376" s="264">
        <f>IFERROR(SUM(N373:N375),"n/a")</f>
        <v>3258.36</v>
      </c>
      <c r="O376" s="34" t="n"/>
      <c r="P376" s="34" t="n"/>
      <c r="Q376" s="34" t="n"/>
      <c r="R376" s="34" t="n"/>
      <c r="S376" s="264">
        <f>IFERROR(SUM(S373:S375),"n/a")</f>
        <v>4393.497</v>
      </c>
      <c r="T376" s="34" t="n"/>
      <c r="U376" s="34" t="n"/>
      <c r="V376" s="34" t="n"/>
      <c r="W376" s="34" t="n"/>
      <c r="X376" s="264">
        <f>IFERROR(SUM(X373:X375),"n/a")</f>
        <v>6673.247</v>
      </c>
      <c r="Y376" s="34" t="n"/>
      <c r="Z376" s="34" t="n"/>
      <c r="AA376" s="34" t="n"/>
      <c r="AB376" s="34" t="n"/>
      <c r="AC376" s="264">
        <f>IFERROR(SUM(AC373:AC375),"n/a")</f>
        <v>8999.953</v>
      </c>
      <c r="AD376" s="34" t="n"/>
      <c r="AE376" s="34" t="n"/>
      <c r="AF376" s="34" t="n"/>
      <c r="AG376" s="34" t="n"/>
      <c r="AH376" s="264">
        <f>IFERROR(SUM(AH373:AH375),"n/a")</f>
        <v>13546.43</v>
      </c>
      <c r="AI376" s="34" t="n"/>
      <c r="AJ376" s="34" t="n"/>
      <c r="AK376" s="34" t="n"/>
      <c r="AL376" s="34" t="n"/>
      <c r="AM376" s="264">
        <f>IFERROR(SUM(AM373:AM375),"n/a")</f>
        <v>19487.08</v>
      </c>
      <c r="AN376" s="34" t="n"/>
      <c r="AO376" s="34" t="n"/>
      <c r="AP376" s="34" t="n"/>
      <c r="AQ376" s="34" t="n"/>
      <c r="AR376" s="264">
        <f>IFERROR(SUM(AR373:AR375),"n/a")</f>
        <v>27120.016</v>
      </c>
      <c r="AS376" s="34" t="n"/>
      <c r="AT376" s="34" t="n"/>
      <c r="AU376" s="34" t="n"/>
      <c r="AV376" s="34" t="n"/>
      <c r="AW376" s="264">
        <f>IFERROR(SUM(AW373:AW375),"n/a")</f>
        <v>31974.452</v>
      </c>
      <c r="AX376" s="34" t="n"/>
      <c r="AY376" s="34" t="n"/>
      <c r="AZ376" s="34" t="n"/>
      <c r="BA376" s="34" t="n"/>
      <c r="BB376" s="264">
        <f>IFERROR(SUM(BB373:BB375),"n/a")</f>
        <v>36795.52</v>
      </c>
      <c r="BC376" s="34" t="n"/>
      <c r="BD376" s="34" t="n"/>
      <c r="BE376" s="34" t="n"/>
      <c r="BF376" s="34" t="n"/>
      <c r="BG376" s="264">
        <f>IFERROR(SUM(BG373:BG375),"n/a")</f>
        <v>40663.794</v>
      </c>
      <c r="BH376" s="34" t="n"/>
      <c r="BI376" s="34" t="n"/>
      <c r="BJ376" s="34" t="n"/>
      <c r="BK376" s="34" t="n"/>
      <c r="BL376" s="264">
        <f>IFERROR(SUM(BL373:BL375),"n/a")</f>
        <v>40271.181</v>
      </c>
      <c r="BM376" s="34" t="n"/>
      <c r="BN376" s="34" t="n"/>
      <c r="BO376" s="34" t="n"/>
      <c r="BP376" s="34" t="n"/>
      <c r="BQ376" s="264">
        <f>IFERROR(SUM(BQ373:BQ375),"n/a")</f>
        <v>44659.427</v>
      </c>
      <c r="BR376" s="34" t="n"/>
      <c r="BS376" s="34" t="n"/>
      <c r="BT376" s="34" t="n"/>
      <c r="BU376" s="34" t="n"/>
      <c r="BV376" s="264">
        <f>IFERROR(SUM(BV373:BV375),"n/a")</f>
        <v>45614.928</v>
      </c>
      <c r="BW376" s="34" t="n"/>
      <c r="BX376" s="34" t="n"/>
      <c r="BY376" s="35" t="n"/>
      <c r="BZ376" s="35" t="n"/>
      <c r="CA376" s="254">
        <f>IFERROR(SUM(CA373:CA375),"n/a")</f>
        <v>49168.9107005894</v>
      </c>
      <c r="CB376" s="254">
        <f>IFERROR(SUM(CB373:CB375),"n/a")</f>
        <v>52738.2787270457</v>
      </c>
      <c r="CC376" s="254">
        <f>IFERROR(SUM(CC373:CC375),"n/a")</f>
        <v>56009.103189968</v>
      </c>
      <c r="CD376" s="254">
        <f>IFERROR(SUM(CD373:CD375),"n/a")</f>
        <v>59124.2667998075</v>
      </c>
      <c r="CE376" s="254">
        <f>IFERROR(SUM(CE373:CE375),"n/a")</f>
        <v>62047.5500800448</v>
      </c>
      <c r="CF376" s="254">
        <f>IFERROR(SUM(CF373:CF375),"n/a")</f>
        <v>64805.4173744285</v>
      </c>
      <c r="CG376" s="19" t="n"/>
    </row>
    <row r="377" ht="15" customHeight="1" s="251">
      <c r="B377" s="55" t="inlineStr">
        <is>
          <t>RONTA = NOPAT / NTA</t>
        </is>
      </c>
      <c r="C377" s="289">
        <f>IFERROR(C372/C376,"n/a")</f>
        <v>0.100808750589889</v>
      </c>
      <c r="D377" s="289">
        <f>IFERROR(D372/D376,"n/a")</f>
        <v>0.136391917024979</v>
      </c>
      <c r="E377" s="289">
        <f>IFERROR(E372/E376,"n/a")</f>
        <v>0.195938037267944</v>
      </c>
      <c r="F377" s="289">
        <f>IFERROR(F372/F376,"n/a")</f>
        <v>0.274334231213237</v>
      </c>
      <c r="G377" s="289">
        <f>IFERROR(G372/G376,"n/a")</f>
        <v>0.309562839695015</v>
      </c>
      <c r="H377" s="289">
        <f>IFERROR(H372/H376,"n/a")</f>
        <v>0.132551795117619</v>
      </c>
      <c r="I377" s="289">
        <f>IFERROR(I372/I376,"n/a")</f>
        <v>0.014177709597533</v>
      </c>
      <c r="J377" s="56" t="n"/>
      <c r="K377" s="56" t="n"/>
      <c r="L377" s="56" t="n"/>
      <c r="M377" s="56" t="n"/>
      <c r="N377" s="289">
        <f>IFERROR(N372/N376,"n/a")</f>
        <v>0.0460458121209682</v>
      </c>
      <c r="O377" s="56" t="n"/>
      <c r="P377" s="56" t="n"/>
      <c r="Q377" s="56" t="n"/>
      <c r="R377" s="56" t="n"/>
      <c r="S377" s="289">
        <f>IFERROR(S372/S376,"n/a")</f>
        <v>0.0699866236923718</v>
      </c>
      <c r="T377" s="56" t="n"/>
      <c r="U377" s="56" t="n"/>
      <c r="V377" s="56" t="n"/>
      <c r="W377" s="56" t="n"/>
      <c r="X377" s="289">
        <f>IFERROR(X372/X376,"n/a")</f>
        <v>0.03961287861118</v>
      </c>
      <c r="Y377" s="56" t="n"/>
      <c r="Z377" s="56" t="n"/>
      <c r="AA377" s="56" t="n"/>
      <c r="AB377" s="56" t="n"/>
      <c r="AC377" s="289">
        <f>IFERROR(AC372/AC376,"n/a")</f>
        <v>0.0302399073542723</v>
      </c>
      <c r="AD377" s="56" t="n"/>
      <c r="AE377" s="56" t="n"/>
      <c r="AF377" s="56" t="n"/>
      <c r="AG377" s="56" t="n"/>
      <c r="AH377" s="289">
        <f>IFERROR(AH372/AH376,"n/a")</f>
        <v>0.0557202967866811</v>
      </c>
      <c r="AI377" s="56" t="n"/>
      <c r="AJ377" s="56" t="n"/>
      <c r="AK377" s="56" t="n"/>
      <c r="AL377" s="56" t="n"/>
      <c r="AM377" s="289">
        <f>IFERROR(AM372/AM376,"n/a")</f>
        <v>0.0741364740125252</v>
      </c>
      <c r="AN377" s="56" t="n"/>
      <c r="AO377" s="56" t="n"/>
      <c r="AP377" s="56" t="n"/>
      <c r="AQ377" s="56" t="n"/>
      <c r="AR377" s="289">
        <f>IFERROR(AR372/AR376,"n/a")</f>
        <v>0.0864243074192877</v>
      </c>
      <c r="AS377" s="56" t="n"/>
      <c r="AT377" s="56" t="n"/>
      <c r="AU377" s="56" t="n"/>
      <c r="AV377" s="56" t="n"/>
      <c r="AW377" s="289">
        <f>IFERROR(AW372/AW376,"n/a")</f>
        <v>0.123774311734431</v>
      </c>
      <c r="AX377" s="56" t="n"/>
      <c r="AY377" s="56" t="n"/>
      <c r="AZ377" s="56" t="n"/>
      <c r="BA377" s="56" t="n"/>
      <c r="BB377" s="289">
        <f>IFERROR(BB372/BB376,"n/a")</f>
        <v>0.147482783943824</v>
      </c>
      <c r="BC377" s="56" t="n"/>
      <c r="BD377" s="56" t="n"/>
      <c r="BE377" s="56" t="n"/>
      <c r="BF377" s="56" t="n"/>
      <c r="BG377" s="289">
        <f>IFERROR(BG372/BG376,"n/a")</f>
        <v>0.121354247254223</v>
      </c>
      <c r="BH377" s="56" t="n"/>
      <c r="BI377" s="56" t="n"/>
      <c r="BJ377" s="56" t="n"/>
      <c r="BK377" s="56" t="n"/>
      <c r="BL377" s="289">
        <f>IFERROR(BL372/BL376,"n/a")</f>
        <v>0.15048951976551</v>
      </c>
      <c r="BM377" s="56" t="n"/>
      <c r="BN377" s="56" t="n"/>
      <c r="BO377" s="56" t="n"/>
      <c r="BP377" s="56" t="n"/>
      <c r="BQ377" s="289">
        <f>IFERROR(BQ372/BQ376,"n/a")</f>
        <v>0.203914754704585</v>
      </c>
      <c r="BR377" s="56" t="n"/>
      <c r="BS377" s="56" t="n"/>
      <c r="BT377" s="56" t="n"/>
      <c r="BU377" s="56" t="n"/>
      <c r="BV377" s="289">
        <f>IFERROR(BV372/BV376,"n/a")</f>
        <v>0.263879656634697</v>
      </c>
      <c r="BW377" s="56" t="n"/>
      <c r="BX377" s="56" t="n"/>
      <c r="BY377" s="56" t="n"/>
      <c r="BZ377" s="56" t="n"/>
      <c r="CA377" s="289">
        <f>IFERROR(CA372/CA376,"n/a")</f>
        <v>0.270670159543966</v>
      </c>
      <c r="CB377" s="289">
        <f>IFERROR(CB372/CB376,"n/a")</f>
        <v>0.298300959886142</v>
      </c>
      <c r="CC377" s="289">
        <f>IFERROR(CC372/CC376,"n/a")</f>
        <v>0.321410446599759</v>
      </c>
      <c r="CD377" s="289">
        <f>IFERROR(CD372/CD376,"n/a")</f>
        <v>0.344655770483976</v>
      </c>
      <c r="CE377" s="289">
        <f>IFERROR(CE372/CE376,"n/a")</f>
        <v>0.363633515911987</v>
      </c>
      <c r="CF377" s="289">
        <f>IFERROR(CF372/CF376,"n/a")</f>
        <v>0.382422057823007</v>
      </c>
      <c r="CG377" s="153" t="n"/>
      <c r="CI377" s="37">
        <f>IFERROR(AVERAGE(CB377,CC377,CD377,CE377,CF377),"n/m")</f>
        <v>0.342084550140974</v>
      </c>
      <c r="CJ377" s="37">
        <f>IFERROR(AVERAGE(BB377,BG377,BL377,BQ377,BV377),"n/m")</f>
        <v>0.177424192460568</v>
      </c>
      <c r="CK377" s="37">
        <f>IFERROR(AVERAGE(AC377,AH377,AM377,AR377,AW377,BB377,BG377,BL377,BQ377,BV377),"n/m")</f>
        <v>0.125741625961004</v>
      </c>
      <c r="CL377" s="37">
        <f>IFERROR(AVERAGE(C377,D377,E377,F377,G377,H377,I377,N377,S377,X377,AC377,AH377,AM377,AR377,AW377,BB377,BG377,BL377,BQ377,BV377),"n/m")</f>
        <v>0.128841342727039</v>
      </c>
    </row>
    <row r="378" ht="15" customHeight="1" s="251">
      <c r="B378" s="25" t="inlineStr">
        <is>
          <t>Return on Equity (ROE)</t>
        </is>
      </c>
      <c r="CG378" s="153" t="n"/>
    </row>
    <row r="379" ht="15" customHeight="1" s="251">
      <c r="B379" s="25" t="inlineStr">
        <is>
          <t>Net income</t>
        </is>
      </c>
      <c r="C379" s="264">
        <f>C141</f>
        <v>49.082</v>
      </c>
      <c r="D379" s="264">
        <f>D141</f>
        <v>66.9519999999999</v>
      </c>
      <c r="E379" s="264">
        <f>E141</f>
        <v>83.026</v>
      </c>
      <c r="F379" s="264">
        <f>F141</f>
        <v>115.86</v>
      </c>
      <c r="G379" s="264">
        <f>G141</f>
        <v>160.853</v>
      </c>
      <c r="H379" s="264">
        <f>H141</f>
        <v>226.126</v>
      </c>
      <c r="I379" s="264">
        <f>I141</f>
        <v>17.1520000000002</v>
      </c>
      <c r="J379" s="34" t="n"/>
      <c r="K379" s="34" t="n"/>
      <c r="L379" s="34" t="n"/>
      <c r="M379" s="34" t="n"/>
      <c r="N379" s="264">
        <f>N141</f>
        <v>112.403</v>
      </c>
      <c r="O379" s="34" t="n"/>
      <c r="P379" s="34" t="n"/>
      <c r="Q379" s="34" t="n"/>
      <c r="R379" s="34" t="n"/>
      <c r="S379" s="264">
        <f>S141</f>
        <v>266.799</v>
      </c>
      <c r="T379" s="34" t="n"/>
      <c r="U379" s="34" t="n"/>
      <c r="V379" s="34" t="n"/>
      <c r="W379" s="34" t="n"/>
      <c r="X379" s="264">
        <f>X141</f>
        <v>122.641000000001</v>
      </c>
      <c r="Y379" s="34" t="n"/>
      <c r="Z379" s="34" t="n"/>
      <c r="AA379" s="34" t="n"/>
      <c r="AB379" s="34" t="n"/>
      <c r="AC379" s="264">
        <f>AC141</f>
        <v>186.678</v>
      </c>
      <c r="AD379" s="34" t="n"/>
      <c r="AE379" s="34" t="n"/>
      <c r="AF379" s="34" t="n"/>
      <c r="AG379" s="34" t="n"/>
      <c r="AH379" s="264">
        <f>AH141</f>
        <v>558.929</v>
      </c>
      <c r="AI379" s="34" t="n"/>
      <c r="AJ379" s="34" t="n"/>
      <c r="AK379" s="34" t="n"/>
      <c r="AL379" s="34" t="n"/>
      <c r="AM379" s="264">
        <f>AM141</f>
        <v>1211.242</v>
      </c>
      <c r="AN379" s="34" t="n"/>
      <c r="AO379" s="34" t="n"/>
      <c r="AP379" s="34" t="n"/>
      <c r="AQ379" s="34" t="n"/>
      <c r="AR379" s="264">
        <f>AR141</f>
        <v>1866.916</v>
      </c>
      <c r="AS379" s="34" t="n"/>
      <c r="AT379" s="34" t="n"/>
      <c r="AU379" s="34" t="n"/>
      <c r="AV379" s="34" t="n"/>
      <c r="AW379" s="264">
        <f>AW141</f>
        <v>2761.395</v>
      </c>
      <c r="AX379" s="34" t="n"/>
      <c r="AY379" s="34" t="n"/>
      <c r="AZ379" s="34" t="n"/>
      <c r="BA379" s="34" t="n"/>
      <c r="BB379" s="264">
        <f>BB141</f>
        <v>5116.228</v>
      </c>
      <c r="BC379" s="34" t="n"/>
      <c r="BD379" s="34" t="n"/>
      <c r="BE379" s="34" t="n"/>
      <c r="BF379" s="34" t="n"/>
      <c r="BG379" s="264">
        <f>BG141</f>
        <v>4491.924</v>
      </c>
      <c r="BH379" s="34" t="n"/>
      <c r="BI379" s="34" t="n"/>
      <c r="BJ379" s="34" t="n"/>
      <c r="BK379" s="34" t="n"/>
      <c r="BL379" s="264">
        <f>BL141</f>
        <v>5407.99</v>
      </c>
      <c r="BM379" s="34" t="n"/>
      <c r="BN379" s="34" t="n"/>
      <c r="BO379" s="34" t="n"/>
      <c r="BP379" s="34" t="n"/>
      <c r="BQ379" s="264">
        <f>BQ141</f>
        <v>8711.631</v>
      </c>
      <c r="BR379" s="34" t="n"/>
      <c r="BS379" s="34" t="n"/>
      <c r="BT379" s="34" t="n"/>
      <c r="BU379" s="34" t="n"/>
      <c r="BV379" s="264">
        <f>BV141</f>
        <v>10981.201</v>
      </c>
      <c r="BW379" s="34" t="n"/>
      <c r="BX379" s="34" t="n"/>
      <c r="BY379" s="35" t="n"/>
      <c r="BZ379" s="35" t="n"/>
      <c r="CA379" s="254">
        <f>CA141</f>
        <v>15120.713155</v>
      </c>
      <c r="CB379" s="254">
        <f>CB141</f>
        <v>15315.1314271673</v>
      </c>
      <c r="CC379" s="254">
        <f>CC141</f>
        <v>17591.8898783329</v>
      </c>
      <c r="CD379" s="254">
        <f>CD141</f>
        <v>19974.2603364452</v>
      </c>
      <c r="CE379" s="254">
        <f>CE141</f>
        <v>22165.7442990931</v>
      </c>
      <c r="CF379" s="254">
        <f>CF141</f>
        <v>24404.2717007181</v>
      </c>
      <c r="CG379" s="19" t="n"/>
    </row>
    <row r="380" ht="15" customHeight="1" s="251">
      <c r="B380" s="25" t="inlineStr">
        <is>
          <t>Stockholders' equity</t>
        </is>
      </c>
      <c r="C380" s="264">
        <f>C306</f>
        <v>414.211</v>
      </c>
      <c r="D380" s="264">
        <f>D306</f>
        <v>430.749</v>
      </c>
      <c r="E380" s="264">
        <f>E306</f>
        <v>347.155</v>
      </c>
      <c r="F380" s="264">
        <f>F306</f>
        <v>199.143</v>
      </c>
      <c r="G380" s="264">
        <f>G306</f>
        <v>290.164</v>
      </c>
      <c r="H380" s="264">
        <f>H306</f>
        <v>642.81</v>
      </c>
      <c r="I380" s="264">
        <f>I306</f>
        <v>744.673</v>
      </c>
      <c r="J380" s="34" t="n"/>
      <c r="K380" s="34" t="n"/>
      <c r="L380" s="34" t="n"/>
      <c r="M380" s="34" t="n"/>
      <c r="N380" s="264">
        <f>N306</f>
        <v>1333.561</v>
      </c>
      <c r="O380" s="34" t="n"/>
      <c r="P380" s="34" t="n"/>
      <c r="Q380" s="34" t="n"/>
      <c r="R380" s="34" t="n"/>
      <c r="S380" s="264">
        <f>S306</f>
        <v>1857.708</v>
      </c>
      <c r="T380" s="34" t="n"/>
      <c r="U380" s="34" t="n"/>
      <c r="V380" s="34" t="n"/>
      <c r="W380" s="34" t="n"/>
      <c r="X380" s="264">
        <f>X306</f>
        <v>2223.426</v>
      </c>
      <c r="Y380" s="34" t="n"/>
      <c r="Z380" s="34" t="n"/>
      <c r="AA380" s="34" t="n"/>
      <c r="AB380" s="34" t="n"/>
      <c r="AC380" s="264">
        <f>AC306</f>
        <v>2679.8</v>
      </c>
      <c r="AD380" s="34" t="n"/>
      <c r="AE380" s="34" t="n"/>
      <c r="AF380" s="34" t="n"/>
      <c r="AG380" s="34" t="n"/>
      <c r="AH380" s="264">
        <f>AH306</f>
        <v>3581.956</v>
      </c>
      <c r="AI380" s="34" t="n"/>
      <c r="AJ380" s="34" t="n"/>
      <c r="AK380" s="34" t="n"/>
      <c r="AL380" s="34" t="n"/>
      <c r="AM380" s="264">
        <f>AM306</f>
        <v>5238.765</v>
      </c>
      <c r="AN380" s="34" t="n"/>
      <c r="AO380" s="34" t="n"/>
      <c r="AP380" s="34" t="n"/>
      <c r="AQ380" s="34" t="n"/>
      <c r="AR380" s="264">
        <f>AR306</f>
        <v>7582.157</v>
      </c>
      <c r="AS380" s="34" t="n"/>
      <c r="AT380" s="34" t="n"/>
      <c r="AU380" s="34" t="n"/>
      <c r="AV380" s="34" t="n"/>
      <c r="AW380" s="264">
        <f>AW306</f>
        <v>11065.24</v>
      </c>
      <c r="AX380" s="34" t="n"/>
      <c r="AY380" s="34" t="n"/>
      <c r="AZ380" s="34" t="n"/>
      <c r="BA380" s="34" t="n"/>
      <c r="BB380" s="264">
        <f>BB306</f>
        <v>15849.248</v>
      </c>
      <c r="BC380" s="34" t="n"/>
      <c r="BD380" s="34" t="n"/>
      <c r="BE380" s="34" t="n"/>
      <c r="BF380" s="34" t="n"/>
      <c r="BG380" s="264">
        <f>BG306</f>
        <v>20777.401</v>
      </c>
      <c r="BH380" s="34" t="n"/>
      <c r="BI380" s="34" t="n"/>
      <c r="BJ380" s="34" t="n"/>
      <c r="BK380" s="34" t="n"/>
      <c r="BL380" s="264">
        <f>BL306</f>
        <v>20588.313</v>
      </c>
      <c r="BM380" s="34" t="n"/>
      <c r="BN380" s="34" t="n"/>
      <c r="BO380" s="34" t="n"/>
      <c r="BP380" s="34" t="n"/>
      <c r="BQ380" s="264">
        <f>BQ306</f>
        <v>24743.567</v>
      </c>
      <c r="BR380" s="34" t="n"/>
      <c r="BS380" s="34" t="n"/>
      <c r="BT380" s="34" t="n"/>
      <c r="BU380" s="34" t="n"/>
      <c r="BV380" s="264">
        <f>BV306</f>
        <v>26615.488</v>
      </c>
      <c r="BW380" s="34" t="n"/>
      <c r="BX380" s="34" t="n"/>
      <c r="BY380" s="35" t="n"/>
      <c r="BZ380" s="35" t="n"/>
      <c r="CA380" s="254">
        <f>CA306</f>
        <v>30521.6617005894</v>
      </c>
      <c r="CB380" s="254">
        <f>CB306</f>
        <v>34091.0297270457</v>
      </c>
      <c r="CC380" s="254">
        <f>CC306</f>
        <v>37361.854189968</v>
      </c>
      <c r="CD380" s="254">
        <f>CD306</f>
        <v>40477.0177998075</v>
      </c>
      <c r="CE380" s="254">
        <f>CE306</f>
        <v>43400.3010800448</v>
      </c>
      <c r="CF380" s="254">
        <f>CF306</f>
        <v>46158.1683744286</v>
      </c>
      <c r="CG380" s="19" t="n"/>
    </row>
    <row r="381" ht="15" customHeight="1" s="251">
      <c r="B381" s="25" t="inlineStr">
        <is>
          <t>ROE = Net income / Equity</t>
        </is>
      </c>
      <c r="C381" s="215">
        <f>IFERROR(C379/C380,"n/a")</f>
        <v>0.118495163093206</v>
      </c>
      <c r="D381" s="215">
        <f>IFERROR(D379/D380,"n/a")</f>
        <v>0.155431585447674</v>
      </c>
      <c r="E381" s="215">
        <f>IFERROR(E379/E380,"n/a")</f>
        <v>0.239161181604759</v>
      </c>
      <c r="F381" s="215">
        <f>IFERROR(F379/F380,"n/a")</f>
        <v>0.581792982931863</v>
      </c>
      <c r="G381" s="215">
        <f>IFERROR(G379/G380,"n/a")</f>
        <v>0.554352021615362</v>
      </c>
      <c r="H381" s="215">
        <f>IFERROR(H379/H380,"n/a")</f>
        <v>0.35177735256141</v>
      </c>
      <c r="I381" s="215">
        <f>IFERROR(I379/I380,"n/a")</f>
        <v>0.0230329285471612</v>
      </c>
      <c r="J381" s="34" t="n"/>
      <c r="K381" s="34" t="n"/>
      <c r="L381" s="34" t="n"/>
      <c r="M381" s="34" t="n"/>
      <c r="N381" s="215">
        <f>IFERROR(N379/N380,"n/a")</f>
        <v>0.0842878578482725</v>
      </c>
      <c r="O381" s="34" t="n"/>
      <c r="P381" s="34" t="n"/>
      <c r="Q381" s="34" t="n"/>
      <c r="R381" s="34" t="n"/>
      <c r="S381" s="215">
        <f>IFERROR(S379/S380,"n/a")</f>
        <v>0.143617296152032</v>
      </c>
      <c r="T381" s="34" t="n"/>
      <c r="U381" s="34" t="n"/>
      <c r="V381" s="34" t="n"/>
      <c r="W381" s="34" t="n"/>
      <c r="X381" s="215">
        <f>IFERROR(X379/X380,"n/a")</f>
        <v>0.055158570602305</v>
      </c>
      <c r="Y381" s="34" t="n"/>
      <c r="Z381" s="34" t="n"/>
      <c r="AA381" s="34" t="n"/>
      <c r="AB381" s="34" t="n"/>
      <c r="AC381" s="215">
        <f>IFERROR(AC379/AC380,"n/a")</f>
        <v>0.0696611687439362</v>
      </c>
      <c r="AD381" s="34" t="n"/>
      <c r="AE381" s="34" t="n"/>
      <c r="AF381" s="34" t="n"/>
      <c r="AG381" s="34" t="n"/>
      <c r="AH381" s="215">
        <f>IFERROR(AH379/AH380,"n/a")</f>
        <v>0.156040163530764</v>
      </c>
      <c r="AI381" s="34" t="n"/>
      <c r="AJ381" s="34" t="n"/>
      <c r="AK381" s="34" t="n"/>
      <c r="AL381" s="34" t="n"/>
      <c r="AM381" s="215">
        <f>IFERROR(AM379/AM380,"n/a")</f>
        <v>0.231207546053316</v>
      </c>
      <c r="AN381" s="34" t="n"/>
      <c r="AO381" s="34" t="n"/>
      <c r="AP381" s="34" t="n"/>
      <c r="AQ381" s="34" t="n"/>
      <c r="AR381" s="215">
        <f>IFERROR(AR379/AR380,"n/a")</f>
        <v>0.246224919900762</v>
      </c>
      <c r="AS381" s="34" t="n"/>
      <c r="AT381" s="34" t="n"/>
      <c r="AU381" s="34" t="n"/>
      <c r="AV381" s="34" t="n"/>
      <c r="AW381" s="215">
        <f>IFERROR(AW379/AW380,"n/a")</f>
        <v>0.249555816231731</v>
      </c>
      <c r="AX381" s="34" t="n"/>
      <c r="AY381" s="34" t="n"/>
      <c r="AZ381" s="34" t="n"/>
      <c r="BA381" s="34" t="n"/>
      <c r="BB381" s="215">
        <f>IFERROR(BB379/BB380,"n/a")</f>
        <v>0.322805725546095</v>
      </c>
      <c r="BC381" s="34" t="n"/>
      <c r="BD381" s="34" t="n"/>
      <c r="BE381" s="34" t="n"/>
      <c r="BF381" s="34" t="n"/>
      <c r="BG381" s="215">
        <f>IFERROR(BG379/BG380,"n/a")</f>
        <v>0.216192775987719</v>
      </c>
      <c r="BH381" s="34" t="n"/>
      <c r="BI381" s="34" t="n"/>
      <c r="BJ381" s="34" t="n"/>
      <c r="BK381" s="34" t="n"/>
      <c r="BL381" s="215">
        <f>IFERROR(BL379/BL380,"n/a")</f>
        <v>0.262672808597771</v>
      </c>
      <c r="BM381" s="34" t="n"/>
      <c r="BN381" s="34" t="n"/>
      <c r="BO381" s="34" t="n"/>
      <c r="BP381" s="34" t="n"/>
      <c r="BQ381" s="215">
        <f>IFERROR(BQ379/BQ380,"n/a")</f>
        <v>0.352076602375074</v>
      </c>
      <c r="BR381" s="34" t="n"/>
      <c r="BS381" s="34" t="n"/>
      <c r="BT381" s="34" t="n"/>
      <c r="BU381" s="34" t="n"/>
      <c r="BV381" s="215">
        <f>IFERROR(BV379/BV380,"n/a")</f>
        <v>0.41258687422902</v>
      </c>
      <c r="BW381" s="34" t="n"/>
      <c r="BX381" s="34" t="n"/>
      <c r="BY381" s="35" t="n"/>
      <c r="BZ381" s="35" t="n"/>
      <c r="CA381" s="256">
        <f>IFERROR(CA379/CA380,"n/a")</f>
        <v>0.495409237653271</v>
      </c>
      <c r="CB381" s="256">
        <f>IFERROR(CB379/CB380,"n/a")</f>
        <v>0.449242265481269</v>
      </c>
      <c r="CC381" s="256">
        <f>IFERROR(CC379/CC380,"n/a")</f>
        <v>0.47085162821112</v>
      </c>
      <c r="CD381" s="256">
        <f>IFERROR(CD379/CD380,"n/a")</f>
        <v>0.493471639517381</v>
      </c>
      <c r="CE381" s="256">
        <f>IFERROR(CE379/CE380,"n/a")</f>
        <v>0.510727892375954</v>
      </c>
      <c r="CF381" s="256">
        <f>IFERROR(CF379/CF380,"n/a")</f>
        <v>0.528709707515994</v>
      </c>
      <c r="CG381" s="19" t="n"/>
      <c r="CI381" s="37">
        <f>IFERROR(AVERAGE(CB381,CC381,CD381,CE381,CF381),"n/m")</f>
        <v>0.490600626620343</v>
      </c>
      <c r="CJ381" s="37">
        <f>IFERROR(AVERAGE(BB381,BG381,BL381,BQ381,BV381),"n/m")</f>
        <v>0.313266957347136</v>
      </c>
      <c r="CK381" s="37">
        <f>IFERROR(AVERAGE(AC381,AH381,AM381,AR381,AW381,BB381,BG381,BL381,BQ381,BV381),"n/m")</f>
        <v>0.251902440119619</v>
      </c>
      <c r="CL381" s="37">
        <f>IFERROR(AVERAGE(C381,D381,E381,F381,G381,H381,I381,N381,S381,X381,AC381,AH381,AM381,AR381,AW381,BB381,BG381,BL381,BQ381,BV381),"n/m")</f>
        <v>0.241306567080012</v>
      </c>
    </row>
    <row r="382" ht="15" customHeight="1" s="251">
      <c r="B382" s="25" t="inlineStr">
        <is>
          <t>Leverage</t>
        </is>
      </c>
      <c r="CG382" s="153" t="n"/>
    </row>
    <row r="383" ht="15" customHeight="1" s="251">
      <c r="B383" s="25" t="inlineStr">
        <is>
          <t>Net debt = Total debt − cash − short-term investments</t>
        </is>
      </c>
      <c r="C383" s="264">
        <f>C365</f>
        <v>-400.43</v>
      </c>
      <c r="D383" s="264">
        <f>D365</f>
        <v>-385.142</v>
      </c>
      <c r="E383" s="264">
        <f>E365</f>
        <v>-258.131</v>
      </c>
      <c r="F383" s="264">
        <f>F365</f>
        <v>-82.26</v>
      </c>
      <c r="G383" s="264">
        <f>G365</f>
        <v>-114.181</v>
      </c>
      <c r="H383" s="264">
        <f>H365</f>
        <v>-397.811</v>
      </c>
      <c r="I383" s="264">
        <f>I365</f>
        <v>-348.078</v>
      </c>
      <c r="J383" s="34" t="n"/>
      <c r="K383" s="34" t="n"/>
      <c r="L383" s="34" t="n"/>
      <c r="M383" s="34" t="n"/>
      <c r="N383" s="264">
        <f>N365</f>
        <v>-700.405</v>
      </c>
      <c r="O383" s="34" t="n"/>
      <c r="P383" s="34" t="n"/>
      <c r="Q383" s="34" t="n"/>
      <c r="R383" s="34" t="n"/>
      <c r="S383" s="264">
        <f>S365</f>
        <v>-708.496</v>
      </c>
      <c r="T383" s="34" t="n"/>
      <c r="U383" s="34" t="n"/>
      <c r="V383" s="34" t="n"/>
      <c r="W383" s="34" t="n"/>
      <c r="X383" s="264">
        <f>X365</f>
        <v>60.6470000000002</v>
      </c>
      <c r="Y383" s="34" t="n"/>
      <c r="Z383" s="34" t="n"/>
      <c r="AA383" s="34" t="n"/>
      <c r="AB383" s="34" t="n"/>
      <c r="AC383" s="264">
        <f>AC365</f>
        <v>1630.529</v>
      </c>
      <c r="AD383" s="34" t="n"/>
      <c r="AE383" s="34" t="n"/>
      <c r="AF383" s="34" t="n"/>
      <c r="AG383" s="34" t="n"/>
      <c r="AH383" s="264">
        <f>AH365</f>
        <v>3676.637</v>
      </c>
      <c r="AI383" s="34" t="n"/>
      <c r="AJ383" s="34" t="n"/>
      <c r="AK383" s="34" t="n"/>
      <c r="AL383" s="34" t="n"/>
      <c r="AM383" s="264">
        <f>AM365</f>
        <v>6565.575</v>
      </c>
      <c r="AN383" s="34" t="n"/>
      <c r="AO383" s="34" t="n"/>
      <c r="AP383" s="34" t="n"/>
      <c r="AQ383" s="34" t="n"/>
      <c r="AR383" s="264">
        <f>AR365</f>
        <v>9740.823</v>
      </c>
      <c r="AS383" s="34" t="n"/>
      <c r="AT383" s="34" t="n"/>
      <c r="AU383" s="34" t="n"/>
      <c r="AV383" s="34" t="n"/>
      <c r="AW383" s="264">
        <f>AW365</f>
        <v>8103.423</v>
      </c>
      <c r="AX383" s="34" t="n"/>
      <c r="AY383" s="34" t="n"/>
      <c r="AZ383" s="34" t="n"/>
      <c r="BA383" s="34" t="n"/>
      <c r="BB383" s="264">
        <f>BB365</f>
        <v>9365.091</v>
      </c>
      <c r="BC383" s="34" t="n"/>
      <c r="BD383" s="34" t="n"/>
      <c r="BE383" s="34" t="n"/>
      <c r="BF383" s="34" t="n"/>
      <c r="BG383" s="264">
        <f>BG365</f>
        <v>8294.624</v>
      </c>
      <c r="BH383" s="34" t="n"/>
      <c r="BI383" s="34" t="n"/>
      <c r="BJ383" s="34" t="n"/>
      <c r="BK383" s="34" t="n"/>
      <c r="BL383" s="264">
        <f>BL365</f>
        <v>7405.375</v>
      </c>
      <c r="BM383" s="34" t="n"/>
      <c r="BN383" s="34" t="n"/>
      <c r="BO383" s="34" t="n"/>
      <c r="BP383" s="34" t="n"/>
      <c r="BQ383" s="264">
        <f>BQ365</f>
        <v>5999.065</v>
      </c>
      <c r="BR383" s="34" t="n"/>
      <c r="BS383" s="34" t="n"/>
      <c r="BT383" s="34" t="n"/>
      <c r="BU383" s="34" t="n"/>
      <c r="BV383" s="264">
        <f>BV365</f>
        <v>5400.477</v>
      </c>
      <c r="BW383" s="34" t="n"/>
      <c r="BX383" s="34" t="n"/>
      <c r="BY383" s="35" t="n"/>
      <c r="BZ383" s="35" t="n"/>
      <c r="CA383" s="254">
        <f>CA365</f>
        <v>5750.84866666667</v>
      </c>
      <c r="CB383" s="254">
        <f>CB365</f>
        <v>4854.29578827511</v>
      </c>
      <c r="CC383" s="254">
        <f>CC365</f>
        <v>3956.06331386141</v>
      </c>
      <c r="CD383" s="254">
        <f>CD365</f>
        <v>3073.57533873147</v>
      </c>
      <c r="CE383" s="254">
        <f>CE365</f>
        <v>2202.48519179022</v>
      </c>
      <c r="CF383" s="254">
        <f>CF365</f>
        <v>1358.1813373975</v>
      </c>
      <c r="CG383" s="19" t="n"/>
    </row>
    <row r="384" ht="15" customHeight="1" s="251">
      <c r="B384" s="25" t="inlineStr">
        <is>
          <t>Adjusted EBITDA (company definition)</t>
        </is>
      </c>
      <c r="C384" s="264">
        <f>C175</f>
        <v>93.013</v>
      </c>
      <c r="D384" s="264">
        <f>D175</f>
        <v>124.531</v>
      </c>
      <c r="E384" s="264">
        <f>E175</f>
        <v>166.224</v>
      </c>
      <c r="F384" s="264">
        <f>F175</f>
        <v>242.601</v>
      </c>
      <c r="G384" s="264">
        <f>G175</f>
        <v>349.736</v>
      </c>
      <c r="H384" s="264">
        <f>H175</f>
        <v>481.397</v>
      </c>
      <c r="I384" s="264">
        <f>I175</f>
        <v>169.409</v>
      </c>
      <c r="J384" s="34" t="n"/>
      <c r="K384" s="34" t="n"/>
      <c r="L384" s="34" t="n"/>
      <c r="M384" s="34" t="n"/>
      <c r="N384" s="264">
        <f>N175</f>
        <v>349.821</v>
      </c>
      <c r="O384" s="34" t="n"/>
      <c r="P384" s="34" t="n"/>
      <c r="Q384" s="34" t="n"/>
      <c r="R384" s="34" t="n"/>
      <c r="S384" s="264">
        <f>S175</f>
        <v>571.915</v>
      </c>
      <c r="T384" s="34" t="n"/>
      <c r="U384" s="34" t="n"/>
      <c r="V384" s="34" t="n"/>
      <c r="W384" s="34" t="n"/>
      <c r="X384" s="264">
        <f>X175</f>
        <v>492.834000000001</v>
      </c>
      <c r="Y384" s="34" t="n"/>
      <c r="Z384" s="34" t="n"/>
      <c r="AA384" s="34" t="n"/>
      <c r="AB384" s="34" t="n"/>
      <c r="AC384" s="264">
        <f>AC175</f>
        <v>610.996</v>
      </c>
      <c r="AD384" s="34" t="n"/>
      <c r="AE384" s="34" t="n"/>
      <c r="AF384" s="34" t="n"/>
      <c r="AG384" s="34" t="n"/>
      <c r="AH384" s="264">
        <f>AH175</f>
        <v>1092.799</v>
      </c>
      <c r="AI384" s="34" t="n"/>
      <c r="AJ384" s="34" t="n"/>
      <c r="AK384" s="34" t="n"/>
      <c r="AL384" s="34" t="n"/>
      <c r="AM384" s="264">
        <f>AM175</f>
        <v>2009.04</v>
      </c>
      <c r="AN384" s="34" t="n"/>
      <c r="AO384" s="34" t="n"/>
      <c r="AP384" s="34" t="n"/>
      <c r="AQ384" s="34" t="n"/>
      <c r="AR384" s="264">
        <f>AR175</f>
        <v>3113.209</v>
      </c>
      <c r="AS384" s="34" t="n"/>
      <c r="AT384" s="34" t="n"/>
      <c r="AU384" s="34" t="n"/>
      <c r="AV384" s="34" t="n"/>
      <c r="AW384" s="264">
        <f>AW175</f>
        <v>5116.179</v>
      </c>
      <c r="AX384" s="34" t="n"/>
      <c r="AY384" s="34" t="n"/>
      <c r="AZ384" s="34" t="n"/>
      <c r="BA384" s="34" t="n"/>
      <c r="BB384" s="264">
        <f>BB175</f>
        <v>6806.141</v>
      </c>
      <c r="BC384" s="34" t="n"/>
      <c r="BD384" s="34" t="n"/>
      <c r="BE384" s="34" t="n"/>
      <c r="BF384" s="34" t="n"/>
      <c r="BG384" s="264">
        <f>BG175</f>
        <v>6544.965</v>
      </c>
      <c r="BH384" s="34" t="n"/>
      <c r="BI384" s="34" t="n"/>
      <c r="BJ384" s="34" t="n"/>
      <c r="BK384" s="34" t="n"/>
      <c r="BL384" s="264">
        <f>BL175</f>
        <v>7650.318</v>
      </c>
      <c r="BM384" s="34" t="n"/>
      <c r="BN384" s="34" t="n"/>
      <c r="BO384" s="34" t="n"/>
      <c r="BP384" s="34" t="n"/>
      <c r="BQ384" s="264">
        <f>BQ175</f>
        <v>11019.116</v>
      </c>
      <c r="BR384" s="34" t="n"/>
      <c r="BS384" s="34" t="n"/>
      <c r="BT384" s="34" t="n"/>
      <c r="BU384" s="34" t="n"/>
      <c r="BV384" s="264">
        <f>BV175</f>
        <v>14028.441</v>
      </c>
      <c r="BW384" s="34" t="n"/>
      <c r="BX384" s="34" t="n"/>
      <c r="BY384" s="35" t="n"/>
      <c r="BZ384" s="35" t="n"/>
      <c r="CA384" s="254">
        <f>CA175</f>
        <v>17197.6922355257</v>
      </c>
      <c r="CB384" s="254">
        <f>CB175</f>
        <v>20029.0783137037</v>
      </c>
      <c r="CC384" s="254">
        <f>CC175</f>
        <v>22866.4547711109</v>
      </c>
      <c r="CD384" s="254">
        <f>CD175</f>
        <v>25829.2377475627</v>
      </c>
      <c r="CE384" s="254">
        <f>CE175</f>
        <v>28561.1312546079</v>
      </c>
      <c r="CF384" s="254">
        <f>CF175</f>
        <v>31332.6256061485</v>
      </c>
      <c r="CG384" s="19" t="n"/>
    </row>
    <row r="385" ht="15" customHeight="1" s="251">
      <c r="B385" s="55" t="inlineStr">
        <is>
          <t>Net debt / adjusted EBITDA (x)</t>
        </is>
      </c>
      <c r="C385" s="290">
        <f>IFERROR(C383/C384,"n/a")</f>
        <v>-4.30509713695935</v>
      </c>
      <c r="D385" s="290">
        <f>IFERROR(D383/D384,"n/a")</f>
        <v>-3.09273996033116</v>
      </c>
      <c r="E385" s="290">
        <f>IFERROR(E383/E384,"n/a")</f>
        <v>-1.55291053036866</v>
      </c>
      <c r="F385" s="290">
        <f>IFERROR(F383/F384,"n/a")</f>
        <v>-0.339075271742491</v>
      </c>
      <c r="G385" s="290">
        <f>IFERROR(G383/G384,"n/a")</f>
        <v>-0.326477686026031</v>
      </c>
      <c r="H385" s="290">
        <f>IFERROR(H383/H384,"n/a")</f>
        <v>-0.826367841926725</v>
      </c>
      <c r="I385" s="290">
        <f>IFERROR(I383/I384,"n/a")</f>
        <v>-2.05466061425308</v>
      </c>
      <c r="J385" s="56" t="n"/>
      <c r="K385" s="56" t="n"/>
      <c r="L385" s="56" t="n"/>
      <c r="M385" s="56" t="n"/>
      <c r="N385" s="290">
        <f>IFERROR(N383/N384,"n/a")</f>
        <v>-2.00218111548478</v>
      </c>
      <c r="O385" s="56" t="n"/>
      <c r="P385" s="56" t="n"/>
      <c r="Q385" s="56" t="n"/>
      <c r="R385" s="56" t="n"/>
      <c r="S385" s="290">
        <f>IFERROR(S383/S384,"n/a")</f>
        <v>-1.23881346004214</v>
      </c>
      <c r="T385" s="56" t="n"/>
      <c r="U385" s="56" t="n"/>
      <c r="V385" s="56" t="n"/>
      <c r="W385" s="56" t="n"/>
      <c r="X385" s="290">
        <f>IFERROR(X383/X384,"n/a")</f>
        <v>0.123057662417772</v>
      </c>
      <c r="Y385" s="56" t="n"/>
      <c r="Z385" s="56" t="n"/>
      <c r="AA385" s="56" t="n"/>
      <c r="AB385" s="56" t="n"/>
      <c r="AC385" s="290">
        <f>IFERROR(AC383/AC384,"n/a")</f>
        <v>2.66864103856654</v>
      </c>
      <c r="AD385" s="56" t="n"/>
      <c r="AE385" s="56" t="n"/>
      <c r="AF385" s="56" t="n"/>
      <c r="AG385" s="56" t="n"/>
      <c r="AH385" s="290">
        <f>IFERROR(AH383/AH384,"n/a")</f>
        <v>3.36442200258236</v>
      </c>
      <c r="AI385" s="56" t="n"/>
      <c r="AJ385" s="56" t="n"/>
      <c r="AK385" s="56" t="n"/>
      <c r="AL385" s="56" t="n"/>
      <c r="AM385" s="290">
        <f>IFERROR(AM383/AM384,"n/a")</f>
        <v>3.26801606737546</v>
      </c>
      <c r="AN385" s="56" t="n"/>
      <c r="AO385" s="56" t="n"/>
      <c r="AP385" s="56" t="n"/>
      <c r="AQ385" s="56" t="n"/>
      <c r="AR385" s="290">
        <f>IFERROR(AR383/AR384,"n/a")</f>
        <v>3.12886895804297</v>
      </c>
      <c r="AS385" s="56" t="n"/>
      <c r="AT385" s="56" t="n"/>
      <c r="AU385" s="56" t="n"/>
      <c r="AV385" s="56" t="n"/>
      <c r="AW385" s="290">
        <f>IFERROR(AW383/AW384,"n/a")</f>
        <v>1.58388183837977</v>
      </c>
      <c r="AX385" s="56" t="n"/>
      <c r="AY385" s="56" t="n"/>
      <c r="AZ385" s="56" t="n"/>
      <c r="BA385" s="56" t="n"/>
      <c r="BB385" s="290">
        <f>IFERROR(BB383/BB384,"n/a")</f>
        <v>1.37597663639352</v>
      </c>
      <c r="BC385" s="56" t="n"/>
      <c r="BD385" s="56" t="n"/>
      <c r="BE385" s="56" t="n"/>
      <c r="BF385" s="56" t="n"/>
      <c r="BG385" s="290">
        <f>IFERROR(BG383/BG384,"n/a")</f>
        <v>1.26732900787094</v>
      </c>
      <c r="BH385" s="56" t="n"/>
      <c r="BI385" s="56" t="n"/>
      <c r="BJ385" s="56" t="n"/>
      <c r="BK385" s="56" t="n"/>
      <c r="BL385" s="290">
        <f>IFERROR(BL383/BL384,"n/a")</f>
        <v>0.967982638107331</v>
      </c>
      <c r="BM385" s="56" t="n"/>
      <c r="BN385" s="56" t="n"/>
      <c r="BO385" s="56" t="n"/>
      <c r="BP385" s="56" t="n"/>
      <c r="BQ385" s="290">
        <f>IFERROR(BQ383/BQ384,"n/a")</f>
        <v>0.544423436507974</v>
      </c>
      <c r="BR385" s="56" t="n"/>
      <c r="BS385" s="56" t="n"/>
      <c r="BT385" s="56" t="n"/>
      <c r="BU385" s="56" t="n"/>
      <c r="BV385" s="290">
        <f>IFERROR(BV383/BV384,"n/a")</f>
        <v>0.38496629810825</v>
      </c>
      <c r="BW385" s="56" t="n"/>
      <c r="BX385" s="56" t="n"/>
      <c r="BY385" s="56" t="n"/>
      <c r="BZ385" s="56" t="n"/>
      <c r="CA385" s="290">
        <f>IFERROR(CA383/CA384,"n/a")</f>
        <v>0.334396533436446</v>
      </c>
      <c r="CB385" s="290">
        <f>IFERROR(CB383/CB384,"n/a")</f>
        <v>0.242362414897237</v>
      </c>
      <c r="CC385" s="290">
        <f>IFERROR(CC383/CC384,"n/a")</f>
        <v>0.173007287463706</v>
      </c>
      <c r="CD385" s="290">
        <f>IFERROR(CD383/CD384,"n/a")</f>
        <v>0.118995975365998</v>
      </c>
      <c r="CE385" s="290">
        <f>IFERROR(CE383/CE384,"n/a")</f>
        <v>0.0771147743468628</v>
      </c>
      <c r="CF385" s="290">
        <f>IFERROR(CF383/CF384,"n/a")</f>
        <v>0.0433471919803294</v>
      </c>
      <c r="CG385" s="153" t="n"/>
      <c r="CI385" s="37">
        <f>IFERROR(AVERAGE(CB385,CC385,CD385,CE385,CF385),"n/m")</f>
        <v>0.130965528810827</v>
      </c>
      <c r="CJ385" s="37">
        <f>IFERROR(AVERAGE(BB385,BG385,BL385,BQ385,BV385),"n/m")</f>
        <v>0.908135603397601</v>
      </c>
      <c r="CK385" s="37">
        <f>IFERROR(AVERAGE(AC385,AH385,AM385,AR385,AW385,BB385,BG385,BL385,BQ385,BV385),"n/m")</f>
        <v>1.85545079219351</v>
      </c>
      <c r="CL385" s="37">
        <f>IFERROR(AVERAGE(C385,D385,E385,F385,G385,H385,I385,N385,S385,X385,AC385,AH385,AM385,AR385,AW385,BB385,BG385,BL385,BQ385,BV385),"n/m")</f>
        <v>0.146962098360923</v>
      </c>
    </row>
    <row r="386" ht="15" customHeight="1" s="251">
      <c r="B386" s="25" t="inlineStr">
        <is>
          <t>Gross debt / adjusted EBITDA (x)</t>
        </is>
      </c>
      <c r="C386" s="286">
        <f>IFERROR(C334/C175,"n/a")</f>
        <v>0</v>
      </c>
      <c r="D386" s="286">
        <f>IFERROR(D334/D175,"n/a")</f>
        <v>0</v>
      </c>
      <c r="E386" s="286">
        <f>IFERROR(E334/E175,"n/a")</f>
        <v>0.23546539609202</v>
      </c>
      <c r="F386" s="286">
        <f>IFERROR(F334/F175,"n/a")</f>
        <v>0.98096050717021</v>
      </c>
      <c r="G386" s="286">
        <f>IFERROR(G334/G175,"n/a")</f>
        <v>0.675383718004438</v>
      </c>
      <c r="H386" s="286">
        <f>IFERROR(H334/H175,"n/a")</f>
        <v>0.830915024397742</v>
      </c>
      <c r="I386" s="286">
        <f>IFERROR(I334/I175,"n/a")</f>
        <v>2.36114964376154</v>
      </c>
      <c r="J386" s="34" t="n"/>
      <c r="K386" s="34" t="n"/>
      <c r="L386" s="34" t="n"/>
      <c r="M386" s="34" t="n"/>
      <c r="N386" s="286">
        <f>IFERROR(N334/N175,"n/a")</f>
        <v>1.4293024146635</v>
      </c>
      <c r="O386" s="34" t="n"/>
      <c r="P386" s="34" t="n"/>
      <c r="Q386" s="34" t="n"/>
      <c r="R386" s="34" t="n"/>
      <c r="S386" s="286">
        <f>IFERROR(S334/S175,"n/a")</f>
        <v>1.57366042156614</v>
      </c>
      <c r="T386" s="34" t="n"/>
      <c r="U386" s="34" t="n"/>
      <c r="V386" s="34" t="n"/>
      <c r="W386" s="34" t="n"/>
      <c r="X386" s="286">
        <f>IFERROR(X334/X175,"n/a")</f>
        <v>4.81168507042939</v>
      </c>
      <c r="Y386" s="34" t="n"/>
      <c r="Z386" s="34" t="n"/>
      <c r="AA386" s="34" t="n"/>
      <c r="AB386" s="34" t="n"/>
      <c r="AC386" s="286">
        <f>IFERROR(AC334/AC175,"n/a")</f>
        <v>5.50627336349174</v>
      </c>
      <c r="AD386" s="34" t="n"/>
      <c r="AE386" s="34" t="n"/>
      <c r="AF386" s="34" t="n"/>
      <c r="AG386" s="34" t="n"/>
      <c r="AH386" s="286">
        <f>IFERROR(AH334/AH175,"n/a")</f>
        <v>5.94750910277187</v>
      </c>
      <c r="AI386" s="34" t="n"/>
      <c r="AJ386" s="34" t="n"/>
      <c r="AK386" s="34" t="n"/>
      <c r="AL386" s="34" t="n"/>
      <c r="AM386" s="286">
        <f>IFERROR(AM334/AM175,"n/a")</f>
        <v>5.15672062278501</v>
      </c>
      <c r="AN386" s="34" t="n"/>
      <c r="AO386" s="34" t="n"/>
      <c r="AP386" s="34" t="n"/>
      <c r="AQ386" s="34" t="n"/>
      <c r="AR386" s="286">
        <f>IFERROR(AR334/AR175,"n/a")</f>
        <v>4.74085099972408</v>
      </c>
      <c r="AS386" s="34" t="n"/>
      <c r="AT386" s="34" t="n"/>
      <c r="AU386" s="34" t="n"/>
      <c r="AV386" s="34" t="n"/>
      <c r="AW386" s="286">
        <f>IFERROR(AW334/AW175,"n/a")</f>
        <v>3.18772525355348</v>
      </c>
      <c r="AX386" s="34" t="n"/>
      <c r="AY386" s="34" t="n"/>
      <c r="AZ386" s="34" t="n"/>
      <c r="BA386" s="34" t="n"/>
      <c r="BB386" s="286">
        <f>IFERROR(BB334/BB175,"n/a")</f>
        <v>2.26161858827197</v>
      </c>
      <c r="BC386" s="34" t="n"/>
      <c r="BD386" s="34" t="n"/>
      <c r="BE386" s="34" t="n"/>
      <c r="BF386" s="34" t="n"/>
      <c r="BG386" s="286">
        <f>IFERROR(BG334/BG175,"n/a")</f>
        <v>2.19299507331208</v>
      </c>
      <c r="BH386" s="34" t="n"/>
      <c r="BI386" s="34" t="n"/>
      <c r="BJ386" s="34" t="n"/>
      <c r="BK386" s="34" t="n"/>
      <c r="BL386" s="286">
        <f>IFERROR(BL334/BL175,"n/a")</f>
        <v>1.90100084728504</v>
      </c>
      <c r="BM386" s="34" t="n"/>
      <c r="BN386" s="34" t="n"/>
      <c r="BO386" s="34" t="n"/>
      <c r="BP386" s="34" t="n"/>
      <c r="BQ386" s="286">
        <f>IFERROR(BQ334/BQ175,"n/a")</f>
        <v>1.41416099077276</v>
      </c>
      <c r="BR386" s="34" t="n"/>
      <c r="BS386" s="34" t="n"/>
      <c r="BT386" s="34" t="n"/>
      <c r="BU386" s="34" t="n"/>
      <c r="BV386" s="286">
        <f>IFERROR(BV334/BV175,"n/a")</f>
        <v>1.03096530826198</v>
      </c>
      <c r="BW386" s="34" t="n"/>
      <c r="BX386" s="34" t="n"/>
      <c r="BY386" s="35" t="n"/>
      <c r="BZ386" s="35" t="n"/>
      <c r="CA386" s="287">
        <f>IFERROR(CA334/CA175,"n/a")</f>
        <v>0.832048033191393</v>
      </c>
      <c r="CB386" s="287">
        <f>IFERROR(CB334/CB175,"n/a")</f>
        <v>0.714426583983634</v>
      </c>
      <c r="CC386" s="287">
        <f>IFERROR(CC334/CC175,"n/a")</f>
        <v>0.625777198224806</v>
      </c>
      <c r="CD386" s="287">
        <f>IFERROR(CD334/CD175,"n/a")</f>
        <v>0.553996449289343</v>
      </c>
      <c r="CE386" s="287">
        <f>IFERROR(CE334/CE175,"n/a")</f>
        <v>0.501006275712255</v>
      </c>
      <c r="CF386" s="287">
        <f>IFERROR(CF334/CF175,"n/a")</f>
        <v>0.456690294004345</v>
      </c>
      <c r="CG386" s="19" t="n"/>
    </row>
    <row r="387" ht="15" customHeight="1" s="251">
      <c r="CO387" s="11" t="n"/>
      <c r="CP387" s="12" t="n"/>
      <c r="CQ387" s="12" t="n"/>
      <c r="CR387" s="12" t="n"/>
      <c r="CS387" s="13" t="n"/>
    </row>
    <row r="388" ht="15" customHeight="1" s="251">
      <c r="B388" s="10" t="inlineStr">
        <is>
          <t>VALUATION</t>
        </is>
      </c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0" t="n"/>
      <c r="AL388" s="10" t="n"/>
      <c r="AM388" s="10" t="n"/>
      <c r="AN388" s="10" t="n"/>
      <c r="AO388" s="10" t="n"/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0" t="n"/>
      <c r="BC388" s="10" t="n"/>
      <c r="BD388" s="10" t="n"/>
      <c r="BE388" s="10" t="n"/>
      <c r="BF388" s="10" t="n"/>
      <c r="BG388" s="10" t="n"/>
      <c r="BH388" s="10" t="n"/>
      <c r="BI388" s="10" t="n"/>
      <c r="BJ388" s="10" t="n"/>
      <c r="BK388" s="10" t="n"/>
      <c r="BL388" s="10" t="n"/>
      <c r="BM388" s="10" t="n"/>
      <c r="BN388" s="10" t="n"/>
      <c r="BO388" s="10" t="n"/>
      <c r="BP388" s="10" t="n"/>
      <c r="BQ388" s="10" t="n"/>
      <c r="BR388" s="10" t="n"/>
      <c r="BS388" s="10" t="n"/>
      <c r="BT388" s="10" t="n"/>
      <c r="BU388" s="10" t="n"/>
      <c r="BV388" s="10" t="n"/>
      <c r="BW388" s="10" t="n"/>
      <c r="BX388" s="10" t="n"/>
      <c r="BY388" s="10" t="n"/>
      <c r="BZ388" s="10" t="n"/>
      <c r="CA388" s="10" t="n"/>
      <c r="CB388" s="10" t="n"/>
      <c r="CC388" s="10" t="n"/>
      <c r="CD388" s="10" t="n"/>
      <c r="CE388" s="10" t="n"/>
      <c r="CF388" s="10" t="n"/>
      <c r="CG388" s="10" t="inlineStr">
        <is>
          <t>VALUATION — share price input $70.00 (provided by the user, 13-Oct-2026); update to market</t>
        </is>
      </c>
    </row>
    <row r="389" ht="15" customHeight="1" s="251">
      <c r="B389" s="69" t="inlineStr">
        <is>
          <t>Share price ($) — current</t>
        </is>
      </c>
      <c r="C389" s="44" t="n"/>
      <c r="D389" s="44" t="n"/>
      <c r="E389" s="44" t="n"/>
      <c r="F389" s="44" t="n"/>
      <c r="G389" s="44" t="n"/>
      <c r="H389" s="44" t="n"/>
      <c r="I389" s="44" t="n"/>
      <c r="J389" s="44" t="n"/>
      <c r="K389" s="44" t="n"/>
      <c r="L389" s="44" t="n"/>
      <c r="M389" s="44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44" t="n"/>
      <c r="X389" s="44" t="n"/>
      <c r="Y389" s="44" t="n"/>
      <c r="Z389" s="44" t="n"/>
      <c r="AA389" s="44" t="n"/>
      <c r="AB389" s="44" t="n"/>
      <c r="AC389" s="44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  <c r="AQ389" s="44" t="n"/>
      <c r="AR389" s="44" t="n"/>
      <c r="AS389" s="44" t="n"/>
      <c r="AT389" s="44" t="n"/>
      <c r="AU389" s="44" t="n"/>
      <c r="AV389" s="44" t="n"/>
      <c r="AW389" s="44" t="n"/>
      <c r="AX389" s="44" t="n"/>
      <c r="AY389" s="44" t="n"/>
      <c r="AZ389" s="44" t="n"/>
      <c r="BA389" s="44" t="n"/>
      <c r="BB389" s="44" t="n"/>
      <c r="BC389" s="44" t="n"/>
      <c r="BD389" s="44" t="n"/>
      <c r="BE389" s="44" t="n"/>
      <c r="BF389" s="44" t="n"/>
      <c r="BG389" s="44" t="n"/>
      <c r="BH389" s="44" t="n"/>
      <c r="BI389" s="44" t="n"/>
      <c r="BJ389" s="44" t="n"/>
      <c r="BK389" s="44" t="n"/>
      <c r="BL389" s="44" t="n"/>
      <c r="BM389" s="44" t="n"/>
      <c r="BN389" s="44" t="n"/>
      <c r="BO389" s="44" t="n"/>
      <c r="BP389" s="44" t="n"/>
      <c r="BQ389" s="44" t="n"/>
      <c r="BR389" s="44" t="n"/>
      <c r="BS389" s="44" t="n"/>
      <c r="BT389" s="44" t="n"/>
      <c r="BU389" s="44" t="n"/>
      <c r="BV389" s="44" t="n"/>
      <c r="BW389" s="44" t="n"/>
      <c r="BX389" s="44" t="n"/>
      <c r="BY389" s="153" t="n"/>
      <c r="BZ389" s="153" t="n"/>
      <c r="CA389" s="288" t="n">
        <v>70</v>
      </c>
      <c r="CB389" s="266">
        <f>CA389</f>
        <v>70</v>
      </c>
      <c r="CC389" s="266">
        <f>CB389</f>
        <v>70</v>
      </c>
      <c r="CD389" s="266">
        <f>CC389</f>
        <v>70</v>
      </c>
      <c r="CE389" s="266">
        <f>CD389</f>
        <v>70</v>
      </c>
      <c r="CF389" s="266">
        <f>CE389</f>
        <v>70</v>
      </c>
      <c r="CG389" s="19" t="n"/>
    </row>
    <row r="390" ht="15" customHeight="1" s="251">
      <c r="B390" s="25" t="inlineStr">
        <is>
          <t>Diluted shares at period end (m)</t>
        </is>
      </c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  <c r="AA390" s="34" t="n"/>
      <c r="AB390" s="34" t="n"/>
      <c r="AC390" s="34" t="n"/>
      <c r="AD390" s="34" t="n"/>
      <c r="AE390" s="34" t="n"/>
      <c r="AF390" s="34" t="n"/>
      <c r="AG390" s="34" t="n"/>
      <c r="AH390" s="34" t="n"/>
      <c r="AI390" s="34" t="n"/>
      <c r="AJ390" s="34" t="n"/>
      <c r="AK390" s="34" t="n"/>
      <c r="AL390" s="34" t="n"/>
      <c r="AM390" s="34" t="n"/>
      <c r="AN390" s="34" t="n"/>
      <c r="AO390" s="34" t="n"/>
      <c r="AP390" s="34" t="n"/>
      <c r="AQ390" s="34" t="n"/>
      <c r="AR390" s="34" t="n"/>
      <c r="AS390" s="34" t="n"/>
      <c r="AT390" s="34" t="n"/>
      <c r="AU390" s="34" t="n"/>
      <c r="AV390" s="34" t="n"/>
      <c r="AW390" s="34" t="n"/>
      <c r="AX390" s="34" t="n"/>
      <c r="AY390" s="34" t="n"/>
      <c r="AZ390" s="34" t="n"/>
      <c r="BA390" s="34" t="n"/>
      <c r="BB390" s="34" t="n"/>
      <c r="BC390" s="34" t="n"/>
      <c r="BD390" s="34" t="n"/>
      <c r="BE390" s="34" t="n"/>
      <c r="BF390" s="34" t="n"/>
      <c r="BG390" s="34" t="n"/>
      <c r="BH390" s="34" t="n"/>
      <c r="BI390" s="34" t="n"/>
      <c r="BJ390" s="34" t="n"/>
      <c r="BK390" s="34" t="n"/>
      <c r="BL390" s="34" t="n"/>
      <c r="BM390" s="34" t="n"/>
      <c r="BN390" s="34" t="n"/>
      <c r="BO390" s="34" t="n"/>
      <c r="BP390" s="34" t="n"/>
      <c r="BQ390" s="34" t="n"/>
      <c r="BR390" s="34" t="n"/>
      <c r="BS390" s="34" t="n"/>
      <c r="BT390" s="34" t="n"/>
      <c r="BU390" s="34" t="n"/>
      <c r="BV390" s="34" t="n"/>
      <c r="BW390" s="34" t="n"/>
      <c r="BX390" s="34" t="n"/>
      <c r="BY390" s="35" t="n"/>
      <c r="BZ390" s="35" t="n"/>
      <c r="CA390" s="254">
        <f>CA279+(BX148-BX147)</f>
        <v>4144.36225219048</v>
      </c>
      <c r="CB390" s="254">
        <f>CB279+N(CB331)</f>
        <v>3982.45869278988</v>
      </c>
      <c r="CC390" s="254">
        <f>CC279+N(CC331)</f>
        <v>3800.64797790776</v>
      </c>
      <c r="CD390" s="254">
        <f>CD279+N(CD331)</f>
        <v>3603.23213358042</v>
      </c>
      <c r="CE390" s="254">
        <f>CE279+N(CE331)</f>
        <v>3395.18002401075</v>
      </c>
      <c r="CF390" s="254">
        <f>CF279+N(CF331)</f>
        <v>3178.99514745517</v>
      </c>
      <c r="CG390" s="19" t="n"/>
    </row>
    <row r="391" ht="15" customHeight="1" s="251">
      <c r="B391" s="25" t="inlineStr">
        <is>
          <t>Market capitalisation (USDm)</t>
        </is>
      </c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  <c r="AA391" s="34" t="n"/>
      <c r="AB391" s="34" t="n"/>
      <c r="AC391" s="34" t="n"/>
      <c r="AD391" s="34" t="n"/>
      <c r="AE391" s="34" t="n"/>
      <c r="AF391" s="34" t="n"/>
      <c r="AG391" s="34" t="n"/>
      <c r="AH391" s="34" t="n"/>
      <c r="AI391" s="34" t="n"/>
      <c r="AJ391" s="34" t="n"/>
      <c r="AK391" s="34" t="n"/>
      <c r="AL391" s="34" t="n"/>
      <c r="AM391" s="34" t="n"/>
      <c r="AN391" s="34" t="n"/>
      <c r="AO391" s="34" t="n"/>
      <c r="AP391" s="34" t="n"/>
      <c r="AQ391" s="34" t="n"/>
      <c r="AR391" s="34" t="n"/>
      <c r="AS391" s="34" t="n"/>
      <c r="AT391" s="34" t="n"/>
      <c r="AU391" s="34" t="n"/>
      <c r="AV391" s="34" t="n"/>
      <c r="AW391" s="34" t="n"/>
      <c r="AX391" s="34" t="n"/>
      <c r="AY391" s="34" t="n"/>
      <c r="AZ391" s="34" t="n"/>
      <c r="BA391" s="34" t="n"/>
      <c r="BB391" s="34" t="n"/>
      <c r="BC391" s="34" t="n"/>
      <c r="BD391" s="34" t="n"/>
      <c r="BE391" s="34" t="n"/>
      <c r="BF391" s="34" t="n"/>
      <c r="BG391" s="34" t="n"/>
      <c r="BH391" s="34" t="n"/>
      <c r="BI391" s="34" t="n"/>
      <c r="BJ391" s="34" t="n"/>
      <c r="BK391" s="34" t="n"/>
      <c r="BL391" s="34" t="n"/>
      <c r="BM391" s="34" t="n"/>
      <c r="BN391" s="34" t="n"/>
      <c r="BO391" s="34" t="n"/>
      <c r="BP391" s="34" t="n"/>
      <c r="BQ391" s="34" t="n"/>
      <c r="BR391" s="34" t="n"/>
      <c r="BS391" s="34" t="n"/>
      <c r="BT391" s="34" t="n"/>
      <c r="BU391" s="34" t="n"/>
      <c r="BV391" s="34" t="n"/>
      <c r="BW391" s="34" t="n"/>
      <c r="BX391" s="34" t="n"/>
      <c r="BY391" s="35" t="n"/>
      <c r="BZ391" s="35" t="n"/>
      <c r="CA391" s="268">
        <f>IFERROR(CA389*CA390,"n/a")</f>
        <v>290105.357653333</v>
      </c>
      <c r="CB391" s="268">
        <f>IFERROR(CB389*CB390,"n/a")</f>
        <v>278772.108495292</v>
      </c>
      <c r="CC391" s="268">
        <f>IFERROR(CC389*CC390,"n/a")</f>
        <v>266045.358453543</v>
      </c>
      <c r="CD391" s="268">
        <f>IFERROR(CD389*CD390,"n/a")</f>
        <v>252226.24935063</v>
      </c>
      <c r="CE391" s="268">
        <f>IFERROR(CE389*CE390,"n/a")</f>
        <v>237662.601680752</v>
      </c>
      <c r="CF391" s="268">
        <f>IFERROR(CF389*CF390,"n/a")</f>
        <v>222529.660321862</v>
      </c>
      <c r="CG391" s="19" t="n"/>
    </row>
    <row r="392" ht="15" customHeight="1" s="251">
      <c r="B392" s="25" t="inlineStr">
        <is>
          <t>Net debt (USDm)</t>
        </is>
      </c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  <c r="AA392" s="34" t="n"/>
      <c r="AB392" s="34" t="n"/>
      <c r="AC392" s="34" t="n"/>
      <c r="AD392" s="34" t="n"/>
      <c r="AE392" s="34" t="n"/>
      <c r="AF392" s="34" t="n"/>
      <c r="AG392" s="34" t="n"/>
      <c r="AH392" s="34" t="n"/>
      <c r="AI392" s="34" t="n"/>
      <c r="AJ392" s="34" t="n"/>
      <c r="AK392" s="34" t="n"/>
      <c r="AL392" s="34" t="n"/>
      <c r="AM392" s="34" t="n"/>
      <c r="AN392" s="34" t="n"/>
      <c r="AO392" s="34" t="n"/>
      <c r="AP392" s="34" t="n"/>
      <c r="AQ392" s="34" t="n"/>
      <c r="AR392" s="34" t="n"/>
      <c r="AS392" s="34" t="n"/>
      <c r="AT392" s="34" t="n"/>
      <c r="AU392" s="34" t="n"/>
      <c r="AV392" s="34" t="n"/>
      <c r="AW392" s="34" t="n"/>
      <c r="AX392" s="34" t="n"/>
      <c r="AY392" s="34" t="n"/>
      <c r="AZ392" s="34" t="n"/>
      <c r="BA392" s="34" t="n"/>
      <c r="BB392" s="34" t="n"/>
      <c r="BC392" s="34" t="n"/>
      <c r="BD392" s="34" t="n"/>
      <c r="BE392" s="34" t="n"/>
      <c r="BF392" s="34" t="n"/>
      <c r="BG392" s="34" t="n"/>
      <c r="BH392" s="34" t="n"/>
      <c r="BI392" s="34" t="n"/>
      <c r="BJ392" s="34" t="n"/>
      <c r="BK392" s="34" t="n"/>
      <c r="BL392" s="34" t="n"/>
      <c r="BM392" s="34" t="n"/>
      <c r="BN392" s="34" t="n"/>
      <c r="BO392" s="34" t="n"/>
      <c r="BP392" s="34" t="n"/>
      <c r="BQ392" s="34" t="n"/>
      <c r="BR392" s="34" t="n"/>
      <c r="BS392" s="34" t="n"/>
      <c r="BT392" s="34" t="n"/>
      <c r="BU392" s="34" t="n"/>
      <c r="BV392" s="34" t="n"/>
      <c r="BW392" s="34" t="n"/>
      <c r="BX392" s="34" t="n"/>
      <c r="BY392" s="35" t="n"/>
      <c r="BZ392" s="35" t="n"/>
      <c r="CA392" s="268">
        <f>CA383</f>
        <v>5750.84866666667</v>
      </c>
      <c r="CB392" s="268">
        <f>CB383</f>
        <v>4854.29578827511</v>
      </c>
      <c r="CC392" s="268">
        <f>CC383</f>
        <v>3956.06331386141</v>
      </c>
      <c r="CD392" s="268">
        <f>CD383</f>
        <v>3073.57533873147</v>
      </c>
      <c r="CE392" s="268">
        <f>CE383</f>
        <v>2202.48519179022</v>
      </c>
      <c r="CF392" s="268">
        <f>CF383</f>
        <v>1358.1813373975</v>
      </c>
      <c r="CG392" s="19" t="n"/>
    </row>
    <row r="393" ht="15" customHeight="1" s="251">
      <c r="B393" s="25" t="inlineStr">
        <is>
          <t>Noncontrolling interests (USDm)</t>
        </is>
      </c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  <c r="AD393" s="34" t="n"/>
      <c r="AE393" s="34" t="n"/>
      <c r="AF393" s="34" t="n"/>
      <c r="AG393" s="34" t="n"/>
      <c r="AH393" s="34" t="n"/>
      <c r="AI393" s="34" t="n"/>
      <c r="AJ393" s="34" t="n"/>
      <c r="AK393" s="34" t="n"/>
      <c r="AL393" s="34" t="n"/>
      <c r="AM393" s="34" t="n"/>
      <c r="AN393" s="34" t="n"/>
      <c r="AO393" s="34" t="n"/>
      <c r="AP393" s="34" t="n"/>
      <c r="AQ393" s="34" t="n"/>
      <c r="AR393" s="34" t="n"/>
      <c r="AS393" s="34" t="n"/>
      <c r="AT393" s="34" t="n"/>
      <c r="AU393" s="34" t="n"/>
      <c r="AV393" s="34" t="n"/>
      <c r="AW393" s="34" t="n"/>
      <c r="AX393" s="34" t="n"/>
      <c r="AY393" s="34" t="n"/>
      <c r="AZ393" s="34" t="n"/>
      <c r="BA393" s="34" t="n"/>
      <c r="BB393" s="34" t="n"/>
      <c r="BC393" s="34" t="n"/>
      <c r="BD393" s="34" t="n"/>
      <c r="BE393" s="34" t="n"/>
      <c r="BF393" s="34" t="n"/>
      <c r="BG393" s="34" t="n"/>
      <c r="BH393" s="34" t="n"/>
      <c r="BI393" s="34" t="n"/>
      <c r="BJ393" s="34" t="n"/>
      <c r="BK393" s="34" t="n"/>
      <c r="BL393" s="34" t="n"/>
      <c r="BM393" s="34" t="n"/>
      <c r="BN393" s="34" t="n"/>
      <c r="BO393" s="34" t="n"/>
      <c r="BP393" s="34" t="n"/>
      <c r="BQ393" s="34" t="n"/>
      <c r="BR393" s="34" t="n"/>
      <c r="BS393" s="34" t="n"/>
      <c r="BT393" s="34" t="n"/>
      <c r="BU393" s="34" t="n"/>
      <c r="BV393" s="34" t="n"/>
      <c r="BW393" s="34" t="n"/>
      <c r="BX393" s="34" t="n"/>
      <c r="BY393" s="35" t="n"/>
      <c r="BZ393" s="35" t="n"/>
      <c r="CA393" s="268">
        <f>CA308</f>
        <v>0</v>
      </c>
      <c r="CB393" s="268">
        <f>CB308</f>
        <v>0</v>
      </c>
      <c r="CC393" s="268">
        <f>CC308</f>
        <v>0</v>
      </c>
      <c r="CD393" s="268">
        <f>CD308</f>
        <v>0</v>
      </c>
      <c r="CE393" s="268">
        <f>CE308</f>
        <v>0</v>
      </c>
      <c r="CF393" s="268">
        <f>CF308</f>
        <v>0</v>
      </c>
      <c r="CG393" s="19" t="n"/>
    </row>
    <row r="394" ht="15" customHeight="1" s="251">
      <c r="B394" s="16" t="inlineStr">
        <is>
          <t>Enterprise value (USDm)</t>
        </is>
      </c>
      <c r="C394" s="43" t="n"/>
      <c r="D394" s="43" t="n"/>
      <c r="E394" s="43" t="n"/>
      <c r="F394" s="43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  <c r="W394" s="43" t="n"/>
      <c r="X394" s="43" t="n"/>
      <c r="Y394" s="43" t="n"/>
      <c r="Z394" s="43" t="n"/>
      <c r="AA394" s="43" t="n"/>
      <c r="AB394" s="43" t="n"/>
      <c r="AC394" s="43" t="n"/>
      <c r="AD394" s="43" t="n"/>
      <c r="AE394" s="43" t="n"/>
      <c r="AF394" s="43" t="n"/>
      <c r="AG394" s="43" t="n"/>
      <c r="AH394" s="43" t="n"/>
      <c r="AI394" s="43" t="n"/>
      <c r="AJ394" s="43" t="n"/>
      <c r="AK394" s="43" t="n"/>
      <c r="AL394" s="43" t="n"/>
      <c r="AM394" s="43" t="n"/>
      <c r="AN394" s="43" t="n"/>
      <c r="AO394" s="43" t="n"/>
      <c r="AP394" s="43" t="n"/>
      <c r="AQ394" s="43" t="n"/>
      <c r="AR394" s="43" t="n"/>
      <c r="AS394" s="43" t="n"/>
      <c r="AT394" s="43" t="n"/>
      <c r="AU394" s="43" t="n"/>
      <c r="AV394" s="43" t="n"/>
      <c r="AW394" s="43" t="n"/>
      <c r="AX394" s="43" t="n"/>
      <c r="AY394" s="43" t="n"/>
      <c r="AZ394" s="43" t="n"/>
      <c r="BA394" s="43" t="n"/>
      <c r="BB394" s="43" t="n"/>
      <c r="BC394" s="43" t="n"/>
      <c r="BD394" s="43" t="n"/>
      <c r="BE394" s="43" t="n"/>
      <c r="BF394" s="43" t="n"/>
      <c r="BG394" s="43" t="n"/>
      <c r="BH394" s="43" t="n"/>
      <c r="BI394" s="43" t="n"/>
      <c r="BJ394" s="43" t="n"/>
      <c r="BK394" s="43" t="n"/>
      <c r="BL394" s="43" t="n"/>
      <c r="BM394" s="43" t="n"/>
      <c r="BN394" s="43" t="n"/>
      <c r="BO394" s="43" t="n"/>
      <c r="BP394" s="43" t="n"/>
      <c r="BQ394" s="43" t="n"/>
      <c r="BR394" s="43" t="n"/>
      <c r="BS394" s="43" t="n"/>
      <c r="BT394" s="43" t="n"/>
      <c r="BU394" s="43" t="n"/>
      <c r="BV394" s="43" t="n"/>
      <c r="BW394" s="43" t="n"/>
      <c r="BX394" s="43" t="n"/>
      <c r="BY394" s="32" t="n"/>
      <c r="BZ394" s="32" t="n"/>
      <c r="CA394" s="291">
        <f>IFERROR(CA391+CA392+CA393,"n/a")</f>
        <v>295856.20632</v>
      </c>
      <c r="CB394" s="291">
        <f>IFERROR(CB391+CB392+CB393,"n/a")</f>
        <v>283626.404283567</v>
      </c>
      <c r="CC394" s="291">
        <f>IFERROR(CC391+CC392+CC393,"n/a")</f>
        <v>270001.421767405</v>
      </c>
      <c r="CD394" s="291">
        <f>IFERROR(CD391+CD392+CD393,"n/a")</f>
        <v>255299.824689361</v>
      </c>
      <c r="CE394" s="291">
        <f>IFERROR(CE391+CE392+CE393,"n/a")</f>
        <v>239865.086872543</v>
      </c>
      <c r="CF394" s="291">
        <f>IFERROR(CF391+CF392+CF393,"n/a")</f>
        <v>223887.841659259</v>
      </c>
      <c r="CG394" s="153" t="n"/>
    </row>
    <row r="395" ht="15" customHeight="1" s="251">
      <c r="B395" s="25" t="inlineStr">
        <is>
          <t>Multiples</t>
        </is>
      </c>
      <c r="CG395" s="153" t="n"/>
    </row>
    <row r="396" ht="15" customHeight="1" s="251">
      <c r="B396" s="25" t="inlineStr">
        <is>
          <t xml:space="preserve">  EV / Revenue</t>
        </is>
      </c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  <c r="AG396" s="34" t="n"/>
      <c r="AH396" s="34" t="n"/>
      <c r="AI396" s="34" t="n"/>
      <c r="AJ396" s="34" t="n"/>
      <c r="AK396" s="34" t="n"/>
      <c r="AL396" s="34" t="n"/>
      <c r="AM396" s="34" t="n"/>
      <c r="AN396" s="34" t="n"/>
      <c r="AO396" s="34" t="n"/>
      <c r="AP396" s="34" t="n"/>
      <c r="AQ396" s="34" t="n"/>
      <c r="AR396" s="34" t="n"/>
      <c r="AS396" s="34" t="n"/>
      <c r="AT396" s="34" t="n"/>
      <c r="AU396" s="34" t="n"/>
      <c r="AV396" s="34" t="n"/>
      <c r="AW396" s="34" t="n"/>
      <c r="AX396" s="34" t="n"/>
      <c r="AY396" s="34" t="n"/>
      <c r="AZ396" s="34" t="n"/>
      <c r="BA396" s="34" t="n"/>
      <c r="BB396" s="34" t="n"/>
      <c r="BC396" s="34" t="n"/>
      <c r="BD396" s="34" t="n"/>
      <c r="BE396" s="34" t="n"/>
      <c r="BF396" s="34" t="n"/>
      <c r="BG396" s="34" t="n"/>
      <c r="BH396" s="34" t="n"/>
      <c r="BI396" s="34" t="n"/>
      <c r="BJ396" s="34" t="n"/>
      <c r="BK396" s="34" t="n"/>
      <c r="BL396" s="34" t="n"/>
      <c r="BM396" s="34" t="n"/>
      <c r="BN396" s="34" t="n"/>
      <c r="BO396" s="34" t="n"/>
      <c r="BP396" s="34" t="n"/>
      <c r="BQ396" s="34" t="n"/>
      <c r="BR396" s="34" t="n"/>
      <c r="BS396" s="34" t="n"/>
      <c r="BT396" s="34" t="n"/>
      <c r="BU396" s="34" t="n"/>
      <c r="BV396" s="34" t="n"/>
      <c r="BW396" s="34" t="n"/>
      <c r="BX396" s="34" t="n"/>
      <c r="BY396" s="35" t="n"/>
      <c r="BZ396" s="35" t="n"/>
      <c r="CA396" s="292">
        <f>IFERROR(CA394/CA121,"n/a")</f>
        <v>5.7784415296875</v>
      </c>
      <c r="CB396" s="292">
        <f>IFERROR(CB394/CB121,"n/a")</f>
        <v>5.01289902330091</v>
      </c>
      <c r="CC396" s="292">
        <f>IFERROR(CC394/CC121,"n/a")</f>
        <v>4.35706040264904</v>
      </c>
      <c r="CD396" s="292">
        <f>IFERROR(CD394/CD121,"n/a")</f>
        <v>3.79551009746563</v>
      </c>
      <c r="CE396" s="292">
        <f>IFERROR(CE394/CE121,"n/a")</f>
        <v>3.30893210725098</v>
      </c>
      <c r="CF396" s="292">
        <f>IFERROR(CF394/CF121,"n/a")</f>
        <v>2.88678929009356</v>
      </c>
      <c r="CG396" s="19" t="n"/>
    </row>
    <row r="397" ht="15" customHeight="1" s="251">
      <c r="B397" s="25" t="inlineStr">
        <is>
          <t xml:space="preserve">  EV / Adjusted EBITDA</t>
        </is>
      </c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  <c r="AD397" s="34" t="n"/>
      <c r="AE397" s="34" t="n"/>
      <c r="AF397" s="34" t="n"/>
      <c r="AG397" s="34" t="n"/>
      <c r="AH397" s="34" t="n"/>
      <c r="AI397" s="34" t="n"/>
      <c r="AJ397" s="34" t="n"/>
      <c r="AK397" s="34" t="n"/>
      <c r="AL397" s="34" t="n"/>
      <c r="AM397" s="34" t="n"/>
      <c r="AN397" s="34" t="n"/>
      <c r="AO397" s="34" t="n"/>
      <c r="AP397" s="34" t="n"/>
      <c r="AQ397" s="34" t="n"/>
      <c r="AR397" s="34" t="n"/>
      <c r="AS397" s="34" t="n"/>
      <c r="AT397" s="34" t="n"/>
      <c r="AU397" s="34" t="n"/>
      <c r="AV397" s="34" t="n"/>
      <c r="AW397" s="34" t="n"/>
      <c r="AX397" s="34" t="n"/>
      <c r="AY397" s="34" t="n"/>
      <c r="AZ397" s="34" t="n"/>
      <c r="BA397" s="34" t="n"/>
      <c r="BB397" s="34" t="n"/>
      <c r="BC397" s="34" t="n"/>
      <c r="BD397" s="34" t="n"/>
      <c r="BE397" s="34" t="n"/>
      <c r="BF397" s="34" t="n"/>
      <c r="BG397" s="34" t="n"/>
      <c r="BH397" s="34" t="n"/>
      <c r="BI397" s="34" t="n"/>
      <c r="BJ397" s="34" t="n"/>
      <c r="BK397" s="34" t="n"/>
      <c r="BL397" s="34" t="n"/>
      <c r="BM397" s="34" t="n"/>
      <c r="BN397" s="34" t="n"/>
      <c r="BO397" s="34" t="n"/>
      <c r="BP397" s="34" t="n"/>
      <c r="BQ397" s="34" t="n"/>
      <c r="BR397" s="34" t="n"/>
      <c r="BS397" s="34" t="n"/>
      <c r="BT397" s="34" t="n"/>
      <c r="BU397" s="34" t="n"/>
      <c r="BV397" s="34" t="n"/>
      <c r="BW397" s="34" t="n"/>
      <c r="BX397" s="34" t="n"/>
      <c r="BY397" s="35" t="n"/>
      <c r="BZ397" s="35" t="n"/>
      <c r="CA397" s="292">
        <f>IFERROR(CA394/CA175,"n/a")</f>
        <v>17.203250428499</v>
      </c>
      <c r="CB397" s="292">
        <f>IFERROR(CB394/CB175,"n/a")</f>
        <v>14.1607317042399</v>
      </c>
      <c r="CC397" s="292">
        <f>IFERROR(CC394/CC175,"n/a")</f>
        <v>11.8077517686966</v>
      </c>
      <c r="CD397" s="292">
        <f>IFERROR(CD394/CD175,"n/a")</f>
        <v>9.88414087881674</v>
      </c>
      <c r="CE397" s="292">
        <f>IFERROR(CE394/CE175,"n/a")</f>
        <v>8.39830484073854</v>
      </c>
      <c r="CF397" s="292">
        <f>IFERROR(CF394/CF175,"n/a")</f>
        <v>7.14551804478604</v>
      </c>
      <c r="CG397" s="19" t="n"/>
    </row>
    <row r="398" ht="15" customHeight="1" s="251">
      <c r="B398" s="25" t="inlineStr">
        <is>
          <t xml:space="preserve">  EV / Operating income</t>
        </is>
      </c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  <c r="AA398" s="34" t="n"/>
      <c r="AB398" s="34" t="n"/>
      <c r="AC398" s="34" t="n"/>
      <c r="AD398" s="34" t="n"/>
      <c r="AE398" s="34" t="n"/>
      <c r="AF398" s="34" t="n"/>
      <c r="AG398" s="34" t="n"/>
      <c r="AH398" s="34" t="n"/>
      <c r="AI398" s="34" t="n"/>
      <c r="AJ398" s="34" t="n"/>
      <c r="AK398" s="34" t="n"/>
      <c r="AL398" s="34" t="n"/>
      <c r="AM398" s="34" t="n"/>
      <c r="AN398" s="34" t="n"/>
      <c r="AO398" s="34" t="n"/>
      <c r="AP398" s="34" t="n"/>
      <c r="AQ398" s="34" t="n"/>
      <c r="AR398" s="34" t="n"/>
      <c r="AS398" s="34" t="n"/>
      <c r="AT398" s="34" t="n"/>
      <c r="AU398" s="34" t="n"/>
      <c r="AV398" s="34" t="n"/>
      <c r="AW398" s="34" t="n"/>
      <c r="AX398" s="34" t="n"/>
      <c r="AY398" s="34" t="n"/>
      <c r="AZ398" s="34" t="n"/>
      <c r="BA398" s="34" t="n"/>
      <c r="BB398" s="34" t="n"/>
      <c r="BC398" s="34" t="n"/>
      <c r="BD398" s="34" t="n"/>
      <c r="BE398" s="34" t="n"/>
      <c r="BF398" s="34" t="n"/>
      <c r="BG398" s="34" t="n"/>
      <c r="BH398" s="34" t="n"/>
      <c r="BI398" s="34" t="n"/>
      <c r="BJ398" s="34" t="n"/>
      <c r="BK398" s="34" t="n"/>
      <c r="BL398" s="34" t="n"/>
      <c r="BM398" s="34" t="n"/>
      <c r="BN398" s="34" t="n"/>
      <c r="BO398" s="34" t="n"/>
      <c r="BP398" s="34" t="n"/>
      <c r="BQ398" s="34" t="n"/>
      <c r="BR398" s="34" t="n"/>
      <c r="BS398" s="34" t="n"/>
      <c r="BT398" s="34" t="n"/>
      <c r="BU398" s="34" t="n"/>
      <c r="BV398" s="34" t="n"/>
      <c r="BW398" s="34" t="n"/>
      <c r="BX398" s="34" t="n"/>
      <c r="BY398" s="35" t="n"/>
      <c r="BZ398" s="35" t="n"/>
      <c r="CA398" s="292">
        <f>IFERROR(CA394/CA131,"n/a")</f>
        <v>18.3442588244048</v>
      </c>
      <c r="CB398" s="292">
        <f>IFERROR(CB394/CB131,"n/a")</f>
        <v>14.9638776814953</v>
      </c>
      <c r="CC398" s="292">
        <f>IFERROR(CC394/CC131,"n/a")</f>
        <v>12.4487440075687</v>
      </c>
      <c r="CD398" s="292">
        <f>IFERROR(CD394/CD131,"n/a")</f>
        <v>10.3986578012757</v>
      </c>
      <c r="CE398" s="292">
        <f>IFERROR(CE394/CE131,"n/a")</f>
        <v>8.82381895266929</v>
      </c>
      <c r="CF398" s="292">
        <f>IFERROR(CF394/CF131,"n/a")</f>
        <v>7.49815400024302</v>
      </c>
      <c r="CG398" s="19" t="n"/>
    </row>
    <row r="399" ht="15" customHeight="1" s="251">
      <c r="B399" s="25" t="inlineStr">
        <is>
          <t xml:space="preserve">  EV / IC</t>
        </is>
      </c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  <c r="AD399" s="34" t="n"/>
      <c r="AE399" s="34" t="n"/>
      <c r="AF399" s="34" t="n"/>
      <c r="AG399" s="34" t="n"/>
      <c r="AH399" s="34" t="n"/>
      <c r="AI399" s="34" t="n"/>
      <c r="AJ399" s="34" t="n"/>
      <c r="AK399" s="34" t="n"/>
      <c r="AL399" s="34" t="n"/>
      <c r="AM399" s="34" t="n"/>
      <c r="AN399" s="34" t="n"/>
      <c r="AO399" s="34" t="n"/>
      <c r="AP399" s="34" t="n"/>
      <c r="AQ399" s="34" t="n"/>
      <c r="AR399" s="34" t="n"/>
      <c r="AS399" s="34" t="n"/>
      <c r="AT399" s="34" t="n"/>
      <c r="AU399" s="34" t="n"/>
      <c r="AV399" s="34" t="n"/>
      <c r="AW399" s="34" t="n"/>
      <c r="AX399" s="34" t="n"/>
      <c r="AY399" s="34" t="n"/>
      <c r="AZ399" s="34" t="n"/>
      <c r="BA399" s="34" t="n"/>
      <c r="BB399" s="34" t="n"/>
      <c r="BC399" s="34" t="n"/>
      <c r="BD399" s="34" t="n"/>
      <c r="BE399" s="34" t="n"/>
      <c r="BF399" s="34" t="n"/>
      <c r="BG399" s="34" t="n"/>
      <c r="BH399" s="34" t="n"/>
      <c r="BI399" s="34" t="n"/>
      <c r="BJ399" s="34" t="n"/>
      <c r="BK399" s="34" t="n"/>
      <c r="BL399" s="34" t="n"/>
      <c r="BM399" s="34" t="n"/>
      <c r="BN399" s="34" t="n"/>
      <c r="BO399" s="34" t="n"/>
      <c r="BP399" s="34" t="n"/>
      <c r="BQ399" s="34" t="n"/>
      <c r="BR399" s="34" t="n"/>
      <c r="BS399" s="34" t="n"/>
      <c r="BT399" s="34" t="n"/>
      <c r="BU399" s="34" t="n"/>
      <c r="BV399" s="34" t="n"/>
      <c r="BW399" s="34" t="n"/>
      <c r="BX399" s="34" t="n"/>
      <c r="BY399" s="35" t="n"/>
      <c r="BZ399" s="35" t="n"/>
      <c r="CA399" s="292">
        <f>IFERROR(CA394/CA363,"n/a")</f>
        <v>8.15648554027503</v>
      </c>
      <c r="CB399" s="292">
        <f>IFERROR(CB394/CB363,"n/a")</f>
        <v>7.28268156783001</v>
      </c>
      <c r="CC399" s="292">
        <f>IFERROR(CC394/CC363,"n/a")</f>
        <v>6.53472967853185</v>
      </c>
      <c r="CD399" s="292">
        <f>IFERROR(CD394/CD363,"n/a")</f>
        <v>5.86214345869471</v>
      </c>
      <c r="CE399" s="292">
        <f>IFERROR(CE394/CE363,"n/a")</f>
        <v>5.25987788208211</v>
      </c>
      <c r="CF399" s="292">
        <f>IFERROR(CF394/CF363,"n/a")</f>
        <v>4.71180642067581</v>
      </c>
      <c r="CG399" s="19" t="n"/>
    </row>
    <row r="400" ht="15" customHeight="1" s="251">
      <c r="B400" s="25" t="inlineStr">
        <is>
          <t xml:space="preserve">  P / E (GAAP diluted)</t>
        </is>
      </c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  <c r="AD400" s="34" t="n"/>
      <c r="AE400" s="34" t="n"/>
      <c r="AF400" s="34" t="n"/>
      <c r="AG400" s="34" t="n"/>
      <c r="AH400" s="34" t="n"/>
      <c r="AI400" s="34" t="n"/>
      <c r="AJ400" s="34" t="n"/>
      <c r="AK400" s="34" t="n"/>
      <c r="AL400" s="34" t="n"/>
      <c r="AM400" s="34" t="n"/>
      <c r="AN400" s="34" t="n"/>
      <c r="AO400" s="34" t="n"/>
      <c r="AP400" s="34" t="n"/>
      <c r="AQ400" s="34" t="n"/>
      <c r="AR400" s="34" t="n"/>
      <c r="AS400" s="34" t="n"/>
      <c r="AT400" s="34" t="n"/>
      <c r="AU400" s="34" t="n"/>
      <c r="AV400" s="34" t="n"/>
      <c r="AW400" s="34" t="n"/>
      <c r="AX400" s="34" t="n"/>
      <c r="AY400" s="34" t="n"/>
      <c r="AZ400" s="34" t="n"/>
      <c r="BA400" s="34" t="n"/>
      <c r="BB400" s="34" t="n"/>
      <c r="BC400" s="34" t="n"/>
      <c r="BD400" s="34" t="n"/>
      <c r="BE400" s="34" t="n"/>
      <c r="BF400" s="34" t="n"/>
      <c r="BG400" s="34" t="n"/>
      <c r="BH400" s="34" t="n"/>
      <c r="BI400" s="34" t="n"/>
      <c r="BJ400" s="34" t="n"/>
      <c r="BK400" s="34" t="n"/>
      <c r="BL400" s="34" t="n"/>
      <c r="BM400" s="34" t="n"/>
      <c r="BN400" s="34" t="n"/>
      <c r="BO400" s="34" t="n"/>
      <c r="BP400" s="34" t="n"/>
      <c r="BQ400" s="34" t="n"/>
      <c r="BR400" s="34" t="n"/>
      <c r="BS400" s="34" t="n"/>
      <c r="BT400" s="34" t="n"/>
      <c r="BU400" s="34" t="n"/>
      <c r="BV400" s="34" t="n"/>
      <c r="BW400" s="34" t="n"/>
      <c r="BX400" s="34" t="n"/>
      <c r="BY400" s="35" t="n"/>
      <c r="BZ400" s="35" t="n"/>
      <c r="CA400" s="292">
        <f>IFERROR(CA389/CA149,"n/a")</f>
        <v>19.6055983407969</v>
      </c>
      <c r="CB400" s="292">
        <f>IFERROR(CB389/CB149,"n/a")</f>
        <v>18.5724059520475</v>
      </c>
      <c r="CC400" s="292">
        <f>IFERROR(CC389/CC149,"n/a")</f>
        <v>15.4849044280303</v>
      </c>
      <c r="CD400" s="292">
        <f>IFERROR(CD389/CD149,"n/a")</f>
        <v>12.9734868544426</v>
      </c>
      <c r="CE400" s="292">
        <f>IFERROR(CE389/CE149,"n/a")</f>
        <v>11.0505842804346</v>
      </c>
      <c r="CF400" s="292">
        <f>IFERROR(CF389/CF149,"n/a")</f>
        <v>9.42851865538508</v>
      </c>
      <c r="CG400" s="19" t="n"/>
    </row>
    <row r="401" ht="15" customHeight="1" s="251">
      <c r="B401" s="25" t="inlineStr">
        <is>
          <t xml:space="preserve">  P / E (adjusted EPS)</t>
        </is>
      </c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  <c r="AG401" s="34" t="n"/>
      <c r="AH401" s="34" t="n"/>
      <c r="AI401" s="34" t="n"/>
      <c r="AJ401" s="34" t="n"/>
      <c r="AK401" s="34" t="n"/>
      <c r="AL401" s="34" t="n"/>
      <c r="AM401" s="34" t="n"/>
      <c r="AN401" s="34" t="n"/>
      <c r="AO401" s="34" t="n"/>
      <c r="AP401" s="34" t="n"/>
      <c r="AQ401" s="34" t="n"/>
      <c r="AR401" s="34" t="n"/>
      <c r="AS401" s="34" t="n"/>
      <c r="AT401" s="34" t="n"/>
      <c r="AU401" s="34" t="n"/>
      <c r="AV401" s="34" t="n"/>
      <c r="AW401" s="34" t="n"/>
      <c r="AX401" s="34" t="n"/>
      <c r="AY401" s="34" t="n"/>
      <c r="AZ401" s="34" t="n"/>
      <c r="BA401" s="34" t="n"/>
      <c r="BB401" s="34" t="n"/>
      <c r="BC401" s="34" t="n"/>
      <c r="BD401" s="34" t="n"/>
      <c r="BE401" s="34" t="n"/>
      <c r="BF401" s="34" t="n"/>
      <c r="BG401" s="34" t="n"/>
      <c r="BH401" s="34" t="n"/>
      <c r="BI401" s="34" t="n"/>
      <c r="BJ401" s="34" t="n"/>
      <c r="BK401" s="34" t="n"/>
      <c r="BL401" s="34" t="n"/>
      <c r="BM401" s="34" t="n"/>
      <c r="BN401" s="34" t="n"/>
      <c r="BO401" s="34" t="n"/>
      <c r="BP401" s="34" t="n"/>
      <c r="BQ401" s="34" t="n"/>
      <c r="BR401" s="34" t="n"/>
      <c r="BS401" s="34" t="n"/>
      <c r="BT401" s="34" t="n"/>
      <c r="BU401" s="34" t="n"/>
      <c r="BV401" s="34" t="n"/>
      <c r="BW401" s="34" t="n"/>
      <c r="BX401" s="34" t="n"/>
      <c r="BY401" s="35" t="n"/>
      <c r="BZ401" s="35" t="n"/>
      <c r="CA401" s="292">
        <f>IFERROR(CA389/CA201,"n/a")</f>
        <v>23.0774687149061</v>
      </c>
      <c r="CB401" s="292">
        <f>IFERROR(CB389/CB201,"n/a")</f>
        <v>18.5724059520475</v>
      </c>
      <c r="CC401" s="292">
        <f>IFERROR(CC389/CC201,"n/a")</f>
        <v>15.4849044280303</v>
      </c>
      <c r="CD401" s="292">
        <f>IFERROR(CD389/CD201,"n/a")</f>
        <v>12.9734868544426</v>
      </c>
      <c r="CE401" s="292">
        <f>IFERROR(CE389/CE201,"n/a")</f>
        <v>11.0505842804346</v>
      </c>
      <c r="CF401" s="292">
        <f>IFERROR(CF389/CF201,"n/a")</f>
        <v>9.42851865538508</v>
      </c>
      <c r="CG401" s="19" t="n"/>
    </row>
    <row r="402" ht="15" customHeight="1" s="251">
      <c r="B402" s="25" t="inlineStr">
        <is>
          <t xml:space="preserve">  FCF yield</t>
        </is>
      </c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  <c r="AG402" s="34" t="n"/>
      <c r="AH402" s="34" t="n"/>
      <c r="AI402" s="34" t="n"/>
      <c r="AJ402" s="34" t="n"/>
      <c r="AK402" s="34" t="n"/>
      <c r="AL402" s="34" t="n"/>
      <c r="AM402" s="34" t="n"/>
      <c r="AN402" s="34" t="n"/>
      <c r="AO402" s="34" t="n"/>
      <c r="AP402" s="34" t="n"/>
      <c r="AQ402" s="34" t="n"/>
      <c r="AR402" s="34" t="n"/>
      <c r="AS402" s="34" t="n"/>
      <c r="AT402" s="34" t="n"/>
      <c r="AU402" s="34" t="n"/>
      <c r="AV402" s="34" t="n"/>
      <c r="AW402" s="34" t="n"/>
      <c r="AX402" s="34" t="n"/>
      <c r="AY402" s="34" t="n"/>
      <c r="AZ402" s="34" t="n"/>
      <c r="BA402" s="34" t="n"/>
      <c r="BB402" s="34" t="n"/>
      <c r="BC402" s="34" t="n"/>
      <c r="BD402" s="34" t="n"/>
      <c r="BE402" s="34" t="n"/>
      <c r="BF402" s="34" t="n"/>
      <c r="BG402" s="34" t="n"/>
      <c r="BH402" s="34" t="n"/>
      <c r="BI402" s="34" t="n"/>
      <c r="BJ402" s="34" t="n"/>
      <c r="BK402" s="34" t="n"/>
      <c r="BL402" s="34" t="n"/>
      <c r="BM402" s="34" t="n"/>
      <c r="BN402" s="34" t="n"/>
      <c r="BO402" s="34" t="n"/>
      <c r="BP402" s="34" t="n"/>
      <c r="BQ402" s="34" t="n"/>
      <c r="BR402" s="34" t="n"/>
      <c r="BS402" s="34" t="n"/>
      <c r="BT402" s="34" t="n"/>
      <c r="BU402" s="34" t="n"/>
      <c r="BV402" s="34" t="n"/>
      <c r="BW402" s="34" t="n"/>
      <c r="BX402" s="34" t="n"/>
      <c r="BY402" s="35" t="n"/>
      <c r="BZ402" s="35" t="n"/>
      <c r="CA402" s="256">
        <f>IFERROR(CA259/CA391,"n/a")</f>
        <v>0.0430877943830913</v>
      </c>
      <c r="CB402" s="256">
        <f>IFERROR(CB259/CB391,"n/a")</f>
        <v>0.0493761332271475</v>
      </c>
      <c r="CC402" s="256">
        <f>IFERROR(CC259/CC391,"n/a")</f>
        <v>0.0616472086506009</v>
      </c>
      <c r="CD402" s="256">
        <f>IFERROR(CD259/CD391,"n/a")</f>
        <v>0.0752557863832501</v>
      </c>
      <c r="CE402" s="256">
        <f>IFERROR(CE259/CE391,"n/a")</f>
        <v>0.0900896607363569</v>
      </c>
      <c r="CF402" s="256">
        <f>IFERROR(CF259/CF391,"n/a")</f>
        <v>0.107148971826819</v>
      </c>
      <c r="CG402" s="19" t="n"/>
    </row>
    <row r="403" ht="15" customHeight="1" s="251">
      <c r="B403" s="25" t="inlineStr">
        <is>
          <t xml:space="preserve">  Dividend yield (no dividend)</t>
        </is>
      </c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  <c r="AG403" s="34" t="n"/>
      <c r="AH403" s="34" t="n"/>
      <c r="AI403" s="34" t="n"/>
      <c r="AJ403" s="34" t="n"/>
      <c r="AK403" s="34" t="n"/>
      <c r="AL403" s="34" t="n"/>
      <c r="AM403" s="34" t="n"/>
      <c r="AN403" s="34" t="n"/>
      <c r="AO403" s="34" t="n"/>
      <c r="AP403" s="34" t="n"/>
      <c r="AQ403" s="34" t="n"/>
      <c r="AR403" s="34" t="n"/>
      <c r="AS403" s="34" t="n"/>
      <c r="AT403" s="34" t="n"/>
      <c r="AU403" s="34" t="n"/>
      <c r="AV403" s="34" t="n"/>
      <c r="AW403" s="34" t="n"/>
      <c r="AX403" s="34" t="n"/>
      <c r="AY403" s="34" t="n"/>
      <c r="AZ403" s="34" t="n"/>
      <c r="BA403" s="34" t="n"/>
      <c r="BB403" s="34" t="n"/>
      <c r="BC403" s="34" t="n"/>
      <c r="BD403" s="34" t="n"/>
      <c r="BE403" s="34" t="n"/>
      <c r="BF403" s="34" t="n"/>
      <c r="BG403" s="34" t="n"/>
      <c r="BH403" s="34" t="n"/>
      <c r="BI403" s="34" t="n"/>
      <c r="BJ403" s="34" t="n"/>
      <c r="BK403" s="34" t="n"/>
      <c r="BL403" s="34" t="n"/>
      <c r="BM403" s="34" t="n"/>
      <c r="BN403" s="34" t="n"/>
      <c r="BO403" s="34" t="n"/>
      <c r="BP403" s="34" t="n"/>
      <c r="BQ403" s="34" t="n"/>
      <c r="BR403" s="34" t="n"/>
      <c r="BS403" s="34" t="n"/>
      <c r="BT403" s="34" t="n"/>
      <c r="BU403" s="34" t="n"/>
      <c r="BV403" s="34" t="n"/>
      <c r="BW403" s="34" t="n"/>
      <c r="BX403" s="34" t="n"/>
      <c r="BY403" s="35" t="n"/>
      <c r="BZ403" s="35" t="n"/>
      <c r="CA403" s="256">
        <f>0</f>
        <v>0</v>
      </c>
      <c r="CB403" s="256">
        <f>0</f>
        <v>0</v>
      </c>
      <c r="CC403" s="256">
        <f>0</f>
        <v>0</v>
      </c>
      <c r="CD403" s="256">
        <f>0</f>
        <v>0</v>
      </c>
      <c r="CE403" s="256">
        <f>0</f>
        <v>0</v>
      </c>
      <c r="CF403" s="256">
        <f>0</f>
        <v>0</v>
      </c>
      <c r="CG403" s="19" t="n"/>
    </row>
    <row r="404" ht="15" customHeight="1" s="251"/>
    <row r="405" ht="15" customHeight="1" s="251"/>
    <row r="406" ht="15" customHeight="1" s="251"/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CG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Netflix, Inc. (NFLX) — Bull / Base / Bear Case P&amp;L Summary</t>
        </is>
      </c>
      <c r="J2" s="152" t="inlineStr">
        <is>
          <t>Share price ($):</t>
        </is>
      </c>
      <c r="K2" s="74">
        <f>Model!$CB$389</f>
        <v>70</v>
      </c>
    </row>
    <row r="3" ht="15" customHeight="1" s="251">
      <c r="B3" s="4" t="inlineStr">
        <is>
          <t>Adjusted EBITDA = company definition (NI + interest &amp; other + tax + non-content D&amp;A + SBC); adjusted net income / EPS = GAAP + company-quantified items (model) · USD millions · Live panel linked to Model — toggle scenario via Model!CG2. Bull and Bear panels are value snapshots generated from the Model with the switch set to each case. 2026E = 1H actual + 2H calibrated to the Q3-26 and FY26 guidance (revenue $51.0–51.4bn, operating margin 31.5%, FCF ~$12.5bn).</t>
        </is>
      </c>
      <c r="J3" s="152" t="inlineStr">
        <is>
          <t>As of:</t>
        </is>
      </c>
      <c r="K3" s="293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Model!$CG$2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2026E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2026E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2026E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Revenues</t>
        </is>
      </c>
      <c r="C9" s="80">
        <f>Model!CA121</f>
        <v>51200</v>
      </c>
      <c r="D9" s="81">
        <f>Model!CB121</f>
        <v>56579.3172703494</v>
      </c>
      <c r="E9" s="81">
        <f>Model!CC121</f>
        <v>61968.7121168316</v>
      </c>
      <c r="F9" s="81">
        <f>Model!CD121</f>
        <v>67263.6399676112</v>
      </c>
      <c r="G9" s="81">
        <f>Model!CE121</f>
        <v>72490.1808492587</v>
      </c>
      <c r="H9" s="81">
        <f>Model!CF121</f>
        <v>77556.003975615</v>
      </c>
      <c r="I9" s="294">
        <f>IFERROR((H9/C9)^(1/5)-1,"n/m")</f>
        <v>0.086598478675894</v>
      </c>
      <c r="N9" s="79" t="inlineStr">
        <is>
          <t>Revenues</t>
        </is>
      </c>
      <c r="O9" s="80" t="n">
        <v>51400</v>
      </c>
      <c r="P9" s="81" t="n">
        <v>57828.2519466794</v>
      </c>
      <c r="Q9" s="81" t="n">
        <v>64492.8950600263</v>
      </c>
      <c r="R9" s="81" t="n">
        <v>71292.8227636973</v>
      </c>
      <c r="S9" s="81" t="n">
        <v>78257.58207429841</v>
      </c>
      <c r="T9" s="81" t="n">
        <v>85290.787934076</v>
      </c>
      <c r="U9" s="294" t="n">
        <v>0.106592701490608</v>
      </c>
      <c r="Z9" s="79" t="inlineStr">
        <is>
          <t>Revenues</t>
        </is>
      </c>
      <c r="AA9" s="80" t="n">
        <v>51000</v>
      </c>
      <c r="AB9" s="81" t="n">
        <v>54703.0712406699</v>
      </c>
      <c r="AC9" s="81" t="n">
        <v>58134.6029606276</v>
      </c>
      <c r="AD9" s="81" t="n">
        <v>61207.1404356523</v>
      </c>
      <c r="AE9" s="81" t="n">
        <v>63964.5571857575</v>
      </c>
      <c r="AF9" s="81" t="n">
        <v>66343.0249232721</v>
      </c>
      <c r="AG9" s="294" t="n">
        <v>0.0540106974027701</v>
      </c>
    </row>
    <row r="10" ht="15" customHeight="1" s="251">
      <c r="B10" s="83" t="inlineStr">
        <is>
          <t xml:space="preserve">   Revenues y/y %</t>
        </is>
      </c>
      <c r="C10" s="295" t="n"/>
      <c r="D10" s="296">
        <f>IFERROR(D9/C9-1,"")</f>
        <v>0.105064790436511</v>
      </c>
      <c r="E10" s="296">
        <f>IFERROR(E9/D9-1,"")</f>
        <v>0.0952537977920516</v>
      </c>
      <c r="F10" s="296">
        <f>IFERROR(F9/E9-1,"")</f>
        <v>0.0854451814457098</v>
      </c>
      <c r="G10" s="296">
        <f>IFERROR(G9/F9-1,"")</f>
        <v>0.0777023200671891</v>
      </c>
      <c r="H10" s="296">
        <f>IFERROR(H9/G9-1,"")</f>
        <v>0.0698828871304726</v>
      </c>
      <c r="N10" s="83" t="inlineStr">
        <is>
          <t xml:space="preserve">   Revenues y/y %</t>
        </is>
      </c>
      <c r="O10" s="295" t="n"/>
      <c r="P10" s="296" t="n">
        <v>0.125063267445125</v>
      </c>
      <c r="Q10" s="296" t="n">
        <v>0.11524891188985</v>
      </c>
      <c r="R10" s="296" t="n">
        <v>0.105436850018007</v>
      </c>
      <c r="S10" s="296" t="n">
        <v>0.0976922927246973</v>
      </c>
      <c r="T10" s="296" t="n">
        <v>0.0898725168009944</v>
      </c>
      <c r="Z10" s="83" t="inlineStr">
        <is>
          <t xml:space="preserve">   Revenues y/y %</t>
        </is>
      </c>
      <c r="AA10" s="295" t="n"/>
      <c r="AB10" s="296" t="n">
        <v>0.07260924001313571</v>
      </c>
      <c r="AC10" s="296" t="n">
        <v>0.0627301473597421</v>
      </c>
      <c r="AD10" s="296" t="n">
        <v>0.0528521279676693</v>
      </c>
      <c r="AE10" s="296" t="n">
        <v>0.0450505730292041</v>
      </c>
      <c r="AF10" s="296" t="n">
        <v>0.0371841507572304</v>
      </c>
    </row>
    <row r="11" ht="15" customHeight="1" s="251">
      <c r="B11" s="79" t="inlineStr">
        <is>
          <t xml:space="preserve">   UCAN revenue y/y %</t>
        </is>
      </c>
      <c r="C11" s="86">
        <f>Model!CA209</f>
        <v>0.104219728009107</v>
      </c>
      <c r="D11" s="87">
        <f>Model!CB209</f>
        <v>0.0900000000000001</v>
      </c>
      <c r="E11" s="87">
        <f>Model!CC209</f>
        <v>0.0800000000000001</v>
      </c>
      <c r="F11" s="87">
        <f>Model!CD209</f>
        <v>0.0700000000000001</v>
      </c>
      <c r="G11" s="87">
        <f>Model!CE209</f>
        <v>0.065</v>
      </c>
      <c r="H11" s="87">
        <f>Model!CF209</f>
        <v>0.0600000000000001</v>
      </c>
      <c r="N11" s="79" t="inlineStr">
        <is>
          <t xml:space="preserve">   UCAN revenue y/y %</t>
        </is>
      </c>
      <c r="O11" s="86" t="n">
        <v>0.108659889893692</v>
      </c>
      <c r="P11" s="87" t="n">
        <v>0.11</v>
      </c>
      <c r="Q11" s="87" t="n">
        <v>0.1</v>
      </c>
      <c r="R11" s="87" t="n">
        <v>0.09000000000000009</v>
      </c>
      <c r="S11" s="87" t="n">
        <v>0.08500000000000001</v>
      </c>
      <c r="T11" s="87" t="n">
        <v>0.0800000000000001</v>
      </c>
      <c r="Z11" s="79" t="inlineStr">
        <is>
          <t xml:space="preserve">   UCAN revenue y/y %</t>
        </is>
      </c>
      <c r="AA11" s="86" t="n">
        <v>0.0997795661245222</v>
      </c>
      <c r="AB11" s="87" t="n">
        <v>0.0600000000000001</v>
      </c>
      <c r="AC11" s="87" t="n">
        <v>0.05</v>
      </c>
      <c r="AD11" s="87" t="n">
        <v>0.04</v>
      </c>
      <c r="AE11" s="87" t="n">
        <v>0.0349999999999999</v>
      </c>
      <c r="AF11" s="87" t="n">
        <v>0.03</v>
      </c>
    </row>
    <row r="12" ht="15" customHeight="1" s="251">
      <c r="B12" s="79" t="inlineStr">
        <is>
          <t>Adjusted EBITDA (company definition)</t>
        </is>
      </c>
      <c r="C12" s="80">
        <f>Model!CA175</f>
        <v>17197.6922355257</v>
      </c>
      <c r="D12" s="81">
        <f>Model!CB175</f>
        <v>20029.0783137037</v>
      </c>
      <c r="E12" s="81">
        <f>Model!CC175</f>
        <v>22866.4547711109</v>
      </c>
      <c r="F12" s="81">
        <f>Model!CD175</f>
        <v>25829.2377475627</v>
      </c>
      <c r="G12" s="81">
        <f>Model!CE175</f>
        <v>28561.1312546079</v>
      </c>
      <c r="H12" s="81">
        <f>Model!CF175</f>
        <v>31332.6256061485</v>
      </c>
      <c r="I12" s="294">
        <f>IFERROR((H12/C12)^(1/5)-1,"n/m")</f>
        <v>0.127470852668705</v>
      </c>
      <c r="N12" s="79" t="inlineStr">
        <is>
          <t>Adjusted EBITDA (company definition)</t>
        </is>
      </c>
      <c r="O12" s="80" t="n">
        <v>17260.6922355256</v>
      </c>
      <c r="P12" s="81" t="n">
        <v>21049.4837085913</v>
      </c>
      <c r="Q12" s="81" t="n">
        <v>24442.80722775</v>
      </c>
      <c r="R12" s="81" t="n">
        <v>28089.3721688968</v>
      </c>
      <c r="S12" s="81" t="n">
        <v>31616.0631580166</v>
      </c>
      <c r="T12" s="81" t="n">
        <v>35310.3862047074</v>
      </c>
      <c r="U12" s="294" t="n">
        <v>0.153901802424638</v>
      </c>
      <c r="Z12" s="79" t="inlineStr">
        <is>
          <t>Adjusted EBITDA (company definition)</t>
        </is>
      </c>
      <c r="AA12" s="80" t="n">
        <v>17134.6922355256</v>
      </c>
      <c r="AB12" s="81" t="n">
        <v>17997.3104381804</v>
      </c>
      <c r="AC12" s="81" t="n">
        <v>19998.3034184559</v>
      </c>
      <c r="AD12" s="81" t="n">
        <v>21973.3634163992</v>
      </c>
      <c r="AE12" s="81" t="n">
        <v>23602.9216015445</v>
      </c>
      <c r="AF12" s="81" t="n">
        <v>25144.0064459201</v>
      </c>
      <c r="AG12" s="294" t="n">
        <v>0.0797212137210859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0.33589242647511</v>
      </c>
      <c r="D13" s="89">
        <f>IFERROR(D12/D9,"")</f>
        <v>0.354</v>
      </c>
      <c r="E13" s="89">
        <f>IFERROR(E12/E9,"")</f>
        <v>0.369</v>
      </c>
      <c r="F13" s="89">
        <f>IFERROR(F12/F9,"")</f>
        <v>0.384</v>
      </c>
      <c r="G13" s="89">
        <f>IFERROR(G12/G9,"")</f>
        <v>0.394</v>
      </c>
      <c r="H13" s="89">
        <f>IFERROR(H12/H9,"")</f>
        <v>0.404</v>
      </c>
      <c r="J13" s="90">
        <f>IFERROR(AVERAGE(Model!C176,Model!D176,Model!E176,Model!F176,Model!G176,Model!H176,Model!I176,Model!N176,Model!S176,Model!X176,Model!AC176,Model!AH176,Model!AM176,Model!AR176,Model!AW176,Model!BB176,Model!BG176,Model!BL176,Model!BQ176,Model!BV176),"")</f>
        <v>0.149208890117356</v>
      </c>
      <c r="K13" s="90">
        <f>IFERROR(MIN(Model!C176,Model!D176,Model!E176,Model!F176,Model!G176,Model!H176,Model!I176,Model!N176,Model!S176,Model!X176,Model!AC176,Model!AH176,Model!AM176,Model!AR176,Model!AW176,Model!BB176,Model!BG176,Model!BL176,Model!BQ176,Model!BV176),"")</f>
        <v>0.0469370362304747</v>
      </c>
      <c r="L13" s="90">
        <f>IFERROR(MAX(Model!C176,Model!D176,Model!E176,Model!F176,Model!G176,Model!H176,Model!I176,Model!N176,Model!S176,Model!X176,Model!AC176,Model!AH176,Model!AM176,Model!AR176,Model!AW176,Model!BB176,Model!BG176,Model!BL176,Model!BQ176,Model!BV176),"")</f>
        <v>0.310480265203958</v>
      </c>
      <c r="N13" s="83" t="inlineStr">
        <is>
          <t xml:space="preserve">   Adjusted EBITDA margin %</t>
        </is>
      </c>
      <c r="O13" s="88" t="n">
        <v>0.33581113298688</v>
      </c>
      <c r="P13" s="89" t="n">
        <v>0.364</v>
      </c>
      <c r="Q13" s="89" t="n">
        <v>0.379</v>
      </c>
      <c r="R13" s="89" t="n">
        <v>0.394</v>
      </c>
      <c r="S13" s="89" t="n">
        <v>0.404</v>
      </c>
      <c r="T13" s="89" t="n">
        <v>0.414</v>
      </c>
      <c r="V13" s="90" t="n">
        <v>0.149208890117356</v>
      </c>
      <c r="W13" s="90" t="n">
        <v>0.0469370362304747</v>
      </c>
      <c r="X13" s="90" t="n">
        <v>0.310480265203958</v>
      </c>
      <c r="Z13" s="83" t="inlineStr">
        <is>
          <t xml:space="preserve">   Adjusted EBITDA margin %</t>
        </is>
      </c>
      <c r="AA13" s="88" t="n">
        <v>0.335974357559327</v>
      </c>
      <c r="AB13" s="89" t="n">
        <v>0.329</v>
      </c>
      <c r="AC13" s="89" t="n">
        <v>0.344</v>
      </c>
      <c r="AD13" s="89" t="n">
        <v>0.359</v>
      </c>
      <c r="AE13" s="89" t="n">
        <v>0.369</v>
      </c>
      <c r="AF13" s="89" t="n">
        <v>0.379</v>
      </c>
      <c r="AH13" s="90" t="n">
        <v>0.149208890117356</v>
      </c>
      <c r="AI13" s="90" t="n">
        <v>0.0469370362304747</v>
      </c>
      <c r="AJ13" s="90" t="n">
        <v>0.310480265203958</v>
      </c>
    </row>
    <row r="15" ht="15" customHeight="1" s="251">
      <c r="B15" s="79" t="inlineStr">
        <is>
          <t>Operating income (GAAP)</t>
        </is>
      </c>
      <c r="C15" s="80">
        <f>Model!CA131</f>
        <v>16128</v>
      </c>
      <c r="D15" s="81">
        <f>Model!CB131</f>
        <v>18954.071285567</v>
      </c>
      <c r="E15" s="81">
        <f>Model!CC131</f>
        <v>21689.0492408911</v>
      </c>
      <c r="F15" s="81">
        <f>Model!CD131</f>
        <v>24551.2285881781</v>
      </c>
      <c r="G15" s="81">
        <f>Model!CE131</f>
        <v>27183.817818472</v>
      </c>
      <c r="H15" s="81">
        <f>Model!CF131</f>
        <v>29859.0615306118</v>
      </c>
      <c r="I15" s="294">
        <f>IFERROR((H15/C15)^(1/5)-1,"n/m")</f>
        <v>0.131095117723862</v>
      </c>
      <c r="N15" s="79" t="inlineStr">
        <is>
          <t>Operating income (GAAP)</t>
        </is>
      </c>
      <c r="O15" s="80" t="n">
        <v>16191</v>
      </c>
      <c r="P15" s="81" t="n">
        <v>19950.7469216044</v>
      </c>
      <c r="Q15" s="81" t="n">
        <v>23217.4422216095</v>
      </c>
      <c r="R15" s="81" t="n">
        <v>26734.8085363865</v>
      </c>
      <c r="S15" s="81" t="n">
        <v>30129.1690986049</v>
      </c>
      <c r="T15" s="81" t="n">
        <v>33689.86123396</v>
      </c>
      <c r="U15" s="294" t="n">
        <v>0.157830830976398</v>
      </c>
      <c r="Z15" s="79" t="inlineStr">
        <is>
          <t>Operating income (GAAP)</t>
        </is>
      </c>
      <c r="AA15" s="80" t="n">
        <v>16065</v>
      </c>
      <c r="AB15" s="81" t="n">
        <v>16957.9520846077</v>
      </c>
      <c r="AC15" s="81" t="n">
        <v>18893.745962204</v>
      </c>
      <c r="AD15" s="81" t="n">
        <v>20810.4277481218</v>
      </c>
      <c r="AE15" s="81" t="n">
        <v>22387.5950150151</v>
      </c>
      <c r="AF15" s="81" t="n">
        <v>23883.488972378</v>
      </c>
      <c r="AG15" s="294" t="n">
        <v>0.0825386427317818</v>
      </c>
    </row>
    <row r="16" ht="15" customHeight="1" s="251">
      <c r="B16" s="83" t="inlineStr">
        <is>
          <t xml:space="preserve">   Operating income y/y %</t>
        </is>
      </c>
      <c r="C16" s="295" t="n"/>
      <c r="D16" s="296">
        <f>IFERROR(D15/C15-1,"")</f>
        <v>0.17522763427375</v>
      </c>
      <c r="E16" s="296">
        <f>IFERROR(E15/D15-1,"")</f>
        <v>0.144295012618561</v>
      </c>
      <c r="F16" s="296">
        <f>IFERROR(F15/E15-1,"")</f>
        <v>0.131964260650526</v>
      </c>
      <c r="G16" s="296">
        <f>IFERROR(G15/F15-1,"")</f>
        <v>0.107228411027934</v>
      </c>
      <c r="H16" s="296">
        <f>IFERROR(H15/G15-1,"")</f>
        <v>0.0984130974539521</v>
      </c>
      <c r="N16" s="83" t="inlineStr">
        <is>
          <t xml:space="preserve">   Operating income y/y %</t>
        </is>
      </c>
      <c r="O16" s="295" t="n"/>
      <c r="P16" s="296" t="n">
        <v>0.232212150058946</v>
      </c>
      <c r="Q16" s="296" t="n">
        <v>0.163737995015495</v>
      </c>
      <c r="R16" s="296" t="n">
        <v>0.151496718768757</v>
      </c>
      <c r="S16" s="296" t="n">
        <v>0.126964087197356</v>
      </c>
      <c r="T16" s="296" t="n">
        <v>0.11818089386076</v>
      </c>
      <c r="Z16" s="83" t="inlineStr">
        <is>
          <t xml:space="preserve">   Operating income y/y %</t>
        </is>
      </c>
      <c r="AA16" s="295" t="n"/>
      <c r="AB16" s="296" t="n">
        <v>0.055583696520864</v>
      </c>
      <c r="AC16" s="296" t="n">
        <v>0.114152573844891</v>
      </c>
      <c r="AD16" s="296" t="n">
        <v>0.101445303104638</v>
      </c>
      <c r="AE16" s="296" t="n">
        <v>0.075787354588887</v>
      </c>
      <c r="AF16" s="296" t="n">
        <v>0.0668179836360083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0.315</v>
      </c>
      <c r="D17" s="89">
        <f>IFERROR(D15/D9,"")</f>
        <v>0.335</v>
      </c>
      <c r="E17" s="89">
        <f>IFERROR(E15/E9,"")</f>
        <v>0.35</v>
      </c>
      <c r="F17" s="89">
        <f>IFERROR(F15/F9,"")</f>
        <v>0.365</v>
      </c>
      <c r="G17" s="89">
        <f>IFERROR(G15/G9,"")</f>
        <v>0.375</v>
      </c>
      <c r="H17" s="89">
        <f>IFERROR(H15/H9,"")</f>
        <v>0.385</v>
      </c>
      <c r="J17" s="90">
        <f>IFERROR(AVERAGE(Model!C217,Model!D217,Model!E217,Model!F217,Model!G217,Model!H217,Model!I217,Model!N217,Model!S217,Model!X217,Model!AC217,Model!AH217,Model!AM217,Model!AR217,Model!AW217,Model!BB217,Model!BG217,Model!BL217,Model!BQ217,Model!BV217),"")</f>
        <v>0.123052872825284</v>
      </c>
      <c r="K17" s="90">
        <f>IFERROR(MIN(Model!C217,Model!D217,Model!E217,Model!F217,Model!G217,Model!H217,Model!I217,Model!N217,Model!S217,Model!X217,Model!AC217,Model!AH217,Model!AM217,Model!AR217,Model!AW217,Model!BB217,Model!BG217,Model!BL217,Model!BQ217,Model!BV217),"")</f>
        <v>0.0138509542895236</v>
      </c>
      <c r="L17" s="90">
        <f>IFERROR(MAX(Model!C217,Model!D217,Model!E217,Model!F217,Model!G217,Model!H217,Model!I217,Model!N217,Model!S217,Model!X217,Model!AC217,Model!AH217,Model!AM217,Model!AR217,Model!AW217,Model!BB217,Model!BG217,Model!BL217,Model!BQ217,Model!BV217),"")</f>
        <v>0.294947046055073</v>
      </c>
      <c r="N17" s="83" t="inlineStr">
        <is>
          <t xml:space="preserve">   Operating margin (GAAP) %</t>
        </is>
      </c>
      <c r="O17" s="88" t="n">
        <v>0.315</v>
      </c>
      <c r="P17" s="89" t="n">
        <v>0.345</v>
      </c>
      <c r="Q17" s="89" t="n">
        <v>0.36</v>
      </c>
      <c r="R17" s="89" t="n">
        <v>0.375</v>
      </c>
      <c r="S17" s="89" t="n">
        <v>0.385</v>
      </c>
      <c r="T17" s="89" t="n">
        <v>0.395</v>
      </c>
      <c r="V17" s="90" t="n">
        <v>0.123052872825284</v>
      </c>
      <c r="W17" s="90" t="n">
        <v>0.0138509542895236</v>
      </c>
      <c r="X17" s="90" t="n">
        <v>0.294947046055073</v>
      </c>
      <c r="Z17" s="83" t="inlineStr">
        <is>
          <t xml:space="preserve">   Operating margin (GAAP) %</t>
        </is>
      </c>
      <c r="AA17" s="88" t="n">
        <v>0.315</v>
      </c>
      <c r="AB17" s="89" t="n">
        <v>0.31</v>
      </c>
      <c r="AC17" s="89" t="n">
        <v>0.325</v>
      </c>
      <c r="AD17" s="89" t="n">
        <v>0.34</v>
      </c>
      <c r="AE17" s="89" t="n">
        <v>0.35</v>
      </c>
      <c r="AF17" s="89" t="n">
        <v>0.36</v>
      </c>
      <c r="AH17" s="90" t="n">
        <v>0.123052872825284</v>
      </c>
      <c r="AI17" s="90" t="n">
        <v>0.0138509542895236</v>
      </c>
      <c r="AJ17" s="90" t="n">
        <v>0.294947046055073</v>
      </c>
    </row>
    <row r="19" ht="15" customHeight="1" s="251">
      <c r="B19" s="79" t="inlineStr">
        <is>
          <t>Adjusted Net Income (model)</t>
        </is>
      </c>
      <c r="C19" s="80">
        <f>Model!CA198</f>
        <v>12845.8901799681</v>
      </c>
      <c r="D19" s="81">
        <f>Model!CB198</f>
        <v>15315.1314271673</v>
      </c>
      <c r="E19" s="81">
        <f>Model!CC198</f>
        <v>17591.8898783329</v>
      </c>
      <c r="F19" s="81">
        <f>Model!CD198</f>
        <v>19974.2603364452</v>
      </c>
      <c r="G19" s="81">
        <f>Model!CE198</f>
        <v>22165.7442990931</v>
      </c>
      <c r="H19" s="81">
        <f>Model!CF198</f>
        <v>24404.2717007181</v>
      </c>
      <c r="I19" s="294">
        <f>IFERROR((H19/C19)^(1/5)-1,"n/m")</f>
        <v>0.136947286037094</v>
      </c>
      <c r="N19" s="79" t="inlineStr">
        <is>
          <t>Adjusted Net Income (model)</t>
        </is>
      </c>
      <c r="O19" s="80" t="n">
        <v>12898.4951799681</v>
      </c>
      <c r="P19" s="81" t="n">
        <v>16120.8440800783</v>
      </c>
      <c r="Q19" s="81" t="n">
        <v>18839.776613337</v>
      </c>
      <c r="R19" s="81" t="n">
        <v>21767.4814183764</v>
      </c>
      <c r="S19" s="81" t="n">
        <v>24593.5008255993</v>
      </c>
      <c r="T19" s="81" t="n">
        <v>27569.9509498162</v>
      </c>
      <c r="U19" s="294" t="n">
        <v>0.164070784416209</v>
      </c>
      <c r="Z19" s="79" t="inlineStr">
        <is>
          <t>Adjusted Net Income (model)</t>
        </is>
      </c>
      <c r="AA19" s="80" t="n">
        <v>12793.2851799681</v>
      </c>
      <c r="AB19" s="81" t="n">
        <v>13701.7545737044</v>
      </c>
      <c r="AC19" s="81" t="n">
        <v>15312.5948365134</v>
      </c>
      <c r="AD19" s="81" t="n">
        <v>16906.3982205096</v>
      </c>
      <c r="AE19" s="81" t="n">
        <v>18216.8526515108</v>
      </c>
      <c r="AF19" s="81" t="n">
        <v>19470.364718948</v>
      </c>
      <c r="AG19" s="294" t="n">
        <v>0.0876230453397016</v>
      </c>
    </row>
    <row r="21" ht="15" customHeight="1" s="251">
      <c r="B21" s="79" t="inlineStr">
        <is>
          <t>FDSO (m)</t>
        </is>
      </c>
      <c r="C21" s="91">
        <f>Model!CA148</f>
        <v>4235.00898204762</v>
      </c>
      <c r="D21" s="92">
        <f>Model!CB148</f>
        <v>4063.41197249018</v>
      </c>
      <c r="E21" s="92">
        <f>Model!CC148</f>
        <v>3891.55333534882</v>
      </c>
      <c r="F21" s="92">
        <f>Model!CD148</f>
        <v>3701.94005574409</v>
      </c>
      <c r="G21" s="92">
        <f>Model!CE148</f>
        <v>3499.20607879558</v>
      </c>
      <c r="H21" s="92">
        <f>Model!CF148</f>
        <v>3287.08758573296</v>
      </c>
      <c r="I21" s="294">
        <f>IFERROR((H21/C21)^(1/5)-1,"n/m")</f>
        <v>-0.0494140563367874</v>
      </c>
      <c r="N21" s="79" t="inlineStr">
        <is>
          <t>FDSO (m)</t>
        </is>
      </c>
      <c r="O21" s="91" t="n">
        <v>4231.30362490476</v>
      </c>
      <c r="P21" s="92" t="n">
        <v>4037.60185815079</v>
      </c>
      <c r="Q21" s="92" t="n">
        <v>3841.68267875692</v>
      </c>
      <c r="R21" s="92" t="n">
        <v>3623.62900910518</v>
      </c>
      <c r="S21" s="92" t="n">
        <v>3387.80493271389</v>
      </c>
      <c r="T21" s="92" t="n">
        <v>3137.86884733407</v>
      </c>
      <c r="U21" s="294" t="n">
        <v>-0.0580407407423997</v>
      </c>
      <c r="Z21" s="79" t="inlineStr">
        <is>
          <t>FDSO (m)</t>
        </is>
      </c>
      <c r="AA21" s="91" t="n">
        <v>4242.47922014286</v>
      </c>
      <c r="AB21" s="92" t="n">
        <v>4113.58664231342</v>
      </c>
      <c r="AC21" s="92" t="n">
        <v>3985.22975334862</v>
      </c>
      <c r="AD21" s="92" t="n">
        <v>3845.12359066512</v>
      </c>
      <c r="AE21" s="92" t="n">
        <v>3698.01659286186</v>
      </c>
      <c r="AF21" s="92" t="n">
        <v>3547.45462311954</v>
      </c>
      <c r="AG21" s="294" t="n">
        <v>-0.0351508356853948</v>
      </c>
    </row>
    <row r="23" ht="15" customHeight="1" s="251">
      <c r="B23" s="79" t="inlineStr">
        <is>
          <t>Adjusted EPS — Diluted ($)</t>
        </is>
      </c>
      <c r="C23" s="93">
        <f>Model!CA201</f>
        <v>3.03326161394755</v>
      </c>
      <c r="D23" s="94">
        <f>Model!CB201</f>
        <v>3.76903241188753</v>
      </c>
      <c r="E23" s="94">
        <f>Model!CC201</f>
        <v>4.52053161356865</v>
      </c>
      <c r="F23" s="94">
        <f>Model!CD201</f>
        <v>5.39561960368652</v>
      </c>
      <c r="G23" s="94">
        <f>Model!CE201</f>
        <v>6.33450668522</v>
      </c>
      <c r="H23" s="94">
        <f>Model!CF201</f>
        <v>7.424283979119</v>
      </c>
      <c r="I23" s="294">
        <f>IFERROR((H23/C23)^(1/5)-1,"n/m")</f>
        <v>0.196048914478698</v>
      </c>
      <c r="N23" s="79" t="inlineStr">
        <is>
          <t>Adjusted EPS — Diluted ($)</t>
        </is>
      </c>
      <c r="O23" s="93" t="n">
        <v>3.04835018315625</v>
      </c>
      <c r="P23" s="94" t="n">
        <v>3.99267799214398</v>
      </c>
      <c r="Q23" s="94" t="n">
        <v>4.90404288660122</v>
      </c>
      <c r="R23" s="94" t="n">
        <v>6.00709436967216</v>
      </c>
      <c r="S23" s="94" t="n">
        <v>7.25942057292479</v>
      </c>
      <c r="T23" s="94" t="n">
        <v>8.78620244859489</v>
      </c>
      <c r="U23" s="294" t="n">
        <v>0.235797379744072</v>
      </c>
      <c r="Z23" s="79" t="inlineStr">
        <is>
          <t>Adjusted EPS — Diluted ($)</t>
        </is>
      </c>
      <c r="AA23" s="93" t="n">
        <v>3.01552099989716</v>
      </c>
      <c r="AB23" s="94" t="n">
        <v>3.33085352640068</v>
      </c>
      <c r="AC23" s="94" t="n">
        <v>3.84233677459798</v>
      </c>
      <c r="AD23" s="94" t="n">
        <v>4.39684130350286</v>
      </c>
      <c r="AE23" s="94" t="n">
        <v>4.92611436267596</v>
      </c>
      <c r="AF23" s="94" t="n">
        <v>5.48854510838711</v>
      </c>
      <c r="AG23" s="294" t="n">
        <v>0.12724670919139</v>
      </c>
    </row>
    <row r="24" ht="15" customHeight="1" s="251">
      <c r="B24" s="83" t="inlineStr">
        <is>
          <t xml:space="preserve">   EPS y/y %</t>
        </is>
      </c>
      <c r="C24" s="295" t="n"/>
      <c r="D24" s="296">
        <f>IFERROR(D23/C23-1,"")</f>
        <v>0.242567536725733</v>
      </c>
      <c r="E24" s="296">
        <f>IFERROR(E23/D23-1,"")</f>
        <v>0.19938783208945</v>
      </c>
      <c r="F24" s="296">
        <f>IFERROR(F23/E23-1,"")</f>
        <v>0.19358076990132</v>
      </c>
      <c r="G24" s="296">
        <f>IFERROR(G23/F23-1,"")</f>
        <v>0.174009131572579</v>
      </c>
      <c r="H24" s="296">
        <f>IFERROR(H23/G23-1,"")</f>
        <v>0.17203822618764</v>
      </c>
      <c r="N24" s="83" t="inlineStr">
        <is>
          <t xml:space="preserve">   EPS y/y %</t>
        </is>
      </c>
      <c r="O24" s="295" t="n"/>
      <c r="P24" s="296" t="n">
        <v>0.309783244131743</v>
      </c>
      <c r="Q24" s="296" t="n">
        <v>0.228259052257769</v>
      </c>
      <c r="R24" s="296" t="n">
        <v>0.224926965072978</v>
      </c>
      <c r="S24" s="296" t="n">
        <v>0.208474534639446</v>
      </c>
      <c r="T24" s="296" t="n">
        <v>0.210317319451704</v>
      </c>
      <c r="Z24" s="83" t="inlineStr">
        <is>
          <t xml:space="preserve">   EPS y/y %</t>
        </is>
      </c>
      <c r="AA24" s="295" t="n"/>
      <c r="AB24" s="296" t="n">
        <v>0.104569832713575</v>
      </c>
      <c r="AC24" s="296" t="n">
        <v>0.153559213619943</v>
      </c>
      <c r="AD24" s="296" t="n">
        <v>0.14431440069771</v>
      </c>
      <c r="AE24" s="296" t="n">
        <v>0.120375747642163</v>
      </c>
      <c r="AF24" s="296" t="n">
        <v>0.114173302587646</v>
      </c>
    </row>
    <row r="26" ht="15" customHeight="1" s="251">
      <c r="B26" s="83" t="inlineStr">
        <is>
          <t>P / E (x) — assumed (adjusted EPS)</t>
        </is>
      </c>
      <c r="C26" s="297" t="n"/>
      <c r="D26" s="297" t="n"/>
      <c r="E26" s="297" t="n"/>
      <c r="F26" s="297" t="n"/>
      <c r="G26" s="297" t="n">
        <v>22</v>
      </c>
      <c r="H26" s="297" t="n">
        <v>22</v>
      </c>
      <c r="N26" s="83" t="inlineStr">
        <is>
          <t>P / E (x) — assumed (adjusted EPS)</t>
        </is>
      </c>
      <c r="O26" s="297" t="n"/>
      <c r="P26" s="297" t="n"/>
      <c r="Q26" s="297" t="n"/>
      <c r="R26" s="297" t="n"/>
      <c r="S26" s="297" t="n">
        <v>28</v>
      </c>
      <c r="T26" s="297" t="n">
        <v>28</v>
      </c>
      <c r="Z26" s="83" t="inlineStr">
        <is>
          <t>P / E (x) — assumed (adjusted EPS)</t>
        </is>
      </c>
      <c r="AA26" s="297" t="n"/>
      <c r="AB26" s="297" t="n"/>
      <c r="AC26" s="297" t="n"/>
      <c r="AD26" s="297" t="n">
        <v>16</v>
      </c>
      <c r="AE26" s="297" t="n">
        <v>16</v>
      </c>
      <c r="AF26" s="297" t="n">
        <v>16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139.35914707484</v>
      </c>
      <c r="H27" s="96">
        <f>H26*H23</f>
        <v>163.334247540618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203.263776041894</v>
      </c>
      <c r="T27" s="96">
        <f>T26*T23</f>
        <v>246.013668560657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70.3494608560458</v>
      </c>
      <c r="AE27" s="96">
        <f>AE26*AE23</f>
        <v>78.8178298028154</v>
      </c>
      <c r="AF27" s="96">
        <f>AF26*AF23</f>
        <v>87.8167217341938</v>
      </c>
    </row>
    <row r="28" ht="15" customHeight="1" s="251">
      <c r="B28" t="inlineStr">
        <is>
          <t xml:space="preserve">   Upside / (Downside) vs current</t>
        </is>
      </c>
      <c r="E28" s="298" t="n"/>
      <c r="F28" s="298" t="n"/>
      <c r="G28" s="298">
        <f>IFERROR(G27/$K$2-1,"")</f>
        <v>0.990844958212</v>
      </c>
      <c r="H28" s="298">
        <f>IFERROR(H27/$K$2-1,"")</f>
        <v>1.3333463934374</v>
      </c>
      <c r="N28" t="inlineStr">
        <is>
          <t xml:space="preserve">   Upside / (Downside) vs current</t>
        </is>
      </c>
      <c r="O28" s="298" t="n"/>
      <c r="P28" s="298" t="n"/>
      <c r="Q28" s="298" t="n"/>
      <c r="R28" s="298" t="n"/>
      <c r="S28" s="298">
        <f>IFERROR(S27/$K$2-1,"")</f>
        <v>1.90376822916992</v>
      </c>
      <c r="T28" s="298">
        <f>IFERROR(T27/$K$2-1,"")</f>
        <v>2.51448097943796</v>
      </c>
      <c r="Z28" t="inlineStr">
        <is>
          <t xml:space="preserve">   Upside / (Downside) vs current</t>
        </is>
      </c>
      <c r="AA28" s="298" t="n"/>
      <c r="AB28" s="298" t="n"/>
      <c r="AC28" s="298" t="n"/>
      <c r="AD28" s="298">
        <f>IFERROR(AD27/$K$2-1,"")</f>
        <v>0.00499229794351086</v>
      </c>
      <c r="AE28" s="298">
        <f>IFERROR(AE27/$K$2-1,"")</f>
        <v>0.125968997183076</v>
      </c>
      <c r="AF28" s="298">
        <f>IFERROR(AF27/$K$2-1,"")</f>
        <v>0.254524596202768</v>
      </c>
    </row>
    <row r="29" ht="15" customHeight="1" s="251">
      <c r="B29" s="75" t="inlineStr">
        <is>
          <t>IRR (to 31-Dec of Y-1)</t>
        </is>
      </c>
      <c r="C29" s="299" t="n"/>
      <c r="D29" s="299" t="n"/>
      <c r="E29" s="299" t="n"/>
      <c r="F29" s="299" t="n"/>
      <c r="G29" s="299">
        <f>IFERROR((G27/$K$2)^(1/((DATE(2030-1,12,31)-$K$3)/365.25))-1,"")</f>
        <v>0.238671388760658</v>
      </c>
      <c r="H29" s="299">
        <f>IFERROR((H27/$K$2)^(1/((DATE(2031-1,12,31)-$K$3)/365.25))-1,"")</f>
        <v>0.222575223079312</v>
      </c>
      <c r="N29" s="75" t="inlineStr">
        <is>
          <t>IRR (to 31-Dec of Y-1)</t>
        </is>
      </c>
      <c r="O29" s="299" t="n"/>
      <c r="P29" s="299" t="n"/>
      <c r="Q29" s="299" t="n"/>
      <c r="R29" s="299" t="n"/>
      <c r="S29" s="299">
        <f>IFERROR((S27/$K$2)^(1/((DATE(2030-1,12,31)-$K$3)/365.25))-1,"")</f>
        <v>0.392875227390112</v>
      </c>
      <c r="T29" s="299">
        <f>IFERROR((T27/$K$2)^(1/((DATE(2031-1,12,31)-$K$3)/365.25))-1,"")</f>
        <v>0.347301541517738</v>
      </c>
      <c r="Z29" s="75" t="inlineStr">
        <is>
          <t>IRR (to 31-Dec of Y-1)</t>
        </is>
      </c>
      <c r="AA29" s="299" t="n"/>
      <c r="AB29" s="299" t="n"/>
      <c r="AC29" s="299" t="n"/>
      <c r="AD29" s="299">
        <f>IFERROR((AD27/$K$2)^(1/((DATE(2029-1,12,31)-$K$3)/365.25))-1,"")</f>
        <v>0.00224807913175984</v>
      </c>
      <c r="AE29" s="299">
        <f>IFERROR((AE27/$K$2)^(1/((DATE(2030-1,12,31)-$K$3)/365.25))-1,"")</f>
        <v>0.0375691404469372</v>
      </c>
      <c r="AF29" s="299">
        <f>IFERROR((AF27/$K$2)^(1/((DATE(2031-1,12,31)-$K$3)/365.25))-1,"")</f>
        <v>0.055253573722885</v>
      </c>
    </row>
    <row r="31" ht="15" customHeight="1" s="251">
      <c r="B31" s="79" t="inlineStr">
        <is>
          <t>Free Cash Flow</t>
        </is>
      </c>
      <c r="C31" s="80">
        <f>Model!CA259</f>
        <v>12500</v>
      </c>
      <c r="D31" s="81">
        <f>Model!CB259</f>
        <v>13764.6887690763</v>
      </c>
      <c r="E31" s="81">
        <f>Model!CC259</f>
        <v>16400.9537231095</v>
      </c>
      <c r="F31" s="81">
        <f>Model!CD259</f>
        <v>18981.4847413793</v>
      </c>
      <c r="G31" s="81">
        <f>Model!CE259</f>
        <v>21410.9431551389</v>
      </c>
      <c r="H31" s="81">
        <f>Model!CF259</f>
        <v>23843.8243044588</v>
      </c>
      <c r="I31" s="294">
        <f>IFERROR((H31/C31)^(1/5)-1,"n/m")</f>
        <v>0.13787139550505</v>
      </c>
      <c r="N31" s="79" t="inlineStr">
        <is>
          <t>Free Cash Flow</t>
        </is>
      </c>
      <c r="O31" s="80" t="n">
        <v>12500</v>
      </c>
      <c r="P31" s="81" t="n">
        <v>15217.0785876909</v>
      </c>
      <c r="Q31" s="81" t="n">
        <v>18359.2302458937</v>
      </c>
      <c r="R31" s="81" t="n">
        <v>21551.0425508467</v>
      </c>
      <c r="S31" s="81" t="n">
        <v>24680.9463370993</v>
      </c>
      <c r="T31" s="81" t="n">
        <v>27909.0681272303</v>
      </c>
      <c r="U31" s="294" t="n">
        <v>0.174267563286961</v>
      </c>
      <c r="Z31" s="79" t="inlineStr">
        <is>
          <t>Free Cash Flow</t>
        </is>
      </c>
      <c r="AA31" s="80" t="n">
        <v>12500</v>
      </c>
      <c r="AB31" s="81" t="n">
        <v>11071.1989885511</v>
      </c>
      <c r="AC31" s="81" t="n">
        <v>12927.8451035685</v>
      </c>
      <c r="AD31" s="81" t="n">
        <v>14601.0103159896</v>
      </c>
      <c r="AE31" s="81" t="n">
        <v>16028.2763885619</v>
      </c>
      <c r="AF31" s="81" t="n">
        <v>17365.4141565681</v>
      </c>
      <c r="AG31" s="294" t="n">
        <v>0.0679600979135262</v>
      </c>
    </row>
    <row r="32" ht="15" customHeight="1" s="251">
      <c r="B32" s="83" t="inlineStr">
        <is>
          <t xml:space="preserve">   FCF %</t>
        </is>
      </c>
      <c r="C32" s="88">
        <f>IFERROR(C31/C9,"")</f>
        <v>0.244140625</v>
      </c>
      <c r="D32" s="89">
        <f>IFERROR(D31/D9,"")</f>
        <v>0.243281280742668</v>
      </c>
      <c r="E32" s="89">
        <f>IFERROR(E31/E9,"")</f>
        <v>0.264665073112835</v>
      </c>
      <c r="F32" s="89">
        <f>IFERROR(F31/F9,"")</f>
        <v>0.28219532500054</v>
      </c>
      <c r="G32" s="89">
        <f>IFERROR(G31/G9,"")</f>
        <v>0.295363356861564</v>
      </c>
      <c r="H32" s="89">
        <f>IFERROR(H31/H9,"")</f>
        <v>0.307440083065081</v>
      </c>
      <c r="J32" s="90">
        <f>IFERROR(AVERAGE(Model!C264,Model!D264,Model!E264,Model!F264,Model!G264,Model!H264,Model!I264,Model!N264,Model!S264,Model!X264,Model!AC264,Model!AH264,Model!AM264,Model!AR264,Model!AW264,Model!BB264,Model!BG264,Model!BL264,Model!BQ264,Model!BV264),"")</f>
        <v>0.0167971603636562</v>
      </c>
      <c r="K32" s="90">
        <f>IFERROR(MIN(Model!C264,Model!D264,Model!E264,Model!F264,Model!G264,Model!H264,Model!I264,Model!N264,Model!S264,Model!X264,Model!AC264,Model!AH264,Model!AM264,Model!AR264,Model!AW264,Model!BB264,Model!BG264,Model!BL264,Model!BQ264,Model!BV264),"")</f>
        <v>-0.191182335495986</v>
      </c>
      <c r="L32" s="90">
        <f>IFERROR(MAX(Model!C264,Model!D264,Model!E264,Model!F264,Model!G264,Model!H264,Model!I264,Model!N264,Model!S264,Model!X264,Model!AC264,Model!AH264,Model!AM264,Model!AR264,Model!AW264,Model!BB264,Model!BG264,Model!BL264,Model!BQ264,Model!BV264),"")</f>
        <v>0.209393919434719</v>
      </c>
      <c r="N32" s="83" t="inlineStr">
        <is>
          <t xml:space="preserve">   FCF %</t>
        </is>
      </c>
      <c r="O32" s="88" t="n">
        <v>0.243190661478599</v>
      </c>
      <c r="P32" s="89" t="n">
        <v>0.263142634878914</v>
      </c>
      <c r="Q32" s="89" t="n">
        <v>0.284670586253043</v>
      </c>
      <c r="R32" s="89" t="n">
        <v>0.302289090477992</v>
      </c>
      <c r="S32" s="89" t="n">
        <v>0.315380895791886</v>
      </c>
      <c r="T32" s="89" t="n">
        <v>0.327222538368413</v>
      </c>
      <c r="V32" s="90" t="n">
        <v>0.0167971603636562</v>
      </c>
      <c r="W32" s="90" t="n">
        <v>-0.191182335495986</v>
      </c>
      <c r="X32" s="90" t="n">
        <v>0.209393919434719</v>
      </c>
      <c r="Z32" s="83" t="inlineStr">
        <is>
          <t xml:space="preserve">   FCF %</t>
        </is>
      </c>
      <c r="AA32" s="88" t="n">
        <v>0.245098039215686</v>
      </c>
      <c r="AB32" s="89" t="n">
        <v>0.202387155555538</v>
      </c>
      <c r="AC32" s="89" t="n">
        <v>0.222377799884934</v>
      </c>
      <c r="AD32" s="89" t="n">
        <v>0.238550767313493</v>
      </c>
      <c r="AE32" s="89" t="n">
        <v>0.250580588590877</v>
      </c>
      <c r="AF32" s="89" t="n">
        <v>0.261751920064721</v>
      </c>
      <c r="AH32" s="90" t="n">
        <v>0.0167971603636562</v>
      </c>
      <c r="AI32" s="90" t="n">
        <v>-0.191182335495986</v>
      </c>
      <c r="AJ32" s="90" t="n">
        <v>0.209393919434719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2.95158760063745</v>
      </c>
      <c r="D33" s="100">
        <f>IFERROR(D31/D21,"")</f>
        <v>3.38747064345556</v>
      </c>
      <c r="E33" s="100">
        <f>IFERROR(E31/E21,"")</f>
        <v>4.21450056308669</v>
      </c>
      <c r="F33" s="100">
        <f>IFERROR(F31/F21,"")</f>
        <v>5.12744249111405</v>
      </c>
      <c r="G33" s="100">
        <f>IFERROR(G31/G21,"")</f>
        <v>6.11880028583755</v>
      </c>
      <c r="H33" s="100">
        <f>IFERROR(H31/H21,"")</f>
        <v>7.25378429462875</v>
      </c>
      <c r="N33" s="83" t="inlineStr">
        <is>
          <t xml:space="preserve">   FCF / share ($)</t>
        </is>
      </c>
      <c r="O33" s="99" t="n">
        <v>2.95417230907918</v>
      </c>
      <c r="P33" s="100" t="n">
        <v>3.76884079270269</v>
      </c>
      <c r="Q33" s="100" t="n">
        <v>4.77895541644119</v>
      </c>
      <c r="R33" s="100" t="n">
        <v>5.94736450577445</v>
      </c>
      <c r="S33" s="100" t="n">
        <v>7.2852324225551</v>
      </c>
      <c r="T33" s="100" t="n">
        <v>8.89427489964784</v>
      </c>
      <c r="Z33" s="83" t="inlineStr">
        <is>
          <t xml:space="preserve">   FCF / share ($)</t>
        </is>
      </c>
      <c r="AA33" s="99" t="n">
        <v>2.94639038905631</v>
      </c>
      <c r="AB33" s="100" t="n">
        <v>2.69137372109047</v>
      </c>
      <c r="AC33" s="100" t="n">
        <v>3.24393972335116</v>
      </c>
      <c r="AD33" s="100" t="n">
        <v>3.7972798459422</v>
      </c>
      <c r="AE33" s="100" t="n">
        <v>4.33429001359828</v>
      </c>
      <c r="AF33" s="100" t="n">
        <v>4.89517583773839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0.043906700164802</v>
      </c>
      <c r="H34" s="101">
        <f>IFERROR(H33/H$27,"")</f>
        <v>0.0444106756779522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0.0358412726773981</v>
      </c>
      <c r="T34" s="101">
        <f>IFERROR(T33/T$27,"")</f>
        <v>0.0361535802123729</v>
      </c>
      <c r="Z34" s="83" t="inlineStr">
        <is>
          <t xml:space="preserve">   FCF Yield (on PT)</t>
        </is>
      </c>
      <c r="AC34" s="101" t="n"/>
      <c r="AD34" s="101">
        <f>IFERROR(AD33/AD$27,"")</f>
        <v>0.0539773837600898</v>
      </c>
      <c r="AE34" s="101">
        <f>IFERROR(AE33/AE$27,"")</f>
        <v>0.0549912376989028</v>
      </c>
      <c r="AF34" s="101">
        <f>IFERROR(AF33/AF$27,"")</f>
        <v>0.0557430947212451</v>
      </c>
    </row>
    <row r="35" ht="15" customHeight="1" s="251">
      <c r="B35" s="79" t="inlineStr">
        <is>
          <t>Adjusted EBITDA (leverage basis)</t>
        </is>
      </c>
      <c r="C35" s="80">
        <f>Model!CA175</f>
        <v>17197.6922355257</v>
      </c>
      <c r="D35" s="81">
        <f>Model!CB175</f>
        <v>20029.0783137037</v>
      </c>
      <c r="E35" s="81">
        <f>Model!CC175</f>
        <v>22866.4547711109</v>
      </c>
      <c r="F35" s="81">
        <f>Model!CD175</f>
        <v>25829.2377475627</v>
      </c>
      <c r="G35" s="81">
        <f>Model!CE175</f>
        <v>28561.1312546079</v>
      </c>
      <c r="H35" s="81">
        <f>Model!CF175</f>
        <v>31332.6256061485</v>
      </c>
      <c r="I35" s="294">
        <f>IFERROR((H35/C35)^(1/5)-1,"n/m")</f>
        <v>0.127470852668705</v>
      </c>
      <c r="N35" s="79" t="inlineStr">
        <is>
          <t>Adjusted EBITDA (leverage basis)</t>
        </is>
      </c>
      <c r="O35" s="80" t="n">
        <v>17260.6922355256</v>
      </c>
      <c r="P35" s="81" t="n">
        <v>21049.4837085913</v>
      </c>
      <c r="Q35" s="81" t="n">
        <v>24442.80722775</v>
      </c>
      <c r="R35" s="81" t="n">
        <v>28089.3721688968</v>
      </c>
      <c r="S35" s="81" t="n">
        <v>31616.0631580166</v>
      </c>
      <c r="T35" s="81" t="n">
        <v>35310.3862047074</v>
      </c>
      <c r="U35" s="294" t="n">
        <v>0.153901802424638</v>
      </c>
      <c r="Z35" s="79" t="inlineStr">
        <is>
          <t>Adjusted EBITDA (leverage basis)</t>
        </is>
      </c>
      <c r="AA35" s="80" t="n">
        <v>17134.6922355256</v>
      </c>
      <c r="AB35" s="81" t="n">
        <v>17997.3104381804</v>
      </c>
      <c r="AC35" s="81" t="n">
        <v>19998.3034184559</v>
      </c>
      <c r="AD35" s="81" t="n">
        <v>21973.3634163992</v>
      </c>
      <c r="AE35" s="81" t="n">
        <v>23602.9216015445</v>
      </c>
      <c r="AF35" s="81" t="n">
        <v>25144.0064459201</v>
      </c>
      <c r="AG35" s="294" t="n">
        <v>0.0797212137210859</v>
      </c>
    </row>
    <row r="36" ht="15" customHeight="1" s="251">
      <c r="B36" s="83" t="inlineStr">
        <is>
          <t xml:space="preserve">   Adjusted EBITDA % of revenues</t>
        </is>
      </c>
      <c r="C36" s="88">
        <f>IFERROR(C35/C9,"")</f>
        <v>0.33589242647511</v>
      </c>
      <c r="D36" s="89">
        <f>IFERROR(D35/D9,"")</f>
        <v>0.354</v>
      </c>
      <c r="E36" s="89">
        <f>IFERROR(E35/E9,"")</f>
        <v>0.369</v>
      </c>
      <c r="F36" s="89">
        <f>IFERROR(F35/F9,"")</f>
        <v>0.384</v>
      </c>
      <c r="G36" s="89">
        <f>IFERROR(G35/G9,"")</f>
        <v>0.394</v>
      </c>
      <c r="H36" s="89">
        <f>IFERROR(H35/H9,"")</f>
        <v>0.404</v>
      </c>
      <c r="J36" s="90">
        <f>IFERROR(AVERAGE(Model!C219,Model!D219,Model!E219,Model!F219,Model!G219,Model!H219,Model!I219,Model!N219,Model!S219,Model!X219,Model!AC219,Model!AH219,Model!AM219,Model!AR219,Model!AW219,Model!BB219,Model!BG219,Model!BL219,Model!BQ219,Model!BV219),"")</f>
        <v>0.149208890117356</v>
      </c>
      <c r="K36" s="90">
        <f>IFERROR(MIN(Model!C219,Model!D219,Model!E219,Model!F219,Model!G219,Model!H219,Model!I219,Model!N219,Model!S219,Model!X219,Model!AC219,Model!AH219,Model!AM219,Model!AR219,Model!AW219,Model!BB219,Model!BG219,Model!BL219,Model!BQ219,Model!BV219),"")</f>
        <v>0.0469370362304747</v>
      </c>
      <c r="L36" s="90">
        <f>IFERROR(MAX(Model!C219,Model!D219,Model!E219,Model!F219,Model!G219,Model!H219,Model!I219,Model!N219,Model!S219,Model!X219,Model!AC219,Model!AH219,Model!AM219,Model!AR219,Model!AW219,Model!BB219,Model!BG219,Model!BL219,Model!BQ219,Model!BV219),"")</f>
        <v>0.310480265203958</v>
      </c>
      <c r="N36" s="83" t="inlineStr">
        <is>
          <t xml:space="preserve">   Adjusted EBITDA % of revenues</t>
        </is>
      </c>
      <c r="O36" s="88" t="n">
        <v>0.33581113298688</v>
      </c>
      <c r="P36" s="89" t="n">
        <v>0.364</v>
      </c>
      <c r="Q36" s="89" t="n">
        <v>0.379</v>
      </c>
      <c r="R36" s="89" t="n">
        <v>0.394</v>
      </c>
      <c r="S36" s="89" t="n">
        <v>0.404</v>
      </c>
      <c r="T36" s="89" t="n">
        <v>0.414</v>
      </c>
      <c r="V36" s="90" t="n">
        <v>0.149208890117356</v>
      </c>
      <c r="W36" s="90" t="n">
        <v>0.0469370362304747</v>
      </c>
      <c r="X36" s="90" t="n">
        <v>0.310480265203958</v>
      </c>
      <c r="Z36" s="83" t="inlineStr">
        <is>
          <t xml:space="preserve">   Adjusted EBITDA % of revenues</t>
        </is>
      </c>
      <c r="AA36" s="88" t="n">
        <v>0.335974357559327</v>
      </c>
      <c r="AB36" s="89" t="n">
        <v>0.329</v>
      </c>
      <c r="AC36" s="89" t="n">
        <v>0.344</v>
      </c>
      <c r="AD36" s="89" t="n">
        <v>0.359</v>
      </c>
      <c r="AE36" s="89" t="n">
        <v>0.369</v>
      </c>
      <c r="AF36" s="89" t="n">
        <v>0.379</v>
      </c>
      <c r="AH36" s="90" t="n">
        <v>0.149208890117356</v>
      </c>
      <c r="AI36" s="90" t="n">
        <v>0.0469370362304747</v>
      </c>
      <c r="AJ36" s="90" t="n">
        <v>0.310480265203958</v>
      </c>
    </row>
    <row r="38" ht="15" customHeight="1" s="251">
      <c r="B38" s="79" t="inlineStr">
        <is>
          <t>Net Debt</t>
        </is>
      </c>
      <c r="C38" s="80">
        <f>Model!CA383</f>
        <v>5750.84866666667</v>
      </c>
      <c r="D38" s="81">
        <f>Model!CB383</f>
        <v>4854.29578827511</v>
      </c>
      <c r="E38" s="81">
        <f>Model!CC383</f>
        <v>3956.06331386141</v>
      </c>
      <c r="F38" s="81">
        <f>Model!CD383</f>
        <v>3073.57533873147</v>
      </c>
      <c r="G38" s="81">
        <f>Model!CE383</f>
        <v>2202.48519179022</v>
      </c>
      <c r="H38" s="81">
        <f>Model!CF383</f>
        <v>1358.1813373975</v>
      </c>
      <c r="N38" s="79" t="inlineStr">
        <is>
          <t>Net Debt</t>
        </is>
      </c>
      <c r="O38" s="80" t="n">
        <v>6788.34866666667</v>
      </c>
      <c r="P38" s="81" t="n">
        <v>5850.89525777592</v>
      </c>
      <c r="Q38" s="81" t="n">
        <v>4878.9681370795</v>
      </c>
      <c r="R38" s="81" t="n">
        <v>3887.31201362747</v>
      </c>
      <c r="S38" s="81" t="n">
        <v>2871.61794749815</v>
      </c>
      <c r="T38" s="81" t="n">
        <v>1845.94209294725</v>
      </c>
      <c r="Z38" s="79" t="inlineStr">
        <is>
          <t>Net Debt</t>
        </is>
      </c>
      <c r="AA38" s="80" t="n">
        <v>3659.182</v>
      </c>
      <c r="AB38" s="81" t="n">
        <v>2887.70882486044</v>
      </c>
      <c r="AC38" s="81" t="n">
        <v>2172.80638320258</v>
      </c>
      <c r="AD38" s="81" t="n">
        <v>1532.6944092391</v>
      </c>
      <c r="AE38" s="81" t="n">
        <v>958.232586300532</v>
      </c>
      <c r="AF38" s="81" t="n">
        <v>462.718474318304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0.334396533436446</v>
      </c>
      <c r="D39" s="103">
        <f>IFERROR(D38/D35,"")</f>
        <v>0.242362414897237</v>
      </c>
      <c r="E39" s="103">
        <f>IFERROR(E38/E35,"")</f>
        <v>0.173007287463706</v>
      </c>
      <c r="F39" s="103">
        <f>IFERROR(F38/F35,"")</f>
        <v>0.118995975365998</v>
      </c>
      <c r="G39" s="103">
        <f>IFERROR(G38/G35,"")</f>
        <v>0.0771147743468628</v>
      </c>
      <c r="H39" s="103">
        <f>IFERROR(H38/H35,"")</f>
        <v>0.0433471919803294</v>
      </c>
      <c r="N39" s="83" t="inlineStr">
        <is>
          <t xml:space="preserve">   Net Debt / Adjusted EBITDA (x)</t>
        </is>
      </c>
      <c r="O39" s="102" t="n">
        <v>0.39328368607923</v>
      </c>
      <c r="P39" s="103" t="n">
        <v>0.277959086254828</v>
      </c>
      <c r="Q39" s="103" t="n">
        <v>0.199607520184523</v>
      </c>
      <c r="R39" s="103" t="n">
        <v>0.138390847266137</v>
      </c>
      <c r="S39" s="103" t="n">
        <v>0.0908278153780834</v>
      </c>
      <c r="T39" s="103" t="n">
        <v>0.0522775956696039</v>
      </c>
      <c r="Z39" s="83" t="inlineStr">
        <is>
          <t xml:space="preserve">   Net Debt / Adjusted EBITDA (x)</t>
        </is>
      </c>
      <c r="AA39" s="102" t="n">
        <v>0.213553996167691</v>
      </c>
      <c r="AB39" s="103" t="n">
        <v>0.160452242838147</v>
      </c>
      <c r="AC39" s="103" t="n">
        <v>0.10864953579999</v>
      </c>
      <c r="AD39" s="103" t="n">
        <v>0.069752380652623</v>
      </c>
      <c r="AE39" s="103" t="n">
        <v>0.0405980497871004</v>
      </c>
      <c r="AF39" s="103" t="n">
        <v>0.018402734477241</v>
      </c>
    </row>
    <row r="40" ht="15" customHeight="1" s="251">
      <c r="B40" s="252" t="inlineStr">
        <is>
          <t xml:space="preserve">   Share repurchases ($m)</t>
        </is>
      </c>
      <c r="C40" s="102" t="n"/>
      <c r="D40" s="248">
        <f>Model!CB275</f>
        <v>12618.1358906848</v>
      </c>
      <c r="E40" s="248">
        <f>Model!CC275</f>
        <v>15252.7212486958</v>
      </c>
      <c r="F40" s="248">
        <f>Model!CD275</f>
        <v>17848.9967662494</v>
      </c>
      <c r="G40" s="248">
        <f>Model!CE275</f>
        <v>20289.8530081977</v>
      </c>
      <c r="H40" s="248">
        <f>Model!CF275</f>
        <v>22749.5204500661</v>
      </c>
      <c r="N40" s="252" t="inlineStr">
        <is>
          <t xml:space="preserve">   Share repurchases ($m)</t>
        </is>
      </c>
      <c r="O40" s="102" t="n"/>
      <c r="P40" s="248" t="n">
        <v>14279.6251788001</v>
      </c>
      <c r="Q40" s="248" t="n">
        <v>17387.3031251973</v>
      </c>
      <c r="R40" s="248" t="n">
        <v>20559.3864273947</v>
      </c>
      <c r="S40" s="248" t="n">
        <v>23665.25227097</v>
      </c>
      <c r="T40" s="248" t="n">
        <v>26883.3922726794</v>
      </c>
      <c r="Z40" s="83" t="n"/>
      <c r="AA40" s="102" t="n"/>
      <c r="AB40" s="103" t="n">
        <v>9549.725813411549</v>
      </c>
      <c r="AC40" s="103" t="n">
        <v>11462.9426619107</v>
      </c>
      <c r="AD40" s="103" t="n">
        <v>13210.8983420261</v>
      </c>
      <c r="AE40" s="103" t="n">
        <v>14703.8145656233</v>
      </c>
      <c r="AF40" s="103" t="n">
        <v>16119.9000445859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Model!CB274</f>
        <v>75.6</v>
      </c>
      <c r="E41" s="249">
        <f>Model!CC274</f>
        <v>81.648</v>
      </c>
      <c r="F41" s="249">
        <f>Model!CD274</f>
        <v>88.17984</v>
      </c>
      <c r="G41" s="249">
        <f>Model!CE274</f>
        <v>95.2342272</v>
      </c>
      <c r="H41" s="249">
        <f>Model!CF274</f>
        <v>102.852965376</v>
      </c>
      <c r="N41" s="252" t="inlineStr">
        <is>
          <t xml:space="preserve">   Implied avg buyback price ($)</t>
        </is>
      </c>
      <c r="O41" s="102" t="n"/>
      <c r="P41" s="249" t="n">
        <v>75.59999999999999</v>
      </c>
      <c r="Q41" s="249" t="n">
        <v>81.648</v>
      </c>
      <c r="R41" s="249" t="n">
        <v>88.17984</v>
      </c>
      <c r="S41" s="249" t="n">
        <v>95.23422720000001</v>
      </c>
      <c r="T41" s="249" t="n">
        <v>102.852965376</v>
      </c>
      <c r="Z41" s="83" t="n"/>
      <c r="AA41" s="102" t="n"/>
      <c r="AB41" s="103" t="n">
        <v>75.59999999999999</v>
      </c>
      <c r="AC41" s="103" t="n">
        <v>81.648</v>
      </c>
      <c r="AD41" s="103" t="n">
        <v>88.17984</v>
      </c>
      <c r="AE41" s="103" t="n">
        <v>95.23422720000001</v>
      </c>
      <c r="AF41" s="103" t="n">
        <v>102.852965376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Model!CB276</f>
        <v>166.906559400592</v>
      </c>
      <c r="E42" s="250">
        <f>Model!CC276</f>
        <v>186.810714882125</v>
      </c>
      <c r="F42" s="250">
        <f>Model!CD276</f>
        <v>202.415844327336</v>
      </c>
      <c r="G42" s="250">
        <f>Model!CE276</f>
        <v>213.052109569674</v>
      </c>
      <c r="H42" s="250">
        <f>Model!CF276</f>
        <v>221.184876555582</v>
      </c>
      <c r="N42" s="252" t="inlineStr">
        <is>
          <t xml:space="preserve">   Shares repurchased (m)</t>
        </is>
      </c>
      <c r="O42" s="102" t="n"/>
      <c r="P42" s="250" t="n">
        <v>188.88393093651</v>
      </c>
      <c r="Q42" s="250" t="n">
        <v>212.95442785123</v>
      </c>
      <c r="R42" s="250" t="n">
        <v>233.152911452263</v>
      </c>
      <c r="S42" s="250" t="n">
        <v>248.495241330314</v>
      </c>
      <c r="T42" s="250" t="n">
        <v>261.376929429323</v>
      </c>
      <c r="Z42" s="83" t="n"/>
      <c r="AA42" s="102" t="n"/>
      <c r="AB42" s="103" t="n">
        <v>126.319124516026</v>
      </c>
      <c r="AC42" s="103" t="n">
        <v>140.394653413564</v>
      </c>
      <c r="AD42" s="103" t="n">
        <v>149.817671953432</v>
      </c>
      <c r="AE42" s="103" t="n">
        <v>154.396323653092</v>
      </c>
      <c r="AF42" s="103" t="n">
        <v>156.727615831554</v>
      </c>
    </row>
    <row r="44" ht="15" customHeight="1" s="251">
      <c r="B44" s="79" t="inlineStr">
        <is>
          <t>ROIC</t>
        </is>
      </c>
      <c r="C44" s="86">
        <f>Model!CA366</f>
        <v>0.366904765321825</v>
      </c>
      <c r="D44" s="87">
        <f>Model!CB366</f>
        <v>0.403947815530052</v>
      </c>
      <c r="E44" s="87">
        <f>Model!CC366</f>
        <v>0.43569259917979</v>
      </c>
      <c r="F44" s="87">
        <f>Model!CD366</f>
        <v>0.467904528036273</v>
      </c>
      <c r="G44" s="87">
        <f>Model!CE366</f>
        <v>0.49476294397535</v>
      </c>
      <c r="H44" s="87">
        <f>Model!CF366</f>
        <v>0.521568285878654</v>
      </c>
      <c r="J44" s="90">
        <f>IFERROR(AVERAGE(Model!C366,Model!D366,Model!E366,Model!F366,Model!G366,Model!H366,Model!I366,Model!N366,Model!S366,Model!X366,Model!AC366,Model!AH366,Model!AM366,Model!AR366,Model!AW366,Model!BB366,Model!BG366,Model!BL366,Model!BQ366,Model!BV366),"")</f>
        <v>0.54722365880197</v>
      </c>
      <c r="K44" s="90">
        <f>IFERROR(MIN(Model!C366,Model!D366,Model!E366,Model!F366,Model!G366,Model!H366,Model!I366,Model!N366,Model!S366,Model!X366,Model!AC366,Model!AH366,Model!AM366,Model!AR366,Model!AW366,Model!BB366,Model!BG366,Model!BL366,Model!BQ366,Model!BV366),"")</f>
        <v>0.0631408286728936</v>
      </c>
      <c r="L44" s="90">
        <f>IFERROR(MAX(Model!C366,Model!D366,Model!E366,Model!F366,Model!G366,Model!H366,Model!I366,Model!N366,Model!S366,Model!X366,Model!AC366,Model!AH366,Model!AM366,Model!AR366,Model!AW366,Model!BB366,Model!BG366,Model!BL366,Model!BQ366,Model!BV366),"")</f>
        <v>3.03817574921994</v>
      </c>
      <c r="N44" s="79" t="inlineStr">
        <is>
          <t>ROIC</t>
        </is>
      </c>
      <c r="O44" s="86" t="n">
        <v>0.367819562419063</v>
      </c>
      <c r="P44" s="87" t="n">
        <v>0.434451622217829</v>
      </c>
      <c r="Q44" s="87" t="n">
        <v>0.487182318471769</v>
      </c>
      <c r="R44" s="87" t="n">
        <v>0.5437949776176561</v>
      </c>
      <c r="S44" s="87" t="n">
        <v>0.597843739422409</v>
      </c>
      <c r="T44" s="87" t="n">
        <v>0.6551976760327149</v>
      </c>
      <c r="V44" s="90" t="n">
        <v>0.54722365880197</v>
      </c>
      <c r="W44" s="90" t="n">
        <v>0.0631408286728936</v>
      </c>
      <c r="X44" s="90" t="n">
        <v>3.03817574921994</v>
      </c>
      <c r="Z44" s="79" t="inlineStr">
        <is>
          <t>ROIC</t>
        </is>
      </c>
      <c r="AA44" s="86" t="n">
        <v>0.365987325033212</v>
      </c>
      <c r="AB44" s="87" t="n">
        <v>0.347944044125712</v>
      </c>
      <c r="AC44" s="87" t="n">
        <v>0.352586996657613</v>
      </c>
      <c r="AD44" s="87" t="n">
        <v>0.356467287092086</v>
      </c>
      <c r="AE44" s="87" t="n">
        <v>0.354969820641694</v>
      </c>
      <c r="AF44" s="87" t="n">
        <v>0.352840682411197</v>
      </c>
      <c r="AH44" s="90" t="n">
        <v>0.54722365880197</v>
      </c>
      <c r="AI44" s="90" t="n">
        <v>0.0631408286728936</v>
      </c>
      <c r="AJ44" s="90" t="n">
        <v>3.03817574921994</v>
      </c>
    </row>
    <row r="45" ht="15" customHeight="1" s="251">
      <c r="B45" s="79" t="inlineStr">
        <is>
          <t>RONTA</t>
        </is>
      </c>
      <c r="C45" s="86">
        <f>Model!CA377</f>
        <v>0.270670159543966</v>
      </c>
      <c r="D45" s="87">
        <f>Model!CB377</f>
        <v>0.298300959886142</v>
      </c>
      <c r="E45" s="87">
        <f>Model!CC377</f>
        <v>0.321410446599759</v>
      </c>
      <c r="F45" s="87">
        <f>Model!CD377</f>
        <v>0.344655770483976</v>
      </c>
      <c r="G45" s="87">
        <f>Model!CE377</f>
        <v>0.363633515911987</v>
      </c>
      <c r="H45" s="87">
        <f>Model!CF377</f>
        <v>0.382422057823007</v>
      </c>
      <c r="J45" s="90">
        <f>IFERROR(AVERAGE(Model!C377,Model!D377,Model!E377,Model!F377,Model!G377,Model!H377,Model!I377,Model!N377,Model!S377,Model!X377,Model!AC377,Model!AH377,Model!AM377,Model!AR377,Model!AW377,Model!BB377,Model!BG377,Model!BL377,Model!BQ377,Model!BV377),"")</f>
        <v>0.128841342727039</v>
      </c>
      <c r="K45" s="90">
        <f>IFERROR(MIN(Model!C377,Model!D377,Model!E377,Model!F377,Model!G377,Model!H377,Model!I377,Model!N377,Model!S377,Model!X377,Model!AC377,Model!AH377,Model!AM377,Model!AR377,Model!AW377,Model!BB377,Model!BG377,Model!BL377,Model!BQ377,Model!BV377),"")</f>
        <v>0.014177709597533</v>
      </c>
      <c r="L45" s="90">
        <f>IFERROR(MAX(Model!C377,Model!D377,Model!E377,Model!F377,Model!G377,Model!H377,Model!I377,Model!N377,Model!S377,Model!X377,Model!AC377,Model!AH377,Model!AM377,Model!AR377,Model!AW377,Model!BB377,Model!BG377,Model!BL377,Model!BQ377,Model!BV377),"")</f>
        <v>0.309562839695015</v>
      </c>
      <c r="N45" s="79" t="inlineStr">
        <is>
          <t>RONTA</t>
        </is>
      </c>
      <c r="O45" s="86" t="n">
        <v>0.277292953792614</v>
      </c>
      <c r="P45" s="87" t="n">
        <v>0.325254023902148</v>
      </c>
      <c r="Q45" s="87" t="n">
        <v>0.361389832808433</v>
      </c>
      <c r="R45" s="87" t="n">
        <v>0.399346148651961</v>
      </c>
      <c r="S45" s="87" t="n">
        <v>0.434117996634123</v>
      </c>
      <c r="T45" s="87" t="n">
        <v>0.470122205015826</v>
      </c>
      <c r="V45" s="90" t="n">
        <v>0.128841342727039</v>
      </c>
      <c r="W45" s="90" t="n">
        <v>0.014177709597533</v>
      </c>
      <c r="X45" s="90" t="n">
        <v>0.309562839695015</v>
      </c>
      <c r="Z45" s="79" t="inlineStr">
        <is>
          <t>RONTA</t>
        </is>
      </c>
      <c r="AA45" s="86" t="n">
        <v>0.258866455075546</v>
      </c>
      <c r="AB45" s="87" t="n">
        <v>0.250394339410807</v>
      </c>
      <c r="AC45" s="87" t="n">
        <v>0.257286068856146</v>
      </c>
      <c r="AD45" s="87" t="n">
        <v>0.263424557662386</v>
      </c>
      <c r="AE45" s="87" t="n">
        <v>0.265315348751298</v>
      </c>
      <c r="AF45" s="87" t="n">
        <v>0.266562057321002</v>
      </c>
      <c r="AH45" s="90" t="n">
        <v>0.128841342727039</v>
      </c>
      <c r="AI45" s="90" t="n">
        <v>0.014177709597533</v>
      </c>
      <c r="AJ45" s="90" t="n">
        <v>0.309562839695015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487646.374580048</v>
      </c>
      <c r="H47" s="104">
        <f>H27*H21</f>
        <v>536893.977415799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688618.02311678</v>
      </c>
      <c r="T47" s="104">
        <f>T27*T21</f>
        <v>771958.626594854</v>
      </c>
      <c r="Z47" s="83" t="inlineStr">
        <is>
          <t>Implied Market Cap (USDm)</t>
        </is>
      </c>
      <c r="AC47" s="104" t="n"/>
      <c r="AD47" s="104">
        <f>AD27*AD21</f>
        <v>270502.371528154</v>
      </c>
      <c r="AE47" s="104">
        <f>AE27*AE21</f>
        <v>291469.642424173</v>
      </c>
      <c r="AF47" s="104">
        <f>AF27*AF21</f>
        <v>311525.835503168</v>
      </c>
    </row>
    <row r="48" ht="15" customHeight="1" s="251">
      <c r="B48" s="83" t="inlineStr">
        <is>
          <t>(+) Net Debt &amp; NCI</t>
        </is>
      </c>
      <c r="E48" s="104" t="n"/>
      <c r="F48" s="104">
        <f>F38+Model!CD308</f>
        <v>3073.57533873147</v>
      </c>
      <c r="G48" s="104">
        <f>G38+Model!CE308</f>
        <v>2202.48519179022</v>
      </c>
      <c r="H48" s="104">
        <f>H38+Model!CF308</f>
        <v>1358.1813373975</v>
      </c>
      <c r="N48" s="83" t="inlineStr">
        <is>
          <t>(+) Net Debt &amp; NCI</t>
        </is>
      </c>
      <c r="Q48" s="104" t="n"/>
      <c r="R48" s="104">
        <f>R38+Model!CD308</f>
        <v>3887.31201362747</v>
      </c>
      <c r="S48" s="104">
        <f>S38+Model!CE308</f>
        <v>2871.61794749815</v>
      </c>
      <c r="T48" s="104">
        <f>T38+Model!CF308</f>
        <v>1845.94209294725</v>
      </c>
      <c r="Z48" s="83" t="inlineStr">
        <is>
          <t>(+) Net Debt &amp; NCI</t>
        </is>
      </c>
      <c r="AC48" s="104" t="n"/>
      <c r="AD48" s="104">
        <f>AD38+Model!CD308</f>
        <v>1532.6944092391</v>
      </c>
      <c r="AE48" s="104">
        <f>AE38+Model!CE308</f>
        <v>958.232586300532</v>
      </c>
      <c r="AF48" s="104">
        <f>AF38+Model!CF308</f>
        <v>462.718474318304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3073.57533873147</v>
      </c>
      <c r="G49" s="104">
        <f>G47+G48</f>
        <v>489848.859771838</v>
      </c>
      <c r="H49" s="104">
        <f>H47+H48</f>
        <v>538252.158753197</v>
      </c>
      <c r="N49" s="83" t="inlineStr">
        <is>
          <t>Implied Enterprise Value (USDm)</t>
        </is>
      </c>
      <c r="Q49" s="104" t="n"/>
      <c r="R49" s="104">
        <f>R47+R48</f>
        <v>3887.31201362747</v>
      </c>
      <c r="S49" s="104">
        <f>S47+S48</f>
        <v>691489.641064278</v>
      </c>
      <c r="T49" s="104">
        <f>T47+T48</f>
        <v>773804.568687802</v>
      </c>
      <c r="Z49" s="83" t="inlineStr">
        <is>
          <t>Implied Enterprise Value (USDm)</t>
        </is>
      </c>
      <c r="AC49" s="104" t="n"/>
      <c r="AD49" s="104">
        <f>AD47+AD48</f>
        <v>272035.065937393</v>
      </c>
      <c r="AE49" s="104">
        <f>AE47+AE48</f>
        <v>292427.875010474</v>
      </c>
      <c r="AF49" s="104">
        <f>AF47+AF48</f>
        <v>311988.553977486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0.118995975365998</v>
      </c>
      <c r="G50" s="105">
        <f>IFERROR(G49/G35,"")</f>
        <v>17.1508913776939</v>
      </c>
      <c r="H50" s="105">
        <f>IFERROR(H49/H35,"")</f>
        <v>17.1786484005213</v>
      </c>
      <c r="N50" s="83" t="inlineStr">
        <is>
          <t>Implied EV / Adjusted EBITDA (x)</t>
        </is>
      </c>
      <c r="Q50" s="105" t="n"/>
      <c r="R50" s="105">
        <f>IFERROR(R49/R35,"")</f>
        <v>0.138390847266137</v>
      </c>
      <c r="S50" s="105">
        <f>IFERROR(S49/S35,"")</f>
        <v>21.87146570426</v>
      </c>
      <c r="T50" s="105">
        <f>IFERROR(T49/T35,"")</f>
        <v>21.9143615196325</v>
      </c>
      <c r="Z50" s="83" t="inlineStr">
        <is>
          <t>Implied EV / Adjusted EBITDA (x)</t>
        </is>
      </c>
      <c r="AC50" s="105" t="n"/>
      <c r="AD50" s="105">
        <f>IFERROR(AD49/AD35,"")</f>
        <v>12.3802196678897</v>
      </c>
      <c r="AE50" s="105">
        <f>IFERROR(AE49/AE35,"")</f>
        <v>12.3894778768124</v>
      </c>
      <c r="AF50" s="105">
        <f>IFERROR(AF49/AF35,"")</f>
        <v>12.408068485367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NETFLIX, INC. (NFLX)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1.15</v>
      </c>
      <c r="D7" s="198" t="inlineStr">
        <is>
          <t>Assumption: large-cap media / streaming and internet platforms ~1.0–1.3 (DIS, WBD, SPOT, ROKU higher; GOOGL, META ~1.1); high-growth subscription franchise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0.1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0.0525</v>
      </c>
      <c r="D9" s="198" t="inlineStr">
        <is>
          <t>Jul-2026 $1bn 5.250% senior notes due 2036 (8-K 22-Jul-2026); A-range investment-grade issuer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0.17</v>
      </c>
      <c r="D10" s="198" t="inlineStr">
        <is>
          <t>Model 2027E+ effective tax rate (1H-26 ~16–17% excl. the termination fee; FY25 13.7%)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0.043575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0.05</v>
      </c>
      <c r="D12" s="198" t="inlineStr">
        <is>
          <t>Net debt ~$5.2bn at 30-Jun-2026 vs ~$290bn market cap ($70 × ~4.1bn diluted shares at YE2026E); &lt;0.5x adjusted EBITDA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0.09717875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(31-Dec of year − today) / 365.25; cash flows assumed at year end; 2026E is the base year (net debt at its year end), explicit years 2027E–2031E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 (= operating income after content amortization, D&amp;A and SBC) less company-quantified one-offs</t>
        </is>
      </c>
      <c r="C18" s="192" t="n"/>
      <c r="D18" s="173">
        <f>Model!CB184-Model!CB187</f>
        <v>18954.071285567</v>
      </c>
      <c r="E18" s="173">
        <f>Model!CC184-Model!CC187</f>
        <v>21689.0492408911</v>
      </c>
      <c r="F18" s="173">
        <f>Model!CD184-Model!CD187</f>
        <v>24551.2285881781</v>
      </c>
      <c r="G18" s="173">
        <f>Model!CE184-Model!CE187</f>
        <v>27183.817818472</v>
      </c>
      <c r="H18" s="173">
        <f>Model!CF184-Model!CF187</f>
        <v>29859.0615306118</v>
      </c>
      <c r="I18" s="174">
        <f>H18*(1+I$26)</f>
        <v>32247.7864530607</v>
      </c>
      <c r="J18" s="174">
        <f>I18*(1+J$26)</f>
        <v>34585.7509709076</v>
      </c>
      <c r="K18" s="174">
        <f>J18*(1+K$26)</f>
        <v>36833.8247840166</v>
      </c>
      <c r="L18" s="174">
        <f>K18*(1+L$26)</f>
        <v>38951.7697090976</v>
      </c>
      <c r="M18" s="174">
        <f>L18*(1+M$26)</f>
        <v>40899.3581945525</v>
      </c>
      <c r="N18" s="192" t="n"/>
      <c r="O18" s="192" t="n"/>
      <c r="P18" s="176">
        <f>(H18/D18)^(1/(COLUMNS(D18:H18)-1))-1</f>
        <v>0.120323410113786</v>
      </c>
      <c r="Q18" s="176">
        <f>(M18/D18)^(1/(COLUMNS(D18:M18)-1))-1</f>
        <v>0.0892126205712256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0.83</v>
      </c>
      <c r="E19" s="177">
        <f>1-$C$10</f>
        <v>0.83</v>
      </c>
      <c r="F19" s="177">
        <f>1-$C$10</f>
        <v>0.83</v>
      </c>
      <c r="G19" s="177">
        <f>1-$C$10</f>
        <v>0.83</v>
      </c>
      <c r="H19" s="177">
        <f>1-$C$10</f>
        <v>0.83</v>
      </c>
      <c r="I19" s="177">
        <f>1-$C$10</f>
        <v>0.83</v>
      </c>
      <c r="J19" s="177">
        <f>1-$C$10</f>
        <v>0.83</v>
      </c>
      <c r="K19" s="177">
        <f>1-$C$10</f>
        <v>0.83</v>
      </c>
      <c r="L19" s="177">
        <f>1-$C$10</f>
        <v>0.83</v>
      </c>
      <c r="M19" s="177">
        <f>1-$C$10</f>
        <v>0.83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15731.8791670206</v>
      </c>
      <c r="E20" s="174">
        <f>E18*E19</f>
        <v>18001.9108699396</v>
      </c>
      <c r="F20" s="174">
        <f>F18*F19</f>
        <v>20377.5197281878</v>
      </c>
      <c r="G20" s="174">
        <f>G18*G19</f>
        <v>22562.5687893318</v>
      </c>
      <c r="H20" s="174">
        <f>H18*H19</f>
        <v>24783.0210704078</v>
      </c>
      <c r="I20" s="174">
        <f>I18*I19</f>
        <v>26765.6627560404</v>
      </c>
      <c r="J20" s="174">
        <f>J18*J19</f>
        <v>28706.1733058533</v>
      </c>
      <c r="K20" s="174">
        <f>K18*K19</f>
        <v>30572.0745707338</v>
      </c>
      <c r="L20" s="174">
        <f>L18*L19</f>
        <v>32329.968858551</v>
      </c>
      <c r="M20" s="174">
        <f>M18*M19</f>
        <v>33946.4673014786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non-content D&amp;A (content amortization stays a cost)</t>
        </is>
      </c>
      <c r="C21" s="192" t="n"/>
      <c r="D21" s="173">
        <f>Model!CB144</f>
        <v>452.634538162795</v>
      </c>
      <c r="E21" s="173">
        <f>Model!CC144</f>
        <v>495.749696934653</v>
      </c>
      <c r="F21" s="173">
        <f>Model!CD144</f>
        <v>538.10911974089</v>
      </c>
      <c r="G21" s="173">
        <f>Model!CE144</f>
        <v>579.92144679407</v>
      </c>
      <c r="H21" s="173">
        <f>Model!CF144</f>
        <v>620.44803180492</v>
      </c>
      <c r="I21" s="174">
        <f>H21*(1+I$26)</f>
        <v>670.083874349314</v>
      </c>
      <c r="J21" s="174">
        <f>I21*(1+J$26)</f>
        <v>718.664955239639</v>
      </c>
      <c r="K21" s="174">
        <f>J21*(1+K$26)</f>
        <v>765.378177330215</v>
      </c>
      <c r="L21" s="174">
        <f>K21*(1+L$26)</f>
        <v>809.387422526703</v>
      </c>
      <c r="M21" s="174">
        <f>L21*(1+M$26)</f>
        <v>849.856793653038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(PP&amp;E) and acquisitions (M&amp;A lever 2027E–31E)</t>
        </is>
      </c>
      <c r="C22" s="192" t="n"/>
      <c r="D22" s="173">
        <f>Model!CB237+Model!CB239</f>
        <v>-1405.26907632559</v>
      </c>
      <c r="E22" s="173">
        <f>Model!CC237+Model!CC239</f>
        <v>-1429.53068175247</v>
      </c>
      <c r="F22" s="173">
        <f>Model!CD237+Model!CD239</f>
        <v>-1441.69095954656</v>
      </c>
      <c r="G22" s="173">
        <f>Model!CE237+Model!CE239</f>
        <v>-1442.37235104036</v>
      </c>
      <c r="H22" s="173">
        <f>Model!CF237+Model!CF239</f>
        <v>-1508.22805168299</v>
      </c>
      <c r="I22" s="174">
        <f>Model!CF237*(1+I$26)</f>
        <v>-1088.88629581763</v>
      </c>
      <c r="J22" s="174">
        <f>I22*(1+J$26)</f>
        <v>-1167.83055226441</v>
      </c>
      <c r="K22" s="174">
        <f>J22*(1+K$26)</f>
        <v>-1243.7395381616</v>
      </c>
      <c r="L22" s="174">
        <f>K22*(1+L$26)</f>
        <v>-1315.25456160589</v>
      </c>
      <c r="M22" s="174">
        <f>L22*(1+M$26)</f>
        <v>-1381.01728968619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Cash content spend above amortization and other working capital (cash-flow statement)</t>
        </is>
      </c>
      <c r="C23" s="192" t="n"/>
      <c r="D23" s="173">
        <f>Model!CB327</f>
        <v>-1720.18060990201</v>
      </c>
      <c r="E23" s="173">
        <f>Model!CC327</f>
        <v>-1438.81100369072</v>
      </c>
      <c r="F23" s="173">
        <f>Model!CD327</f>
        <v>-1329.0937949039</v>
      </c>
      <c r="G23" s="173">
        <f>Model!CE327</f>
        <v>-1189.74222904974</v>
      </c>
      <c r="H23" s="173">
        <f>Model!CF327</f>
        <v>-1025.78342011299</v>
      </c>
      <c r="I23" s="174">
        <f>H23*(1+I$26)</f>
        <v>-1107.84609372202</v>
      </c>
      <c r="J23" s="174">
        <f>I23*(1+J$26)</f>
        <v>-1188.16493551687</v>
      </c>
      <c r="K23" s="174">
        <f>J23*(1+K$26)</f>
        <v>-1265.39565632547</v>
      </c>
      <c r="L23" s="174">
        <f>K23*(1+L$26)</f>
        <v>-1338.15590656418</v>
      </c>
      <c r="M23" s="174">
        <f>L23*(1+M$26)</f>
        <v>-1405.06370189239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13059.0640189558</v>
      </c>
      <c r="E24" s="219">
        <f>E20+E21+E22+E23</f>
        <v>15629.318881431</v>
      </c>
      <c r="F24" s="219">
        <f>F20+F21+F22+F23</f>
        <v>18144.8440934782</v>
      </c>
      <c r="G24" s="219">
        <f>G20+G21+G22+G23</f>
        <v>20510.3756560357</v>
      </c>
      <c r="H24" s="219">
        <f>H20+H21+H22+H23</f>
        <v>22869.4576304167</v>
      </c>
      <c r="I24" s="219">
        <f>I20+I21+I22+I23</f>
        <v>25239.0142408501</v>
      </c>
      <c r="J24" s="219">
        <f>J20+J21+J22+J23</f>
        <v>27068.8427733117</v>
      </c>
      <c r="K24" s="219">
        <f>K20+K21+K22+K23</f>
        <v>28828.3175535769</v>
      </c>
      <c r="L24" s="219">
        <f>L20+L21+L22+L23</f>
        <v>30485.9458129076</v>
      </c>
      <c r="M24" s="219">
        <f>M20+M21+M22+M23</f>
        <v>32010.243103553</v>
      </c>
      <c r="N24" s="219">
        <f>M24*(1+$C$27)</f>
        <v>33290.6528276951</v>
      </c>
      <c r="O24" s="192" t="n"/>
      <c r="P24" s="181">
        <f>(H24/D24)^(1/(COLUMNS(D24:H24)-1))-1</f>
        <v>0.150365778114464</v>
      </c>
      <c r="Q24" s="181">
        <f>(M24/D24)^(1/(COLUMNS(D24:M24)-1))-1</f>
        <v>0.104750234427331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582220.717096739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8.0% → 5.0%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0.08</v>
      </c>
      <c r="J26" s="183">
        <f>I26+($M$26-$I$26)/4</f>
        <v>0.0725</v>
      </c>
      <c r="K26" s="183">
        <f>J26+($M$26-$I$26)/4</f>
        <v>0.065</v>
      </c>
      <c r="L26" s="183">
        <f>K26+($M$26-$I$26)/4</f>
        <v>0.0575</v>
      </c>
      <c r="M26" s="182" t="n">
        <v>0.05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0.04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(DATE(2027,12,31)-$C$15)/365.25</f>
        <v>1.21560574948665</v>
      </c>
      <c r="E29" s="177">
        <f>(DATE(2028,12,31)-$C$15)/365.25</f>
        <v>2.217659137577</v>
      </c>
      <c r="F29" s="177">
        <f>(DATE(2029,12,31)-$C$15)/365.25</f>
        <v>3.21697467488022</v>
      </c>
      <c r="G29" s="177">
        <f>(DATE(2030,12,31)-$C$15)/365.25</f>
        <v>4.21629021218344</v>
      </c>
      <c r="H29" s="177">
        <f>(DATE(2031,12,31)-$C$15)/365.25</f>
        <v>5.21560574948665</v>
      </c>
      <c r="I29" s="177">
        <f>(DATE(2032,12,31)-$C$15)/365.25</f>
        <v>6.217659137577</v>
      </c>
      <c r="J29" s="177">
        <f>(DATE(2033,12,31)-$C$15)/365.25</f>
        <v>7.21697467488022</v>
      </c>
      <c r="K29" s="177">
        <f>(DATE(2034,12,31)-$C$15)/365.25</f>
        <v>8.21629021218344</v>
      </c>
      <c r="L29" s="177">
        <f>(DATE(2035,12,31)-$C$15)/365.25</f>
        <v>9.21560574948665</v>
      </c>
      <c r="M29" s="177">
        <f>(DATE(2036,12,31)-$C$15)/365.25</f>
        <v>10.217659137577</v>
      </c>
      <c r="N29" s="177">
        <f>M29</f>
        <v>10.217659137577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0.893384834659662</v>
      </c>
      <c r="E30" s="185">
        <f>1/(1+$C$13)^E29</f>
        <v>0.814101365549321</v>
      </c>
      <c r="F30" s="185">
        <f>1/(1+$C$13)^F29</f>
        <v>0.742042301800353</v>
      </c>
      <c r="G30" s="185">
        <f>1/(1+$C$13)^G29</f>
        <v>0.676361447065779</v>
      </c>
      <c r="H30" s="185">
        <f>1/(1+$C$13)^H29</f>
        <v>0.616494242938721</v>
      </c>
      <c r="I30" s="185">
        <f>1/(1+$C$13)^I29</f>
        <v>0.561783439295681</v>
      </c>
      <c r="J30" s="185">
        <f>1/(1+$C$13)^J29</f>
        <v>0.512057950089546</v>
      </c>
      <c r="K30" s="185">
        <f>1/(1+$C$13)^K29</f>
        <v>0.466733844234777</v>
      </c>
      <c r="L30" s="185">
        <f>1/(1+$C$13)^L29</f>
        <v>0.425421539331786</v>
      </c>
      <c r="M30" s="185">
        <f>1/(1+$C$13)^M29</f>
        <v>0.387667489605462</v>
      </c>
      <c r="N30" s="185">
        <f>1/(1+$C$13)^N29</f>
        <v>0.387667489605462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11666.7697493848</v>
      </c>
      <c r="E31" s="222">
        <f>E24*E30</f>
        <v>12723.8498439788</v>
      </c>
      <c r="F31" s="222">
        <f>F24*F30</f>
        <v>13464.2418769331</v>
      </c>
      <c r="G31" s="222">
        <f>G24*G30</f>
        <v>13872.427358579</v>
      </c>
      <c r="H31" s="222">
        <f>H24*H30</f>
        <v>14098.8889682829</v>
      </c>
      <c r="I31" s="222">
        <f>I24*I30</f>
        <v>14178.8602246574</v>
      </c>
      <c r="J31" s="222">
        <f>J24*J30</f>
        <v>13860.8161417982</v>
      </c>
      <c r="K31" s="222">
        <f>K24*K30</f>
        <v>13455.1514746019</v>
      </c>
      <c r="L31" s="222">
        <f>L24*L30</f>
        <v>12969.3779957126</v>
      </c>
      <c r="M31" s="222">
        <f>M24*M30</f>
        <v>12409.3305856149</v>
      </c>
      <c r="N31" s="222">
        <f>N25*N30</f>
        <v>225708.043793184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Netflix's operating income already deducts content amortization and stock-based compensation; only non-content D&amp;A is added back (row 21). Row 23 deducts cash content spend in excess of content amortization (guided ~1.1x for 2026; scenario lever 2027E+) plus other operating working capital. Company-quantified one-offs (Q2-22 restructuring, Q3-25 Brazil tax) are treated as cash costs; none are forecast. Leases are operating (not in net debt). The $2.8bn WBD termination fee (Q1-26) sits in the 2026E year-end net debt, not in UFCF.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Model!CA363</f>
        <v>36272.510367256</v>
      </c>
      <c r="E34" s="174">
        <f>D38</f>
        <v>38945.3255153209</v>
      </c>
      <c r="F34" s="174">
        <f>E38</f>
        <v>41317.9175038294</v>
      </c>
      <c r="G34" s="174">
        <f>F38</f>
        <v>43550.593138539</v>
      </c>
      <c r="H34" s="174">
        <f>G38</f>
        <v>45602.786271835</v>
      </c>
      <c r="I34" s="174">
        <f>H38</f>
        <v>47516.3497118261</v>
      </c>
      <c r="J34" s="174">
        <f>I38</f>
        <v>49042.9982270164</v>
      </c>
      <c r="K34" s="174">
        <f>J38</f>
        <v>50680.3287595581</v>
      </c>
      <c r="L34" s="174">
        <f>K38</f>
        <v>52424.0857767149</v>
      </c>
      <c r="M34" s="174">
        <f>L38</f>
        <v>54268.1088223583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1405.26907632559</v>
      </c>
      <c r="E35" s="174">
        <f>-E22</f>
        <v>1429.53068175247</v>
      </c>
      <c r="F35" s="174">
        <f>-F22</f>
        <v>1441.69095954656</v>
      </c>
      <c r="G35" s="174">
        <f>-G22</f>
        <v>1442.37235104036</v>
      </c>
      <c r="H35" s="174">
        <f>-H22</f>
        <v>1508.22805168299</v>
      </c>
      <c r="I35" s="174">
        <f>-I22</f>
        <v>1088.88629581763</v>
      </c>
      <c r="J35" s="174">
        <f>-J22</f>
        <v>1167.83055226441</v>
      </c>
      <c r="K35" s="174">
        <f>-K22</f>
        <v>1243.7395381616</v>
      </c>
      <c r="L35" s="174">
        <f>-L22</f>
        <v>1315.25456160589</v>
      </c>
      <c r="M35" s="174">
        <f>-M22</f>
        <v>1381.01728968619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-452.634538162795</v>
      </c>
      <c r="E36" s="174">
        <f>-E21</f>
        <v>-495.749696934653</v>
      </c>
      <c r="F36" s="174">
        <f>-F21</f>
        <v>-538.10911974089</v>
      </c>
      <c r="G36" s="174">
        <f>-G21</f>
        <v>-579.92144679407</v>
      </c>
      <c r="H36" s="174">
        <f>-H21</f>
        <v>-620.44803180492</v>
      </c>
      <c r="I36" s="174">
        <f>-I21</f>
        <v>-670.083874349314</v>
      </c>
      <c r="J36" s="174">
        <f>-J21</f>
        <v>-718.664955239639</v>
      </c>
      <c r="K36" s="174">
        <f>-K21</f>
        <v>-765.378177330215</v>
      </c>
      <c r="L36" s="174">
        <f>-L21</f>
        <v>-809.387422526703</v>
      </c>
      <c r="M36" s="174">
        <f>-M21</f>
        <v>-849.856793653038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1720.18060990201</v>
      </c>
      <c r="E37" s="174">
        <f>-E23</f>
        <v>1438.81100369072</v>
      </c>
      <c r="F37" s="174">
        <f>-F23</f>
        <v>1329.0937949039</v>
      </c>
      <c r="G37" s="174">
        <f>-G23</f>
        <v>1189.74222904974</v>
      </c>
      <c r="H37" s="174">
        <f>-H23</f>
        <v>1025.78342011299</v>
      </c>
      <c r="I37" s="174">
        <f>-I23</f>
        <v>1107.84609372202</v>
      </c>
      <c r="J37" s="174">
        <f>-J23</f>
        <v>1188.16493551687</v>
      </c>
      <c r="K37" s="174">
        <f>-K23</f>
        <v>1265.39565632547</v>
      </c>
      <c r="L37" s="174">
        <f>-L23</f>
        <v>1338.15590656418</v>
      </c>
      <c r="M37" s="174">
        <f>-M23</f>
        <v>1405.06370189239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38945.3255153209</v>
      </c>
      <c r="E38" s="224">
        <f>SUM(E34:E37)</f>
        <v>41317.9175038294</v>
      </c>
      <c r="F38" s="224">
        <f>SUM(F34:F37)</f>
        <v>43550.593138539</v>
      </c>
      <c r="G38" s="224">
        <f>SUM(G34:G37)</f>
        <v>45602.786271835</v>
      </c>
      <c r="H38" s="224">
        <f>SUM(H34:H37)</f>
        <v>47516.3497118261</v>
      </c>
      <c r="I38" s="224">
        <f>SUM(I34:I37)</f>
        <v>49042.9982270164</v>
      </c>
      <c r="J38" s="224">
        <f>SUM(J34:J37)</f>
        <v>50680.3287595581</v>
      </c>
      <c r="K38" s="224">
        <f>SUM(K34:K37)</f>
        <v>52424.0857767149</v>
      </c>
      <c r="L38" s="224">
        <f>SUM(L34:L37)</f>
        <v>54268.1088223583</v>
      </c>
      <c r="M38" s="224">
        <f>SUM(M34:M37)</f>
        <v>56204.3330202838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15731.8791670206</v>
      </c>
      <c r="E39" s="174">
        <f>E20</f>
        <v>18001.9108699396</v>
      </c>
      <c r="F39" s="174">
        <f>F20</f>
        <v>20377.5197281878</v>
      </c>
      <c r="G39" s="174">
        <f>G20</f>
        <v>22562.5687893318</v>
      </c>
      <c r="H39" s="174">
        <f>H20</f>
        <v>24783.0210704078</v>
      </c>
      <c r="I39" s="174">
        <f>I20</f>
        <v>26765.6627560404</v>
      </c>
      <c r="J39" s="174">
        <f>J20</f>
        <v>28706.1733058533</v>
      </c>
      <c r="K39" s="174">
        <f>K20</f>
        <v>30572.0745707338</v>
      </c>
      <c r="L39" s="174">
        <f>L20</f>
        <v>32329.968858551</v>
      </c>
      <c r="M39" s="174">
        <f>M20</f>
        <v>33946.4673014786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0.418301829145412</v>
      </c>
      <c r="E40" s="180">
        <f>IFERROR(E39/AVERAGE(E34,E38),"")</f>
        <v>0.448571729543608</v>
      </c>
      <c r="F40" s="180">
        <f>IFERROR(F39/AVERAGE(F34,F38),"")</f>
        <v>0.48021391147201</v>
      </c>
      <c r="G40" s="180">
        <f>IFERROR(G39/AVERAGE(G34,G38),"")</f>
        <v>0.506151733979169</v>
      </c>
      <c r="H40" s="180">
        <f>IFERROR(H39/AVERAGE(H34,H38),"")</f>
        <v>0.532286319210614</v>
      </c>
      <c r="I40" s="180">
        <f>IFERROR(I39/AVERAGE(I34,I38),"")</f>
        <v>0.554387810758476</v>
      </c>
      <c r="J40" s="180">
        <f>IFERROR(J39/AVERAGE(J34,J38),"")</f>
        <v>0.575716317802313</v>
      </c>
      <c r="K40" s="180">
        <f>IFERROR(K39/AVERAGE(K34,K38),"")</f>
        <v>0.593031340282298</v>
      </c>
      <c r="L40" s="180">
        <f>IFERROR(L39/AVERAGE(L34,L38),"")</f>
        <v>0.606041875510017</v>
      </c>
      <c r="M40" s="180">
        <f>IFERROR(M39/AVERAGE(M34,M38),"")</f>
        <v>0.614568968246981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0.169898021697747</v>
      </c>
      <c r="E41" s="175">
        <f>IFERROR(SUM(E35:E37)/E39,"")</f>
        <v>0.131796674566943</v>
      </c>
      <c r="F41" s="175">
        <f>IFERROR(SUM(F35:F37)/F39,"")</f>
        <v>0.109565622533598</v>
      </c>
      <c r="G41" s="175">
        <f>IFERROR(SUM(G35:G37)/G39,"")</f>
        <v>0.0909556510367903</v>
      </c>
      <c r="H41" s="175">
        <f>IFERROR(SUM(H35:H37)/H39,"")</f>
        <v>0.0772126785735559</v>
      </c>
      <c r="I41" s="175">
        <f>IFERROR(SUM(I35:I37)/I39,"")</f>
        <v>0.0570375756843837</v>
      </c>
      <c r="J41" s="175">
        <f>IFERROR(SUM(J35:J37)/J39,"")</f>
        <v>0.0570375756843837</v>
      </c>
      <c r="K41" s="175">
        <f>IFERROR(SUM(K35:K37)/K39,"")</f>
        <v>0.0570375756843837</v>
      </c>
      <c r="L41" s="175">
        <f>IFERROR(SUM(L35:L37)/L39,"")</f>
        <v>0.0570375756843837</v>
      </c>
      <c r="M41" s="175">
        <f>IFERROR(SUM(M35:M37)/M39,"")</f>
        <v>0.0570375756843837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0.701292078424567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2026E book IC (equity + net debt at 31-Dec-2026E), rolled forward with capex + M&amp;A − D&amp;A + content &amp; working-capital investment.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132699.714219544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225708.043793184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358407.758012728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2026E year end)</t>
        </is>
      </c>
      <c r="C48" s="173">
        <f>Model!CA383+Model!CA308</f>
        <v>5750.84866666667</v>
      </c>
      <c r="D48" s="198" t="inlineStr">
        <is>
          <t>NFLX: no noncontrolling interests; net debt (senior notes − cash − short-term investments) at the base-year end, so 2027E+ cash flows are not double counted.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352656.909346061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2026E period end)</t>
        </is>
      </c>
      <c r="C50" s="186">
        <f>Model!CA390</f>
        <v>4144.36225219048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85.0931670270056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Model!CA389</f>
        <v>70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0.215616671814366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0.131562353096373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73.8981097405101</v>
      </c>
      <c r="D55" s="175">
        <f>C55/C52-1</f>
        <v>0.0556872820072869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0.08717875</v>
      </c>
      <c r="E61" s="228">
        <f>F61-0.005</f>
        <v>0.09217875</v>
      </c>
      <c r="F61" s="228">
        <f>$C$13</f>
        <v>0.09717875</v>
      </c>
      <c r="G61" s="228">
        <f>F61+0.005</f>
        <v>0.10217875</v>
      </c>
      <c r="H61" s="234">
        <f>F61+0.01</f>
        <v>0.10717875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0.03</v>
      </c>
      <c r="C62" s="192" t="n"/>
      <c r="D62" s="225">
        <f t="array" ref="D62">IFERROR((SUMPRODUCT($D$24:$M$24/(1+D$61)^$D$29:$M$29)+($M$24*(1+$B62)/(D$61-$B62))/(1+D$61)^$M$29-$C$48)/$C$50,"")</f>
        <v>91.600611070491</v>
      </c>
      <c r="E62" s="225">
        <f t="array" ref="E62">IFERROR((SUMPRODUCT($D$24:$M$24/(1+E$61)^$D$29:$M$29)+($M$24*(1+$B62)/(E$61-$B62))/(1+E$61)^$M$29-$C$48)/$C$50,"")</f>
        <v>83.4563996906093</v>
      </c>
      <c r="F62" s="225">
        <f t="array" ref="F62">IFERROR((SUMPRODUCT($D$24:$M$24/(1+F$61)^$D$29:$M$29)+($M$24*(1+$B62)/(F$61-$B62))/(1+F$61)^$M$29-$C$48)/$C$50,"")</f>
        <v>76.5405021127073</v>
      </c>
      <c r="G62" s="225">
        <f t="array" ref="G62">IFERROR((SUMPRODUCT($D$24:$M$24/(1+G$61)^$D$29:$M$29)+($M$24*(1+$B62)/(G$61-$B62))/(1+G$61)^$M$29-$C$48)/$C$50,"")</f>
        <v>70.5971278161407</v>
      </c>
      <c r="H62" s="235">
        <f t="array" ref="H62">IFERROR((SUMPRODUCT($D$24:$M$24/(1+H$61)^$D$29:$M$29)+($M$24*(1+$B62)/(H$61-$B62))/(1+H$61)^$M$29-$C$48)/$C$50,"")</f>
        <v>65.4367923878225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0.035</v>
      </c>
      <c r="C63" s="192" t="n"/>
      <c r="D63" s="225">
        <f t="array" ref="D63">IFERROR((SUMPRODUCT($D$24:$M$24/(1+D$61)^$D$29:$M$29)+($M$24*(1+$B63)/(D$61-$B63))/(1+D$61)^$M$29-$C$48)/$C$50,"")</f>
        <v>97.59111157728</v>
      </c>
      <c r="E63" s="225">
        <f t="array" ref="E63">IFERROR((SUMPRODUCT($D$24:$M$24/(1+E$61)^$D$29:$M$29)+($M$24*(1+$B63)/(E$61-$B63))/(1+E$61)^$M$29-$C$48)/$C$50,"")</f>
        <v>88.2752800394876</v>
      </c>
      <c r="F63" s="225">
        <f t="array" ref="F63">IFERROR((SUMPRODUCT($D$24:$M$24/(1+F$61)^$D$29:$M$29)+($M$24*(1+$B63)/(F$61-$B63))/(1+F$61)^$M$29-$C$48)/$C$50,"")</f>
        <v>80.4729604603618</v>
      </c>
      <c r="G63" s="225">
        <f t="array" ref="G63">IFERROR((SUMPRODUCT($D$24:$M$24/(1+G$61)^$D$29:$M$29)+($M$24*(1+$B63)/(G$61-$B63))/(1+G$61)^$M$29-$C$48)/$C$50,"")</f>
        <v>73.8457196536094</v>
      </c>
      <c r="H63" s="235">
        <f t="array" ref="H63">IFERROR((SUMPRODUCT($D$24:$M$24/(1+H$61)^$D$29:$M$29)+($M$24*(1+$B63)/(H$61-$B63))/(1+H$61)^$M$29-$C$48)/$C$50,"")</f>
        <v>68.148919864054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0.04</v>
      </c>
      <c r="C64" s="192" t="n"/>
      <c r="D64" s="225">
        <f t="array" ref="D64">IFERROR((SUMPRODUCT($D$24:$M$24/(1+D$61)^$D$29:$M$29)+($M$24*(1+$B64)/(D$61-$B64))/(1+D$61)^$M$29-$C$48)/$C$50,"")</f>
        <v>104.851357574738</v>
      </c>
      <c r="E64" s="225">
        <f t="array" ref="E64">IFERROR((SUMPRODUCT($D$24:$M$24/(1+E$61)^$D$29:$M$29)+($M$24*(1+$B64)/(E$61-$B64))/(1+E$61)^$M$29-$C$48)/$C$50,"")</f>
        <v>94.0176935026851</v>
      </c>
      <c r="F64" s="226">
        <f t="array" ref="F64">IFERROR((SUMPRODUCT($D$24:$M$24/(1+F$61)^$D$29:$M$29)+($M$24*(1+$B64)/(F$61-$B64))/(1+F$61)^$M$29-$C$48)/$C$50,"")</f>
        <v>85.0931670270056</v>
      </c>
      <c r="G64" s="225">
        <f t="array" ref="G64">IFERROR((SUMPRODUCT($D$24:$M$24/(1+G$61)^$D$29:$M$29)+($M$24*(1+$B64)/(G$61-$B64))/(1+G$61)^$M$29-$C$48)/$C$50,"")</f>
        <v>77.6167716301882</v>
      </c>
      <c r="H64" s="235">
        <f t="array" ref="H64">IFERROR((SUMPRODUCT($D$24:$M$24/(1+H$61)^$D$29:$M$29)+($M$24*(1+$B64)/(H$61-$B64))/(1+H$61)^$M$29-$C$48)/$C$50,"")</f>
        <v>71.2647654023559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0.045</v>
      </c>
      <c r="C65" s="192" t="n"/>
      <c r="D65" s="225">
        <f t="array" ref="D65">IFERROR((SUMPRODUCT($D$24:$M$24/(1+D$61)^$D$29:$M$29)+($M$24*(1+$B65)/(D$61-$B65))/(1+D$61)^$M$29-$C$48)/$C$50,"")</f>
        <v>113.832907782837</v>
      </c>
      <c r="E65" s="225">
        <f t="array" ref="E65">IFERROR((SUMPRODUCT($D$24:$M$24/(1+E$61)^$D$29:$M$29)+($M$24*(1+$B65)/(E$61-$B65))/(1+E$61)^$M$29-$C$48)/$C$50,"")</f>
        <v>100.97726796807</v>
      </c>
      <c r="F65" s="225">
        <f t="array" ref="F65">IFERROR((SUMPRODUCT($D$24:$M$24/(1+F$61)^$D$29:$M$29)+($M$24*(1+$B65)/(F$61-$B65))/(1+F$61)^$M$29-$C$48)/$C$50,"")</f>
        <v>90.5988310963003</v>
      </c>
      <c r="G65" s="225">
        <f t="array" ref="G65">IFERROR((SUMPRODUCT($D$24:$M$24/(1+G$61)^$D$29:$M$29)+($M$24*(1+$B65)/(G$61-$B65))/(1+G$61)^$M$29-$C$48)/$C$50,"")</f>
        <v>82.0473434417719</v>
      </c>
      <c r="H65" s="235">
        <f t="array" ref="H65">IFERROR((SUMPRODUCT($D$24:$M$24/(1+H$61)^$D$29:$M$29)+($M$24*(1+$B65)/(H$61-$B65))/(1+H$61)^$M$29-$C$48)/$C$50,"")</f>
        <v>74.8817219373089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0.05</v>
      </c>
      <c r="C66" s="229" t="n"/>
      <c r="D66" s="230">
        <f t="array" ref="D66">IFERROR((SUMPRODUCT($D$24:$M$24/(1+D$61)^$D$29:$M$29)+($M$24*(1+$B66)/(D$61-$B66))/(1+D$61)^$M$29-$C$48)/$C$50,"")</f>
        <v>125.230233187277</v>
      </c>
      <c r="E66" s="230">
        <f t="array" ref="E66">IFERROR((SUMPRODUCT($D$24:$M$24/(1+E$61)^$D$29:$M$29)+($M$24*(1+$B66)/(E$61-$B66))/(1+E$61)^$M$29-$C$48)/$C$50,"")</f>
        <v>109.586861569961</v>
      </c>
      <c r="F66" s="230">
        <f t="array" ref="F66">IFERROR((SUMPRODUCT($D$24:$M$24/(1+F$61)^$D$29:$M$29)+($M$24*(1+$B66)/(F$61-$B66))/(1+F$61)^$M$29-$C$48)/$C$50,"")</f>
        <v>97.2714748056436</v>
      </c>
      <c r="G66" s="230">
        <f t="array" ref="G66">IFERROR((SUMPRODUCT($D$24:$M$24/(1+G$61)^$D$29:$M$29)+($M$24*(1+$B66)/(G$61-$B66))/(1+G$61)^$M$29-$C$48)/$C$50,"")</f>
        <v>87.3270294639459</v>
      </c>
      <c r="H66" s="236">
        <f t="array" ref="H66">IFERROR((SUMPRODUCT($D$24:$M$24/(1+H$61)^$D$29:$M$29)+($M$24*(1+$B66)/(H$61-$B66))/(1+H$61)^$M$29-$C$48)/$C$50,"")</f>
        <v>79.1312485328095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(Netflix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0.09717875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0.12</v>
      </c>
      <c r="D78" s="198" t="inlineStr">
        <is>
          <t>Model operating income CAGR 2026–31E ~13%: ~9% revenue growth (pricing, ads, membership) with ~7pp of margin expansion → low-teens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0.3</v>
      </c>
      <c r="D79" s="198" t="inlineStr">
        <is>
          <t>Global scale spreads a fixed content budget over 300m+ paid memberships (301.6m at Q4-24, the last reported); incremental revenue (price, ads, paid sharing) carries high incremental margins; capital-light ex content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15</v>
      </c>
      <c r="D80" s="198" t="inlineStr">
        <is>
          <t>Scale advantage in content spend and engagement data, global distribution and brand; risks: competition for viewing time, content-cost inflation, saturation in UCAN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10.2903155267998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0.676070833333333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-36.5816010611155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-0.36178806979206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13.2347868378041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0">
        <f>C83+C87</f>
        <v>23.525102364604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2029E Adj. EBIT less company-quantified one-offs</t>
        </is>
      </c>
      <c r="C91" s="209">
        <f>Model!CD184-Model!CD187</f>
        <v>24551.2285881781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0.17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2029E NOPAT</t>
        </is>
      </c>
      <c r="C93" s="211">
        <f>C91*(1-C92)</f>
        <v>20377.5197281878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1">
        <f>C88</f>
        <v>23.525102364604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(2029E basis)</t>
        </is>
      </c>
      <c r="C95" s="211">
        <f>C93*C94</f>
        <v>479383.237542356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2028E year-end net debt + NCI (Model)</t>
        </is>
      </c>
      <c r="C96" s="209">
        <f>Model!CC383+Model!CC308</f>
        <v>3956.06331386141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475427.174228494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2029E (m, Model)</t>
        </is>
      </c>
      <c r="C98" s="212">
        <f>Model!CD390</f>
        <v>3603.23213358042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2029 ($)</t>
        </is>
      </c>
      <c r="C99" s="213">
        <f>C97/C98</f>
        <v>131.944642088901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70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0.884923458412865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290105.357653333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2026E year-end net debt + NCI</t>
        </is>
      </c>
      <c r="C106" s="211">
        <f>C48</f>
        <v>5750.84866666667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295856.20632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NFLX market-implied EV/NOPAT (on 2029E NOPAT)</t>
        </is>
      </c>
      <c r="C108" s="302">
        <f>C107/C93</f>
        <v>14.5187545033142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9.00634786128983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0.620325101525339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Netflix, Inc. — Operating Performance (2012–2025) and Model Forecast (2026E–2031E)</t>
        </is>
      </c>
    </row>
    <row r="3" ht="15" customHeight="1" s="251">
      <c r="B3" s="4" t="inlineStr">
        <is>
          <t>USDm · fiscal years ended 31 December · Linked to Model. Bars = contribution to revenue growth (pp): UCAN vs international (EMEA + LATAM + APAC) from 2018; legacy domestic (streaming + DVD) vs international streaming before. Adjusted EBITDA = company definition. ROIC / RONTA on adjusted EBIT (full-cost).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inlineStr">
        <is>
          <t>2026E</t>
        </is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UCAN / domestic contribution to growth (pp)</t>
        </is>
      </c>
      <c r="C8" s="108">
        <f>IFERROR(Model!I47+0,0)</f>
        <v>0</v>
      </c>
      <c r="D8" s="108">
        <f>IFERROR(Model!N47+0,0)</f>
        <v>0.0943212528142716</v>
      </c>
      <c r="E8" s="108">
        <f>IFERROR(Model!S47+0,0)</f>
        <v>0.122166059139178</v>
      </c>
      <c r="F8" s="108">
        <f>IFERROR(Model!X47+0,0)</f>
        <v>0.114354284809078</v>
      </c>
      <c r="G8" s="108">
        <f>IFERROR(Model!AC47+0,0)</f>
        <v>0.117043544881039</v>
      </c>
      <c r="H8" s="108">
        <f>IFERROR(Model!AH47+0,0)</f>
        <v>0.111423947608046</v>
      </c>
      <c r="I8" s="108">
        <f>IFERROR(Model!AM47+0,0)</f>
        <v>0.138605386106714</v>
      </c>
      <c r="J8" s="108">
        <f>IFERROR(Model!AR47+0,0)</f>
        <v>0.112044940653111</v>
      </c>
      <c r="K8" s="108">
        <f>IFERROR(Model!AW47+0,0)</f>
        <v>0.0696644602096788</v>
      </c>
      <c r="L8" s="108">
        <f>IFERROR(Model!BB47+0,0)</f>
        <v>0.0606777325190822</v>
      </c>
      <c r="M8" s="108">
        <f>IFERROR(Model!BG47+0,0)</f>
        <v>0.0374620797388524</v>
      </c>
      <c r="N8" s="108">
        <f>IFERROR(Model!BL47+0,0)</f>
        <v>0.024960502031437</v>
      </c>
      <c r="O8" s="108">
        <f>IFERROR(Model!BQ47+0,0)</f>
        <v>0.0737053082324661</v>
      </c>
      <c r="P8" s="108">
        <f>IFERROR(Model!BV47+0,0)</f>
        <v>0.0666081706796698</v>
      </c>
      <c r="Q8" s="108">
        <f>IFERROR(Model!CA47+0,0)</f>
        <v>0.0460334040695363</v>
      </c>
      <c r="R8" s="108">
        <f>IFERROR(Model!CB47+0,0)</f>
        <v>0.0387370563631812</v>
      </c>
      <c r="S8" s="108">
        <f>IFERROR(Model!CC47+0,0)</f>
        <v>0.0339635321144595</v>
      </c>
      <c r="T8" s="108">
        <f>IFERROR(Model!CD47+0,0)</f>
        <v>0.0293042013758513</v>
      </c>
      <c r="U8" s="108">
        <f>IFERROR(Model!CE47+0,0)</f>
        <v>0.0268238486123914</v>
      </c>
      <c r="V8" s="108">
        <f>IFERROR(Model!CF47+0,0)</f>
        <v>0.0244686367171474</v>
      </c>
    </row>
    <row r="9" ht="15" customHeight="1" s="251">
      <c r="B9" t="inlineStr">
        <is>
          <t>International contribution to growth (pp)</t>
        </is>
      </c>
      <c r="C9" s="108">
        <f>IFERROR(Model!I48+0,0)</f>
        <v>0</v>
      </c>
      <c r="D9" s="108">
        <f>IFERROR(Model!N48+0,0)</f>
        <v>0.117709838134011</v>
      </c>
      <c r="E9" s="108">
        <f>IFERROR(Model!S48+0,0)</f>
        <v>0.136167003690884</v>
      </c>
      <c r="F9" s="108">
        <f>IFERROR(Model!X48+0,0)</f>
        <v>0.117241477033261</v>
      </c>
      <c r="G9" s="108">
        <f>IFERROR(Model!AC48+0,0)</f>
        <v>0.185508954849398</v>
      </c>
      <c r="H9" s="108">
        <f>IFERROR(Model!AH48+0,0)</f>
        <v>0.212678790247942</v>
      </c>
      <c r="I9" s="108">
        <f>IFERROR(Model!AM48+0,0)</f>
        <v>0.212179585695809</v>
      </c>
      <c r="J9" s="108">
        <f>IFERROR(Model!AR48+0,0)</f>
        <v>0.16413663602679</v>
      </c>
      <c r="K9" s="108">
        <f>IFERROR(Model!AW48+0,0)</f>
        <v>0.170437825674336</v>
      </c>
      <c r="L9" s="108">
        <f>IFERROR(Model!BB48+0,0)</f>
        <v>0.127423462325416</v>
      </c>
      <c r="M9" s="108">
        <f>IFERROR(Model!BG48+0,0)</f>
        <v>0.0271118334381445</v>
      </c>
      <c r="N9" s="108">
        <f>IFERROR(Model!BL48+0,0)</f>
        <v>0.0417075458121083</v>
      </c>
      <c r="O9" s="108">
        <f>IFERROR(Model!BQ48+0,0)</f>
        <v>0.0827938917123081</v>
      </c>
      <c r="P9" s="108">
        <f>IFERROR(Model!BV48+0,0)</f>
        <v>0.0919025185171055</v>
      </c>
      <c r="Q9" s="108">
        <f>IFERROR(Model!CA48+0,0)</f>
        <v>0.0871352479882847</v>
      </c>
      <c r="R9" s="108">
        <f>IFERROR(Model!CB48+0,0)</f>
        <v>0.0663277340733302</v>
      </c>
      <c r="S9" s="108">
        <f>IFERROR(Model!CC48+0,0)</f>
        <v>0.0612902656775921</v>
      </c>
      <c r="T9" s="108">
        <f>IFERROR(Model!CD48+0,0)</f>
        <v>0.0561409800698585</v>
      </c>
      <c r="U9" s="108">
        <f>IFERROR(Model!CE48+0,0)</f>
        <v>0.0508784714547978</v>
      </c>
      <c r="V9" s="108">
        <f>IFERROR(Model!CF48+0,0)</f>
        <v>0.0454142504133253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 t="str">
        <f>Q7</f>
        <v>2026E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</t>
        </is>
      </c>
      <c r="C12" s="106">
        <f>Model!I175</f>
        <v>169.409</v>
      </c>
      <c r="D12" s="106">
        <f>Model!N175</f>
        <v>349.821</v>
      </c>
      <c r="E12" s="106">
        <f>Model!S175</f>
        <v>571.915</v>
      </c>
      <c r="F12" s="106">
        <f>Model!X175</f>
        <v>492.834000000001</v>
      </c>
      <c r="G12" s="106">
        <f>Model!AC175</f>
        <v>610.996</v>
      </c>
      <c r="H12" s="106">
        <f>Model!AH175</f>
        <v>1092.799</v>
      </c>
      <c r="I12" s="106">
        <f>Model!AM175</f>
        <v>2009.04</v>
      </c>
      <c r="J12" s="106">
        <f>Model!AR175</f>
        <v>3113.209</v>
      </c>
      <c r="K12" s="106">
        <f>Model!AW175</f>
        <v>5116.179</v>
      </c>
      <c r="L12" s="106">
        <f>Model!BB175</f>
        <v>6806.141</v>
      </c>
      <c r="M12" s="106">
        <f>Model!BG175</f>
        <v>6544.965</v>
      </c>
      <c r="N12" s="106">
        <f>Model!BL175</f>
        <v>7650.318</v>
      </c>
      <c r="O12" s="106">
        <f>Model!BQ175</f>
        <v>11019.116</v>
      </c>
      <c r="P12" s="106">
        <f>Model!BV175</f>
        <v>14028.441</v>
      </c>
      <c r="Q12" s="106">
        <f>Model!CA175</f>
        <v>17197.6922355257</v>
      </c>
      <c r="R12" s="106">
        <f>Model!CB175</f>
        <v>20029.0783137037</v>
      </c>
      <c r="S12" s="106">
        <f>Model!CC175</f>
        <v>22866.4547711109</v>
      </c>
      <c r="T12" s="106">
        <f>Model!CD175</f>
        <v>25829.2377475627</v>
      </c>
      <c r="U12" s="106">
        <f>Model!CE175</f>
        <v>28561.1312546079</v>
      </c>
      <c r="V12" s="106">
        <f>Model!CF175</f>
        <v>31332.6256061485</v>
      </c>
    </row>
    <row r="13" ht="15" customHeight="1" s="251">
      <c r="B13" t="inlineStr">
        <is>
          <t>Operating income (GAAP)</t>
        </is>
      </c>
      <c r="C13" s="106">
        <f>Model!I131</f>
        <v>49.9920000000002</v>
      </c>
      <c r="D13" s="106">
        <f>Model!N131</f>
        <v>228.347</v>
      </c>
      <c r="E13" s="106">
        <f>Model!S131</f>
        <v>402.648</v>
      </c>
      <c r="F13" s="106">
        <f>Model!X131</f>
        <v>305.826000000001</v>
      </c>
      <c r="G13" s="106">
        <f>Model!AC131</f>
        <v>379.793</v>
      </c>
      <c r="H13" s="106">
        <f>Model!AH131</f>
        <v>838.679</v>
      </c>
      <c r="I13" s="106">
        <f>Model!AM131</f>
        <v>1605.226</v>
      </c>
      <c r="J13" s="106">
        <f>Model!AR131</f>
        <v>2604.254</v>
      </c>
      <c r="K13" s="106">
        <f>Model!AW131</f>
        <v>4585.289</v>
      </c>
      <c r="L13" s="106">
        <f>Model!BB131</f>
        <v>6194.509</v>
      </c>
      <c r="M13" s="106">
        <f>Model!BG131</f>
        <v>5632.831</v>
      </c>
      <c r="N13" s="106">
        <f>Model!BL131</f>
        <v>6954.003</v>
      </c>
      <c r="O13" s="106">
        <f>Model!BQ131</f>
        <v>10417.614</v>
      </c>
      <c r="P13" s="106">
        <f>Model!BV131</f>
        <v>13326.603</v>
      </c>
      <c r="Q13" s="106">
        <f>Model!CA131</f>
        <v>16128</v>
      </c>
      <c r="R13" s="106">
        <f>Model!CB131</f>
        <v>18954.071285567</v>
      </c>
      <c r="S13" s="106">
        <f>Model!CC131</f>
        <v>21689.0492408911</v>
      </c>
      <c r="T13" s="106">
        <f>Model!CD131</f>
        <v>24551.2285881781</v>
      </c>
      <c r="U13" s="106">
        <f>Model!CE131</f>
        <v>27183.817818472</v>
      </c>
      <c r="V13" s="106">
        <f>Model!CF131</f>
        <v>29859.0615306118</v>
      </c>
    </row>
    <row r="14" ht="15" customHeight="1" s="251">
      <c r="B14" t="inlineStr">
        <is>
          <t>Adj. EBITDA Margin %</t>
        </is>
      </c>
      <c r="C14" s="108">
        <f>Model!I219</f>
        <v>0.0469370362304747</v>
      </c>
      <c r="D14" s="108">
        <f>Model!N219</f>
        <v>0.0799670915625382</v>
      </c>
      <c r="E14" s="108">
        <f>Model!S219</f>
        <v>0.103896592266619</v>
      </c>
      <c r="F14" s="108">
        <f>Model!X219</f>
        <v>0.0726946235502827</v>
      </c>
      <c r="G14" s="108">
        <f>Model!AC219</f>
        <v>0.0691902278298507</v>
      </c>
      <c r="H14" s="108">
        <f>Model!AH219</f>
        <v>0.0934598326325122</v>
      </c>
      <c r="I14" s="108">
        <f>Model!AM219</f>
        <v>0.127199988907419</v>
      </c>
      <c r="J14" s="108">
        <f>Model!AR219</f>
        <v>0.154452270283548</v>
      </c>
      <c r="K14" s="108">
        <f>Model!AW219</f>
        <v>0.204679450230068</v>
      </c>
      <c r="L14" s="108">
        <f>Model!BB219</f>
        <v>0.229179633376753</v>
      </c>
      <c r="M14" s="108">
        <f>Model!BG219</f>
        <v>0.207017274727152</v>
      </c>
      <c r="N14" s="108">
        <f>Model!BL219</f>
        <v>0.226855577021428</v>
      </c>
      <c r="O14" s="108">
        <f>Model!BQ219</f>
        <v>0.282534437736747</v>
      </c>
      <c r="P14" s="108">
        <f>Model!BV219</f>
        <v>0.310480265203958</v>
      </c>
      <c r="Q14" s="108">
        <f>Model!CA219</f>
        <v>0.33589242647511</v>
      </c>
      <c r="R14" s="108">
        <f>Model!CB219</f>
        <v>0.354</v>
      </c>
      <c r="S14" s="108">
        <f>Model!CC219</f>
        <v>0.369</v>
      </c>
      <c r="T14" s="108">
        <f>Model!CD219</f>
        <v>0.384</v>
      </c>
      <c r="U14" s="108">
        <f>Model!CE219</f>
        <v>0.394</v>
      </c>
      <c r="V14" s="108">
        <f>Model!CF219</f>
        <v>0.404</v>
      </c>
    </row>
    <row r="15" ht="15" customHeight="1" s="251">
      <c r="B15" t="inlineStr">
        <is>
          <t>Operating Margin %</t>
        </is>
      </c>
      <c r="C15" s="108">
        <f>Model!I217</f>
        <v>0.0138509542895236</v>
      </c>
      <c r="D15" s="108">
        <f>Model!N217</f>
        <v>0.0521988258481649</v>
      </c>
      <c r="E15" s="108">
        <f>Model!S217</f>
        <v>0.0731468051772898</v>
      </c>
      <c r="F15" s="108">
        <f>Model!X217</f>
        <v>0.0451103331788975</v>
      </c>
      <c r="G15" s="108">
        <f>Model!AC217</f>
        <v>0.0430084062713709</v>
      </c>
      <c r="H15" s="108">
        <f>Model!AH217</f>
        <v>0.0717266386338226</v>
      </c>
      <c r="I15" s="108">
        <f>Model!AM217</f>
        <v>0.101632983611029</v>
      </c>
      <c r="J15" s="108">
        <f>Model!AR217</f>
        <v>0.129202036450174</v>
      </c>
      <c r="K15" s="108">
        <f>Model!AW217</f>
        <v>0.183440499573213</v>
      </c>
      <c r="L15" s="108">
        <f>Model!BB217</f>
        <v>0.208584468286654</v>
      </c>
      <c r="M15" s="108">
        <f>Model!BG217</f>
        <v>0.178166471878553</v>
      </c>
      <c r="N15" s="108">
        <f>Model!BL217</f>
        <v>0.20620768485359</v>
      </c>
      <c r="O15" s="108">
        <f>Model!BQ217</f>
        <v>0.267111691541179</v>
      </c>
      <c r="P15" s="108">
        <f>Model!BV217</f>
        <v>0.294947046055073</v>
      </c>
      <c r="Q15" s="108">
        <f>Model!CA217</f>
        <v>0.315</v>
      </c>
      <c r="R15" s="108">
        <f>Model!CB217</f>
        <v>0.335</v>
      </c>
      <c r="S15" s="108">
        <f>Model!CC217</f>
        <v>0.35</v>
      </c>
      <c r="T15" s="108">
        <f>Model!CD217</f>
        <v>0.365</v>
      </c>
      <c r="U15" s="108">
        <f>Model!CE217</f>
        <v>0.375</v>
      </c>
      <c r="V15" s="108">
        <f>Model!CF217</f>
        <v>0.385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 t="str">
        <f>Q7</f>
        <v>2026E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IFERROR(Model!I366+0,NA())</f>
        <v>0.0819344671516286</v>
      </c>
      <c r="D18" s="108">
        <f>IFERROR(Model!N366+0,NA())</f>
        <v>0.236961874139198</v>
      </c>
      <c r="E18" s="108">
        <f>IFERROR(Model!S366+0,NA())</f>
        <v>0.267562487367487</v>
      </c>
      <c r="F18" s="108">
        <f>IFERROR(Model!X366+0,NA())</f>
        <v>0.115734708721403</v>
      </c>
      <c r="G18" s="108">
        <f>IFERROR(Model!AC366+0,NA())</f>
        <v>0.0631408286728936</v>
      </c>
      <c r="H18" s="108">
        <f>IFERROR(Model!AH366+0,NA())</f>
        <v>0.10398862424164</v>
      </c>
      <c r="I18" s="108">
        <f>IFERROR(Model!AM366+0,NA())</f>
        <v>0.122387477825952</v>
      </c>
      <c r="J18" s="108">
        <f>IFERROR(Model!AR366+0,NA())</f>
        <v>0.135301697513938</v>
      </c>
      <c r="K18" s="108">
        <f>IFERROR(Model!AW366+0,NA())</f>
        <v>0.206462797608033</v>
      </c>
      <c r="L18" s="108">
        <f>IFERROR(Model!BB366+0,NA())</f>
        <v>0.215223001731699</v>
      </c>
      <c r="M18" s="108">
        <f>IFERROR(Model!BG366+0,NA())</f>
        <v>0.169741327319676</v>
      </c>
      <c r="N18" s="108">
        <f>IFERROR(Model!BL366+0,NA())</f>
        <v>0.216491327940782</v>
      </c>
      <c r="O18" s="108">
        <f>IFERROR(Model!BQ366+0,NA())</f>
        <v>0.296224347412815</v>
      </c>
      <c r="P18" s="108">
        <f>IFERROR(Model!BV366+0,NA())</f>
        <v>0.375964039755055</v>
      </c>
      <c r="Q18" s="108">
        <f>IFERROR(Model!CA366+0,NA())</f>
        <v>0.366904765321825</v>
      </c>
      <c r="R18" s="108">
        <f>IFERROR(Model!CB366+0,NA())</f>
        <v>0.403947815530052</v>
      </c>
      <c r="S18" s="108">
        <f>IFERROR(Model!CC366+0,NA())</f>
        <v>0.43569259917979</v>
      </c>
      <c r="T18" s="108">
        <f>IFERROR(Model!CD366+0,NA())</f>
        <v>0.467904528036273</v>
      </c>
      <c r="U18" s="108">
        <f>IFERROR(Model!CE366+0,NA())</f>
        <v>0.49476294397535</v>
      </c>
      <c r="V18" s="108">
        <f>IFERROR(Model!CF366+0,NA())</f>
        <v>0.521568285878654</v>
      </c>
    </row>
    <row r="19" ht="15" customHeight="1" s="251">
      <c r="B19" t="inlineStr">
        <is>
          <t>RONTA</t>
        </is>
      </c>
      <c r="C19" s="108">
        <f>IFERROR(Model!I377+0,NA())</f>
        <v>0.014177709597533</v>
      </c>
      <c r="D19" s="108">
        <f>IFERROR(Model!N377+0,NA())</f>
        <v>0.0460458121209682</v>
      </c>
      <c r="E19" s="108">
        <f>IFERROR(Model!S377+0,NA())</f>
        <v>0.0699866236923718</v>
      </c>
      <c r="F19" s="108">
        <f>IFERROR(Model!X377+0,NA())</f>
        <v>0.03961287861118</v>
      </c>
      <c r="G19" s="108">
        <f>IFERROR(Model!AC377+0,NA())</f>
        <v>0.0302399073542723</v>
      </c>
      <c r="H19" s="108">
        <f>IFERROR(Model!AH377+0,NA())</f>
        <v>0.0557202967866811</v>
      </c>
      <c r="I19" s="108">
        <f>IFERROR(Model!AM377+0,NA())</f>
        <v>0.0741364740125252</v>
      </c>
      <c r="J19" s="108">
        <f>IFERROR(Model!AR377+0,NA())</f>
        <v>0.0864243074192877</v>
      </c>
      <c r="K19" s="108">
        <f>IFERROR(Model!AW377+0,NA())</f>
        <v>0.123774311734431</v>
      </c>
      <c r="L19" s="108">
        <f>IFERROR(Model!BB377+0,NA())</f>
        <v>0.147482783943824</v>
      </c>
      <c r="M19" s="108">
        <f>IFERROR(Model!BG377+0,NA())</f>
        <v>0.121354247254223</v>
      </c>
      <c r="N19" s="108">
        <f>IFERROR(Model!BL377+0,NA())</f>
        <v>0.15048951976551</v>
      </c>
      <c r="O19" s="108">
        <f>IFERROR(Model!BQ377+0,NA())</f>
        <v>0.203914754704585</v>
      </c>
      <c r="P19" s="108">
        <f>IFERROR(Model!BV377+0,NA())</f>
        <v>0.263879656634697</v>
      </c>
      <c r="Q19" s="108">
        <f>IFERROR(Model!CA377+0,NA())</f>
        <v>0.270670159543966</v>
      </c>
      <c r="R19" s="108">
        <f>IFERROR(Model!CB377+0,NA())</f>
        <v>0.298300959886142</v>
      </c>
      <c r="S19" s="108">
        <f>IFERROR(Model!CC377+0,NA())</f>
        <v>0.321410446599759</v>
      </c>
      <c r="T19" s="108">
        <f>IFERROR(Model!CD377+0,NA())</f>
        <v>0.344655770483976</v>
      </c>
      <c r="U19" s="108">
        <f>IFERROR(Model!CE377+0,NA())</f>
        <v>0.363633515911987</v>
      </c>
      <c r="V19" s="108">
        <f>IFERROR(Model!CF377+0,NA())</f>
        <v>0.382422057823007</v>
      </c>
    </row>
    <row r="20" ht="15" customHeight="1" s="251">
      <c r="B20" t="inlineStr">
        <is>
          <t>Adj. EBITDA margin %</t>
        </is>
      </c>
      <c r="C20" s="108">
        <f>IFERROR(Model!I219+0,NA())</f>
        <v>0.0469370362304747</v>
      </c>
      <c r="D20" s="108">
        <f>IFERROR(Model!N219+0,NA())</f>
        <v>0.0799670915625382</v>
      </c>
      <c r="E20" s="108">
        <f>IFERROR(Model!S219+0,NA())</f>
        <v>0.103896592266619</v>
      </c>
      <c r="F20" s="108">
        <f>IFERROR(Model!X219+0,NA())</f>
        <v>0.0726946235502827</v>
      </c>
      <c r="G20" s="108">
        <f>IFERROR(Model!AC219+0,NA())</f>
        <v>0.0691902278298507</v>
      </c>
      <c r="H20" s="108">
        <f>IFERROR(Model!AH219+0,NA())</f>
        <v>0.0934598326325122</v>
      </c>
      <c r="I20" s="108">
        <f>IFERROR(Model!AM219+0,NA())</f>
        <v>0.127199988907419</v>
      </c>
      <c r="J20" s="108">
        <f>IFERROR(Model!AR219+0,NA())</f>
        <v>0.154452270283548</v>
      </c>
      <c r="K20" s="108">
        <f>IFERROR(Model!AW219+0,NA())</f>
        <v>0.204679450230068</v>
      </c>
      <c r="L20" s="108">
        <f>IFERROR(Model!BB219+0,NA())</f>
        <v>0.229179633376753</v>
      </c>
      <c r="M20" s="108">
        <f>IFERROR(Model!BG219+0,NA())</f>
        <v>0.207017274727152</v>
      </c>
      <c r="N20" s="108">
        <f>IFERROR(Model!BL219+0,NA())</f>
        <v>0.226855577021428</v>
      </c>
      <c r="O20" s="108">
        <f>IFERROR(Model!BQ219+0,NA())</f>
        <v>0.282534437736747</v>
      </c>
      <c r="P20" s="108">
        <f>IFERROR(Model!BV219+0,NA())</f>
        <v>0.310480265203958</v>
      </c>
      <c r="Q20" s="108">
        <f>IFERROR(Model!CA219+0,NA())</f>
        <v>0.33589242647511</v>
      </c>
      <c r="R20" s="108">
        <f>IFERROR(Model!CB219+0,NA())</f>
        <v>0.354</v>
      </c>
      <c r="S20" s="108">
        <f>IFERROR(Model!CC219+0,NA())</f>
        <v>0.369</v>
      </c>
      <c r="T20" s="108">
        <f>IFERROR(Model!CD219+0,NA())</f>
        <v>0.384</v>
      </c>
      <c r="U20" s="108">
        <f>IFERROR(Model!CE219+0,NA())</f>
        <v>0.394</v>
      </c>
      <c r="V20" s="108">
        <f>IFERROR(Model!CF219+0,NA())</f>
        <v>0.404</v>
      </c>
    </row>
    <row r="21" ht="15" customHeight="1" s="251">
      <c r="B21" t="inlineStr">
        <is>
          <t>FCF margin %</t>
        </is>
      </c>
      <c r="C21" s="108">
        <f>IFERROR(Model!I264+0,NA())</f>
        <v>-0.0161115147001537</v>
      </c>
      <c r="D21" s="108">
        <f>IFERROR(Model!N264+0,NA())</f>
        <v>-0.00372608732028486</v>
      </c>
      <c r="E21" s="108">
        <f>IFERROR(Model!S264+0,NA())</f>
        <v>-0.0230166971378411</v>
      </c>
      <c r="F21" s="108">
        <f>IFERROR(Model!X264+0,NA())</f>
        <v>-0.135785162086174</v>
      </c>
      <c r="G21" s="108">
        <f>IFERROR(Model!AC264+0,NA())</f>
        <v>-0.187953483478998</v>
      </c>
      <c r="H21" s="108">
        <f>IFERROR(Model!AH264+0,NA())</f>
        <v>-0.172728005895638</v>
      </c>
      <c r="I21" s="108">
        <f>IFERROR(Model!AM264+0,NA())</f>
        <v>-0.191182335495986</v>
      </c>
      <c r="J21" s="108">
        <f>IFERROR(Model!AR264+0,NA())</f>
        <v>-0.162448570425135</v>
      </c>
      <c r="K21" s="108">
        <f>IFERROR(Model!AW264+0,NA())</f>
        <v>0.0768810487542515</v>
      </c>
      <c r="L21" s="108">
        <f>IFERROR(Model!BB264+0,NA())</f>
        <v>-0.00535035472608719</v>
      </c>
      <c r="M21" s="108">
        <f>IFERROR(Model!BG264+0,NA())</f>
        <v>0.0511940484982864</v>
      </c>
      <c r="N21" s="108">
        <f>IFERROR(Model!BL264+0,NA())</f>
        <v>0.205369866416086</v>
      </c>
      <c r="O21" s="108">
        <f>IFERROR(Model!BQ264+0,NA())</f>
        <v>0.177478321947205</v>
      </c>
      <c r="P21" s="108">
        <f>IFERROR(Model!BV264+0,NA())</f>
        <v>0.209393919434719</v>
      </c>
      <c r="Q21" s="108">
        <f>IFERROR(Model!CA264+0,NA())</f>
        <v>0.244140625</v>
      </c>
      <c r="R21" s="108">
        <f>IFERROR(Model!CB264+0,NA())</f>
        <v>0.243281280742668</v>
      </c>
      <c r="S21" s="108">
        <f>IFERROR(Model!CC264+0,NA())</f>
        <v>0.264665073112835</v>
      </c>
      <c r="T21" s="108">
        <f>IFERROR(Model!CD264+0,NA())</f>
        <v>0.28219532500054</v>
      </c>
      <c r="U21" s="108">
        <f>IFERROR(Model!CE264+0,NA())</f>
        <v>0.295363356861564</v>
      </c>
      <c r="V21" s="108">
        <f>IFERROR(Model!CF264+0,NA())</f>
        <v>0.307440083065081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2026-10-13T10:45:11Z</dcterms:modified>
  <cp:lastModifiedBy>Payton Liske</cp:lastModifiedBy>
  <cp:revision>3</cp:revision>
</cp:coreProperties>
</file>