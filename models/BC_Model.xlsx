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annual / half-year financial reports (Report on Operations — distribution network) and Q1/9M sales releases. DOS = directly operated boutiques (excl. hard shops and outlets where separately shown).</t>
        </r>
      </text>
    </comment>
    <comment ref="B16" authorId="0">
      <text>
        <r>
          <rPr>
            <sz val="10"/>
            <rFont val="Arial"/>
            <family val="2"/>
          </rPr>
          <t xml:space="preserve">Source: annual / half-year reports — revenues by distribution channel. 2017 as originally reported (IFRS 15 restatement of 2017 comparatives in the 2018 report not applied).</t>
        </r>
      </text>
    </comment>
    <comment ref="B24" authorId="0">
      <text>
        <r>
          <rPr>
            <sz val="10"/>
            <rFont val="Arial"/>
            <family val="2"/>
          </rPr>
          <t xml:space="preserve">Source: annual / half-year reports — mono-brand wholesale boutiques (franchised).</t>
        </r>
      </text>
    </comment>
    <comment ref="B25" authorId="0">
      <text>
        <r>
          <rPr>
            <sz val="10"/>
            <rFont val="Arial"/>
            <family val="2"/>
          </rPr>
          <t xml:space="preserve">Source: annual / half-year reports — wholesale = mono-brand + multi-brand to 2020; single wholesale line from 2021.</t>
        </r>
      </text>
    </comment>
    <comment ref="B33" authorId="0">
      <text>
        <r>
          <rPr>
            <sz val="10"/>
            <rFont val="Arial"/>
            <family val="2"/>
          </rPr>
          <t xml:space="preserve">Source: revenues by geographical area. Europe incl. Italy (Italy + Europe ex-Italy to 2024; Europe incl. Italy from H1/25).</t>
        </r>
      </text>
    </comment>
    <comment ref="B36" authorId="0">
      <text>
        <r>
          <rPr>
            <sz val="10"/>
            <rFont val="Arial"/>
            <family val="2"/>
          </rPr>
          <t xml:space="preserve">Source: revenues by geographical area. North America to 2020; Americas from 2021.</t>
        </r>
      </text>
    </comment>
    <comment ref="B39" authorId="0">
      <text>
        <r>
          <rPr>
            <sz val="10"/>
            <rFont val="Arial"/>
            <family val="2"/>
          </rPr>
          <t xml:space="preserve">Source: revenues by geographical area. Greater China + rest of the world to 2020; Asia from 2021.</t>
        </r>
      </text>
    </comment>
    <comment ref="B56" authorId="0">
      <text>
        <r>
          <rPr>
            <sz val="10"/>
            <rFont val="Arial"/>
            <family val="2"/>
          </rPr>
          <t xml:space="preserve">Source: Q1 and nine-month revenue press releases / interim reports (Q3 = 9M − H1).</t>
        </r>
      </text>
    </comment>
    <comment ref="B65" authorId="0">
      <text>
        <r>
          <rPr>
            <sz val="10"/>
            <rFont val="Arial"/>
            <family val="2"/>
          </rPr>
          <t xml:space="preserve">Source: company-reported growth at constant exchange rates (annual / half-year reports, press releases).</t>
        </r>
      </text>
    </comment>
    <comment ref="B81" authorId="0">
      <text>
        <r>
          <rPr>
            <sz val="10"/>
            <rFont val="Arial"/>
            <family val="2"/>
          </rPr>
          <t xml:space="preserve">Source: Report on Operations — production costs table (outsourced work within costs for services).</t>
        </r>
      </text>
    </comment>
    <comment ref="B104" authorId="0">
      <text>
        <r>
          <rPr>
            <sz val="10"/>
            <rFont val="Arial"/>
            <family val="2"/>
          </rPr>
          <t xml:space="preserve">Source: "Exclusion of the effects of IFRS 16 application" in the D&amp;A table; 2021–22 reported right-of-use amortisation (incl. key money) as proxy.</t>
        </r>
      </text>
    </comment>
    <comment ref="B111" authorId="0">
      <text>
        <r>
          <rPr>
            <sz val="10"/>
            <rFont val="Arial"/>
            <family val="2"/>
          </rPr>
          <t xml:space="preserve">Source: consolidated income statement (annual report / half-year report). Net revenues; other operating income shown separately.</t>
        </r>
      </text>
    </comment>
    <comment ref="B138" authorId="0">
      <text>
        <r>
          <rPr>
            <sz val="10"/>
            <rFont val="Arial"/>
            <family val="2"/>
          </rPr>
          <t xml:space="preserve">Source: EPS note — weighted-average shares (60.0m in 2011 before the 2012 IPO capital increase; 68.0m in issue since).</t>
        </r>
      </text>
    </comment>
    <comment ref="B142" authorId="0">
      <text>
        <r>
          <rPr>
            <sz val="10"/>
            <rFont val="Arial"/>
            <family val="2"/>
          </rPr>
          <t xml:space="preserve">Source: FY results press releases / shareholders' meetings. FY2019 €0.35 proposal revoked (COVID); no FY2020 dividend (loss). FY2011 not disclosed per share.</t>
        </r>
      </text>
    </comment>
    <comment ref="B154" authorId="0">
      <text>
        <r>
          <rPr>
            <sz val="10"/>
            <rFont val="Arial"/>
            <family val="2"/>
          </rPr>
          <t xml:space="preserve">Source: Report on Operations — EBITDA (alternative performance indicator: operating income before D&amp;A).</t>
        </r>
      </text>
    </comment>
    <comment ref="B157" authorId="0">
      <text>
        <r>
          <rPr>
            <sz val="10"/>
            <rFont val="Arial"/>
            <family val="2"/>
          </rPr>
          <t xml:space="preserve">Source: company normalised figures in the annual / half-year reports (see modelling note).</t>
        </r>
      </text>
    </comment>
    <comment ref="B160" authorId="0">
      <text>
        <r>
          <rPr>
            <sz val="10"/>
            <rFont val="Arial"/>
            <family val="2"/>
          </rPr>
          <t xml:space="preserve">Source: "Cost for leases included in IFRS 16" (lease expense table). 2019: EBITDA − company EBITDA excl. IFRS 16.</t>
        </r>
      </text>
    </comment>
    <comment ref="B183" authorId="0">
      <text>
        <r>
          <rPr>
            <sz val="10"/>
            <rFont val="Arial"/>
            <family val="2"/>
          </rPr>
          <t xml:space="preserve">Source: tax-rate commentary / normalised net profit (Patent Box benefits 2017–19; 2016 IRES rate remeasurement; 2021 DTA recognised on the 2020 inventory provision).</t>
        </r>
      </text>
    </comment>
    <comment ref="B256" authorId="0">
      <text>
        <r>
          <rPr>
            <sz val="10"/>
            <rFont val="Arial"/>
            <family val="2"/>
          </rPr>
          <t xml:space="preserve">Source: share capital note — shares in issue less treasury shares.</t>
        </r>
      </text>
    </comment>
    <comment ref="B302" authorId="0">
      <text>
        <r>
          <rPr>
            <sz val="10"/>
            <rFont val="Arial"/>
            <family val="2"/>
          </rPr>
          <t xml:space="preserve">Source: Report on Operations — net financial debt excluding lease liabilities ("core business").</t>
        </r>
      </text>
    </comment>
    <comment ref="BC2" authorId="0">
      <text>
        <r>
          <rPr>
            <sz val="10"/>
            <rFont val="Arial"/>
            <family val="2"/>
          </rPr>
          <t xml:space="preserve">Scenario toggle. Choose Bull / Base / Bear. Drives: FY26 constant-FX revenue guidance end-point (H2/26E calibration) and the 2027E–30E levers in the scenario table (retail sales density, wholesale growth, first margin, services &amp; payroll ratios, capex).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6" authorId="0">
      <text>
        <r>
          <rPr>
            <sz val="10"/>
            <rFont val="Arial"/>
            <family val="2"/>
          </rPr>
          <t xml:space="preserve">P/E on adjusted EPS. BC has traded at ~35–60x forward EPS since 2019 (≈35x 2026E at €80.18); Base 35x, Bull 40x, Bear 28x applied to 2029E–30E EPS.</t>
        </r>
      </text>
    </comment>
  </commentList>
</comments>
</file>

<file path=xl/sharedStrings.xml><?xml version="1.0" encoding="utf-8"?>
<sst xmlns="http://schemas.openxmlformats.org/spreadsheetml/2006/main" count="863" uniqueCount="701">
  <si>
    <t xml:space="preserve">SCENARIO SWITCH ▼ (Bull / Base / Bear) — drives all scenario-linked forecast drivers</t>
  </si>
  <si>
    <t xml:space="preserve">Brunello Cucinelli S.p.A. (Euronext Milan: BC) — 3-Statement Financial Model</t>
  </si>
  <si>
    <t xml:space="preserve">Base</t>
  </si>
  <si>
    <t xml:space="preserve">IFRS as reported · EUR millions (per-share data in EUR; store counts in units) · Source: Brunello Cucinelli annual financial reports (consolidated financial statements) and half-year financial reports 2011–H1/26, Q1 / nine-month interim reports (2012–15) and revenue press releases (2016–26), investor.brunellocucinelli.com (regulated information also filed via eMarket Storage / Borsa Italiana; BC is not an SEC registrant — no EDGAR filings)</t>
  </si>
  <si>
    <t xml:space="preserve">Basis notes: calendar fiscal year; full statements published for H1 and FY only (H2 = FY − H1; Q1/Q3 revenue memo). Revenues = net revenues (other operating income shown separately; "revenues from sales and services" to 2016 included it). IPO Apr-2012 (60.0m → 68.0m shares). IFRS 15 from 2018 (2017 as originally reported); IFRS 16 from 1-Jan-2019 (modified retrospective, 2018 not restated) — pre-IFRS 16 bridge provided. Channels: retail / mono-brand wholesale / multi-brand wholesale to 2020, retail / wholesale from 2021. Regions: Italy, Europe, North America, Greater China, RoW to 2020; Italy, Europe, Americas, Asia 2021–24; Europe (incl. Italy), Americas, Asia from 2025.</t>
  </si>
  <si>
    <t xml:space="preserve">Forecast</t>
  </si>
  <si>
    <t xml:space="preserve">Historical</t>
  </si>
  <si>
    <t xml:space="preserve">(EURm)</t>
  </si>
  <si>
    <t xml:space="preserve">H1/11</t>
  </si>
  <si>
    <t xml:space="preserve">H2/11</t>
  </si>
  <si>
    <t xml:space="preserve">H1/12</t>
  </si>
  <si>
    <t xml:space="preserve">H2/12</t>
  </si>
  <si>
    <t xml:space="preserve">H1/13</t>
  </si>
  <si>
    <t xml:space="preserve">H2/13</t>
  </si>
  <si>
    <t xml:space="preserve">H1/14</t>
  </si>
  <si>
    <t xml:space="preserve">H2/14</t>
  </si>
  <si>
    <t xml:space="preserve">H1/15</t>
  </si>
  <si>
    <t xml:space="preserve">H2/15</t>
  </si>
  <si>
    <t xml:space="preserve">H1/16</t>
  </si>
  <si>
    <t xml:space="preserve">H2/16</t>
  </si>
  <si>
    <t xml:space="preserve">H1/17</t>
  </si>
  <si>
    <t xml:space="preserve">H2/17</t>
  </si>
  <si>
    <t xml:space="preserve">H1/18</t>
  </si>
  <si>
    <t xml:space="preserve">H2/18</t>
  </si>
  <si>
    <t xml:space="preserve">H1/19</t>
  </si>
  <si>
    <t xml:space="preserve">H2/19</t>
  </si>
  <si>
    <t xml:space="preserve">H1/20</t>
  </si>
  <si>
    <t xml:space="preserve">H2/20</t>
  </si>
  <si>
    <t xml:space="preserve">H1/21</t>
  </si>
  <si>
    <t xml:space="preserve">H2/21</t>
  </si>
  <si>
    <t xml:space="preserve">H1/22</t>
  </si>
  <si>
    <t xml:space="preserve">H2/22</t>
  </si>
  <si>
    <t xml:space="preserve">H1/23</t>
  </si>
  <si>
    <t xml:space="preserve">H2/23</t>
  </si>
  <si>
    <t xml:space="preserve">H1/24</t>
  </si>
  <si>
    <t xml:space="preserve">H2/24</t>
  </si>
  <si>
    <t xml:space="preserve">H1/25</t>
  </si>
  <si>
    <t xml:space="preserve">H2/25</t>
  </si>
  <si>
    <t xml:space="preserve">H1/26</t>
  </si>
  <si>
    <t xml:space="preserve">H2/26E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</si>
  <si>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</si>
  <si>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</si>
  <si>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</si>
  <si>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</si>
  <si>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</si>
  <si>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</si>
  <si>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</si>
  <si>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</si>
  <si>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14Y CAGR</t>
  </si>
  <si>
    <t xml:space="preserve">25-'30</t>
  </si>
  <si>
    <t xml:space="preserve">20-'25</t>
  </si>
  <si>
    <t xml:space="preserve">15-'25</t>
  </si>
  <si>
    <t xml:space="preserve">11-'25</t>
  </si>
  <si>
    <t xml:space="preserve">REVENUE BUILD — DISTRIBUTION CHANNEL (RETAIL · WHOLESALE) × GEOGRAPHY (EUROPE · AMERICAS · ASIA)</t>
  </si>
  <si>
    <t xml:space="preserve">REVENUE BUILD — modelling logic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</si>
  <si>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</si>
  <si>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</si>
  <si>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</si>
  <si>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company guidance end-points.</t>
  </si>
  <si>
    <t xml:space="preserve">Retail channel (directly operated boutiques, concessions / hard shops in luxury department stores, e-commerce)</t>
  </si>
  <si>
    <t xml:space="preserve">RETAIL — modelling logic</t>
  </si>
  <si>
    <t xml:space="preserve">  Directly operated boutiques (DOS), period end (#)</t>
  </si>
  <si>
    <t xml:space="preserve">2026E+: prior year-end + net openings (row below). H2/26E column = 31-Dec-26 count.</t>
  </si>
  <si>
    <t xml:space="preserve">FY26 outlook — H1-26 release (30-Jul-26)</t>
  </si>
  <si>
    <t xml:space="preserve">High</t>
  </si>
  <si>
    <t xml:space="preserve">Mid</t>
  </si>
  <si>
    <t xml:space="preserve">Low</t>
  </si>
  <si>
    <t xml:space="preserve">Revenue growth guidance is at constant exchange rates.</t>
  </si>
  <si>
    <t xml:space="preserve">  Net DOS openings in period (#)</t>
  </si>
  <si>
    <t xml:space="preserve">Net DOS openings: 2025 +6 (130→136), H1/26 +5 (141). 2026E +7 for the year; 2027E–30E +5 p.a. (selective openings and enlargements; Base, scenario-neutral input).</t>
  </si>
  <si>
    <t xml:space="preserve">  FY26 revenue growth at constant FX</t>
  </si>
  <si>
    <t xml:space="preserve">Raised to +10% to +11% (from ~+10%) on 30-Jul-26.</t>
  </si>
  <si>
    <t xml:space="preserve">  Average DOS in period (#)</t>
  </si>
  <si>
    <t xml:space="preserve">  2028 revenue target (EURm; 2024–28 plan, Jan-26) — memo</t>
  </si>
  <si>
    <t xml:space="preserve">"Turnover of approximately €1.8 billion in 2028" (12-Jan-26 / 18-Feb-26 releases).</t>
  </si>
  <si>
    <t xml:space="preserve">  Retail revenues per average DOS (EURm; half-years not annualised)</t>
  </si>
  <si>
    <t xml:space="preserve">Sales density incl. e-commerce and hard shops (not separately disclosed). 2027E+: prior year × (1 + scenario lever RET_density: like-for-like + pricing).</t>
  </si>
  <si>
    <t xml:space="preserve">  Sales density y/y % (like-for-like + price/mix + non-DOS formats)</t>
  </si>
  <si>
    <t xml:space="preserve">2027E–2030E: scenario lever RET_density (Bull / Base / Bear table →).</t>
  </si>
  <si>
    <t xml:space="preserve">RET_density (retail sales per average DOS y/y)</t>
  </si>
  <si>
    <t xml:space="preserve">Δ →</t>
  </si>
  <si>
    <t xml:space="preserve">LFL + pricing + enlargements/e-commerce: 2023 +17%, 2024 +11%, 2025 +6% (per avg DOS); H1/26 retail +19.3% cFX.</t>
  </si>
  <si>
    <t xml:space="preserve">  Retail revenues</t>
  </si>
  <si>
    <t xml:space="preserve">H2/26E: H2/25 × (1 + calibrated constant-FX growth + FX effect). 2027E+: average DOS × sales density.</t>
  </si>
  <si>
    <t xml:space="preserve">  2027E</t>
  </si>
  <si>
    <t xml:space="preserve">  Retail revenues y/y %</t>
  </si>
  <si>
    <t xml:space="preserve">  2028E</t>
  </si>
  <si>
    <t xml:space="preserve">  Retail growth at constant FX (company) %</t>
  </si>
  <si>
    <t xml:space="preserve">Company-reported constant-currency growth (H1 and FY). H2/26E retail: H1/26 trend + outlook calibration Δ; wholesale: H1/26 trend.</t>
  </si>
  <si>
    <t xml:space="preserve">  2029E</t>
  </si>
  <si>
    <t xml:space="preserve">  Memo: retail like-for-like growth (company, where disclosed) %</t>
  </si>
  <si>
    <t xml:space="preserve">  2030E</t>
  </si>
  <si>
    <t xml:space="preserve">  Retail % of revenues</t>
  </si>
  <si>
    <t xml:space="preserve">  Memo: hard shops in luxury department stores, period end (#)</t>
  </si>
  <si>
    <t xml:space="preserve">WHS_growth (wholesale revenues y/y)</t>
  </si>
  <si>
    <t xml:space="preserve">Selective multi-brand &amp; department stores: FY25 +7.9%, H1/26 +2.7% cFX; SS27 order intake "extremely positive".</t>
  </si>
  <si>
    <t xml:space="preserve">Wholesale channel (mono-brand franchised boutiques, multi-brand specialty stores &amp; department stores, e-tailers)</t>
  </si>
  <si>
    <t xml:space="preserve">WHOLESALE — modelling logic</t>
  </si>
  <si>
    <t xml:space="preserve">  Mono-brand wholesale boutiques, period end (#)</t>
  </si>
  <si>
    <t xml:space="preserve">  Wholesale revenues</t>
  </si>
  <si>
    <t xml:space="preserve">H2/26E: H2/25 × (1 + calibrated constant-FX growth + FX effect). 2027E+: prior year × (1 + scenario lever WHS_growth).</t>
  </si>
  <si>
    <t xml:space="preserve">  Wholesale revenues y/y %</t>
  </si>
  <si>
    <t xml:space="preserve">2027E–2030E: scenario lever WHS_growth (selective distribution: SS/FW order books, department-store exposure).</t>
  </si>
  <si>
    <t xml:space="preserve">  Wholesale growth at constant FX (company) %</t>
  </si>
  <si>
    <t xml:space="preserve">FM_margin (first margin %)</t>
  </si>
  <si>
    <t xml:space="preserve">FY23 72.5%, FY24 74.5%, FY25 75.2%, H1/26 75.0%: retail mix and pricing.</t>
  </si>
  <si>
    <t xml:space="preserve">  Memo: mono-brand wholesale revenues (reported separately to 2016)</t>
  </si>
  <si>
    <t xml:space="preserve">  Memo: multi-brand wholesale revenues (reported separately to 2016)</t>
  </si>
  <si>
    <t xml:space="preserve">  Wholesale % of revenues</t>
  </si>
  <si>
    <t xml:space="preserve">Geography (Europe incl. Italy · Americas · Asia incl. Middle East &amp; rest of world) — reconciled to the channel build</t>
  </si>
  <si>
    <t xml:space="preserve">GEOGRAPHY — modelling logic</t>
  </si>
  <si>
    <t xml:space="preserve">  Europe (incl. Italy)</t>
  </si>
  <si>
    <t xml:space="preserve">SVC_ratio (services ex-outsourced % revenues)</t>
  </si>
  <si>
    <t xml:space="preserve">Variable rents, communication, transport &amp; duties (US tariffs from FW25), cards: FY24 26.3%, FY25 26.1%.</t>
  </si>
  <si>
    <t xml:space="preserve">  Europe y/y %</t>
  </si>
  <si>
    <t xml:space="preserve">  Europe growth at constant FX (company) %</t>
  </si>
  <si>
    <t xml:space="preserve">  Americas (North America to 2023)</t>
  </si>
  <si>
    <t xml:space="preserve">  Americas y/y %</t>
  </si>
  <si>
    <t xml:space="preserve">  Americas growth at constant FX (company) %</t>
  </si>
  <si>
    <t xml:space="preserve">  Asia (Greater China + rest of world / rest of Asia)</t>
  </si>
  <si>
    <t xml:space="preserve">PAY_ratio (payroll % revenues)</t>
  </si>
  <si>
    <t xml:space="preserve">FY24 18.3%, FY25 18.1%, H1/26 18.5% (artisans in boutiques, stock-grant plan).</t>
  </si>
  <si>
    <t xml:space="preserve">  Asia y/y %</t>
  </si>
  <si>
    <t xml:space="preserve">  Asia growth at constant FX (company) %</t>
  </si>
  <si>
    <t xml:space="preserve">  Memo: of which Italy</t>
  </si>
  <si>
    <t xml:space="preserve">  Memo: Europe excluding Italy (legacy disclosure)</t>
  </si>
  <si>
    <t xml:space="preserve">  Memo: Greater China / China (legacy disclosure)</t>
  </si>
  <si>
    <t xml:space="preserve">  Memo: Rest of the world / rest of Asia (legacy disclosure)</t>
  </si>
  <si>
    <t xml:space="preserve">CAPEX_pct (capex % revenues)</t>
  </si>
  <si>
    <t xml:space="preserve">Ordinary investment level after the 2024–25 extraordinary programme (FY23 6.7%, FY24 7.8%, FY25 10.1%, H1/26 7.6%).</t>
  </si>
  <si>
    <t xml:space="preserve">  Europe growth input before reconciliation (forecast) %</t>
  </si>
  <si>
    <t xml:space="preserve">Regional growth inputs (reconciled pro rata to the channel build). Europe: FY25 +7.8%, H1/26 +5.3% cFX.</t>
  </si>
  <si>
    <t xml:space="preserve">  Europe before reconciliation (forecast helper)</t>
  </si>
  <si>
    <t xml:space="preserve">  Americas growth input before reconciliation (forecast) %</t>
  </si>
  <si>
    <t xml:space="preserve">Americas: FY25 +9.2%, H1/26 +20.6% cFX (Exemplar Luxury Group / ex-Saks wholesale normalising).</t>
  </si>
  <si>
    <t xml:space="preserve">  Americas before reconciliation (forecast helper)</t>
  </si>
  <si>
    <t xml:space="preserve">  Asia growth input before reconciliation (forecast) %</t>
  </si>
  <si>
    <t xml:space="preserve">Asia: FY25 +13.7%, H1/26 +14.1% cFX (China driving).</t>
  </si>
  <si>
    <t xml:space="preserve">  Asia before reconciliation (forecast helper)</t>
  </si>
  <si>
    <t xml:space="preserve">  Reconciliation factor: channel-build revenues ÷ Σ regional inputs (x)</t>
  </si>
  <si>
    <t xml:space="preserve">Regional growth inputs are scaled pro rata so that Σ regions = channel build (channel build is the driver).</t>
  </si>
  <si>
    <t xml:space="preserve">  Check: Σ regions vs consolidated revenues (should be 0)</t>
  </si>
  <si>
    <t xml:space="preserve">Quarterly revenues (memo; Q1/Q3 revenue-only releases)</t>
  </si>
  <si>
    <t xml:space="preserve">QUARTERS — modelling logic</t>
  </si>
  <si>
    <t xml:space="preserve">  First quarter of the half: Q1 (H1 columns) / Q3 (H2 columns)</t>
  </si>
  <si>
    <t xml:space="preserve">Q1 from the Q1 sales release; Q3 = nine-month revenues − H1.</t>
  </si>
  <si>
    <t xml:space="preserve">  Second quarter of the half: Q2 / Q4 (half − first quarter)</t>
  </si>
  <si>
    <t xml:space="preserve">  Q1 / Q3 revenues y/y %</t>
  </si>
  <si>
    <t xml:space="preserve">  Q2 / Q4 revenues y/y %</t>
  </si>
  <si>
    <t xml:space="preserve">Group revenues, FX and FY26 outlook calibration</t>
  </si>
  <si>
    <t xml:space="preserve">GROUP TOTAL — modelling logic</t>
  </si>
  <si>
    <t xml:space="preserve">Revenues (channel build)</t>
  </si>
  <si>
    <t xml:space="preserve">  Revenues y/y %</t>
  </si>
  <si>
    <t xml:space="preserve">  Check: channel build vs consolidated revenues (should be 0)</t>
  </si>
  <si>
    <t xml:space="preserve">  Revenue growth at constant FX (company) %</t>
  </si>
  <si>
    <t xml:space="preserve">Company-reported constant-exchange-rate growth. FY26E = H1/26 actual and H2/26E constant-FX growth on the 2025 base.</t>
  </si>
  <si>
    <t xml:space="preserve">  FX translation effect (reported − constant-FX growth), pp</t>
  </si>
  <si>
    <t xml:space="preserve">H2/26E: neutral FX input (EUR/USD ~1.12 on 5-Oct-26 vs ~1.16–1.17 in H2/25 would be a tailwind in Q4; H1/26 FX drag was −3.8pp). 2027E+: constant FX. Update as required.</t>
  </si>
  <si>
    <t xml:space="preserve">  Memo: FY26 revenue growth guidance at constant FX (scenario end-point)</t>
  </si>
  <si>
    <t xml:space="preserve">FY26 guidance raised to +10% to +11% at constant FX in the H1-26 release (30-Jul-26), from ~+10% (Jan/Feb-26). Bull 11% / Base 10.5% / Bear 10%.</t>
  </si>
  <si>
    <t xml:space="preserve">  Required H2/26E constant-FX growth to meet the FY26 guidance end-point</t>
  </si>
  <si>
    <t xml:space="preserve">Formula: (FY25 revenues × (1 + guidance) − H1/25 × (1 + H1/26 constant-FX growth)) ÷ H2/25 − 1.</t>
  </si>
  <si>
    <t xml:space="preserve">  Retail H2/26E growth before calibration (H1/26 constant-FX trend) %</t>
  </si>
  <si>
    <t xml:space="preserve">  Wholesale H2/26E growth before calibration (H1/26 constant-FX trend) %</t>
  </si>
  <si>
    <t xml:space="preserve">  Outlook calibration: Δ constant-FX growth applied to retail (H2/26E)</t>
  </si>
  <si>
    <t xml:space="preserve">Solves the shift to retail H2/26E growth (vs the H1/26 trend) so that FY26 constant-FX growth = guidance end-point for the active scenario; wholesale held at the H1/26 order-book trend (SS26/FW26 orders already collected).</t>
  </si>
  <si>
    <t xml:space="preserve">  Check: FY26E constant-FX growth vs guidance end-point (should be 0)</t>
  </si>
  <si>
    <t xml:space="preserve">  Memo: 2028 revenue target, 2024–28 plan (~EUR 1.8bn, Jan-26)</t>
  </si>
  <si>
    <t xml:space="preserve">  Model 2028E revenues vs plan target %</t>
  </si>
  <si>
    <t xml:space="preserve">COST BUILD — FIRST MARGIN · OPERATING COSTS BY NATURE · D&amp;A (IFRS 16 right-of-use vs other)</t>
  </si>
  <si>
    <t xml:space="preserve">COST BUILD — modelling logic</t>
  </si>
  <si>
    <t xml:space="preserve">First margin (revenues − production costs: raw materials net of inventory change + outsourced work)</t>
  </si>
  <si>
    <t xml:space="preserve">FIRST MARGIN — modelling logic</t>
  </si>
  <si>
    <t xml:space="preserve">  First margin %</t>
  </si>
  <si>
    <t xml:space="preserve">H2/26E: H2/25 margin + H1/26 y/y drift. 2027E–2030E: scenario lever FM_margin.</t>
  </si>
  <si>
    <t xml:space="preserve">  Production costs (raw materials net of inventory change + outsourced work)</t>
  </si>
  <si>
    <t xml:space="preserve">  of which outsourced work (within costs for services)</t>
  </si>
  <si>
    <t xml:space="preserve">  Raw materials share of production costs %</t>
  </si>
  <si>
    <t xml:space="preserve">Forecast: prior-year mix (make vs buy).</t>
  </si>
  <si>
    <t xml:space="preserve">  First margin</t>
  </si>
  <si>
    <t xml:space="preserve">  Memo: first margin as reported by the company</t>
  </si>
  <si>
    <t xml:space="preserve">Operating costs by nature (% of revenues)</t>
  </si>
  <si>
    <t xml:space="preserve">OPERATING COSTS — modelling logic</t>
  </si>
  <si>
    <t xml:space="preserve">  Costs for services excluding outsourced work</t>
  </si>
  <si>
    <t xml:space="preserve">Rents not in IFRS 16 scope (variable), advertising &amp; commercial, transport &amp; duties, commissions, credit-card fees, other services.</t>
  </si>
  <si>
    <t xml:space="preserve">  Services ex-outsourced % of revenues</t>
  </si>
  <si>
    <t xml:space="preserve">H2/26E: H2/25 ratio (no H1 drift: communication spend shifted into H2 per the H1-26 release). 2027E–2030E: scenario lever SVC_ratio.</t>
  </si>
  <si>
    <t xml:space="preserve">  Memo: Rents in P&amp;L (variable / short-term; outside IFRS 16 from 2019)</t>
  </si>
  <si>
    <t xml:space="preserve">  Memo: Rents within IFRS 16 scope (memo — excluded from P&amp;L from 2019)</t>
  </si>
  <si>
    <t xml:space="preserve">  Memo: Advertising &amp; other commercial expenses</t>
  </si>
  <si>
    <t xml:space="preserve">  Memo: Transport &amp; duties</t>
  </si>
  <si>
    <t xml:space="preserve">  Memo: Commissions &amp; accessory charges</t>
  </si>
  <si>
    <t xml:space="preserve">  Memo: Credit-card charges</t>
  </si>
  <si>
    <t xml:space="preserve">  Payroll costs</t>
  </si>
  <si>
    <t xml:space="preserve">  Payroll % of revenues</t>
  </si>
  <si>
    <t xml:space="preserve">2027E–2030E: scenario lever PAY_ratio (artisans in boutiques, network growth).</t>
  </si>
  <si>
    <t xml:space="preserve">  Memo: workforce, period end (FTE / headcount)</t>
  </si>
  <si>
    <t xml:space="preserve">  Other operating (costs) / income, net (other opex + other income + capitalised costs + impairment &amp; accruals)</t>
  </si>
  <si>
    <t xml:space="preserve">  Other operating costs, net % of revenues</t>
  </si>
  <si>
    <t xml:space="preserve">Other operating costs net (taxes &amp; duties, donations, bad-debt provisions, net of other income): FY25 1.9% incl. the €8.1m Saks provision (1.4% normalised); 2027E+ 1.5% input.</t>
  </si>
  <si>
    <t xml:space="preserve">EBITDA (cost build)</t>
  </si>
  <si>
    <t xml:space="preserve">  Check: cost build vs income-statement EBITDA (should be 0)</t>
  </si>
  <si>
    <t xml:space="preserve">Depreciation &amp; amortisation (IFRS 16 right-of-use vs property, plant, equipment &amp; intangibles)</t>
  </si>
  <si>
    <t xml:space="preserve">D&amp;A — modelling logic</t>
  </si>
  <si>
    <t xml:space="preserve">  Depreciation of right-of-use assets (IFRS 16 lease contracts)</t>
  </si>
  <si>
    <t xml:space="preserve">Historical: company "exclusion of IFRS 16 effects" on D&amp;A (2019+). Forecast: depreciation rate × opening right-of-use asset.</t>
  </si>
  <si>
    <t xml:space="preserve">  Right-of-use depreciation rate (% of opening right-of-use asset)</t>
  </si>
  <si>
    <t xml:space="preserve">Right-of-use depreciation ≈ 20–21% of the opening right-of-use asset (2024–25 actual: 20.8%, 20.4%); H2/26E: H1/26 half-year rate × 30-Jun-26 asset.</t>
  </si>
  <si>
    <t xml:space="preserve">  D&amp;A of property, plant &amp; equipment, intangibles &amp; investment property</t>
  </si>
  <si>
    <t xml:space="preserve">  D&amp;A (ex right-of-use) % of revenues</t>
  </si>
  <si>
    <t xml:space="preserve">D&amp;A excl. right-of-use: FY25 4.0%, H1/26 4.1% (new factories completed end-2025); 2027E+ 4.0–4.1% input.</t>
  </si>
  <si>
    <t xml:space="preserve">  Total D&amp;A % of revenues</t>
  </si>
  <si>
    <t xml:space="preserve">CONSOLIDATED INCOME STATEMENT (IFRS, as reported; costs shown as negatives)</t>
  </si>
  <si>
    <t xml:space="preserve">INCOME STATEMENT — modelling logic</t>
  </si>
  <si>
    <t xml:space="preserve">Revenues</t>
  </si>
  <si>
    <t xml:space="preserve">Net revenues (sales of goods). Pre-2017 "revenues from sales and services" also included other operating income — shown separately below.</t>
  </si>
  <si>
    <t xml:space="preserve">Other operating income</t>
  </si>
  <si>
    <t xml:space="preserve">Costs of raw materials &amp; consumables (net of change in inventories)</t>
  </si>
  <si>
    <t xml:space="preserve">Costs for services (incl. outsourced work)</t>
  </si>
  <si>
    <t xml:space="preserve">Payroll costs</t>
  </si>
  <si>
    <t xml:space="preserve">Other operating expenses</t>
  </si>
  <si>
    <t xml:space="preserve">Costs capitalised (increase in internal work)</t>
  </si>
  <si>
    <t xml:space="preserve">Depreciation &amp; amortisation</t>
  </si>
  <si>
    <t xml:space="preserve">Impairment of assets &amp; other accruals</t>
  </si>
  <si>
    <t xml:space="preserve">Forecast 0 (normalised); historical includes the FY25 Saks Global provision.</t>
  </si>
  <si>
    <t xml:space="preserve">Operating income (EBIT)</t>
  </si>
  <si>
    <t xml:space="preserve">  Operating margin %</t>
  </si>
  <si>
    <t xml:space="preserve">  Check: EBIT vs reported operating income (should be 0)</t>
  </si>
  <si>
    <t xml:space="preserve">Financial expenses</t>
  </si>
  <si>
    <t xml:space="preserve">Financial income (incl. from equity investments)</t>
  </si>
  <si>
    <t xml:space="preserve">  Memo: net financial expense from lease operations (lease interest + FX on lease liabilities)</t>
  </si>
  <si>
    <t xml:space="preserve">  Memo: net financial expense from ordinary operations (bank interest, other)</t>
  </si>
  <si>
    <t xml:space="preserve">Profit before taxes</t>
  </si>
  <si>
    <t xml:space="preserve">Income taxes</t>
  </si>
  <si>
    <t xml:space="preserve">  Effective tax rate</t>
  </si>
  <si>
    <t xml:space="preserve">Effective tax rate: FY25 28.5%, H1/26 28.8% (IRES 24% + IRAP 3.9%; Patent Box regime ended). 2027E+ 28.5% input.</t>
  </si>
  <si>
    <t xml:space="preserve">Net profit (consolidated)</t>
  </si>
  <si>
    <t xml:space="preserve">  Less: net profit attributable to non-controlling interests</t>
  </si>
  <si>
    <t xml:space="preserve">  NCI share of net profit %</t>
  </si>
  <si>
    <t xml:space="preserve">NCI = minority partners in Asian/other subsidiaries: FY25 4.9%, H1/26 2.6% of net profit; 2027E+ 4.0% input.</t>
  </si>
  <si>
    <t xml:space="preserve">Net profit attributable to Brunello Cucinelli shareholders</t>
  </si>
  <si>
    <t xml:space="preserve">  Check: net profit attributable vs reported (should be 0)</t>
  </si>
  <si>
    <t xml:space="preserve">  Memo: net profit attributable as reported</t>
  </si>
  <si>
    <t xml:space="preserve">  Memo: EBITDA (operating income + D&amp;A; company definition, IFRS 16 from 2019)</t>
  </si>
  <si>
    <t xml:space="preserve">(Earnings per share)</t>
  </si>
  <si>
    <t xml:space="preserve">  Weighted-average shares outstanding (m; basic = diluted)</t>
  </si>
  <si>
    <t xml:space="preserve">68.0m shares in issue since the 2012 IPO; treasury shares held for stock-grant plans from 2023. Forecast: average of opening and closing shares outstanding.</t>
  </si>
  <si>
    <t xml:space="preserve">EPS – basic &amp; diluted, attributable (EUR)</t>
  </si>
  <si>
    <t xml:space="preserve">  EPS y/y %</t>
  </si>
  <si>
    <t xml:space="preserve">  Memo: EPS as reported (EUR)</t>
  </si>
  <si>
    <t xml:space="preserve">  Dividend per share in respect of the year (EUR; paid the following May)</t>
  </si>
  <si>
    <t xml:space="preserve">  Dividend per share growth %</t>
  </si>
  <si>
    <t xml:space="preserve">  Payout ratio (DPS ÷ EPS) %</t>
  </si>
  <si>
    <t xml:space="preserve">Dividend policy ~50% payout (FY25 DPS €1.04 = 52% of EPS; company: "50% pay-out ratio"). 2026E+ 50%.</t>
  </si>
  <si>
    <t xml:space="preserve">RECONCILIATION: NET PROFIT → EBITDA → ADJUSTED (NORMALISED) EBITDA → EBITDA PRE-IFRS 16</t>
  </si>
  <si>
    <t xml:space="preserve">EBITDA BRIDGE — modelling logic</t>
  </si>
  <si>
    <t xml:space="preserve">Net profit (consolidated, IFRS)</t>
  </si>
  <si>
    <t xml:space="preserve">  (+) Income taxes</t>
  </si>
  <si>
    <t xml:space="preserve">  (+) Net financial expenses / (income) (incl. IFRS 16 lease interest &amp; FX on leases)</t>
  </si>
  <si>
    <t xml:space="preserve">  = Operating income (EBIT, IFRS)</t>
  </si>
  <si>
    <t xml:space="preserve">  (+) Depreciation &amp; amortisation (incl. right-of-use depreciation from 2019)</t>
  </si>
  <si>
    <t xml:space="preserve">  = EBITDA (company definition)</t>
  </si>
  <si>
    <t xml:space="preserve">  EBITDA margin %</t>
  </si>
  <si>
    <t xml:space="preserve">  Company-published EBITDA</t>
  </si>
  <si>
    <t xml:space="preserve">  Check: model bridge vs company-published EBITDA (should be 0)</t>
  </si>
  <si>
    <t xml:space="preserve">  Definition basis (company EBITDA definition in force)</t>
  </si>
  <si>
    <t xml:space="preserve">EBIT + D&amp;A (pre-IFRS 16)</t>
  </si>
  <si>
    <t xml:space="preserve">EBIT + D&amp;A (IFRS 16)</t>
  </si>
  <si>
    <t xml:space="preserve">  (+) Non-recurring operating items identified by the company (normalisation)</t>
  </si>
  <si>
    <t xml:space="preserve">Company-normalised items only: 2012 IPO costs €6.2m; 2016 non-recurring payroll €1.5m; 2020 "Brunello Cucinelli for Humanity" inventory provision €31.7m; 2025 Saks Global Chapter 11 provision €8.1m. Items BC identified but did not normalise (COVID support/costs 2020–21, R&amp;D credits 2021, Russia goodwill 2022, one-off gains 2012–14) are not adjusted.</t>
  </si>
  <si>
    <t xml:space="preserve">  = Adjusted EBITDA (normalised; IFRS 16 basis from 2019)</t>
  </si>
  <si>
    <t xml:space="preserve">  Adjusted EBITDA margin %</t>
  </si>
  <si>
    <t xml:space="preserve">  (−) Rents within IFRS 16 scope (fixed lease payments; in EBITDA before 2019)</t>
  </si>
  <si>
    <t xml:space="preserve">Company disclosure "cost for leases included in IFRS 16" (2019+). Forecast = lease payments in the lease-liability schedule.</t>
  </si>
  <si>
    <t xml:space="preserve">  (+/−) Other company IFRS 16 items / definitional differences (rent concessions, sub-leases; derived)</t>
  </si>
  <si>
    <t xml:space="preserve">Reconciles the model bridge to the company-published EBITDA excluding IFRS 16 (2019 to H1/24), e.g. 2020 COVID rent concessions booked as other income.</t>
  </si>
  <si>
    <t xml:space="preserve">  = Adjusted EBITDA pre-IFRS 16 (comparable with 2011–2018 reporting)</t>
  </si>
  <si>
    <t xml:space="preserve">  Adjusted EBITDA pre-IFRS 16 margin %</t>
  </si>
  <si>
    <t xml:space="preserve">  Company-published EBITDA excl. IFRS 16 (2019–H1/24; normalised in 2020)</t>
  </si>
  <si>
    <t xml:space="preserve">  Check: model vs company-published EBITDA excl. IFRS 16 (should be 0)</t>
  </si>
  <si>
    <t xml:space="preserve">To adjusted EBIT:</t>
  </si>
  <si>
    <t xml:space="preserve">  (−) Depreciation &amp; amortisation</t>
  </si>
  <si>
    <t xml:space="preserve">  = Adjusted EBIT (normalised operating income; IFRS 16)</t>
  </si>
  <si>
    <t xml:space="preserve">  Adjusted EBIT margin %</t>
  </si>
  <si>
    <t xml:space="preserve">  Company-published normalised operating income (IFRS basis, where disclosed)</t>
  </si>
  <si>
    <t xml:space="preserve">  Check: model vs company normalised operating income (should be 0)</t>
  </si>
  <si>
    <t xml:space="preserve">  (−) D&amp;A excluding right-of-use depreciation (from Adjusted EBITDA pre-IFRS 16)</t>
  </si>
  <si>
    <t xml:space="preserve">  = Adjusted EBIT pre-IFRS 16</t>
  </si>
  <si>
    <t xml:space="preserve">  Adjusted EBIT pre-IFRS 16 margin %</t>
  </si>
  <si>
    <t xml:space="preserve">  Company-published EBIT excl. IFRS 16 (2019–2020; normalised in 2020)</t>
  </si>
  <si>
    <t xml:space="preserve">  Check: model vs company EBIT excl. IFRS 16 (should be 0; 2021–22 ROU proxy incl. key money)</t>
  </si>
  <si>
    <t xml:space="preserve">RECONCILIATION: GAAP (IFRS) NET PROFIT / EPS → ADJUSTED NET PROFIT / ADJUSTED EPS</t>
  </si>
  <si>
    <t xml:space="preserve">ADJUSTED EPS — modelling logic</t>
  </si>
  <si>
    <t xml:space="preserve">Net profit attributable to Brunello Cucinelli shareholders (IFRS)</t>
  </si>
  <si>
    <t xml:space="preserve">  (+) Non-recurring operating items, pre-tax (as in the EBITDA bridge)</t>
  </si>
  <si>
    <t xml:space="preserve">  Tax rate applied to adjustments</t>
  </si>
  <si>
    <t xml:space="preserve">Historical: period ETR bounded 20–35% (IRES 24% + IRAP 3.9% statutory) unless the company states the tax effect (row below overrides).</t>
  </si>
  <si>
    <t xml:space="preserve">  (−) Income-tax effect of adjusting items</t>
  </si>
  <si>
    <t xml:space="preserve">  (+/−) Non-recurring tax items identified by the company (e.g. Patent Box benefits = −)</t>
  </si>
  <si>
    <t xml:space="preserve">  = Adjusted net profit attributable (model)</t>
  </si>
  <si>
    <t xml:space="preserve">  Company-published normalised net profit (consolidated, incl. minorities; 2015–2018)</t>
  </si>
  <si>
    <t xml:space="preserve">  Check: model (+ NCI share) vs company normalised net profit (should be 0)</t>
  </si>
  <si>
    <t xml:space="preserve">  Weighted-average shares (m)</t>
  </si>
  <si>
    <t xml:space="preserve">Adjusted EPS – basic &amp; diluted (EUR) (model)</t>
  </si>
  <si>
    <t xml:space="preserve">  Company-published adjusted EPS (EUR)</t>
  </si>
  <si>
    <t xml:space="preserve">Brunello Cucinelli does not publish an adjusted EPS; the company reports EBITDA, operating income and (in some years) normalised figures.</t>
  </si>
  <si>
    <t xml:space="preserve">  Check: model vs company-published adjusted EPS (should be 0.00)</t>
  </si>
  <si>
    <t xml:space="preserve">  Memo: company normalised net profit excl. IFRS 16 (2019–2020; pre-IFRS 16 basis, not comparable)</t>
  </si>
  <si>
    <t xml:space="preserve">  Memo: IFRS 16 effect on profit before tax (rents − right-of-use depreciation − lease interest; + = IFRS 16 lowers profit)</t>
  </si>
  <si>
    <t xml:space="preserve">GROWTH &amp; MARGINS</t>
  </si>
  <si>
    <t xml:space="preserve">  Adjusted EBITDA y/y %</t>
  </si>
  <si>
    <t xml:space="preserve">  Operating income (EBIT) y/y %</t>
  </si>
  <si>
    <t xml:space="preserve">  Net profit attributable y/y %</t>
  </si>
  <si>
    <t xml:space="preserve">  Adjusted EPS y/y %</t>
  </si>
  <si>
    <t xml:space="preserve">  Revenues y/y % at constant FX (company)</t>
  </si>
  <si>
    <t xml:space="preserve">  Operating margin (EBIT) %</t>
  </si>
  <si>
    <t xml:space="preserve">  Net margin %</t>
  </si>
  <si>
    <t xml:space="preserve">  Incremental Adjusted EBITDA margin (ΔEBITDA / ΔRevenues)</t>
  </si>
  <si>
    <t xml:space="preserve">CONSOLIDATED STATEMENT OF CASH FLOWS (IFRS, standardised)</t>
  </si>
  <si>
    <t xml:space="preserve">CASH FLOW — modelling logic</t>
  </si>
  <si>
    <t xml:space="preserve">Net profit</t>
  </si>
  <si>
    <t xml:space="preserve">2026E = H1/26 actual + H2/26E (H2 cash flows derived from the movement between the 30-Jun-26 and 31-Dec-26 balance sheets).</t>
  </si>
  <si>
    <t xml:space="preserve">Adjustments:</t>
  </si>
  <si>
    <t xml:space="preserve">  Depreciation &amp; amortisation</t>
  </si>
  <si>
    <t xml:space="preserve">  Other non-cash items, taxes &amp; interest (accrued vs paid), net (derived)</t>
  </si>
  <si>
    <t xml:space="preserve">Derived as CFO − listed items. Forecast: taxes and interest paid as accrued (0).</t>
  </si>
  <si>
    <t xml:space="preserve">  Change in trade receivables</t>
  </si>
  <si>
    <t xml:space="preserve">  Change in inventories</t>
  </si>
  <si>
    <t xml:space="preserve">  Change in trade payables</t>
  </si>
  <si>
    <t xml:space="preserve">  Change in other current assets &amp; liabilities</t>
  </si>
  <si>
    <t xml:space="preserve">Net cash flow from operating activities</t>
  </si>
  <si>
    <t xml:space="preserve">Investments in property, plant &amp; equipment (incl. investment property)</t>
  </si>
  <si>
    <t xml:space="preserve">Investments in intangible assets</t>
  </si>
  <si>
    <t xml:space="preserve">Acquisitions / changes in the scope of consolidation</t>
  </si>
  <si>
    <t xml:space="preserve">Other investing activities, net (financial assets, disposals; derived)</t>
  </si>
  <si>
    <t xml:space="preserve">Net cash flow from investing activities</t>
  </si>
  <si>
    <t xml:space="preserve">Net change in bank &amp; other financial debt (loans received − repaid ± short-term)</t>
  </si>
  <si>
    <t xml:space="preserve">Lease liabilities payments (principal, IFRS 16; from 2019)</t>
  </si>
  <si>
    <t xml:space="preserve">Dividends paid (to shareholders &amp; non-controlling interests)</t>
  </si>
  <si>
    <t xml:space="preserve">Purchase of treasury shares (stock-grant plans)</t>
  </si>
  <si>
    <t xml:space="preserve">Other financing activities, net (lease receivables, IPO proceeds 2012; derived)</t>
  </si>
  <si>
    <t xml:space="preserve">Net cash flow from financing activities</t>
  </si>
  <si>
    <t xml:space="preserve">Total cash flow for the period</t>
  </si>
  <si>
    <t xml:space="preserve">Effect of exchange-rate changes on cash</t>
  </si>
  <si>
    <t xml:space="preserve">Cash &amp; cash equivalents — beginning of period</t>
  </si>
  <si>
    <t xml:space="preserve">Cash &amp; cash equivalents — end of period</t>
  </si>
  <si>
    <t xml:space="preserve">  Check: CFO + CFI + CFF + FX = change in cash (should be 0)</t>
  </si>
  <si>
    <t xml:space="preserve">  Check: cash-flow ending cash vs balance-sheet cash (should be 0)</t>
  </si>
  <si>
    <t xml:space="preserve">(Memo)</t>
  </si>
  <si>
    <t xml:space="preserve">Free cash flow (CFO − capex)</t>
  </si>
  <si>
    <t xml:space="preserve">Free cash flow after lease payments (CFO − capex − IFRS 16 lease principal; pre-IFRS 16 equivalent)</t>
  </si>
  <si>
    <t xml:space="preserve">  FCF after leases y/y %</t>
  </si>
  <si>
    <t xml:space="preserve">  FCF after leases % of revenues</t>
  </si>
  <si>
    <t xml:space="preserve">  FCF after leases / adjusted net profit conversion %</t>
  </si>
  <si>
    <t xml:space="preserve">  FCF after leases per share (EUR)</t>
  </si>
  <si>
    <t xml:space="preserve">Capex ratios</t>
  </si>
  <si>
    <t xml:space="preserve">  Capex % of revenues</t>
  </si>
  <si>
    <t xml:space="preserve">  Capex / D&amp;A excl. right-of-use (x)</t>
  </si>
  <si>
    <t xml:space="preserve">  Memo: total investments as reported by the company</t>
  </si>
  <si>
    <t xml:space="preserve">TREASURY SHARES &amp; DIVIDEND SCHEDULE (BC does not run open-market buybacks; treasury shares serve stock-grant plans)</t>
  </si>
  <si>
    <t xml:space="preserve">SHARES — modelling logic</t>
  </si>
  <si>
    <t xml:space="preserve">  Average purchase price of treasury shares (EUR)</t>
  </si>
  <si>
    <t xml:space="preserve">2026E = current share price (valuation input); appreciates with the share-price input.</t>
  </si>
  <si>
    <t xml:space="preserve">  Treasury-share purchases (EURm)</t>
  </si>
  <si>
    <t xml:space="preserve">Treasury shares bought to serve the 2024–2026 stock-grant plan (FY24 €11.7m, FY25 €8.0m, H1/26 nil). 2027E+ €8m p.a., shares re-issued to employees (neutral share count).</t>
  </si>
  <si>
    <t xml:space="preserve">  Implied treasury shares purchased (m)</t>
  </si>
  <si>
    <t xml:space="preserve">  Treasury shares assigned to employees under stock-grant plans (m)</t>
  </si>
  <si>
    <t xml:space="preserve">Assumed equal to shares purchased (plans served from treasury; no net change in shares outstanding).</t>
  </si>
  <si>
    <t xml:space="preserve">  Shares in issue (m)</t>
  </si>
  <si>
    <t xml:space="preserve">  Shares outstanding, net of treasury shares, period end (m)</t>
  </si>
  <si>
    <t xml:space="preserve">  Dividends paid to non-controlling interests (EURm)</t>
  </si>
  <si>
    <t xml:space="preserve">H1/26 dividends paid €73.7m = €70.7m to BC shareholders (€1.04 × 68.0m) + ~€3m to minorities; 2027E+ €3m p.a.</t>
  </si>
  <si>
    <t xml:space="preserve">  Dividends to BC shareholders paid in the year (EURm; prior-year DPS × shares outstanding)</t>
  </si>
  <si>
    <t xml:space="preserve">CONSOLIDATED STATEMENT OF FINANCIAL POSITION (IFRS)</t>
  </si>
  <si>
    <t xml:space="preserve">BALANCE SHEET — modelling logic</t>
  </si>
  <si>
    <t xml:space="preserve">ASSETS</t>
  </si>
  <si>
    <t xml:space="preserve">  Right-of-use assets (IFRS 16, from 2019)</t>
  </si>
  <si>
    <t xml:space="preserve">Forecast: right-of-use schedule below (2026E from the 30-Jun-26 balance).</t>
  </si>
  <si>
    <t xml:space="preserve">  Intangible assets (incl. key money &amp; goodwill)</t>
  </si>
  <si>
    <t xml:space="preserve">Opening + capex − amortisation (2026E: 30-Jun-26 + H2/26E flows).</t>
  </si>
  <si>
    <t xml:space="preserve">  Property, plant &amp; equipment (incl. investment property)</t>
  </si>
  <si>
    <t xml:space="preserve">Opening + capex − depreciation.</t>
  </si>
  <si>
    <t xml:space="preserve">  Other non-current assets (financial assets, lease receivables, derivatives)</t>
  </si>
  <si>
    <t xml:space="preserve">Held flat at the latest balance.</t>
  </si>
  <si>
    <t xml:space="preserve">  Deferred tax assets</t>
  </si>
  <si>
    <t xml:space="preserve">Held flat.</t>
  </si>
  <si>
    <t xml:space="preserve">Total non-current assets</t>
  </si>
  <si>
    <t xml:space="preserve">  Inventories</t>
  </si>
  <si>
    <t xml:space="preserve">Inventories % of LTM revenues (input).</t>
  </si>
  <si>
    <t xml:space="preserve">  Trade receivables</t>
  </si>
  <si>
    <t xml:space="preserve">DSO on LTM revenues (input).</t>
  </si>
  <si>
    <t xml:space="preserve">  Other current assets (tax &amp; other receivables, financial assets, derivatives)</t>
  </si>
  <si>
    <t xml:space="preserve">  Cash &amp; cash equivalents</t>
  </si>
  <si>
    <t xml:space="preserve">Cash-flow ending cash.</t>
  </si>
  <si>
    <t xml:space="preserve">Total current assets</t>
  </si>
  <si>
    <t xml:space="preserve">TOTAL ASSETS</t>
  </si>
  <si>
    <t xml:space="preserve">SHAREHOLDERS' EQUITY AND LIABILITIES</t>
  </si>
  <si>
    <t xml:space="preserve">  Share capital &amp; share-premium reserve</t>
  </si>
  <si>
    <t xml:space="preserve">H1/26: share capital raised to €200m by transfer from reserves (no shares issued).</t>
  </si>
  <si>
    <t xml:space="preserve">  Other reserves, retained earnings &amp; net profit for the period (net of treasury shares)</t>
  </si>
  <si>
    <t xml:space="preserve">+ net profit attributable − dividends to BC shareholders − treasury-share purchases.</t>
  </si>
  <si>
    <t xml:space="preserve">Equity attributable to Brunello Cucinelli shareholders</t>
  </si>
  <si>
    <t xml:space="preserve">  Non-controlling interests</t>
  </si>
  <si>
    <t xml:space="preserve">Total shareholders' equity</t>
  </si>
  <si>
    <t xml:space="preserve">  Employee benefits &amp; provisions for risks and charges</t>
  </si>
  <si>
    <t xml:space="preserve">  Non-current payables to banks</t>
  </si>
  <si>
    <t xml:space="preserve">  Non-current lease liabilities (IFRS 16)</t>
  </si>
  <si>
    <t xml:space="preserve">  Other non-current financial liabilities (incl. derivatives)</t>
  </si>
  <si>
    <t xml:space="preserve">  Other non-current liabilities</t>
  </si>
  <si>
    <t xml:space="preserve">  Deferred tax liabilities</t>
  </si>
  <si>
    <t xml:space="preserve">Total non-current liabilities</t>
  </si>
  <si>
    <t xml:space="preserve">  Trade payables</t>
  </si>
  <si>
    <t xml:space="preserve">  Current payables to banks</t>
  </si>
  <si>
    <t xml:space="preserve">  Current lease liabilities (IFRS 16)</t>
  </si>
  <si>
    <t xml:space="preserve">  Other current financial liabilities (incl. derivatives)</t>
  </si>
  <si>
    <t xml:space="preserve">  Income-tax payables &amp; other current liabilities</t>
  </si>
  <si>
    <t xml:space="preserve">Total current liabilities</t>
  </si>
  <si>
    <t xml:space="preserve">Total liabilities</t>
  </si>
  <si>
    <t xml:space="preserve">TOTAL SHAREHOLDERS' EQUITY AND LIABILITIES</t>
  </si>
  <si>
    <t xml:space="preserve">BS tie-out check (TA − TE&amp;L)</t>
  </si>
  <si>
    <t xml:space="preserve">  Check: model total assets vs reported (should be 0)</t>
  </si>
  <si>
    <t xml:space="preserve">  Memo: total assets as reported</t>
  </si>
  <si>
    <t xml:space="preserve">Net financial position</t>
  </si>
  <si>
    <t xml:space="preserve">  Bank debt (current + non-current)</t>
  </si>
  <si>
    <t xml:space="preserve">  Net financial debt — core business, excl. lease liabilities (bank debt + other financial liabilities − cash − financial assets)</t>
  </si>
  <si>
    <t xml:space="preserve">  Other items in the company NFP definition (financial receivables &amp; assets, derivatives; derived to company figure)</t>
  </si>
  <si>
    <t xml:space="preserve">  Company-published net financial debt (core; excl. lease liabilities)</t>
  </si>
  <si>
    <t xml:space="preserve">  Check: model vs company net financial debt (should be 0)</t>
  </si>
  <si>
    <t xml:space="preserve">  Lease liabilities (IFRS 16)</t>
  </si>
  <si>
    <t xml:space="preserve">  Net debt including lease liabilities</t>
  </si>
  <si>
    <t xml:space="preserve">WORKING CAPITAL &amp; CASH CONVERSION</t>
  </si>
  <si>
    <t xml:space="preserve">WORKING CAPITAL — modelling logic</t>
  </si>
  <si>
    <t xml:space="preserve">  Revenues — last twelve months</t>
  </si>
  <si>
    <t xml:space="preserve">  Inventories % of LTM revenues</t>
  </si>
  <si>
    <t xml:space="preserve">Inventories ÷ LTM revenues: FY24 28.9%, FY25 28.3%, H1/26 28.6%. 28.0% input (2026E+).</t>
  </si>
  <si>
    <t xml:space="preserve">  DSO — trade receivables / LTM revenues × 365</t>
  </si>
  <si>
    <t xml:space="preserve">Trade receivables ≈ 26 days of revenues (FY25 26; H1/26 27).</t>
  </si>
  <si>
    <t xml:space="preserve">  Production costs + services — last twelve months</t>
  </si>
  <si>
    <t xml:space="preserve">  DPO — trade payables / LTM (production costs + services) × 365</t>
  </si>
  <si>
    <t xml:space="preserve">Trade payables ≈ 90 days of production costs + services (FY25 ~90).</t>
  </si>
  <si>
    <t xml:space="preserve">  Trade working capital (inventories + receivables − payables)</t>
  </si>
  <si>
    <t xml:space="preserve">  Trade working capital % of LTM revenues</t>
  </si>
  <si>
    <t xml:space="preserve">  Memo: company-defined net working capital</t>
  </si>
  <si>
    <t xml:space="preserve">  ΔTrade working capital (y/y)</t>
  </si>
  <si>
    <t xml:space="preserve">BALANCE SHEET FORECAST SCHEDULES</t>
  </si>
  <si>
    <t xml:space="preserve">SCHEDULES — modelling logic</t>
  </si>
  <si>
    <t xml:space="preserve">Capital expenditure &amp; fixed assets</t>
  </si>
  <si>
    <t xml:space="preserve">  Total capex (PP&amp;E incl. investment property + intangibles), EURm</t>
  </si>
  <si>
    <t xml:space="preserve">FY26E €95m: H1/26 €57.2m = "greater part of the 2026 investment plan" (30-Jul-26) and return to ordinary investment levels after the 2024–25 Made-in-Italy production programme. 2027E+: revenues × CAPEX_pct.</t>
  </si>
  <si>
    <t xml:space="preserve">  Capex % of revenues (input)</t>
  </si>
  <si>
    <t xml:space="preserve">2027E–2030E: scenario lever CAPEX_pct (boutique renewals, Solomeo production &amp; IT).</t>
  </si>
  <si>
    <t xml:space="preserve">  Intangibles share of capex %</t>
  </si>
  <si>
    <t xml:space="preserve">  Intangibles share of D&amp;A excl. right-of-use % (input)</t>
  </si>
  <si>
    <t xml:space="preserve">Intangibles (key money, software) ≈ 15% of D&amp;A excl. right-of-use (input; split only affects the PP&amp;E vs intangibles roll-forward).</t>
  </si>
  <si>
    <t xml:space="preserve">IFRS 16 right-of-use assets &amp; lease liabilities (2026E: H2 movements from the 30-Jun-26 balance)</t>
  </si>
  <si>
    <t xml:space="preserve">  Right-of-use assets — opening</t>
  </si>
  <si>
    <t xml:space="preserve">  (+) New leases, renewals &amp; remeasurements (non-cash)</t>
  </si>
  <si>
    <t xml:space="preserve">Historical: derived (closing − opening + depreciation; incl. FX translation). Forecast: % of revenues input.</t>
  </si>
  <si>
    <t xml:space="preserve">  New leases % of revenues</t>
  </si>
  <si>
    <t xml:space="preserve">New leases &amp; renewals (non-cash right-of-use additions): 2024 16.8%, 2025 16.3% of revenues (major enlargements London, Paris, LA), H1/26 12.4%. H2/26E 11% of H2 revenues; 2027E–30E 10.5–11.5% (input).</t>
  </si>
  <si>
    <t xml:space="preserve">  (−) Right-of-use depreciation</t>
  </si>
  <si>
    <t xml:space="preserve">  Right-of-use assets — closing</t>
  </si>
  <si>
    <t xml:space="preserve">  Lease liabilities — opening</t>
  </si>
  <si>
    <t xml:space="preserve">  (+) New leases (= right-of-use additions)</t>
  </si>
  <si>
    <t xml:space="preserve">  (+) Lease interest (accrued)</t>
  </si>
  <si>
    <t xml:space="preserve">  Lease interest rate on opening lease liabilities %</t>
  </si>
  <si>
    <t xml:space="preserve">Lease interest ÷ opening lease liabilities: 2024 3.6%, 2025 4.0% (USD-denominated leases). 2027E+ 4.0%.</t>
  </si>
  <si>
    <t xml:space="preserve">  (−) Lease payments (= rents within IFRS 16 scope)</t>
  </si>
  <si>
    <t xml:space="preserve">H2/26E: % of revenues (H1/26 ratio). 2027E+: right-of-use depreciation + lease interest (IFRS 16 broadly profit-neutral, as in 2023–25).</t>
  </si>
  <si>
    <t xml:space="preserve">  Lease payments % of revenues</t>
  </si>
  <si>
    <t xml:space="preserve">Rents within IFRS 16 scope ÷ revenues: FY25 10.7%, H1/26 10.8%. 10.8% input (boutique enlargements offset by operating leverage).</t>
  </si>
  <si>
    <t xml:space="preserve">  Lease liabilities — closing</t>
  </si>
  <si>
    <t xml:space="preserve">  Non-current share of lease liabilities %</t>
  </si>
  <si>
    <t xml:space="preserve">Debt schedule (bank facilities: drawn / repaid to hold a minimum cash balance)</t>
  </si>
  <si>
    <t xml:space="preserve">  Cash before bank-debt drawdown / (repayment)</t>
  </si>
  <si>
    <t xml:space="preserve">  Minimum cash balance (EURm)</t>
  </si>
  <si>
    <t xml:space="preserve">Minimum cash €150m (BC held €180–240m at period ends in 2024–26); surplus cash repays bank debt.</t>
  </si>
  <si>
    <t xml:space="preserve">  Bank debt outstanding — period end</t>
  </si>
  <si>
    <t xml:space="preserve">Drawn/repaid so that cash = minimum balance; surplus cash first repays bank debt, then accumulates.</t>
  </si>
  <si>
    <t xml:space="preserve">  Non-current share of bank debt %</t>
  </si>
  <si>
    <t xml:space="preserve">  Interest rate on opening bank debt %</t>
  </si>
  <si>
    <t xml:space="preserve">Bank interest ≈ 3.5% on opening bank debt (FY25 net loan interest €10.4m on average bank debt ~€340m ≈ 3.1%); cash yield 1.5%.</t>
  </si>
  <si>
    <t xml:space="preserve">  Interest income yield on opening cash %</t>
  </si>
  <si>
    <t xml:space="preserve">  Financial expenses excl. lease interest (bank interest, FX, derivatives)</t>
  </si>
  <si>
    <t xml:space="preserve">H2/26E: H1/26 run-rate (incl. FX/derivative effects). 2027E+: rate × opening bank debt (no circularity); FX effects assumed nil.</t>
  </si>
  <si>
    <t xml:space="preserve">  Lease interest expense</t>
  </si>
  <si>
    <t xml:space="preserve">  Memo: lease interest expense (historical, company disclosure)</t>
  </si>
  <si>
    <t xml:space="preserve">  Financial income (interest on cash, equity investments)</t>
  </si>
  <si>
    <t xml:space="preserve">Other forecast inputs</t>
  </si>
  <si>
    <t xml:space="preserve">  Share-price appreciation % (treasury-share pricing)</t>
  </si>
  <si>
    <t xml:space="preserve">Historical reference (driver context)</t>
  </si>
  <si>
    <t xml:space="preserve">RATIO ANALYSIS</t>
  </si>
  <si>
    <t xml:space="preserve">RATIOS</t>
  </si>
  <si>
    <t xml:space="preserve">DuPont decomposition of ROIC (IFRS 16 basis: invested capital incl. right-of-use / lease liabilities)</t>
  </si>
  <si>
    <t xml:space="preserve">Adjusted EBIT (normalised)</t>
  </si>
  <si>
    <t xml:space="preserve">Effective tax rate</t>
  </si>
  <si>
    <t xml:space="preserve">NOPAT = Adjusted EBIT × (1 − tax rate)</t>
  </si>
  <si>
    <t xml:space="preserve">Invested capital (IC) = Equity + Net debt incl. lease liabilities</t>
  </si>
  <si>
    <t xml:space="preserve">ROIC = NOPAT / IC</t>
  </si>
  <si>
    <t xml:space="preserve">  Margin = Adjusted EBIT / Revenues</t>
  </si>
  <si>
    <t xml:space="preserve">  Capital turnover = Revenues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</si>
  <si>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</si>
  <si>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</si>
  <si>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</si>
  <si>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</si>
  <si>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Intangible assets (key money, software, goodwill)</t>
  </si>
  <si>
    <t xml:space="preserve">  − Non-interest-bearing current liabilities (trade payables, tax &amp; other)</t>
  </si>
  <si>
    <t xml:space="preserve">  = Net tangible assets</t>
  </si>
  <si>
    <t xml:space="preserve">RONTA = NOPAT / NTA</t>
  </si>
  <si>
    <t xml:space="preserve">Return on Equity (ROE)</t>
  </si>
  <si>
    <t xml:space="preserve">ROE = Net profit / Equity</t>
  </si>
  <si>
    <t xml:space="preserve">Leverage</t>
  </si>
  <si>
    <t xml:space="preserve">Net financial debt — core, excl. leases</t>
  </si>
  <si>
    <t xml:space="preserve">Adjusted EBITDA pre-IFRS 16</t>
  </si>
  <si>
    <t xml:space="preserve">Net financial debt / Adjusted EBITDA pre-IFRS 16 (x)</t>
  </si>
  <si>
    <t xml:space="preserve">Net debt incl. leases / Adjusted EBITDA (IFRS 16) (x)</t>
  </si>
  <si>
    <t xml:space="preserve">VALUATION (EUR; Euronext Milan: BC)</t>
  </si>
  <si>
    <t xml:space="preserve">VALUATION</t>
  </si>
  <si>
    <t xml:space="preserve">Share price (EUR) — current</t>
  </si>
  <si>
    <t xml:space="preserve">BC (Euronext Milan) €80.18 close on 2-Oct-26 (market data; update to market). 68.0m shares in issue.</t>
  </si>
  <si>
    <t xml:space="preserve">Shares outstanding at period end, net of treasury shares (m)</t>
  </si>
  <si>
    <t xml:space="preserve">Market capitalisation (EURm)</t>
  </si>
  <si>
    <t xml:space="preserve">Net financial debt — core (EURm)</t>
  </si>
  <si>
    <t xml:space="preserve">Lease liabilities (EURm)</t>
  </si>
  <si>
    <t xml:space="preserve">Non-controlling interests (EURm)</t>
  </si>
  <si>
    <t xml:space="preserve">Enterprise value incl. lease liabilities (IFRS 16 basis; EURm)</t>
  </si>
  <si>
    <t xml:space="preserve">Enterprise value excl. lease liabilities (pre-IFRS 16 basis; EURm)</t>
  </si>
  <si>
    <t xml:space="preserve">Multiples</t>
  </si>
  <si>
    <t xml:space="preserve">  EV / Revenues</t>
  </si>
  <si>
    <t xml:space="preserve">  EV / Adjusted EBITDA (IFRS 16)</t>
  </si>
  <si>
    <t xml:space="preserve">  EV (ex leases) / Adjusted EBITDA pre-IFRS 16</t>
  </si>
  <si>
    <t xml:space="preserve">  EV / Adjusted EBIT</t>
  </si>
  <si>
    <t xml:space="preserve">  EV / IC</t>
  </si>
  <si>
    <t xml:space="preserve">  P / E (IFRS EPS)</t>
  </si>
  <si>
    <t xml:space="preserve">  P / E (adjusted EPS)</t>
  </si>
  <si>
    <t xml:space="preserve">  FCF yield (after lease payments)</t>
  </si>
  <si>
    <t xml:space="preserve">  Dividend yield</t>
  </si>
  <si>
    <t xml:space="preserve">Brunello Cucinelli (BC) — Bull / Base / Bear Case P&amp;L Summary</t>
  </si>
  <si>
    <t xml:space="preserve">Share price (EUR):</t>
  </si>
  <si>
    <t xml:space="preserve">Adjusted figures (company-normalised; IFRS 16 basis unless stated) · EUR millions · Live panel linked to Model — toggle scenario on Model!BC2. Bull / Bear panels are value snapshots of the Model run with the switch set to Bull / Bear.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</si>
  <si>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</si>
  <si>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</si>
  <si>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</si>
  <si>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</si>
  <si>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(EURm,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</si>
  <si>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</si>
  <si>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</si>
  <si>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</si>
  <si>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</si>
  <si>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</si>
  <si>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Revenues y/y %</t>
  </si>
  <si>
    <t xml:space="preserve">   Retail revenues y/y %</t>
  </si>
  <si>
    <t xml:space="preserve">Adjusted EBITDA (normalised, IFRS 16)</t>
  </si>
  <si>
    <t xml:space="preserve">   Adjusted EBITDA margin %</t>
  </si>
  <si>
    <t xml:space="preserve">Operating Income — EBIT (IFRS)</t>
  </si>
  <si>
    <t xml:space="preserve">   EBIT y/y %</t>
  </si>
  <si>
    <t xml:space="preserve">   Operating margin (IFRS) %</t>
  </si>
  <si>
    <t xml:space="preserve">Adjusted Net Profit (attributable to BC shareholders)</t>
  </si>
  <si>
    <t xml:space="preserve">Shares outstanding (m, weighted average)</t>
  </si>
  <si>
    <t xml:space="preserve">Adjusted EPS — basic &amp; diluted (EUR)</t>
  </si>
  <si>
    <t xml:space="preserve">   EPS y/y %</t>
  </si>
  <si>
    <t xml:space="preserve">P / E (x) — assumed (adjusted EPS)</t>
  </si>
  <si>
    <t xml:space="preserve">Price Target (EUR)</t>
  </si>
  <si>
    <t xml:space="preserve">   Upside / (Downside) vs current</t>
  </si>
  <si>
    <t xml:space="preserve">IRR (to Dec-Y-1)</t>
  </si>
  <si>
    <t xml:space="preserve">Free Cash Flow after lease payments</t>
  </si>
  <si>
    <t xml:space="preserve">n/m</t>
  </si>
  <si>
    <t xml:space="preserve">   FCF %</t>
  </si>
  <si>
    <t xml:space="preserve">   FCF / share (EUR)</t>
  </si>
  <si>
    <t xml:space="preserve">   FCF Yield (on PT)</t>
  </si>
  <si>
    <t xml:space="preserve">Adjusted EBITDA pre-IFRS 16 (comparable with 2011–18)</t>
  </si>
  <si>
    <t xml:space="preserve">   Adjusted EBITDA pre-IFRS 16 % of revenues</t>
  </si>
  <si>
    <t xml:space="preserve">Net Financial Debt (core, excl. leases)</t>
  </si>
  <si>
    <t xml:space="preserve">   Net financial debt / Adjusted EBITDA pre-IFRS 16 (x)</t>
  </si>
  <si>
    <t xml:space="preserve">ROIC</t>
  </si>
  <si>
    <t xml:space="preserve">RONTA</t>
  </si>
  <si>
    <t xml:space="preserve">Implied Market Cap (EURm)</t>
  </si>
  <si>
    <t xml:space="preserve">(+) Net financial debt, lease liabilities &amp; NCI</t>
  </si>
  <si>
    <t xml:space="preserve">Implied Enterprise Value (EURm; IFRS 16 basis)</t>
  </si>
  <si>
    <t xml:space="preserve">Implied EV / Adjusted EBITDA (x)</t>
  </si>
  <si>
    <t xml:space="preserve">DCF VALUATION — BRUNELLO CUCINELLI (BC)</t>
  </si>
  <si>
    <t xml:space="preserve">1. WACC BUILD (EUR)</t>
  </si>
  <si>
    <t xml:space="preserve">Risk-free rate (EUR 10Y)</t>
  </si>
  <si>
    <t xml:space="preserve">EUR 10Y swap / Bund-BTP blend ~3.0–3.5%; update to market</t>
  </si>
  <si>
    <t xml:space="preserve">Equity risk premium</t>
  </si>
  <si>
    <t xml:space="preserve">Mature-market ERP ~4.5% + Italy country premium ~1.0% (Damodaran)</t>
  </si>
  <si>
    <t xml:space="preserve">Levered beta</t>
  </si>
  <si>
    <t xml:space="preserve">European luxury peers (Hermès, Moncler, Prada, Zegna, Kering) ~0.9–1.2; high-end positioning and low leverage</t>
  </si>
  <si>
    <t xml:space="preserve">Cost of equity</t>
  </si>
  <si>
    <t xml:space="preserve">Pre-tax cost of debt</t>
  </si>
  <si>
    <t xml:space="preserve">Unrated; bank loans at Euribor + spread (FY25 loan interest ~3.1% of average bank debt)</t>
  </si>
  <si>
    <t xml:space="preserve">Tax rate</t>
  </si>
  <si>
    <t xml:space="preserve">Model 2027E+ effective tax rate (IRES 24% + IRAP 3.9%)</t>
  </si>
  <si>
    <t xml:space="preserve">After-tax cost of debt</t>
  </si>
  <si>
    <t xml:space="preserve">Target D/V</t>
  </si>
  <si>
    <t xml:space="preserve">Core net financial debt ~€140m at YE2026E vs ~€5.5bn market cap; leases treated as operating costs (pre-IFRS 16 DCF)</t>
  </si>
  <si>
    <t xml:space="preserve">WACC</t>
  </si>
  <si>
    <t xml:space="preserve">Valuation date (live)</t>
  </si>
  <si>
    <t xml:space="preserve">Periods = (Dec-31-Year − today) / 365.25; cash flows assumed at period end. Valuation from the 30-Jun-26 balance sheet: H2/26E is the first explicit period.</t>
  </si>
  <si>
    <t xml:space="preserve">2. UNLEVERED FREE CASH FLOW BUILD — pre-IFRS 16 basis (rents as operating costs; EURm)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</si>
  <si>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</si>
  <si>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</si>
  <si>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</si>
  <si>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</si>
  <si>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</si>
  <si>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</si>
  <si>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Adjusted EBIT pre-IFRS 16</t>
  </si>
  <si>
    <t xml:space="preserve">× (1 − tax rate)</t>
  </si>
  <si>
    <t xml:space="preserve">NOPAT</t>
  </si>
  <si>
    <t xml:space="preserve">plus D&amp;A excl. right-of-use</t>
  </si>
  <si>
    <t xml:space="preserve">− Capex (PP&amp;E + intangibles)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</si>
  <si>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</si>
  <si>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</si>
  <si>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</si>
  <si>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(2031E–35E; 7% → 4.5% linear)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</si>
  <si>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</si>
  <si>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</si>
  <si>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</si>
  <si>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</si>
  <si>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DCF on a pre-IFRS 16 basis: Adjusted EBIT pre-IFRS 16 deducts all rents (fixed &amp; variable) as operating costs, so lease liabilities are NOT deducted from EV (consistent treatment). H2/26E UFCF is valued against the 30-Jun-26 net financial debt.</t>
  </si>
  <si>
    <t xml:space="preserve">IMPLIED ROIC — invested capital roll-forward (EURm; pre-IFRS 16, excl. right-of-use / lease liabilities)</t>
  </si>
  <si>
    <t xml:space="preserve">Opening invested capital</t>
  </si>
  <si>
    <t xml:space="preserve">plus Capex</t>
  </si>
  <si>
    <t xml:space="preserve">less D&amp;A excl. right-of-use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</si>
  <si>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</si>
  <si>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</si>
  <si>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</si>
  <si>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capital; H2/26E annualised)</t>
  </si>
  <si>
    <t xml:space="preserve">Reinvestment rate (net investment / NOPAT)</t>
  </si>
  <si>
    <t xml:space="preserve">Implied terminal RONIC (g / reinvestment rate)</t>
  </si>
  <si>
    <t xml:space="preserve">Opening IC = 30-Jun-26 equity + core net financial debt (pre-IFRS 16: right-of-use assets and lease liabilities excluded), rolled forward with capex − D&amp;A + ΔWC.</t>
  </si>
  <si>
    <t xml:space="preserve">3. VALUATION SUMMARY</t>
  </si>
  <si>
    <t xml:space="preserve">Sum of PV (explicit + fade)</t>
  </si>
  <si>
    <t xml:space="preserve">PV of Terminal Value</t>
  </si>
  <si>
    <t xml:space="preserve">Enterprise Value (pre-IFRS 16)</t>
  </si>
  <si>
    <t xml:space="preserve">Less: Net financial debt (core, 30-Jun-26) + NCI</t>
  </si>
  <si>
    <t xml:space="preserve">BC-specific: NCI (minority partners in Asian subsidiaries) deducted alongside core net financial debt; lease liabilities excluded (pre-IFRS 16 DCF).</t>
  </si>
  <si>
    <t xml:space="preserve">Equity Value</t>
  </si>
  <si>
    <t xml:space="preserve">Shares outstanding (m, net of treasury shares)</t>
  </si>
  <si>
    <t xml:space="preserve">Implied share price (EUR)</t>
  </si>
  <si>
    <t xml:space="preserve">Current share price (EUR)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</si>
  <si>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</si>
  <si>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</si>
  <si>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</si>
  <si>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</si>
  <si>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(EUR)</t>
  </si>
  <si>
    <t xml:space="preserve">Years for discount to close</t>
  </si>
  <si>
    <t xml:space="preserve">4. SENSITIVITY: IMPLIED PRICE (EUR)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</si>
  <si>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</si>
  <si>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</si>
  <si>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</si>
  <si>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start growth (I26).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</si>
  <si>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</si>
  <si>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</si>
  <si>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</si>
  <si>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</si>
  <si>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</si>
  <si>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(Brunello Cucinelli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</si>
  <si>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</si>
  <si>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</si>
  <si>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</si>
  <si>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pre-IFRS 16 CAGR 2026–30E ~9–10%: high-single-digit revenue growth (retail density + selective openings) with modest operating leverage</t>
  </si>
  <si>
    <t xml:space="preserve">ROIIC  (Return on incremental invested capital)</t>
  </si>
  <si>
    <t xml:space="preserve">Asset-light luxury model: incremental capital = boutiques capex + working capital (~25% of sales) on ~15% pre-IFRS 16 EBIT margins → ~30% after tax</t>
  </si>
  <si>
    <t xml:space="preserve">N  (Years of value creation / CAP)</t>
  </si>
  <si>
    <t xml:space="preserve">Absolute-luxury positioning, founder-led brand, Made-in-Italy craftsmanship and pricing power; exposure to aspirational-demand cycles and key-person risk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</si>
  <si>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</si>
  <si>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</si>
  <si>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</si>
  <si>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</si>
  <si>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</si>
  <si>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</si>
  <si>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</si>
  <si>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</si>
  <si>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EURm</t>
  </si>
  <si>
    <t xml:space="preserve">2028E Adjusted EBIT pre-IFRS 16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</si>
  <si>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</si>
  <si>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</si>
  <si>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</si>
  <si>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</si>
  <si>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YE2027 net financial debt + NCI (Model)</t>
  </si>
  <si>
    <t xml:space="preserve">Implied Equity Value</t>
  </si>
  <si>
    <t xml:space="preserve">Shares outstanding 2028E (m, Model)</t>
  </si>
  <si>
    <t xml:space="preserve">Implied share price 2028 (EUR)</t>
  </si>
  <si>
    <t xml:space="preserve">MARKET-IMPLIED EV/NOPAT TODAY</t>
  </si>
  <si>
    <t xml:space="preserve">Current market cap (spot × shares outstanding)</t>
  </si>
  <si>
    <t xml:space="preserve">Plus: 30-Jun-26 net financial debt + NCI</t>
  </si>
  <si>
    <t xml:space="preserve">Implied Enterprise Value (today; pre-IFRS 16)</t>
  </si>
  <si>
    <t xml:space="preserve">BC market-implied EV/NOPAT (on 2028E NOPAT)</t>
  </si>
  <si>
    <t xml:space="preserve">Multiple gap (Mauboussin − Market)</t>
  </si>
  <si>
    <t xml:space="preserve">Implied re-rating headroom</t>
  </si>
  <si>
    <t xml:space="preserve">Brunello Cucinelli — Historical Operating Performance (2011–2025)</t>
  </si>
  <si>
    <t xml:space="preserve">All historicals · EURm · Linked to Model. Channel growth = retail and wholesale revenue y/y (reported currency). Adjusted EBITDA on the company basis in force (IFRS 16 from 2019 — see pre-IFRS 16 line for comparability). Returns on the IFRS 16 basis.</t>
  </si>
  <si>
    <t xml:space="preserve">Retail revenues y/y %</t>
  </si>
  <si>
    <t xml:space="preserve">Wholesale revenues y/y %</t>
  </si>
  <si>
    <t xml:space="preserve">Adjusted EBITDA</t>
  </si>
  <si>
    <t xml:space="preserve">Adj. EBITDA Margin %</t>
  </si>
  <si>
    <t xml:space="preserve">Adj. EBITDA pre-IFRS 16 Margin %</t>
  </si>
  <si>
    <t xml:space="preserve">Operating Margin (IFRS) %</t>
  </si>
  <si>
    <t xml:space="preserve">Adj. EBITDA pre-IFRS 16 margin %</t>
  </si>
  <si>
    <t xml:space="preserve">FCF after leases margin %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</si>
</sst>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0.0%;\(0.0%\);\-"/>
    <numFmt numFmtId="167" formatCode="#,##0.0;\(#,##0.0\);\-"/>
    <numFmt numFmtId="168" formatCode="#,##0.00;\(#,##0.00\);\-"/>
    <numFmt numFmtId="169" formatCode="0%;\(0%\);&quot;n/m&quot;"/>
    <numFmt numFmtId="170" formatCode="0.000"/>
    <numFmt numFmtId="171" formatCode="0.0000"/>
    <numFmt numFmtId="172" formatCode="#,##0.000;\(#,##0.000\);\-"/>
    <numFmt numFmtId="173" formatCode="0.00;\(0.00\);\-"/>
    <numFmt numFmtId="174" formatCode="0.000;\(0.000\);\-"/>
    <numFmt numFmtId="175" formatCode="0.0\x;\(0.0&quot;x)&quot;;\-"/>
    <numFmt numFmtId="176" formatCode="dd\-mmm\-yy"/>
    <numFmt numFmtId="177" formatCode="0.0\x"/>
    <numFmt numFmtId="178" formatCode="0.00%"/>
    <numFmt numFmtId="179" formatCode="0.00"/>
    <numFmt numFmtId="180" formatCode="#,##0.0"/>
    <numFmt numFmtId="181" formatCode="#,##0.00"/>
    <numFmt numFmtId="182" formatCode="0"/>
    <numFmt numFmtId="183" formatCode="0.0%"/>
    <numFmt numFmtId="184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sz val="12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sz val="12"/>
      <color rgb="FF008000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52796F"/>
        <bgColor rgb="FF666666"/>
      </patternFill>
    </fill>
    <fill>
      <patternFill patternType="solid">
        <fgColor rgb="FFCAD2C5"/>
        <bgColor rgb="FFD9D9D9"/>
      </patternFill>
    </fill>
    <fill>
      <patternFill patternType="solid">
        <fgColor rgb="FFF5F5F5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FBFBF"/>
      <rgbColor rgb="FF878787"/>
      <rgbColor rgb="FF84A98C"/>
      <rgbColor rgb="FFBE4B48"/>
      <rgbColor rgb="FFFFFDE7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AD2C5"/>
      <rgbColor rgb="FF4A7EBB"/>
      <rgbColor rgb="FF46AAC4"/>
      <rgbColor rgb="FF98B855"/>
      <rgbColor rgb="FFFFCC00"/>
      <rgbColor rgb="FFFF9900"/>
      <rgbColor rgb="FFFF6600"/>
      <rgbColor rgb="FF7D5FA0"/>
      <rgbColor rgb="FFA6A6A6"/>
      <rgbColor rgb="FF1F3864"/>
      <rgbColor rgb="FF52796F"/>
      <rgbColor rgb="FF003300"/>
      <rgbColor rgb="FF404040"/>
      <rgbColor rgb="FF993300"/>
      <rgbColor rgb="FFC0504D"/>
      <rgbColor rgb="FF59595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Drivers by Channel: Retail vs. Wholesale Growth,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Retail revenues y/y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Charts!$C$8:$Q$8</c:f>
              <c:numCache>
                <c:formatCode>0.0%;\(0.0%\);\-</c:formatCode>
                <c:ptCount val="15"/>
                <c:pt idx="0">
                  <c:v>0</c:v>
                </c:pt>
                <c:pt idx="1">
                  <c:v>0.428658955459423</c:v>
                </c:pt>
                <c:pt idx="2">
                  <c:v>0.500214427737852</c:v>
                </c:pt>
                <c:pt idx="3">
                  <c:v>0.286261261261261</c:v>
                </c:pt>
                <c:pt idx="4">
                  <c:v>0.30095766604259</c:v>
                </c:pt>
                <c:pt idx="5">
                  <c:v>0.171068570304492</c:v>
                </c:pt>
                <c:pt idx="6">
                  <c:v>0.195977367164707</c:v>
                </c:pt>
                <c:pt idx="7">
                  <c:v>0.0950309365228383</c:v>
                </c:pt>
                <c:pt idx="8">
                  <c:v>0.145714141056149</c:v>
                </c:pt>
                <c:pt idx="9">
                  <c:v>-0.208175350214327</c:v>
                </c:pt>
                <c:pt idx="10">
                  <c:v>0.561976091348461</c:v>
                </c:pt>
                <c:pt idx="11">
                  <c:v>0.365642649058995</c:v>
                </c:pt>
                <c:pt idx="12">
                  <c:v>0.302616339914882</c:v>
                </c:pt>
                <c:pt idx="13">
                  <c:v>0.139829623361042</c:v>
                </c:pt>
                <c:pt idx="14">
                  <c:v>0.112501365649996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Wholesale revenues y/y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Charts!$C$9:$Q$9</c:f>
              <c:numCache>
                <c:formatCode>0.0%;\(0.0%\);\-</c:formatCode>
                <c:ptCount val="15"/>
                <c:pt idx="0">
                  <c:v>0</c:v>
                </c:pt>
                <c:pt idx="1">
                  <c:v>0.072033224914448</c:v>
                </c:pt>
                <c:pt idx="2">
                  <c:v>0.0230664321151146</c:v>
                </c:pt>
                <c:pt idx="3">
                  <c:v>0.0018498840803709</c:v>
                </c:pt>
                <c:pt idx="4">
                  <c:v>0.0653447303336661</c:v>
                </c:pt>
                <c:pt idx="5">
                  <c:v>0.0397054897115989</c:v>
                </c:pt>
                <c:pt idx="6">
                  <c:v>0.0142153897045061</c:v>
                </c:pt>
                <c:pt idx="7">
                  <c:v>0.101769398799229</c:v>
                </c:pt>
                <c:pt idx="8">
                  <c:v>0.0451640043469626</c:v>
                </c:pt>
                <c:pt idx="9">
                  <c:v>0.0257671638231107</c:v>
                </c:pt>
                <c:pt idx="10">
                  <c:v>0.0622075279755849</c:v>
                </c:pt>
                <c:pt idx="11">
                  <c:v>0.184791457166116</c:v>
                </c:pt>
                <c:pt idx="12">
                  <c:v>0.133422635888079</c:v>
                </c:pt>
                <c:pt idx="13">
                  <c:v>0.0883663946368352</c:v>
                </c:pt>
                <c:pt idx="14">
                  <c:v>0.0787391439677787</c:v>
                </c:pt>
              </c:numCache>
            </c:numRef>
          </c:val>
        </c:ser>
        <c:gapWidth val="150"/>
        <c:overlap val="0"/>
        <c:axId val="70364873"/>
        <c:axId val="1871623"/>
      </c:barChart>
      <c:catAx>
        <c:axId val="70364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1623"/>
        <c:crosses val="autoZero"/>
        <c:auto val="1"/>
        <c:lblAlgn val="ctr"/>
        <c:lblOffset val="100"/>
        <c:noMultiLvlLbl val="0"/>
      </c:catAx>
      <c:valAx>
        <c:axId val="1871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64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EBITDA &amp; Operating Income (EURm) with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Charts!$C$12:$Q$12</c:f>
              <c:numCache>
                <c:formatCode>#,##0;\(#,##0\);\-</c:formatCode>
                <c:ptCount val="15"/>
                <c:pt idx="0">
                  <c:v>40.16</c:v>
                </c:pt>
                <c:pt idx="1">
                  <c:v>49.11</c:v>
                </c:pt>
                <c:pt idx="2">
                  <c:v>58.181</c:v>
                </c:pt>
                <c:pt idx="3">
                  <c:v>63.041</c:v>
                </c:pt>
                <c:pt idx="4">
                  <c:v>69.124</c:v>
                </c:pt>
                <c:pt idx="5">
                  <c:v>78.215</c:v>
                </c:pt>
                <c:pt idx="6">
                  <c:v>87.476</c:v>
                </c:pt>
                <c:pt idx="7">
                  <c:v>95.143</c:v>
                </c:pt>
                <c:pt idx="8">
                  <c:v>169.626</c:v>
                </c:pt>
                <c:pt idx="9">
                  <c:v>121.193</c:v>
                </c:pt>
                <c:pt idx="10">
                  <c:v>193.311</c:v>
                </c:pt>
                <c:pt idx="11">
                  <c:v>266.357</c:v>
                </c:pt>
                <c:pt idx="12">
                  <c:v>326.251</c:v>
                </c:pt>
                <c:pt idx="13">
                  <c:v>364.675</c:v>
                </c:pt>
                <c:pt idx="14">
                  <c:v>416.463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— EBIT (IFRS)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Charts!$C$13:$Q$13</c:f>
              <c:numCache>
                <c:formatCode>#,##0;\(#,##0\);\-</c:formatCode>
                <c:ptCount val="15"/>
                <c:pt idx="0">
                  <c:v>34.907</c:v>
                </c:pt>
                <c:pt idx="1">
                  <c:v>35.744</c:v>
                </c:pt>
                <c:pt idx="2">
                  <c:v>46.956</c:v>
                </c:pt>
                <c:pt idx="3">
                  <c:v>49.329</c:v>
                </c:pt>
                <c:pt idx="4">
                  <c:v>50.975</c:v>
                </c:pt>
                <c:pt idx="5">
                  <c:v>56.645</c:v>
                </c:pt>
                <c:pt idx="6">
                  <c:v>64.721</c:v>
                </c:pt>
                <c:pt idx="7">
                  <c:v>69.538</c:v>
                </c:pt>
                <c:pt idx="8">
                  <c:v>83.376</c:v>
                </c:pt>
                <c:pt idx="9">
                  <c:v>-14.818</c:v>
                </c:pt>
                <c:pt idx="10">
                  <c:v>77.0359999999999</c:v>
                </c:pt>
                <c:pt idx="11">
                  <c:v>134.412</c:v>
                </c:pt>
                <c:pt idx="12">
                  <c:v>187.406</c:v>
                </c:pt>
                <c:pt idx="13">
                  <c:v>211.671</c:v>
                </c:pt>
                <c:pt idx="14">
                  <c:v>227.784</c:v>
                </c:pt>
              </c:numCache>
            </c:numRef>
          </c:val>
        </c:ser>
        <c:gapWidth val="150"/>
        <c:overlap val="0"/>
        <c:axId val="80817189"/>
        <c:axId val="18374304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Charts!$C$14:$Q$14</c:f>
              <c:numCache>
                <c:formatCode>0.0%;\(0.0%\);\-</c:formatCode>
                <c:ptCount val="15"/>
                <c:pt idx="0">
                  <c:v>0.165516104436705</c:v>
                </c:pt>
                <c:pt idx="1">
                  <c:v>0.175819218748322</c:v>
                </c:pt>
                <c:pt idx="2">
                  <c:v>0.18041739022575</c:v>
                </c:pt>
                <c:pt idx="3">
                  <c:v>0.177126737452551</c:v>
                </c:pt>
                <c:pt idx="4">
                  <c:v>0.166905307484468</c:v>
                </c:pt>
                <c:pt idx="5">
                  <c:v>0.171535031833165</c:v>
                </c:pt>
                <c:pt idx="6">
                  <c:v>0.173711353513209</c:v>
                </c:pt>
                <c:pt idx="7">
                  <c:v>0.172050069078257</c:v>
                </c:pt>
                <c:pt idx="8">
                  <c:v>0.279099843524017</c:v>
                </c:pt>
                <c:pt idx="9">
                  <c:v>0.222775926310585</c:v>
                </c:pt>
                <c:pt idx="10">
                  <c:v>0.271435973259532</c:v>
                </c:pt>
                <c:pt idx="11">
                  <c:v>0.28961039808287</c:v>
                </c:pt>
                <c:pt idx="12">
                  <c:v>0.286330764775061</c:v>
                </c:pt>
                <c:pt idx="13">
                  <c:v>0.285227681574296</c:v>
                </c:pt>
                <c:pt idx="14">
                  <c:v>0.295793674637825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Adj. EBITDA pre-IFRS 16 Margin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Charts!$C$15:$Q$15</c:f>
              <c:numCache>
                <c:formatCode>0.0%;\(0.0%\);\-</c:formatCode>
                <c:ptCount val="15"/>
                <c:pt idx="0">
                  <c:v>0.165516104436705</c:v>
                </c:pt>
                <c:pt idx="1">
                  <c:v>0.175819218748322</c:v>
                </c:pt>
                <c:pt idx="2">
                  <c:v>0.18041739022575</c:v>
                </c:pt>
                <c:pt idx="3">
                  <c:v>0.177126737452551</c:v>
                </c:pt>
                <c:pt idx="4">
                  <c:v>0.166905307484468</c:v>
                </c:pt>
                <c:pt idx="5">
                  <c:v>0.171535031833165</c:v>
                </c:pt>
                <c:pt idx="6">
                  <c:v>0.173711353513209</c:v>
                </c:pt>
                <c:pt idx="7">
                  <c:v>0.172050069078257</c:v>
                </c:pt>
                <c:pt idx="8">
                  <c:v>0.174506096969039</c:v>
                </c:pt>
                <c:pt idx="9">
                  <c:v>0.0767610332841312</c:v>
                </c:pt>
                <c:pt idx="10">
                  <c:v>0.154473805040587</c:v>
                </c:pt>
                <c:pt idx="11">
                  <c:v>0.187462759919453</c:v>
                </c:pt>
                <c:pt idx="12">
                  <c:v>0.202101946604413</c:v>
                </c:pt>
                <c:pt idx="13">
                  <c:v>0.190078527069939</c:v>
                </c:pt>
                <c:pt idx="14">
                  <c:v>0.188782848266737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Charts!B16</c:f>
              <c:strCache>
                <c:ptCount val="1"/>
                <c:pt idx="0">
                  <c:v>Operating Margin (IFRS) %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Charts!$C$16:$Q$16</c:f>
              <c:numCache>
                <c:formatCode>0.0%;\(0.0%\);\-</c:formatCode>
                <c:ptCount val="15"/>
                <c:pt idx="0">
                  <c:v>0.143866301234364</c:v>
                </c:pt>
                <c:pt idx="1">
                  <c:v>0.127967463957239</c:v>
                </c:pt>
                <c:pt idx="2">
                  <c:v>0.145609030017365</c:v>
                </c:pt>
                <c:pt idx="3">
                  <c:v>0.138600035402308</c:v>
                </c:pt>
                <c:pt idx="4">
                  <c:v>0.123083126685677</c:v>
                </c:pt>
                <c:pt idx="5">
                  <c:v>0.124229391781495</c:v>
                </c:pt>
                <c:pt idx="6">
                  <c:v>0.128524081013402</c:v>
                </c:pt>
                <c:pt idx="7">
                  <c:v>0.125747745010814</c:v>
                </c:pt>
                <c:pt idx="8">
                  <c:v>0.137185505486532</c:v>
                </c:pt>
                <c:pt idx="9">
                  <c:v>-0.0272383196725078</c:v>
                </c:pt>
                <c:pt idx="10">
                  <c:v>0.108169434931387</c:v>
                </c:pt>
                <c:pt idx="11">
                  <c:v>0.146146385591949</c:v>
                </c:pt>
                <c:pt idx="12">
                  <c:v>0.164474908286672</c:v>
                </c:pt>
                <c:pt idx="13">
                  <c:v>0.165556806982965</c:v>
                </c:pt>
                <c:pt idx="14">
                  <c:v>0.161784039359324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926383"/>
        <c:axId val="60253548"/>
      </c:lineChart>
      <c:catAx>
        <c:axId val="80817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74304"/>
        <c:crosses val="autoZero"/>
        <c:auto val="1"/>
        <c:lblAlgn val="ctr"/>
        <c:lblOffset val="100"/>
        <c:noMultiLvlLbl val="0"/>
      </c:catAx>
      <c:valAx>
        <c:axId val="18374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17189"/>
        <c:crosses val="autoZero"/>
        <c:crossBetween val="between"/>
      </c:valAx>
      <c:catAx>
        <c:axId val="1592638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53548"/>
        <c:crosses val="autoZero"/>
        <c:auto val="1"/>
        <c:lblAlgn val="ctr"/>
        <c:lblOffset val="100"/>
        <c:noMultiLvlLbl val="0"/>
      </c:catAx>
      <c:valAx>
        <c:axId val="6025354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2638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Adj. EBITDA pre-IFRS 16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Charts!$C$18:$Q$18</c:f>
              <c:numCache>
                <c:formatCode>0.0%;\(0.0%\);\-</c:formatCode>
                <c:ptCount val="15"/>
                <c:pt idx="0">
                  <c:v>0.263868110396523</c:v>
                </c:pt>
                <c:pt idx="1">
                  <c:v>0.229621939630937</c:v>
                </c:pt>
                <c:pt idx="2">
                  <c:v>0.190371062077815</c:v>
                </c:pt>
                <c:pt idx="3">
                  <c:v>0.15859537162378</c:v>
                </c:pt>
                <c:pt idx="4">
                  <c:v>0.143762990136246</c:v>
                </c:pt>
                <c:pt idx="5">
                  <c:v>0.146053994503417</c:v>
                </c:pt>
                <c:pt idx="6">
                  <c:v>0.204999337438617</c:v>
                </c:pt>
                <c:pt idx="7">
                  <c:v>0.180080804343077</c:v>
                </c:pt>
                <c:pt idx="8">
                  <c:v>0.0819319766007069</c:v>
                </c:pt>
                <c:pt idx="9">
                  <c:v>0.0185134930588851</c:v>
                </c:pt>
                <c:pt idx="10">
                  <c:v>0.075698118497057</c:v>
                </c:pt>
                <c:pt idx="11">
                  <c:v>0.0979697551801509</c:v>
                </c:pt>
                <c:pt idx="12">
                  <c:v>0.131532860606431</c:v>
                </c:pt>
                <c:pt idx="13">
                  <c:v>0.117411400468331</c:v>
                </c:pt>
                <c:pt idx="14">
                  <c:v>0.108766787739667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Charts!$C$19:$Q$19</c:f>
              <c:numCache>
                <c:formatCode>0.0%;\(0.0%\);\-</c:formatCode>
                <c:ptCount val="15"/>
                <c:pt idx="0">
                  <c:v>0.251397364844612</c:v>
                </c:pt>
                <c:pt idx="1">
                  <c:v>0.184530841689468</c:v>
                </c:pt>
                <c:pt idx="2">
                  <c:v>0.168222596486972</c:v>
                </c:pt>
                <c:pt idx="3">
                  <c:v>0.132275233168734</c:v>
                </c:pt>
                <c:pt idx="4">
                  <c:v>0.126757225891656</c:v>
                </c:pt>
                <c:pt idx="5">
                  <c:v>0.128546980299347</c:v>
                </c:pt>
                <c:pt idx="6">
                  <c:v>0.174485331802122</c:v>
                </c:pt>
                <c:pt idx="7">
                  <c:v>0.154769612591314</c:v>
                </c:pt>
                <c:pt idx="8">
                  <c:v>0.0751657800296055</c:v>
                </c:pt>
                <c:pt idx="9">
                  <c:v>0.0172329952551226</c:v>
                </c:pt>
                <c:pt idx="10">
                  <c:v>0.0681232590250286</c:v>
                </c:pt>
                <c:pt idx="11">
                  <c:v>0.0866203147923572</c:v>
                </c:pt>
                <c:pt idx="12">
                  <c:v>0.118476250506794</c:v>
                </c:pt>
                <c:pt idx="13">
                  <c:v>0.101791261300669</c:v>
                </c:pt>
                <c:pt idx="14">
                  <c:v>0.0963461322811559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pre-IFRS 16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Charts!$C$20:$Q$20</c:f>
              <c:numCache>
                <c:formatCode>0.0%;\(0.0%\);\-</c:formatCode>
                <c:ptCount val="15"/>
                <c:pt idx="0">
                  <c:v>0.165516104436705</c:v>
                </c:pt>
                <c:pt idx="1">
                  <c:v>0.175819218748322</c:v>
                </c:pt>
                <c:pt idx="2">
                  <c:v>0.18041739022575</c:v>
                </c:pt>
                <c:pt idx="3">
                  <c:v>0.177126737452551</c:v>
                </c:pt>
                <c:pt idx="4">
                  <c:v>0.166905307484468</c:v>
                </c:pt>
                <c:pt idx="5">
                  <c:v>0.171535031833165</c:v>
                </c:pt>
                <c:pt idx="6">
                  <c:v>0.173711353513209</c:v>
                </c:pt>
                <c:pt idx="7">
                  <c:v>0.172050069078257</c:v>
                </c:pt>
                <c:pt idx="8">
                  <c:v>0.174506096969039</c:v>
                </c:pt>
                <c:pt idx="9">
                  <c:v>0.0767610332841312</c:v>
                </c:pt>
                <c:pt idx="10">
                  <c:v>0.154473805040587</c:v>
                </c:pt>
                <c:pt idx="11">
                  <c:v>0.187462759919453</c:v>
                </c:pt>
                <c:pt idx="12">
                  <c:v>0.202101946604413</c:v>
                </c:pt>
                <c:pt idx="13">
                  <c:v>0.190078527069939</c:v>
                </c:pt>
                <c:pt idx="14">
                  <c:v>0.188782848266737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after leases margin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Charts!$C$7:$Q$7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Charts!$C$21:$Q$21</c:f>
              <c:numCache>
                <c:formatCode>0.0%;\(0.0%\);\-</c:formatCode>
                <c:ptCount val="15"/>
                <c:pt idx="0">
                  <c:v>0.0112597110886723</c:v>
                </c:pt>
                <c:pt idx="1">
                  <c:v>-0.0314441091074427</c:v>
                </c:pt>
                <c:pt idx="2">
                  <c:v>-0.02459997519226</c:v>
                </c:pt>
                <c:pt idx="3">
                  <c:v>-0.0567026964757845</c:v>
                </c:pt>
                <c:pt idx="4">
                  <c:v>-0.0102861033777535</c:v>
                </c:pt>
                <c:pt idx="5">
                  <c:v>0.032734537942106</c:v>
                </c:pt>
                <c:pt idx="6">
                  <c:v>0.115713573656942</c:v>
                </c:pt>
                <c:pt idx="7">
                  <c:v>0.0475880476531476</c:v>
                </c:pt>
                <c:pt idx="8">
                  <c:v>0.0162201918188235</c:v>
                </c:pt>
                <c:pt idx="9">
                  <c:v>-0.115416359535526</c:v>
                </c:pt>
                <c:pt idx="10">
                  <c:v>0.0957961411386744</c:v>
                </c:pt>
                <c:pt idx="11">
                  <c:v>0.0619848908566632</c:v>
                </c:pt>
                <c:pt idx="12">
                  <c:v>0.0325463832476172</c:v>
                </c:pt>
                <c:pt idx="13">
                  <c:v>-0.0104900902592019</c:v>
                </c:pt>
                <c:pt idx="14">
                  <c:v>-0.00922049133812188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243730"/>
        <c:axId val="853947"/>
      </c:lineChart>
      <c:catAx>
        <c:axId val="902437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947"/>
        <c:crosses val="autoZero"/>
        <c:auto val="1"/>
        <c:lblAlgn val="ctr"/>
        <c:lblOffset val="100"/>
        <c:noMultiLvlLbl val="0"/>
      </c:catAx>
      <c:valAx>
        <c:axId val="853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43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131040</xdr:rowOff>
    </xdr:from>
    <xdr:to>
      <xdr:col>11</xdr:col>
      <xdr:colOff>398520</xdr:colOff>
      <xdr:row>38</xdr:row>
      <xdr:rowOff>132120</xdr:rowOff>
    </xdr:to>
    <xdr:graphicFrame>
      <xdr:nvGraphicFramePr>
        <xdr:cNvPr id="0" name="Chart 1"/>
        <xdr:cNvGraphicFramePr/>
      </xdr:nvGraphicFramePr>
      <xdr:xfrm>
        <a:off x="758880" y="41911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130680</xdr:rowOff>
    </xdr:from>
    <xdr:to>
      <xdr:col>11</xdr:col>
      <xdr:colOff>398520</xdr:colOff>
      <xdr:row>59</xdr:row>
      <xdr:rowOff>131760</xdr:rowOff>
    </xdr:to>
    <xdr:graphicFrame>
      <xdr:nvGraphicFramePr>
        <xdr:cNvPr id="1" name="Chart 2"/>
        <xdr:cNvGraphicFramePr/>
      </xdr:nvGraphicFramePr>
      <xdr:xfrm>
        <a:off x="758880" y="81914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131040</xdr:rowOff>
    </xdr:from>
    <xdr:to>
      <xdr:col>11</xdr:col>
      <xdr:colOff>398520</xdr:colOff>
      <xdr:row>80</xdr:row>
      <xdr:rowOff>132120</xdr:rowOff>
    </xdr:to>
    <xdr:graphicFrame>
      <xdr:nvGraphicFramePr>
        <xdr:cNvPr id="2" name="Chart 3"/>
        <xdr:cNvGraphicFramePr/>
      </xdr:nvGraphicFramePr>
      <xdr:xfrm>
        <a:off x="758880" y="121921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O402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2.4"/>
    <col collapsed="false" customWidth="true" hidden="false" outlineLevel="0" max="2" min="2" style="0" width="62"/>
    <col collapsed="false" customWidth="true" hidden="true" outlineLevel="1" max="4" min="3" style="0" width="9.6"/>
    <col collapsed="false" customWidth="true" hidden="false" outlineLevel="0" max="5" min="5" style="0" width="14.1"/>
    <col collapsed="false" customWidth="true" hidden="true" outlineLevel="1" max="7" min="6" style="0" width="9.6"/>
    <col collapsed="false" customWidth="true" hidden="false" outlineLevel="0" max="8" min="8" style="0" width="14.1"/>
    <col collapsed="false" customWidth="true" hidden="true" outlineLevel="1" max="10" min="9" style="0" width="9.6"/>
    <col collapsed="false" customWidth="true" hidden="false" outlineLevel="0" max="11" min="11" style="0" width="14.1"/>
    <col collapsed="false" customWidth="true" hidden="true" outlineLevel="1" max="13" min="12" style="0" width="9.6"/>
    <col collapsed="false" customWidth="true" hidden="false" outlineLevel="0" max="14" min="14" style="0" width="14.1"/>
    <col collapsed="false" customWidth="true" hidden="true" outlineLevel="1" max="16" min="15" style="0" width="9.6"/>
    <col collapsed="false" customWidth="true" hidden="false" outlineLevel="0" max="17" min="17" style="0" width="14.1"/>
    <col collapsed="false" customWidth="true" hidden="true" outlineLevel="1" max="19" min="18" style="0" width="9.6"/>
    <col collapsed="false" customWidth="true" hidden="false" outlineLevel="0" max="20" min="20" style="0" width="14.1"/>
    <col collapsed="false" customWidth="true" hidden="true" outlineLevel="1" max="22" min="21" style="0" width="9.6"/>
    <col collapsed="false" customWidth="true" hidden="false" outlineLevel="0" max="23" min="23" style="0" width="14.1"/>
    <col collapsed="false" customWidth="true" hidden="true" outlineLevel="1" max="25" min="24" style="0" width="9.6"/>
    <col collapsed="false" customWidth="true" hidden="false" outlineLevel="0" max="26" min="26" style="0" width="14.1"/>
    <col collapsed="false" customWidth="true" hidden="true" outlineLevel="1" max="28" min="27" style="0" width="9.6"/>
    <col collapsed="false" customWidth="true" hidden="false" outlineLevel="0" max="29" min="29" style="0" width="14.1"/>
    <col collapsed="false" customWidth="true" hidden="true" outlineLevel="1" max="31" min="30" style="0" width="9.6"/>
    <col collapsed="false" customWidth="true" hidden="false" outlineLevel="0" max="32" min="32" style="0" width="14.1"/>
    <col collapsed="false" customWidth="true" hidden="true" outlineLevel="1" max="34" min="33" style="0" width="9.6"/>
    <col collapsed="false" customWidth="true" hidden="false" outlineLevel="0" max="35" min="35" style="0" width="14.1"/>
    <col collapsed="false" customWidth="true" hidden="true" outlineLevel="1" max="37" min="36" style="0" width="9.6"/>
    <col collapsed="false" customWidth="true" hidden="false" outlineLevel="0" max="38" min="38" style="0" width="14.1"/>
    <col collapsed="false" customWidth="true" hidden="true" outlineLevel="1" max="40" min="39" style="0" width="9.6"/>
    <col collapsed="false" customWidth="true" hidden="false" outlineLevel="0" max="41" min="41" style="0" width="14.1"/>
    <col collapsed="false" customWidth="true" hidden="true" outlineLevel="1" max="43" min="42" style="0" width="9.6"/>
    <col collapsed="false" customWidth="true" hidden="false" outlineLevel="0" max="44" min="44" style="0" width="14.1"/>
    <col collapsed="false" customWidth="true" hidden="true" outlineLevel="1" max="46" min="45" style="0" width="9.6"/>
    <col collapsed="false" customWidth="true" hidden="false" outlineLevel="0" max="47" min="47" style="0" width="14.1"/>
    <col collapsed="false" customWidth="true" hidden="true" outlineLevel="1" max="49" min="48" style="0" width="9.6"/>
    <col collapsed="false" customWidth="true" hidden="false" outlineLevel="0" max="54" min="50" style="0" width="14.1"/>
    <col collapsed="false" customWidth="true" hidden="false" outlineLevel="0" max="55" min="55" style="0" width="86.9"/>
    <col collapsed="false" customWidth="true" hidden="false" outlineLevel="0" max="56" min="56" style="0" width="2"/>
    <col collapsed="false" customWidth="true" hidden="false" outlineLevel="0" max="60" min="57" style="0" width="14.1"/>
    <col collapsed="false" customWidth="true" hidden="false" outlineLevel="0" max="62" min="62" style="0" width="6"/>
    <col collapsed="false" customWidth="true" hidden="false" outlineLevel="0" max="63" min="63" style="0" width="50"/>
    <col collapsed="false" customWidth="true" hidden="false" outlineLevel="0" max="66" min="64" style="0" width="11.5"/>
    <col collapsed="false" customWidth="true" hidden="false" outlineLevel="0" max="67" min="67" style="0" width="60"/>
  </cols>
  <sheetData>
    <row r="1" customFormat="false" ht="15" hidden="false" customHeight="true" outlineLevel="0" collapsed="false">
      <c r="BC1" s="1" t="s">
        <v>0</v>
      </c>
    </row>
    <row r="2" customFormat="false" ht="21" hidden="false" customHeight="true" outlineLevel="0" collapsed="false">
      <c r="B2" s="2" t="s">
        <v>1</v>
      </c>
      <c r="BC2" s="3" t="s">
        <v>2</v>
      </c>
    </row>
    <row r="3" customFormat="false" ht="15" hidden="false" customHeight="true" outlineLevel="0" collapsed="false">
      <c r="B3" s="4" t="s">
        <v>3</v>
      </c>
    </row>
    <row r="4" customFormat="false" ht="15" hidden="false" customHeight="true" outlineLevel="0" collapsed="false">
      <c r="B4" s="4" t="s">
        <v>4</v>
      </c>
    </row>
    <row r="5" customFormat="false" ht="15" hidden="false" customHeight="true" outlineLevel="0" collapsed="false">
      <c r="BE5" s="5" t="s">
        <v>5</v>
      </c>
      <c r="BF5" s="5" t="s">
        <v>6</v>
      </c>
      <c r="BG5" s="5" t="s">
        <v>6</v>
      </c>
      <c r="BH5" s="5" t="s">
        <v>6</v>
      </c>
    </row>
    <row r="6" customFormat="false" ht="15" hidden="false" customHeight="true" outlineLevel="0" collapsed="false">
      <c r="B6" s="6" t="s">
        <v>7</v>
      </c>
      <c r="C6" s="7" t="s">
        <v>8</v>
      </c>
      <c r="D6" s="7" t="s">
        <v>9</v>
      </c>
      <c r="E6" s="7" t="n">
        <v>2011</v>
      </c>
      <c r="F6" s="7" t="s">
        <v>10</v>
      </c>
      <c r="G6" s="7" t="s">
        <v>11</v>
      </c>
      <c r="H6" s="7" t="n">
        <v>2012</v>
      </c>
      <c r="I6" s="7" t="s">
        <v>12</v>
      </c>
      <c r="J6" s="7" t="s">
        <v>13</v>
      </c>
      <c r="K6" s="7" t="n">
        <v>2013</v>
      </c>
      <c r="L6" s="7" t="s">
        <v>14</v>
      </c>
      <c r="M6" s="7" t="s">
        <v>15</v>
      </c>
      <c r="N6" s="7" t="n">
        <v>2014</v>
      </c>
      <c r="O6" s="7" t="s">
        <v>16</v>
      </c>
      <c r="P6" s="7" t="s">
        <v>17</v>
      </c>
      <c r="Q6" s="7" t="n">
        <v>2015</v>
      </c>
      <c r="R6" s="7" t="s">
        <v>18</v>
      </c>
      <c r="S6" s="7" t="s">
        <v>19</v>
      </c>
      <c r="T6" s="7" t="n">
        <v>2016</v>
      </c>
      <c r="U6" s="7" t="s">
        <v>20</v>
      </c>
      <c r="V6" s="7" t="s">
        <v>21</v>
      </c>
      <c r="W6" s="7" t="n">
        <v>2017</v>
      </c>
      <c r="X6" s="7" t="s">
        <v>22</v>
      </c>
      <c r="Y6" s="7" t="s">
        <v>23</v>
      </c>
      <c r="Z6" s="7" t="n">
        <v>2018</v>
      </c>
      <c r="AA6" s="7" t="s">
        <v>24</v>
      </c>
      <c r="AB6" s="7" t="s">
        <v>25</v>
      </c>
      <c r="AC6" s="7" t="n">
        <v>2019</v>
      </c>
      <c r="AD6" s="7" t="s">
        <v>26</v>
      </c>
      <c r="AE6" s="7" t="s">
        <v>27</v>
      </c>
      <c r="AF6" s="7" t="n">
        <v>2020</v>
      </c>
      <c r="AG6" s="7" t="s">
        <v>28</v>
      </c>
      <c r="AH6" s="7" t="s">
        <v>29</v>
      </c>
      <c r="AI6" s="7" t="n">
        <v>2021</v>
      </c>
      <c r="AJ6" s="7" t="s">
        <v>30</v>
      </c>
      <c r="AK6" s="7" t="s">
        <v>31</v>
      </c>
      <c r="AL6" s="7" t="n">
        <v>2022</v>
      </c>
      <c r="AM6" s="7" t="s">
        <v>32</v>
      </c>
      <c r="AN6" s="7" t="s">
        <v>33</v>
      </c>
      <c r="AO6" s="7" t="n">
        <v>2023</v>
      </c>
      <c r="AP6" s="7" t="s">
        <v>34</v>
      </c>
      <c r="AQ6" s="7" t="s">
        <v>35</v>
      </c>
      <c r="AR6" s="7" t="n">
        <v>2024</v>
      </c>
      <c r="AS6" s="7" t="s">
        <v>36</v>
      </c>
      <c r="AT6" s="7" t="s">
        <v>37</v>
      </c>
      <c r="AU6" s="7" t="n">
        <v>2025</v>
      </c>
      <c r="AV6" s="7" t="s">
        <v>38</v>
      </c>
      <c r="AW6" s="7" t="s">
        <v>39</v>
      </c>
      <c r="AX6" s="7" t="s">
        <v>40</v>
      </c>
      <c r="AY6" s="7" t="s">
        <v>41</v>
      </c>
      <c r="AZ6" s="7" t="s">
        <v>42</v>
      </c>
      <c r="BA6" s="7" t="s">
        <v>43</v>
      </c>
      <c r="BB6" s="7" t="s">
        <v>44</v>
      </c>
      <c r="BC6" s="7" t="s">
        <v>45</v>
      </c>
      <c r="BE6" s="5" t="s">
        <v>46</v>
      </c>
      <c r="BF6" s="5" t="s">
        <v>46</v>
      </c>
      <c r="BG6" s="5" t="s">
        <v>47</v>
      </c>
      <c r="BH6" s="5" t="s">
        <v>48</v>
      </c>
    </row>
    <row r="7" customFormat="false" ht="15" hidden="false" customHeight="true" outlineLevel="0" collapsed="false">
      <c r="BE7" s="8" t="s">
        <v>49</v>
      </c>
      <c r="BF7" s="8" t="s">
        <v>50</v>
      </c>
      <c r="BG7" s="8" t="s">
        <v>51</v>
      </c>
      <c r="BH7" s="8" t="s">
        <v>52</v>
      </c>
    </row>
    <row r="8" customFormat="false" ht="15" hidden="false" customHeight="true" outlineLevel="0" collapsed="false">
      <c r="B8" s="9" t="s">
        <v>53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 t="s">
        <v>54</v>
      </c>
    </row>
    <row r="9" customFormat="false" ht="15" hidden="false" customHeight="true" outlineLevel="0" collapsed="false">
      <c r="BK9" s="10" t="s">
        <v>55</v>
      </c>
      <c r="BL9" s="11" t="s">
        <v>56</v>
      </c>
      <c r="BM9" s="11" t="s">
        <v>2</v>
      </c>
      <c r="BN9" s="11" t="s">
        <v>57</v>
      </c>
      <c r="BO9" s="4" t="s">
        <v>58</v>
      </c>
    </row>
    <row r="10" customFormat="false" ht="15" hidden="false" customHeight="true" outlineLevel="0" collapsed="false">
      <c r="B10" s="12" t="s">
        <v>59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3" t="s">
        <v>60</v>
      </c>
    </row>
    <row r="11" customFormat="false" ht="15" hidden="false" customHeight="true" outlineLevel="0" collapsed="false">
      <c r="B11" s="14" t="s">
        <v>61</v>
      </c>
      <c r="C11" s="15" t="n">
        <v>21</v>
      </c>
      <c r="D11" s="16" t="n">
        <f aca="false">E11</f>
        <v>20</v>
      </c>
      <c r="E11" s="15" t="n">
        <v>20</v>
      </c>
      <c r="F11" s="15" t="n">
        <v>30</v>
      </c>
      <c r="G11" s="16" t="n">
        <f aca="false">H11</f>
        <v>46</v>
      </c>
      <c r="H11" s="15" t="n">
        <v>46</v>
      </c>
      <c r="I11" s="15" t="n">
        <v>54</v>
      </c>
      <c r="J11" s="16" t="n">
        <f aca="false">K11</f>
        <v>61</v>
      </c>
      <c r="K11" s="15" t="n">
        <v>61</v>
      </c>
      <c r="L11" s="15" t="n">
        <v>65</v>
      </c>
      <c r="M11" s="16" t="n">
        <f aca="false">N11</f>
        <v>71</v>
      </c>
      <c r="N11" s="15" t="n">
        <v>71</v>
      </c>
      <c r="O11" s="15" t="n">
        <v>79</v>
      </c>
      <c r="P11" s="16" t="n">
        <f aca="false">Q11</f>
        <v>81</v>
      </c>
      <c r="Q11" s="15" t="n">
        <v>81</v>
      </c>
      <c r="R11" s="15" t="n">
        <v>86</v>
      </c>
      <c r="S11" s="16" t="n">
        <f aca="false">T11</f>
        <v>86</v>
      </c>
      <c r="T11" s="15" t="n">
        <v>86</v>
      </c>
      <c r="U11" s="15" t="n">
        <v>91</v>
      </c>
      <c r="V11" s="16" t="n">
        <f aca="false">W11</f>
        <v>94</v>
      </c>
      <c r="W11" s="15" t="n">
        <v>94</v>
      </c>
      <c r="X11" s="15" t="n">
        <v>97</v>
      </c>
      <c r="Y11" s="16" t="n">
        <f aca="false">Z11</f>
        <v>100</v>
      </c>
      <c r="Z11" s="15" t="n">
        <v>100</v>
      </c>
      <c r="AA11" s="15" t="n">
        <v>102</v>
      </c>
      <c r="AB11" s="16" t="n">
        <f aca="false">AC11</f>
        <v>106</v>
      </c>
      <c r="AC11" s="15" t="n">
        <v>106</v>
      </c>
      <c r="AD11" s="15" t="n">
        <v>107</v>
      </c>
      <c r="AE11" s="16" t="n">
        <f aca="false">AF11</f>
        <v>107</v>
      </c>
      <c r="AF11" s="15" t="n">
        <v>107</v>
      </c>
      <c r="AG11" s="15" t="n">
        <v>112</v>
      </c>
      <c r="AH11" s="16" t="n">
        <f aca="false">AI11</f>
        <v>114</v>
      </c>
      <c r="AI11" s="15" t="n">
        <v>114</v>
      </c>
      <c r="AJ11" s="15" t="n">
        <v>117</v>
      </c>
      <c r="AK11" s="16" t="n">
        <f aca="false">AL11</f>
        <v>119</v>
      </c>
      <c r="AL11" s="15" t="n">
        <v>119</v>
      </c>
      <c r="AM11" s="15" t="n">
        <v>124</v>
      </c>
      <c r="AN11" s="16" t="n">
        <f aca="false">AO11</f>
        <v>125</v>
      </c>
      <c r="AO11" s="15" t="n">
        <v>125</v>
      </c>
      <c r="AP11" s="15" t="n">
        <v>126</v>
      </c>
      <c r="AQ11" s="16" t="n">
        <f aca="false">AR11</f>
        <v>130</v>
      </c>
      <c r="AR11" s="15" t="n">
        <v>130</v>
      </c>
      <c r="AS11" s="15" t="n">
        <v>130</v>
      </c>
      <c r="AT11" s="16" t="n">
        <f aca="false">AU11</f>
        <v>136</v>
      </c>
      <c r="AU11" s="15" t="n">
        <v>136</v>
      </c>
      <c r="AV11" s="15" t="n">
        <v>141</v>
      </c>
      <c r="AW11" s="17" t="n">
        <f aca="false">AX11</f>
        <v>143</v>
      </c>
      <c r="AX11" s="17" t="n">
        <f aca="false">AU11+AX12</f>
        <v>143</v>
      </c>
      <c r="AY11" s="17" t="n">
        <f aca="false">AX11+AY12</f>
        <v>148</v>
      </c>
      <c r="AZ11" s="17" t="n">
        <f aca="false">AY11+AZ12</f>
        <v>153</v>
      </c>
      <c r="BA11" s="17" t="n">
        <f aca="false">AZ11+BA12</f>
        <v>158</v>
      </c>
      <c r="BB11" s="17" t="n">
        <f aca="false">BA11+BB12</f>
        <v>163</v>
      </c>
      <c r="BC11" s="18" t="s">
        <v>62</v>
      </c>
      <c r="BK11" s="12" t="s">
        <v>63</v>
      </c>
      <c r="BL11" s="12" t="s">
        <v>64</v>
      </c>
      <c r="BM11" s="12" t="s">
        <v>65</v>
      </c>
      <c r="BN11" s="12" t="s">
        <v>66</v>
      </c>
      <c r="BO11" s="19" t="s">
        <v>67</v>
      </c>
    </row>
    <row r="12" customFormat="false" ht="15" hidden="false" customHeight="true" outlineLevel="0" collapsed="false">
      <c r="B12" s="20" t="s">
        <v>68</v>
      </c>
      <c r="D12" s="21" t="n">
        <f aca="false">D11-C11</f>
        <v>-1</v>
      </c>
      <c r="F12" s="21" t="n">
        <f aca="false">F11-E11</f>
        <v>10</v>
      </c>
      <c r="G12" s="21" t="n">
        <f aca="false">G11-F11</f>
        <v>16</v>
      </c>
      <c r="H12" s="21" t="n">
        <f aca="false">H11-E11</f>
        <v>26</v>
      </c>
      <c r="I12" s="21" t="n">
        <f aca="false">I11-H11</f>
        <v>8</v>
      </c>
      <c r="J12" s="21" t="n">
        <f aca="false">J11-I11</f>
        <v>7</v>
      </c>
      <c r="K12" s="21" t="n">
        <f aca="false">K11-H11</f>
        <v>15</v>
      </c>
      <c r="L12" s="21" t="n">
        <f aca="false">L11-K11</f>
        <v>4</v>
      </c>
      <c r="M12" s="21" t="n">
        <f aca="false">M11-L11</f>
        <v>6</v>
      </c>
      <c r="N12" s="21" t="n">
        <f aca="false">N11-K11</f>
        <v>10</v>
      </c>
      <c r="O12" s="21" t="n">
        <f aca="false">O11-N11</f>
        <v>8</v>
      </c>
      <c r="P12" s="21" t="n">
        <f aca="false">P11-O11</f>
        <v>2</v>
      </c>
      <c r="Q12" s="21" t="n">
        <f aca="false">Q11-N11</f>
        <v>10</v>
      </c>
      <c r="R12" s="21" t="n">
        <f aca="false">R11-Q11</f>
        <v>5</v>
      </c>
      <c r="S12" s="21" t="n">
        <f aca="false">S11-R11</f>
        <v>0</v>
      </c>
      <c r="T12" s="21" t="n">
        <f aca="false">T11-Q11</f>
        <v>5</v>
      </c>
      <c r="U12" s="21" t="n">
        <f aca="false">U11-T11</f>
        <v>5</v>
      </c>
      <c r="V12" s="21" t="n">
        <f aca="false">V11-U11</f>
        <v>3</v>
      </c>
      <c r="W12" s="21" t="n">
        <f aca="false">W11-T11</f>
        <v>8</v>
      </c>
      <c r="X12" s="21" t="n">
        <f aca="false">X11-W11</f>
        <v>3</v>
      </c>
      <c r="Y12" s="21" t="n">
        <f aca="false">Y11-X11</f>
        <v>3</v>
      </c>
      <c r="Z12" s="21" t="n">
        <f aca="false">Z11-W11</f>
        <v>6</v>
      </c>
      <c r="AA12" s="21" t="n">
        <f aca="false">AA11-Z11</f>
        <v>2</v>
      </c>
      <c r="AB12" s="21" t="n">
        <f aca="false">AB11-AA11</f>
        <v>4</v>
      </c>
      <c r="AC12" s="21" t="n">
        <f aca="false">AC11-Z11</f>
        <v>6</v>
      </c>
      <c r="AD12" s="21" t="n">
        <f aca="false">AD11-AC11</f>
        <v>1</v>
      </c>
      <c r="AE12" s="21" t="n">
        <f aca="false">AE11-AD11</f>
        <v>0</v>
      </c>
      <c r="AF12" s="21" t="n">
        <f aca="false">AF11-AC11</f>
        <v>1</v>
      </c>
      <c r="AG12" s="21" t="n">
        <f aca="false">AG11-AF11</f>
        <v>5</v>
      </c>
      <c r="AH12" s="21" t="n">
        <f aca="false">AH11-AG11</f>
        <v>2</v>
      </c>
      <c r="AI12" s="21" t="n">
        <f aca="false">AI11-AF11</f>
        <v>7</v>
      </c>
      <c r="AJ12" s="21" t="n">
        <f aca="false">AJ11-AI11</f>
        <v>3</v>
      </c>
      <c r="AK12" s="21" t="n">
        <f aca="false">AK11-AJ11</f>
        <v>2</v>
      </c>
      <c r="AL12" s="21" t="n">
        <f aca="false">AL11-AI11</f>
        <v>5</v>
      </c>
      <c r="AM12" s="21" t="n">
        <f aca="false">AM11-AL11</f>
        <v>5</v>
      </c>
      <c r="AN12" s="21" t="n">
        <f aca="false">AN11-AM11</f>
        <v>1</v>
      </c>
      <c r="AO12" s="21" t="n">
        <f aca="false">AO11-AL11</f>
        <v>6</v>
      </c>
      <c r="AP12" s="21" t="n">
        <f aca="false">AP11-AO11</f>
        <v>1</v>
      </c>
      <c r="AQ12" s="21" t="n">
        <f aca="false">AQ11-AP11</f>
        <v>4</v>
      </c>
      <c r="AR12" s="21" t="n">
        <f aca="false">AR11-AO11</f>
        <v>5</v>
      </c>
      <c r="AS12" s="21" t="n">
        <f aca="false">AS11-AR11</f>
        <v>0</v>
      </c>
      <c r="AT12" s="21" t="n">
        <f aca="false">AT11-AS11</f>
        <v>6</v>
      </c>
      <c r="AU12" s="21" t="n">
        <f aca="false">AU11-AR11</f>
        <v>6</v>
      </c>
      <c r="AV12" s="21" t="n">
        <f aca="false">AV11-AU11</f>
        <v>5</v>
      </c>
      <c r="AW12" s="22" t="n">
        <f aca="false">AW11-AV11</f>
        <v>2</v>
      </c>
      <c r="AX12" s="23" t="n">
        <v>7</v>
      </c>
      <c r="AY12" s="23" t="n">
        <v>5</v>
      </c>
      <c r="AZ12" s="23" t="n">
        <v>5</v>
      </c>
      <c r="BA12" s="23" t="n">
        <v>5</v>
      </c>
      <c r="BB12" s="23" t="n">
        <v>5</v>
      </c>
      <c r="BC12" s="18" t="s">
        <v>69</v>
      </c>
      <c r="BK12" s="24" t="s">
        <v>70</v>
      </c>
      <c r="BL12" s="25" t="n">
        <v>0.11</v>
      </c>
      <c r="BM12" s="25" t="n">
        <v>0.105</v>
      </c>
      <c r="BN12" s="25" t="n">
        <v>0.1</v>
      </c>
      <c r="BO12" s="4" t="s">
        <v>71</v>
      </c>
    </row>
    <row r="13" customFormat="false" ht="15" hidden="false" customHeight="true" outlineLevel="0" collapsed="false">
      <c r="B13" s="20" t="s">
        <v>72</v>
      </c>
      <c r="D13" s="26" t="n">
        <f aca="false">IFERROR(AVERAGE(C11,D11),"")</f>
        <v>20.5</v>
      </c>
      <c r="F13" s="26" t="n">
        <f aca="false">IFERROR(AVERAGE(E11,F11),"")</f>
        <v>25</v>
      </c>
      <c r="G13" s="26" t="n">
        <f aca="false">IFERROR(AVERAGE(F11,G11),"")</f>
        <v>38</v>
      </c>
      <c r="H13" s="26" t="n">
        <f aca="false">IFERROR(AVERAGE(E11,H11),"")</f>
        <v>33</v>
      </c>
      <c r="I13" s="26" t="n">
        <f aca="false">IFERROR(AVERAGE(H11,I11),"")</f>
        <v>50</v>
      </c>
      <c r="J13" s="26" t="n">
        <f aca="false">IFERROR(AVERAGE(I11,J11),"")</f>
        <v>57.5</v>
      </c>
      <c r="K13" s="26" t="n">
        <f aca="false">IFERROR(AVERAGE(H11,K11),"")</f>
        <v>53.5</v>
      </c>
      <c r="L13" s="26" t="n">
        <f aca="false">IFERROR(AVERAGE(K11,L11),"")</f>
        <v>63</v>
      </c>
      <c r="M13" s="26" t="n">
        <f aca="false">IFERROR(AVERAGE(L11,M11),"")</f>
        <v>68</v>
      </c>
      <c r="N13" s="26" t="n">
        <f aca="false">IFERROR(AVERAGE(K11,N11),"")</f>
        <v>66</v>
      </c>
      <c r="O13" s="26" t="n">
        <f aca="false">IFERROR(AVERAGE(N11,O11),"")</f>
        <v>75</v>
      </c>
      <c r="P13" s="26" t="n">
        <f aca="false">IFERROR(AVERAGE(O11,P11),"")</f>
        <v>80</v>
      </c>
      <c r="Q13" s="26" t="n">
        <f aca="false">IFERROR(AVERAGE(N11,Q11),"")</f>
        <v>76</v>
      </c>
      <c r="R13" s="26" t="n">
        <f aca="false">IFERROR(AVERAGE(Q11,R11),"")</f>
        <v>83.5</v>
      </c>
      <c r="S13" s="26" t="n">
        <f aca="false">IFERROR(AVERAGE(R11,S11),"")</f>
        <v>86</v>
      </c>
      <c r="T13" s="26" t="n">
        <f aca="false">IFERROR(AVERAGE(Q11,T11),"")</f>
        <v>83.5</v>
      </c>
      <c r="U13" s="26" t="n">
        <f aca="false">IFERROR(AVERAGE(T11,U11),"")</f>
        <v>88.5</v>
      </c>
      <c r="V13" s="26" t="n">
        <f aca="false">IFERROR(AVERAGE(U11,V11),"")</f>
        <v>92.5</v>
      </c>
      <c r="W13" s="26" t="n">
        <f aca="false">IFERROR(AVERAGE(T11,W11),"")</f>
        <v>90</v>
      </c>
      <c r="X13" s="26" t="n">
        <f aca="false">IFERROR(AVERAGE(W11,X11),"")</f>
        <v>95.5</v>
      </c>
      <c r="Y13" s="26" t="n">
        <f aca="false">IFERROR(AVERAGE(X11,Y11),"")</f>
        <v>98.5</v>
      </c>
      <c r="Z13" s="26" t="n">
        <f aca="false">IFERROR(AVERAGE(W11,Z11),"")</f>
        <v>97</v>
      </c>
      <c r="AA13" s="26" t="n">
        <f aca="false">IFERROR(AVERAGE(Z11,AA11),"")</f>
        <v>101</v>
      </c>
      <c r="AB13" s="26" t="n">
        <f aca="false">IFERROR(AVERAGE(AA11,AB11),"")</f>
        <v>104</v>
      </c>
      <c r="AC13" s="26" t="n">
        <f aca="false">IFERROR(AVERAGE(Z11,AC11),"")</f>
        <v>103</v>
      </c>
      <c r="AD13" s="26" t="n">
        <f aca="false">IFERROR(AVERAGE(AC11,AD11),"")</f>
        <v>106.5</v>
      </c>
      <c r="AE13" s="26" t="n">
        <f aca="false">IFERROR(AVERAGE(AD11,AE11),"")</f>
        <v>107</v>
      </c>
      <c r="AF13" s="26" t="n">
        <f aca="false">IFERROR(AVERAGE(AC11,AF11),"")</f>
        <v>106.5</v>
      </c>
      <c r="AG13" s="26" t="n">
        <f aca="false">IFERROR(AVERAGE(AF11,AG11),"")</f>
        <v>109.5</v>
      </c>
      <c r="AH13" s="26" t="n">
        <f aca="false">IFERROR(AVERAGE(AG11,AH11),"")</f>
        <v>113</v>
      </c>
      <c r="AI13" s="26" t="n">
        <f aca="false">IFERROR(AVERAGE(AF11,AI11),"")</f>
        <v>110.5</v>
      </c>
      <c r="AJ13" s="26" t="n">
        <f aca="false">IFERROR(AVERAGE(AI11,AJ11),"")</f>
        <v>115.5</v>
      </c>
      <c r="AK13" s="26" t="n">
        <f aca="false">IFERROR(AVERAGE(AJ11,AK11),"")</f>
        <v>118</v>
      </c>
      <c r="AL13" s="26" t="n">
        <f aca="false">IFERROR(AVERAGE(AI11,AL11),"")</f>
        <v>116.5</v>
      </c>
      <c r="AM13" s="26" t="n">
        <f aca="false">IFERROR(AVERAGE(AL11,AM11),"")</f>
        <v>121.5</v>
      </c>
      <c r="AN13" s="26" t="n">
        <f aca="false">IFERROR(AVERAGE(AM11,AN11),"")</f>
        <v>124.5</v>
      </c>
      <c r="AO13" s="26" t="n">
        <f aca="false">IFERROR(AVERAGE(AL11,AO11),"")</f>
        <v>122</v>
      </c>
      <c r="AP13" s="26" t="n">
        <f aca="false">IFERROR(AVERAGE(AO11,AP11),"")</f>
        <v>125.5</v>
      </c>
      <c r="AQ13" s="26" t="n">
        <f aca="false">IFERROR(AVERAGE(AP11,AQ11),"")</f>
        <v>128</v>
      </c>
      <c r="AR13" s="26" t="n">
        <f aca="false">IFERROR(AVERAGE(AO11,AR11),"")</f>
        <v>127.5</v>
      </c>
      <c r="AS13" s="26" t="n">
        <f aca="false">IFERROR(AVERAGE(AR11,AS11),"")</f>
        <v>130</v>
      </c>
      <c r="AT13" s="26" t="n">
        <f aca="false">IFERROR(AVERAGE(AS11,AT11),"")</f>
        <v>133</v>
      </c>
      <c r="AU13" s="26" t="n">
        <f aca="false">IFERROR(AVERAGE(AR11,AU11),"")</f>
        <v>133</v>
      </c>
      <c r="AV13" s="26" t="n">
        <f aca="false">IFERROR(AVERAGE(AU11,AV11),"")</f>
        <v>138.5</v>
      </c>
      <c r="AW13" s="27" t="n">
        <f aca="false">IFERROR(AVERAGE(AV11,AW11),"")</f>
        <v>142</v>
      </c>
      <c r="AX13" s="27" t="n">
        <f aca="false">IFERROR(AVERAGE(AU11,AX11),"")</f>
        <v>139.5</v>
      </c>
      <c r="AY13" s="27" t="n">
        <f aca="false">IFERROR(AVERAGE(AX11,AY11),"")</f>
        <v>145.5</v>
      </c>
      <c r="AZ13" s="27" t="n">
        <f aca="false">IFERROR(AVERAGE(AY11,AZ11),"")</f>
        <v>150.5</v>
      </c>
      <c r="BA13" s="27" t="n">
        <f aca="false">IFERROR(AVERAGE(AZ11,BA11),"")</f>
        <v>155.5</v>
      </c>
      <c r="BB13" s="27" t="n">
        <f aca="false">IFERROR(AVERAGE(BA11,BB11),"")</f>
        <v>160.5</v>
      </c>
      <c r="BK13" s="24" t="s">
        <v>73</v>
      </c>
      <c r="BL13" s="28" t="n">
        <v>1800</v>
      </c>
      <c r="BM13" s="28" t="n">
        <v>1800</v>
      </c>
      <c r="BN13" s="28" t="n">
        <v>1800</v>
      </c>
      <c r="BO13" s="4" t="s">
        <v>74</v>
      </c>
    </row>
    <row r="14" customFormat="false" ht="15" hidden="false" customHeight="true" outlineLevel="0" collapsed="false">
      <c r="B14" s="20" t="s">
        <v>75</v>
      </c>
      <c r="C14" s="29" t="str">
        <f aca="false">IFERROR(C16/C13,"")</f>
        <v/>
      </c>
      <c r="D14" s="29" t="n">
        <f aca="false">IFERROR(D16/D13,"")</f>
        <v>1.63468292682927</v>
      </c>
      <c r="E14" s="29" t="str">
        <f aca="false">IFERROR(E16/E13,"")</f>
        <v/>
      </c>
      <c r="F14" s="29" t="n">
        <f aca="false">IFERROR(F16/F13,"")</f>
        <v>1.21576</v>
      </c>
      <c r="G14" s="29" t="n">
        <f aca="false">IFERROR(G16/G13,"")</f>
        <v>1.22513157894737</v>
      </c>
      <c r="H14" s="29" t="n">
        <f aca="false">IFERROR(H16/H13,"")</f>
        <v>2.33178787878788</v>
      </c>
      <c r="I14" s="29" t="n">
        <f aca="false">IFERROR(I16/I13,"")</f>
        <v>1.01494</v>
      </c>
      <c r="J14" s="29" t="n">
        <f aca="false">IFERROR(J16/J13,"")</f>
        <v>1.12509565217391</v>
      </c>
      <c r="K14" s="29" t="n">
        <f aca="false">IFERROR(K16/K13,"")</f>
        <v>2.15775700934579</v>
      </c>
      <c r="L14" s="29" t="n">
        <f aca="false">IFERROR(L16/L13,"")</f>
        <v>0.98968253968254</v>
      </c>
      <c r="M14" s="29" t="n">
        <f aca="false">IFERROR(M16/M13,"")</f>
        <v>1.26670588235294</v>
      </c>
      <c r="N14" s="29" t="n">
        <f aca="false">IFERROR(N16/N13,"")</f>
        <v>2.24978787878788</v>
      </c>
      <c r="O14" s="29" t="n">
        <f aca="false">IFERROR(O16/O13,"")</f>
        <v>1.13024</v>
      </c>
      <c r="P14" s="29" t="n">
        <f aca="false">IFERROR(P16/P13,"")</f>
        <v>1.355075</v>
      </c>
      <c r="Q14" s="29" t="n">
        <f aca="false">IFERROR(Q16/Q13,"")</f>
        <v>2.54176315789474</v>
      </c>
      <c r="R14" s="29" t="n">
        <f aca="false">IFERROR(R16/R13,"")</f>
        <v>1.1922754491018</v>
      </c>
      <c r="S14" s="29" t="n">
        <f aca="false">IFERROR(S16/S13,"")</f>
        <v>1.4728488372093</v>
      </c>
      <c r="T14" s="29" t="n">
        <f aca="false">IFERROR(T16/T13,"")</f>
        <v>2.70922155688623</v>
      </c>
      <c r="U14" s="29" t="n">
        <f aca="false">IFERROR(U16/U13,"")</f>
        <v>1.3685988700565</v>
      </c>
      <c r="V14" s="29" t="n">
        <f aca="false">IFERROR(V16/V13,"")</f>
        <v>1.61549189189189</v>
      </c>
      <c r="W14" s="29" t="n">
        <f aca="false">IFERROR(W16/W13,"")</f>
        <v>3.00615555555556</v>
      </c>
      <c r="X14" s="29" t="n">
        <f aca="false">IFERROR(X16/X13,"")</f>
        <v>1.40230366492147</v>
      </c>
      <c r="Y14" s="29" t="n">
        <f aca="false">IFERROR(Y16/Y13,"")</f>
        <v>1.64817258883249</v>
      </c>
      <c r="Z14" s="29" t="n">
        <f aca="false">IFERROR(Z16/Z13,"")</f>
        <v>3.05427835051546</v>
      </c>
      <c r="AA14" s="29" t="n">
        <f aca="false">IFERROR(AA16/AA13,"")</f>
        <v>1.48461386138614</v>
      </c>
      <c r="AB14" s="29" t="n">
        <f aca="false">IFERROR(AB16/AB13,"")</f>
        <v>1.82200961538462</v>
      </c>
      <c r="AC14" s="29" t="n">
        <f aca="false">IFERROR(AC16/AC13,"")</f>
        <v>3.2954854368932</v>
      </c>
      <c r="AD14" s="29" t="n">
        <f aca="false">IFERROR(AD16/AD13,"")</f>
        <v>0.962600938967136</v>
      </c>
      <c r="AE14" s="29" t="n">
        <f aca="false">IFERROR(AE16/AE13,"")</f>
        <v>1.55379439252336</v>
      </c>
      <c r="AF14" s="29" t="n">
        <f aca="false">IFERROR(AF16/AF13,"")</f>
        <v>2.52369014084507</v>
      </c>
      <c r="AG14" s="29" t="n">
        <f aca="false">IFERROR(AG16/AG13,"")</f>
        <v>1.51112328767123</v>
      </c>
      <c r="AH14" s="29" t="n">
        <f aca="false">IFERROR(AH16/AH13,"")</f>
        <v>2.25087610619469</v>
      </c>
      <c r="AI14" s="29" t="n">
        <f aca="false">IFERROR(AI16/AI13,"")</f>
        <v>3.79924886877828</v>
      </c>
      <c r="AJ14" s="29" t="n">
        <f aca="false">IFERROR(AJ16/AJ13,"")</f>
        <v>2.10670995670996</v>
      </c>
      <c r="AK14" s="29" t="n">
        <f aca="false">IFERROR(AK16/AK13,"")</f>
        <v>2.79656779661017</v>
      </c>
      <c r="AL14" s="29" t="n">
        <f aca="false">IFERROR(AL16/AL13,"")</f>
        <v>4.9212017167382</v>
      </c>
      <c r="AM14" s="29" t="n">
        <f aca="false">IFERROR(AM16/AM13,"")</f>
        <v>2.83660905349794</v>
      </c>
      <c r="AN14" s="29" t="n">
        <f aca="false">IFERROR(AN16/AN13,"")</f>
        <v>3.23026506024096</v>
      </c>
      <c r="AO14" s="29" t="n">
        <f aca="false">IFERROR(AO16/AO13,"")</f>
        <v>6.12144262295082</v>
      </c>
      <c r="AP14" s="29" t="n">
        <f aca="false">IFERROR(AP16/AP13,"")</f>
        <v>3.1488764940239</v>
      </c>
      <c r="AQ14" s="29" t="n">
        <f aca="false">IFERROR(AQ16/AQ13,"")</f>
        <v>3.5629609375</v>
      </c>
      <c r="AR14" s="29" t="n">
        <f aca="false">IFERROR(AR16/AR13,"")</f>
        <v>6.67641568627451</v>
      </c>
      <c r="AS14" s="29" t="n">
        <f aca="false">IFERROR(AS16/AS13,"")</f>
        <v>3.35259230769231</v>
      </c>
      <c r="AT14" s="29" t="n">
        <f aca="false">IFERROR(AT16/AT13,"")</f>
        <v>3.8433984962406</v>
      </c>
      <c r="AU14" s="29" t="n">
        <f aca="false">IFERROR(AU16/AU13,"")</f>
        <v>7.12036842105263</v>
      </c>
      <c r="AV14" s="29" t="n">
        <f aca="false">IFERROR(AV16/AV13,"")</f>
        <v>3.60841155234657</v>
      </c>
      <c r="AW14" s="30" t="n">
        <f aca="false">IFERROR(AW16/AW13,"")</f>
        <v>3.95968670422535</v>
      </c>
      <c r="AX14" s="30" t="n">
        <f aca="false">IFERROR(AX16/AX13,"")</f>
        <v>7.6131936344086</v>
      </c>
      <c r="AY14" s="30" t="n">
        <f aca="false">AX14*(1+AY15)</f>
        <v>8.18418315698925</v>
      </c>
      <c r="AZ14" s="30" t="n">
        <f aca="false">AY14*(1+AZ15)</f>
        <v>8.6752341464086</v>
      </c>
      <c r="BA14" s="30" t="n">
        <f aca="false">AZ14*(1+BA15)</f>
        <v>9.15237202446108</v>
      </c>
      <c r="BB14" s="30" t="n">
        <f aca="false">BA14*(1+BB15)</f>
        <v>9.60999062568413</v>
      </c>
      <c r="BC14" s="18" t="s">
        <v>76</v>
      </c>
    </row>
    <row r="15" customFormat="false" ht="15" hidden="false" customHeight="true" outlineLevel="0" collapsed="false">
      <c r="B15" s="31" t="s">
        <v>77</v>
      </c>
      <c r="F15" s="32" t="str">
        <f aca="false">IF(AND(ISNUMBER(F14),ISNUMBER(C14)),IFERROR(F14/C14-1,""),"")</f>
        <v/>
      </c>
      <c r="G15" s="32" t="n">
        <f aca="false">IF(AND(ISNUMBER(G14),ISNUMBER(D14)),IFERROR(G14/D14-1,""),"")</f>
        <v>-0.25053870763567</v>
      </c>
      <c r="H15" s="32" t="str">
        <f aca="false">IF(AND(ISNUMBER(H14),ISNUMBER(E14)),IFERROR(H14/E14-1,""),"")</f>
        <v/>
      </c>
      <c r="I15" s="32" t="n">
        <f aca="false">IF(AND(ISNUMBER(I14),ISNUMBER(F14)),IFERROR(I14/F14-1,""),"")</f>
        <v>-0.165180627755478</v>
      </c>
      <c r="J15" s="32" t="n">
        <f aca="false">IF(AND(ISNUMBER(J14),ISNUMBER(G14)),IFERROR(J14/G14-1,""),"")</f>
        <v>-0.0816532105550705</v>
      </c>
      <c r="K15" s="32" t="n">
        <f aca="false">IF(AND(ISNUMBER(K14),ISNUMBER(H14)),IFERROR(K14/H14-1,""),"")</f>
        <v>-0.0746340913018854</v>
      </c>
      <c r="L15" s="32" t="n">
        <f aca="false">IF(AND(ISNUMBER(L14),ISNUMBER(I14)),IFERROR(L14/I14-1,""),"")</f>
        <v>-0.0248856684310996</v>
      </c>
      <c r="M15" s="32" t="n">
        <f aca="false">IF(AND(ISNUMBER(M14),ISNUMBER(J14)),IFERROR(M14/J14-1,""),"")</f>
        <v>0.125865058588937</v>
      </c>
      <c r="N15" s="32" t="n">
        <f aca="false">IF(AND(ISNUMBER(N14),ISNUMBER(K14)),IFERROR(N14/K14-1,""),"")</f>
        <v>0.0426511739011737</v>
      </c>
      <c r="O15" s="32" t="n">
        <f aca="false">IF(AND(ISNUMBER(O14),ISNUMBER(L14)),IFERROR(O14/L14-1,""),"")</f>
        <v>0.142022774659182</v>
      </c>
      <c r="P15" s="32" t="n">
        <f aca="false">IF(AND(ISNUMBER(P14),ISNUMBER(M14)),IFERROR(P14/M14-1,""),"")</f>
        <v>0.0697629330361289</v>
      </c>
      <c r="Q15" s="32" t="n">
        <f aca="false">IF(AND(ISNUMBER(Q14),ISNUMBER(N14)),IFERROR(Q14/N14-1,""),"")</f>
        <v>0.129779025773828</v>
      </c>
      <c r="R15" s="32" t="n">
        <f aca="false">IF(AND(ISNUMBER(R14),ISNUMBER(O14)),IFERROR(R14/O14-1,""),"")</f>
        <v>0.0548869701141319</v>
      </c>
      <c r="S15" s="32" t="n">
        <f aca="false">IF(AND(ISNUMBER(S14),ISNUMBER(P14)),IFERROR(S14/P14-1,""),"")</f>
        <v>0.0869131503490968</v>
      </c>
      <c r="T15" s="32" t="n">
        <f aca="false">IF(AND(ISNUMBER(T14),ISNUMBER(Q14)),IFERROR(T14/Q14-1,""),"")</f>
        <v>0.0658827705765439</v>
      </c>
      <c r="U15" s="32" t="n">
        <f aca="false">IF(AND(ISNUMBER(U14),ISNUMBER(R14)),IFERROR(U14/R14-1,""),"")</f>
        <v>0.147888158803852</v>
      </c>
      <c r="V15" s="32" t="n">
        <f aca="false">IF(AND(ISNUMBER(V14),ISNUMBER(S14)),IFERROR(V14/S14-1,""),"")</f>
        <v>0.0968484009213493</v>
      </c>
      <c r="W15" s="32" t="n">
        <f aca="false">IF(AND(ISNUMBER(W14),ISNUMBER(T14)),IFERROR(W14/T14-1,""),"")</f>
        <v>0.109601223980589</v>
      </c>
      <c r="X15" s="32" t="n">
        <f aca="false">IF(AND(ISNUMBER(X14),ISNUMBER(U14)),IFERROR(X14/U14-1,""),"")</f>
        <v>0.0246272268685837</v>
      </c>
      <c r="Y15" s="32" t="n">
        <f aca="false">IF(AND(ISNUMBER(Y14),ISNUMBER(V14)),IFERROR(Y14/V14-1,""),"")</f>
        <v>0.0202295641993742</v>
      </c>
      <c r="Z15" s="32" t="n">
        <f aca="false">IF(AND(ISNUMBER(Z14),ISNUMBER(W14)),IFERROR(Z14/W14-1,""),"")</f>
        <v>0.0160080854335614</v>
      </c>
      <c r="AA15" s="32" t="n">
        <f aca="false">IF(AND(ISNUMBER(AA14),ISNUMBER(X14)),IFERROR(AA14/X14-1,""),"")</f>
        <v>0.0586964139962385</v>
      </c>
      <c r="AB15" s="32" t="n">
        <f aca="false">IF(AND(ISNUMBER(AB14),ISNUMBER(Y14)),IFERROR(AB14/Y14-1,""),"")</f>
        <v>0.105472586869843</v>
      </c>
      <c r="AC15" s="32" t="n">
        <f aca="false">IF(AND(ISNUMBER(AC14),ISNUMBER(Z14)),IFERROR(AC14/Z14-1,""),"")</f>
        <v>0.0789735114800627</v>
      </c>
      <c r="AD15" s="32" t="n">
        <f aca="false">IF(AND(ISNUMBER(AD14),ISNUMBER(AA14)),IFERROR(AD14/AA14-1,""),"")</f>
        <v>-0.351615282597197</v>
      </c>
      <c r="AE15" s="32" t="n">
        <f aca="false">IF(AND(ISNUMBER(AE14),ISNUMBER(AB14)),IFERROR(AE14/AB14-1,""),"")</f>
        <v>-0.147208456309179</v>
      </c>
      <c r="AF15" s="32" t="n">
        <f aca="false">IF(AND(ISNUMBER(AF14),ISNUMBER(AC14)),IFERROR(AF14/AC14-1,""),"")</f>
        <v>-0.234197756545311</v>
      </c>
      <c r="AG15" s="32" t="n">
        <f aca="false">IF(AND(ISNUMBER(AG14),ISNUMBER(AD14)),IFERROR(AG14/AD14-1,""),"")</f>
        <v>0.569833589911784</v>
      </c>
      <c r="AH15" s="32" t="n">
        <f aca="false">IF(AND(ISNUMBER(AH14),ISNUMBER(AE14)),IFERROR(AH14/AE14-1,""),"")</f>
        <v>0.448631889151861</v>
      </c>
      <c r="AI15" s="32" t="n">
        <f aca="false">IF(AND(ISNUMBER(AI14),ISNUMBER(AF14)),IFERROR(AI14/AF14-1,""),"")</f>
        <v>0.505433970394671</v>
      </c>
      <c r="AJ15" s="32" t="n">
        <f aca="false">IF(AND(ISNUMBER(AJ14),ISNUMBER(AG14)),IFERROR(AJ14/AG14-1,""),"")</f>
        <v>0.394135060916553</v>
      </c>
      <c r="AK15" s="32" t="n">
        <f aca="false">IF(AND(ISNUMBER(AK14),ISNUMBER(AH14)),IFERROR(AK14/AH14-1,""),"")</f>
        <v>0.242435240621938</v>
      </c>
      <c r="AL15" s="32" t="n">
        <f aca="false">IF(AND(ISNUMBER(AL14),ISNUMBER(AI14)),IFERROR(AL14/AI14-1,""),"")</f>
        <v>0.295309122068832</v>
      </c>
      <c r="AM15" s="32" t="n">
        <f aca="false">IF(AND(ISNUMBER(AM14),ISNUMBER(AJ14)),IFERROR(AM14/AJ14-1,""),"")</f>
        <v>0.346463970734665</v>
      </c>
      <c r="AN15" s="32" t="n">
        <f aca="false">IF(AND(ISNUMBER(AN14),ISNUMBER(AK14)),IFERROR(AN14/AK14-1,""),"")</f>
        <v>0.155081977328243</v>
      </c>
      <c r="AO15" s="32" t="n">
        <f aca="false">IF(AND(ISNUMBER(AO14),ISNUMBER(AL14)),IFERROR(AO14/AL14-1,""),"")</f>
        <v>0.243891832787571</v>
      </c>
      <c r="AP15" s="32" t="n">
        <f aca="false">IF(AND(ISNUMBER(AP14),ISNUMBER(AM14)),IFERROR(AP14/AM14-1,""),"")</f>
        <v>0.110084764814838</v>
      </c>
      <c r="AQ15" s="32" t="n">
        <f aca="false">IF(AND(ISNUMBER(AQ14),ISNUMBER(AN14)),IFERROR(AQ14/AN14-1,""),"")</f>
        <v>0.102993367743704</v>
      </c>
      <c r="AR15" s="32" t="n">
        <f aca="false">IF(AND(ISNUMBER(AR14),ISNUMBER(AO14)),IFERROR(AR14/AO14-1,""),"")</f>
        <v>0.0906605023533109</v>
      </c>
      <c r="AS15" s="32" t="n">
        <f aca="false">IF(AND(ISNUMBER(AS14),ISNUMBER(AP14)),IFERROR(AS14/AP14-1,""),"")</f>
        <v>0.0646947614665183</v>
      </c>
      <c r="AT15" s="32" t="n">
        <f aca="false">IF(AND(ISNUMBER(AT14),ISNUMBER(AQ14)),IFERROR(AT14/AQ14-1,""),"")</f>
        <v>0.078709130877358</v>
      </c>
      <c r="AU15" s="32" t="n">
        <f aca="false">IF(AND(ISNUMBER(AU14),ISNUMBER(AR14)),IFERROR(AU14/AR14-1,""),"")</f>
        <v>0.0664956700780042</v>
      </c>
      <c r="AV15" s="32" t="n">
        <f aca="false">IF(AND(ISNUMBER(AV14),ISNUMBER(AS14)),IFERROR(AV14/AS14-1,""),"")</f>
        <v>0.0763049071213646</v>
      </c>
      <c r="AW15" s="33" t="n">
        <f aca="false">IF(AND(ISNUMBER(AW14),ISNUMBER(AT14)),IFERROR(AW14/AT14-1,""),"")</f>
        <v>0.030256609638188</v>
      </c>
      <c r="AX15" s="33" t="n">
        <f aca="false">IF(AND(ISNUMBER(AX14),ISNUMBER(AU14)),IFERROR(AX14/AU14-1,""),"")</f>
        <v>0.0692134429306839</v>
      </c>
      <c r="AY15" s="33" t="n">
        <f aca="false">CHOOSE(MATCH($BC$2,{"Bull","Base","Bear"},0),$BL$16,$BM$16,$BN$16)</f>
        <v>0.075</v>
      </c>
      <c r="AZ15" s="33" t="n">
        <f aca="false">CHOOSE(MATCH($BC$2,{"Bull","Base","Bear"},0),$BL$17,$BM$17,$BN$17)</f>
        <v>0.06</v>
      </c>
      <c r="BA15" s="33" t="n">
        <f aca="false">CHOOSE(MATCH($BC$2,{"Bull","Base","Bear"},0),$BL$18,$BM$18,$BN$18)</f>
        <v>0.055</v>
      </c>
      <c r="BB15" s="33" t="n">
        <f aca="false">CHOOSE(MATCH($BC$2,{"Bull","Base","Bear"},0),$BL$19,$BM$19,$BN$19)</f>
        <v>0.05</v>
      </c>
      <c r="BC15" s="18" t="s">
        <v>78</v>
      </c>
      <c r="BK15" s="10" t="s">
        <v>79</v>
      </c>
      <c r="BL15" s="25" t="n">
        <v>0.02</v>
      </c>
      <c r="BM15" s="25" t="s">
        <v>80</v>
      </c>
      <c r="BN15" s="25" t="n">
        <v>-0.03</v>
      </c>
      <c r="BO15" s="4" t="s">
        <v>81</v>
      </c>
    </row>
    <row r="16" customFormat="false" ht="15" hidden="false" customHeight="true" outlineLevel="0" collapsed="false">
      <c r="B16" s="14" t="s">
        <v>82</v>
      </c>
      <c r="C16" s="34" t="n">
        <v>20.35</v>
      </c>
      <c r="D16" s="35" t="n">
        <f aca="false">E16-C16</f>
        <v>33.511</v>
      </c>
      <c r="E16" s="34" t="n">
        <v>53.861</v>
      </c>
      <c r="F16" s="34" t="n">
        <v>30.394</v>
      </c>
      <c r="G16" s="35" t="n">
        <f aca="false">H16-F16</f>
        <v>46.555</v>
      </c>
      <c r="H16" s="34" t="n">
        <v>76.949</v>
      </c>
      <c r="I16" s="34" t="n">
        <v>50.747</v>
      </c>
      <c r="J16" s="35" t="n">
        <f aca="false">K16-I16</f>
        <v>64.693</v>
      </c>
      <c r="K16" s="34" t="n">
        <v>115.44</v>
      </c>
      <c r="L16" s="34" t="n">
        <v>62.35</v>
      </c>
      <c r="M16" s="35" t="n">
        <f aca="false">N16-L16</f>
        <v>86.136</v>
      </c>
      <c r="N16" s="34" t="n">
        <v>148.486</v>
      </c>
      <c r="O16" s="34" t="n">
        <v>84.768</v>
      </c>
      <c r="P16" s="35" t="n">
        <f aca="false">Q16-O16</f>
        <v>108.406</v>
      </c>
      <c r="Q16" s="34" t="n">
        <v>193.174</v>
      </c>
      <c r="R16" s="34" t="n">
        <v>99.555</v>
      </c>
      <c r="S16" s="35" t="n">
        <f aca="false">T16-R16</f>
        <v>126.665</v>
      </c>
      <c r="T16" s="34" t="n">
        <v>226.22</v>
      </c>
      <c r="U16" s="34" t="n">
        <v>121.121</v>
      </c>
      <c r="V16" s="35" t="n">
        <f aca="false">W16-U16</f>
        <v>149.433</v>
      </c>
      <c r="W16" s="34" t="n">
        <v>270.554</v>
      </c>
      <c r="X16" s="34" t="n">
        <v>133.92</v>
      </c>
      <c r="Y16" s="35" t="n">
        <f aca="false">Z16-X16</f>
        <v>162.345</v>
      </c>
      <c r="Z16" s="34" t="n">
        <v>296.265</v>
      </c>
      <c r="AA16" s="34" t="n">
        <v>149.946</v>
      </c>
      <c r="AB16" s="35" t="n">
        <f aca="false">AC16-AA16</f>
        <v>189.489</v>
      </c>
      <c r="AC16" s="34" t="n">
        <v>339.435</v>
      </c>
      <c r="AD16" s="34" t="n">
        <v>102.517</v>
      </c>
      <c r="AE16" s="35" t="n">
        <f aca="false">AF16-AD16</f>
        <v>166.256</v>
      </c>
      <c r="AF16" s="34" t="n">
        <v>268.773</v>
      </c>
      <c r="AG16" s="34" t="n">
        <v>165.468</v>
      </c>
      <c r="AH16" s="35" t="n">
        <f aca="false">AI16-AG16</f>
        <v>254.349</v>
      </c>
      <c r="AI16" s="34" t="n">
        <v>419.817</v>
      </c>
      <c r="AJ16" s="34" t="n">
        <v>243.325</v>
      </c>
      <c r="AK16" s="35" t="n">
        <f aca="false">AL16-AJ16</f>
        <v>329.995</v>
      </c>
      <c r="AL16" s="34" t="n">
        <v>573.32</v>
      </c>
      <c r="AM16" s="34" t="n">
        <v>344.648</v>
      </c>
      <c r="AN16" s="35" t="n">
        <f aca="false">AO16-AM16</f>
        <v>402.168</v>
      </c>
      <c r="AO16" s="34" t="n">
        <v>746.816</v>
      </c>
      <c r="AP16" s="34" t="n">
        <v>395.184</v>
      </c>
      <c r="AQ16" s="35" t="n">
        <f aca="false">AR16-AP16</f>
        <v>456.059</v>
      </c>
      <c r="AR16" s="34" t="n">
        <v>851.243</v>
      </c>
      <c r="AS16" s="34" t="n">
        <v>435.837</v>
      </c>
      <c r="AT16" s="35" t="n">
        <f aca="false">AU16-AS16</f>
        <v>511.172</v>
      </c>
      <c r="AU16" s="34" t="n">
        <v>947.009</v>
      </c>
      <c r="AV16" s="34" t="n">
        <v>499.765</v>
      </c>
      <c r="AW16" s="36" t="n">
        <f aca="false">AT16*(1+AW18+AW66)</f>
        <v>562.275512</v>
      </c>
      <c r="AX16" s="36" t="n">
        <f aca="false">AV16+AW16</f>
        <v>1062.040512</v>
      </c>
      <c r="AY16" s="36" t="n">
        <f aca="false">AY13*AY14</f>
        <v>1190.79864934194</v>
      </c>
      <c r="AZ16" s="36" t="n">
        <f aca="false">AZ13*AZ14</f>
        <v>1305.62273903449</v>
      </c>
      <c r="BA16" s="36" t="n">
        <f aca="false">BA13*BA14</f>
        <v>1423.1938498037</v>
      </c>
      <c r="BB16" s="36" t="n">
        <f aca="false">BB13*BB14</f>
        <v>1542.4034954223</v>
      </c>
      <c r="BC16" s="18" t="s">
        <v>83</v>
      </c>
      <c r="BE16" s="37" t="n">
        <f aca="false">IFERROR(IF(AND(BB16&gt;0,AU16&gt;0),(BB16/AU16)^(1/5)-1,"n/m"),"n/m")</f>
        <v>0.102475073097592</v>
      </c>
      <c r="BF16" s="37" t="n">
        <f aca="false">IFERROR(IF(AND(AU16&gt;0,AF16&gt;0),(AU16/AF16)^(1/5)-1,"n/m"),"n/m")</f>
        <v>0.286452317009004</v>
      </c>
      <c r="BG16" s="37" t="n">
        <f aca="false">IFERROR(IF(AND(AU16&gt;0,Q16&gt;0),(AU16/Q16)^(1/10)-1,"n/m"),"n/m")</f>
        <v>0.172304800429141</v>
      </c>
      <c r="BH16" s="37" t="n">
        <f aca="false">IFERROR(IF(AND(AU16&gt;0,E16&gt;0),(AU16/E16)^(1/14)-1,"n/m"),"n/m")</f>
        <v>0.227253456255312</v>
      </c>
      <c r="BK16" s="24" t="s">
        <v>84</v>
      </c>
      <c r="BL16" s="38" t="n">
        <f aca="false">BM16+$BL$15</f>
        <v>0.095</v>
      </c>
      <c r="BM16" s="25" t="n">
        <v>0.075</v>
      </c>
      <c r="BN16" s="38" t="n">
        <f aca="false">BM16+$BN$15</f>
        <v>0.045</v>
      </c>
    </row>
    <row r="17" customFormat="false" ht="15" hidden="false" customHeight="true" outlineLevel="0" collapsed="false">
      <c r="B17" s="31" t="s">
        <v>85</v>
      </c>
      <c r="F17" s="32" t="n">
        <f aca="false">IF(AND(ISNUMBER(F16),ISNUMBER(C16)),IFERROR(F16/C16-1,""),"")</f>
        <v>0.493562653562653</v>
      </c>
      <c r="G17" s="32" t="n">
        <f aca="false">IF(AND(ISNUMBER(G16),ISNUMBER(D16)),IFERROR(G16/D16-1,""),"")</f>
        <v>0.389245322431441</v>
      </c>
      <c r="H17" s="32" t="n">
        <f aca="false">IF(AND(ISNUMBER(H16),ISNUMBER(E16)),IFERROR(H16/E16-1,""),"")</f>
        <v>0.428658955459423</v>
      </c>
      <c r="I17" s="32" t="n">
        <f aca="false">IF(AND(ISNUMBER(I16),ISNUMBER(F16)),IFERROR(I16/F16-1,""),"")</f>
        <v>0.669638744489044</v>
      </c>
      <c r="J17" s="32" t="n">
        <f aca="false">IF(AND(ISNUMBER(J16),ISNUMBER(G16)),IFERROR(J16/G16-1,""),"")</f>
        <v>0.389603694554828</v>
      </c>
      <c r="K17" s="32" t="n">
        <f aca="false">IF(AND(ISNUMBER(K16),ISNUMBER(H16)),IFERROR(K16/H16-1,""),"")</f>
        <v>0.500214427737852</v>
      </c>
      <c r="L17" s="32" t="n">
        <f aca="false">IF(AND(ISNUMBER(L16),ISNUMBER(I16)),IFERROR(L16/I16-1,""),"")</f>
        <v>0.228644057776815</v>
      </c>
      <c r="M17" s="32" t="n">
        <f aca="false">IF(AND(ISNUMBER(M16),ISNUMBER(J16)),IFERROR(M16/J16-1,""),"")</f>
        <v>0.331457808418221</v>
      </c>
      <c r="N17" s="32" t="n">
        <f aca="false">IF(AND(ISNUMBER(N16),ISNUMBER(K16)),IFERROR(N16/K16-1,""),"")</f>
        <v>0.286261261261261</v>
      </c>
      <c r="O17" s="32" t="n">
        <f aca="false">IF(AND(ISNUMBER(O16),ISNUMBER(L16)),IFERROR(O16/L16-1,""),"")</f>
        <v>0.359550922213312</v>
      </c>
      <c r="P17" s="32" t="n">
        <f aca="false">IF(AND(ISNUMBER(P16),ISNUMBER(M16)),IFERROR(P16/M16-1,""),"")</f>
        <v>0.258544627101328</v>
      </c>
      <c r="Q17" s="32" t="n">
        <f aca="false">IF(AND(ISNUMBER(Q16),ISNUMBER(N16)),IFERROR(Q16/N16-1,""),"")</f>
        <v>0.30095766604259</v>
      </c>
      <c r="R17" s="32" t="n">
        <f aca="false">IF(AND(ISNUMBER(R16),ISNUMBER(O16)),IFERROR(R16/O16-1,""),"")</f>
        <v>0.174440826727067</v>
      </c>
      <c r="S17" s="32" t="n">
        <f aca="false">IF(AND(ISNUMBER(S16),ISNUMBER(P16)),IFERROR(S16/P16-1,""),"")</f>
        <v>0.168431636625279</v>
      </c>
      <c r="T17" s="32" t="n">
        <f aca="false">IF(AND(ISNUMBER(T16),ISNUMBER(Q16)),IFERROR(T16/Q16-1,""),"")</f>
        <v>0.171068570304492</v>
      </c>
      <c r="U17" s="32" t="n">
        <f aca="false">IF(AND(ISNUMBER(U16),ISNUMBER(R16)),IFERROR(U16/R16-1,""),"")</f>
        <v>0.216623976696298</v>
      </c>
      <c r="V17" s="32" t="n">
        <f aca="false">IF(AND(ISNUMBER(V16),ISNUMBER(S16)),IFERROR(V16/S16-1,""),"")</f>
        <v>0.179749733549126</v>
      </c>
      <c r="W17" s="32" t="n">
        <f aca="false">IF(AND(ISNUMBER(W16),ISNUMBER(T16)),IFERROR(W16/T16-1,""),"")</f>
        <v>0.195977367164707</v>
      </c>
      <c r="X17" s="32" t="n">
        <f aca="false">IF(AND(ISNUMBER(X16),ISNUMBER(U16)),IFERROR(X16/U16-1,""),"")</f>
        <v>0.105671188315816</v>
      </c>
      <c r="Y17" s="32" t="n">
        <f aca="false">IF(AND(ISNUMBER(Y16),ISNUMBER(V16)),IFERROR(Y16/V16-1,""),"")</f>
        <v>0.0864066170123066</v>
      </c>
      <c r="Z17" s="32" t="n">
        <f aca="false">IF(AND(ISNUMBER(Z16),ISNUMBER(W16)),IFERROR(Z16/W16-1,""),"")</f>
        <v>0.0950309365228383</v>
      </c>
      <c r="AA17" s="32" t="n">
        <f aca="false">IF(AND(ISNUMBER(AA16),ISNUMBER(X16)),IFERROR(AA16/X16-1,""),"")</f>
        <v>0.119668458781362</v>
      </c>
      <c r="AB17" s="32" t="n">
        <f aca="false">IF(AND(ISNUMBER(AB16),ISNUMBER(Y16)),IFERROR(AB16/Y16-1,""),"")</f>
        <v>0.167199482583387</v>
      </c>
      <c r="AC17" s="32" t="n">
        <f aca="false">IF(AND(ISNUMBER(AC16),ISNUMBER(Z16)),IFERROR(AC16/Z16-1,""),"")</f>
        <v>0.145714141056149</v>
      </c>
      <c r="AD17" s="32" t="n">
        <f aca="false">IF(AND(ISNUMBER(AD16),ISNUMBER(AA16)),IFERROR(AD16/AA16-1,""),"")</f>
        <v>-0.316307203926747</v>
      </c>
      <c r="AE17" s="32" t="n">
        <f aca="false">IF(AND(ISNUMBER(AE16),ISNUMBER(AB16)),IFERROR(AE16/AB16-1,""),"")</f>
        <v>-0.122608700241175</v>
      </c>
      <c r="AF17" s="32" t="n">
        <f aca="false">IF(AND(ISNUMBER(AF16),ISNUMBER(AC16)),IFERROR(AF16/AC16-1,""),"")</f>
        <v>-0.208175350214327</v>
      </c>
      <c r="AG17" s="32" t="n">
        <f aca="false">IF(AND(ISNUMBER(AG16),ISNUMBER(AD16)),IFERROR(AG16/AD16-1,""),"")</f>
        <v>0.614054254416341</v>
      </c>
      <c r="AH17" s="32" t="n">
        <f aca="false">IF(AND(ISNUMBER(AH16),ISNUMBER(AE16)),IFERROR(AH16/AE16-1,""),"")</f>
        <v>0.529863583870657</v>
      </c>
      <c r="AI17" s="32" t="n">
        <f aca="false">IF(AND(ISNUMBER(AI16),ISNUMBER(AF16)),IFERROR(AI16/AF16-1,""),"")</f>
        <v>0.561976091348461</v>
      </c>
      <c r="AJ17" s="32" t="n">
        <f aca="false">IF(AND(ISNUMBER(AJ16),ISNUMBER(AG16)),IFERROR(AJ16/AG16-1,""),"")</f>
        <v>0.470526023158556</v>
      </c>
      <c r="AK17" s="32" t="n">
        <f aca="false">IF(AND(ISNUMBER(AK16),ISNUMBER(AH16)),IFERROR(AK16/AH16-1,""),"")</f>
        <v>0.297410251268926</v>
      </c>
      <c r="AL17" s="32" t="n">
        <f aca="false">IF(AND(ISNUMBER(AL16),ISNUMBER(AI16)),IFERROR(AL16/AI16-1,""),"")</f>
        <v>0.365642649058995</v>
      </c>
      <c r="AM17" s="32" t="n">
        <f aca="false">IF(AND(ISNUMBER(AM16),ISNUMBER(AJ16)),IFERROR(AM16/AJ16-1,""),"")</f>
        <v>0.41641015103257</v>
      </c>
      <c r="AN17" s="32" t="n">
        <f aca="false">IF(AND(ISNUMBER(AN16),ISNUMBER(AK16)),IFERROR(AN16/AK16-1,""),"")</f>
        <v>0.21870937438446</v>
      </c>
      <c r="AO17" s="32" t="n">
        <f aca="false">IF(AND(ISNUMBER(AO16),ISNUMBER(AL16)),IFERROR(AO16/AL16-1,""),"")</f>
        <v>0.302616339914882</v>
      </c>
      <c r="AP17" s="32" t="n">
        <f aca="false">IF(AND(ISNUMBER(AP16),ISNUMBER(AM16)),IFERROR(AP16/AM16-1,""),"")</f>
        <v>0.14663076530257</v>
      </c>
      <c r="AQ17" s="32" t="n">
        <f aca="false">IF(AND(ISNUMBER(AQ16),ISNUMBER(AN16)),IFERROR(AQ16/AN16-1,""),"")</f>
        <v>0.134001213423246</v>
      </c>
      <c r="AR17" s="32" t="n">
        <f aca="false">IF(AND(ISNUMBER(AR16),ISNUMBER(AO16)),IFERROR(AR16/AO16-1,""),"")</f>
        <v>0.139829623361042</v>
      </c>
      <c r="AS17" s="32" t="n">
        <f aca="false">IF(AND(ISNUMBER(AS16),ISNUMBER(AP16)),IFERROR(AS16/AP16-1,""),"")</f>
        <v>0.102871067654561</v>
      </c>
      <c r="AT17" s="32" t="n">
        <f aca="false">IF(AND(ISNUMBER(AT16),ISNUMBER(AQ16)),IFERROR(AT16/AQ16-1,""),"")</f>
        <v>0.120846206302255</v>
      </c>
      <c r="AU17" s="32" t="n">
        <f aca="false">IF(AND(ISNUMBER(AU16),ISNUMBER(AR16)),IFERROR(AU16/AR16-1,""),"")</f>
        <v>0.112501365649996</v>
      </c>
      <c r="AV17" s="32" t="n">
        <f aca="false">IF(AND(ISNUMBER(AV16),ISNUMBER(AS16)),IFERROR(AV16/AS16-1,""),"")</f>
        <v>0.146678689510069</v>
      </c>
      <c r="AW17" s="33" t="n">
        <f aca="false">IF(AND(ISNUMBER(AW16),ISNUMBER(AT16)),IFERROR(AW16/AT16-1,""),"")</f>
        <v>0.0999732223204715</v>
      </c>
      <c r="AX17" s="33" t="n">
        <f aca="false">IF(AND(ISNUMBER(AX16),ISNUMBER(AU16)),IFERROR(AX16/AU16-1,""),"")</f>
        <v>0.121468235254364</v>
      </c>
      <c r="AY17" s="33" t="n">
        <f aca="false">IF(AND(ISNUMBER(AY16),ISNUMBER(AX16)),IFERROR(AY16/AX16-1,""),"")</f>
        <v>0.121236559139785</v>
      </c>
      <c r="AZ17" s="33" t="n">
        <f aca="false">IF(AND(ISNUMBER(AZ16),ISNUMBER(AY16)),IFERROR(AZ16/AY16-1,""),"")</f>
        <v>0.0964261168384879</v>
      </c>
      <c r="BA17" s="33" t="n">
        <f aca="false">IF(AND(ISNUMBER(BA16),ISNUMBER(AZ16)),IFERROR(BA16/AZ16-1,""),"")</f>
        <v>0.0900498338870432</v>
      </c>
      <c r="BB17" s="33" t="n">
        <f aca="false">IF(AND(ISNUMBER(BB16),ISNUMBER(BA16)),IFERROR(BB16/BA16-1,""),"")</f>
        <v>0.0837620578778135</v>
      </c>
      <c r="BK17" s="24" t="s">
        <v>86</v>
      </c>
      <c r="BL17" s="38" t="n">
        <f aca="false">BM17+$BL$15</f>
        <v>0.08</v>
      </c>
      <c r="BM17" s="25" t="n">
        <v>0.06</v>
      </c>
      <c r="BN17" s="38" t="n">
        <f aca="false">BM17+$BN$15</f>
        <v>0.03</v>
      </c>
    </row>
    <row r="18" customFormat="false" ht="15" hidden="false" customHeight="true" outlineLevel="0" collapsed="false">
      <c r="B18" s="31" t="s">
        <v>87</v>
      </c>
      <c r="AU18" s="39" t="n">
        <v>0.129</v>
      </c>
      <c r="AV18" s="39" t="n">
        <v>0.193</v>
      </c>
      <c r="AW18" s="33" t="n">
        <f aca="false">AW69+AW71</f>
        <v>0.0999732223204715</v>
      </c>
      <c r="AX18" s="33" t="n">
        <f aca="false">IFERROR((AS16*(1+AV18)+AT16*(1+AW18))/AU16-1,"")</f>
        <v>0.142786449759189</v>
      </c>
      <c r="BC18" s="18" t="s">
        <v>88</v>
      </c>
      <c r="BK18" s="24" t="s">
        <v>89</v>
      </c>
      <c r="BL18" s="38" t="n">
        <f aca="false">BM18+$BL$15</f>
        <v>0.075</v>
      </c>
      <c r="BM18" s="25" t="n">
        <v>0.055</v>
      </c>
      <c r="BN18" s="38" t="n">
        <f aca="false">BM18+$BN$15</f>
        <v>0.025</v>
      </c>
    </row>
    <row r="19" customFormat="false" ht="15" hidden="false" customHeight="true" outlineLevel="0" collapsed="false">
      <c r="B19" s="40" t="s">
        <v>90</v>
      </c>
      <c r="F19" s="39" t="n">
        <v>0.197</v>
      </c>
      <c r="H19" s="39" t="n">
        <v>0.093</v>
      </c>
      <c r="I19" s="39" t="n">
        <v>0.106</v>
      </c>
      <c r="K19" s="39" t="n">
        <v>0.073</v>
      </c>
      <c r="L19" s="39" t="n">
        <v>0.056</v>
      </c>
      <c r="N19" s="39" t="n">
        <v>0.055</v>
      </c>
      <c r="O19" s="39" t="n">
        <v>0.051</v>
      </c>
      <c r="Q19" s="39" t="n">
        <v>0.054</v>
      </c>
      <c r="R19" s="39" t="n">
        <v>0.037</v>
      </c>
      <c r="T19" s="39" t="n">
        <v>0.039</v>
      </c>
      <c r="U19" s="39" t="n">
        <v>0.04</v>
      </c>
      <c r="W19" s="39" t="n">
        <v>0.044</v>
      </c>
      <c r="X19" s="39" t="n">
        <v>0.038</v>
      </c>
      <c r="Z19" s="39" t="n">
        <v>0.035</v>
      </c>
      <c r="AA19" s="39" t="n">
        <v>0.037</v>
      </c>
      <c r="AC19" s="39" t="n">
        <v>0.042</v>
      </c>
      <c r="BK19" s="24" t="s">
        <v>91</v>
      </c>
      <c r="BL19" s="38" t="n">
        <f aca="false">BM19+$BL$15</f>
        <v>0.07</v>
      </c>
      <c r="BM19" s="25" t="n">
        <v>0.05</v>
      </c>
      <c r="BN19" s="38" t="n">
        <f aca="false">BM19+$BN$15</f>
        <v>0.02</v>
      </c>
    </row>
    <row r="20" customFormat="false" ht="15" hidden="false" customHeight="true" outlineLevel="0" collapsed="false">
      <c r="B20" s="31" t="s">
        <v>92</v>
      </c>
      <c r="C20" s="32" t="n">
        <f aca="false">IF(AND(ISNUMBER(C16),ISNUMBER(C111)),IFERROR(C16/C111,""),"")</f>
        <v>0.174742608859923</v>
      </c>
      <c r="D20" s="32" t="n">
        <f aca="false">IF(AND(ISNUMBER(D16),ISNUMBER(D111)),IFERROR(D16/D111,""),"")</f>
        <v>0.265585125774699</v>
      </c>
      <c r="E20" s="32" t="n">
        <f aca="false">IF(AND(ISNUMBER(E16),ISNUMBER(E111)),IFERROR(E16/E111,""),"")</f>
        <v>0.221983637974736</v>
      </c>
      <c r="F20" s="32" t="n">
        <f aca="false">IF(AND(ISNUMBER(F16),ISNUMBER(F111)),IFERROR(F16/F111,""),"")</f>
        <v>0.22480270408201</v>
      </c>
      <c r="G20" s="32" t="n">
        <f aca="false">IF(AND(ISNUMBER(G16),ISNUMBER(G111)),IFERROR(G16/G111,""),"")</f>
        <v>0.323033902774116</v>
      </c>
      <c r="H20" s="32" t="n">
        <f aca="false">IF(AND(ISNUMBER(H16),ISNUMBER(H111)),IFERROR(H16/H111,""),"")</f>
        <v>0.275485910475761</v>
      </c>
      <c r="I20" s="32" t="n">
        <f aca="false">IF(AND(ISNUMBER(I16),ISNUMBER(I111)),IFERROR(I16/I111,""),"")</f>
        <v>0.322051861347684</v>
      </c>
      <c r="J20" s="32" t="n">
        <f aca="false">IF(AND(ISNUMBER(J16),ISNUMBER(J111)),IFERROR(J16/J111,""),"")</f>
        <v>0.392302281299649</v>
      </c>
      <c r="K20" s="32" t="n">
        <f aca="false">IF(AND(ISNUMBER(K16),ISNUMBER(K111)),IFERROR(K16/K111,""),"")</f>
        <v>0.357975688414785</v>
      </c>
      <c r="L20" s="32" t="n">
        <f aca="false">IF(AND(ISNUMBER(L16),ISNUMBER(L111)),IFERROR(L16/L111,""),"")</f>
        <v>0.354642200999937</v>
      </c>
      <c r="M20" s="32" t="n">
        <f aca="false">IF(AND(ISNUMBER(M16),ISNUMBER(M111)),IFERROR(M16/M111,""),"")</f>
        <v>0.478272940288065</v>
      </c>
      <c r="N20" s="32" t="n">
        <f aca="false">IF(AND(ISNUMBER(N16),ISNUMBER(N111)),IFERROR(N16/N111,""),"")</f>
        <v>0.417202149987778</v>
      </c>
      <c r="O20" s="32" t="n">
        <f aca="false">IF(AND(ISNUMBER(O16),ISNUMBER(O111)),IFERROR(O16/O111,""),"")</f>
        <v>0.423137591597947</v>
      </c>
      <c r="P20" s="32" t="n">
        <f aca="false">IF(AND(ISNUMBER(P16),ISNUMBER(P111)),IFERROR(P16/P111,""),"")</f>
        <v>0.506998910293286</v>
      </c>
      <c r="Q20" s="32" t="n">
        <f aca="false">IF(AND(ISNUMBER(Q16),ISNUMBER(Q111)),IFERROR(Q16/Q111,""),"")</f>
        <v>0.466433740350742</v>
      </c>
      <c r="R20" s="32" t="n">
        <f aca="false">IF(AND(ISNUMBER(R16),ISNUMBER(R111)),IFERROR(R16/R111,""),"")</f>
        <v>0.452852074235808</v>
      </c>
      <c r="S20" s="32" t="n">
        <f aca="false">IF(AND(ISNUMBER(S16),ISNUMBER(S111)),IFERROR(S16/S111,""),"")</f>
        <v>0.536418344054783</v>
      </c>
      <c r="T20" s="32" t="n">
        <f aca="false">IF(AND(ISNUMBER(T16),ISNUMBER(T111)),IFERROR(T16/T111,""),"")</f>
        <v>0.49612804323082</v>
      </c>
      <c r="U20" s="32" t="n">
        <f aca="false">IF(AND(ISNUMBER(U16),ISNUMBER(U111)),IFERROR(U16/U111,""),"")</f>
        <v>0.497770489916861</v>
      </c>
      <c r="V20" s="32" t="n">
        <f aca="false">IF(AND(ISNUMBER(V16),ISNUMBER(V111)),IFERROR(V16/V111,""),"")</f>
        <v>0.574203439848757</v>
      </c>
      <c r="W20" s="32" t="n">
        <f aca="false">IF(AND(ISNUMBER(W16),ISNUMBER(W111)),IFERROR(W16/W111,""),"")</f>
        <v>0.537270811861684</v>
      </c>
      <c r="X20" s="32" t="n">
        <f aca="false">IF(AND(ISNUMBER(X16),ISNUMBER(X111)),IFERROR(X16/X111,""),"")</f>
        <v>0.496946038013106</v>
      </c>
      <c r="Y20" s="32" t="n">
        <f aca="false">IF(AND(ISNUMBER(Y16),ISNUMBER(Y111)),IFERROR(Y16/Y111,""),"")</f>
        <v>0.572625304222073</v>
      </c>
      <c r="Z20" s="32" t="n">
        <f aca="false">IF(AND(ISNUMBER(Z16),ISNUMBER(Z111)),IFERROR(Z16/Z111,""),"")</f>
        <v>0.535745285680186</v>
      </c>
      <c r="AA20" s="32" t="n">
        <f aca="false">IF(AND(ISNUMBER(AA16),ISNUMBER(AA111)),IFERROR(AA16/AA111,""),"")</f>
        <v>0.514548081245518</v>
      </c>
      <c r="AB20" s="32" t="n">
        <f aca="false">IF(AND(ISNUMBER(AB16),ISNUMBER(AB111)),IFERROR(AB16/AB111,""),"")</f>
        <v>0.598989087966417</v>
      </c>
      <c r="AC20" s="32" t="n">
        <f aca="false">IF(AND(ISNUMBER(AC16),ISNUMBER(AC111)),IFERROR(AC16/AC111,""),"")</f>
        <v>0.558500792252218</v>
      </c>
      <c r="AD20" s="32" t="n">
        <f aca="false">IF(AND(ISNUMBER(AD16),ISNUMBER(AD111)),IFERROR(AD16/AD111,""),"")</f>
        <v>0.499734331661329</v>
      </c>
      <c r="AE20" s="32" t="n">
        <f aca="false">IF(AND(ISNUMBER(AE16),ISNUMBER(AE111)),IFERROR(AE16/AE111,""),"")</f>
        <v>0.490618821376929</v>
      </c>
      <c r="AF20" s="32" t="n">
        <f aca="false">IF(AND(ISNUMBER(AF16),ISNUMBER(AF111)),IFERROR(AF16/AF111,""),"")</f>
        <v>0.494056208215613</v>
      </c>
      <c r="AG20" s="32" t="n">
        <f aca="false">IF(AND(ISNUMBER(AG16),ISNUMBER(AG111)),IFERROR(AG16/AG111,""),"")</f>
        <v>0.52736451600566</v>
      </c>
      <c r="AH20" s="32" t="n">
        <f aca="false">IF(AND(ISNUMBER(AH16),ISNUMBER(AH111)),IFERROR(AH16/AH111,""),"")</f>
        <v>0.63840216859305</v>
      </c>
      <c r="AI20" s="32" t="n">
        <f aca="false">IF(AND(ISNUMBER(AI16),ISNUMBER(AI111)),IFERROR(AI16/AI111,""),"")</f>
        <v>0.58948241944792</v>
      </c>
      <c r="AJ20" s="32" t="n">
        <f aca="false">IF(AND(ISNUMBER(AJ16),ISNUMBER(AJ111)),IFERROR(AJ16/AJ111,""),"")</f>
        <v>0.585821353678883</v>
      </c>
      <c r="AK20" s="32" t="n">
        <f aca="false">IF(AND(ISNUMBER(AK16),ISNUMBER(AK111)),IFERROR(AK16/AK111,""),"")</f>
        <v>0.654296313480096</v>
      </c>
      <c r="AL20" s="32" t="n">
        <f aca="false">IF(AND(ISNUMBER(AL16),ISNUMBER(AL111)),IFERROR(AL16/AL111,""),"")</f>
        <v>0.623371765821326</v>
      </c>
      <c r="AM20" s="32" t="n">
        <f aca="false">IF(AND(ISNUMBER(AM16),ISNUMBER(AM111)),IFERROR(AM16/AM111,""),"")</f>
        <v>0.633611671832659</v>
      </c>
      <c r="AN20" s="32" t="n">
        <f aca="false">IF(AND(ISNUMBER(AN16),ISNUMBER(AN111)),IFERROR(AN16/AN111,""),"")</f>
        <v>0.675370038859538</v>
      </c>
      <c r="AO20" s="32" t="n">
        <f aca="false">IF(AND(ISNUMBER(AO16),ISNUMBER(AO111)),IFERROR(AO16/AO111,""),"")</f>
        <v>0.655435221428446</v>
      </c>
      <c r="AP20" s="32" t="n">
        <f aca="false">IF(AND(ISNUMBER(AP16),ISNUMBER(AP111)),IFERROR(AP16/AP111,""),"")</f>
        <v>0.636713702466077</v>
      </c>
      <c r="AQ20" s="32" t="n">
        <f aca="false">IF(AND(ISNUMBER(AQ16),ISNUMBER(AQ111)),IFERROR(AQ16/AQ111,""),"")</f>
        <v>0.693227315702912</v>
      </c>
      <c r="AR20" s="32" t="n">
        <f aca="false">IF(AND(ISNUMBER(AR16),ISNUMBER(AR111)),IFERROR(AR16/AR111,""),"")</f>
        <v>0.665793013906487</v>
      </c>
      <c r="AS20" s="32" t="n">
        <f aca="false">IF(AND(ISNUMBER(AS16),ISNUMBER(AS111)),IFERROR(AS16/AS111,""),"")</f>
        <v>0.63706286040036</v>
      </c>
      <c r="AT20" s="32" t="n">
        <f aca="false">IF(AND(ISNUMBER(AT16),ISNUMBER(AT111)),IFERROR(AT16/AT111,""),"")</f>
        <v>0.706218154890193</v>
      </c>
      <c r="AU20" s="32" t="n">
        <f aca="false">IF(AND(ISNUMBER(AU16),ISNUMBER(AU111)),IFERROR(AU16/AU111,""),"")</f>
        <v>0.67261502708546</v>
      </c>
      <c r="AV20" s="32" t="n">
        <f aca="false">IF(AND(ISNUMBER(AV16),ISNUMBER(AV111)),IFERROR(AV16/AV111,""),"")</f>
        <v>0.666877054113164</v>
      </c>
      <c r="AW20" s="33" t="n">
        <f aca="false">IF(AND(ISNUMBER(AW16),ISNUMBER(AW111)),IFERROR(AW16/AW111,""),"")</f>
        <v>0.720255762777411</v>
      </c>
      <c r="AX20" s="33" t="n">
        <f aca="false">IF(AND(ISNUMBER(AX16),ISNUMBER(AX111)),IFERROR(AX16/AX111,""),"")</f>
        <v>0.694111506786054</v>
      </c>
      <c r="AY20" s="33" t="n">
        <f aca="false">IF(AND(ISNUMBER(AY16),ISNUMBER(AY111)),IFERROR(AY16/AY111,""),"")</f>
        <v>0.705904460561823</v>
      </c>
      <c r="AZ20" s="33" t="n">
        <f aca="false">IF(AND(ISNUMBER(AZ16),ISNUMBER(AZ111)),IFERROR(AZ16/AZ111,""),"")</f>
        <v>0.714805885738224</v>
      </c>
      <c r="BA20" s="33" t="n">
        <f aca="false">IF(AND(ISNUMBER(BA16),ISNUMBER(BA111)),IFERROR(BA16/BA111,""),"")</f>
        <v>0.723331482090425</v>
      </c>
      <c r="BB20" s="33" t="n">
        <f aca="false">IF(AND(ISNUMBER(BB16),ISNUMBER(BB111)),IFERROR(BB16/BB111,""),"")</f>
        <v>0.731503702399014</v>
      </c>
    </row>
    <row r="21" customFormat="false" ht="15" hidden="false" customHeight="true" outlineLevel="0" collapsed="false">
      <c r="B21" s="20" t="s">
        <v>93</v>
      </c>
      <c r="AE21" s="21" t="n">
        <f aca="false">AF21</f>
        <v>31</v>
      </c>
      <c r="AF21" s="41" t="n">
        <v>31</v>
      </c>
      <c r="AG21" s="41" t="n">
        <v>41</v>
      </c>
      <c r="AH21" s="21" t="n">
        <f aca="false">AI21</f>
        <v>43</v>
      </c>
      <c r="AI21" s="41" t="n">
        <v>43</v>
      </c>
      <c r="AJ21" s="41" t="n">
        <v>42</v>
      </c>
      <c r="AK21" s="21" t="n">
        <f aca="false">AL21</f>
        <v>42</v>
      </c>
      <c r="AL21" s="41" t="n">
        <v>42</v>
      </c>
      <c r="AM21" s="41" t="n">
        <v>42</v>
      </c>
      <c r="AN21" s="21" t="n">
        <f aca="false">AO21</f>
        <v>49</v>
      </c>
      <c r="AO21" s="41" t="n">
        <v>49</v>
      </c>
      <c r="AP21" s="41" t="n">
        <v>49</v>
      </c>
      <c r="AQ21" s="21" t="n">
        <f aca="false">AR21</f>
        <v>50</v>
      </c>
      <c r="AR21" s="41" t="n">
        <v>50</v>
      </c>
      <c r="AS21" s="41" t="n">
        <v>51</v>
      </c>
      <c r="AT21" s="21" t="n">
        <f aca="false">AU21</f>
        <v>57</v>
      </c>
      <c r="AU21" s="41" t="n">
        <v>57</v>
      </c>
      <c r="AV21" s="41" t="n">
        <v>59</v>
      </c>
      <c r="BK21" s="10" t="s">
        <v>94</v>
      </c>
      <c r="BL21" s="25" t="n">
        <v>0.02</v>
      </c>
      <c r="BM21" s="25" t="s">
        <v>80</v>
      </c>
      <c r="BN21" s="25" t="n">
        <v>-0.03</v>
      </c>
      <c r="BO21" s="4" t="s">
        <v>95</v>
      </c>
    </row>
    <row r="22" customFormat="false" ht="15" hidden="false" customHeight="true" outlineLevel="0" collapsed="false">
      <c r="BK22" s="24" t="s">
        <v>84</v>
      </c>
      <c r="BL22" s="38" t="n">
        <f aca="false">BM22+$BL$21</f>
        <v>0.08</v>
      </c>
      <c r="BM22" s="25" t="n">
        <v>0.06</v>
      </c>
      <c r="BN22" s="38" t="n">
        <f aca="false">BM22+$BN$21</f>
        <v>0.03</v>
      </c>
    </row>
    <row r="23" customFormat="false" ht="15" hidden="false" customHeight="true" outlineLevel="0" collapsed="false">
      <c r="B23" s="12" t="s">
        <v>96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3" t="s">
        <v>97</v>
      </c>
      <c r="BK23" s="24" t="s">
        <v>86</v>
      </c>
      <c r="BL23" s="38" t="n">
        <f aca="false">BM23+$BL$21</f>
        <v>0.07</v>
      </c>
      <c r="BM23" s="25" t="n">
        <v>0.05</v>
      </c>
      <c r="BN23" s="38" t="n">
        <f aca="false">BM23+$BN$21</f>
        <v>0.02</v>
      </c>
    </row>
    <row r="24" customFormat="false" ht="15" hidden="false" customHeight="true" outlineLevel="0" collapsed="false">
      <c r="B24" s="20" t="s">
        <v>98</v>
      </c>
      <c r="C24" s="41" t="n">
        <v>34</v>
      </c>
      <c r="D24" s="21" t="n">
        <f aca="false">E24</f>
        <v>39</v>
      </c>
      <c r="E24" s="41" t="n">
        <v>39</v>
      </c>
      <c r="F24" s="41" t="n">
        <v>40</v>
      </c>
      <c r="G24" s="21" t="n">
        <f aca="false">H24</f>
        <v>35</v>
      </c>
      <c r="H24" s="41" t="n">
        <v>35</v>
      </c>
      <c r="I24" s="41" t="n">
        <v>38</v>
      </c>
      <c r="J24" s="21" t="n">
        <f aca="false">K24</f>
        <v>37</v>
      </c>
      <c r="K24" s="41" t="n">
        <v>37</v>
      </c>
      <c r="L24" s="41" t="n">
        <v>37</v>
      </c>
      <c r="M24" s="21" t="n">
        <f aca="false">N24</f>
        <v>34</v>
      </c>
      <c r="N24" s="41" t="n">
        <v>34</v>
      </c>
      <c r="O24" s="41" t="n">
        <v>36</v>
      </c>
      <c r="P24" s="21" t="n">
        <f aca="false">Q24</f>
        <v>36</v>
      </c>
      <c r="Q24" s="41" t="n">
        <v>36</v>
      </c>
      <c r="R24" s="41" t="n">
        <v>36</v>
      </c>
      <c r="S24" s="21" t="n">
        <f aca="false">T24</f>
        <v>36</v>
      </c>
      <c r="T24" s="41" t="n">
        <v>36</v>
      </c>
      <c r="U24" s="41" t="n">
        <v>32</v>
      </c>
      <c r="V24" s="21" t="n">
        <f aca="false">W24</f>
        <v>30</v>
      </c>
      <c r="W24" s="41" t="n">
        <v>30</v>
      </c>
      <c r="X24" s="41" t="n">
        <v>29</v>
      </c>
      <c r="Y24" s="21" t="n">
        <f aca="false">Z24</f>
        <v>27</v>
      </c>
      <c r="Z24" s="41" t="n">
        <v>27</v>
      </c>
      <c r="AA24" s="41" t="n">
        <v>28</v>
      </c>
      <c r="AB24" s="21" t="n">
        <f aca="false">AC24</f>
        <v>30</v>
      </c>
      <c r="AC24" s="41" t="n">
        <v>30</v>
      </c>
      <c r="AD24" s="41" t="n">
        <v>30</v>
      </c>
      <c r="AE24" s="21" t="n">
        <f aca="false">AF24</f>
        <v>31</v>
      </c>
      <c r="AF24" s="41" t="n">
        <v>31</v>
      </c>
      <c r="AG24" s="41" t="n">
        <v>31</v>
      </c>
      <c r="AH24" s="21" t="n">
        <f aca="false">AI24</f>
        <v>30</v>
      </c>
      <c r="AI24" s="41" t="n">
        <v>30</v>
      </c>
      <c r="AJ24" s="41" t="n">
        <v>30</v>
      </c>
      <c r="AK24" s="21" t="n">
        <f aca="false">AL24</f>
        <v>30</v>
      </c>
      <c r="AL24" s="41" t="n">
        <v>30</v>
      </c>
      <c r="AM24" s="41" t="n">
        <v>27</v>
      </c>
      <c r="AN24" s="21" t="n">
        <f aca="false">AO24</f>
        <v>27</v>
      </c>
      <c r="AO24" s="41" t="n">
        <v>27</v>
      </c>
      <c r="AP24" s="41" t="n">
        <v>27</v>
      </c>
      <c r="AQ24" s="21" t="n">
        <f aca="false">AR24</f>
        <v>27</v>
      </c>
      <c r="AR24" s="41" t="n">
        <v>27</v>
      </c>
      <c r="AS24" s="41" t="n">
        <v>27</v>
      </c>
      <c r="AT24" s="21" t="n">
        <f aca="false">AU24</f>
        <v>28</v>
      </c>
      <c r="AU24" s="41" t="n">
        <v>28</v>
      </c>
      <c r="AV24" s="41" t="n">
        <v>28</v>
      </c>
      <c r="BK24" s="24" t="s">
        <v>89</v>
      </c>
      <c r="BL24" s="38" t="n">
        <f aca="false">BM24+$BL$21</f>
        <v>0.065</v>
      </c>
      <c r="BM24" s="25" t="n">
        <v>0.045</v>
      </c>
      <c r="BN24" s="38" t="n">
        <f aca="false">BM24+$BN$21</f>
        <v>0.015</v>
      </c>
    </row>
    <row r="25" customFormat="false" ht="15" hidden="false" customHeight="true" outlineLevel="0" collapsed="false">
      <c r="B25" s="14" t="s">
        <v>99</v>
      </c>
      <c r="C25" s="34" t="n">
        <v>96.107</v>
      </c>
      <c r="D25" s="35" t="n">
        <f aca="false">E25-C25</f>
        <v>92.667</v>
      </c>
      <c r="E25" s="34" t="n">
        <v>188.774</v>
      </c>
      <c r="F25" s="34" t="n">
        <v>104.809</v>
      </c>
      <c r="G25" s="35" t="n">
        <f aca="false">H25-F25</f>
        <v>97.563</v>
      </c>
      <c r="H25" s="34" t="n">
        <v>202.372</v>
      </c>
      <c r="I25" s="34" t="n">
        <v>106.827</v>
      </c>
      <c r="J25" s="35" t="n">
        <f aca="false">K25-I25</f>
        <v>100.213</v>
      </c>
      <c r="K25" s="34" t="n">
        <v>207.04</v>
      </c>
      <c r="L25" s="34" t="n">
        <v>113.461</v>
      </c>
      <c r="M25" s="35" t="n">
        <f aca="false">N25-L25</f>
        <v>93.962</v>
      </c>
      <c r="N25" s="34" t="n">
        <v>207.423</v>
      </c>
      <c r="O25" s="34" t="n">
        <v>115.564</v>
      </c>
      <c r="P25" s="35" t="n">
        <f aca="false">Q25-O25</f>
        <v>105.413</v>
      </c>
      <c r="Q25" s="34" t="n">
        <v>220.977</v>
      </c>
      <c r="R25" s="34" t="n">
        <v>120.285</v>
      </c>
      <c r="S25" s="35" t="n">
        <f aca="false">T25-R25</f>
        <v>109.466</v>
      </c>
      <c r="T25" s="34" t="n">
        <v>229.751</v>
      </c>
      <c r="U25" s="34" t="n">
        <v>122.206</v>
      </c>
      <c r="V25" s="35" t="n">
        <f aca="false">W25-U25</f>
        <v>110.811</v>
      </c>
      <c r="W25" s="34" t="n">
        <v>233.017</v>
      </c>
      <c r="X25" s="34" t="n">
        <v>135.566</v>
      </c>
      <c r="Y25" s="35" t="n">
        <f aca="false">Z25-X25</f>
        <v>121.165</v>
      </c>
      <c r="Z25" s="34" t="n">
        <v>256.731</v>
      </c>
      <c r="AA25" s="34" t="n">
        <v>141.467</v>
      </c>
      <c r="AB25" s="35" t="n">
        <f aca="false">AC25-AA25</f>
        <v>126.859</v>
      </c>
      <c r="AC25" s="34" t="n">
        <v>268.326</v>
      </c>
      <c r="AD25" s="34" t="n">
        <v>102.626</v>
      </c>
      <c r="AE25" s="35" t="n">
        <f aca="false">AF25-AD25</f>
        <v>172.614</v>
      </c>
      <c r="AF25" s="34" t="n">
        <v>275.24</v>
      </c>
      <c r="AG25" s="34" t="n">
        <v>148.296</v>
      </c>
      <c r="AH25" s="35" t="n">
        <f aca="false">AI25-AG25</f>
        <v>144.066</v>
      </c>
      <c r="AI25" s="34" t="n">
        <v>292.362</v>
      </c>
      <c r="AJ25" s="34" t="n">
        <v>172.032</v>
      </c>
      <c r="AK25" s="35" t="n">
        <f aca="false">AL25-AJ25</f>
        <v>174.356</v>
      </c>
      <c r="AL25" s="34" t="n">
        <v>346.388</v>
      </c>
      <c r="AM25" s="34" t="n">
        <v>199.294</v>
      </c>
      <c r="AN25" s="35" t="n">
        <f aca="false">AO25-AM25</f>
        <v>193.31</v>
      </c>
      <c r="AO25" s="34" t="n">
        <v>392.604</v>
      </c>
      <c r="AP25" s="34" t="n">
        <v>225.478</v>
      </c>
      <c r="AQ25" s="35" t="n">
        <f aca="false">AR25-AP25</f>
        <v>201.819</v>
      </c>
      <c r="AR25" s="34" t="n">
        <v>427.297</v>
      </c>
      <c r="AS25" s="34" t="n">
        <v>248.298</v>
      </c>
      <c r="AT25" s="35" t="n">
        <f aca="false">AU25-AS25</f>
        <v>212.644</v>
      </c>
      <c r="AU25" s="34" t="n">
        <v>460.942</v>
      </c>
      <c r="AV25" s="34" t="n">
        <v>249.646</v>
      </c>
      <c r="AW25" s="36" t="n">
        <f aca="false">AT25*(1+AW27+AW66)</f>
        <v>218.385388</v>
      </c>
      <c r="AX25" s="36" t="n">
        <f aca="false">AV25+AW25</f>
        <v>468.031388</v>
      </c>
      <c r="AY25" s="36" t="n">
        <f aca="false">AX25*(1+AY26)</f>
        <v>496.11327128</v>
      </c>
      <c r="AZ25" s="36" t="n">
        <f aca="false">AY25*(1+AZ26)</f>
        <v>520.918934844</v>
      </c>
      <c r="BA25" s="36" t="n">
        <f aca="false">AZ25*(1+BA26)</f>
        <v>544.36028691198</v>
      </c>
      <c r="BB25" s="36" t="n">
        <f aca="false">BA25*(1+BB26)</f>
        <v>566.134698388459</v>
      </c>
      <c r="BC25" s="18" t="s">
        <v>100</v>
      </c>
      <c r="BE25" s="37" t="n">
        <f aca="false">IFERROR(IF(AND(BB25&gt;0,AU25&gt;0),(BB25/AU25)^(1/5)-1,"n/m"),"n/m")</f>
        <v>0.0419687601870851</v>
      </c>
      <c r="BF25" s="37" t="n">
        <f aca="false">IFERROR(IF(AND(AU25&gt;0,AF25&gt;0),(AU25/AF25)^(1/5)-1,"n/m"),"n/m")</f>
        <v>0.108630816688106</v>
      </c>
      <c r="BG25" s="37" t="n">
        <f aca="false">IFERROR(IF(AND(AU25&gt;0,Q25&gt;0),(AU25/Q25)^(1/10)-1,"n/m"),"n/m")</f>
        <v>0.0762915257904382</v>
      </c>
      <c r="BH25" s="37" t="n">
        <f aca="false">IFERROR(IF(AND(AU25&gt;0,E25&gt;0),(AU25/E25)^(1/14)-1,"n/m"),"n/m")</f>
        <v>0.0658427864056397</v>
      </c>
      <c r="BK25" s="24" t="s">
        <v>91</v>
      </c>
      <c r="BL25" s="38" t="n">
        <f aca="false">BM25+$BL$21</f>
        <v>0.06</v>
      </c>
      <c r="BM25" s="25" t="n">
        <v>0.04</v>
      </c>
      <c r="BN25" s="38" t="n">
        <f aca="false">BM25+$BN$21</f>
        <v>0.01</v>
      </c>
    </row>
    <row r="26" customFormat="false" ht="15" hidden="false" customHeight="true" outlineLevel="0" collapsed="false">
      <c r="B26" s="31" t="s">
        <v>101</v>
      </c>
      <c r="F26" s="32" t="n">
        <f aca="false">IF(AND(ISNUMBER(F25),ISNUMBER(C25)),IFERROR(F25/C25-1,""),"")</f>
        <v>0.0905449134818483</v>
      </c>
      <c r="G26" s="32" t="n">
        <f aca="false">IF(AND(ISNUMBER(G25),ISNUMBER(D25)),IFERROR(G25/D25-1,""),"")</f>
        <v>0.0528343423225097</v>
      </c>
      <c r="H26" s="32" t="n">
        <f aca="false">IF(AND(ISNUMBER(H25),ISNUMBER(E25)),IFERROR(H25/E25-1,""),"")</f>
        <v>0.072033224914448</v>
      </c>
      <c r="I26" s="32" t="n">
        <f aca="false">IF(AND(ISNUMBER(I25),ISNUMBER(F25)),IFERROR(I25/F25-1,""),"")</f>
        <v>0.0192540716923164</v>
      </c>
      <c r="J26" s="32" t="n">
        <f aca="false">IF(AND(ISNUMBER(J25),ISNUMBER(G25)),IFERROR(J25/G25-1,""),"")</f>
        <v>0.0271619363898197</v>
      </c>
      <c r="K26" s="32" t="n">
        <f aca="false">IF(AND(ISNUMBER(K25),ISNUMBER(H25)),IFERROR(K25/H25-1,""),"")</f>
        <v>0.0230664321151146</v>
      </c>
      <c r="L26" s="32" t="n">
        <f aca="false">IF(AND(ISNUMBER(L25),ISNUMBER(I25)),IFERROR(L25/I25-1,""),"")</f>
        <v>0.062100405328241</v>
      </c>
      <c r="M26" s="32" t="n">
        <f aca="false">IF(AND(ISNUMBER(M25),ISNUMBER(J25)),IFERROR(M25/J25-1,""),"")</f>
        <v>-0.0623771366988314</v>
      </c>
      <c r="N26" s="32" t="n">
        <f aca="false">IF(AND(ISNUMBER(N25),ISNUMBER(K25)),IFERROR(N25/K25-1,""),"")</f>
        <v>0.0018498840803709</v>
      </c>
      <c r="O26" s="32" t="n">
        <f aca="false">IF(AND(ISNUMBER(O25),ISNUMBER(L25)),IFERROR(O25/L25-1,""),"")</f>
        <v>0.0185350032169644</v>
      </c>
      <c r="P26" s="32" t="n">
        <f aca="false">IF(AND(ISNUMBER(P25),ISNUMBER(M25)),IFERROR(P25/M25-1,""),"")</f>
        <v>0.121868414891126</v>
      </c>
      <c r="Q26" s="32" t="n">
        <f aca="false">IF(AND(ISNUMBER(Q25),ISNUMBER(N25)),IFERROR(Q25/N25-1,""),"")</f>
        <v>0.0653447303336661</v>
      </c>
      <c r="R26" s="32" t="n">
        <f aca="false">IF(AND(ISNUMBER(R25),ISNUMBER(O25)),IFERROR(R25/O25-1,""),"")</f>
        <v>0.0408518223668271</v>
      </c>
      <c r="S26" s="32" t="n">
        <f aca="false">IF(AND(ISNUMBER(S25),ISNUMBER(P25)),IFERROR(S25/P25-1,""),"")</f>
        <v>0.038448768178498</v>
      </c>
      <c r="T26" s="32" t="n">
        <f aca="false">IF(AND(ISNUMBER(T25),ISNUMBER(Q25)),IFERROR(T25/Q25-1,""),"")</f>
        <v>0.0397054897115989</v>
      </c>
      <c r="U26" s="32" t="n">
        <f aca="false">IF(AND(ISNUMBER(U25),ISNUMBER(R25)),IFERROR(U25/R25-1,""),"")</f>
        <v>0.0159704036247246</v>
      </c>
      <c r="V26" s="32" t="n">
        <f aca="false">IF(AND(ISNUMBER(V25),ISNUMBER(S25)),IFERROR(V25/S25-1,""),"")</f>
        <v>0.0122869201395865</v>
      </c>
      <c r="W26" s="32" t="n">
        <f aca="false">IF(AND(ISNUMBER(W25),ISNUMBER(T25)),IFERROR(W25/T25-1,""),"")</f>
        <v>0.0142153897045061</v>
      </c>
      <c r="X26" s="32" t="n">
        <f aca="false">IF(AND(ISNUMBER(X25),ISNUMBER(U25)),IFERROR(X25/U25-1,""),"")</f>
        <v>0.109323601132514</v>
      </c>
      <c r="Y26" s="32" t="n">
        <f aca="false">IF(AND(ISNUMBER(Y25),ISNUMBER(V25)),IFERROR(Y25/V25-1,""),"")</f>
        <v>0.0934383770564293</v>
      </c>
      <c r="Z26" s="32" t="n">
        <f aca="false">IF(AND(ISNUMBER(Z25),ISNUMBER(W25)),IFERROR(Z25/W25-1,""),"")</f>
        <v>0.101769398799229</v>
      </c>
      <c r="AA26" s="32" t="n">
        <f aca="false">IF(AND(ISNUMBER(AA25),ISNUMBER(X25)),IFERROR(AA25/X25-1,""),"")</f>
        <v>0.0435286133691339</v>
      </c>
      <c r="AB26" s="32" t="n">
        <f aca="false">IF(AND(ISNUMBER(AB25),ISNUMBER(Y25)),IFERROR(AB25/Y25-1,""),"")</f>
        <v>0.0469937688276318</v>
      </c>
      <c r="AC26" s="32" t="n">
        <f aca="false">IF(AND(ISNUMBER(AC25),ISNUMBER(Z25)),IFERROR(AC25/Z25-1,""),"")</f>
        <v>0.0451640043469626</v>
      </c>
      <c r="AD26" s="32" t="n">
        <f aca="false">IF(AND(ISNUMBER(AD25),ISNUMBER(AA25)),IFERROR(AD25/AA25-1,""),"")</f>
        <v>-0.274558731011473</v>
      </c>
      <c r="AE26" s="32" t="n">
        <f aca="false">IF(AND(ISNUMBER(AE25),ISNUMBER(AB25)),IFERROR(AE25/AB25-1,""),"")</f>
        <v>0.360676026139257</v>
      </c>
      <c r="AF26" s="32" t="n">
        <f aca="false">IF(AND(ISNUMBER(AF25),ISNUMBER(AC25)),IFERROR(AF25/AC25-1,""),"")</f>
        <v>0.0257671638231107</v>
      </c>
      <c r="AG26" s="32" t="n">
        <f aca="false">IF(AND(ISNUMBER(AG25),ISNUMBER(AD25)),IFERROR(AG25/AD25-1,""),"")</f>
        <v>0.445013934090776</v>
      </c>
      <c r="AH26" s="32" t="n">
        <f aca="false">IF(AND(ISNUMBER(AH25),ISNUMBER(AE25)),IFERROR(AH25/AE25-1,""),"")</f>
        <v>-0.165386353366471</v>
      </c>
      <c r="AI26" s="32" t="n">
        <f aca="false">IF(AND(ISNUMBER(AI25),ISNUMBER(AF25)),IFERROR(AI25/AF25-1,""),"")</f>
        <v>0.0622075279755849</v>
      </c>
      <c r="AJ26" s="32" t="n">
        <f aca="false">IF(AND(ISNUMBER(AJ25),ISNUMBER(AG25)),IFERROR(AJ25/AG25-1,""),"")</f>
        <v>0.160058261854669</v>
      </c>
      <c r="AK26" s="32" t="n">
        <f aca="false">IF(AND(ISNUMBER(AK25),ISNUMBER(AH25)),IFERROR(AK25/AH25-1,""),"")</f>
        <v>0.210250857245984</v>
      </c>
      <c r="AL26" s="32" t="n">
        <f aca="false">IF(AND(ISNUMBER(AL25),ISNUMBER(AI25)),IFERROR(AL25/AI25-1,""),"")</f>
        <v>0.184791457166116</v>
      </c>
      <c r="AM26" s="32" t="n">
        <f aca="false">IF(AND(ISNUMBER(AM25),ISNUMBER(AJ25)),IFERROR(AM25/AJ25-1,""),"")</f>
        <v>0.158470517113095</v>
      </c>
      <c r="AN26" s="32" t="n">
        <f aca="false">IF(AND(ISNUMBER(AN25),ISNUMBER(AK25)),IFERROR(AN25/AK25-1,""),"")</f>
        <v>0.108708619147033</v>
      </c>
      <c r="AO26" s="32" t="n">
        <f aca="false">IF(AND(ISNUMBER(AO25),ISNUMBER(AL25)),IFERROR(AO25/AL25-1,""),"")</f>
        <v>0.133422635888079</v>
      </c>
      <c r="AP26" s="32" t="n">
        <f aca="false">IF(AND(ISNUMBER(AP25),ISNUMBER(AM25)),IFERROR(AP25/AM25-1,""),"")</f>
        <v>0.131383784760204</v>
      </c>
      <c r="AQ26" s="32" t="n">
        <f aca="false">IF(AND(ISNUMBER(AQ25),ISNUMBER(AN25)),IFERROR(AQ25/AN25-1,""),"")</f>
        <v>0.0440173814081013</v>
      </c>
      <c r="AR26" s="32" t="n">
        <f aca="false">IF(AND(ISNUMBER(AR25),ISNUMBER(AO25)),IFERROR(AR25/AO25-1,""),"")</f>
        <v>0.0883663946368352</v>
      </c>
      <c r="AS26" s="32" t="n">
        <f aca="false">IF(AND(ISNUMBER(AS25),ISNUMBER(AP25)),IFERROR(AS25/AP25-1,""),"")</f>
        <v>0.101207213120571</v>
      </c>
      <c r="AT26" s="32" t="n">
        <f aca="false">IF(AND(ISNUMBER(AT25),ISNUMBER(AQ25)),IFERROR(AT25/AQ25-1,""),"")</f>
        <v>0.0536371699394012</v>
      </c>
      <c r="AU26" s="32" t="n">
        <f aca="false">IF(AND(ISNUMBER(AU25),ISNUMBER(AR25)),IFERROR(AU25/AR25-1,""),"")</f>
        <v>0.0787391439677787</v>
      </c>
      <c r="AV26" s="32" t="n">
        <f aca="false">IF(AND(ISNUMBER(AV25),ISNUMBER(AS25)),IFERROR(AV25/AS25-1,""),"")</f>
        <v>0.00542896036214535</v>
      </c>
      <c r="AW26" s="33" t="n">
        <f aca="false">IF(AND(ISNUMBER(AW25),ISNUMBER(AT25)),IFERROR(AW25/AT25-1,""),"")</f>
        <v>0.0269999999999999</v>
      </c>
      <c r="AX26" s="33" t="n">
        <f aca="false">IF(AND(ISNUMBER(AX25),ISNUMBER(AU25)),IFERROR(AX25/AU25-1,""),"")</f>
        <v>0.0153802170338133</v>
      </c>
      <c r="AY26" s="33" t="n">
        <f aca="false">CHOOSE(MATCH($BC$2,{"Bull","Base","Bear"},0),$BL$22,$BM$22,$BN$22)</f>
        <v>0.06</v>
      </c>
      <c r="AZ26" s="33" t="n">
        <f aca="false">CHOOSE(MATCH($BC$2,{"Bull","Base","Bear"},0),$BL$23,$BM$23,$BN$23)</f>
        <v>0.05</v>
      </c>
      <c r="BA26" s="33" t="n">
        <f aca="false">CHOOSE(MATCH($BC$2,{"Bull","Base","Bear"},0),$BL$24,$BM$24,$BN$24)</f>
        <v>0.045</v>
      </c>
      <c r="BB26" s="33" t="n">
        <f aca="false">CHOOSE(MATCH($BC$2,{"Bull","Base","Bear"},0),$BL$25,$BM$25,$BN$25)</f>
        <v>0.04</v>
      </c>
      <c r="BC26" s="18" t="s">
        <v>102</v>
      </c>
    </row>
    <row r="27" customFormat="false" ht="15" hidden="false" customHeight="true" outlineLevel="0" collapsed="false">
      <c r="B27" s="31" t="s">
        <v>103</v>
      </c>
      <c r="AU27" s="39" t="n">
        <v>0.087</v>
      </c>
      <c r="AV27" s="39" t="n">
        <v>0.027</v>
      </c>
      <c r="AW27" s="33" t="n">
        <f aca="false">AW70</f>
        <v>0.027</v>
      </c>
      <c r="AX27" s="33" t="n">
        <f aca="false">IFERROR((AS25*(1+AV27)+AT25*(1+AW27))/AU25-1,"")</f>
        <v>0.0269999999999999</v>
      </c>
      <c r="BK27" s="10" t="s">
        <v>104</v>
      </c>
      <c r="BL27" s="25" t="n">
        <v>0.007</v>
      </c>
      <c r="BM27" s="25" t="s">
        <v>80</v>
      </c>
      <c r="BN27" s="25" t="n">
        <v>-0.01</v>
      </c>
      <c r="BO27" s="4" t="s">
        <v>105</v>
      </c>
    </row>
    <row r="28" customFormat="false" ht="15" hidden="false" customHeight="true" outlineLevel="0" collapsed="false">
      <c r="B28" s="20" t="s">
        <v>106</v>
      </c>
      <c r="C28" s="42" t="n">
        <v>14.864</v>
      </c>
      <c r="D28" s="26" t="n">
        <f aca="false">E28-C28</f>
        <v>12.292</v>
      </c>
      <c r="E28" s="42" t="n">
        <v>27.156</v>
      </c>
      <c r="F28" s="42" t="n">
        <v>21.809</v>
      </c>
      <c r="G28" s="26" t="n">
        <f aca="false">H28-F28</f>
        <v>10.873</v>
      </c>
      <c r="H28" s="42" t="n">
        <v>32.682</v>
      </c>
      <c r="I28" s="42" t="n">
        <v>20.6</v>
      </c>
      <c r="J28" s="26" t="n">
        <f aca="false">K28-I28</f>
        <v>12.48</v>
      </c>
      <c r="K28" s="42" t="n">
        <v>33.08</v>
      </c>
      <c r="L28" s="42" t="n">
        <v>21.833</v>
      </c>
      <c r="M28" s="26" t="n">
        <f aca="false">N28-L28</f>
        <v>9.04</v>
      </c>
      <c r="N28" s="42" t="n">
        <v>30.873</v>
      </c>
      <c r="O28" s="42" t="n">
        <v>21.96</v>
      </c>
      <c r="P28" s="26" t="n">
        <f aca="false">Q28-O28</f>
        <v>11.428</v>
      </c>
      <c r="Q28" s="42" t="n">
        <v>33.388</v>
      </c>
      <c r="R28" s="42" t="n">
        <v>22.221</v>
      </c>
      <c r="S28" s="26" t="n">
        <f aca="false">T28-R28</f>
        <v>11.955</v>
      </c>
      <c r="T28" s="42" t="n">
        <v>34.176</v>
      </c>
      <c r="U28" s="42" t="n">
        <v>17.6</v>
      </c>
      <c r="V28" s="26" t="n">
        <f aca="false">W28-U28</f>
        <v>7.705</v>
      </c>
      <c r="W28" s="42" t="n">
        <v>25.305</v>
      </c>
      <c r="X28" s="42" t="n">
        <v>19.778</v>
      </c>
      <c r="Y28" s="26" t="n">
        <f aca="false">Z28-X28</f>
        <v>10.427</v>
      </c>
      <c r="Z28" s="42" t="n">
        <v>30.205</v>
      </c>
      <c r="AA28" s="42" t="n">
        <v>18.209</v>
      </c>
      <c r="AB28" s="26" t="n">
        <f aca="false">AC28-AA28</f>
        <v>14.408</v>
      </c>
      <c r="AC28" s="42" t="n">
        <v>32.617</v>
      </c>
      <c r="AD28" s="42" t="n">
        <v>13.604</v>
      </c>
      <c r="AE28" s="26" t="n">
        <f aca="false">AF28-AD28</f>
        <v>21.972</v>
      </c>
      <c r="AF28" s="42" t="n">
        <v>35.576</v>
      </c>
      <c r="BK28" s="24" t="s">
        <v>84</v>
      </c>
      <c r="BL28" s="38" t="n">
        <f aca="false">BM28+$BL$27</f>
        <v>0.765</v>
      </c>
      <c r="BM28" s="25" t="n">
        <v>0.758</v>
      </c>
      <c r="BN28" s="38" t="n">
        <f aca="false">BM28+$BN$27</f>
        <v>0.748</v>
      </c>
    </row>
    <row r="29" customFormat="false" ht="15" hidden="false" customHeight="true" outlineLevel="0" collapsed="false">
      <c r="B29" s="20" t="s">
        <v>107</v>
      </c>
      <c r="C29" s="42" t="n">
        <v>81.243</v>
      </c>
      <c r="D29" s="26" t="n">
        <f aca="false">E29-C29</f>
        <v>80.375</v>
      </c>
      <c r="E29" s="42" t="n">
        <v>161.618</v>
      </c>
      <c r="F29" s="42" t="n">
        <v>83</v>
      </c>
      <c r="G29" s="26" t="n">
        <f aca="false">H29-F29</f>
        <v>86.69</v>
      </c>
      <c r="H29" s="42" t="n">
        <v>169.69</v>
      </c>
      <c r="I29" s="42" t="n">
        <v>86.227</v>
      </c>
      <c r="J29" s="26" t="n">
        <f aca="false">K29-I29</f>
        <v>87.733</v>
      </c>
      <c r="K29" s="42" t="n">
        <v>173.96</v>
      </c>
      <c r="L29" s="42" t="n">
        <v>91.628</v>
      </c>
      <c r="M29" s="26" t="n">
        <f aca="false">N29-L29</f>
        <v>84.922</v>
      </c>
      <c r="N29" s="42" t="n">
        <v>176.55</v>
      </c>
      <c r="O29" s="42" t="n">
        <v>93.604</v>
      </c>
      <c r="P29" s="26" t="n">
        <f aca="false">Q29-O29</f>
        <v>93.985</v>
      </c>
      <c r="Q29" s="42" t="n">
        <v>187.589</v>
      </c>
      <c r="R29" s="42" t="n">
        <v>98.064</v>
      </c>
      <c r="S29" s="26" t="n">
        <f aca="false">T29-R29</f>
        <v>97.511</v>
      </c>
      <c r="T29" s="42" t="n">
        <v>195.575</v>
      </c>
      <c r="U29" s="42" t="n">
        <v>104.606</v>
      </c>
      <c r="V29" s="26" t="n">
        <f aca="false">W29-U29</f>
        <v>103.106</v>
      </c>
      <c r="W29" s="42" t="n">
        <v>207.712</v>
      </c>
      <c r="X29" s="42" t="n">
        <v>115.788</v>
      </c>
      <c r="Y29" s="26" t="n">
        <f aca="false">Z29-X29</f>
        <v>110.738</v>
      </c>
      <c r="Z29" s="42" t="n">
        <v>226.526</v>
      </c>
      <c r="AA29" s="42" t="n">
        <v>123.258</v>
      </c>
      <c r="AB29" s="26" t="n">
        <f aca="false">AC29-AA29</f>
        <v>112.451</v>
      </c>
      <c r="AC29" s="42" t="n">
        <v>235.709</v>
      </c>
      <c r="AD29" s="42" t="n">
        <v>89.022</v>
      </c>
      <c r="AE29" s="26" t="n">
        <f aca="false">AF29-AD29</f>
        <v>150.642</v>
      </c>
      <c r="AF29" s="42" t="n">
        <v>239.664</v>
      </c>
      <c r="BK29" s="24" t="s">
        <v>86</v>
      </c>
      <c r="BL29" s="38" t="n">
        <f aca="false">BM29+$BL$27</f>
        <v>0.766</v>
      </c>
      <c r="BM29" s="25" t="n">
        <v>0.759</v>
      </c>
      <c r="BN29" s="38" t="n">
        <f aca="false">BM29+$BN$27</f>
        <v>0.749</v>
      </c>
    </row>
    <row r="30" customFormat="false" ht="15" hidden="false" customHeight="true" outlineLevel="0" collapsed="false">
      <c r="B30" s="31" t="s">
        <v>108</v>
      </c>
      <c r="C30" s="32" t="n">
        <f aca="false">IF(AND(ISNUMBER(C25),ISNUMBER(C111)),IFERROR(C25/C111,""),"")</f>
        <v>0.825257391140078</v>
      </c>
      <c r="D30" s="32" t="n">
        <f aca="false">IF(AND(ISNUMBER(D25),ISNUMBER(D111)),IFERROR(D25/D111,""),"")</f>
        <v>0.734414874225301</v>
      </c>
      <c r="E30" s="32" t="n">
        <f aca="false">IF(AND(ISNUMBER(E25),ISNUMBER(E111)),IFERROR(E25/E111,""),"")</f>
        <v>0.778016362025264</v>
      </c>
      <c r="F30" s="32" t="n">
        <f aca="false">IF(AND(ISNUMBER(F25),ISNUMBER(F111)),IFERROR(F25/F111,""),"")</f>
        <v>0.77519729591799</v>
      </c>
      <c r="G30" s="32" t="n">
        <f aca="false">IF(AND(ISNUMBER(G25),ISNUMBER(G111)),IFERROR(G25/G111,""),"")</f>
        <v>0.676966097225884</v>
      </c>
      <c r="H30" s="32" t="n">
        <f aca="false">IF(AND(ISNUMBER(H25),ISNUMBER(H111)),IFERROR(H25/H111,""),"")</f>
        <v>0.724514089524239</v>
      </c>
      <c r="I30" s="32" t="n">
        <f aca="false">IF(AND(ISNUMBER(I25),ISNUMBER(I111)),IFERROR(I25/I111,""),"")</f>
        <v>0.677948138652316</v>
      </c>
      <c r="J30" s="32" t="n">
        <f aca="false">IF(AND(ISNUMBER(J25),ISNUMBER(J111)),IFERROR(J25/J111,""),"")</f>
        <v>0.607697718700351</v>
      </c>
      <c r="K30" s="32" t="n">
        <f aca="false">IF(AND(ISNUMBER(K25),ISNUMBER(K111)),IFERROR(K25/K111,""),"")</f>
        <v>0.642024311585215</v>
      </c>
      <c r="L30" s="32" t="n">
        <f aca="false">IF(AND(ISNUMBER(L25),ISNUMBER(L111)),IFERROR(L25/L111,""),"")</f>
        <v>0.645357799000063</v>
      </c>
      <c r="M30" s="32" t="n">
        <f aca="false">IF(AND(ISNUMBER(M25),ISNUMBER(M111)),IFERROR(M25/M111,""),"")</f>
        <v>0.521727059711935</v>
      </c>
      <c r="N30" s="32" t="n">
        <f aca="false">IF(AND(ISNUMBER(N25),ISNUMBER(N111)),IFERROR(N25/N111,""),"")</f>
        <v>0.582797850012222</v>
      </c>
      <c r="O30" s="32" t="n">
        <f aca="false">IF(AND(ISNUMBER(O25),ISNUMBER(O111)),IFERROR(O25/O111,""),"")</f>
        <v>0.576862408402053</v>
      </c>
      <c r="P30" s="32" t="n">
        <f aca="false">IF(AND(ISNUMBER(P25),ISNUMBER(P111)),IFERROR(P25/P111,""),"")</f>
        <v>0.493001089706715</v>
      </c>
      <c r="Q30" s="32" t="n">
        <f aca="false">IF(AND(ISNUMBER(Q25),ISNUMBER(Q111)),IFERROR(Q25/Q111,""),"")</f>
        <v>0.533566259649258</v>
      </c>
      <c r="R30" s="32" t="n">
        <f aca="false">IF(AND(ISNUMBER(R25),ISNUMBER(R111)),IFERROR(R25/R111,""),"")</f>
        <v>0.547147925764192</v>
      </c>
      <c r="S30" s="32" t="n">
        <f aca="false">IF(AND(ISNUMBER(S25),ISNUMBER(S111)),IFERROR(S25/S111,""),"")</f>
        <v>0.463581655945217</v>
      </c>
      <c r="T30" s="32" t="n">
        <f aca="false">IF(AND(ISNUMBER(T25),ISNUMBER(T111)),IFERROR(T25/T111,""),"")</f>
        <v>0.503871956769181</v>
      </c>
      <c r="U30" s="32" t="n">
        <f aca="false">IF(AND(ISNUMBER(U25),ISNUMBER(U111)),IFERROR(U25/U111,""),"")</f>
        <v>0.502229510083139</v>
      </c>
      <c r="V30" s="32" t="n">
        <f aca="false">IF(AND(ISNUMBER(V25),ISNUMBER(V111)),IFERROR(V25/V111,""),"")</f>
        <v>0.425796560151243</v>
      </c>
      <c r="W30" s="32" t="n">
        <f aca="false">IF(AND(ISNUMBER(W25),ISNUMBER(W111)),IFERROR(W25/W111,""),"")</f>
        <v>0.462729188138316</v>
      </c>
      <c r="X30" s="32" t="n">
        <f aca="false">IF(AND(ISNUMBER(X25),ISNUMBER(X111)),IFERROR(X25/X111,""),"")</f>
        <v>0.503053961986894</v>
      </c>
      <c r="Y30" s="32" t="n">
        <f aca="false">IF(AND(ISNUMBER(Y25),ISNUMBER(Y111)),IFERROR(Y25/Y111,""),"")</f>
        <v>0.427374695777927</v>
      </c>
      <c r="Z30" s="32" t="n">
        <f aca="false">IF(AND(ISNUMBER(Z25),ISNUMBER(Z111)),IFERROR(Z25/Z111,""),"")</f>
        <v>0.464254714319814</v>
      </c>
      <c r="AA30" s="32" t="n">
        <f aca="false">IF(AND(ISNUMBER(AA25),ISNUMBER(AA111)),IFERROR(AA25/AA111,""),"")</f>
        <v>0.485451918754483</v>
      </c>
      <c r="AB30" s="32" t="n">
        <f aca="false">IF(AND(ISNUMBER(AB25),ISNUMBER(AB111)),IFERROR(AB25/AB111,""),"")</f>
        <v>0.401010912033583</v>
      </c>
      <c r="AC30" s="32" t="n">
        <f aca="false">IF(AND(ISNUMBER(AC25),ISNUMBER(AC111)),IFERROR(AC25/AC111,""),"")</f>
        <v>0.441499207747783</v>
      </c>
      <c r="AD30" s="32" t="n">
        <f aca="false">IF(AND(ISNUMBER(AD25),ISNUMBER(AD111)),IFERROR(AD25/AD111,""),"")</f>
        <v>0.500265668338671</v>
      </c>
      <c r="AE30" s="32" t="n">
        <f aca="false">IF(AND(ISNUMBER(AE25),ISNUMBER(AE111)),IFERROR(AE25/AE111,""),"")</f>
        <v>0.509381178623071</v>
      </c>
      <c r="AF30" s="32" t="n">
        <f aca="false">IF(AND(ISNUMBER(AF25),ISNUMBER(AF111)),IFERROR(AF25/AF111,""),"")</f>
        <v>0.505943791784388</v>
      </c>
      <c r="AG30" s="32" t="n">
        <f aca="false">IF(AND(ISNUMBER(AG25),ISNUMBER(AG111)),IFERROR(AG25/AG111,""),"")</f>
        <v>0.47263548399434</v>
      </c>
      <c r="AH30" s="32" t="n">
        <f aca="false">IF(AND(ISNUMBER(AH25),ISNUMBER(AH111)),IFERROR(AH25/AH111,""),"")</f>
        <v>0.36159783140695</v>
      </c>
      <c r="AI30" s="32" t="n">
        <f aca="false">IF(AND(ISNUMBER(AI25),ISNUMBER(AI111)),IFERROR(AI25/AI111,""),"")</f>
        <v>0.41051758055208</v>
      </c>
      <c r="AJ30" s="32" t="n">
        <f aca="false">IF(AND(ISNUMBER(AJ25),ISNUMBER(AJ111)),IFERROR(AJ25/AJ111,""),"")</f>
        <v>0.414178646321117</v>
      </c>
      <c r="AK30" s="32" t="n">
        <f aca="false">IF(AND(ISNUMBER(AK25),ISNUMBER(AK111)),IFERROR(AK25/AK111,""),"")</f>
        <v>0.345703686519904</v>
      </c>
      <c r="AL30" s="32" t="n">
        <f aca="false">IF(AND(ISNUMBER(AL25),ISNUMBER(AL111)),IFERROR(AL25/AL111,""),"")</f>
        <v>0.376628234178674</v>
      </c>
      <c r="AM30" s="32" t="n">
        <f aca="false">IF(AND(ISNUMBER(AM25),ISNUMBER(AM111)),IFERROR(AM25/AM111,""),"")</f>
        <v>0.366388328167341</v>
      </c>
      <c r="AN30" s="32" t="n">
        <f aca="false">IF(AND(ISNUMBER(AN25),ISNUMBER(AN111)),IFERROR(AN25/AN111,""),"")</f>
        <v>0.324629961140462</v>
      </c>
      <c r="AO30" s="32" t="n">
        <f aca="false">IF(AND(ISNUMBER(AO25),ISNUMBER(AO111)),IFERROR(AO25/AO111,""),"")</f>
        <v>0.344564778571554</v>
      </c>
      <c r="AP30" s="32" t="n">
        <f aca="false">IF(AND(ISNUMBER(AP25),ISNUMBER(AP111)),IFERROR(AP25/AP111,""),"")</f>
        <v>0.363286297533923</v>
      </c>
      <c r="AQ30" s="32" t="n">
        <f aca="false">IF(AND(ISNUMBER(AQ25),ISNUMBER(AQ111)),IFERROR(AQ25/AQ111,""),"")</f>
        <v>0.306772684297089</v>
      </c>
      <c r="AR30" s="32" t="n">
        <f aca="false">IF(AND(ISNUMBER(AR25),ISNUMBER(AR111)),IFERROR(AR25/AR111,""),"")</f>
        <v>0.334206986093513</v>
      </c>
      <c r="AS30" s="32" t="n">
        <f aca="false">IF(AND(ISNUMBER(AS25),ISNUMBER(AS111)),IFERROR(AS25/AS111,""),"")</f>
        <v>0.36293713959964</v>
      </c>
      <c r="AT30" s="32" t="n">
        <f aca="false">IF(AND(ISNUMBER(AT25),ISNUMBER(AT111)),IFERROR(AT25/AT111,""),"")</f>
        <v>0.293781845109807</v>
      </c>
      <c r="AU30" s="32" t="n">
        <f aca="false">IF(AND(ISNUMBER(AU25),ISNUMBER(AU111)),IFERROR(AU25/AU111,""),"")</f>
        <v>0.32738497291454</v>
      </c>
      <c r="AV30" s="32" t="n">
        <f aca="false">IF(AND(ISNUMBER(AV25),ISNUMBER(AV111)),IFERROR(AV25/AV111,""),"")</f>
        <v>0.333122945886836</v>
      </c>
      <c r="AW30" s="33" t="n">
        <f aca="false">IF(AND(ISNUMBER(AW25),ISNUMBER(AW111)),IFERROR(AW25/AW111,""),"")</f>
        <v>0.279744237222589</v>
      </c>
      <c r="AX30" s="33" t="n">
        <f aca="false">IF(AND(ISNUMBER(AX25),ISNUMBER(AX111)),IFERROR(AX25/AX111,""),"")</f>
        <v>0.305888493213946</v>
      </c>
      <c r="AY30" s="33" t="n">
        <f aca="false">IF(AND(ISNUMBER(AY25),ISNUMBER(AY111)),IFERROR(AY25/AY111,""),"")</f>
        <v>0.294095539438177</v>
      </c>
      <c r="AZ30" s="33" t="n">
        <f aca="false">IF(AND(ISNUMBER(AZ25),ISNUMBER(AZ111)),IFERROR(AZ25/AZ111,""),"")</f>
        <v>0.285194114261777</v>
      </c>
      <c r="BA30" s="33" t="n">
        <f aca="false">IF(AND(ISNUMBER(BA25),ISNUMBER(BA111)),IFERROR(BA25/BA111,""),"")</f>
        <v>0.276668517909575</v>
      </c>
      <c r="BB30" s="33" t="n">
        <f aca="false">IF(AND(ISNUMBER(BB25),ISNUMBER(BB111)),IFERROR(BB25/BB111,""),"")</f>
        <v>0.268496297600986</v>
      </c>
      <c r="BK30" s="24" t="s">
        <v>89</v>
      </c>
      <c r="BL30" s="38" t="n">
        <f aca="false">BM30+$BL$27</f>
        <v>0.767</v>
      </c>
      <c r="BM30" s="25" t="n">
        <v>0.76</v>
      </c>
      <c r="BN30" s="38" t="n">
        <f aca="false">BM30+$BN$27</f>
        <v>0.75</v>
      </c>
    </row>
    <row r="31" customFormat="false" ht="15" hidden="false" customHeight="true" outlineLevel="0" collapsed="false">
      <c r="BK31" s="24" t="s">
        <v>91</v>
      </c>
      <c r="BL31" s="38" t="n">
        <f aca="false">BM31+$BL$27</f>
        <v>0.767</v>
      </c>
      <c r="BM31" s="25" t="n">
        <v>0.76</v>
      </c>
      <c r="BN31" s="38" t="n">
        <f aca="false">BM31+$BN$27</f>
        <v>0.75</v>
      </c>
    </row>
    <row r="32" customFormat="false" ht="15" hidden="false" customHeight="true" outlineLevel="0" collapsed="false">
      <c r="B32" s="12" t="s">
        <v>109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3" t="s">
        <v>110</v>
      </c>
    </row>
    <row r="33" customFormat="false" ht="15" hidden="false" customHeight="true" outlineLevel="0" collapsed="false">
      <c r="B33" s="14" t="s">
        <v>111</v>
      </c>
      <c r="C33" s="34" t="n">
        <v>75.172</v>
      </c>
      <c r="D33" s="35" t="n">
        <f aca="false">E33-C33</f>
        <v>74.348</v>
      </c>
      <c r="E33" s="34" t="n">
        <v>149.52</v>
      </c>
      <c r="F33" s="34" t="n">
        <v>80.638</v>
      </c>
      <c r="G33" s="35" t="n">
        <f aca="false">H33-F33</f>
        <v>77.948</v>
      </c>
      <c r="H33" s="34" t="n">
        <v>158.586</v>
      </c>
      <c r="I33" s="34" t="n">
        <v>91.017</v>
      </c>
      <c r="J33" s="35" t="n">
        <f aca="false">K33-I33</f>
        <v>83.544</v>
      </c>
      <c r="K33" s="34" t="n">
        <v>174.561</v>
      </c>
      <c r="L33" s="34" t="n">
        <v>96.308</v>
      </c>
      <c r="M33" s="35" t="n">
        <f aca="false">N33-L33</f>
        <v>88.885</v>
      </c>
      <c r="N33" s="34" t="n">
        <v>185.193</v>
      </c>
      <c r="O33" s="34" t="n">
        <v>100.119</v>
      </c>
      <c r="P33" s="35" t="n">
        <f aca="false">Q33-O33</f>
        <v>99.853</v>
      </c>
      <c r="Q33" s="34" t="n">
        <v>199.972</v>
      </c>
      <c r="R33" s="34" t="n">
        <v>107.908</v>
      </c>
      <c r="S33" s="35" t="n">
        <f aca="false">T33-R33</f>
        <v>104.692</v>
      </c>
      <c r="T33" s="34" t="n">
        <v>212.6</v>
      </c>
      <c r="U33" s="34" t="n">
        <v>117.048</v>
      </c>
      <c r="V33" s="35" t="n">
        <f aca="false">W33-U33</f>
        <v>118.507</v>
      </c>
      <c r="W33" s="34" t="n">
        <v>235.555</v>
      </c>
      <c r="X33" s="34" t="n">
        <v>128.077</v>
      </c>
      <c r="Y33" s="35" t="n">
        <f aca="false">Z33-X33</f>
        <v>123.85</v>
      </c>
      <c r="Z33" s="34" t="n">
        <v>251.927</v>
      </c>
      <c r="AA33" s="34" t="n">
        <v>136.705</v>
      </c>
      <c r="AB33" s="35" t="n">
        <f aca="false">AC33-AA33</f>
        <v>137.766</v>
      </c>
      <c r="AC33" s="34" t="n">
        <v>274.471</v>
      </c>
      <c r="AD33" s="34" t="n">
        <v>99.031</v>
      </c>
      <c r="AE33" s="35" t="n">
        <f aca="false">AF33-AD33</f>
        <v>150.764</v>
      </c>
      <c r="AF33" s="34" t="n">
        <v>249.795</v>
      </c>
      <c r="AG33" s="34" t="n">
        <v>136.932</v>
      </c>
      <c r="AH33" s="35" t="n">
        <f aca="false">AI33-AG33</f>
        <v>166.441</v>
      </c>
      <c r="AI33" s="34" t="n">
        <v>303.373</v>
      </c>
      <c r="AJ33" s="34" t="n">
        <v>164.955</v>
      </c>
      <c r="AK33" s="35" t="n">
        <f aca="false">AL33-AJ33</f>
        <v>201.612</v>
      </c>
      <c r="AL33" s="34" t="n">
        <v>366.567</v>
      </c>
      <c r="AM33" s="34" t="n">
        <v>202.769</v>
      </c>
      <c r="AN33" s="35" t="n">
        <f aca="false">AO33-AM33</f>
        <v>225.463</v>
      </c>
      <c r="AO33" s="34" t="n">
        <v>428.232</v>
      </c>
      <c r="AP33" s="34" t="n">
        <v>221.052</v>
      </c>
      <c r="AQ33" s="35" t="n">
        <f aca="false">AR33-AP33</f>
        <v>235.535</v>
      </c>
      <c r="AR33" s="34" t="n">
        <v>456.587</v>
      </c>
      <c r="AS33" s="34" t="n">
        <v>243.213</v>
      </c>
      <c r="AT33" s="35" t="n">
        <f aca="false">AU33-AS33</f>
        <v>251.707</v>
      </c>
      <c r="AU33" s="34" t="n">
        <v>494.92</v>
      </c>
      <c r="AV33" s="34" t="n">
        <v>255.582</v>
      </c>
      <c r="AW33" s="36" t="n">
        <f aca="false">AW47*AW52</f>
        <v>265.618659312966</v>
      </c>
      <c r="AX33" s="36" t="n">
        <f aca="false">AV33+AW33</f>
        <v>521.200659312966</v>
      </c>
      <c r="AY33" s="36" t="n">
        <f aca="false">AY47*AY52</f>
        <v>560.803072311232</v>
      </c>
      <c r="AZ33" s="36" t="n">
        <f aca="false">AZ47*AZ52</f>
        <v>595.236144499554</v>
      </c>
      <c r="BA33" s="36" t="n">
        <f aca="false">BA47*BA52</f>
        <v>628.349887196184</v>
      </c>
      <c r="BB33" s="36" t="n">
        <f aca="false">BB47*BB52</f>
        <v>661.841596726481</v>
      </c>
      <c r="BE33" s="37" t="n">
        <f aca="false">IFERROR(IF(AND(BB33&gt;0,AU33&gt;0),(BB33/AU33)^(1/5)-1,"n/m"),"n/m")</f>
        <v>0.0598485523957151</v>
      </c>
      <c r="BF33" s="37" t="n">
        <f aca="false">IFERROR(IF(AND(AU33&gt;0,AF33&gt;0),(AU33/AF33)^(1/5)-1,"n/m"),"n/m")</f>
        <v>0.146542750408625</v>
      </c>
      <c r="BG33" s="37" t="n">
        <f aca="false">IFERROR(IF(AND(AU33&gt;0,Q33&gt;0),(AU33/Q33)^(1/10)-1,"n/m"),"n/m")</f>
        <v>0.0948549378681189</v>
      </c>
      <c r="BH33" s="37" t="n">
        <f aca="false">IFERROR(IF(AND(AU33&gt;0,E33&gt;0),(AU33/E33)^(1/14)-1,"n/m"),"n/m")</f>
        <v>0.0892589136790871</v>
      </c>
      <c r="BK33" s="10" t="s">
        <v>112</v>
      </c>
      <c r="BL33" s="25" t="n">
        <v>-0.005</v>
      </c>
      <c r="BM33" s="25" t="s">
        <v>80</v>
      </c>
      <c r="BN33" s="25" t="n">
        <v>0.008</v>
      </c>
      <c r="BO33" s="4" t="s">
        <v>113</v>
      </c>
    </row>
    <row r="34" customFormat="false" ht="15" hidden="false" customHeight="true" outlineLevel="0" collapsed="false">
      <c r="B34" s="31" t="s">
        <v>114</v>
      </c>
      <c r="F34" s="32" t="n">
        <f aca="false">IF(AND(ISNUMBER(F33),ISNUMBER(C33)),IFERROR(F33/C33-1,""),"")</f>
        <v>0.072713244293088</v>
      </c>
      <c r="G34" s="32" t="n">
        <f aca="false">IF(AND(ISNUMBER(G33),ISNUMBER(D33)),IFERROR(G33/D33-1,""),"")</f>
        <v>0.0484209393662236</v>
      </c>
      <c r="H34" s="32" t="n">
        <f aca="false">IF(AND(ISNUMBER(H33),ISNUMBER(E33)),IFERROR(H33/E33-1,""),"")</f>
        <v>0.0606340288924558</v>
      </c>
      <c r="I34" s="32" t="n">
        <f aca="false">IF(AND(ISNUMBER(I33),ISNUMBER(F33)),IFERROR(I33/F33-1,""),"")</f>
        <v>0.128711029539423</v>
      </c>
      <c r="J34" s="32" t="n">
        <f aca="false">IF(AND(ISNUMBER(J33),ISNUMBER(G33)),IFERROR(J33/G33-1,""),"")</f>
        <v>0.0717914507107302</v>
      </c>
      <c r="K34" s="32" t="n">
        <f aca="false">IF(AND(ISNUMBER(K33),ISNUMBER(H33)),IFERROR(K33/H33-1,""),"")</f>
        <v>0.100733986606636</v>
      </c>
      <c r="L34" s="32" t="n">
        <f aca="false">IF(AND(ISNUMBER(L33),ISNUMBER(I33)),IFERROR(L33/I33-1,""),"")</f>
        <v>0.0581319973191823</v>
      </c>
      <c r="M34" s="32" t="n">
        <f aca="false">IF(AND(ISNUMBER(M33),ISNUMBER(J33)),IFERROR(M33/J33-1,""),"")</f>
        <v>0.0639303839892751</v>
      </c>
      <c r="N34" s="32" t="n">
        <f aca="false">IF(AND(ISNUMBER(N33),ISNUMBER(K33)),IFERROR(N33/K33-1,""),"")</f>
        <v>0.0609070754635916</v>
      </c>
      <c r="O34" s="32" t="n">
        <f aca="false">IF(AND(ISNUMBER(O33),ISNUMBER(L33)),IFERROR(O33/L33-1,""),"")</f>
        <v>0.0395709598371889</v>
      </c>
      <c r="P34" s="32" t="n">
        <f aca="false">IF(AND(ISNUMBER(P33),ISNUMBER(M33)),IFERROR(P33/M33-1,""),"")</f>
        <v>0.123395398548687</v>
      </c>
      <c r="Q34" s="32" t="n">
        <f aca="false">IF(AND(ISNUMBER(Q33),ISNUMBER(N33)),IFERROR(Q33/N33-1,""),"")</f>
        <v>0.0798032323035969</v>
      </c>
      <c r="R34" s="32" t="n">
        <f aca="false">IF(AND(ISNUMBER(R33),ISNUMBER(O33)),IFERROR(R33/O33-1,""),"")</f>
        <v>0.0777974210689281</v>
      </c>
      <c r="S34" s="32" t="n">
        <f aca="false">IF(AND(ISNUMBER(S33),ISNUMBER(P33)),IFERROR(S33/P33-1,""),"")</f>
        <v>0.048461238019889</v>
      </c>
      <c r="T34" s="32" t="n">
        <f aca="false">IF(AND(ISNUMBER(T33),ISNUMBER(Q33)),IFERROR(T33/Q33-1,""),"")</f>
        <v>0.0631488408377172</v>
      </c>
      <c r="U34" s="32" t="n">
        <f aca="false">IF(AND(ISNUMBER(U33),ISNUMBER(R33)),IFERROR(U33/R33-1,""),"")</f>
        <v>0.0847017830003336</v>
      </c>
      <c r="V34" s="32" t="n">
        <f aca="false">IF(AND(ISNUMBER(V33),ISNUMBER(S33)),IFERROR(V33/S33-1,""),"")</f>
        <v>0.131958506858213</v>
      </c>
      <c r="W34" s="32" t="n">
        <f aca="false">IF(AND(ISNUMBER(W33),ISNUMBER(T33)),IFERROR(W33/T33-1,""),"")</f>
        <v>0.107972718720602</v>
      </c>
      <c r="X34" s="32" t="n">
        <f aca="false">IF(AND(ISNUMBER(X33),ISNUMBER(U33)),IFERROR(X33/U33-1,""),"")</f>
        <v>0.0942263003212358</v>
      </c>
      <c r="Y34" s="32" t="n">
        <f aca="false">IF(AND(ISNUMBER(Y33),ISNUMBER(V33)),IFERROR(Y33/V33-1,""),"")</f>
        <v>0.0450859442902105</v>
      </c>
      <c r="Z34" s="32" t="n">
        <f aca="false">IF(AND(ISNUMBER(Z33),ISNUMBER(W33)),IFERROR(Z33/W33-1,""),"")</f>
        <v>0.0695039375092865</v>
      </c>
      <c r="AA34" s="32" t="n">
        <f aca="false">IF(AND(ISNUMBER(AA33),ISNUMBER(X33)),IFERROR(AA33/X33-1,""),"")</f>
        <v>0.0673657253058708</v>
      </c>
      <c r="AB34" s="32" t="n">
        <f aca="false">IF(AND(ISNUMBER(AB33),ISNUMBER(Y33)),IFERROR(AB33/Y33-1,""),"")</f>
        <v>0.112361727896649</v>
      </c>
      <c r="AC34" s="32" t="n">
        <f aca="false">IF(AND(ISNUMBER(AC33),ISNUMBER(Z33)),IFERROR(AC33/Z33-1,""),"")</f>
        <v>0.0894862400616052</v>
      </c>
      <c r="AD34" s="32" t="n">
        <f aca="false">IF(AND(ISNUMBER(AD33),ISNUMBER(AA33)),IFERROR(AD33/AA33-1,""),"")</f>
        <v>-0.27558611608939</v>
      </c>
      <c r="AE34" s="32" t="n">
        <f aca="false">IF(AND(ISNUMBER(AE33),ISNUMBER(AB33)),IFERROR(AE33/AB33-1,""),"")</f>
        <v>0.0943483878460578</v>
      </c>
      <c r="AF34" s="32" t="n">
        <f aca="false">IF(AND(ISNUMBER(AF33),ISNUMBER(AC33)),IFERROR(AF33/AC33-1,""),"")</f>
        <v>-0.0899038514087099</v>
      </c>
      <c r="AG34" s="32" t="n">
        <f aca="false">IF(AND(ISNUMBER(AG33),ISNUMBER(AD33)),IFERROR(AG33/AD33-1,""),"")</f>
        <v>0.382718542678555</v>
      </c>
      <c r="AH34" s="32" t="n">
        <f aca="false">IF(AND(ISNUMBER(AH33),ISNUMBER(AE33)),IFERROR(AH33/AE33-1,""),"")</f>
        <v>0.103983709638906</v>
      </c>
      <c r="AI34" s="32" t="n">
        <f aca="false">IF(AND(ISNUMBER(AI33),ISNUMBER(AF33)),IFERROR(AI33/AF33-1,""),"")</f>
        <v>0.214487880061651</v>
      </c>
      <c r="AJ34" s="32" t="n">
        <f aca="false">IF(AND(ISNUMBER(AJ33),ISNUMBER(AG33)),IFERROR(AJ33/AG33-1,""),"")</f>
        <v>0.204649022872667</v>
      </c>
      <c r="AK34" s="32" t="n">
        <f aca="false">IF(AND(ISNUMBER(AK33),ISNUMBER(AH33)),IFERROR(AK33/AH33-1,""),"")</f>
        <v>0.211312116605884</v>
      </c>
      <c r="AL34" s="32" t="n">
        <f aca="false">IF(AND(ISNUMBER(AL33),ISNUMBER(AI33)),IFERROR(AL33/AI33-1,""),"")</f>
        <v>0.20830462829586</v>
      </c>
      <c r="AM34" s="32" t="n">
        <f aca="false">IF(AND(ISNUMBER(AM33),ISNUMBER(AJ33)),IFERROR(AM33/AJ33-1,""),"")</f>
        <v>0.229238277105877</v>
      </c>
      <c r="AN34" s="32" t="n">
        <f aca="false">IF(AND(ISNUMBER(AN33),ISNUMBER(AK33)),IFERROR(AN33/AK33-1,""),"")</f>
        <v>0.118301489990675</v>
      </c>
      <c r="AO34" s="32" t="n">
        <f aca="false">IF(AND(ISNUMBER(AO33),ISNUMBER(AL33)),IFERROR(AO33/AL33-1,""),"")</f>
        <v>0.168222998796946</v>
      </c>
      <c r="AP34" s="32" t="n">
        <f aca="false">IF(AND(ISNUMBER(AP33),ISNUMBER(AM33)),IFERROR(AP33/AM33-1,""),"")</f>
        <v>0.0901666428300183</v>
      </c>
      <c r="AQ34" s="32" t="n">
        <f aca="false">IF(AND(ISNUMBER(AQ33),ISNUMBER(AN33)),IFERROR(AQ33/AN33-1,""),"")</f>
        <v>0.0446725183289496</v>
      </c>
      <c r="AR34" s="32" t="n">
        <f aca="false">IF(AND(ISNUMBER(AR33),ISNUMBER(AO33)),IFERROR(AR33/AO33-1,""),"")</f>
        <v>0.0662141082403929</v>
      </c>
      <c r="AS34" s="32" t="n">
        <f aca="false">IF(AND(ISNUMBER(AS33),ISNUMBER(AP33)),IFERROR(AS33/AP33-1,""),"")</f>
        <v>0.100252429292655</v>
      </c>
      <c r="AT34" s="32" t="n">
        <f aca="false">IF(AND(ISNUMBER(AT33),ISNUMBER(AQ33)),IFERROR(AT33/AQ33-1,""),"")</f>
        <v>0.0686607085995714</v>
      </c>
      <c r="AU34" s="32" t="n">
        <f aca="false">IF(AND(ISNUMBER(AU33),ISNUMBER(AR33)),IFERROR(AU33/AR33-1,""),"")</f>
        <v>0.0839555221677359</v>
      </c>
      <c r="AV34" s="32" t="n">
        <f aca="false">IF(AND(ISNUMBER(AV33),ISNUMBER(AS33)),IFERROR(AV33/AS33-1,""),"")</f>
        <v>0.0508566565109596</v>
      </c>
      <c r="AW34" s="33" t="n">
        <f aca="false">IF(AND(ISNUMBER(AW33),ISNUMBER(AT33)),IFERROR(AW33/AT33-1,""),"")</f>
        <v>0.0552692587530987</v>
      </c>
      <c r="AX34" s="33" t="n">
        <f aca="false">IF(AND(ISNUMBER(AX33),ISNUMBER(AU33)),IFERROR(AX33/AU33-1,""),"")</f>
        <v>0.0531008229874854</v>
      </c>
      <c r="AY34" s="33" t="n">
        <f aca="false">IF(AND(ISNUMBER(AY33),ISNUMBER(AX33)),IFERROR(AY33/AX33-1,""),"")</f>
        <v>0.0759830447077108</v>
      </c>
      <c r="AZ34" s="33" t="n">
        <f aca="false">IF(AND(ISNUMBER(AZ33),ISNUMBER(AY33)),IFERROR(AZ33/AY33-1,""),"")</f>
        <v>0.0613995783696648</v>
      </c>
      <c r="BA34" s="33" t="n">
        <f aca="false">IF(AND(ISNUMBER(BA33),ISNUMBER(AZ33)),IFERROR(BA33/AZ33-1,""),"")</f>
        <v>0.0556312700474027</v>
      </c>
      <c r="BB34" s="33" t="n">
        <f aca="false">IF(AND(ISNUMBER(BB33),ISNUMBER(BA33)),IFERROR(BB33/BA33-1,""),"")</f>
        <v>0.0533010512339609</v>
      </c>
      <c r="BK34" s="24" t="s">
        <v>84</v>
      </c>
      <c r="BL34" s="38" t="n">
        <f aca="false">BM34+$BL$33</f>
        <v>0.253</v>
      </c>
      <c r="BM34" s="25" t="n">
        <v>0.258</v>
      </c>
      <c r="BN34" s="38" t="n">
        <f aca="false">BM34+$BN$33</f>
        <v>0.266</v>
      </c>
    </row>
    <row r="35" customFormat="false" ht="15" hidden="false" customHeight="true" outlineLevel="0" collapsed="false">
      <c r="B35" s="31" t="s">
        <v>115</v>
      </c>
      <c r="AS35" s="39" t="n">
        <v>0.097</v>
      </c>
      <c r="AU35" s="39" t="n">
        <v>0.081</v>
      </c>
      <c r="AV35" s="39" t="n">
        <v>0.053</v>
      </c>
      <c r="BK35" s="24" t="s">
        <v>86</v>
      </c>
      <c r="BL35" s="38" t="n">
        <f aca="false">BM35+$BL$33</f>
        <v>0.252</v>
      </c>
      <c r="BM35" s="25" t="n">
        <v>0.257</v>
      </c>
      <c r="BN35" s="38" t="n">
        <f aca="false">BM35+$BN$33</f>
        <v>0.265</v>
      </c>
    </row>
    <row r="36" customFormat="false" ht="15" hidden="false" customHeight="true" outlineLevel="0" collapsed="false">
      <c r="B36" s="14" t="s">
        <v>116</v>
      </c>
      <c r="C36" s="34" t="n">
        <v>28.744</v>
      </c>
      <c r="D36" s="35" t="n">
        <f aca="false">E36-C36</f>
        <v>40.217</v>
      </c>
      <c r="E36" s="34" t="n">
        <v>68.961</v>
      </c>
      <c r="F36" s="34" t="n">
        <v>35.445</v>
      </c>
      <c r="G36" s="35" t="n">
        <f aca="false">H36-F36</f>
        <v>53.109</v>
      </c>
      <c r="H36" s="34" t="n">
        <v>88.554</v>
      </c>
      <c r="I36" s="34" t="n">
        <v>46.892</v>
      </c>
      <c r="J36" s="35" t="n">
        <f aca="false">K36-I36</f>
        <v>62.176</v>
      </c>
      <c r="K36" s="34" t="n">
        <v>109.068</v>
      </c>
      <c r="L36" s="34" t="n">
        <v>55.416</v>
      </c>
      <c r="M36" s="35" t="n">
        <f aca="false">N36-L36</f>
        <v>67.467</v>
      </c>
      <c r="N36" s="34" t="n">
        <v>122.883</v>
      </c>
      <c r="O36" s="34" t="n">
        <v>69.692</v>
      </c>
      <c r="P36" s="35" t="n">
        <f aca="false">Q36-O36</f>
        <v>86.903</v>
      </c>
      <c r="Q36" s="34" t="n">
        <v>156.595</v>
      </c>
      <c r="R36" s="34" t="n">
        <v>76.445</v>
      </c>
      <c r="S36" s="35" t="n">
        <f aca="false">T36-R36</f>
        <v>91.212</v>
      </c>
      <c r="T36" s="34" t="n">
        <v>167.657</v>
      </c>
      <c r="U36" s="34" t="n">
        <v>83.584</v>
      </c>
      <c r="V36" s="35" t="n">
        <f aca="false">W36-U36</f>
        <v>95.072</v>
      </c>
      <c r="W36" s="34" t="n">
        <v>178.656</v>
      </c>
      <c r="X36" s="34" t="n">
        <v>86.323</v>
      </c>
      <c r="Y36" s="35" t="n">
        <f aca="false">Z36-X36</f>
        <v>100.913</v>
      </c>
      <c r="Z36" s="34" t="n">
        <v>187.236</v>
      </c>
      <c r="AA36" s="34" t="n">
        <v>94.077</v>
      </c>
      <c r="AB36" s="35" t="n">
        <f aca="false">AC36-AA36</f>
        <v>110.032</v>
      </c>
      <c r="AC36" s="34" t="n">
        <v>204.109</v>
      </c>
      <c r="AD36" s="34" t="n">
        <v>57.484</v>
      </c>
      <c r="AE36" s="35" t="n">
        <f aca="false">AF36-AD36</f>
        <v>115.294</v>
      </c>
      <c r="AF36" s="34" t="n">
        <v>172.778</v>
      </c>
      <c r="AG36" s="34" t="n">
        <v>99.983</v>
      </c>
      <c r="AH36" s="35" t="n">
        <f aca="false">AI36-AG36</f>
        <v>138.255</v>
      </c>
      <c r="AI36" s="34" t="n">
        <v>238.238</v>
      </c>
      <c r="AJ36" s="34" t="n">
        <v>152.613</v>
      </c>
      <c r="AK36" s="35" t="n">
        <f aca="false">AL36-AJ36</f>
        <v>182.08</v>
      </c>
      <c r="AL36" s="34" t="n">
        <v>334.693</v>
      </c>
      <c r="AM36" s="34" t="n">
        <v>189.007</v>
      </c>
      <c r="AN36" s="35" t="n">
        <f aca="false">AO36-AM36</f>
        <v>215.446</v>
      </c>
      <c r="AO36" s="34" t="n">
        <v>404.453</v>
      </c>
      <c r="AP36" s="34" t="n">
        <v>225.616</v>
      </c>
      <c r="AQ36" s="35" t="n">
        <f aca="false">AR36-AP36</f>
        <v>250.943</v>
      </c>
      <c r="AR36" s="34" t="n">
        <v>476.559</v>
      </c>
      <c r="AS36" s="34" t="n">
        <v>245.253</v>
      </c>
      <c r="AT36" s="35" t="n">
        <f aca="false">AU36-AS36</f>
        <v>275.235</v>
      </c>
      <c r="AU36" s="34" t="n">
        <v>520.488</v>
      </c>
      <c r="AV36" s="34" t="n">
        <v>278.671</v>
      </c>
      <c r="AW36" s="36" t="n">
        <f aca="false">AW49*AW52</f>
        <v>301.407299883208</v>
      </c>
      <c r="AX36" s="36" t="n">
        <f aca="false">AV36+AW36</f>
        <v>580.078299883208</v>
      </c>
      <c r="AY36" s="36" t="n">
        <f aca="false">AY49*AY52</f>
        <v>647.487290614672</v>
      </c>
      <c r="AZ36" s="36" t="n">
        <f aca="false">AZ49*AZ52</f>
        <v>706.601687603429</v>
      </c>
      <c r="BA36" s="36" t="n">
        <f aca="false">BA49*BA52</f>
        <v>767.021520965722</v>
      </c>
      <c r="BB36" s="36" t="n">
        <f aca="false">BB49*BB52</f>
        <v>826.958927520952</v>
      </c>
      <c r="BE36" s="37" t="n">
        <f aca="false">IFERROR(IF(AND(BB36&gt;0,AU36&gt;0),(BB36/AU36)^(1/5)-1,"n/m"),"n/m")</f>
        <v>0.0970202485835194</v>
      </c>
      <c r="BF36" s="37" t="n">
        <f aca="false">IFERROR(IF(AND(AU36&gt;0,AF36&gt;0),(AU36/AF36)^(1/5)-1,"n/m"),"n/m")</f>
        <v>0.246764580169172</v>
      </c>
      <c r="BG36" s="37" t="n">
        <f aca="false">IFERROR(IF(AND(AU36&gt;0,Q36&gt;0),(AU36/Q36)^(1/10)-1,"n/m"),"n/m")</f>
        <v>0.127621331675042</v>
      </c>
      <c r="BH36" s="37" t="n">
        <f aca="false">IFERROR(IF(AND(AU36&gt;0,E36&gt;0),(AU36/E36)^(1/14)-1,"n/m"),"n/m")</f>
        <v>0.155315266443691</v>
      </c>
      <c r="BK36" s="24" t="s">
        <v>89</v>
      </c>
      <c r="BL36" s="38" t="n">
        <f aca="false">BM36+$BL$33</f>
        <v>0.251</v>
      </c>
      <c r="BM36" s="25" t="n">
        <v>0.256</v>
      </c>
      <c r="BN36" s="38" t="n">
        <f aca="false">BM36+$BN$33</f>
        <v>0.264</v>
      </c>
    </row>
    <row r="37" customFormat="false" ht="15" hidden="false" customHeight="true" outlineLevel="0" collapsed="false">
      <c r="B37" s="31" t="s">
        <v>117</v>
      </c>
      <c r="F37" s="32" t="n">
        <f aca="false">IF(AND(ISNUMBER(F36),ISNUMBER(C36)),IFERROR(F36/C36-1,""),"")</f>
        <v>0.233126913442806</v>
      </c>
      <c r="G37" s="32" t="n">
        <f aca="false">IF(AND(ISNUMBER(G36),ISNUMBER(D36)),IFERROR(G36/D36-1,""),"")</f>
        <v>0.32056095680931</v>
      </c>
      <c r="H37" s="32" t="n">
        <f aca="false">IF(AND(ISNUMBER(H36),ISNUMBER(E36)),IFERROR(H36/E36-1,""),"")</f>
        <v>0.284117109670683</v>
      </c>
      <c r="I37" s="32" t="n">
        <f aca="false">IF(AND(ISNUMBER(I36),ISNUMBER(F36)),IFERROR(I36/F36-1,""),"")</f>
        <v>0.322951050923967</v>
      </c>
      <c r="J37" s="32" t="n">
        <f aca="false">IF(AND(ISNUMBER(J36),ISNUMBER(G36)),IFERROR(J36/G36-1,""),"")</f>
        <v>0.170724359336459</v>
      </c>
      <c r="K37" s="32" t="n">
        <f aca="false">IF(AND(ISNUMBER(K36),ISNUMBER(H36)),IFERROR(K36/H36-1,""),"")</f>
        <v>0.231655261196558</v>
      </c>
      <c r="L37" s="32" t="n">
        <f aca="false">IF(AND(ISNUMBER(L36),ISNUMBER(I36)),IFERROR(L36/I36-1,""),"")</f>
        <v>0.181779408001365</v>
      </c>
      <c r="M37" s="32" t="n">
        <f aca="false">IF(AND(ISNUMBER(M36),ISNUMBER(J36)),IFERROR(M36/J36-1,""),"")</f>
        <v>0.0850971435923831</v>
      </c>
      <c r="N37" s="32" t="n">
        <f aca="false">IF(AND(ISNUMBER(N36),ISNUMBER(K36)),IFERROR(N36/K36-1,""),"")</f>
        <v>0.126664099460887</v>
      </c>
      <c r="O37" s="32" t="n">
        <f aca="false">IF(AND(ISNUMBER(O36),ISNUMBER(L36)),IFERROR(O36/L36-1,""),"")</f>
        <v>0.257615129204562</v>
      </c>
      <c r="P37" s="32" t="n">
        <f aca="false">IF(AND(ISNUMBER(P36),ISNUMBER(M36)),IFERROR(P36/M36-1,""),"")</f>
        <v>0.288081580624602</v>
      </c>
      <c r="Q37" s="32" t="n">
        <f aca="false">IF(AND(ISNUMBER(Q36),ISNUMBER(N36)),IFERROR(Q36/N36-1,""),"")</f>
        <v>0.274342260524239</v>
      </c>
      <c r="R37" s="32" t="n">
        <f aca="false">IF(AND(ISNUMBER(R36),ISNUMBER(O36)),IFERROR(R36/O36-1,""),"")</f>
        <v>0.0968977787981404</v>
      </c>
      <c r="S37" s="32" t="n">
        <f aca="false">IF(AND(ISNUMBER(S36),ISNUMBER(P36)),IFERROR(S36/P36-1,""),"")</f>
        <v>0.0495840189636723</v>
      </c>
      <c r="T37" s="32" t="n">
        <f aca="false">IF(AND(ISNUMBER(T36),ISNUMBER(Q36)),IFERROR(T36/Q36-1,""),"")</f>
        <v>0.0706408250582715</v>
      </c>
      <c r="U37" s="32" t="n">
        <f aca="false">IF(AND(ISNUMBER(U36),ISNUMBER(R36)),IFERROR(U36/R36-1,""),"")</f>
        <v>0.0933874027078292</v>
      </c>
      <c r="V37" s="32" t="n">
        <f aca="false">IF(AND(ISNUMBER(V36),ISNUMBER(S36)),IFERROR(V36/S36-1,""),"")</f>
        <v>0.0423189931149408</v>
      </c>
      <c r="W37" s="32" t="n">
        <f aca="false">IF(AND(ISNUMBER(W36),ISNUMBER(T36)),IFERROR(W36/T36-1,""),"")</f>
        <v>0.0656041799626619</v>
      </c>
      <c r="X37" s="32" t="n">
        <f aca="false">IF(AND(ISNUMBER(X36),ISNUMBER(U36)),IFERROR(X36/U36-1,""),"")</f>
        <v>0.0327694295558958</v>
      </c>
      <c r="Y37" s="32" t="n">
        <f aca="false">IF(AND(ISNUMBER(Y36),ISNUMBER(V36)),IFERROR(Y36/V36-1,""),"")</f>
        <v>0.0614376472568159</v>
      </c>
      <c r="Z37" s="32" t="n">
        <f aca="false">IF(AND(ISNUMBER(Z36),ISNUMBER(W36)),IFERROR(Z36/W36-1,""),"")</f>
        <v>0.0480252552391187</v>
      </c>
      <c r="AA37" s="32" t="n">
        <f aca="false">IF(AND(ISNUMBER(AA36),ISNUMBER(X36)),IFERROR(AA36/X36-1,""),"")</f>
        <v>0.0898254231201419</v>
      </c>
      <c r="AB37" s="32" t="n">
        <f aca="false">IF(AND(ISNUMBER(AB36),ISNUMBER(Y36)),IFERROR(AB36/Y36-1,""),"")</f>
        <v>0.0903649678435883</v>
      </c>
      <c r="AC37" s="32" t="n">
        <f aca="false">IF(AND(ISNUMBER(AC36),ISNUMBER(Z36)),IFERROR(AC36/Z36-1,""),"")</f>
        <v>0.0901162169668228</v>
      </c>
      <c r="AD37" s="32" t="n">
        <f aca="false">IF(AND(ISNUMBER(AD36),ISNUMBER(AA36)),IFERROR(AD36/AA36-1,""),"")</f>
        <v>-0.388968610818797</v>
      </c>
      <c r="AE37" s="32" t="n">
        <f aca="false">IF(AND(ISNUMBER(AE36),ISNUMBER(AB36)),IFERROR(AE36/AB36-1,""),"")</f>
        <v>0.0478224516504286</v>
      </c>
      <c r="AF37" s="32" t="n">
        <f aca="false">IF(AND(ISNUMBER(AF36),ISNUMBER(AC36)),IFERROR(AF36/AC36-1,""),"")</f>
        <v>-0.153501315473595</v>
      </c>
      <c r="AG37" s="32" t="n">
        <f aca="false">IF(AND(ISNUMBER(AG36),ISNUMBER(AD36)),IFERROR(AG36/AD36-1,""),"")</f>
        <v>0.739318766961241</v>
      </c>
      <c r="AH37" s="32" t="n">
        <f aca="false">IF(AND(ISNUMBER(AH36),ISNUMBER(AE36)),IFERROR(AH36/AE36-1,""),"")</f>
        <v>0.1991517338283</v>
      </c>
      <c r="AI37" s="32" t="n">
        <f aca="false">IF(AND(ISNUMBER(AI36),ISNUMBER(AF36)),IFERROR(AI36/AF36-1,""),"")</f>
        <v>0.378867679912952</v>
      </c>
      <c r="AJ37" s="32" t="n">
        <f aca="false">IF(AND(ISNUMBER(AJ36),ISNUMBER(AG36)),IFERROR(AJ36/AG36-1,""),"")</f>
        <v>0.526389486212656</v>
      </c>
      <c r="AK37" s="32" t="n">
        <f aca="false">IF(AND(ISNUMBER(AK36),ISNUMBER(AH36)),IFERROR(AK36/AH36-1,""),"")</f>
        <v>0.316986727423963</v>
      </c>
      <c r="AL37" s="32" t="n">
        <f aca="false">IF(AND(ISNUMBER(AL36),ISNUMBER(AI36)),IFERROR(AL36/AI36-1,""),"")</f>
        <v>0.404868241002695</v>
      </c>
      <c r="AM37" s="32" t="n">
        <f aca="false">IF(AND(ISNUMBER(AM36),ISNUMBER(AJ36)),IFERROR(AM36/AJ36-1,""),"")</f>
        <v>0.23847247613244</v>
      </c>
      <c r="AN37" s="32" t="n">
        <f aca="false">IF(AND(ISNUMBER(AN36),ISNUMBER(AK36)),IFERROR(AN36/AK36-1,""),"")</f>
        <v>0.183249121265378</v>
      </c>
      <c r="AO37" s="32" t="n">
        <f aca="false">IF(AND(ISNUMBER(AO36),ISNUMBER(AL36)),IFERROR(AO36/AL36-1,""),"")</f>
        <v>0.20842981478549</v>
      </c>
      <c r="AP37" s="32" t="n">
        <f aca="false">IF(AND(ISNUMBER(AP36),ISNUMBER(AM36)),IFERROR(AP36/AM36-1,""),"")</f>
        <v>0.193691238948822</v>
      </c>
      <c r="AQ37" s="32" t="n">
        <f aca="false">IF(AND(ISNUMBER(AQ36),ISNUMBER(AN36)),IFERROR(AQ36/AN36-1,""),"")</f>
        <v>0.164760543245175</v>
      </c>
      <c r="AR37" s="32" t="n">
        <f aca="false">IF(AND(ISNUMBER(AR36),ISNUMBER(AO36)),IFERROR(AR36/AO36-1,""),"")</f>
        <v>0.178280294620141</v>
      </c>
      <c r="AS37" s="32" t="n">
        <f aca="false">IF(AND(ISNUMBER(AS36),ISNUMBER(AP36)),IFERROR(AS36/AP36-1,""),"")</f>
        <v>0.0870372668605062</v>
      </c>
      <c r="AT37" s="32" t="n">
        <f aca="false">IF(AND(ISNUMBER(AT36),ISNUMBER(AQ36)),IFERROR(AT36/AQ36-1,""),"")</f>
        <v>0.096802859613538</v>
      </c>
      <c r="AU37" s="32" t="n">
        <f aca="false">IF(AND(ISNUMBER(AU36),ISNUMBER(AR36)),IFERROR(AU36/AR36-1,""),"")</f>
        <v>0.0921795622367849</v>
      </c>
      <c r="AV37" s="32" t="n">
        <f aca="false">IF(AND(ISNUMBER(AV36),ISNUMBER(AS36)),IFERROR(AV36/AS36-1,""),"")</f>
        <v>0.136259291425589</v>
      </c>
      <c r="AW37" s="33" t="n">
        <f aca="false">IF(AND(ISNUMBER(AW36),ISNUMBER(AT36)),IFERROR(AW36/AT36-1,""),"")</f>
        <v>0.0950907402154795</v>
      </c>
      <c r="AX37" s="33" t="n">
        <f aca="false">IF(AND(ISNUMBER(AX36),ISNUMBER(AU36)),IFERROR(AX36/AU36-1,""),"")</f>
        <v>0.114489286752447</v>
      </c>
      <c r="AY37" s="33" t="n">
        <f aca="false">IF(AND(ISNUMBER(AY36),ISNUMBER(AX36)),IFERROR(AY36/AX36-1,""),"")</f>
        <v>0.116206709930429</v>
      </c>
      <c r="AZ37" s="33" t="n">
        <f aca="false">IF(AND(ISNUMBER(AZ36),ISNUMBER(AY36)),IFERROR(AZ36/AY36-1,""),"")</f>
        <v>0.0912981580420498</v>
      </c>
      <c r="BA37" s="33" t="n">
        <f aca="false">IF(AND(ISNUMBER(BA36),ISNUMBER(AZ36)),IFERROR(BA36/AZ36-1,""),"")</f>
        <v>0.0855076267468575</v>
      </c>
      <c r="BB37" s="33" t="n">
        <f aca="false">IF(AND(ISNUMBER(BB36),ISNUMBER(BA36)),IFERROR(BB36/BA36-1,""),"")</f>
        <v>0.07814305715929</v>
      </c>
      <c r="BK37" s="24" t="s">
        <v>91</v>
      </c>
      <c r="BL37" s="38" t="n">
        <f aca="false">BM37+$BL$33</f>
        <v>0.25</v>
      </c>
      <c r="BM37" s="25" t="n">
        <v>0.255</v>
      </c>
      <c r="BN37" s="38" t="n">
        <f aca="false">BM37+$BN$33</f>
        <v>0.263</v>
      </c>
    </row>
    <row r="38" customFormat="false" ht="15" hidden="false" customHeight="true" outlineLevel="0" collapsed="false">
      <c r="B38" s="31" t="s">
        <v>118</v>
      </c>
      <c r="AS38" s="39" t="n">
        <v>0.1</v>
      </c>
      <c r="AU38" s="39" t="n">
        <v>0.119</v>
      </c>
      <c r="AV38" s="39" t="n">
        <v>0.206</v>
      </c>
    </row>
    <row r="39" customFormat="false" ht="15" hidden="false" customHeight="true" outlineLevel="0" collapsed="false">
      <c r="B39" s="14" t="s">
        <v>119</v>
      </c>
      <c r="C39" s="34" t="n">
        <v>12.541</v>
      </c>
      <c r="D39" s="35" t="n">
        <f aca="false">E39-C39</f>
        <v>11.613</v>
      </c>
      <c r="E39" s="34" t="n">
        <v>24.154</v>
      </c>
      <c r="F39" s="34" t="n">
        <v>19.12</v>
      </c>
      <c r="G39" s="35" t="n">
        <f aca="false">H39-F39</f>
        <v>13.061</v>
      </c>
      <c r="H39" s="34" t="n">
        <v>32.181</v>
      </c>
      <c r="I39" s="34" t="n">
        <v>19.665</v>
      </c>
      <c r="J39" s="35" t="n">
        <f aca="false">K39-I39</f>
        <v>19.186</v>
      </c>
      <c r="K39" s="34" t="n">
        <v>38.851</v>
      </c>
      <c r="L39" s="34" t="n">
        <v>24.087</v>
      </c>
      <c r="M39" s="35" t="n">
        <f aca="false">N39-L39</f>
        <v>23.746</v>
      </c>
      <c r="N39" s="34" t="n">
        <v>47.833</v>
      </c>
      <c r="O39" s="34" t="n">
        <v>30.521</v>
      </c>
      <c r="P39" s="35" t="n">
        <f aca="false">Q39-O39</f>
        <v>27.063</v>
      </c>
      <c r="Q39" s="34" t="n">
        <v>57.584</v>
      </c>
      <c r="R39" s="34" t="n">
        <v>35.487</v>
      </c>
      <c r="S39" s="35" t="n">
        <f aca="false">T39-R39</f>
        <v>40.227</v>
      </c>
      <c r="T39" s="34" t="n">
        <v>75.714</v>
      </c>
      <c r="U39" s="34" t="n">
        <v>42.695</v>
      </c>
      <c r="V39" s="35" t="n">
        <f aca="false">W39-U39</f>
        <v>46.665</v>
      </c>
      <c r="W39" s="34" t="n">
        <v>89.36</v>
      </c>
      <c r="X39" s="34" t="n">
        <v>55.086</v>
      </c>
      <c r="Y39" s="35" t="n">
        <f aca="false">Z39-X39</f>
        <v>58.747</v>
      </c>
      <c r="Z39" s="34" t="n">
        <v>113.833</v>
      </c>
      <c r="AA39" s="34" t="n">
        <v>60.631</v>
      </c>
      <c r="AB39" s="35" t="n">
        <f aca="false">AC39-AA39</f>
        <v>68.55</v>
      </c>
      <c r="AC39" s="34" t="n">
        <v>129.181</v>
      </c>
      <c r="AD39" s="34" t="n">
        <v>48.628</v>
      </c>
      <c r="AE39" s="35" t="n">
        <f aca="false">AF39-AD39</f>
        <v>72.812</v>
      </c>
      <c r="AF39" s="34" t="n">
        <v>121.44</v>
      </c>
      <c r="AG39" s="34" t="n">
        <v>76.849</v>
      </c>
      <c r="AH39" s="35" t="n">
        <f aca="false">AI39-AG39</f>
        <v>93.719</v>
      </c>
      <c r="AI39" s="34" t="n">
        <v>170.568</v>
      </c>
      <c r="AJ39" s="34" t="n">
        <v>97.789</v>
      </c>
      <c r="AK39" s="35" t="n">
        <f aca="false">AL39-AJ39</f>
        <v>120.659</v>
      </c>
      <c r="AL39" s="34" t="n">
        <v>218.448</v>
      </c>
      <c r="AM39" s="34" t="n">
        <v>152.166</v>
      </c>
      <c r="AN39" s="35" t="n">
        <f aca="false">AO39-AM39</f>
        <v>154.569</v>
      </c>
      <c r="AO39" s="34" t="n">
        <v>306.735</v>
      </c>
      <c r="AP39" s="34" t="n">
        <v>173.994</v>
      </c>
      <c r="AQ39" s="35" t="n">
        <f aca="false">AR39-AP39</f>
        <v>171.4</v>
      </c>
      <c r="AR39" s="34" t="n">
        <v>345.394</v>
      </c>
      <c r="AS39" s="34" t="n">
        <v>195.669</v>
      </c>
      <c r="AT39" s="35" t="n">
        <f aca="false">AU39-AS39</f>
        <v>196.874</v>
      </c>
      <c r="AU39" s="34" t="n">
        <v>392.543</v>
      </c>
      <c r="AV39" s="34" t="n">
        <v>215.158</v>
      </c>
      <c r="AW39" s="36" t="n">
        <f aca="false">AW51*AW52</f>
        <v>213.634940803826</v>
      </c>
      <c r="AX39" s="36" t="n">
        <f aca="false">AV39+AW39</f>
        <v>428.792940803826</v>
      </c>
      <c r="AY39" s="36" t="n">
        <f aca="false">AY51*AY52</f>
        <v>478.621557696032</v>
      </c>
      <c r="AZ39" s="36" t="n">
        <f aca="false">AZ51*AZ52</f>
        <v>524.703841775512</v>
      </c>
      <c r="BA39" s="36" t="n">
        <f aca="false">BA51*BA52</f>
        <v>572.182728553772</v>
      </c>
      <c r="BB39" s="36" t="n">
        <f aca="false">BB51*BB52</f>
        <v>619.737669563328</v>
      </c>
      <c r="BE39" s="37" t="n">
        <f aca="false">IFERROR(IF(AND(BB39&gt;0,AU39&gt;0),(BB39/AU39)^(1/5)-1,"n/m"),"n/m")</f>
        <v>0.0956305452055257</v>
      </c>
      <c r="BF39" s="37" t="n">
        <f aca="false">IFERROR(IF(AND(AU39&gt;0,AF39&gt;0),(AU39/AF39)^(1/5)-1,"n/m"),"n/m")</f>
        <v>0.264460000976072</v>
      </c>
      <c r="BG39" s="37" t="n">
        <f aca="false">IFERROR(IF(AND(AU39&gt;0,Q39&gt;0),(AU39/Q39)^(1/10)-1,"n/m"),"n/m")</f>
        <v>0.211597980545071</v>
      </c>
      <c r="BH39" s="37" t="n">
        <f aca="false">IFERROR(IF(AND(AU39&gt;0,E39&gt;0),(AU39/E39)^(1/14)-1,"n/m"),"n/m")</f>
        <v>0.220373382796472</v>
      </c>
      <c r="BK39" s="10" t="s">
        <v>120</v>
      </c>
      <c r="BL39" s="25" t="n">
        <v>-0.003</v>
      </c>
      <c r="BM39" s="25" t="s">
        <v>80</v>
      </c>
      <c r="BN39" s="25" t="n">
        <v>0.005</v>
      </c>
      <c r="BO39" s="4" t="s">
        <v>121</v>
      </c>
    </row>
    <row r="40" customFormat="false" ht="15" hidden="false" customHeight="true" outlineLevel="0" collapsed="false">
      <c r="B40" s="31" t="s">
        <v>122</v>
      </c>
      <c r="F40" s="32" t="n">
        <f aca="false">IF(AND(ISNUMBER(F39),ISNUMBER(C39)),IFERROR(F39/C39-1,""),"")</f>
        <v>0.524599314249262</v>
      </c>
      <c r="G40" s="32" t="n">
        <f aca="false">IF(AND(ISNUMBER(G39),ISNUMBER(D39)),IFERROR(G39/D39-1,""),"")</f>
        <v>0.124687849823473</v>
      </c>
      <c r="H40" s="32" t="n">
        <f aca="false">IF(AND(ISNUMBER(H39),ISNUMBER(E39)),IFERROR(H39/E39-1,""),"")</f>
        <v>0.332325908752174</v>
      </c>
      <c r="I40" s="32" t="n">
        <f aca="false">IF(AND(ISNUMBER(I39),ISNUMBER(F39)),IFERROR(I39/F39-1,""),"")</f>
        <v>0.0285041841004183</v>
      </c>
      <c r="J40" s="32" t="n">
        <f aca="false">IF(AND(ISNUMBER(J39),ISNUMBER(G39)),IFERROR(J39/G39-1,""),"")</f>
        <v>0.468953372636093</v>
      </c>
      <c r="K40" s="32" t="n">
        <f aca="false">IF(AND(ISNUMBER(K39),ISNUMBER(H39)),IFERROR(K39/H39-1,""),"")</f>
        <v>0.20726515645878</v>
      </c>
      <c r="L40" s="32" t="n">
        <f aca="false">IF(AND(ISNUMBER(L39),ISNUMBER(I39)),IFERROR(L39/I39-1,""),"")</f>
        <v>0.224866514111366</v>
      </c>
      <c r="M40" s="32" t="n">
        <f aca="false">IF(AND(ISNUMBER(M39),ISNUMBER(J39)),IFERROR(M39/J39-1,""),"")</f>
        <v>0.237673303450433</v>
      </c>
      <c r="N40" s="32" t="n">
        <f aca="false">IF(AND(ISNUMBER(N39),ISNUMBER(K39)),IFERROR(N39/K39-1,""),"")</f>
        <v>0.231190960335641</v>
      </c>
      <c r="O40" s="32" t="n">
        <f aca="false">IF(AND(ISNUMBER(O39),ISNUMBER(L39)),IFERROR(O39/L39-1,""),"")</f>
        <v>0.26711504130859</v>
      </c>
      <c r="P40" s="32" t="n">
        <f aca="false">IF(AND(ISNUMBER(P39),ISNUMBER(M39)),IFERROR(P39/M39-1,""),"")</f>
        <v>0.139686684073107</v>
      </c>
      <c r="Q40" s="32" t="n">
        <f aca="false">IF(AND(ISNUMBER(Q39),ISNUMBER(N39)),IFERROR(Q39/N39-1,""),"")</f>
        <v>0.203855079129471</v>
      </c>
      <c r="R40" s="32" t="n">
        <f aca="false">IF(AND(ISNUMBER(R39),ISNUMBER(O39)),IFERROR(R39/O39-1,""),"")</f>
        <v>0.162707643917303</v>
      </c>
      <c r="S40" s="32" t="n">
        <f aca="false">IF(AND(ISNUMBER(S39),ISNUMBER(P39)),IFERROR(S39/P39-1,""),"")</f>
        <v>0.486420574215719</v>
      </c>
      <c r="T40" s="32" t="n">
        <f aca="false">IF(AND(ISNUMBER(T39),ISNUMBER(Q39)),IFERROR(T39/Q39-1,""),"")</f>
        <v>0.314844401222562</v>
      </c>
      <c r="U40" s="32" t="n">
        <f aca="false">IF(AND(ISNUMBER(U39),ISNUMBER(R39)),IFERROR(U39/R39-1,""),"")</f>
        <v>0.203116634260433</v>
      </c>
      <c r="V40" s="32" t="n">
        <f aca="false">IF(AND(ISNUMBER(V39),ISNUMBER(S39)),IFERROR(V39/S39-1,""),"")</f>
        <v>0.160041762995004</v>
      </c>
      <c r="W40" s="32" t="n">
        <f aca="false">IF(AND(ISNUMBER(W39),ISNUMBER(T39)),IFERROR(W39/T39-1,""),"")</f>
        <v>0.180230868795731</v>
      </c>
      <c r="X40" s="32" t="n">
        <f aca="false">IF(AND(ISNUMBER(X39),ISNUMBER(U39)),IFERROR(X39/U39-1,""),"")</f>
        <v>0.290221337393137</v>
      </c>
      <c r="Y40" s="32" t="n">
        <f aca="false">IF(AND(ISNUMBER(Y39),ISNUMBER(V39)),IFERROR(Y39/V39-1,""),"")</f>
        <v>0.258909246758813</v>
      </c>
      <c r="Z40" s="32" t="n">
        <f aca="false">IF(AND(ISNUMBER(Z39),ISNUMBER(W39)),IFERROR(Z39/W39-1,""),"")</f>
        <v>0.273869740376007</v>
      </c>
      <c r="AA40" s="32" t="n">
        <f aca="false">IF(AND(ISNUMBER(AA39),ISNUMBER(X39)),IFERROR(AA39/X39-1,""),"")</f>
        <v>0.100660784954435</v>
      </c>
      <c r="AB40" s="32" t="n">
        <f aca="false">IF(AND(ISNUMBER(AB39),ISNUMBER(Y39)),IFERROR(AB39/Y39-1,""),"")</f>
        <v>0.166868095392105</v>
      </c>
      <c r="AC40" s="32" t="n">
        <f aca="false">IF(AND(ISNUMBER(AC39),ISNUMBER(Z39)),IFERROR(AC39/Z39-1,""),"")</f>
        <v>0.134829091739654</v>
      </c>
      <c r="AD40" s="32" t="n">
        <f aca="false">IF(AND(ISNUMBER(AD39),ISNUMBER(AA39)),IFERROR(AD39/AA39-1,""),"")</f>
        <v>-0.197968036153123</v>
      </c>
      <c r="AE40" s="32" t="n">
        <f aca="false">IF(AND(ISNUMBER(AE39),ISNUMBER(AB39)),IFERROR(AE39/AB39-1,""),"")</f>
        <v>0.06217359591539</v>
      </c>
      <c r="AF40" s="32" t="n">
        <f aca="false">IF(AND(ISNUMBER(AF39),ISNUMBER(AC39)),IFERROR(AF39/AC39-1,""),"")</f>
        <v>-0.0599236729859656</v>
      </c>
      <c r="AG40" s="32" t="n">
        <f aca="false">IF(AND(ISNUMBER(AG39),ISNUMBER(AD39)),IFERROR(AG39/AD39-1,""),"")</f>
        <v>0.580344657399029</v>
      </c>
      <c r="AH40" s="32" t="n">
        <f aca="false">IF(AND(ISNUMBER(AH39),ISNUMBER(AE39)),IFERROR(AH39/AE39-1,""),"")</f>
        <v>0.287136735702906</v>
      </c>
      <c r="AI40" s="32" t="n">
        <f aca="false">IF(AND(ISNUMBER(AI39),ISNUMBER(AF39)),IFERROR(AI39/AF39-1,""),"")</f>
        <v>0.404545454545455</v>
      </c>
      <c r="AJ40" s="32" t="n">
        <f aca="false">IF(AND(ISNUMBER(AJ39),ISNUMBER(AG39)),IFERROR(AJ39/AG39-1,""),"")</f>
        <v>0.272482400551731</v>
      </c>
      <c r="AK40" s="32" t="n">
        <f aca="false">IF(AND(ISNUMBER(AK39),ISNUMBER(AH39)),IFERROR(AK39/AH39-1,""),"")</f>
        <v>0.287455051803796</v>
      </c>
      <c r="AL40" s="32" t="n">
        <f aca="false">IF(AND(ISNUMBER(AL39),ISNUMBER(AI39)),IFERROR(AL39/AI39-1,""),"")</f>
        <v>0.280709159983115</v>
      </c>
      <c r="AM40" s="32" t="n">
        <f aca="false">IF(AND(ISNUMBER(AM39),ISNUMBER(AJ39)),IFERROR(AM39/AJ39-1,""),"")</f>
        <v>0.5560645880416</v>
      </c>
      <c r="AN40" s="32" t="n">
        <f aca="false">IF(AND(ISNUMBER(AN39),ISNUMBER(AK39)),IFERROR(AN39/AK39-1,""),"")</f>
        <v>0.281039955577288</v>
      </c>
      <c r="AO40" s="32" t="n">
        <f aca="false">IF(AND(ISNUMBER(AO39),ISNUMBER(AL39)),IFERROR(AO39/AL39-1,""),"")</f>
        <v>0.404155680070314</v>
      </c>
      <c r="AP40" s="32" t="n">
        <f aca="false">IF(AND(ISNUMBER(AP39),ISNUMBER(AM39)),IFERROR(AP39/AM39-1,""),"")</f>
        <v>0.143448602184457</v>
      </c>
      <c r="AQ40" s="32" t="n">
        <f aca="false">IF(AND(ISNUMBER(AQ39),ISNUMBER(AN39)),IFERROR(AQ39/AN39-1,""),"")</f>
        <v>0.108889880894617</v>
      </c>
      <c r="AR40" s="32" t="n">
        <f aca="false">IF(AND(ISNUMBER(AR39),ISNUMBER(AO39)),IFERROR(AR39/AO39-1,""),"")</f>
        <v>0.12603387288702</v>
      </c>
      <c r="AS40" s="32" t="n">
        <f aca="false">IF(AND(ISNUMBER(AS39),ISNUMBER(AP39)),IFERROR(AS39/AP39-1,""),"")</f>
        <v>0.124573261146936</v>
      </c>
      <c r="AT40" s="32" t="n">
        <f aca="false">IF(AND(ISNUMBER(AT39),ISNUMBER(AQ39)),IFERROR(AT39/AQ39-1,""),"")</f>
        <v>0.148623103850642</v>
      </c>
      <c r="AU40" s="32" t="n">
        <f aca="false">IF(AND(ISNUMBER(AU39),ISNUMBER(AR39)),IFERROR(AU39/AR39-1,""),"")</f>
        <v>0.136507872169175</v>
      </c>
      <c r="AV40" s="32" t="n">
        <f aca="false">IF(AND(ISNUMBER(AV39),ISNUMBER(AS39)),IFERROR(AV39/AS39-1,""),"")</f>
        <v>0.0996018786828776</v>
      </c>
      <c r="AW40" s="33" t="n">
        <f aca="false">IF(AND(ISNUMBER(AW39),ISNUMBER(AT39)),IFERROR(AW39/AT39-1,""),"")</f>
        <v>0.0851353698498845</v>
      </c>
      <c r="AX40" s="33" t="n">
        <f aca="false">IF(AND(ISNUMBER(AX39),ISNUMBER(AU39)),IFERROR(AX39/AU39-1,""),"")</f>
        <v>0.0923464201471587</v>
      </c>
      <c r="AY40" s="33" t="n">
        <f aca="false">IF(AND(ISNUMBER(AY39),ISNUMBER(AX39)),IFERROR(AY39/AX39-1,""),"")</f>
        <v>0.116206709930429</v>
      </c>
      <c r="AZ40" s="33" t="n">
        <f aca="false">IF(AND(ISNUMBER(AZ39),ISNUMBER(AY39)),IFERROR(AZ39/AY39-1,""),"")</f>
        <v>0.0962812546541141</v>
      </c>
      <c r="BA40" s="33" t="n">
        <f aca="false">IF(AND(ISNUMBER(BA39),ISNUMBER(AZ39)),IFERROR(BA39/AZ39-1,""),"")</f>
        <v>0.0904870195301</v>
      </c>
      <c r="BB40" s="33" t="n">
        <f aca="false">IF(AND(ISNUMBER(BB39),ISNUMBER(BA39)),IFERROR(BB39/BA39-1,""),"")</f>
        <v>0.083111458344356</v>
      </c>
      <c r="BK40" s="24" t="s">
        <v>84</v>
      </c>
      <c r="BL40" s="38" t="n">
        <f aca="false">BM40+$BL$39</f>
        <v>0.178</v>
      </c>
      <c r="BM40" s="25" t="n">
        <v>0.181</v>
      </c>
      <c r="BN40" s="38" t="n">
        <f aca="false">BM40+$BN$39</f>
        <v>0.186</v>
      </c>
    </row>
    <row r="41" customFormat="false" ht="15" hidden="false" customHeight="true" outlineLevel="0" collapsed="false">
      <c r="B41" s="31" t="s">
        <v>123</v>
      </c>
      <c r="AS41" s="39" t="n">
        <v>0.13</v>
      </c>
      <c r="AU41" s="39" t="n">
        <v>0.153</v>
      </c>
      <c r="AV41" s="39" t="n">
        <v>0.141</v>
      </c>
      <c r="BK41" s="24" t="s">
        <v>86</v>
      </c>
      <c r="BL41" s="38" t="n">
        <f aca="false">BM41+$BL$39</f>
        <v>0.177</v>
      </c>
      <c r="BM41" s="25" t="n">
        <v>0.18</v>
      </c>
      <c r="BN41" s="38" t="n">
        <f aca="false">BM41+$BN$39</f>
        <v>0.185</v>
      </c>
    </row>
    <row r="42" customFormat="false" ht="15" hidden="false" customHeight="true" outlineLevel="0" collapsed="false">
      <c r="B42" s="20" t="s">
        <v>124</v>
      </c>
      <c r="C42" s="42" t="n">
        <v>37.642</v>
      </c>
      <c r="D42" s="26" t="n">
        <f aca="false">E42-C42</f>
        <v>37.162</v>
      </c>
      <c r="E42" s="42" t="n">
        <v>74.804</v>
      </c>
      <c r="F42" s="42" t="n">
        <v>36.605</v>
      </c>
      <c r="G42" s="26" t="n">
        <f aca="false">H42-F42</f>
        <v>32.057</v>
      </c>
      <c r="H42" s="42" t="n">
        <v>68.662</v>
      </c>
      <c r="I42" s="42" t="n">
        <v>36.174</v>
      </c>
      <c r="J42" s="26" t="n">
        <f aca="false">K42-I42</f>
        <v>30.49</v>
      </c>
      <c r="K42" s="42" t="n">
        <v>66.664</v>
      </c>
      <c r="L42" s="42" t="n">
        <v>36.26</v>
      </c>
      <c r="M42" s="26" t="n">
        <f aca="false">N42-L42</f>
        <v>32.234</v>
      </c>
      <c r="N42" s="42" t="n">
        <v>68.494</v>
      </c>
      <c r="O42" s="42" t="n">
        <v>36.906</v>
      </c>
      <c r="P42" s="26" t="n">
        <f aca="false">Q42-O42</f>
        <v>34.088</v>
      </c>
      <c r="Q42" s="42" t="n">
        <v>70.994</v>
      </c>
      <c r="R42" s="42" t="n">
        <v>39.464</v>
      </c>
      <c r="S42" s="26" t="n">
        <f aca="false">T42-R42</f>
        <v>36.734</v>
      </c>
      <c r="T42" s="42" t="n">
        <v>76.198</v>
      </c>
      <c r="U42" s="42" t="n">
        <v>41.814</v>
      </c>
      <c r="V42" s="26" t="n">
        <f aca="false">W42-U42</f>
        <v>42.883</v>
      </c>
      <c r="W42" s="42" t="n">
        <v>84.697</v>
      </c>
      <c r="X42" s="42" t="n">
        <v>43.826</v>
      </c>
      <c r="Y42" s="26" t="n">
        <f aca="false">Z42-X42</f>
        <v>44.394</v>
      </c>
      <c r="Z42" s="42" t="n">
        <v>88.22</v>
      </c>
      <c r="AA42" s="42" t="n">
        <v>44.308</v>
      </c>
      <c r="AB42" s="26" t="n">
        <f aca="false">AC42-AA42</f>
        <v>45.412</v>
      </c>
      <c r="AC42" s="42" t="n">
        <v>89.72</v>
      </c>
      <c r="AD42" s="42" t="n">
        <v>28.943</v>
      </c>
      <c r="AE42" s="26" t="n">
        <f aca="false">AF42-AD42</f>
        <v>39.38</v>
      </c>
      <c r="AF42" s="42" t="n">
        <v>68.323</v>
      </c>
      <c r="AG42" s="42" t="n">
        <v>41.038</v>
      </c>
      <c r="AH42" s="26" t="n">
        <f aca="false">AI42-AG42</f>
        <v>43.185</v>
      </c>
      <c r="AI42" s="42" t="n">
        <v>84.223</v>
      </c>
      <c r="AJ42" s="42" t="n">
        <v>49.187</v>
      </c>
      <c r="AK42" s="26" t="n">
        <f aca="false">AL42-AJ42</f>
        <v>53.566</v>
      </c>
      <c r="AL42" s="42" t="n">
        <v>102.753</v>
      </c>
      <c r="AM42" s="42" t="n">
        <v>60.888</v>
      </c>
      <c r="AN42" s="26" t="n">
        <f aca="false">AO42-AM42</f>
        <v>67.964</v>
      </c>
      <c r="AO42" s="42" t="n">
        <v>128.852</v>
      </c>
      <c r="AP42" s="42" t="n">
        <v>68.093</v>
      </c>
      <c r="AQ42" s="26" t="n">
        <f aca="false">AR42-AP42</f>
        <v>72.828</v>
      </c>
      <c r="AR42" s="42" t="n">
        <v>140.921</v>
      </c>
      <c r="AS42" s="42" t="n">
        <v>78.828</v>
      </c>
      <c r="AT42" s="26" t="n">
        <f aca="false">AU42-AS42</f>
        <v>79.872</v>
      </c>
      <c r="AU42" s="42" t="n">
        <v>158.7</v>
      </c>
      <c r="BK42" s="24" t="s">
        <v>89</v>
      </c>
      <c r="BL42" s="38" t="n">
        <f aca="false">BM42+$BL$39</f>
        <v>0.177</v>
      </c>
      <c r="BM42" s="25" t="n">
        <v>0.18</v>
      </c>
      <c r="BN42" s="38" t="n">
        <f aca="false">BM42+$BN$39</f>
        <v>0.185</v>
      </c>
    </row>
    <row r="43" customFormat="false" ht="15" hidden="false" customHeight="true" outlineLevel="0" collapsed="false">
      <c r="B43" s="20" t="s">
        <v>125</v>
      </c>
      <c r="C43" s="42" t="n">
        <v>37.53</v>
      </c>
      <c r="D43" s="26" t="n">
        <f aca="false">E43-C43</f>
        <v>37.186</v>
      </c>
      <c r="E43" s="42" t="n">
        <v>74.716</v>
      </c>
      <c r="F43" s="42" t="n">
        <v>44.033</v>
      </c>
      <c r="G43" s="26" t="n">
        <f aca="false">H43-F43</f>
        <v>45.891</v>
      </c>
      <c r="H43" s="42" t="n">
        <v>89.924</v>
      </c>
      <c r="I43" s="42" t="n">
        <v>54.843</v>
      </c>
      <c r="J43" s="26" t="n">
        <f aca="false">K43-I43</f>
        <v>53.054</v>
      </c>
      <c r="K43" s="42" t="n">
        <v>107.897</v>
      </c>
      <c r="L43" s="42" t="n">
        <v>60.048</v>
      </c>
      <c r="M43" s="26" t="n">
        <f aca="false">N43-L43</f>
        <v>56.651</v>
      </c>
      <c r="N43" s="42" t="n">
        <v>116.699</v>
      </c>
      <c r="O43" s="42" t="n">
        <v>63.213</v>
      </c>
      <c r="P43" s="26" t="n">
        <f aca="false">Q43-O43</f>
        <v>65.765</v>
      </c>
      <c r="Q43" s="42" t="n">
        <v>128.978</v>
      </c>
      <c r="R43" s="42" t="n">
        <v>68.444</v>
      </c>
      <c r="S43" s="26" t="n">
        <f aca="false">T43-R43</f>
        <v>67.958</v>
      </c>
      <c r="T43" s="42" t="n">
        <v>136.402</v>
      </c>
      <c r="U43" s="42" t="n">
        <v>75.234</v>
      </c>
      <c r="V43" s="26" t="n">
        <f aca="false">W43-U43</f>
        <v>75.624</v>
      </c>
      <c r="W43" s="42" t="n">
        <v>150.858</v>
      </c>
      <c r="X43" s="42" t="n">
        <v>84.251</v>
      </c>
      <c r="Y43" s="26" t="n">
        <f aca="false">Z43-X43</f>
        <v>79.456</v>
      </c>
      <c r="Z43" s="42" t="n">
        <v>163.707</v>
      </c>
      <c r="AA43" s="42" t="n">
        <v>92.397</v>
      </c>
      <c r="AB43" s="26" t="n">
        <f aca="false">AC43-AA43</f>
        <v>92.354</v>
      </c>
      <c r="AC43" s="42" t="n">
        <v>184.751</v>
      </c>
      <c r="AD43" s="42" t="n">
        <v>70.088</v>
      </c>
      <c r="AE43" s="26" t="n">
        <f aca="false">AF43-AD43</f>
        <v>111.384</v>
      </c>
      <c r="AF43" s="42" t="n">
        <v>181.472</v>
      </c>
      <c r="AG43" s="42" t="n">
        <v>95.894</v>
      </c>
      <c r="AH43" s="26" t="n">
        <f aca="false">AI43-AG43</f>
        <v>123.256</v>
      </c>
      <c r="AI43" s="42" t="n">
        <v>219.15</v>
      </c>
      <c r="AJ43" s="42" t="n">
        <v>115.768</v>
      </c>
      <c r="AK43" s="26" t="n">
        <f aca="false">AL43-AJ43</f>
        <v>148.046</v>
      </c>
      <c r="AL43" s="42" t="n">
        <v>263.814</v>
      </c>
      <c r="AM43" s="42" t="n">
        <v>141.881</v>
      </c>
      <c r="AN43" s="26" t="n">
        <f aca="false">AO43-AM43</f>
        <v>157.499</v>
      </c>
      <c r="AO43" s="42" t="n">
        <v>299.38</v>
      </c>
      <c r="AP43" s="42" t="n">
        <v>152.959</v>
      </c>
      <c r="AQ43" s="26" t="n">
        <f aca="false">AR43-AP43</f>
        <v>162.707</v>
      </c>
      <c r="AR43" s="42" t="n">
        <v>315.666</v>
      </c>
      <c r="BK43" s="24" t="s">
        <v>91</v>
      </c>
      <c r="BL43" s="38" t="n">
        <f aca="false">BM43+$BL$39</f>
        <v>0.176</v>
      </c>
      <c r="BM43" s="25" t="n">
        <v>0.179</v>
      </c>
      <c r="BN43" s="38" t="n">
        <f aca="false">BM43+$BN$39</f>
        <v>0.184</v>
      </c>
    </row>
    <row r="44" customFormat="false" ht="15" hidden="false" customHeight="true" outlineLevel="0" collapsed="false">
      <c r="B44" s="20" t="s">
        <v>126</v>
      </c>
      <c r="C44" s="42" t="n">
        <v>4.08</v>
      </c>
      <c r="D44" s="26" t="n">
        <f aca="false">E44-C44</f>
        <v>4.449</v>
      </c>
      <c r="E44" s="42" t="n">
        <v>8.529</v>
      </c>
      <c r="F44" s="42" t="n">
        <v>6.184</v>
      </c>
      <c r="G44" s="26" t="n">
        <f aca="false">H44-F44</f>
        <v>4.131</v>
      </c>
      <c r="H44" s="42" t="n">
        <v>10.315</v>
      </c>
      <c r="I44" s="42" t="n">
        <v>7.226</v>
      </c>
      <c r="J44" s="26" t="n">
        <f aca="false">K44-I44</f>
        <v>8.502</v>
      </c>
      <c r="K44" s="42" t="n">
        <v>15.728</v>
      </c>
      <c r="L44" s="42" t="n">
        <v>10.367</v>
      </c>
      <c r="M44" s="26" t="n">
        <f aca="false">N44-L44</f>
        <v>10.505</v>
      </c>
      <c r="N44" s="42" t="n">
        <v>20.872</v>
      </c>
      <c r="O44" s="42" t="n">
        <v>11.867</v>
      </c>
      <c r="P44" s="26" t="n">
        <f aca="false">Q44-O44</f>
        <v>13.871</v>
      </c>
      <c r="Q44" s="42" t="n">
        <v>25.738</v>
      </c>
      <c r="R44" s="42" t="n">
        <v>13.651</v>
      </c>
      <c r="S44" s="26" t="n">
        <f aca="false">T44-R44</f>
        <v>17.697</v>
      </c>
      <c r="T44" s="42" t="n">
        <v>31.348</v>
      </c>
      <c r="U44" s="42" t="n">
        <v>18.371</v>
      </c>
      <c r="V44" s="26" t="n">
        <f aca="false">W44-U44</f>
        <v>24.325</v>
      </c>
      <c r="W44" s="42" t="n">
        <v>42.696</v>
      </c>
      <c r="X44" s="42" t="n">
        <v>24.858</v>
      </c>
      <c r="Y44" s="26" t="n">
        <f aca="false">Z44-X44</f>
        <v>30.029</v>
      </c>
      <c r="Z44" s="42" t="n">
        <v>54.887</v>
      </c>
      <c r="AA44" s="42" t="n">
        <v>28.8</v>
      </c>
      <c r="AB44" s="26" t="n">
        <f aca="false">AC44-AA44</f>
        <v>34.098</v>
      </c>
      <c r="AC44" s="42" t="n">
        <v>62.898</v>
      </c>
      <c r="AD44" s="42" t="n">
        <v>22.863</v>
      </c>
      <c r="AE44" s="26" t="n">
        <f aca="false">AF44-AD44</f>
        <v>38.863</v>
      </c>
      <c r="AF44" s="42" t="n">
        <v>61.726</v>
      </c>
    </row>
    <row r="45" customFormat="false" ht="15" hidden="false" customHeight="true" outlineLevel="0" collapsed="false">
      <c r="B45" s="20" t="s">
        <v>127</v>
      </c>
      <c r="C45" s="42" t="n">
        <v>8.461</v>
      </c>
      <c r="D45" s="26" t="n">
        <f aca="false">E45-C45</f>
        <v>7.164</v>
      </c>
      <c r="E45" s="42" t="n">
        <v>15.625</v>
      </c>
      <c r="F45" s="42" t="n">
        <v>12.936</v>
      </c>
      <c r="G45" s="26" t="n">
        <f aca="false">H45-F45</f>
        <v>8.93</v>
      </c>
      <c r="H45" s="42" t="n">
        <v>21.866</v>
      </c>
      <c r="I45" s="42" t="n">
        <v>12.439</v>
      </c>
      <c r="J45" s="26" t="n">
        <f aca="false">K45-I45</f>
        <v>10.684</v>
      </c>
      <c r="K45" s="42" t="n">
        <v>23.123</v>
      </c>
      <c r="L45" s="42" t="n">
        <v>13.72</v>
      </c>
      <c r="M45" s="26" t="n">
        <f aca="false">N45-L45</f>
        <v>13.241</v>
      </c>
      <c r="N45" s="42" t="n">
        <v>26.961</v>
      </c>
      <c r="O45" s="42" t="n">
        <v>18.654</v>
      </c>
      <c r="P45" s="26" t="n">
        <f aca="false">Q45-O45</f>
        <v>13.192</v>
      </c>
      <c r="Q45" s="42" t="n">
        <v>31.846</v>
      </c>
      <c r="R45" s="42" t="n">
        <v>21.836</v>
      </c>
      <c r="S45" s="26" t="n">
        <f aca="false">T45-R45</f>
        <v>22.53</v>
      </c>
      <c r="T45" s="42" t="n">
        <v>44.366</v>
      </c>
      <c r="U45" s="42" t="n">
        <v>24.324</v>
      </c>
      <c r="V45" s="26" t="n">
        <f aca="false">W45-U45</f>
        <v>22.34</v>
      </c>
      <c r="W45" s="42" t="n">
        <v>46.664</v>
      </c>
      <c r="X45" s="42" t="n">
        <v>30.228</v>
      </c>
      <c r="Y45" s="26" t="n">
        <f aca="false">Z45-X45</f>
        <v>28.718</v>
      </c>
      <c r="Z45" s="42" t="n">
        <v>58.946</v>
      </c>
      <c r="AA45" s="42" t="n">
        <v>31.831</v>
      </c>
      <c r="AB45" s="26" t="n">
        <f aca="false">AC45-AA45</f>
        <v>34.452</v>
      </c>
      <c r="AC45" s="42" t="n">
        <v>66.283</v>
      </c>
      <c r="AD45" s="42" t="n">
        <v>25.765</v>
      </c>
      <c r="AE45" s="26" t="n">
        <f aca="false">AF45-AD45</f>
        <v>33.949</v>
      </c>
      <c r="AF45" s="42" t="n">
        <v>59.714</v>
      </c>
      <c r="BK45" s="10" t="s">
        <v>128</v>
      </c>
      <c r="BL45" s="25" t="n">
        <v>0</v>
      </c>
      <c r="BM45" s="25" t="s">
        <v>80</v>
      </c>
      <c r="BN45" s="25" t="n">
        <v>0</v>
      </c>
      <c r="BO45" s="4" t="s">
        <v>129</v>
      </c>
    </row>
    <row r="46" customFormat="false" ht="15" hidden="false" customHeight="true" outlineLevel="0" collapsed="false">
      <c r="B46" s="31" t="s">
        <v>130</v>
      </c>
      <c r="AW46" s="43" t="n">
        <v>0.06</v>
      </c>
      <c r="AY46" s="43" t="n">
        <v>0.07</v>
      </c>
      <c r="AZ46" s="43" t="n">
        <v>0.065</v>
      </c>
      <c r="BA46" s="43" t="n">
        <v>0.06</v>
      </c>
      <c r="BB46" s="43" t="n">
        <v>0.06</v>
      </c>
      <c r="BC46" s="18" t="s">
        <v>131</v>
      </c>
      <c r="BK46" s="24" t="s">
        <v>84</v>
      </c>
      <c r="BL46" s="38" t="n">
        <f aca="false">BM46+$BL$45</f>
        <v>0.065</v>
      </c>
      <c r="BM46" s="25" t="n">
        <v>0.065</v>
      </c>
      <c r="BN46" s="38" t="n">
        <f aca="false">BM46+$BN$45</f>
        <v>0.065</v>
      </c>
    </row>
    <row r="47" customFormat="false" ht="15" hidden="false" customHeight="true" outlineLevel="0" collapsed="false">
      <c r="B47" s="20" t="s">
        <v>132</v>
      </c>
      <c r="AW47" s="27" t="n">
        <f aca="false">AT33*(1+AW46+AW66)</f>
        <v>266.80942</v>
      </c>
      <c r="AY47" s="27" t="n">
        <f aca="false">AX33*(1+AY46)</f>
        <v>557.684705464874</v>
      </c>
      <c r="AZ47" s="27" t="n">
        <f aca="false">AY33*(1+AZ46)</f>
        <v>597.255272011462</v>
      </c>
      <c r="BA47" s="27" t="n">
        <f aca="false">AZ33*(1+BA46)</f>
        <v>630.950313169527</v>
      </c>
      <c r="BB47" s="27" t="n">
        <f aca="false">BA33*(1+BB46)</f>
        <v>666.050880427955</v>
      </c>
      <c r="BK47" s="24" t="s">
        <v>86</v>
      </c>
      <c r="BL47" s="38" t="n">
        <f aca="false">BM47+$BL$45</f>
        <v>0.065</v>
      </c>
      <c r="BM47" s="25" t="n">
        <v>0.065</v>
      </c>
      <c r="BN47" s="38" t="n">
        <f aca="false">BM47+$BN$45</f>
        <v>0.065</v>
      </c>
    </row>
    <row r="48" customFormat="false" ht="15" hidden="false" customHeight="true" outlineLevel="0" collapsed="false">
      <c r="B48" s="31" t="s">
        <v>133</v>
      </c>
      <c r="AW48" s="43" t="n">
        <v>0.1</v>
      </c>
      <c r="AY48" s="43" t="n">
        <v>0.11</v>
      </c>
      <c r="AZ48" s="43" t="n">
        <v>0.095</v>
      </c>
      <c r="BA48" s="43" t="n">
        <v>0.09</v>
      </c>
      <c r="BB48" s="43" t="n">
        <v>0.085</v>
      </c>
      <c r="BC48" s="18" t="s">
        <v>134</v>
      </c>
      <c r="BK48" s="24" t="s">
        <v>89</v>
      </c>
      <c r="BL48" s="38" t="n">
        <f aca="false">BM48+$BL$45</f>
        <v>0.065</v>
      </c>
      <c r="BM48" s="25" t="n">
        <v>0.065</v>
      </c>
      <c r="BN48" s="38" t="n">
        <f aca="false">BM48+$BN$45</f>
        <v>0.065</v>
      </c>
    </row>
    <row r="49" customFormat="false" ht="15" hidden="false" customHeight="true" outlineLevel="0" collapsed="false">
      <c r="B49" s="20" t="s">
        <v>135</v>
      </c>
      <c r="AW49" s="27" t="n">
        <f aca="false">AT36*(1+AW48+AW66)</f>
        <v>302.7585</v>
      </c>
      <c r="AY49" s="27" t="n">
        <f aca="false">AX36*(1+AY48)</f>
        <v>643.88691287036</v>
      </c>
      <c r="AZ49" s="27" t="n">
        <f aca="false">AY36*(1+AZ48)</f>
        <v>708.998583223066</v>
      </c>
      <c r="BA49" s="27" t="n">
        <f aca="false">AZ36*(1+BA48)</f>
        <v>770.195839487737</v>
      </c>
      <c r="BB49" s="27" t="n">
        <f aca="false">BA36*(1+BB48)</f>
        <v>832.218350247809</v>
      </c>
      <c r="BK49" s="24" t="s">
        <v>91</v>
      </c>
      <c r="BL49" s="38" t="n">
        <f aca="false">BM49+$BL$45</f>
        <v>0.065</v>
      </c>
      <c r="BM49" s="25" t="n">
        <v>0.065</v>
      </c>
      <c r="BN49" s="38" t="n">
        <f aca="false">BM49+$BN$45</f>
        <v>0.065</v>
      </c>
    </row>
    <row r="50" customFormat="false" ht="15" hidden="false" customHeight="true" outlineLevel="0" collapsed="false">
      <c r="B50" s="31" t="s">
        <v>136</v>
      </c>
      <c r="AW50" s="43" t="n">
        <v>0.09</v>
      </c>
      <c r="AY50" s="43" t="n">
        <v>0.11</v>
      </c>
      <c r="AZ50" s="43" t="n">
        <v>0.1</v>
      </c>
      <c r="BA50" s="43" t="n">
        <v>0.095</v>
      </c>
      <c r="BB50" s="43" t="n">
        <v>0.09</v>
      </c>
      <c r="BC50" s="18" t="s">
        <v>137</v>
      </c>
    </row>
    <row r="51" customFormat="false" ht="15" hidden="false" customHeight="true" outlineLevel="0" collapsed="false">
      <c r="B51" s="20" t="s">
        <v>138</v>
      </c>
      <c r="AW51" s="27" t="n">
        <f aca="false">AT39*(1+AW50+AW66)</f>
        <v>214.59266</v>
      </c>
      <c r="AY51" s="27" t="n">
        <f aca="false">AX39*(1+AY50)</f>
        <v>475.960164292247</v>
      </c>
      <c r="AZ51" s="27" t="n">
        <f aca="false">AY39*(1+AZ50)</f>
        <v>526.483713465635</v>
      </c>
      <c r="BA51" s="27" t="n">
        <f aca="false">AZ39*(1+BA50)</f>
        <v>574.550706744186</v>
      </c>
      <c r="BB51" s="27" t="n">
        <f aca="false">BA39*(1+BB50)</f>
        <v>623.679174123611</v>
      </c>
    </row>
    <row r="52" customFormat="false" ht="15" hidden="false" customHeight="true" outlineLevel="0" collapsed="false">
      <c r="B52" s="20" t="s">
        <v>139</v>
      </c>
      <c r="AW52" s="44" t="n">
        <f aca="false">IFERROR(AW62/(AW47+AW49+AW51),"")</f>
        <v>0.995537036559527</v>
      </c>
      <c r="AY52" s="44" t="n">
        <f aca="false">IFERROR(AY62/(AY47+AY49+AY51),"")</f>
        <v>1.00559163056795</v>
      </c>
      <c r="AZ52" s="44" t="n">
        <f aca="false">IFERROR(AZ62/(AZ47+AZ49+AZ51),"")</f>
        <v>0.996619322412831</v>
      </c>
      <c r="BA52" s="44" t="n">
        <f aca="false">IFERROR(BA62/(BA47+BA49+BA51),"")</f>
        <v>0.995878556648493</v>
      </c>
      <c r="BB52" s="44" t="n">
        <f aca="false">IFERROR(BB62/(BB47+BB49+BB51),"")</f>
        <v>0.993680237013171</v>
      </c>
      <c r="BC52" s="18" t="s">
        <v>140</v>
      </c>
    </row>
    <row r="53" customFormat="false" ht="15" hidden="false" customHeight="true" outlineLevel="0" collapsed="false">
      <c r="B53" s="45" t="s">
        <v>141</v>
      </c>
      <c r="C53" s="26" t="n">
        <f aca="false">IF(ISNUMBER(C33),ROUND(C33+C36+C39-C111,1),"")</f>
        <v>0</v>
      </c>
      <c r="D53" s="26" t="n">
        <f aca="false">IF(ISNUMBER(D33),ROUND(D33+D36+D39-D111,1),"")</f>
        <v>0</v>
      </c>
      <c r="E53" s="26" t="n">
        <f aca="false">IF(ISNUMBER(E33),ROUND(E33+E36+E39-E111,1),"")</f>
        <v>0</v>
      </c>
      <c r="F53" s="26" t="n">
        <f aca="false">IF(ISNUMBER(F33),ROUND(F33+F36+F39-F111,1),"")</f>
        <v>0</v>
      </c>
      <c r="G53" s="26" t="n">
        <f aca="false">IF(ISNUMBER(G33),ROUND(G33+G36+G39-G111,1),"")</f>
        <v>0</v>
      </c>
      <c r="H53" s="26" t="n">
        <f aca="false">IF(ISNUMBER(H33),ROUND(H33+H36+H39-H111,1),"")</f>
        <v>0</v>
      </c>
      <c r="I53" s="26" t="n">
        <f aca="false">IF(ISNUMBER(I33),ROUND(I33+I36+I39-I111,1),"")</f>
        <v>0</v>
      </c>
      <c r="J53" s="26" t="n">
        <f aca="false">IF(ISNUMBER(J33),ROUND(J33+J36+J39-J111,1),"")</f>
        <v>0</v>
      </c>
      <c r="K53" s="26" t="n">
        <f aca="false">IF(ISNUMBER(K33),ROUND(K33+K36+K39-K111,1),"")</f>
        <v>0</v>
      </c>
      <c r="L53" s="26" t="n">
        <f aca="false">IF(ISNUMBER(L33),ROUND(L33+L36+L39-L111,1),"")</f>
        <v>0</v>
      </c>
      <c r="M53" s="26" t="n">
        <f aca="false">IF(ISNUMBER(M33),ROUND(M33+M36+M39-M111,1),"")</f>
        <v>0</v>
      </c>
      <c r="N53" s="26" t="n">
        <f aca="false">IF(ISNUMBER(N33),ROUND(N33+N36+N39-N111,1),"")</f>
        <v>0</v>
      </c>
      <c r="O53" s="26" t="n">
        <f aca="false">IF(ISNUMBER(O33),ROUND(O33+O36+O39-O111,1),"")</f>
        <v>0</v>
      </c>
      <c r="P53" s="26" t="n">
        <f aca="false">IF(ISNUMBER(P33),ROUND(P33+P36+P39-P111,1),"")</f>
        <v>0</v>
      </c>
      <c r="Q53" s="26" t="n">
        <f aca="false">IF(ISNUMBER(Q33),ROUND(Q33+Q36+Q39-Q111,1),"")</f>
        <v>0</v>
      </c>
      <c r="R53" s="26" t="n">
        <f aca="false">IF(ISNUMBER(R33),ROUND(R33+R36+R39-R111,1),"")</f>
        <v>0</v>
      </c>
      <c r="S53" s="26" t="n">
        <f aca="false">IF(ISNUMBER(S33),ROUND(S33+S36+S39-S111,1),"")</f>
        <v>0</v>
      </c>
      <c r="T53" s="26" t="n">
        <f aca="false">IF(ISNUMBER(T33),ROUND(T33+T36+T39-T111,1),"")</f>
        <v>0</v>
      </c>
      <c r="U53" s="26" t="n">
        <f aca="false">IF(ISNUMBER(U33),ROUND(U33+U36+U39-U111,1),"")</f>
        <v>0</v>
      </c>
      <c r="V53" s="26" t="n">
        <f aca="false">IF(ISNUMBER(V33),ROUND(V33+V36+V39-V111,1),"")</f>
        <v>0</v>
      </c>
      <c r="W53" s="26" t="n">
        <f aca="false">IF(ISNUMBER(W33),ROUND(W33+W36+W39-W111,1),"")</f>
        <v>0</v>
      </c>
      <c r="X53" s="26" t="n">
        <f aca="false">IF(ISNUMBER(X33),ROUND(X33+X36+X39-X111,1),"")</f>
        <v>0</v>
      </c>
      <c r="Y53" s="26" t="n">
        <f aca="false">IF(ISNUMBER(Y33),ROUND(Y33+Y36+Y39-Y111,1),"")</f>
        <v>0</v>
      </c>
      <c r="Z53" s="26" t="n">
        <f aca="false">IF(ISNUMBER(Z33),ROUND(Z33+Z36+Z39-Z111,1),"")</f>
        <v>0</v>
      </c>
      <c r="AA53" s="26" t="n">
        <f aca="false">IF(ISNUMBER(AA33),ROUND(AA33+AA36+AA39-AA111,1),"")</f>
        <v>0</v>
      </c>
      <c r="AB53" s="26" t="n">
        <f aca="false">IF(ISNUMBER(AB33),ROUND(AB33+AB36+AB39-AB111,1),"")</f>
        <v>0</v>
      </c>
      <c r="AC53" s="26" t="n">
        <f aca="false">IF(ISNUMBER(AC33),ROUND(AC33+AC36+AC39-AC111,1),"")</f>
        <v>0</v>
      </c>
      <c r="AD53" s="26" t="n">
        <f aca="false">IF(ISNUMBER(AD33),ROUND(AD33+AD36+AD39-AD111,1),"")</f>
        <v>0</v>
      </c>
      <c r="AE53" s="26" t="n">
        <f aca="false">IF(ISNUMBER(AE33),ROUND(AE33+AE36+AE39-AE111,1),"")</f>
        <v>0</v>
      </c>
      <c r="AF53" s="26" t="n">
        <f aca="false">IF(ISNUMBER(AF33),ROUND(AF33+AF36+AF39-AF111,1),"")</f>
        <v>0</v>
      </c>
      <c r="AG53" s="26" t="n">
        <f aca="false">IF(ISNUMBER(AG33),ROUND(AG33+AG36+AG39-AG111,1),"")</f>
        <v>0</v>
      </c>
      <c r="AH53" s="26" t="n">
        <f aca="false">IF(ISNUMBER(AH33),ROUND(AH33+AH36+AH39-AH111,1),"")</f>
        <v>0</v>
      </c>
      <c r="AI53" s="26" t="n">
        <f aca="false">IF(ISNUMBER(AI33),ROUND(AI33+AI36+AI39-AI111,1),"")</f>
        <v>0</v>
      </c>
      <c r="AJ53" s="26" t="n">
        <f aca="false">IF(ISNUMBER(AJ33),ROUND(AJ33+AJ36+AJ39-AJ111,1),"")</f>
        <v>0</v>
      </c>
      <c r="AK53" s="26" t="n">
        <f aca="false">IF(ISNUMBER(AK33),ROUND(AK33+AK36+AK39-AK111,1),"")</f>
        <v>0</v>
      </c>
      <c r="AL53" s="26" t="n">
        <f aca="false">IF(ISNUMBER(AL33),ROUND(AL33+AL36+AL39-AL111,1),"")</f>
        <v>0</v>
      </c>
      <c r="AM53" s="26" t="n">
        <f aca="false">IF(ISNUMBER(AM33),ROUND(AM33+AM36+AM39-AM111,1),"")</f>
        <v>0</v>
      </c>
      <c r="AN53" s="26" t="n">
        <f aca="false">IF(ISNUMBER(AN33),ROUND(AN33+AN36+AN39-AN111,1),"")</f>
        <v>0</v>
      </c>
      <c r="AO53" s="26" t="n">
        <f aca="false">IF(ISNUMBER(AO33),ROUND(AO33+AO36+AO39-AO111,1),"")</f>
        <v>0</v>
      </c>
      <c r="AP53" s="26" t="n">
        <f aca="false">IF(ISNUMBER(AP33),ROUND(AP33+AP36+AP39-AP111,1),"")</f>
        <v>0</v>
      </c>
      <c r="AQ53" s="26" t="n">
        <f aca="false">IF(ISNUMBER(AQ33),ROUND(AQ33+AQ36+AQ39-AQ111,1),"")</f>
        <v>0</v>
      </c>
      <c r="AR53" s="26" t="n">
        <f aca="false">IF(ISNUMBER(AR33),ROUND(AR33+AR36+AR39-AR111,1),"")</f>
        <v>0</v>
      </c>
      <c r="AS53" s="26" t="n">
        <f aca="false">IF(ISNUMBER(AS33),ROUND(AS33+AS36+AS39-AS111,1),"")</f>
        <v>0</v>
      </c>
      <c r="AT53" s="26" t="n">
        <f aca="false">IF(ISNUMBER(AT33),ROUND(AT33+AT36+AT39-AT111,1),"")</f>
        <v>0</v>
      </c>
      <c r="AU53" s="26" t="n">
        <f aca="false">IF(ISNUMBER(AU33),ROUND(AU33+AU36+AU39-AU111,1),"")</f>
        <v>0</v>
      </c>
      <c r="AV53" s="26" t="n">
        <f aca="false">IF(ISNUMBER(AV33),ROUND(AV33+AV36+AV39-AV111,1),"")</f>
        <v>0</v>
      </c>
      <c r="AW53" s="27" t="n">
        <f aca="false">IF(ISNUMBER(AW33),ROUND(AW33+AW36+AW39-AW111,1),"")</f>
        <v>0</v>
      </c>
      <c r="AX53" s="27" t="n">
        <f aca="false">IF(ISNUMBER(AX33),ROUND(AX33+AX36+AX39-AX111,1),"")</f>
        <v>0</v>
      </c>
      <c r="AY53" s="27" t="n">
        <f aca="false">IF(ISNUMBER(AY33),ROUND(AY33+AY36+AY39-AY111,1),"")</f>
        <v>0</v>
      </c>
      <c r="AZ53" s="27" t="n">
        <f aca="false">IF(ISNUMBER(AZ33),ROUND(AZ33+AZ36+AZ39-AZ111,1),"")</f>
        <v>0</v>
      </c>
      <c r="BA53" s="27" t="n">
        <f aca="false">IF(ISNUMBER(BA33),ROUND(BA33+BA36+BA39-BA111,1),"")</f>
        <v>0</v>
      </c>
      <c r="BB53" s="27" t="n">
        <f aca="false">IF(ISNUMBER(BB33),ROUND(BB33+BB36+BB39-BB111,1),"")</f>
        <v>0</v>
      </c>
    </row>
    <row r="54" customFormat="false" ht="15" hidden="false" customHeight="true" outlineLevel="0" collapsed="false"/>
    <row r="55" customFormat="false" ht="15" hidden="false" customHeight="true" outlineLevel="0" collapsed="false">
      <c r="B55" s="12" t="s">
        <v>142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3" t="s">
        <v>143</v>
      </c>
    </row>
    <row r="56" customFormat="false" ht="15" hidden="false" customHeight="true" outlineLevel="0" collapsed="false">
      <c r="B56" s="20" t="s">
        <v>144</v>
      </c>
      <c r="F56" s="42" t="n">
        <v>77.636</v>
      </c>
      <c r="G56" s="26" t="n">
        <f aca="false">220.165-F111</f>
        <v>84.962</v>
      </c>
      <c r="I56" s="42" t="n">
        <v>88.835</v>
      </c>
      <c r="J56" s="26" t="n">
        <f aca="false">251.685-I111</f>
        <v>94.111</v>
      </c>
      <c r="L56" s="42" t="n">
        <v>99.643</v>
      </c>
      <c r="M56" s="26" t="n">
        <f aca="false">277.346-L111</f>
        <v>101.535</v>
      </c>
      <c r="O56" s="42" t="n">
        <v>111.701</v>
      </c>
      <c r="P56" s="26" t="n">
        <f aca="false">317.558-O111</f>
        <v>117.226</v>
      </c>
      <c r="R56" s="42" t="n">
        <v>121.8</v>
      </c>
      <c r="S56" s="26" t="n">
        <f aca="false">348.4-R111</f>
        <v>128.56</v>
      </c>
      <c r="U56" s="42" t="n">
        <v>134.1</v>
      </c>
      <c r="V56" s="26" t="n">
        <f aca="false">384.2-U111</f>
        <v>140.873</v>
      </c>
      <c r="X56" s="42" t="n">
        <v>148.3</v>
      </c>
      <c r="Y56" s="26" t="n">
        <f aca="false">422.1-X111</f>
        <v>152.614</v>
      </c>
      <c r="AA56" s="42" t="n">
        <v>160.4</v>
      </c>
      <c r="AB56" s="26" t="n">
        <f aca="false">459.2-AA111</f>
        <v>167.787</v>
      </c>
      <c r="AD56" s="42" t="n">
        <v>156.7</v>
      </c>
      <c r="AE56" s="26" t="n">
        <f aca="false">378.7-AD111</f>
        <v>173.557</v>
      </c>
      <c r="AG56" s="42" t="n">
        <v>164.6</v>
      </c>
      <c r="AH56" s="26" t="n">
        <f aca="false">502.59-AG111</f>
        <v>188.826</v>
      </c>
      <c r="AJ56" s="42" t="n">
        <v>196.936</v>
      </c>
      <c r="AK56" s="26" t="n">
        <f aca="false">642.026-AJ111</f>
        <v>226.669</v>
      </c>
      <c r="AM56" s="42" t="n">
        <v>265.331</v>
      </c>
      <c r="AN56" s="26" t="n">
        <f aca="false">818.379-AM111</f>
        <v>274.437</v>
      </c>
      <c r="AP56" s="42" t="n">
        <v>309.092</v>
      </c>
      <c r="AQ56" s="26" t="n">
        <f aca="false">920.238-AP111</f>
        <v>299.576</v>
      </c>
      <c r="AS56" s="42" t="n">
        <v>341.473</v>
      </c>
      <c r="AT56" s="26" t="n">
        <f aca="false">1019.171-AS111</f>
        <v>335.036</v>
      </c>
      <c r="AV56" s="42" t="n">
        <v>369.052</v>
      </c>
      <c r="BC56" s="18" t="s">
        <v>145</v>
      </c>
    </row>
    <row r="57" customFormat="false" ht="15" hidden="false" customHeight="true" outlineLevel="0" collapsed="false">
      <c r="B57" s="20" t="s">
        <v>146</v>
      </c>
      <c r="C57" s="26" t="str">
        <f aca="false">IF(ISNUMBER(C56),C111-C56,"")</f>
        <v/>
      </c>
      <c r="D57" s="26" t="str">
        <f aca="false">IF(ISNUMBER(D56),D111-D56,"")</f>
        <v/>
      </c>
      <c r="F57" s="26" t="n">
        <f aca="false">IF(ISNUMBER(F56),F111-F56,"")</f>
        <v>57.567</v>
      </c>
      <c r="G57" s="26" t="n">
        <f aca="false">IF(ISNUMBER(G56),G111-G56,"")</f>
        <v>59.156</v>
      </c>
      <c r="I57" s="26" t="n">
        <f aca="false">IF(ISNUMBER(I56),I111-I56,"")</f>
        <v>68.739</v>
      </c>
      <c r="J57" s="26" t="n">
        <f aca="false">IF(ISNUMBER(J56),J111-J56,"")</f>
        <v>70.795</v>
      </c>
      <c r="L57" s="26" t="n">
        <f aca="false">IF(ISNUMBER(L56),L111-L56,"")</f>
        <v>76.168</v>
      </c>
      <c r="M57" s="26" t="n">
        <f aca="false">IF(ISNUMBER(M56),M111-M56,"")</f>
        <v>78.563</v>
      </c>
      <c r="O57" s="26" t="n">
        <f aca="false">IF(ISNUMBER(O56),O111-O56,"")</f>
        <v>88.631</v>
      </c>
      <c r="P57" s="26" t="n">
        <f aca="false">IF(ISNUMBER(P56),P111-P56,"")</f>
        <v>96.593</v>
      </c>
      <c r="R57" s="26" t="n">
        <f aca="false">IF(ISNUMBER(R56),R111-R56,"")</f>
        <v>98.04</v>
      </c>
      <c r="S57" s="26" t="n">
        <f aca="false">IF(ISNUMBER(S56),S111-S56,"")</f>
        <v>107.571</v>
      </c>
      <c r="U57" s="26" t="n">
        <f aca="false">IF(ISNUMBER(U56),U111-U56,"")</f>
        <v>109.227</v>
      </c>
      <c r="V57" s="26" t="n">
        <f aca="false">IF(ISNUMBER(V56),V111-V56,"")</f>
        <v>119.371</v>
      </c>
      <c r="X57" s="26" t="n">
        <f aca="false">IF(ISNUMBER(X56),X111-X56,"")</f>
        <v>121.186</v>
      </c>
      <c r="Y57" s="26" t="n">
        <f aca="false">IF(ISNUMBER(Y56),Y111-Y56,"")</f>
        <v>130.896</v>
      </c>
      <c r="AA57" s="26" t="n">
        <f aca="false">IF(ISNUMBER(AA56),AA111-AA56,"")</f>
        <v>131.013</v>
      </c>
      <c r="AB57" s="26" t="n">
        <f aca="false">IF(ISNUMBER(AB56),AB111-AB56,"")</f>
        <v>148.561</v>
      </c>
      <c r="AD57" s="26" t="n">
        <f aca="false">IF(ISNUMBER(AD56),AD111-AD56,"")</f>
        <v>48.443</v>
      </c>
      <c r="AE57" s="26" t="n">
        <f aca="false">IF(ISNUMBER(AE56),AE111-AE56,"")</f>
        <v>165.313</v>
      </c>
      <c r="AG57" s="26" t="n">
        <f aca="false">IF(ISNUMBER(AG56),AG111-AG56,"")</f>
        <v>149.164</v>
      </c>
      <c r="AH57" s="26" t="n">
        <f aca="false">IF(ISNUMBER(AH56),AH111-AH56,"")</f>
        <v>209.589</v>
      </c>
      <c r="AJ57" s="26" t="n">
        <f aca="false">IF(ISNUMBER(AJ56),AJ111-AJ56,"")</f>
        <v>218.421</v>
      </c>
      <c r="AK57" s="26" t="n">
        <f aca="false">IF(ISNUMBER(AK56),AK111-AK56,"")</f>
        <v>277.682</v>
      </c>
      <c r="AM57" s="26" t="n">
        <f aca="false">IF(ISNUMBER(AM56),AM111-AM56,"")</f>
        <v>278.611</v>
      </c>
      <c r="AN57" s="26" t="n">
        <f aca="false">IF(ISNUMBER(AN56),AN111-AN56,"")</f>
        <v>321.041</v>
      </c>
      <c r="AP57" s="26" t="n">
        <f aca="false">IF(ISNUMBER(AP56),AP111-AP56,"")</f>
        <v>311.57</v>
      </c>
      <c r="AQ57" s="26" t="n">
        <f aca="false">IF(ISNUMBER(AQ56),AQ111-AQ56,"")</f>
        <v>358.302</v>
      </c>
      <c r="AS57" s="26" t="n">
        <f aca="false">IF(ISNUMBER(AS56),AS111-AS56,"")</f>
        <v>342.662</v>
      </c>
      <c r="AT57" s="26" t="n">
        <f aca="false">IF(ISNUMBER(AT56),AT111-AT56,"")</f>
        <v>388.78</v>
      </c>
      <c r="AV57" s="26" t="n">
        <f aca="false">IF(ISNUMBER(AV56),AV111-AV56,"")</f>
        <v>380.359</v>
      </c>
    </row>
    <row r="58" customFormat="false" ht="15" hidden="false" customHeight="true" outlineLevel="0" collapsed="false">
      <c r="B58" s="31" t="s">
        <v>147</v>
      </c>
      <c r="F58" s="32" t="str">
        <f aca="false">IF(AND(ISNUMBER(F56),ISNUMBER(C56)),IFERROR(F56/C56-1,""),"")</f>
        <v/>
      </c>
      <c r="G58" s="32" t="str">
        <f aca="false">IF(AND(ISNUMBER(G56),ISNUMBER(D56)),IFERROR(G56/D56-1,""),"")</f>
        <v/>
      </c>
      <c r="H58" s="32" t="str">
        <f aca="false">IF(AND(ISNUMBER(H56),ISNUMBER(E56)),IFERROR(H56/E56-1,""),"")</f>
        <v/>
      </c>
      <c r="I58" s="32" t="n">
        <f aca="false">IF(AND(ISNUMBER(I56),ISNUMBER(F56)),IFERROR(I56/F56-1,""),"")</f>
        <v>0.144250090164357</v>
      </c>
      <c r="J58" s="32" t="n">
        <f aca="false">IF(AND(ISNUMBER(J56),ISNUMBER(G56)),IFERROR(J56/G56-1,""),"")</f>
        <v>0.107683434947388</v>
      </c>
      <c r="K58" s="32" t="str">
        <f aca="false">IF(AND(ISNUMBER(K56),ISNUMBER(H56)),IFERROR(K56/H56-1,""),"")</f>
        <v/>
      </c>
      <c r="L58" s="32" t="n">
        <f aca="false">IF(AND(ISNUMBER(L56),ISNUMBER(I56)),IFERROR(L56/I56-1,""),"")</f>
        <v>0.121663758653684</v>
      </c>
      <c r="M58" s="32" t="n">
        <f aca="false">IF(AND(ISNUMBER(M56),ISNUMBER(J56)),IFERROR(M56/J56-1,""),"")</f>
        <v>0.0788855712934726</v>
      </c>
      <c r="N58" s="32" t="str">
        <f aca="false">IF(AND(ISNUMBER(N56),ISNUMBER(K56)),IFERROR(N56/K56-1,""),"")</f>
        <v/>
      </c>
      <c r="O58" s="32" t="n">
        <f aca="false">IF(AND(ISNUMBER(O56),ISNUMBER(L56)),IFERROR(O56/L56-1,""),"")</f>
        <v>0.121012012886003</v>
      </c>
      <c r="P58" s="32" t="n">
        <f aca="false">IF(AND(ISNUMBER(P56),ISNUMBER(M56)),IFERROR(P56/M56-1,""),"")</f>
        <v>0.15453784409317</v>
      </c>
      <c r="Q58" s="32" t="str">
        <f aca="false">IF(AND(ISNUMBER(Q56),ISNUMBER(N56)),IFERROR(Q56/N56-1,""),"")</f>
        <v/>
      </c>
      <c r="R58" s="32" t="n">
        <f aca="false">IF(AND(ISNUMBER(R56),ISNUMBER(O56)),IFERROR(R56/O56-1,""),"")</f>
        <v>0.090411007958747</v>
      </c>
      <c r="S58" s="32" t="n">
        <f aca="false">IF(AND(ISNUMBER(S56),ISNUMBER(P56)),IFERROR(S56/P56-1,""),"")</f>
        <v>0.0966850357429236</v>
      </c>
      <c r="T58" s="32" t="str">
        <f aca="false">IF(AND(ISNUMBER(T56),ISNUMBER(Q56)),IFERROR(T56/Q56-1,""),"")</f>
        <v/>
      </c>
      <c r="U58" s="32" t="n">
        <f aca="false">IF(AND(ISNUMBER(U56),ISNUMBER(R56)),IFERROR(U56/R56-1,""),"")</f>
        <v>0.100985221674877</v>
      </c>
      <c r="V58" s="32" t="n">
        <f aca="false">IF(AND(ISNUMBER(V56),ISNUMBER(S56)),IFERROR(V56/S56-1,""),"")</f>
        <v>0.0957762912258868</v>
      </c>
      <c r="W58" s="32" t="str">
        <f aca="false">IF(AND(ISNUMBER(W56),ISNUMBER(T56)),IFERROR(W56/T56-1,""),"")</f>
        <v/>
      </c>
      <c r="X58" s="32" t="n">
        <f aca="false">IF(AND(ISNUMBER(X56),ISNUMBER(U56)),IFERROR(X56/U56-1,""),"")</f>
        <v>0.105891126025354</v>
      </c>
      <c r="Y58" s="32" t="n">
        <f aca="false">IF(AND(ISNUMBER(Y56),ISNUMBER(V56)),IFERROR(Y56/V56-1,""),"")</f>
        <v>0.0833445727712199</v>
      </c>
      <c r="Z58" s="32" t="str">
        <f aca="false">IF(AND(ISNUMBER(Z56),ISNUMBER(W56)),IFERROR(Z56/W56-1,""),"")</f>
        <v/>
      </c>
      <c r="AA58" s="32" t="n">
        <f aca="false">IF(AND(ISNUMBER(AA56),ISNUMBER(X56)),IFERROR(AA56/X56-1,""),"")</f>
        <v>0.0815913688469319</v>
      </c>
      <c r="AB58" s="32" t="n">
        <f aca="false">IF(AND(ISNUMBER(AB56),ISNUMBER(Y56)),IFERROR(AB56/Y56-1,""),"")</f>
        <v>0.0994207608738382</v>
      </c>
      <c r="AC58" s="32" t="str">
        <f aca="false">IF(AND(ISNUMBER(AC56),ISNUMBER(Z56)),IFERROR(AC56/Z56-1,""),"")</f>
        <v/>
      </c>
      <c r="AD58" s="32" t="n">
        <f aca="false">IF(AND(ISNUMBER(AD56),ISNUMBER(AA56)),IFERROR(AD56/AA56-1,""),"")</f>
        <v>-0.0230673316708231</v>
      </c>
      <c r="AE58" s="32" t="n">
        <f aca="false">IF(AND(ISNUMBER(AE56),ISNUMBER(AB56)),IFERROR(AE56/AB56-1,""),"")</f>
        <v>0.034388838229422</v>
      </c>
      <c r="AF58" s="32" t="str">
        <f aca="false">IF(AND(ISNUMBER(AF56),ISNUMBER(AC56)),IFERROR(AF56/AC56-1,""),"")</f>
        <v/>
      </c>
      <c r="AG58" s="32" t="n">
        <f aca="false">IF(AND(ISNUMBER(AG56),ISNUMBER(AD56)),IFERROR(AG56/AD56-1,""),"")</f>
        <v>0.0504148053605615</v>
      </c>
      <c r="AH58" s="32" t="n">
        <f aca="false">IF(AND(ISNUMBER(AH56),ISNUMBER(AE56)),IFERROR(AH56/AE56-1,""),"")</f>
        <v>0.0879768606279203</v>
      </c>
      <c r="AI58" s="32" t="str">
        <f aca="false">IF(AND(ISNUMBER(AI56),ISNUMBER(AF56)),IFERROR(AI56/AF56-1,""),"")</f>
        <v/>
      </c>
      <c r="AJ58" s="32" t="n">
        <f aca="false">IF(AND(ISNUMBER(AJ56),ISNUMBER(AG56)),IFERROR(AJ56/AG56-1,""),"")</f>
        <v>0.196452004860267</v>
      </c>
      <c r="AK58" s="32" t="n">
        <f aca="false">IF(AND(ISNUMBER(AK56),ISNUMBER(AH56)),IFERROR(AK56/AH56-1,""),"")</f>
        <v>0.200412019531208</v>
      </c>
      <c r="AL58" s="32" t="str">
        <f aca="false">IF(AND(ISNUMBER(AL56),ISNUMBER(AI56)),IFERROR(AL56/AI56-1,""),"")</f>
        <v/>
      </c>
      <c r="AM58" s="32" t="n">
        <f aca="false">IF(AND(ISNUMBER(AM56),ISNUMBER(AJ56)),IFERROR(AM56/AJ56-1,""),"")</f>
        <v>0.347295568103343</v>
      </c>
      <c r="AN58" s="32" t="n">
        <f aca="false">IF(AND(ISNUMBER(AN56),ISNUMBER(AK56)),IFERROR(AN56/AK56-1,""),"")</f>
        <v>0.210739007098457</v>
      </c>
      <c r="AO58" s="32" t="str">
        <f aca="false">IF(AND(ISNUMBER(AO56),ISNUMBER(AL56)),IFERROR(AO56/AL56-1,""),"")</f>
        <v/>
      </c>
      <c r="AP58" s="32" t="n">
        <f aca="false">IF(AND(ISNUMBER(AP56),ISNUMBER(AM56)),IFERROR(AP56/AM56-1,""),"")</f>
        <v>0.16492984234786</v>
      </c>
      <c r="AQ58" s="32" t="n">
        <f aca="false">IF(AND(ISNUMBER(AQ56),ISNUMBER(AN56)),IFERROR(AQ56/AN56-1,""),"")</f>
        <v>0.091602079894475</v>
      </c>
      <c r="AR58" s="32" t="str">
        <f aca="false">IF(AND(ISNUMBER(AR56),ISNUMBER(AO56)),IFERROR(AR56/AO56-1,""),"")</f>
        <v/>
      </c>
      <c r="AS58" s="32" t="n">
        <f aca="false">IF(AND(ISNUMBER(AS56),ISNUMBER(AP56)),IFERROR(AS56/AP56-1,""),"")</f>
        <v>0.104761689076392</v>
      </c>
      <c r="AT58" s="32" t="n">
        <f aca="false">IF(AND(ISNUMBER(AT56),ISNUMBER(AQ56)),IFERROR(AT56/AQ56-1,""),"")</f>
        <v>0.118367292439982</v>
      </c>
      <c r="AU58" s="32" t="str">
        <f aca="false">IF(AND(ISNUMBER(AU56),ISNUMBER(AR56)),IFERROR(AU56/AR56-1,""),"")</f>
        <v/>
      </c>
      <c r="AV58" s="32" t="n">
        <f aca="false">IF(AND(ISNUMBER(AV56),ISNUMBER(AS56)),IFERROR(AV56/AS56-1,""),"")</f>
        <v>0.0807648042451381</v>
      </c>
      <c r="AW58" s="33" t="str">
        <f aca="false">IF(AND(ISNUMBER(AW56),ISNUMBER(AT56)),IFERROR(AW56/AT56-1,""),"")</f>
        <v/>
      </c>
      <c r="AX58" s="33" t="str">
        <f aca="false">IF(AND(ISNUMBER(AX56),ISNUMBER(AU56)),IFERROR(AX56/AU56-1,""),"")</f>
        <v/>
      </c>
      <c r="AY58" s="33" t="str">
        <f aca="false">IF(AND(ISNUMBER(AY56),ISNUMBER(AX56)),IFERROR(AY56/AX56-1,""),"")</f>
        <v/>
      </c>
      <c r="AZ58" s="33" t="str">
        <f aca="false">IF(AND(ISNUMBER(AZ56),ISNUMBER(AY56)),IFERROR(AZ56/AY56-1,""),"")</f>
        <v/>
      </c>
      <c r="BA58" s="33" t="str">
        <f aca="false">IF(AND(ISNUMBER(BA56),ISNUMBER(AZ56)),IFERROR(BA56/AZ56-1,""),"")</f>
        <v/>
      </c>
      <c r="BB58" s="33" t="str">
        <f aca="false">IF(AND(ISNUMBER(BB56),ISNUMBER(BA56)),IFERROR(BB56/BA56-1,""),"")</f>
        <v/>
      </c>
    </row>
    <row r="59" customFormat="false" ht="15" hidden="false" customHeight="true" outlineLevel="0" collapsed="false">
      <c r="B59" s="31" t="s">
        <v>148</v>
      </c>
      <c r="F59" s="32" t="str">
        <f aca="false">IF(AND(ISNUMBER(F57),ISNUMBER(C57)),IFERROR(F57/C57-1,""),"")</f>
        <v/>
      </c>
      <c r="G59" s="32" t="str">
        <f aca="false">IF(AND(ISNUMBER(G57),ISNUMBER(D57)),IFERROR(G57/D57-1,""),"")</f>
        <v/>
      </c>
      <c r="H59" s="32" t="str">
        <f aca="false">IF(AND(ISNUMBER(H57),ISNUMBER(E57)),IFERROR(H57/E57-1,""),"")</f>
        <v/>
      </c>
      <c r="I59" s="32" t="n">
        <f aca="false">IF(AND(ISNUMBER(I57),ISNUMBER(F57)),IFERROR(I57/F57-1,""),"")</f>
        <v>0.194069518995258</v>
      </c>
      <c r="J59" s="32" t="n">
        <f aca="false">IF(AND(ISNUMBER(J57),ISNUMBER(G57)),IFERROR(J57/G57-1,""),"")</f>
        <v>0.196750963553992</v>
      </c>
      <c r="K59" s="32" t="str">
        <f aca="false">IF(AND(ISNUMBER(K57),ISNUMBER(H57)),IFERROR(K57/H57-1,""),"")</f>
        <v/>
      </c>
      <c r="L59" s="32" t="n">
        <f aca="false">IF(AND(ISNUMBER(L57),ISNUMBER(I57)),IFERROR(L57/I57-1,""),"")</f>
        <v>0.108075473894005</v>
      </c>
      <c r="M59" s="32" t="n">
        <f aca="false">IF(AND(ISNUMBER(M57),ISNUMBER(J57)),IFERROR(M57/J57-1,""),"")</f>
        <v>0.109725263083551</v>
      </c>
      <c r="N59" s="32" t="str">
        <f aca="false">IF(AND(ISNUMBER(N57),ISNUMBER(K57)),IFERROR(N57/K57-1,""),"")</f>
        <v/>
      </c>
      <c r="O59" s="32" t="n">
        <f aca="false">IF(AND(ISNUMBER(O57),ISNUMBER(L57)),IFERROR(O57/L57-1,""),"")</f>
        <v>0.163625144417603</v>
      </c>
      <c r="P59" s="32" t="n">
        <f aca="false">IF(AND(ISNUMBER(P57),ISNUMBER(M57)),IFERROR(P57/M57-1,""),"")</f>
        <v>0.229497346078943</v>
      </c>
      <c r="Q59" s="32" t="str">
        <f aca="false">IF(AND(ISNUMBER(Q57),ISNUMBER(N57)),IFERROR(Q57/N57-1,""),"")</f>
        <v/>
      </c>
      <c r="R59" s="32" t="n">
        <f aca="false">IF(AND(ISNUMBER(R57),ISNUMBER(O57)),IFERROR(R57/O57-1,""),"")</f>
        <v>0.106159244508129</v>
      </c>
      <c r="S59" s="32" t="n">
        <f aca="false">IF(AND(ISNUMBER(S57),ISNUMBER(P57)),IFERROR(S57/P57-1,""),"")</f>
        <v>0.113652128000994</v>
      </c>
      <c r="T59" s="32" t="str">
        <f aca="false">IF(AND(ISNUMBER(T57),ISNUMBER(Q57)),IFERROR(T57/Q57-1,""),"")</f>
        <v/>
      </c>
      <c r="U59" s="32" t="n">
        <f aca="false">IF(AND(ISNUMBER(U57),ISNUMBER(R57)),IFERROR(U57/R57-1,""),"")</f>
        <v>0.114106487148103</v>
      </c>
      <c r="V59" s="32" t="n">
        <f aca="false">IF(AND(ISNUMBER(V57),ISNUMBER(S57)),IFERROR(V57/S57-1,""),"")</f>
        <v>0.109694992144723</v>
      </c>
      <c r="W59" s="32" t="str">
        <f aca="false">IF(AND(ISNUMBER(W57),ISNUMBER(T57)),IFERROR(W57/T57-1,""),"")</f>
        <v/>
      </c>
      <c r="X59" s="32" t="n">
        <f aca="false">IF(AND(ISNUMBER(X57),ISNUMBER(U57)),IFERROR(X57/U57-1,""),"")</f>
        <v>0.109487580909482</v>
      </c>
      <c r="Y59" s="32" t="n">
        <f aca="false">IF(AND(ISNUMBER(Y57),ISNUMBER(V57)),IFERROR(Y57/V57-1,""),"")</f>
        <v>0.0965477377252424</v>
      </c>
      <c r="Z59" s="32" t="str">
        <f aca="false">IF(AND(ISNUMBER(Z57),ISNUMBER(W57)),IFERROR(Z57/W57-1,""),"")</f>
        <v/>
      </c>
      <c r="AA59" s="32" t="n">
        <f aca="false">IF(AND(ISNUMBER(AA57),ISNUMBER(X57)),IFERROR(AA57/X57-1,""),"")</f>
        <v>0.0810902249434755</v>
      </c>
      <c r="AB59" s="32" t="n">
        <f aca="false">IF(AND(ISNUMBER(AB57),ISNUMBER(Y57)),IFERROR(AB57/Y57-1,""),"")</f>
        <v>0.134954467668989</v>
      </c>
      <c r="AC59" s="32" t="str">
        <f aca="false">IF(AND(ISNUMBER(AC57),ISNUMBER(Z57)),IFERROR(AC57/Z57-1,""),"")</f>
        <v/>
      </c>
      <c r="AD59" s="32" t="n">
        <f aca="false">IF(AND(ISNUMBER(AD57),ISNUMBER(AA57)),IFERROR(AD57/AA57-1,""),"")</f>
        <v>-0.630242800332791</v>
      </c>
      <c r="AE59" s="32" t="n">
        <f aca="false">IF(AND(ISNUMBER(AE57),ISNUMBER(AB57)),IFERROR(AE57/AB57-1,""),"")</f>
        <v>0.112761761162082</v>
      </c>
      <c r="AF59" s="32" t="str">
        <f aca="false">IF(AND(ISNUMBER(AF57),ISNUMBER(AC57)),IFERROR(AF57/AC57-1,""),"")</f>
        <v/>
      </c>
      <c r="AG59" s="32" t="n">
        <f aca="false">IF(AND(ISNUMBER(AG57),ISNUMBER(AD57)),IFERROR(AG57/AD57-1,""),"")</f>
        <v>2.07916520446711</v>
      </c>
      <c r="AH59" s="32" t="n">
        <f aca="false">IF(AND(ISNUMBER(AH57),ISNUMBER(AE57)),IFERROR(AH57/AE57-1,""),"")</f>
        <v>0.267831326030016</v>
      </c>
      <c r="AI59" s="32" t="str">
        <f aca="false">IF(AND(ISNUMBER(AI57),ISNUMBER(AF57)),IFERROR(AI57/AF57-1,""),"")</f>
        <v/>
      </c>
      <c r="AJ59" s="32" t="n">
        <f aca="false">IF(AND(ISNUMBER(AJ57),ISNUMBER(AG57)),IFERROR(AJ57/AG57-1,""),"")</f>
        <v>0.464301037783916</v>
      </c>
      <c r="AK59" s="32" t="n">
        <f aca="false">IF(AND(ISNUMBER(AK57),ISNUMBER(AH57)),IFERROR(AK57/AH57-1,""),"")</f>
        <v>0.324888233638216</v>
      </c>
      <c r="AL59" s="32" t="str">
        <f aca="false">IF(AND(ISNUMBER(AL57),ISNUMBER(AI57)),IFERROR(AL57/AI57-1,""),"")</f>
        <v/>
      </c>
      <c r="AM59" s="32" t="n">
        <f aca="false">IF(AND(ISNUMBER(AM57),ISNUMBER(AJ57)),IFERROR(AM57/AJ57-1,""),"")</f>
        <v>0.275568741100901</v>
      </c>
      <c r="AN59" s="32" t="n">
        <f aca="false">IF(AND(ISNUMBER(AN57),ISNUMBER(AK57)),IFERROR(AN57/AK57-1,""),"")</f>
        <v>0.156146239223284</v>
      </c>
      <c r="AO59" s="32" t="str">
        <f aca="false">IF(AND(ISNUMBER(AO57),ISNUMBER(AL57)),IFERROR(AO57/AL57-1,""),"")</f>
        <v/>
      </c>
      <c r="AP59" s="32" t="n">
        <f aca="false">IF(AND(ISNUMBER(AP57),ISNUMBER(AM57)),IFERROR(AP57/AM57-1,""),"")</f>
        <v>0.118297554655057</v>
      </c>
      <c r="AQ59" s="32" t="n">
        <f aca="false">IF(AND(ISNUMBER(AQ57),ISNUMBER(AN57)),IFERROR(AQ57/AN57-1,""),"")</f>
        <v>0.116063057366504</v>
      </c>
      <c r="AR59" s="32" t="str">
        <f aca="false">IF(AND(ISNUMBER(AR57),ISNUMBER(AO57)),IFERROR(AR57/AO57-1,""),"")</f>
        <v/>
      </c>
      <c r="AS59" s="32" t="n">
        <f aca="false">IF(AND(ISNUMBER(AS57),ISNUMBER(AP57)),IFERROR(AS57/AP57-1,""),"")</f>
        <v>0.0997913791443332</v>
      </c>
      <c r="AT59" s="32" t="n">
        <f aca="false">IF(AND(ISNUMBER(AT57),ISNUMBER(AQ57)),IFERROR(AT57/AQ57-1,""),"")</f>
        <v>0.085062321728598</v>
      </c>
      <c r="AU59" s="32" t="str">
        <f aca="false">IF(AND(ISNUMBER(AU57),ISNUMBER(AR57)),IFERROR(AU57/AR57-1,""),"")</f>
        <v/>
      </c>
      <c r="AV59" s="32" t="n">
        <f aca="false">IF(AND(ISNUMBER(AV57),ISNUMBER(AS57)),IFERROR(AV57/AS57-1,""),"")</f>
        <v>0.110012198609708</v>
      </c>
      <c r="AW59" s="33" t="str">
        <f aca="false">IF(AND(ISNUMBER(AW57),ISNUMBER(AT57)),IFERROR(AW57/AT57-1,""),"")</f>
        <v/>
      </c>
      <c r="AX59" s="33" t="str">
        <f aca="false">IF(AND(ISNUMBER(AX57),ISNUMBER(AU57)),IFERROR(AX57/AU57-1,""),"")</f>
        <v/>
      </c>
      <c r="AY59" s="33" t="str">
        <f aca="false">IF(AND(ISNUMBER(AY57),ISNUMBER(AX57)),IFERROR(AY57/AX57-1,""),"")</f>
        <v/>
      </c>
      <c r="AZ59" s="33" t="str">
        <f aca="false">IF(AND(ISNUMBER(AZ57),ISNUMBER(AY57)),IFERROR(AZ57/AY57-1,""),"")</f>
        <v/>
      </c>
      <c r="BA59" s="33" t="str">
        <f aca="false">IF(AND(ISNUMBER(BA57),ISNUMBER(AZ57)),IFERROR(BA57/AZ57-1,""),"")</f>
        <v/>
      </c>
      <c r="BB59" s="33" t="str">
        <f aca="false">IF(AND(ISNUMBER(BB57),ISNUMBER(BA57)),IFERROR(BB57/BA57-1,""),"")</f>
        <v/>
      </c>
    </row>
    <row r="60" customFormat="false" ht="15" hidden="false" customHeight="true" outlineLevel="0" collapsed="false"/>
    <row r="61" customFormat="false" ht="15" hidden="false" customHeight="true" outlineLevel="0" collapsed="false">
      <c r="B61" s="12" t="s">
        <v>149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3" t="s">
        <v>150</v>
      </c>
    </row>
    <row r="62" customFormat="false" ht="15" hidden="false" customHeight="true" outlineLevel="0" collapsed="false">
      <c r="B62" s="46" t="s">
        <v>151</v>
      </c>
      <c r="C62" s="47" t="n">
        <f aca="false">N(C16)+N(C25)</f>
        <v>116.457</v>
      </c>
      <c r="D62" s="47" t="n">
        <f aca="false">N(D16)+N(D25)</f>
        <v>126.178</v>
      </c>
      <c r="E62" s="47" t="n">
        <f aca="false">N(E16)+N(E25)</f>
        <v>242.635</v>
      </c>
      <c r="F62" s="47" t="n">
        <f aca="false">N(F16)+N(F25)</f>
        <v>135.203</v>
      </c>
      <c r="G62" s="47" t="n">
        <f aca="false">N(G16)+N(G25)</f>
        <v>144.118</v>
      </c>
      <c r="H62" s="47" t="n">
        <f aca="false">N(H16)+N(H25)</f>
        <v>279.321</v>
      </c>
      <c r="I62" s="47" t="n">
        <f aca="false">N(I16)+N(I25)</f>
        <v>157.574</v>
      </c>
      <c r="J62" s="47" t="n">
        <f aca="false">N(J16)+N(J25)</f>
        <v>164.906</v>
      </c>
      <c r="K62" s="47" t="n">
        <f aca="false">N(K16)+N(K25)</f>
        <v>322.48</v>
      </c>
      <c r="L62" s="47" t="n">
        <f aca="false">N(L16)+N(L25)</f>
        <v>175.811</v>
      </c>
      <c r="M62" s="47" t="n">
        <f aca="false">N(M16)+N(M25)</f>
        <v>180.098</v>
      </c>
      <c r="N62" s="47" t="n">
        <f aca="false">N(N16)+N(N25)</f>
        <v>355.909</v>
      </c>
      <c r="O62" s="47" t="n">
        <f aca="false">N(O16)+N(O25)</f>
        <v>200.332</v>
      </c>
      <c r="P62" s="47" t="n">
        <f aca="false">N(P16)+N(P25)</f>
        <v>213.819</v>
      </c>
      <c r="Q62" s="47" t="n">
        <f aca="false">N(Q16)+N(Q25)</f>
        <v>414.151</v>
      </c>
      <c r="R62" s="47" t="n">
        <f aca="false">N(R16)+N(R25)</f>
        <v>219.84</v>
      </c>
      <c r="S62" s="47" t="n">
        <f aca="false">N(S16)+N(S25)</f>
        <v>236.131</v>
      </c>
      <c r="T62" s="47" t="n">
        <f aca="false">N(T16)+N(T25)</f>
        <v>455.971</v>
      </c>
      <c r="U62" s="47" t="n">
        <f aca="false">N(U16)+N(U25)</f>
        <v>243.327</v>
      </c>
      <c r="V62" s="47" t="n">
        <f aca="false">N(V16)+N(V25)</f>
        <v>260.244</v>
      </c>
      <c r="W62" s="47" t="n">
        <f aca="false">N(W16)+N(W25)</f>
        <v>503.571</v>
      </c>
      <c r="X62" s="47" t="n">
        <f aca="false">N(X16)+N(X25)</f>
        <v>269.486</v>
      </c>
      <c r="Y62" s="47" t="n">
        <f aca="false">N(Y16)+N(Y25)</f>
        <v>283.51</v>
      </c>
      <c r="Z62" s="47" t="n">
        <f aca="false">N(Z16)+N(Z25)</f>
        <v>552.996</v>
      </c>
      <c r="AA62" s="47" t="n">
        <f aca="false">N(AA16)+N(AA25)</f>
        <v>291.413</v>
      </c>
      <c r="AB62" s="47" t="n">
        <f aca="false">N(AB16)+N(AB25)</f>
        <v>316.348</v>
      </c>
      <c r="AC62" s="47" t="n">
        <f aca="false">N(AC16)+N(AC25)</f>
        <v>607.761</v>
      </c>
      <c r="AD62" s="47" t="n">
        <f aca="false">N(AD16)+N(AD25)</f>
        <v>205.143</v>
      </c>
      <c r="AE62" s="47" t="n">
        <f aca="false">N(AE16)+N(AE25)</f>
        <v>338.87</v>
      </c>
      <c r="AF62" s="47" t="n">
        <f aca="false">N(AF16)+N(AF25)</f>
        <v>544.013</v>
      </c>
      <c r="AG62" s="47" t="n">
        <f aca="false">N(AG16)+N(AG25)</f>
        <v>313.764</v>
      </c>
      <c r="AH62" s="47" t="n">
        <f aca="false">N(AH16)+N(AH25)</f>
        <v>398.415</v>
      </c>
      <c r="AI62" s="47" t="n">
        <f aca="false">N(AI16)+N(AI25)</f>
        <v>712.179</v>
      </c>
      <c r="AJ62" s="47" t="n">
        <f aca="false">N(AJ16)+N(AJ25)</f>
        <v>415.357</v>
      </c>
      <c r="AK62" s="47" t="n">
        <f aca="false">N(AK16)+N(AK25)</f>
        <v>504.351</v>
      </c>
      <c r="AL62" s="47" t="n">
        <f aca="false">N(AL16)+N(AL25)</f>
        <v>919.708</v>
      </c>
      <c r="AM62" s="47" t="n">
        <f aca="false">N(AM16)+N(AM25)</f>
        <v>543.942</v>
      </c>
      <c r="AN62" s="47" t="n">
        <f aca="false">N(AN16)+N(AN25)</f>
        <v>595.478</v>
      </c>
      <c r="AO62" s="47" t="n">
        <f aca="false">N(AO16)+N(AO25)</f>
        <v>1139.42</v>
      </c>
      <c r="AP62" s="47" t="n">
        <f aca="false">N(AP16)+N(AP25)</f>
        <v>620.662</v>
      </c>
      <c r="AQ62" s="47" t="n">
        <f aca="false">N(AQ16)+N(AQ25)</f>
        <v>657.878</v>
      </c>
      <c r="AR62" s="47" t="n">
        <f aca="false">N(AR16)+N(AR25)</f>
        <v>1278.54</v>
      </c>
      <c r="AS62" s="47" t="n">
        <f aca="false">N(AS16)+N(AS25)</f>
        <v>684.135</v>
      </c>
      <c r="AT62" s="47" t="n">
        <f aca="false">N(AT16)+N(AT25)</f>
        <v>723.816</v>
      </c>
      <c r="AU62" s="47" t="n">
        <f aca="false">N(AU16)+N(AU25)</f>
        <v>1407.951</v>
      </c>
      <c r="AV62" s="47" t="n">
        <f aca="false">N(AV16)+N(AV25)</f>
        <v>749.411</v>
      </c>
      <c r="AW62" s="47" t="n">
        <f aca="false">N(AW16)+N(AW25)</f>
        <v>780.6609</v>
      </c>
      <c r="AX62" s="47" t="n">
        <f aca="false">N(AX16)+N(AX25)</f>
        <v>1530.0719</v>
      </c>
      <c r="AY62" s="47" t="n">
        <f aca="false">N(AY16)+N(AY25)</f>
        <v>1686.91192062194</v>
      </c>
      <c r="AZ62" s="47" t="n">
        <f aca="false">N(AZ16)+N(AZ25)</f>
        <v>1826.54167387849</v>
      </c>
      <c r="BA62" s="47" t="n">
        <f aca="false">N(BA16)+N(BA25)</f>
        <v>1967.55413671568</v>
      </c>
      <c r="BB62" s="47" t="n">
        <f aca="false">N(BB16)+N(BB25)</f>
        <v>2108.53819381076</v>
      </c>
      <c r="BE62" s="37" t="n">
        <f aca="false">IFERROR(IF(AND(BB62&gt;0,AU62&gt;0),(BB62/AU62)^(1/5)-1,"n/m"),"n/m")</f>
        <v>0.084123569420731</v>
      </c>
      <c r="BF62" s="37" t="n">
        <f aca="false">IFERROR(IF(AND(AU62&gt;0,AF62&gt;0),(AU62/AF62)^(1/5)-1,"n/m"),"n/m")</f>
        <v>0.209471537415018</v>
      </c>
      <c r="BG62" s="37" t="n">
        <f aca="false">IFERROR(IF(AND(AU62&gt;0,Q62&gt;0),(AU62/Q62)^(1/10)-1,"n/m"),"n/m")</f>
        <v>0.130167678009657</v>
      </c>
      <c r="BH62" s="37" t="n">
        <f aca="false">IFERROR(IF(AND(AU62&gt;0,E62&gt;0),(AU62/E62)^(1/14)-1,"n/m"),"n/m")</f>
        <v>0.133823077742208</v>
      </c>
    </row>
    <row r="63" customFormat="false" ht="15" hidden="false" customHeight="true" outlineLevel="0" collapsed="false">
      <c r="B63" s="31" t="s">
        <v>152</v>
      </c>
      <c r="F63" s="32" t="n">
        <f aca="false">IF(AND(ISNUMBER(F62),ISNUMBER(C62)),IFERROR(F62/C62-1,""),"")</f>
        <v>0.160969284800399</v>
      </c>
      <c r="G63" s="32" t="n">
        <f aca="false">IF(AND(ISNUMBER(G62),ISNUMBER(D62)),IFERROR(G62/D62-1,""),"")</f>
        <v>0.14218009478673</v>
      </c>
      <c r="H63" s="32" t="n">
        <f aca="false">IF(AND(ISNUMBER(H62),ISNUMBER(E62)),IFERROR(H62/E62-1,""),"")</f>
        <v>0.15119830197622</v>
      </c>
      <c r="I63" s="32" t="n">
        <f aca="false">IF(AND(ISNUMBER(I62),ISNUMBER(F62)),IFERROR(I62/F62-1,""),"")</f>
        <v>0.165462304830514</v>
      </c>
      <c r="J63" s="32" t="n">
        <f aca="false">IF(AND(ISNUMBER(J62),ISNUMBER(G62)),IFERROR(J62/G62-1,""),"")</f>
        <v>0.144242912058174</v>
      </c>
      <c r="K63" s="32" t="n">
        <f aca="false">IF(AND(ISNUMBER(K62),ISNUMBER(H62)),IFERROR(K62/H62-1,""),"")</f>
        <v>0.154513982120929</v>
      </c>
      <c r="L63" s="32" t="n">
        <f aca="false">IF(AND(ISNUMBER(L62),ISNUMBER(I62)),IFERROR(L62/I62-1,""),"")</f>
        <v>0.115736098594946</v>
      </c>
      <c r="M63" s="32" t="n">
        <f aca="false">IF(AND(ISNUMBER(M62),ISNUMBER(J62)),IFERROR(M62/J62-1,""),"")</f>
        <v>0.0921252107261106</v>
      </c>
      <c r="N63" s="32" t="n">
        <f aca="false">IF(AND(ISNUMBER(N62),ISNUMBER(K62)),IFERROR(N62/K62-1,""),"")</f>
        <v>0.103662242619697</v>
      </c>
      <c r="O63" s="32" t="n">
        <f aca="false">IF(AND(ISNUMBER(O62),ISNUMBER(L62)),IFERROR(O62/L62-1,""),"")</f>
        <v>0.139473639305845</v>
      </c>
      <c r="P63" s="32" t="n">
        <f aca="false">IF(AND(ISNUMBER(P62),ISNUMBER(M62)),IFERROR(P62/M62-1,""),"")</f>
        <v>0.187236948772335</v>
      </c>
      <c r="Q63" s="32" t="n">
        <f aca="false">IF(AND(ISNUMBER(Q62),ISNUMBER(N62)),IFERROR(Q62/N62-1,""),"")</f>
        <v>0.163642953676361</v>
      </c>
      <c r="R63" s="32" t="n">
        <f aca="false">IF(AND(ISNUMBER(R62),ISNUMBER(O62)),IFERROR(R62/O62-1,""),"")</f>
        <v>0.0973783519357867</v>
      </c>
      <c r="S63" s="32" t="n">
        <f aca="false">IF(AND(ISNUMBER(S62),ISNUMBER(P62)),IFERROR(S62/P62-1,""),"")</f>
        <v>0.104349940837811</v>
      </c>
      <c r="T63" s="32" t="n">
        <f aca="false">IF(AND(ISNUMBER(T62),ISNUMBER(Q62)),IFERROR(T62/Q62-1,""),"")</f>
        <v>0.100977662736538</v>
      </c>
      <c r="U63" s="32" t="n">
        <f aca="false">IF(AND(ISNUMBER(U62),ISNUMBER(R62)),IFERROR(U62/R62-1,""),"")</f>
        <v>0.106836790393013</v>
      </c>
      <c r="V63" s="32" t="n">
        <f aca="false">IF(AND(ISNUMBER(V62),ISNUMBER(S62)),IFERROR(V62/S62-1,""),"")</f>
        <v>0.102117045199487</v>
      </c>
      <c r="W63" s="32" t="n">
        <f aca="false">IF(AND(ISNUMBER(W62),ISNUMBER(T62)),IFERROR(W62/T62-1,""),"")</f>
        <v>0.1043926039156</v>
      </c>
      <c r="X63" s="32" t="n">
        <f aca="false">IF(AND(ISNUMBER(X62),ISNUMBER(U62)),IFERROR(X62/U62-1,""),"")</f>
        <v>0.107505537815368</v>
      </c>
      <c r="Y63" s="32" t="n">
        <f aca="false">IF(AND(ISNUMBER(Y62),ISNUMBER(V62)),IFERROR(Y62/V62-1,""),"")</f>
        <v>0.0894007162509032</v>
      </c>
      <c r="Z63" s="32" t="n">
        <f aca="false">IF(AND(ISNUMBER(Z62),ISNUMBER(W62)),IFERROR(Z62/W62-1,""),"")</f>
        <v>0.0981490197012933</v>
      </c>
      <c r="AA63" s="32" t="n">
        <f aca="false">IF(AND(ISNUMBER(AA62),ISNUMBER(X62)),IFERROR(AA62/X62-1,""),"")</f>
        <v>0.0813660078816711</v>
      </c>
      <c r="AB63" s="32" t="n">
        <f aca="false">IF(AND(ISNUMBER(AB62),ISNUMBER(Y62)),IFERROR(AB62/Y62-1,""),"")</f>
        <v>0.115826602236253</v>
      </c>
      <c r="AC63" s="32" t="n">
        <f aca="false">IF(AND(ISNUMBER(AC62),ISNUMBER(Z62)),IFERROR(AC62/Z62-1,""),"")</f>
        <v>0.0990332660634072</v>
      </c>
      <c r="AD63" s="32" t="n">
        <f aca="false">IF(AND(ISNUMBER(AD62),ISNUMBER(AA62)),IFERROR(AD62/AA62-1,""),"")</f>
        <v>-0.296040327644958</v>
      </c>
      <c r="AE63" s="32" t="n">
        <f aca="false">IF(AND(ISNUMBER(AE62),ISNUMBER(AB62)),IFERROR(AE62/AB62-1,""),"")</f>
        <v>0.0711937486565428</v>
      </c>
      <c r="AF63" s="32" t="n">
        <f aca="false">IF(AND(ISNUMBER(AF62),ISNUMBER(AC62)),IFERROR(AF62/AC62-1,""),"")</f>
        <v>-0.104889915608274</v>
      </c>
      <c r="AG63" s="32" t="n">
        <f aca="false">IF(AND(ISNUMBER(AG62),ISNUMBER(AD62)),IFERROR(AG62/AD62-1,""),"")</f>
        <v>0.529489185592489</v>
      </c>
      <c r="AH63" s="32" t="n">
        <f aca="false">IF(AND(ISNUMBER(AH62),ISNUMBER(AE62)),IFERROR(AH62/AE62-1,""),"")</f>
        <v>0.175716351403193</v>
      </c>
      <c r="AI63" s="32" t="n">
        <f aca="false">IF(AND(ISNUMBER(AI62),ISNUMBER(AF62)),IFERROR(AI62/AF62-1,""),"")</f>
        <v>0.309121289380952</v>
      </c>
      <c r="AJ63" s="32" t="n">
        <f aca="false">IF(AND(ISNUMBER(AJ62),ISNUMBER(AG62)),IFERROR(AJ62/AG62-1,""),"")</f>
        <v>0.323787942530054</v>
      </c>
      <c r="AK63" s="32" t="n">
        <f aca="false">IF(AND(ISNUMBER(AK62),ISNUMBER(AH62)),IFERROR(AK62/AH62-1,""),"")</f>
        <v>0.265893603403486</v>
      </c>
      <c r="AL63" s="32" t="n">
        <f aca="false">IF(AND(ISNUMBER(AL62),ISNUMBER(AI62)),IFERROR(AL62/AI62-1,""),"")</f>
        <v>0.29140005532317</v>
      </c>
      <c r="AM63" s="32" t="n">
        <f aca="false">IF(AND(ISNUMBER(AM62),ISNUMBER(AJ62)),IFERROR(AM62/AJ62-1,""),"")</f>
        <v>0.309577062623238</v>
      </c>
      <c r="AN63" s="32" t="n">
        <f aca="false">IF(AND(ISNUMBER(AN62),ISNUMBER(AK62)),IFERROR(AN62/AK62-1,""),"")</f>
        <v>0.180681707778908</v>
      </c>
      <c r="AO63" s="32" t="n">
        <f aca="false">IF(AND(ISNUMBER(AO62),ISNUMBER(AL62)),IFERROR(AO62/AL62-1,""),"")</f>
        <v>0.238893213933118</v>
      </c>
      <c r="AP63" s="32" t="n">
        <f aca="false">IF(AND(ISNUMBER(AP62),ISNUMBER(AM62)),IFERROR(AP62/AM62-1,""),"")</f>
        <v>0.141044449592052</v>
      </c>
      <c r="AQ63" s="32" t="n">
        <f aca="false">IF(AND(ISNUMBER(AQ62),ISNUMBER(AN62)),IFERROR(AQ62/AN62-1,""),"")</f>
        <v>0.1047897655329</v>
      </c>
      <c r="AR63" s="32" t="n">
        <f aca="false">IF(AND(ISNUMBER(AR62),ISNUMBER(AO62)),IFERROR(AR62/AO62-1,""),"")</f>
        <v>0.122097207351108</v>
      </c>
      <c r="AS63" s="32" t="n">
        <f aca="false">IF(AND(ISNUMBER(AS62),ISNUMBER(AP62)),IFERROR(AS62/AP62-1,""),"")</f>
        <v>0.102266612101273</v>
      </c>
      <c r="AT63" s="32" t="n">
        <f aca="false">IF(AND(ISNUMBER(AT62),ISNUMBER(AQ62)),IFERROR(AT62/AQ62-1,""),"")</f>
        <v>0.100228309808202</v>
      </c>
      <c r="AU63" s="32" t="n">
        <f aca="false">IF(AND(ISNUMBER(AU62),ISNUMBER(AR62)),IFERROR(AU62/AR62-1,""),"")</f>
        <v>0.101217795297762</v>
      </c>
      <c r="AV63" s="32" t="n">
        <f aca="false">IF(AND(ISNUMBER(AV62),ISNUMBER(AS62)),IFERROR(AV62/AS62-1,""),"")</f>
        <v>0.0954139168438977</v>
      </c>
      <c r="AW63" s="33" t="n">
        <f aca="false">IF(AND(ISNUMBER(AW62),ISNUMBER(AT62)),IFERROR(AW62/AT62-1,""),"")</f>
        <v>0.0785350144235553</v>
      </c>
      <c r="AX63" s="33" t="n">
        <f aca="false">IF(AND(ISNUMBER(AX62),ISNUMBER(AU62)),IFERROR(AX62/AU62-1,""),"")</f>
        <v>0.0867366122826716</v>
      </c>
      <c r="AY63" s="33" t="n">
        <f aca="false">IF(AND(ISNUMBER(AY62),ISNUMBER(AX62)),IFERROR(AY62/AX62-1,""),"")</f>
        <v>0.10250500033491</v>
      </c>
      <c r="AZ63" s="33" t="n">
        <f aca="false">IF(AND(ISNUMBER(AZ62),ISNUMBER(AY62)),IFERROR(AZ62/AY62-1,""),"")</f>
        <v>0.0827724029628529</v>
      </c>
      <c r="BA63" s="33" t="n">
        <f aca="false">IF(AND(ISNUMBER(BA62),ISNUMBER(AZ62)),IFERROR(BA62/AZ62-1,""),"")</f>
        <v>0.0772018864139876</v>
      </c>
      <c r="BB63" s="33" t="n">
        <f aca="false">IF(AND(ISNUMBER(BB62),ISNUMBER(BA62)),IFERROR(BB62/BA62-1,""),"")</f>
        <v>0.0716544741840857</v>
      </c>
    </row>
    <row r="64" customFormat="false" ht="15" hidden="false" customHeight="true" outlineLevel="0" collapsed="false">
      <c r="B64" s="45" t="s">
        <v>153</v>
      </c>
      <c r="C64" s="26" t="n">
        <f aca="false">ROUND(C62-C111,1)</f>
        <v>0</v>
      </c>
      <c r="D64" s="26" t="n">
        <f aca="false">ROUND(D62-D111,1)</f>
        <v>0</v>
      </c>
      <c r="E64" s="26" t="n">
        <f aca="false">ROUND(E62-E111,1)</f>
        <v>0</v>
      </c>
      <c r="F64" s="26" t="n">
        <f aca="false">ROUND(F62-F111,1)</f>
        <v>0</v>
      </c>
      <c r="G64" s="26" t="n">
        <f aca="false">ROUND(G62-G111,1)</f>
        <v>0</v>
      </c>
      <c r="H64" s="26" t="n">
        <f aca="false">ROUND(H62-H111,1)</f>
        <v>0</v>
      </c>
      <c r="I64" s="26" t="n">
        <f aca="false">ROUND(I62-I111,1)</f>
        <v>0</v>
      </c>
      <c r="J64" s="26" t="n">
        <f aca="false">ROUND(J62-J111,1)</f>
        <v>0</v>
      </c>
      <c r="K64" s="26" t="n">
        <f aca="false">ROUND(K62-K111,1)</f>
        <v>0</v>
      </c>
      <c r="L64" s="26" t="n">
        <f aca="false">ROUND(L62-L111,1)</f>
        <v>0</v>
      </c>
      <c r="M64" s="26" t="n">
        <f aca="false">ROUND(M62-M111,1)</f>
        <v>0</v>
      </c>
      <c r="N64" s="26" t="n">
        <f aca="false">ROUND(N62-N111,1)</f>
        <v>0</v>
      </c>
      <c r="O64" s="26" t="n">
        <f aca="false">ROUND(O62-O111,1)</f>
        <v>0</v>
      </c>
      <c r="P64" s="26" t="n">
        <f aca="false">ROUND(P62-P111,1)</f>
        <v>0</v>
      </c>
      <c r="Q64" s="26" t="n">
        <f aca="false">ROUND(Q62-Q111,1)</f>
        <v>0</v>
      </c>
      <c r="R64" s="26" t="n">
        <f aca="false">ROUND(R62-R111,1)</f>
        <v>0</v>
      </c>
      <c r="S64" s="26" t="n">
        <f aca="false">ROUND(S62-S111,1)</f>
        <v>0</v>
      </c>
      <c r="T64" s="26" t="n">
        <f aca="false">ROUND(T62-T111,1)</f>
        <v>0</v>
      </c>
      <c r="U64" s="26" t="n">
        <f aca="false">ROUND(U62-U111,1)</f>
        <v>0</v>
      </c>
      <c r="V64" s="26" t="n">
        <f aca="false">ROUND(V62-V111,1)</f>
        <v>0</v>
      </c>
      <c r="W64" s="26" t="n">
        <f aca="false">ROUND(W62-W111,1)</f>
        <v>0</v>
      </c>
      <c r="X64" s="26" t="n">
        <f aca="false">ROUND(X62-X111,1)</f>
        <v>0</v>
      </c>
      <c r="Y64" s="26" t="n">
        <f aca="false">ROUND(Y62-Y111,1)</f>
        <v>0</v>
      </c>
      <c r="Z64" s="26" t="n">
        <f aca="false">ROUND(Z62-Z111,1)</f>
        <v>0</v>
      </c>
      <c r="AA64" s="26" t="n">
        <f aca="false">ROUND(AA62-AA111,1)</f>
        <v>0</v>
      </c>
      <c r="AB64" s="26" t="n">
        <f aca="false">ROUND(AB62-AB111,1)</f>
        <v>0</v>
      </c>
      <c r="AC64" s="26" t="n">
        <f aca="false">ROUND(AC62-AC111,1)</f>
        <v>0</v>
      </c>
      <c r="AD64" s="26" t="n">
        <f aca="false">ROUND(AD62-AD111,1)</f>
        <v>0</v>
      </c>
      <c r="AE64" s="26" t="n">
        <f aca="false">ROUND(AE62-AE111,1)</f>
        <v>0</v>
      </c>
      <c r="AF64" s="26" t="n">
        <f aca="false">ROUND(AF62-AF111,1)</f>
        <v>0</v>
      </c>
      <c r="AG64" s="26" t="n">
        <f aca="false">ROUND(AG62-AG111,1)</f>
        <v>0</v>
      </c>
      <c r="AH64" s="26" t="n">
        <f aca="false">ROUND(AH62-AH111,1)</f>
        <v>0</v>
      </c>
      <c r="AI64" s="26" t="n">
        <f aca="false">ROUND(AI62-AI111,1)</f>
        <v>0</v>
      </c>
      <c r="AJ64" s="26" t="n">
        <f aca="false">ROUND(AJ62-AJ111,1)</f>
        <v>0</v>
      </c>
      <c r="AK64" s="26" t="n">
        <f aca="false">ROUND(AK62-AK111,1)</f>
        <v>0</v>
      </c>
      <c r="AL64" s="26" t="n">
        <f aca="false">ROUND(AL62-AL111,1)</f>
        <v>0</v>
      </c>
      <c r="AM64" s="26" t="n">
        <f aca="false">ROUND(AM62-AM111,1)</f>
        <v>0</v>
      </c>
      <c r="AN64" s="26" t="n">
        <f aca="false">ROUND(AN62-AN111,1)</f>
        <v>0</v>
      </c>
      <c r="AO64" s="26" t="n">
        <f aca="false">ROUND(AO62-AO111,1)</f>
        <v>0</v>
      </c>
      <c r="AP64" s="26" t="n">
        <f aca="false">ROUND(AP62-AP111,1)</f>
        <v>0</v>
      </c>
      <c r="AQ64" s="26" t="n">
        <f aca="false">ROUND(AQ62-AQ111,1)</f>
        <v>0</v>
      </c>
      <c r="AR64" s="26" t="n">
        <f aca="false">ROUND(AR62-AR111,1)</f>
        <v>0</v>
      </c>
      <c r="AS64" s="26" t="n">
        <f aca="false">ROUND(AS62-AS111,1)</f>
        <v>0</v>
      </c>
      <c r="AT64" s="26" t="n">
        <f aca="false">ROUND(AT62-AT111,1)</f>
        <v>0</v>
      </c>
      <c r="AU64" s="26" t="n">
        <f aca="false">ROUND(AU62-AU111,1)</f>
        <v>0</v>
      </c>
      <c r="AV64" s="26" t="n">
        <f aca="false">ROUND(AV62-AV111,1)</f>
        <v>0</v>
      </c>
      <c r="AW64" s="27" t="n">
        <f aca="false">ROUND(AW62-AW111,1)</f>
        <v>0</v>
      </c>
      <c r="AX64" s="27" t="n">
        <f aca="false">ROUND(AX62-AX111,1)</f>
        <v>0</v>
      </c>
      <c r="AY64" s="27" t="n">
        <f aca="false">ROUND(AY62-AY111,1)</f>
        <v>0</v>
      </c>
      <c r="AZ64" s="27" t="n">
        <f aca="false">ROUND(AZ62-AZ111,1)</f>
        <v>0</v>
      </c>
      <c r="BA64" s="27" t="n">
        <f aca="false">ROUND(BA62-BA111,1)</f>
        <v>0</v>
      </c>
      <c r="BB64" s="27" t="n">
        <f aca="false">ROUND(BB62-BB111,1)</f>
        <v>0</v>
      </c>
    </row>
    <row r="65" customFormat="false" ht="15" hidden="false" customHeight="true" outlineLevel="0" collapsed="false">
      <c r="B65" s="31" t="s">
        <v>154</v>
      </c>
      <c r="H65" s="39" t="n">
        <v>0.133</v>
      </c>
      <c r="I65" s="39" t="n">
        <v>0.172</v>
      </c>
      <c r="K65" s="39" t="n">
        <v>0.171</v>
      </c>
      <c r="L65" s="39" t="n">
        <v>0.129</v>
      </c>
      <c r="N65" s="39" t="n">
        <v>0.105</v>
      </c>
      <c r="O65" s="39" t="n">
        <v>0.093</v>
      </c>
      <c r="Q65" s="39" t="n">
        <v>0.095</v>
      </c>
      <c r="R65" s="39" t="n">
        <v>0.103</v>
      </c>
      <c r="T65" s="39" t="n">
        <v>0.104</v>
      </c>
      <c r="U65" s="39" t="n">
        <v>0.097</v>
      </c>
      <c r="W65" s="39" t="n">
        <v>0.109</v>
      </c>
      <c r="X65" s="39" t="n">
        <v>0.119</v>
      </c>
      <c r="Z65" s="39" t="n">
        <v>0.107</v>
      </c>
      <c r="AA65" s="39" t="n">
        <v>0.072</v>
      </c>
      <c r="AC65" s="39" t="n">
        <v>0.086</v>
      </c>
      <c r="AD65" s="39" t="n">
        <v>-0.298</v>
      </c>
      <c r="AF65" s="39" t="n">
        <v>-0.099</v>
      </c>
      <c r="AJ65" s="39" t="n">
        <v>0.283</v>
      </c>
      <c r="AL65" s="39" t="n">
        <v>0.248</v>
      </c>
      <c r="AM65" s="39" t="n">
        <v>0.305</v>
      </c>
      <c r="AO65" s="39" t="n">
        <v>0.26</v>
      </c>
      <c r="AP65" s="39" t="n">
        <v>0.147</v>
      </c>
      <c r="AR65" s="39" t="n">
        <v>0.124</v>
      </c>
      <c r="AS65" s="39" t="n">
        <v>0.107</v>
      </c>
      <c r="AU65" s="39" t="n">
        <v>0.115</v>
      </c>
      <c r="AV65" s="39" t="n">
        <v>0.133</v>
      </c>
      <c r="AW65" s="33" t="n">
        <f aca="false">AW68</f>
        <v>0.0785350144235553</v>
      </c>
      <c r="AX65" s="33" t="n">
        <f aca="false">IFERROR((AS111*(1+AV65)+AT111*(1+AW65))/AU111-1,"")</f>
        <v>0.105</v>
      </c>
      <c r="AY65" s="33" t="n">
        <f aca="false">AY63-AY66</f>
        <v>0.10250500033491</v>
      </c>
      <c r="AZ65" s="33" t="n">
        <f aca="false">AZ63-AZ66</f>
        <v>0.0827724029628529</v>
      </c>
      <c r="BA65" s="33" t="n">
        <f aca="false">BA63-BA66</f>
        <v>0.0772018864139876</v>
      </c>
      <c r="BB65" s="33" t="n">
        <f aca="false">BB63-BB66</f>
        <v>0.0716544741840857</v>
      </c>
      <c r="BC65" s="18" t="s">
        <v>155</v>
      </c>
    </row>
    <row r="66" customFormat="false" ht="15" hidden="false" customHeight="true" outlineLevel="0" collapsed="false">
      <c r="B66" s="31" t="s">
        <v>156</v>
      </c>
      <c r="H66" s="32" t="n">
        <f aca="false">IFERROR(H63-H65,"")</f>
        <v>0.0181983019762195</v>
      </c>
      <c r="I66" s="32" t="n">
        <f aca="false">IFERROR(I63-I65,"")</f>
        <v>-0.00653769516948582</v>
      </c>
      <c r="K66" s="32" t="n">
        <f aca="false">IFERROR(K63-K65,"")</f>
        <v>-0.0164860178790711</v>
      </c>
      <c r="L66" s="32" t="n">
        <f aca="false">IFERROR(L63-L65,"")</f>
        <v>-0.0132639014050542</v>
      </c>
      <c r="N66" s="32" t="n">
        <f aca="false">IFERROR(N63-N65,"")</f>
        <v>-0.00133775738030263</v>
      </c>
      <c r="O66" s="32" t="n">
        <f aca="false">IFERROR(O63-O65,"")</f>
        <v>0.0464736393058453</v>
      </c>
      <c r="Q66" s="32" t="n">
        <f aca="false">IFERROR(Q63-Q65,"")</f>
        <v>0.0686429536763611</v>
      </c>
      <c r="R66" s="32" t="n">
        <f aca="false">IFERROR(R63-R65,"")</f>
        <v>-0.00562164806421329</v>
      </c>
      <c r="T66" s="32" t="n">
        <f aca="false">IFERROR(T63-T65,"")</f>
        <v>-0.00302233726346181</v>
      </c>
      <c r="U66" s="32" t="n">
        <f aca="false">IFERROR(U63-U65,"")</f>
        <v>0.00983679039301297</v>
      </c>
      <c r="W66" s="32" t="n">
        <f aca="false">IFERROR(W63-W65,"")</f>
        <v>-0.00460739608440021</v>
      </c>
      <c r="X66" s="32" t="n">
        <f aca="false">IFERROR(X63-X65,"")</f>
        <v>-0.0114944621846322</v>
      </c>
      <c r="Z66" s="32" t="n">
        <f aca="false">IFERROR(Z63-Z65,"")</f>
        <v>-0.00885098029870669</v>
      </c>
      <c r="AA66" s="32" t="n">
        <f aca="false">IFERROR(AA63-AA65,"")</f>
        <v>0.00936600788167115</v>
      </c>
      <c r="AC66" s="32" t="n">
        <f aca="false">IFERROR(AC63-AC65,"")</f>
        <v>0.0130332660634072</v>
      </c>
      <c r="AD66" s="32" t="n">
        <f aca="false">IFERROR(AD63-AD65,"")</f>
        <v>0.00195967235504241</v>
      </c>
      <c r="AF66" s="32" t="n">
        <f aca="false">IFERROR(AF63-AF65,"")</f>
        <v>-0.00588991560827354</v>
      </c>
      <c r="AJ66" s="32" t="n">
        <f aca="false">IFERROR(AJ63-AJ65,"")</f>
        <v>0.0407879425300543</v>
      </c>
      <c r="AL66" s="32" t="n">
        <f aca="false">IFERROR(AL63-AL65,"")</f>
        <v>0.0434000553231702</v>
      </c>
      <c r="AM66" s="32" t="n">
        <f aca="false">IFERROR(AM63-AM65,"")</f>
        <v>0.00457706262323748</v>
      </c>
      <c r="AO66" s="32" t="n">
        <f aca="false">IFERROR(AO63-AO65,"")</f>
        <v>-0.0211067860668821</v>
      </c>
      <c r="AP66" s="32" t="n">
        <f aca="false">IFERROR(AP63-AP65,"")</f>
        <v>-0.00595555040794779</v>
      </c>
      <c r="AR66" s="32" t="n">
        <f aca="false">IFERROR(AR63-AR65,"")</f>
        <v>-0.00190279264889159</v>
      </c>
      <c r="AS66" s="32" t="n">
        <f aca="false">IFERROR(AS63-AS65,"")</f>
        <v>-0.00473338789872747</v>
      </c>
      <c r="AU66" s="32" t="n">
        <f aca="false">IFERROR(AU63-AU65,"")</f>
        <v>-0.0137822047022385</v>
      </c>
      <c r="AV66" s="32" t="n">
        <f aca="false">IFERROR(AV63-AV65,"")</f>
        <v>-0.0375860831561023</v>
      </c>
      <c r="AW66" s="43" t="n">
        <v>0</v>
      </c>
      <c r="AX66" s="33" t="n">
        <f aca="false">IFERROR(AX63-AX65,"")</f>
        <v>-0.0182633877173284</v>
      </c>
      <c r="AY66" s="43" t="n">
        <v>0</v>
      </c>
      <c r="AZ66" s="43" t="n">
        <v>0</v>
      </c>
      <c r="BA66" s="43" t="n">
        <v>0</v>
      </c>
      <c r="BB66" s="43" t="n">
        <v>0</v>
      </c>
      <c r="BC66" s="18" t="s">
        <v>157</v>
      </c>
    </row>
    <row r="67" customFormat="false" ht="15" hidden="false" customHeight="true" outlineLevel="0" collapsed="false">
      <c r="B67" s="40" t="s">
        <v>158</v>
      </c>
      <c r="AX67" s="33" t="n">
        <f aca="false">CHOOSE(MATCH($BC$2,{"Bull","Base","Bear"},0),$BL$12,$BM$12,$BN$12)</f>
        <v>0.105</v>
      </c>
      <c r="BC67" s="18" t="s">
        <v>159</v>
      </c>
    </row>
    <row r="68" customFormat="false" ht="15" hidden="false" customHeight="true" outlineLevel="0" collapsed="false">
      <c r="B68" s="31" t="s">
        <v>160</v>
      </c>
      <c r="AW68" s="33" t="n">
        <f aca="false">(AU111*(1+AX67)-AS111*(1+AV65))/AT111-1</f>
        <v>0.0785350144235553</v>
      </c>
      <c r="BC68" s="18" t="s">
        <v>161</v>
      </c>
    </row>
    <row r="69" customFormat="false" ht="15" hidden="false" customHeight="true" outlineLevel="0" collapsed="false">
      <c r="B69" s="31" t="s">
        <v>162</v>
      </c>
      <c r="AW69" s="33" t="n">
        <f aca="false">AV18</f>
        <v>0.193</v>
      </c>
    </row>
    <row r="70" customFormat="false" ht="15" hidden="false" customHeight="true" outlineLevel="0" collapsed="false">
      <c r="B70" s="31" t="s">
        <v>163</v>
      </c>
      <c r="AW70" s="33" t="n">
        <f aca="false">AV27</f>
        <v>0.027</v>
      </c>
    </row>
    <row r="71" customFormat="false" ht="15" hidden="false" customHeight="true" outlineLevel="0" collapsed="false">
      <c r="B71" s="31" t="s">
        <v>164</v>
      </c>
      <c r="AW71" s="33" t="n">
        <f aca="false">(AW68*(AT16+AT25)-AT25*AW70)/AT16-AW69</f>
        <v>-0.0930267776795285</v>
      </c>
      <c r="BC71" s="18" t="s">
        <v>165</v>
      </c>
    </row>
    <row r="72" customFormat="false" ht="15" hidden="false" customHeight="true" outlineLevel="0" collapsed="false">
      <c r="B72" s="45" t="s">
        <v>166</v>
      </c>
      <c r="AX72" s="48" t="n">
        <f aca="false">ROUND(AX65-AX67,4)</f>
        <v>0</v>
      </c>
    </row>
    <row r="73" customFormat="false" ht="15" hidden="false" customHeight="true" outlineLevel="0" collapsed="false">
      <c r="B73" s="40" t="s">
        <v>167</v>
      </c>
      <c r="AZ73" s="27" t="n">
        <f aca="false">$BM$13</f>
        <v>1800</v>
      </c>
    </row>
    <row r="74" customFormat="false" ht="15" hidden="false" customHeight="true" outlineLevel="0" collapsed="false">
      <c r="B74" s="31" t="s">
        <v>168</v>
      </c>
      <c r="AZ74" s="33" t="n">
        <f aca="false">IFERROR(AZ111/AZ73-1,"")</f>
        <v>0.0147453743769415</v>
      </c>
    </row>
    <row r="75" customFormat="false" ht="15" hidden="false" customHeight="true" outlineLevel="0" collapsed="false"/>
    <row r="76" customFormat="false" ht="15" hidden="false" customHeight="true" outlineLevel="0" collapsed="false">
      <c r="B76" s="9" t="s">
        <v>169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 t="s">
        <v>170</v>
      </c>
    </row>
    <row r="77" customFormat="false" ht="15" hidden="false" customHeight="true" outlineLevel="0" collapsed="false"/>
    <row r="78" customFormat="false" ht="15" hidden="false" customHeight="true" outlineLevel="0" collapsed="false">
      <c r="B78" s="12" t="s">
        <v>171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3" t="s">
        <v>172</v>
      </c>
    </row>
    <row r="79" customFormat="false" ht="15" hidden="false" customHeight="true" outlineLevel="0" collapsed="false">
      <c r="B79" s="31" t="s">
        <v>173</v>
      </c>
      <c r="C79" s="32" t="n">
        <f aca="false">IFERROR(C83/C111,"")</f>
        <v>0.520363739405961</v>
      </c>
      <c r="D79" s="32" t="n">
        <f aca="false">IFERROR(D83/D111,"")</f>
        <v>0.575013076764571</v>
      </c>
      <c r="E79" s="32" t="n">
        <f aca="false">IFERROR(E83/E111,"")</f>
        <v>0.548783151647536</v>
      </c>
      <c r="F79" s="32" t="n">
        <f aca="false">IFERROR(F83/F111,"")</f>
        <v>0.541075271998402</v>
      </c>
      <c r="G79" s="32" t="n">
        <f aca="false">IFERROR(G83/G111,"")</f>
        <v>0.606065862695847</v>
      </c>
      <c r="H79" s="32" t="n">
        <f aca="false">IFERROR(H83/H111,"")</f>
        <v>0.574607709409604</v>
      </c>
      <c r="I79" s="32" t="n">
        <f aca="false">IFERROR(I83/I111,"")</f>
        <v>0.578229911025931</v>
      </c>
      <c r="J79" s="32" t="n">
        <f aca="false">IFERROR(J83/J111,"")</f>
        <v>0.61328271863971</v>
      </c>
      <c r="K79" s="32" t="n">
        <f aca="false">IFERROR(K83/K111,"")</f>
        <v>0.596154800297693</v>
      </c>
      <c r="L79" s="32" t="n">
        <f aca="false">IFERROR(L83/L111,"")</f>
        <v>0.597624722002605</v>
      </c>
      <c r="M79" s="32" t="n">
        <f aca="false">IFERROR(M83/M111,"")</f>
        <v>0.656109451520839</v>
      </c>
      <c r="N79" s="32" t="n">
        <f aca="false">IFERROR(N83/N111,"")</f>
        <v>0.627219317297399</v>
      </c>
      <c r="O79" s="32" t="n">
        <f aca="false">IFERROR(O83/O111,"")</f>
        <v>0.638370305293213</v>
      </c>
      <c r="P79" s="32" t="n">
        <f aca="false">IFERROR(P83/P111,"")</f>
        <v>0.647243696771569</v>
      </c>
      <c r="Q79" s="32" t="n">
        <f aca="false">IFERROR(Q83/Q111,"")</f>
        <v>0.642951483879068</v>
      </c>
      <c r="R79" s="32" t="n">
        <f aca="false">IFERROR(R83/R111,"")</f>
        <v>0.644423216885007</v>
      </c>
      <c r="S79" s="32" t="n">
        <f aca="false">IFERROR(S83/S111,"")</f>
        <v>0.653908211967086</v>
      </c>
      <c r="T79" s="32" t="n">
        <f aca="false">IFERROR(T83/T111,"")</f>
        <v>0.649335155086617</v>
      </c>
      <c r="U79" s="32" t="n">
        <f aca="false">IFERROR(U83/U111,"")</f>
        <v>0.647260682127343</v>
      </c>
      <c r="V79" s="32" t="n">
        <f aca="false">IFERROR(V83/V111,"")</f>
        <v>0.654627964525599</v>
      </c>
      <c r="W79" s="32" t="n">
        <f aca="false">IFERROR(W83/W111,"")</f>
        <v>0.651068071830983</v>
      </c>
      <c r="X79" s="32" t="n">
        <f aca="false">IFERROR(X83/X111,"")</f>
        <v>0.652167459534076</v>
      </c>
      <c r="Y79" s="32" t="n">
        <f aca="false">IFERROR(Y83/Y111,"")</f>
        <v>0.663451024655215</v>
      </c>
      <c r="Z79" s="32" t="n">
        <f aca="false">IFERROR(Z83/Z111,"")</f>
        <v>0.657952317919117</v>
      </c>
      <c r="AA79" s="32" t="n">
        <f aca="false">IFERROR(AA83/AA111,"")</f>
        <v>0.665052691540872</v>
      </c>
      <c r="AB79" s="32" t="n">
        <f aca="false">IFERROR(AB83/AB111,"")</f>
        <v>0.702751400356569</v>
      </c>
      <c r="AC79" s="32" t="n">
        <f aca="false">IFERROR(AC83/AC111,"")</f>
        <v>0.68467539049067</v>
      </c>
      <c r="AD79" s="32" t="n">
        <f aca="false">IFERROR(AD83/AD111,"")</f>
        <v>0.668845634508611</v>
      </c>
      <c r="AE79" s="32" t="n">
        <f aca="false">IFERROR(AE83/AE111,"")</f>
        <v>0.684837843420781</v>
      </c>
      <c r="AF79" s="32" t="n">
        <f aca="false">IFERROR(AF83/AF111,"")</f>
        <v>0.678807307913598</v>
      </c>
      <c r="AG79" s="32" t="n">
        <f aca="false">IFERROR(AG83/AG111,"")</f>
        <v>0.667523998929131</v>
      </c>
      <c r="AH79" s="32" t="n">
        <f aca="false">IFERROR(AH83/AH111,"")</f>
        <v>0.676475534304682</v>
      </c>
      <c r="AI79" s="32" t="n">
        <f aca="false">IFERROR(AI83/AI111,"")</f>
        <v>0.672531765188246</v>
      </c>
      <c r="AJ79" s="32" t="n">
        <f aca="false">IFERROR(AJ83/AJ111,"")</f>
        <v>0.717168604357216</v>
      </c>
      <c r="AK79" s="32" t="n">
        <f aca="false">IFERROR(AK83/AK111,"")</f>
        <v>0.713982920624724</v>
      </c>
      <c r="AL79" s="32" t="n">
        <f aca="false">IFERROR(AL83/AL111,"")</f>
        <v>0.715421633822909</v>
      </c>
      <c r="AM79" s="32" t="n">
        <f aca="false">IFERROR(AM83/AM111,"")</f>
        <v>0.715223314250416</v>
      </c>
      <c r="AN79" s="32" t="n">
        <f aca="false">IFERROR(AN83/AN111,"")</f>
        <v>0.733380578291725</v>
      </c>
      <c r="AO79" s="32" t="n">
        <f aca="false">IFERROR(AO83/AO111,"")</f>
        <v>0.724712573063489</v>
      </c>
      <c r="AP79" s="32" t="n">
        <f aca="false">IFERROR(AP83/AP111,"")</f>
        <v>0.74470323622197</v>
      </c>
      <c r="AQ79" s="32" t="n">
        <f aca="false">IFERROR(AQ83/AQ111,"")</f>
        <v>0.746045619400558</v>
      </c>
      <c r="AR79" s="32" t="n">
        <f aca="false">IFERROR(AR83/AR111,"")</f>
        <v>0.745393964991318</v>
      </c>
      <c r="AS79" s="32" t="n">
        <f aca="false">IFERROR(AS83/AS111,"")</f>
        <v>0.744522645384317</v>
      </c>
      <c r="AT79" s="32" t="n">
        <f aca="false">IFERROR(AT83/AT111,"")</f>
        <v>0.758464858472319</v>
      </c>
      <c r="AU79" s="32" t="n">
        <f aca="false">IFERROR(AU83/AU111,"")</f>
        <v>0.751690222173925</v>
      </c>
      <c r="AV79" s="32" t="n">
        <f aca="false">IFERROR(AV83/AV111,"")</f>
        <v>0.750253198845493</v>
      </c>
      <c r="AW79" s="33" t="n">
        <f aca="false">AT79+(AV79-AS79)</f>
        <v>0.764195411933495</v>
      </c>
      <c r="AX79" s="33" t="n">
        <f aca="false">IFERROR(AX83/AX111,"")</f>
        <v>0.75736668195519</v>
      </c>
      <c r="AY79" s="33" t="n">
        <f aca="false">CHOOSE(MATCH($BC$2,{"Bull","Base","Bear"},0),$BL$28,$BM$28,$BN$28)</f>
        <v>0.758</v>
      </c>
      <c r="AZ79" s="33" t="n">
        <f aca="false">CHOOSE(MATCH($BC$2,{"Bull","Base","Bear"},0),$BL$29,$BM$29,$BN$29)</f>
        <v>0.759</v>
      </c>
      <c r="BA79" s="33" t="n">
        <f aca="false">CHOOSE(MATCH($BC$2,{"Bull","Base","Bear"},0),$BL$30,$BM$30,$BN$30)</f>
        <v>0.76</v>
      </c>
      <c r="BB79" s="33" t="n">
        <f aca="false">CHOOSE(MATCH($BC$2,{"Bull","Base","Bear"},0),$BL$31,$BM$31,$BN$31)</f>
        <v>0.76</v>
      </c>
      <c r="BC79" s="18" t="s">
        <v>174</v>
      </c>
    </row>
    <row r="80" customFormat="false" ht="15" hidden="false" customHeight="true" outlineLevel="0" collapsed="false">
      <c r="B80" s="14" t="s">
        <v>175</v>
      </c>
      <c r="C80" s="35" t="n">
        <f aca="false">IF(ISNUMBER(C81),C113+C81,"")</f>
        <v>-55.857</v>
      </c>
      <c r="D80" s="35" t="n">
        <f aca="false">IF(ISNUMBER(D81),D113+D81,"")</f>
        <v>-53.624</v>
      </c>
      <c r="E80" s="35" t="n">
        <f aca="false">IF(ISNUMBER(E81),E113+E81,"")</f>
        <v>-109.481</v>
      </c>
      <c r="F80" s="35" t="n">
        <f aca="false">IF(ISNUMBER(F81),F113+F81,"")</f>
        <v>-62.048</v>
      </c>
      <c r="G80" s="35" t="n">
        <f aca="false">IF(ISNUMBER(G81),G113+G81,"")</f>
        <v>-56.773</v>
      </c>
      <c r="H80" s="35" t="n">
        <f aca="false">IF(ISNUMBER(H81),H113+H81,"")</f>
        <v>-118.821</v>
      </c>
      <c r="I80" s="35" t="n">
        <f aca="false">IF(ISNUMBER(I81),I113+I81,"")</f>
        <v>-66.46</v>
      </c>
      <c r="J80" s="35" t="n">
        <f aca="false">IF(ISNUMBER(J81),J113+J81,"")</f>
        <v>-63.772</v>
      </c>
      <c r="K80" s="35" t="n">
        <f aca="false">IF(ISNUMBER(K81),K113+K81,"")</f>
        <v>-130.232</v>
      </c>
      <c r="L80" s="35" t="n">
        <f aca="false">IF(ISNUMBER(L81),L113+L81,"")</f>
        <v>-70.742</v>
      </c>
      <c r="M80" s="35" t="n">
        <f aca="false">IF(ISNUMBER(M81),M113+M81,"")</f>
        <v>-61.934</v>
      </c>
      <c r="N80" s="35" t="n">
        <f aca="false">IF(ISNUMBER(N81),N113+N81,"")</f>
        <v>-132.676</v>
      </c>
      <c r="O80" s="35" t="n">
        <f aca="false">IF(ISNUMBER(O81),O113+O81,"")</f>
        <v>-72.446</v>
      </c>
      <c r="P80" s="35" t="n">
        <f aca="false">IF(ISNUMBER(P81),P113+P81,"")</f>
        <v>-75.426</v>
      </c>
      <c r="Q80" s="35" t="n">
        <f aca="false">IF(ISNUMBER(Q81),Q113+Q81,"")</f>
        <v>-147.872</v>
      </c>
      <c r="R80" s="35" t="n">
        <f aca="false">IF(ISNUMBER(R81),R113+R81,"")</f>
        <v>-78.17</v>
      </c>
      <c r="S80" s="35" t="n">
        <f aca="false">IF(ISNUMBER(S81),S113+S81,"")</f>
        <v>-81.723</v>
      </c>
      <c r="T80" s="35" t="n">
        <f aca="false">IF(ISNUMBER(T81),T113+T81,"")</f>
        <v>-159.893</v>
      </c>
      <c r="U80" s="35" t="n">
        <f aca="false">IF(ISNUMBER(U81),U113+U81,"")</f>
        <v>-85.831</v>
      </c>
      <c r="V80" s="35" t="n">
        <f aca="false">IF(ISNUMBER(V81),V113+V81,"")</f>
        <v>-89.881</v>
      </c>
      <c r="W80" s="35" t="n">
        <f aca="false">IF(ISNUMBER(W81),W113+W81,"")</f>
        <v>-175.712</v>
      </c>
      <c r="X80" s="35" t="n">
        <f aca="false">IF(ISNUMBER(X81),X113+X81,"")</f>
        <v>-93.736</v>
      </c>
      <c r="Y80" s="35" t="n">
        <f aca="false">IF(ISNUMBER(Y81),Y113+Y81,"")</f>
        <v>-95.415</v>
      </c>
      <c r="Z80" s="35" t="n">
        <f aca="false">IF(ISNUMBER(Z81),Z113+Z81,"")</f>
        <v>-189.151</v>
      </c>
      <c r="AA80" s="35" t="n">
        <f aca="false">IF(ISNUMBER(AA81),AA113+AA81,"")</f>
        <v>-97.608</v>
      </c>
      <c r="AB80" s="35" t="n">
        <f aca="false">IF(ISNUMBER(AB81),AB113+AB81,"")</f>
        <v>-94.034</v>
      </c>
      <c r="AC80" s="35" t="n">
        <f aca="false">IF(ISNUMBER(AC81),AC113+AC81,"")</f>
        <v>-191.642</v>
      </c>
      <c r="AD80" s="35" t="n">
        <f aca="false">IF(ISNUMBER(AD81),AD113+AD81,"")</f>
        <v>-67.934</v>
      </c>
      <c r="AE80" s="35" t="n">
        <f aca="false">IF(ISNUMBER(AE81),AE113+AE81,"")</f>
        <v>-106.799</v>
      </c>
      <c r="AF80" s="35" t="n">
        <f aca="false">IF(ISNUMBER(AF81),AF113+AF81,"")</f>
        <v>-174.733</v>
      </c>
      <c r="AG80" s="35" t="n">
        <f aca="false">IF(ISNUMBER(AG81),AG113+AG81,"")</f>
        <v>-104.319</v>
      </c>
      <c r="AH80" s="35" t="n">
        <f aca="false">IF(ISNUMBER(AH81),AH113+AH81,"")</f>
        <v>-128.897</v>
      </c>
      <c r="AI80" s="35" t="n">
        <f aca="false">IF(ISNUMBER(AI81),AI113+AI81,"")</f>
        <v>-233.216</v>
      </c>
      <c r="AJ80" s="35" t="n">
        <f aca="false">IF(ISNUMBER(AJ81),AJ113+AJ81,"")</f>
        <v>-117.476</v>
      </c>
      <c r="AK80" s="35" t="n">
        <f aca="false">IF(ISNUMBER(AK81),AK113+AK81,"")</f>
        <v>-144.253</v>
      </c>
      <c r="AL80" s="35" t="n">
        <f aca="false">IF(ISNUMBER(AL81),AL113+AL81,"")</f>
        <v>-261.729</v>
      </c>
      <c r="AM80" s="35" t="n">
        <f aca="false">IF(ISNUMBER(AM81),AM113+AM81,"")</f>
        <v>-154.902</v>
      </c>
      <c r="AN80" s="35" t="n">
        <f aca="false">IF(ISNUMBER(AN81),AN113+AN81,"")</f>
        <v>-158.766</v>
      </c>
      <c r="AO80" s="35" t="n">
        <f aca="false">IF(ISNUMBER(AO81),AO113+AO81,"")</f>
        <v>-313.668</v>
      </c>
      <c r="AP80" s="35" t="n">
        <f aca="false">IF(ISNUMBER(AP81),AP113+AP81,"")</f>
        <v>-158.453</v>
      </c>
      <c r="AQ80" s="35" t="n">
        <f aca="false">IF(ISNUMBER(AQ81),AQ113+AQ81,"")</f>
        <v>-167.071</v>
      </c>
      <c r="AR80" s="35" t="n">
        <f aca="false">IF(ISNUMBER(AR81),AR113+AR81,"")</f>
        <v>-325.524</v>
      </c>
      <c r="AS80" s="35" t="n">
        <f aca="false">IF(ISNUMBER(AS81),AS113+AS81,"")</f>
        <v>-174.781</v>
      </c>
      <c r="AT80" s="35" t="n">
        <f aca="false">IF(ISNUMBER(AT81),AT113+AT81,"")</f>
        <v>-174.827</v>
      </c>
      <c r="AU80" s="35" t="n">
        <f aca="false">IF(ISNUMBER(AU81),AU113+AU81,"")</f>
        <v>-349.608</v>
      </c>
      <c r="AV80" s="35" t="n">
        <f aca="false">IF(ISNUMBER(AV81),AV113+AV81,"")</f>
        <v>-187.163</v>
      </c>
      <c r="AW80" s="36" t="n">
        <f aca="false">-AW111*(1-AW79)</f>
        <v>-184.083421944127</v>
      </c>
      <c r="AX80" s="36" t="n">
        <f aca="false">IF(ISNUMBER(AX81),AX113+AX81,"")</f>
        <v>-371.246421944127</v>
      </c>
      <c r="AY80" s="36" t="n">
        <f aca="false">-AY111*(1-AY79)</f>
        <v>-408.232684790508</v>
      </c>
      <c r="AZ80" s="36" t="n">
        <f aca="false">-AZ111*(1-AZ79)</f>
        <v>-440.196543404717</v>
      </c>
      <c r="BA80" s="36" t="n">
        <f aca="false">-BA111*(1-BA79)</f>
        <v>-472.212992811763</v>
      </c>
      <c r="BB80" s="36" t="n">
        <f aca="false">-BB111*(1-BB79)</f>
        <v>-506.049166514583</v>
      </c>
    </row>
    <row r="81" customFormat="false" ht="15" hidden="false" customHeight="true" outlineLevel="0" collapsed="false">
      <c r="B81" s="20" t="s">
        <v>176</v>
      </c>
      <c r="C81" s="42" t="n">
        <v>-38.275</v>
      </c>
      <c r="D81" s="26" t="n">
        <f aca="false">E81-C81</f>
        <v>-24.145</v>
      </c>
      <c r="E81" s="42" t="n">
        <v>-62.42</v>
      </c>
      <c r="F81" s="42" t="n">
        <v>-41.261</v>
      </c>
      <c r="G81" s="26" t="n">
        <f aca="false">H81-F81</f>
        <v>-33.099</v>
      </c>
      <c r="H81" s="42" t="n">
        <v>-74.36</v>
      </c>
      <c r="I81" s="42" t="n">
        <v>-38.573</v>
      </c>
      <c r="J81" s="26" t="n">
        <f aca="false">K81-I81</f>
        <v>-37.174</v>
      </c>
      <c r="K81" s="42" t="n">
        <v>-75.747</v>
      </c>
      <c r="L81" s="42" t="n">
        <v>-42.526</v>
      </c>
      <c r="M81" s="26" t="n">
        <f aca="false">N81-L81</f>
        <v>-38.861</v>
      </c>
      <c r="N81" s="42" t="n">
        <v>-81.387</v>
      </c>
      <c r="O81" s="42" t="n">
        <v>-43.253</v>
      </c>
      <c r="P81" s="26" t="n">
        <f aca="false">Q81-O81</f>
        <v>-39.085</v>
      </c>
      <c r="Q81" s="42" t="n">
        <v>-82.338</v>
      </c>
      <c r="R81" s="42" t="n">
        <v>-44.834</v>
      </c>
      <c r="S81" s="26" t="n">
        <f aca="false">T81-R81</f>
        <v>-42.171</v>
      </c>
      <c r="T81" s="42" t="n">
        <v>-87.005</v>
      </c>
      <c r="U81" s="42" t="n">
        <v>-47.912</v>
      </c>
      <c r="V81" s="26" t="n">
        <f aca="false">W81-U81</f>
        <v>-44.899</v>
      </c>
      <c r="W81" s="42" t="n">
        <v>-92.811</v>
      </c>
      <c r="X81" s="42" t="n">
        <v>-52.057</v>
      </c>
      <c r="Y81" s="26" t="n">
        <f aca="false">Z81-X81</f>
        <v>-49.038</v>
      </c>
      <c r="Z81" s="42" t="n">
        <v>-101.095</v>
      </c>
      <c r="AA81" s="42" t="n">
        <v>-58.033</v>
      </c>
      <c r="AB81" s="26" t="n">
        <f aca="false">AC81-AA81</f>
        <v>-61.33</v>
      </c>
      <c r="AC81" s="42" t="n">
        <v>-119.363</v>
      </c>
      <c r="AD81" s="42" t="n">
        <v>-57.277</v>
      </c>
      <c r="AE81" s="26" t="n">
        <f aca="false">AF81-AD81</f>
        <v>-63.731</v>
      </c>
      <c r="AF81" s="42" t="n">
        <v>-121.008</v>
      </c>
      <c r="AG81" s="42" t="n">
        <v>-57.393</v>
      </c>
      <c r="AH81" s="26" t="n">
        <f aca="false">AI81-AG81</f>
        <v>-62.213</v>
      </c>
      <c r="AI81" s="42" t="n">
        <v>-119.606</v>
      </c>
      <c r="AJ81" s="42" t="n">
        <v>-83.901</v>
      </c>
      <c r="AK81" s="26" t="n">
        <f aca="false">AL81-AJ81</f>
        <v>-82.291</v>
      </c>
      <c r="AL81" s="42" t="n">
        <v>-166.192</v>
      </c>
      <c r="AM81" s="42" t="n">
        <v>-100.902</v>
      </c>
      <c r="AN81" s="26" t="n">
        <f aca="false">AO81-AM81</f>
        <v>-98.423</v>
      </c>
      <c r="AO81" s="42" t="n">
        <v>-199.325</v>
      </c>
      <c r="AP81" s="42" t="n">
        <v>-119.177</v>
      </c>
      <c r="AQ81" s="26" t="n">
        <f aca="false">AR81-AP81</f>
        <v>-104.547</v>
      </c>
      <c r="AR81" s="42" t="n">
        <v>-223.724</v>
      </c>
      <c r="AS81" s="42" t="n">
        <v>-116.397</v>
      </c>
      <c r="AT81" s="26" t="n">
        <f aca="false">AU81-AS81</f>
        <v>-112.112</v>
      </c>
      <c r="AU81" s="42" t="n">
        <v>-228.509</v>
      </c>
      <c r="AV81" s="42" t="n">
        <v>-118.596</v>
      </c>
      <c r="AW81" s="27" t="n">
        <f aca="false">AW80-AW113</f>
        <v>-118.047902217621</v>
      </c>
      <c r="AX81" s="27" t="n">
        <f aca="false">AV81+AW81</f>
        <v>-236.643902217621</v>
      </c>
      <c r="AY81" s="27" t="n">
        <f aca="false">AY80-AY113</f>
        <v>-260.22008518143</v>
      </c>
      <c r="AZ81" s="27" t="n">
        <f aca="false">AZ80-AZ113</f>
        <v>-280.594833018157</v>
      </c>
      <c r="BA81" s="27" t="n">
        <f aca="false">BA80-BA113</f>
        <v>-301.003103845819</v>
      </c>
      <c r="BB81" s="27" t="n">
        <f aca="false">BB80-BB113</f>
        <v>-322.571322979669</v>
      </c>
    </row>
    <row r="82" customFormat="false" ht="15" hidden="false" customHeight="true" outlineLevel="0" collapsed="false">
      <c r="B82" s="31" t="s">
        <v>177</v>
      </c>
      <c r="C82" s="32" t="n">
        <f aca="false">IFERROR(C113/C80,"")</f>
        <v>0.314768068460533</v>
      </c>
      <c r="D82" s="32" t="n">
        <f aca="false">IFERROR(D113/D80,"")</f>
        <v>0.549735193197076</v>
      </c>
      <c r="E82" s="32" t="n">
        <f aca="false">IFERROR(E113/E80,"")</f>
        <v>0.429855408701053</v>
      </c>
      <c r="F82" s="32" t="n">
        <f aca="false">IFERROR(F113/F80,"")</f>
        <v>0.335014827230531</v>
      </c>
      <c r="G82" s="32" t="n">
        <f aca="false">IFERROR(G113/G80,"")</f>
        <v>0.41699399362373</v>
      </c>
      <c r="H82" s="32" t="n">
        <f aca="false">IFERROR(H113/H80,"")</f>
        <v>0.374184697991096</v>
      </c>
      <c r="I82" s="32" t="n">
        <f aca="false">IFERROR(I113/I80,"")</f>
        <v>0.419605777911526</v>
      </c>
      <c r="J82" s="32" t="n">
        <f aca="false">IFERROR(J113/J80,"")</f>
        <v>0.417079596060967</v>
      </c>
      <c r="K82" s="32" t="n">
        <f aca="false">IFERROR(K113/K80,"")</f>
        <v>0.418368757294674</v>
      </c>
      <c r="L82" s="32" t="n">
        <f aca="false">IFERROR(L113/L80,"")</f>
        <v>0.398857821379096</v>
      </c>
      <c r="M82" s="32" t="n">
        <f aca="false">IFERROR(M113/M80,"")</f>
        <v>0.372541737979139</v>
      </c>
      <c r="N82" s="32" t="n">
        <f aca="false">IFERROR(N113/N80,"")</f>
        <v>0.386573306400555</v>
      </c>
      <c r="O82" s="32" t="n">
        <f aca="false">IFERROR(O113/O80,"")</f>
        <v>0.402962206332993</v>
      </c>
      <c r="P82" s="32" t="n">
        <f aca="false">IFERROR(P113/P80,"")</f>
        <v>0.481809985946491</v>
      </c>
      <c r="Q82" s="32" t="n">
        <f aca="false">IFERROR(Q113/Q80,"")</f>
        <v>0.443180588617182</v>
      </c>
      <c r="R82" s="32" t="n">
        <f aca="false">IFERROR(R113/R80,"")</f>
        <v>0.426455161826788</v>
      </c>
      <c r="S82" s="32" t="n">
        <f aca="false">IFERROR(S113/S80,"")</f>
        <v>0.483976359164495</v>
      </c>
      <c r="T82" s="32" t="n">
        <f aca="false">IFERROR(T113/T80,"")</f>
        <v>0.455854852932899</v>
      </c>
      <c r="U82" s="32" t="n">
        <f aca="false">IFERROR(U113/U80,"")</f>
        <v>0.441786767018909</v>
      </c>
      <c r="V82" s="32" t="n">
        <f aca="false">IFERROR(V113/V80,"")</f>
        <v>0.500461721609684</v>
      </c>
      <c r="W82" s="32" t="n">
        <f aca="false">IFERROR(W113/W80,"")</f>
        <v>0.471800446184666</v>
      </c>
      <c r="X82" s="32" t="n">
        <f aca="false">IFERROR(X113/X80,"")</f>
        <v>0.444642399931723</v>
      </c>
      <c r="Y82" s="32" t="n">
        <f aca="false">IFERROR(Y113/Y80,"")</f>
        <v>0.486055651627103</v>
      </c>
      <c r="Z82" s="32" t="n">
        <f aca="false">IFERROR(Z113/Z80,"")</f>
        <v>0.465532828269478</v>
      </c>
      <c r="AA82" s="32" t="n">
        <f aca="false">IFERROR(AA113/AA80,"")</f>
        <v>0.405448323907876</v>
      </c>
      <c r="AB82" s="32" t="n">
        <f aca="false">IFERROR(AB113/AB80,"")</f>
        <v>0.347789097560457</v>
      </c>
      <c r="AC82" s="32" t="n">
        <f aca="false">IFERROR(AC113/AC80,"")</f>
        <v>0.377156364471254</v>
      </c>
      <c r="AD82" s="32" t="n">
        <f aca="false">IFERROR(AD113/AD80,"")</f>
        <v>0.156872847175199</v>
      </c>
      <c r="AE82" s="32" t="n">
        <f aca="false">IFERROR(AE113/AE80,"")</f>
        <v>0.403262202829615</v>
      </c>
      <c r="AF82" s="32" t="n">
        <f aca="false">IFERROR(AF113/AF80,"")</f>
        <v>0.307469110013564</v>
      </c>
      <c r="AG82" s="32" t="n">
        <f aca="false">IFERROR(AG113/AG80,"")</f>
        <v>0.449831766025365</v>
      </c>
      <c r="AH82" s="32" t="n">
        <f aca="false">IFERROR(AH113/AH80,"")</f>
        <v>0.517343305119592</v>
      </c>
      <c r="AI82" s="32" t="n">
        <f aca="false">IFERROR(AI113/AI80,"")</f>
        <v>0.487144964324918</v>
      </c>
      <c r="AJ82" s="32" t="n">
        <f aca="false">IFERROR(AJ113/AJ80,"")</f>
        <v>0.285803057645817</v>
      </c>
      <c r="AK82" s="32" t="n">
        <f aca="false">IFERROR(AK113/AK80,"")</f>
        <v>0.42953699403132</v>
      </c>
      <c r="AL82" s="32" t="n">
        <f aca="false">IFERROR(AL113/AL80,"")</f>
        <v>0.365022599711916</v>
      </c>
      <c r="AM82" s="32" t="n">
        <f aca="false">IFERROR(AM113/AM80,"")</f>
        <v>0.348607506681644</v>
      </c>
      <c r="AN82" s="32" t="n">
        <f aca="false">IFERROR(AN113/AN80,"")</f>
        <v>0.380075079047151</v>
      </c>
      <c r="AO82" s="32" t="n">
        <f aca="false">IFERROR(AO113/AO80,"")</f>
        <v>0.36453511355956</v>
      </c>
      <c r="AP82" s="32" t="n">
        <f aca="false">IFERROR(AP113/AP80,"")</f>
        <v>0.247871608615804</v>
      </c>
      <c r="AQ82" s="32" t="n">
        <f aca="false">IFERROR(AQ113/AQ80,"")</f>
        <v>0.374236103213604</v>
      </c>
      <c r="AR82" s="32" t="n">
        <f aca="false">IFERROR(AR113/AR80,"")</f>
        <v>0.312726557796046</v>
      </c>
      <c r="AS82" s="32" t="n">
        <f aca="false">IFERROR(AS113/AS80,"")</f>
        <v>0.334040885450936</v>
      </c>
      <c r="AT82" s="32" t="n">
        <f aca="false">IFERROR(AT113/AT80,"")</f>
        <v>0.358726054899987</v>
      </c>
      <c r="AU82" s="32" t="n">
        <f aca="false">IFERROR(AU113/AU80,"")</f>
        <v>0.346385094162605</v>
      </c>
      <c r="AV82" s="32" t="n">
        <f aca="false">IFERROR(AV113/AV80,"")</f>
        <v>0.366349118148352</v>
      </c>
      <c r="AW82" s="33" t="n">
        <f aca="false">AT82</f>
        <v>0.358726054899987</v>
      </c>
      <c r="AX82" s="33" t="n">
        <f aca="false">IFERROR(AX113/AX80,"")</f>
        <v>0.362569204092596</v>
      </c>
      <c r="AY82" s="33" t="n">
        <f aca="false">AX82</f>
        <v>0.362569204092596</v>
      </c>
      <c r="AZ82" s="33" t="n">
        <f aca="false">AY82</f>
        <v>0.362569204092596</v>
      </c>
      <c r="BA82" s="33" t="n">
        <f aca="false">AZ82</f>
        <v>0.362569204092596</v>
      </c>
      <c r="BB82" s="33" t="n">
        <f aca="false">BA82</f>
        <v>0.362569204092596</v>
      </c>
      <c r="BC82" s="18" t="s">
        <v>178</v>
      </c>
    </row>
    <row r="83" customFormat="false" ht="15" hidden="false" customHeight="true" outlineLevel="0" collapsed="false">
      <c r="B83" s="14" t="s">
        <v>179</v>
      </c>
      <c r="C83" s="35" t="n">
        <f aca="false">IF(ISNUMBER(C80),C111+C80,"")</f>
        <v>60.6</v>
      </c>
      <c r="D83" s="35" t="n">
        <f aca="false">IF(ISNUMBER(D80),D111+D80,"")</f>
        <v>72.554</v>
      </c>
      <c r="E83" s="35" t="n">
        <f aca="false">IF(ISNUMBER(E80),E111+E80,"")</f>
        <v>133.154</v>
      </c>
      <c r="F83" s="35" t="n">
        <f aca="false">IF(ISNUMBER(F80),F111+F80,"")</f>
        <v>73.155</v>
      </c>
      <c r="G83" s="35" t="n">
        <f aca="false">IF(ISNUMBER(G80),G111+G80,"")</f>
        <v>87.345</v>
      </c>
      <c r="H83" s="35" t="n">
        <f aca="false">IF(ISNUMBER(H80),H111+H80,"")</f>
        <v>160.5</v>
      </c>
      <c r="I83" s="35" t="n">
        <f aca="false">IF(ISNUMBER(I80),I111+I80,"")</f>
        <v>91.114</v>
      </c>
      <c r="J83" s="35" t="n">
        <f aca="false">IF(ISNUMBER(J80),J111+J80,"")</f>
        <v>101.134</v>
      </c>
      <c r="K83" s="35" t="n">
        <f aca="false">IF(ISNUMBER(K80),K111+K80,"")</f>
        <v>192.248</v>
      </c>
      <c r="L83" s="35" t="n">
        <f aca="false">IF(ISNUMBER(L80),L111+L80,"")</f>
        <v>105.069</v>
      </c>
      <c r="M83" s="35" t="n">
        <f aca="false">IF(ISNUMBER(M80),M111+M80,"")</f>
        <v>118.164</v>
      </c>
      <c r="N83" s="35" t="n">
        <f aca="false">IF(ISNUMBER(N80),N111+N80,"")</f>
        <v>223.233</v>
      </c>
      <c r="O83" s="35" t="n">
        <f aca="false">IF(ISNUMBER(O80),O111+O80,"")</f>
        <v>127.886</v>
      </c>
      <c r="P83" s="35" t="n">
        <f aca="false">IF(ISNUMBER(P80),P111+P80,"")</f>
        <v>138.393</v>
      </c>
      <c r="Q83" s="35" t="n">
        <f aca="false">IF(ISNUMBER(Q80),Q111+Q80,"")</f>
        <v>266.279</v>
      </c>
      <c r="R83" s="35" t="n">
        <f aca="false">IF(ISNUMBER(R80),R111+R80,"")</f>
        <v>141.67</v>
      </c>
      <c r="S83" s="35" t="n">
        <f aca="false">IF(ISNUMBER(S80),S111+S80,"")</f>
        <v>154.408</v>
      </c>
      <c r="T83" s="35" t="n">
        <f aca="false">IF(ISNUMBER(T80),T111+T80,"")</f>
        <v>296.078</v>
      </c>
      <c r="U83" s="35" t="n">
        <f aca="false">IF(ISNUMBER(U80),U111+U80,"")</f>
        <v>157.496</v>
      </c>
      <c r="V83" s="35" t="n">
        <f aca="false">IF(ISNUMBER(V80),V111+V80,"")</f>
        <v>170.363</v>
      </c>
      <c r="W83" s="35" t="n">
        <f aca="false">IF(ISNUMBER(W80),W111+W80,"")</f>
        <v>327.859</v>
      </c>
      <c r="X83" s="35" t="n">
        <f aca="false">IF(ISNUMBER(X80),X111+X80,"")</f>
        <v>175.75</v>
      </c>
      <c r="Y83" s="35" t="n">
        <f aca="false">IF(ISNUMBER(Y80),Y111+Y80,"")</f>
        <v>188.095</v>
      </c>
      <c r="Z83" s="35" t="n">
        <f aca="false">IF(ISNUMBER(Z80),Z111+Z80,"")</f>
        <v>363.845</v>
      </c>
      <c r="AA83" s="35" t="n">
        <f aca="false">IF(ISNUMBER(AA80),AA111+AA80,"")</f>
        <v>193.805</v>
      </c>
      <c r="AB83" s="35" t="n">
        <f aca="false">IF(ISNUMBER(AB80),AB111+AB80,"")</f>
        <v>222.314</v>
      </c>
      <c r="AC83" s="35" t="n">
        <f aca="false">IF(ISNUMBER(AC80),AC111+AC80,"")</f>
        <v>416.119</v>
      </c>
      <c r="AD83" s="35" t="n">
        <f aca="false">IF(ISNUMBER(AD80),AD111+AD80,"")</f>
        <v>137.209</v>
      </c>
      <c r="AE83" s="35" t="n">
        <f aca="false">IF(ISNUMBER(AE80),AE111+AE80,"")</f>
        <v>232.071</v>
      </c>
      <c r="AF83" s="35" t="n">
        <f aca="false">IF(ISNUMBER(AF80),AF111+AF80,"")</f>
        <v>369.28</v>
      </c>
      <c r="AG83" s="35" t="n">
        <f aca="false">IF(ISNUMBER(AG80),AG111+AG80,"")</f>
        <v>209.445</v>
      </c>
      <c r="AH83" s="35" t="n">
        <f aca="false">IF(ISNUMBER(AH80),AH111+AH80,"")</f>
        <v>269.518</v>
      </c>
      <c r="AI83" s="35" t="n">
        <f aca="false">IF(ISNUMBER(AI80),AI111+AI80,"")</f>
        <v>478.963</v>
      </c>
      <c r="AJ83" s="35" t="n">
        <f aca="false">IF(ISNUMBER(AJ80),AJ111+AJ80,"")</f>
        <v>297.881</v>
      </c>
      <c r="AK83" s="35" t="n">
        <f aca="false">IF(ISNUMBER(AK80),AK111+AK80,"")</f>
        <v>360.098</v>
      </c>
      <c r="AL83" s="35" t="n">
        <f aca="false">IF(ISNUMBER(AL80),AL111+AL80,"")</f>
        <v>657.979</v>
      </c>
      <c r="AM83" s="35" t="n">
        <f aca="false">IF(ISNUMBER(AM80),AM111+AM80,"")</f>
        <v>389.04</v>
      </c>
      <c r="AN83" s="35" t="n">
        <f aca="false">IF(ISNUMBER(AN80),AN111+AN80,"")</f>
        <v>436.712</v>
      </c>
      <c r="AO83" s="35" t="n">
        <f aca="false">IF(ISNUMBER(AO80),AO111+AO80,"")</f>
        <v>825.752</v>
      </c>
      <c r="AP83" s="35" t="n">
        <f aca="false">IF(ISNUMBER(AP80),AP111+AP80,"")</f>
        <v>462.209</v>
      </c>
      <c r="AQ83" s="35" t="n">
        <f aca="false">IF(ISNUMBER(AQ80),AQ111+AQ80,"")</f>
        <v>490.807</v>
      </c>
      <c r="AR83" s="35" t="n">
        <f aca="false">IF(ISNUMBER(AR80),AR111+AR80,"")</f>
        <v>953.016</v>
      </c>
      <c r="AS83" s="35" t="n">
        <f aca="false">IF(ISNUMBER(AS80),AS111+AS80,"")</f>
        <v>509.354</v>
      </c>
      <c r="AT83" s="35" t="n">
        <f aca="false">IF(ISNUMBER(AT80),AT111+AT80,"")</f>
        <v>548.989</v>
      </c>
      <c r="AU83" s="35" t="n">
        <f aca="false">IF(ISNUMBER(AU80),AU111+AU80,"")</f>
        <v>1058.343</v>
      </c>
      <c r="AV83" s="35" t="n">
        <f aca="false">IF(ISNUMBER(AV80),AV111+AV80,"")</f>
        <v>562.248</v>
      </c>
      <c r="AW83" s="36" t="n">
        <f aca="false">IF(ISNUMBER(AW80),AW111+AW80,"")</f>
        <v>596.577478055873</v>
      </c>
      <c r="AX83" s="36" t="n">
        <f aca="false">IF(ISNUMBER(AX80),AX111+AX80,"")</f>
        <v>1158.82547805587</v>
      </c>
      <c r="AY83" s="36" t="n">
        <f aca="false">IF(ISNUMBER(AY80),AY111+AY80,"")</f>
        <v>1278.67923583143</v>
      </c>
      <c r="AZ83" s="36" t="n">
        <f aca="false">IF(ISNUMBER(AZ80),AZ111+AZ80,"")</f>
        <v>1386.34513047378</v>
      </c>
      <c r="BA83" s="36" t="n">
        <f aca="false">IF(ISNUMBER(BA80),BA111+BA80,"")</f>
        <v>1495.34114390391</v>
      </c>
      <c r="BB83" s="36" t="n">
        <f aca="false">IF(ISNUMBER(BB80),BB111+BB80,"")</f>
        <v>1602.48902729618</v>
      </c>
      <c r="BE83" s="37" t="n">
        <f aca="false">IFERROR(IF(AND(BB83&gt;0,AU83&gt;0),(BB83/AU83)^(1/5)-1,"n/m"),"n/m")</f>
        <v>0.0865099918222727</v>
      </c>
      <c r="BF83" s="37" t="n">
        <f aca="false">IFERROR(IF(AND(AU83&gt;0,AF83&gt;0),(AU83/AF83)^(1/5)-1,"n/m"),"n/m")</f>
        <v>0.234394934591109</v>
      </c>
      <c r="BG83" s="37" t="n">
        <f aca="false">IFERROR(IF(AND(AU83&gt;0,Q83&gt;0),(AU83/Q83)^(1/10)-1,"n/m"),"n/m")</f>
        <v>0.147965806895451</v>
      </c>
      <c r="BH83" s="37" t="n">
        <f aca="false">IFERROR(IF(AND(AU83&gt;0,E83&gt;0),(AU83/E83)^(1/14)-1,"n/m"),"n/m")</f>
        <v>0.159591862158241</v>
      </c>
    </row>
    <row r="84" customFormat="false" ht="15" hidden="false" customHeight="true" outlineLevel="0" collapsed="false">
      <c r="B84" s="20" t="s">
        <v>180</v>
      </c>
      <c r="AM84" s="42" t="n">
        <v>389.04</v>
      </c>
      <c r="AN84" s="26" t="n">
        <f aca="false">AO84-AM84</f>
        <v>436.712</v>
      </c>
      <c r="AO84" s="42" t="n">
        <v>825.752</v>
      </c>
      <c r="AP84" s="42" t="n">
        <v>462.209</v>
      </c>
      <c r="AQ84" s="26" t="n">
        <f aca="false">AR84-AP84</f>
        <v>490.807</v>
      </c>
      <c r="AR84" s="42" t="n">
        <v>953.016</v>
      </c>
      <c r="AS84" s="42" t="n">
        <v>509.354</v>
      </c>
      <c r="AT84" s="26" t="n">
        <f aca="false">AU84-AS84</f>
        <v>548.989</v>
      </c>
      <c r="AU84" s="42" t="n">
        <v>1058.343</v>
      </c>
      <c r="AV84" s="42" t="n">
        <v>562.248</v>
      </c>
    </row>
    <row r="85" customFormat="false" ht="15" hidden="false" customHeight="true" outlineLevel="0" collapsed="false"/>
    <row r="86" customFormat="false" ht="15" hidden="false" customHeight="true" outlineLevel="0" collapsed="false">
      <c r="B86" s="12" t="s">
        <v>181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3" t="s">
        <v>182</v>
      </c>
    </row>
    <row r="87" customFormat="false" ht="15" hidden="false" customHeight="true" outlineLevel="0" collapsed="false">
      <c r="B87" s="14" t="s">
        <v>183</v>
      </c>
      <c r="C87" s="35" t="n">
        <f aca="false">IF(ISNUMBER(C81),C114-C81,"")</f>
        <v>-24.971</v>
      </c>
      <c r="D87" s="35" t="n">
        <f aca="false">IF(ISNUMBER(D81),D114-D81,"")</f>
        <v>-28.643</v>
      </c>
      <c r="E87" s="35" t="n">
        <f aca="false">IF(ISNUMBER(E81),E114-E81,"")</f>
        <v>-53.614</v>
      </c>
      <c r="F87" s="35" t="n">
        <f aca="false">IF(ISNUMBER(F81),F114-F81,"")</f>
        <v>-36.561</v>
      </c>
      <c r="G87" s="35" t="n">
        <f aca="false">IF(ISNUMBER(G81),G114-G81,"")</f>
        <v>-38.035</v>
      </c>
      <c r="H87" s="35" t="n">
        <f aca="false">IF(ISNUMBER(H81),H114-H81,"")</f>
        <v>-74.596</v>
      </c>
      <c r="I87" s="35" t="n">
        <f aca="false">IF(ISNUMBER(I81),I114-I81,"")</f>
        <v>-39.176</v>
      </c>
      <c r="J87" s="35" t="n">
        <f aca="false">IF(ISNUMBER(J81),J114-J81,"")</f>
        <v>-41.696</v>
      </c>
      <c r="K87" s="35" t="n">
        <f aca="false">IF(ISNUMBER(K81),K114-K81,"")</f>
        <v>-80.872</v>
      </c>
      <c r="L87" s="35" t="n">
        <f aca="false">IF(ISNUMBER(L81),L114-L81,"")</f>
        <v>-44.625</v>
      </c>
      <c r="M87" s="35" t="n">
        <f aca="false">IF(ISNUMBER(M81),M114-M81,"")</f>
        <v>-50.119</v>
      </c>
      <c r="N87" s="35" t="n">
        <f aca="false">IF(ISNUMBER(N81),N114-N81,"")</f>
        <v>-94.744</v>
      </c>
      <c r="O87" s="35" t="n">
        <f aca="false">IF(ISNUMBER(O81),O114-O81,"")</f>
        <v>-56.964</v>
      </c>
      <c r="P87" s="35" t="n">
        <f aca="false">IF(ISNUMBER(P81),P114-P81,"")</f>
        <v>-60.758</v>
      </c>
      <c r="Q87" s="35" t="n">
        <f aca="false">IF(ISNUMBER(Q81),Q114-Q81,"")</f>
        <v>-117.722</v>
      </c>
      <c r="R87" s="35" t="n">
        <f aca="false">IF(ISNUMBER(R81),R114-R81,"")</f>
        <v>-63.549</v>
      </c>
      <c r="S87" s="35" t="n">
        <f aca="false">IF(ISNUMBER(S81),S114-S81,"")</f>
        <v>-69.33</v>
      </c>
      <c r="T87" s="35" t="n">
        <f aca="false">IF(ISNUMBER(T81),T114-T81,"")</f>
        <v>-132.879</v>
      </c>
      <c r="U87" s="35" t="n">
        <f aca="false">IF(ISNUMBER(U81),U114-U81,"")</f>
        <v>-69.968</v>
      </c>
      <c r="V87" s="35" t="n">
        <f aca="false">IF(ISNUMBER(V81),V114-V81,"")</f>
        <v>-77.549</v>
      </c>
      <c r="W87" s="35" t="n">
        <f aca="false">IF(ISNUMBER(W81),W114-W81,"")</f>
        <v>-147.517</v>
      </c>
      <c r="X87" s="35" t="n">
        <f aca="false">IF(ISNUMBER(X81),X114-X81,"")</f>
        <v>-80.883</v>
      </c>
      <c r="Y87" s="35" t="n">
        <f aca="false">IF(ISNUMBER(Y81),Y114-Y81,"")</f>
        <v>-86.35</v>
      </c>
      <c r="Z87" s="35" t="n">
        <f aca="false">IF(ISNUMBER(Z81),Z114-Z81,"")</f>
        <v>-167.233</v>
      </c>
      <c r="AA87" s="35" t="n">
        <f aca="false">IF(ISNUMBER(AA81),AA114-AA81,"")</f>
        <v>-58.431</v>
      </c>
      <c r="AB87" s="35" t="n">
        <f aca="false">IF(ISNUMBER(AB81),AB114-AB81,"")</f>
        <v>-70.273</v>
      </c>
      <c r="AC87" s="35" t="n">
        <f aca="false">IF(ISNUMBER(AC81),AC114-AC81,"")</f>
        <v>-128.704</v>
      </c>
      <c r="AD87" s="35" t="n">
        <f aca="false">IF(ISNUMBER(AD81),AD114-AD81,"")</f>
        <v>-49.877</v>
      </c>
      <c r="AE87" s="35" t="n">
        <f aca="false">IF(ISNUMBER(AE81),AE114-AE81,"")</f>
        <v>-72.411</v>
      </c>
      <c r="AF87" s="35" t="n">
        <f aca="false">IF(ISNUMBER(AF81),AF114-AF81,"")</f>
        <v>-122.288</v>
      </c>
      <c r="AG87" s="35" t="n">
        <f aca="false">IF(ISNUMBER(AG81),AG114-AG81,"")</f>
        <v>-65.148</v>
      </c>
      <c r="AH87" s="35" t="n">
        <f aca="false">IF(ISNUMBER(AH81),AH114-AH81,"")</f>
        <v>-86.33</v>
      </c>
      <c r="AI87" s="35" t="n">
        <f aca="false">IF(ISNUMBER(AI81),AI114-AI81,"")</f>
        <v>-151.478</v>
      </c>
      <c r="AJ87" s="35" t="n">
        <f aca="false">IF(ISNUMBER(AJ81),AJ114-AJ81,"")</f>
        <v>-88.284</v>
      </c>
      <c r="AK87" s="35" t="n">
        <f aca="false">IF(ISNUMBER(AK81),AK114-AK81,"")</f>
        <v>-117.748</v>
      </c>
      <c r="AL87" s="35" t="n">
        <f aca="false">IF(ISNUMBER(AL81),AL114-AL81,"")</f>
        <v>-206.032</v>
      </c>
      <c r="AM87" s="35" t="n">
        <f aca="false">IF(ISNUMBER(AM81),AM114-AM81,"")</f>
        <v>-126.938</v>
      </c>
      <c r="AN87" s="35" t="n">
        <f aca="false">IF(ISNUMBER(AN81),AN114-AN81,"")</f>
        <v>-149.506</v>
      </c>
      <c r="AO87" s="35" t="n">
        <f aca="false">IF(ISNUMBER(AO81),AO114-AO81,"")</f>
        <v>-276.444</v>
      </c>
      <c r="AP87" s="35" t="n">
        <f aca="false">IF(ISNUMBER(AP81),AP114-AP81,"")</f>
        <v>-162.328</v>
      </c>
      <c r="AQ87" s="35" t="n">
        <f aca="false">IF(ISNUMBER(AQ81),AQ114-AQ81,"")</f>
        <v>-174.309</v>
      </c>
      <c r="AR87" s="35" t="n">
        <f aca="false">IF(ISNUMBER(AR81),AR114-AR81,"")</f>
        <v>-336.637</v>
      </c>
      <c r="AS87" s="35" t="n">
        <f aca="false">IF(ISNUMBER(AS81),AS114-AS81,"")</f>
        <v>-175.04</v>
      </c>
      <c r="AT87" s="35" t="n">
        <f aca="false">IF(ISNUMBER(AT81),AT114-AT81,"")</f>
        <v>-192.188</v>
      </c>
      <c r="AU87" s="35" t="n">
        <f aca="false">IF(ISNUMBER(AU81),AU114-AU81,"")</f>
        <v>-367.228</v>
      </c>
      <c r="AV87" s="35" t="n">
        <f aca="false">IF(ISNUMBER(AV81),AV114-AV81,"")</f>
        <v>-184.645</v>
      </c>
      <c r="AW87" s="36" t="n">
        <f aca="false">-AW111*AW88</f>
        <v>-207.281487352034</v>
      </c>
      <c r="AX87" s="36" t="n">
        <f aca="false">IF(ISNUMBER(AX81),AX114-AX81,"")</f>
        <v>-391.926487352034</v>
      </c>
      <c r="AY87" s="36" t="n">
        <f aca="false">-AY111*AY88</f>
        <v>-435.223275520459</v>
      </c>
      <c r="AZ87" s="36" t="n">
        <f aca="false">-AZ111*AZ88</f>
        <v>-469.421210186773</v>
      </c>
      <c r="BA87" s="36" t="n">
        <f aca="false">-BA111*BA88</f>
        <v>-503.693858999213</v>
      </c>
      <c r="BB87" s="36" t="n">
        <f aca="false">-BB111*BB88</f>
        <v>-537.677239421744</v>
      </c>
      <c r="BC87" s="18" t="s">
        <v>184</v>
      </c>
    </row>
    <row r="88" customFormat="false" ht="15" hidden="false" customHeight="true" outlineLevel="0" collapsed="false">
      <c r="B88" s="31" t="s">
        <v>185</v>
      </c>
      <c r="C88" s="32" t="n">
        <f aca="false">IFERROR(-C87/C111,"")</f>
        <v>0.214422490704724</v>
      </c>
      <c r="D88" s="32" t="n">
        <f aca="false">IFERROR(-D87/D111,"")</f>
        <v>0.227004707635245</v>
      </c>
      <c r="E88" s="32" t="n">
        <f aca="false">IFERROR(-E87/E111,"")</f>
        <v>0.220965647989779</v>
      </c>
      <c r="F88" s="32" t="n">
        <f aca="false">IFERROR(-F87/F111,"")</f>
        <v>0.270415597287042</v>
      </c>
      <c r="G88" s="32" t="n">
        <f aca="false">IFERROR(-G87/G111,"")</f>
        <v>0.263915680206497</v>
      </c>
      <c r="H88" s="32" t="n">
        <f aca="false">IFERROR(-H87/H111,"")</f>
        <v>0.267061910848092</v>
      </c>
      <c r="I88" s="32" t="n">
        <f aca="false">IFERROR(-I87/I111,"")</f>
        <v>0.248619696142765</v>
      </c>
      <c r="J88" s="32" t="n">
        <f aca="false">IFERROR(-J87/J111,"")</f>
        <v>0.252847076516318</v>
      </c>
      <c r="K88" s="32" t="n">
        <f aca="false">IFERROR(-K87/K111,"")</f>
        <v>0.250781443810469</v>
      </c>
      <c r="L88" s="32" t="n">
        <f aca="false">IFERROR(-L87/L111,"")</f>
        <v>0.253823708414149</v>
      </c>
      <c r="M88" s="32" t="n">
        <f aca="false">IFERROR(-M87/M111,"")</f>
        <v>0.278287376872592</v>
      </c>
      <c r="N88" s="32" t="n">
        <f aca="false">IFERROR(-N87/N111,"")</f>
        <v>0.266202877701885</v>
      </c>
      <c r="O88" s="32" t="n">
        <f aca="false">IFERROR(-O87/O111,"")</f>
        <v>0.2843479823493</v>
      </c>
      <c r="P88" s="32" t="n">
        <f aca="false">IFERROR(-P87/P111,"")</f>
        <v>0.284156225592674</v>
      </c>
      <c r="Q88" s="32" t="n">
        <f aca="false">IFERROR(-Q87/Q111,"")</f>
        <v>0.28424898165162</v>
      </c>
      <c r="R88" s="32" t="n">
        <f aca="false">IFERROR(-R87/R111,"")</f>
        <v>0.289069323144105</v>
      </c>
      <c r="S88" s="32" t="n">
        <f aca="false">IFERROR(-S87/S111,"")</f>
        <v>0.29360820900263</v>
      </c>
      <c r="T88" s="32" t="n">
        <f aca="false">IFERROR(-T87/T111,"")</f>
        <v>0.291419849069349</v>
      </c>
      <c r="U88" s="32" t="n">
        <f aca="false">IFERROR(-U87/U111,"")</f>
        <v>0.287547210132866</v>
      </c>
      <c r="V88" s="32" t="n">
        <f aca="false">IFERROR(-V87/V111,"")</f>
        <v>0.297985736462704</v>
      </c>
      <c r="W88" s="32" t="n">
        <f aca="false">IFERROR(-W87/W111,"")</f>
        <v>0.292941809595866</v>
      </c>
      <c r="X88" s="32" t="n">
        <f aca="false">IFERROR(-X87/X111,"")</f>
        <v>0.300138040566115</v>
      </c>
      <c r="Y88" s="32" t="n">
        <f aca="false">IFERROR(-Y87/Y111,"")</f>
        <v>0.304574794539875</v>
      </c>
      <c r="Z88" s="32" t="n">
        <f aca="false">IFERROR(-Z87/Z111,"")</f>
        <v>0.30241267567939</v>
      </c>
      <c r="AA88" s="32" t="n">
        <f aca="false">IFERROR(-AA87/AA111,"")</f>
        <v>0.200509242895821</v>
      </c>
      <c r="AB88" s="32" t="n">
        <f aca="false">IFERROR(-AB87/AB111,"")</f>
        <v>0.222138278098803</v>
      </c>
      <c r="AC88" s="32" t="n">
        <f aca="false">IFERROR(-AC87/AC111,"")</f>
        <v>0.211767454640887</v>
      </c>
      <c r="AD88" s="32" t="n">
        <f aca="false">IFERROR(-AD87/AD111,"")</f>
        <v>0.243132839043984</v>
      </c>
      <c r="AE88" s="32" t="n">
        <f aca="false">IFERROR(-AE87/AE111,"")</f>
        <v>0.213683713518458</v>
      </c>
      <c r="AF88" s="32" t="n">
        <f aca="false">IFERROR(-AF87/AF111,"")</f>
        <v>0.224788745857176</v>
      </c>
      <c r="AG88" s="32" t="n">
        <f aca="false">IFERROR(-AG87/AG111,"")</f>
        <v>0.207633762955597</v>
      </c>
      <c r="AH88" s="32" t="n">
        <f aca="false">IFERROR(-AH87/AH111,"")</f>
        <v>0.21668360879987</v>
      </c>
      <c r="AI88" s="32" t="n">
        <f aca="false">IFERROR(-AI87/AI111,"")</f>
        <v>0.212696527137138</v>
      </c>
      <c r="AJ88" s="32" t="n">
        <f aca="false">IFERROR(-AJ87/AJ111,"")</f>
        <v>0.212549686173581</v>
      </c>
      <c r="AK88" s="32" t="n">
        <f aca="false">IFERROR(-AK87/AK111,"")</f>
        <v>0.23346439285339</v>
      </c>
      <c r="AL88" s="32" t="n">
        <f aca="false">IFERROR(-AL87/AL111,"")</f>
        <v>0.224018927746633</v>
      </c>
      <c r="AM88" s="32" t="n">
        <f aca="false">IFERROR(-AM87/AM111,"")</f>
        <v>0.233366792783054</v>
      </c>
      <c r="AN88" s="32" t="n">
        <f aca="false">IFERROR(-AN87/AN111,"")</f>
        <v>0.251068889194899</v>
      </c>
      <c r="AO88" s="32" t="n">
        <f aca="false">IFERROR(-AO87/AO111,"")</f>
        <v>0.242618174158783</v>
      </c>
      <c r="AP88" s="32" t="n">
        <f aca="false">IFERROR(-AP87/AP111,"")</f>
        <v>0.261540097508789</v>
      </c>
      <c r="AQ88" s="32" t="n">
        <f aca="false">IFERROR(-AQ87/AQ111,"")</f>
        <v>0.264956420491337</v>
      </c>
      <c r="AR88" s="32" t="n">
        <f aca="false">IFERROR(-AR87/AR111,"")</f>
        <v>0.263297980509018</v>
      </c>
      <c r="AS88" s="32" t="n">
        <f aca="false">IFERROR(-AS87/AS111,"")</f>
        <v>0.255855934866657</v>
      </c>
      <c r="AT88" s="32" t="n">
        <f aca="false">IFERROR(-AT87/AT111,"")</f>
        <v>0.265520519026935</v>
      </c>
      <c r="AU88" s="32" t="n">
        <f aca="false">IFERROR(-AU87/AU111,"")</f>
        <v>0.260824417895225</v>
      </c>
      <c r="AV88" s="32" t="n">
        <f aca="false">IFERROR(-AV87/AV111,"")</f>
        <v>0.246386829123138</v>
      </c>
      <c r="AW88" s="33" t="n">
        <f aca="false">AT88</f>
        <v>0.265520519026935</v>
      </c>
      <c r="AX88" s="33" t="n">
        <f aca="false">IFERROR(-AX87/AX111,"")</f>
        <v>0.256149065512565</v>
      </c>
      <c r="AY88" s="33" t="n">
        <f aca="false">CHOOSE(MATCH($BC$2,{"Bull","Base","Bear"},0),$BL$34,$BM$34,$BN$34)</f>
        <v>0.258</v>
      </c>
      <c r="AZ88" s="33" t="n">
        <f aca="false">CHOOSE(MATCH($BC$2,{"Bull","Base","Bear"},0),$BL$35,$BM$35,$BN$35)</f>
        <v>0.257</v>
      </c>
      <c r="BA88" s="33" t="n">
        <f aca="false">CHOOSE(MATCH($BC$2,{"Bull","Base","Bear"},0),$BL$36,$BM$36,$BN$36)</f>
        <v>0.256</v>
      </c>
      <c r="BB88" s="33" t="n">
        <f aca="false">CHOOSE(MATCH($BC$2,{"Bull","Base","Bear"},0),$BL$37,$BM$37,$BN$37)</f>
        <v>0.255</v>
      </c>
      <c r="BC88" s="18" t="s">
        <v>186</v>
      </c>
    </row>
    <row r="89" customFormat="false" ht="15" hidden="false" customHeight="true" outlineLevel="0" collapsed="false">
      <c r="B89" s="20" t="s">
        <v>187</v>
      </c>
      <c r="C89" s="42" t="n">
        <v>3.461</v>
      </c>
      <c r="D89" s="26" t="n">
        <f aca="false">E89-C89</f>
        <v>4.637</v>
      </c>
      <c r="E89" s="42" t="n">
        <v>8.098</v>
      </c>
      <c r="F89" s="42" t="n">
        <v>5.509</v>
      </c>
      <c r="G89" s="26" t="n">
        <f aca="false">H89-F89</f>
        <v>7.486</v>
      </c>
      <c r="H89" s="42" t="n">
        <v>12.995</v>
      </c>
      <c r="I89" s="42" t="n">
        <v>9.164</v>
      </c>
      <c r="J89" s="26" t="n">
        <f aca="false">K89-I89</f>
        <v>11.349</v>
      </c>
      <c r="K89" s="42" t="n">
        <v>20.513</v>
      </c>
      <c r="L89" s="42" t="n">
        <v>12.629</v>
      </c>
      <c r="M89" s="26" t="n">
        <f aca="false">N89-L89</f>
        <v>16.426</v>
      </c>
      <c r="N89" s="42" t="n">
        <v>29.055</v>
      </c>
      <c r="O89" s="42" t="n">
        <v>21.996</v>
      </c>
      <c r="P89" s="26" t="n">
        <f aca="false">Q89-O89</f>
        <v>21.519</v>
      </c>
      <c r="Q89" s="42" t="n">
        <v>43.515</v>
      </c>
      <c r="R89" s="42" t="n">
        <v>26.526</v>
      </c>
      <c r="S89" s="26" t="n">
        <f aca="false">T89-R89</f>
        <v>28.471</v>
      </c>
      <c r="T89" s="42" t="n">
        <v>54.997</v>
      </c>
      <c r="U89" s="42" t="n">
        <v>28.813</v>
      </c>
      <c r="V89" s="26" t="n">
        <f aca="false">W89-U89</f>
        <v>30.256</v>
      </c>
      <c r="W89" s="42" t="n">
        <v>59.069</v>
      </c>
      <c r="X89" s="42" t="n">
        <v>34.165</v>
      </c>
      <c r="Y89" s="26" t="n">
        <f aca="false">Z89-X89</f>
        <v>36.886</v>
      </c>
      <c r="Z89" s="42" t="n">
        <v>71.051</v>
      </c>
      <c r="AA89" s="42" t="n">
        <v>10.31</v>
      </c>
      <c r="AB89" s="26" t="n">
        <f aca="false">AC89-AA89</f>
        <v>11.5</v>
      </c>
      <c r="AC89" s="42" t="n">
        <v>21.81</v>
      </c>
      <c r="AD89" s="42" t="n">
        <v>4.703</v>
      </c>
      <c r="AE89" s="26" t="n">
        <f aca="false">AF89-AD89</f>
        <v>13.209</v>
      </c>
      <c r="AF89" s="42" t="n">
        <v>17.912</v>
      </c>
      <c r="AG89" s="42" t="n">
        <v>12.892</v>
      </c>
      <c r="AH89" s="26" t="n">
        <f aca="false">AI89-AG89</f>
        <v>17.67</v>
      </c>
      <c r="AI89" s="42" t="n">
        <v>30.562</v>
      </c>
      <c r="AJ89" s="42" t="n">
        <v>16.107</v>
      </c>
      <c r="AK89" s="26" t="n">
        <f aca="false">AL89-AJ89</f>
        <v>22.454</v>
      </c>
      <c r="AL89" s="42" t="n">
        <v>38.561</v>
      </c>
      <c r="AM89" s="42" t="n">
        <v>22.807</v>
      </c>
      <c r="AN89" s="26" t="n">
        <f aca="false">AO89-AM89</f>
        <v>27.791</v>
      </c>
      <c r="AO89" s="42" t="n">
        <v>50.598</v>
      </c>
      <c r="AP89" s="42" t="n">
        <v>29.213</v>
      </c>
      <c r="AQ89" s="26" t="n">
        <f aca="false">AR89-AP89</f>
        <v>32.369</v>
      </c>
      <c r="AR89" s="42" t="n">
        <v>61.582</v>
      </c>
      <c r="AS89" s="42" t="n">
        <v>31.801</v>
      </c>
      <c r="AT89" s="26" t="n">
        <f aca="false">AU89-AS89</f>
        <v>36.481</v>
      </c>
      <c r="AU89" s="42" t="n">
        <v>68.282</v>
      </c>
      <c r="AV89" s="42" t="n">
        <v>36.362</v>
      </c>
    </row>
    <row r="90" customFormat="false" ht="15" hidden="false" customHeight="true" outlineLevel="0" collapsed="false">
      <c r="B90" s="20" t="s">
        <v>188</v>
      </c>
      <c r="AA90" s="42" t="n">
        <v>29.362</v>
      </c>
      <c r="AB90" s="26" t="n">
        <f aca="false">AC90-AA90</f>
        <v>34.206</v>
      </c>
      <c r="AC90" s="42" t="n">
        <v>63.568</v>
      </c>
      <c r="AD90" s="42" t="n">
        <v>39.982</v>
      </c>
      <c r="AE90" s="26" t="n">
        <f aca="false">AF90-AD90</f>
        <v>38.505</v>
      </c>
      <c r="AF90" s="42" t="n">
        <v>78.487</v>
      </c>
      <c r="AG90" s="42" t="n">
        <v>41.491</v>
      </c>
      <c r="AH90" s="26" t="n">
        <f aca="false">AI90-AG90</f>
        <v>43.199</v>
      </c>
      <c r="AI90" s="42" t="n">
        <v>84.69</v>
      </c>
      <c r="AJ90" s="42" t="n">
        <v>45.197</v>
      </c>
      <c r="AK90" s="26" t="n">
        <f aca="false">AL90-AJ90</f>
        <v>49.816</v>
      </c>
      <c r="AL90" s="42" t="n">
        <v>95.013</v>
      </c>
      <c r="AM90" s="42" t="n">
        <v>50.62</v>
      </c>
      <c r="AN90" s="26" t="n">
        <f aca="false">AO90-AM90</f>
        <v>53.794</v>
      </c>
      <c r="AO90" s="42" t="n">
        <v>104.414</v>
      </c>
      <c r="AP90" s="42" t="n">
        <v>57.995</v>
      </c>
      <c r="AQ90" s="26" t="n">
        <f aca="false">AR90-AP90</f>
        <v>63.657</v>
      </c>
      <c r="AR90" s="42" t="n">
        <v>121.652</v>
      </c>
      <c r="AS90" s="42" t="n">
        <v>72.862</v>
      </c>
      <c r="AT90" s="26" t="n">
        <f aca="false">AU90-AS90</f>
        <v>77.804</v>
      </c>
      <c r="AU90" s="42" t="n">
        <v>150.666</v>
      </c>
      <c r="AV90" s="42" t="n">
        <v>80.947</v>
      </c>
    </row>
    <row r="91" customFormat="false" ht="15" hidden="false" customHeight="true" outlineLevel="0" collapsed="false">
      <c r="B91" s="20" t="s">
        <v>189</v>
      </c>
      <c r="C91" s="42" t="n">
        <v>4.664</v>
      </c>
      <c r="D91" s="26" t="n">
        <f aca="false">E91-C91</f>
        <v>8.088</v>
      </c>
      <c r="E91" s="42" t="n">
        <v>12.752</v>
      </c>
      <c r="F91" s="42" t="n">
        <v>6.477</v>
      </c>
      <c r="G91" s="26" t="n">
        <f aca="false">H91-F91</f>
        <v>8.906</v>
      </c>
      <c r="H91" s="42" t="n">
        <v>15.383</v>
      </c>
      <c r="I91" s="42" t="n">
        <v>8.085</v>
      </c>
      <c r="J91" s="26" t="n">
        <f aca="false">K91-I91</f>
        <v>9.722</v>
      </c>
      <c r="K91" s="42" t="n">
        <v>17.807</v>
      </c>
      <c r="L91" s="42" t="n">
        <v>9.046</v>
      </c>
      <c r="M91" s="26" t="n">
        <f aca="false">N91-L91</f>
        <v>10.516</v>
      </c>
      <c r="N91" s="42" t="n">
        <v>19.562</v>
      </c>
      <c r="O91" s="42" t="n">
        <v>9.641</v>
      </c>
      <c r="P91" s="26" t="n">
        <f aca="false">Q91-O91</f>
        <v>13.644</v>
      </c>
      <c r="Q91" s="42" t="n">
        <v>23.285</v>
      </c>
      <c r="R91" s="42" t="n">
        <v>11.223</v>
      </c>
      <c r="S91" s="26" t="n">
        <f aca="false">T91-R91</f>
        <v>13.434</v>
      </c>
      <c r="T91" s="42" t="n">
        <v>24.657</v>
      </c>
      <c r="U91" s="42" t="n">
        <v>12.528</v>
      </c>
      <c r="V91" s="26" t="n">
        <f aca="false">W91-U91</f>
        <v>16.146</v>
      </c>
      <c r="W91" s="42" t="n">
        <v>28.674</v>
      </c>
      <c r="X91" s="42" t="n">
        <v>14.732</v>
      </c>
      <c r="Y91" s="26" t="n">
        <f aca="false">Z91-X91</f>
        <v>17.541</v>
      </c>
      <c r="Z91" s="42" t="n">
        <v>32.273</v>
      </c>
      <c r="AA91" s="42" t="n">
        <v>16.223</v>
      </c>
      <c r="AB91" s="26" t="n">
        <f aca="false">AC91-AA91</f>
        <v>19.247</v>
      </c>
      <c r="AC91" s="42" t="n">
        <v>35.47</v>
      </c>
      <c r="AD91" s="42" t="n">
        <v>13.335</v>
      </c>
      <c r="AE91" s="26" t="n">
        <f aca="false">AF91-AD91</f>
        <v>18.734</v>
      </c>
      <c r="AF91" s="42" t="n">
        <v>32.069</v>
      </c>
      <c r="AG91" s="42" t="n">
        <v>14.423</v>
      </c>
      <c r="AH91" s="26" t="n">
        <f aca="false">AI91-AG91</f>
        <v>21.635</v>
      </c>
      <c r="AI91" s="42" t="n">
        <v>36.058</v>
      </c>
      <c r="AJ91" s="42" t="n">
        <v>20.406</v>
      </c>
      <c r="AK91" s="26" t="n">
        <f aca="false">AL91-AJ91</f>
        <v>31.795</v>
      </c>
      <c r="AL91" s="42" t="n">
        <v>52.201</v>
      </c>
      <c r="AM91" s="42" t="n">
        <v>36.256</v>
      </c>
      <c r="AN91" s="26" t="n">
        <f aca="false">AO91-AM91</f>
        <v>42.682</v>
      </c>
      <c r="AO91" s="42" t="n">
        <v>78.938</v>
      </c>
      <c r="AP91" s="42" t="n">
        <v>44.633</v>
      </c>
      <c r="AQ91" s="26" t="n">
        <f aca="false">AR91-AP91</f>
        <v>47.715</v>
      </c>
      <c r="AR91" s="42" t="n">
        <v>92.348</v>
      </c>
      <c r="AS91" s="42" t="n">
        <v>44.421</v>
      </c>
      <c r="AT91" s="26" t="n">
        <f aca="false">AU91-AS91</f>
        <v>52.432</v>
      </c>
      <c r="AU91" s="42" t="n">
        <v>96.853</v>
      </c>
      <c r="AV91" s="42" t="n">
        <v>45.778</v>
      </c>
    </row>
    <row r="92" customFormat="false" ht="15" hidden="false" customHeight="true" outlineLevel="0" collapsed="false">
      <c r="B92" s="20" t="s">
        <v>190</v>
      </c>
      <c r="C92" s="42" t="n">
        <v>4.533</v>
      </c>
      <c r="D92" s="26" t="n">
        <f aca="false">E92-C92</f>
        <v>4.833</v>
      </c>
      <c r="E92" s="42" t="n">
        <v>9.366</v>
      </c>
      <c r="F92" s="42" t="n">
        <v>5.512</v>
      </c>
      <c r="G92" s="26" t="n">
        <f aca="false">H92-F92</f>
        <v>6.538</v>
      </c>
      <c r="H92" s="42" t="n">
        <v>12.05</v>
      </c>
      <c r="I92" s="42" t="n">
        <v>7.222</v>
      </c>
      <c r="J92" s="26" t="n">
        <f aca="false">K92-I92</f>
        <v>6.536</v>
      </c>
      <c r="K92" s="42" t="n">
        <v>13.758</v>
      </c>
      <c r="L92" s="42" t="n">
        <v>7.908</v>
      </c>
      <c r="M92" s="26" t="n">
        <f aca="false">N92-L92</f>
        <v>7.2</v>
      </c>
      <c r="N92" s="42" t="n">
        <v>15.108</v>
      </c>
      <c r="O92" s="42" t="n">
        <v>7.457</v>
      </c>
      <c r="P92" s="26" t="n">
        <f aca="false">Q92-O92</f>
        <v>7.701</v>
      </c>
      <c r="Q92" s="42" t="n">
        <v>15.158</v>
      </c>
      <c r="R92" s="42" t="n">
        <v>7.956</v>
      </c>
      <c r="S92" s="26" t="n">
        <f aca="false">T92-R92</f>
        <v>8.078</v>
      </c>
      <c r="T92" s="42" t="n">
        <v>16.034</v>
      </c>
      <c r="U92" s="42" t="n">
        <v>8.595</v>
      </c>
      <c r="V92" s="26" t="n">
        <f aca="false">W92-U92</f>
        <v>8.875</v>
      </c>
      <c r="W92" s="42" t="n">
        <v>17.47</v>
      </c>
      <c r="X92" s="42" t="n">
        <v>9.391</v>
      </c>
      <c r="Y92" s="26" t="n">
        <f aca="false">Z92-X92</f>
        <v>9.348</v>
      </c>
      <c r="Z92" s="42" t="n">
        <v>18.739</v>
      </c>
      <c r="AA92" s="42" t="n">
        <v>10.409</v>
      </c>
      <c r="AB92" s="26" t="n">
        <f aca="false">AC92-AA92</f>
        <v>11.741</v>
      </c>
      <c r="AC92" s="42" t="n">
        <v>22.15</v>
      </c>
      <c r="AD92" s="42" t="n">
        <v>9.005</v>
      </c>
      <c r="AE92" s="26" t="n">
        <f aca="false">AF92-AD92</f>
        <v>14.4</v>
      </c>
      <c r="AF92" s="42" t="n">
        <v>23.405</v>
      </c>
      <c r="AG92" s="42" t="n">
        <v>12.999</v>
      </c>
      <c r="AH92" s="26" t="n">
        <f aca="false">AI92-AG92</f>
        <v>16.116</v>
      </c>
      <c r="AI92" s="42" t="n">
        <v>29.115</v>
      </c>
      <c r="AJ92" s="42" t="n">
        <v>18.223</v>
      </c>
      <c r="AK92" s="26" t="n">
        <f aca="false">AL92-AJ92</f>
        <v>24.474</v>
      </c>
      <c r="AL92" s="42" t="n">
        <v>42.697</v>
      </c>
      <c r="AM92" s="42" t="n">
        <v>23.446</v>
      </c>
      <c r="AN92" s="26" t="n">
        <f aca="false">AO92-AM92</f>
        <v>23.409</v>
      </c>
      <c r="AO92" s="42" t="n">
        <v>46.855</v>
      </c>
      <c r="AP92" s="42" t="n">
        <v>27.884</v>
      </c>
      <c r="AQ92" s="26" t="n">
        <f aca="false">AR92-AP92</f>
        <v>27.278</v>
      </c>
      <c r="AR92" s="42" t="n">
        <v>55.162</v>
      </c>
      <c r="AS92" s="42" t="n">
        <v>33.905</v>
      </c>
      <c r="AT92" s="26" t="n">
        <f aca="false">AU92-AS92</f>
        <v>28.512</v>
      </c>
      <c r="AU92" s="42" t="n">
        <v>62.417</v>
      </c>
      <c r="AV92" s="42" t="n">
        <v>30.13</v>
      </c>
    </row>
    <row r="93" customFormat="false" ht="15" hidden="false" customHeight="true" outlineLevel="0" collapsed="false">
      <c r="B93" s="20" t="s">
        <v>191</v>
      </c>
      <c r="C93" s="42" t="n">
        <v>6.785</v>
      </c>
      <c r="D93" s="26" t="n">
        <f aca="false">E93-C93</f>
        <v>5.832</v>
      </c>
      <c r="E93" s="42" t="n">
        <v>12.617</v>
      </c>
      <c r="F93" s="42" t="n">
        <v>6.042</v>
      </c>
      <c r="G93" s="26" t="n">
        <f aca="false">H93-F93</f>
        <v>6.722</v>
      </c>
      <c r="H93" s="42" t="n">
        <v>12.764</v>
      </c>
      <c r="I93" s="42" t="n">
        <v>6.059</v>
      </c>
      <c r="J93" s="26" t="n">
        <f aca="false">K93-I93</f>
        <v>5.761</v>
      </c>
      <c r="K93" s="42" t="n">
        <v>11.82</v>
      </c>
      <c r="L93" s="42" t="n">
        <v>5.77</v>
      </c>
      <c r="M93" s="26" t="n">
        <f aca="false">N93-L93</f>
        <v>5.818</v>
      </c>
      <c r="N93" s="42" t="n">
        <v>11.588</v>
      </c>
      <c r="O93" s="42" t="n">
        <v>6.616</v>
      </c>
      <c r="P93" s="26" t="n">
        <f aca="false">Q93-O93</f>
        <v>6.592</v>
      </c>
      <c r="Q93" s="42" t="n">
        <v>13.208</v>
      </c>
      <c r="R93" s="42" t="n">
        <v>6.061</v>
      </c>
      <c r="S93" s="26" t="n">
        <f aca="false">T93-R93</f>
        <v>6.737</v>
      </c>
      <c r="T93" s="42" t="n">
        <v>12.798</v>
      </c>
      <c r="U93" s="42" t="n">
        <v>6.205</v>
      </c>
      <c r="V93" s="26" t="n">
        <f aca="false">W93-U93</f>
        <v>6.496</v>
      </c>
      <c r="W93" s="42" t="n">
        <v>12.701</v>
      </c>
      <c r="X93" s="42" t="n">
        <v>6.584</v>
      </c>
      <c r="Y93" s="26" t="n">
        <f aca="false">Z93-X93</f>
        <v>5.523</v>
      </c>
      <c r="Z93" s="42" t="n">
        <v>12.107</v>
      </c>
      <c r="AA93" s="42" t="n">
        <v>4.867</v>
      </c>
      <c r="AB93" s="26" t="n">
        <f aca="false">AC93-AA93</f>
        <v>4.389</v>
      </c>
      <c r="AC93" s="42" t="n">
        <v>9.256</v>
      </c>
      <c r="AD93" s="42" t="n">
        <v>5.912</v>
      </c>
      <c r="AE93" s="26" t="n">
        <f aca="false">AF93-AD93</f>
        <v>4.723</v>
      </c>
      <c r="AF93" s="42" t="n">
        <v>10.635</v>
      </c>
      <c r="AG93" s="42" t="n">
        <v>4.019</v>
      </c>
      <c r="AH93" s="26" t="n">
        <f aca="false">AI93-AG93</f>
        <v>3.791</v>
      </c>
      <c r="AI93" s="42" t="n">
        <v>7.81</v>
      </c>
      <c r="AJ93" s="42" t="n">
        <v>3.184</v>
      </c>
      <c r="AK93" s="26" t="n">
        <f aca="false">AL93-AJ93</f>
        <v>4.06</v>
      </c>
      <c r="AL93" s="42" t="n">
        <v>7.244</v>
      </c>
      <c r="AM93" s="42" t="n">
        <v>4.408</v>
      </c>
      <c r="AN93" s="26" t="n">
        <f aca="false">AO93-AM93</f>
        <v>5.594</v>
      </c>
      <c r="AO93" s="42" t="n">
        <v>10.002</v>
      </c>
      <c r="AP93" s="42" t="n">
        <v>5.596</v>
      </c>
      <c r="AQ93" s="26" t="n">
        <f aca="false">AR93-AP93</f>
        <v>5.531</v>
      </c>
      <c r="AR93" s="42" t="n">
        <v>11.127</v>
      </c>
      <c r="AS93" s="42" t="n">
        <v>6.191</v>
      </c>
      <c r="AT93" s="26" t="n">
        <f aca="false">AU93-AS93</f>
        <v>5.622</v>
      </c>
      <c r="AU93" s="42" t="n">
        <v>11.813</v>
      </c>
      <c r="AV93" s="42" t="n">
        <v>6.124</v>
      </c>
    </row>
    <row r="94" customFormat="false" ht="15" hidden="false" customHeight="true" outlineLevel="0" collapsed="false">
      <c r="B94" s="20" t="s">
        <v>192</v>
      </c>
      <c r="E94" s="42" t="n">
        <v>1.096</v>
      </c>
      <c r="H94" s="42" t="n">
        <v>1.634</v>
      </c>
      <c r="I94" s="42" t="n">
        <v>0.997</v>
      </c>
      <c r="J94" s="26" t="n">
        <f aca="false">K94-I94</f>
        <v>1.299</v>
      </c>
      <c r="K94" s="42" t="n">
        <v>2.296</v>
      </c>
      <c r="L94" s="42" t="n">
        <v>1.196</v>
      </c>
      <c r="M94" s="26" t="n">
        <f aca="false">N94-L94</f>
        <v>1.565</v>
      </c>
      <c r="N94" s="42" t="n">
        <v>2.761</v>
      </c>
      <c r="O94" s="42" t="n">
        <v>1.573</v>
      </c>
      <c r="P94" s="26" t="n">
        <f aca="false">Q94-O94</f>
        <v>2.066</v>
      </c>
      <c r="Q94" s="42" t="n">
        <v>3.639</v>
      </c>
      <c r="R94" s="42" t="n">
        <v>1.798</v>
      </c>
      <c r="S94" s="26" t="n">
        <f aca="false">T94-R94</f>
        <v>2.187</v>
      </c>
      <c r="T94" s="42" t="n">
        <v>3.985</v>
      </c>
      <c r="U94" s="42" t="n">
        <v>2.253</v>
      </c>
      <c r="V94" s="26" t="n">
        <f aca="false">W94-U94</f>
        <v>2.646</v>
      </c>
      <c r="W94" s="42" t="n">
        <v>4.899</v>
      </c>
      <c r="X94" s="42" t="n">
        <v>2.264</v>
      </c>
      <c r="Y94" s="26" t="n">
        <f aca="false">Z94-X94</f>
        <v>2.737</v>
      </c>
      <c r="Z94" s="42" t="n">
        <v>5.001</v>
      </c>
      <c r="AA94" s="42" t="n">
        <v>2.735</v>
      </c>
      <c r="AB94" s="26" t="n">
        <f aca="false">AC94-AA94</f>
        <v>3.626</v>
      </c>
      <c r="AC94" s="42" t="n">
        <v>6.361</v>
      </c>
      <c r="AD94" s="42" t="n">
        <v>2.017</v>
      </c>
      <c r="AE94" s="26" t="n">
        <f aca="false">AF94-AD94</f>
        <v>2.954</v>
      </c>
      <c r="AF94" s="42" t="n">
        <v>4.971</v>
      </c>
      <c r="AG94" s="42" t="n">
        <v>3.075</v>
      </c>
      <c r="AH94" s="26" t="n">
        <f aca="false">AI94-AG94</f>
        <v>4.902</v>
      </c>
      <c r="AI94" s="42" t="n">
        <v>7.977</v>
      </c>
      <c r="AJ94" s="42" t="n">
        <v>5.074</v>
      </c>
      <c r="AK94" s="26" t="n">
        <f aca="false">AL94-AJ94</f>
        <v>6.901</v>
      </c>
      <c r="AL94" s="42" t="n">
        <v>11.975</v>
      </c>
      <c r="AM94" s="42" t="n">
        <v>7.557</v>
      </c>
      <c r="AN94" s="26" t="n">
        <f aca="false">AO94-AM94</f>
        <v>8.135</v>
      </c>
      <c r="AO94" s="42" t="n">
        <v>15.692</v>
      </c>
      <c r="AP94" s="42" t="n">
        <v>8.724</v>
      </c>
      <c r="AQ94" s="26" t="n">
        <f aca="false">AR94-AP94</f>
        <v>9.574</v>
      </c>
      <c r="AR94" s="42" t="n">
        <v>18.298</v>
      </c>
      <c r="AS94" s="42" t="n">
        <v>9.607</v>
      </c>
      <c r="AT94" s="26" t="n">
        <f aca="false">AU94-AS94</f>
        <v>10.598</v>
      </c>
      <c r="AU94" s="42" t="n">
        <v>20.205</v>
      </c>
      <c r="AV94" s="42" t="n">
        <v>10.769</v>
      </c>
    </row>
    <row r="95" customFormat="false" ht="15" hidden="false" customHeight="true" outlineLevel="0" collapsed="false">
      <c r="B95" s="14" t="s">
        <v>193</v>
      </c>
      <c r="C95" s="35" t="n">
        <f aca="false">C115</f>
        <v>-17.024</v>
      </c>
      <c r="D95" s="35" t="n">
        <f aca="false">D115</f>
        <v>-20.686</v>
      </c>
      <c r="E95" s="35" t="n">
        <f aca="false">E115</f>
        <v>-37.71</v>
      </c>
      <c r="F95" s="35" t="n">
        <f aca="false">F115</f>
        <v>-20.526</v>
      </c>
      <c r="G95" s="35" t="n">
        <f aca="false">G115</f>
        <v>-22.095</v>
      </c>
      <c r="H95" s="35" t="n">
        <f aca="false">H115</f>
        <v>-42.621</v>
      </c>
      <c r="I95" s="35" t="n">
        <f aca="false">I115</f>
        <v>-24.577</v>
      </c>
      <c r="J95" s="35" t="n">
        <f aca="false">J115</f>
        <v>-26.535</v>
      </c>
      <c r="K95" s="35" t="n">
        <f aca="false">K115</f>
        <v>-51.112</v>
      </c>
      <c r="L95" s="35" t="n">
        <f aca="false">L115</f>
        <v>-29.397</v>
      </c>
      <c r="M95" s="35" t="n">
        <f aca="false">M115</f>
        <v>-32.876</v>
      </c>
      <c r="N95" s="35" t="n">
        <f aca="false">N115</f>
        <v>-62.273</v>
      </c>
      <c r="O95" s="35" t="n">
        <f aca="false">O115</f>
        <v>-35.956</v>
      </c>
      <c r="P95" s="35" t="n">
        <f aca="false">P115</f>
        <v>-38.712</v>
      </c>
      <c r="Q95" s="35" t="n">
        <f aca="false">Q115</f>
        <v>-74.668</v>
      </c>
      <c r="R95" s="35" t="n">
        <f aca="false">R115</f>
        <v>-40.539</v>
      </c>
      <c r="S95" s="35" t="n">
        <f aca="false">S115</f>
        <v>-40.819</v>
      </c>
      <c r="T95" s="35" t="n">
        <f aca="false">T115</f>
        <v>-81.358</v>
      </c>
      <c r="U95" s="35" t="n">
        <f aca="false">U115</f>
        <v>-43.392</v>
      </c>
      <c r="V95" s="35" t="n">
        <f aca="false">V115</f>
        <v>-45.669</v>
      </c>
      <c r="W95" s="35" t="n">
        <f aca="false">W115</f>
        <v>-89.061</v>
      </c>
      <c r="X95" s="35" t="n">
        <f aca="false">X115</f>
        <v>-46.973</v>
      </c>
      <c r="Y95" s="35" t="n">
        <f aca="false">Y115</f>
        <v>-51.356</v>
      </c>
      <c r="Z95" s="35" t="n">
        <f aca="false">Z115</f>
        <v>-98.329</v>
      </c>
      <c r="AA95" s="35" t="n">
        <f aca="false">AA115</f>
        <v>-53.832</v>
      </c>
      <c r="AB95" s="35" t="n">
        <f aca="false">AB115</f>
        <v>-58.367</v>
      </c>
      <c r="AC95" s="35" t="n">
        <f aca="false">AC115</f>
        <v>-112.199</v>
      </c>
      <c r="AD95" s="35" t="n">
        <f aca="false">AD115</f>
        <v>-57.483</v>
      </c>
      <c r="AE95" s="35" t="n">
        <f aca="false">AE115</f>
        <v>-62.086</v>
      </c>
      <c r="AF95" s="35" t="n">
        <f aca="false">AF115</f>
        <v>-119.569</v>
      </c>
      <c r="AG95" s="35" t="n">
        <f aca="false">AG115</f>
        <v>-61.491</v>
      </c>
      <c r="AH95" s="35" t="n">
        <f aca="false">AH115</f>
        <v>-71.457</v>
      </c>
      <c r="AI95" s="35" t="n">
        <f aca="false">AI115</f>
        <v>-132.948</v>
      </c>
      <c r="AJ95" s="35" t="n">
        <f aca="false">AJ115</f>
        <v>-78.381</v>
      </c>
      <c r="AK95" s="35" t="n">
        <f aca="false">AK115</f>
        <v>-86.332</v>
      </c>
      <c r="AL95" s="35" t="n">
        <f aca="false">AL115</f>
        <v>-164.713</v>
      </c>
      <c r="AM95" s="35" t="n">
        <f aca="false">AM115</f>
        <v>-93.333</v>
      </c>
      <c r="AN95" s="35" t="n">
        <f aca="false">AN115</f>
        <v>-101.636</v>
      </c>
      <c r="AO95" s="35" t="n">
        <f aca="false">AO115</f>
        <v>-194.969</v>
      </c>
      <c r="AP95" s="35" t="n">
        <f aca="false">AP115</f>
        <v>-113.197</v>
      </c>
      <c r="AQ95" s="35" t="n">
        <f aca="false">AQ115</f>
        <v>-120.295</v>
      </c>
      <c r="AR95" s="35" t="n">
        <f aca="false">AR115</f>
        <v>-233.492</v>
      </c>
      <c r="AS95" s="35" t="n">
        <f aca="false">AS115</f>
        <v>-125.614</v>
      </c>
      <c r="AT95" s="35" t="n">
        <f aca="false">AT115</f>
        <v>-129.753</v>
      </c>
      <c r="AU95" s="35" t="n">
        <f aca="false">AU115</f>
        <v>-255.367</v>
      </c>
      <c r="AV95" s="35" t="n">
        <f aca="false">AV115</f>
        <v>-138.367</v>
      </c>
      <c r="AW95" s="36" t="n">
        <f aca="false">-AW111*AW96</f>
        <v>-140.742841523848</v>
      </c>
      <c r="AX95" s="36" t="n">
        <f aca="false">AX115</f>
        <v>-279.109841523848</v>
      </c>
      <c r="AY95" s="36" t="n">
        <f aca="false">-AY111*AY96</f>
        <v>-305.33105763257</v>
      </c>
      <c r="AZ95" s="36" t="n">
        <f aca="false">-AZ111*AZ96</f>
        <v>-328.777501298129</v>
      </c>
      <c r="BA95" s="36" t="n">
        <f aca="false">-BA111*BA96</f>
        <v>-354.159744608822</v>
      </c>
      <c r="BB95" s="36" t="n">
        <f aca="false">-BB111*BB96</f>
        <v>-377.428336692126</v>
      </c>
    </row>
    <row r="96" customFormat="false" ht="15" hidden="false" customHeight="true" outlineLevel="0" collapsed="false">
      <c r="B96" s="31" t="s">
        <v>194</v>
      </c>
      <c r="C96" s="32" t="n">
        <f aca="false">IFERROR(-C95/C111,"")</f>
        <v>0.146182711215298</v>
      </c>
      <c r="D96" s="32" t="n">
        <f aca="false">IFERROR(-D95/D111,"")</f>
        <v>0.163943001157096</v>
      </c>
      <c r="E96" s="32" t="n">
        <f aca="false">IFERROR(-E95/E111,"")</f>
        <v>0.155418632926</v>
      </c>
      <c r="F96" s="32" t="n">
        <f aca="false">IFERROR(-F95/F111,"")</f>
        <v>0.15181615792549</v>
      </c>
      <c r="G96" s="32" t="n">
        <f aca="false">IFERROR(-G95/G111,"")</f>
        <v>0.15331186944032</v>
      </c>
      <c r="H96" s="32" t="n">
        <f aca="false">IFERROR(-H95/H111,"")</f>
        <v>0.152587882758547</v>
      </c>
      <c r="I96" s="32" t="n">
        <f aca="false">IFERROR(-I95/I111,"")</f>
        <v>0.155971162755277</v>
      </c>
      <c r="J96" s="32" t="n">
        <f aca="false">IFERROR(-J95/J111,"")</f>
        <v>0.160909851673074</v>
      </c>
      <c r="K96" s="32" t="n">
        <f aca="false">IFERROR(-K95/K111,"")</f>
        <v>0.158496650955098</v>
      </c>
      <c r="L96" s="32" t="n">
        <f aca="false">IFERROR(-L95/L111,"")</f>
        <v>0.167207967647076</v>
      </c>
      <c r="M96" s="32" t="n">
        <f aca="false">IFERROR(-M95/M111,"")</f>
        <v>0.182545058801319</v>
      </c>
      <c r="N96" s="32" t="n">
        <f aca="false">IFERROR(-N95/N111,"")</f>
        <v>0.174968882495245</v>
      </c>
      <c r="O96" s="32" t="n">
        <f aca="false">IFERROR(-O95/O111,"")</f>
        <v>0.179482059780764</v>
      </c>
      <c r="P96" s="32" t="n">
        <f aca="false">IFERROR(-P95/P111,"")</f>
        <v>0.181050327613542</v>
      </c>
      <c r="Q96" s="32" t="n">
        <f aca="false">IFERROR(-Q95/Q111,"")</f>
        <v>0.180291729345094</v>
      </c>
      <c r="R96" s="32" t="n">
        <f aca="false">IFERROR(-R95/R111,"")</f>
        <v>0.184402292576419</v>
      </c>
      <c r="S96" s="32" t="n">
        <f aca="false">IFERROR(-S95/S111,"")</f>
        <v>0.172865909177533</v>
      </c>
      <c r="T96" s="32" t="n">
        <f aca="false">IFERROR(-T95/T111,"")</f>
        <v>0.178428014062298</v>
      </c>
      <c r="U96" s="32" t="n">
        <f aca="false">IFERROR(-U95/U111,"")</f>
        <v>0.178327929083086</v>
      </c>
      <c r="V96" s="32" t="n">
        <f aca="false">IFERROR(-V95/V111,"")</f>
        <v>0.17548531378245</v>
      </c>
      <c r="W96" s="32" t="n">
        <f aca="false">IFERROR(-W95/W111,"")</f>
        <v>0.176858873922446</v>
      </c>
      <c r="X96" s="32" t="n">
        <f aca="false">IFERROR(-X95/X111,"")</f>
        <v>0.174305900863125</v>
      </c>
      <c r="Y96" s="32" t="n">
        <f aca="false">IFERROR(-Y95/Y111,"")</f>
        <v>0.181143522274347</v>
      </c>
      <c r="Z96" s="32" t="n">
        <f aca="false">IFERROR(-Z95/Z111,"")</f>
        <v>0.177811412740779</v>
      </c>
      <c r="AA96" s="32" t="n">
        <f aca="false">IFERROR(-AA95/AA111,"")</f>
        <v>0.184727517303621</v>
      </c>
      <c r="AB96" s="32" t="n">
        <f aca="false">IFERROR(-AB95/AB111,"")</f>
        <v>0.184502509894167</v>
      </c>
      <c r="AC96" s="32" t="n">
        <f aca="false">IFERROR(-AC95/AC111,"")</f>
        <v>0.184610397837308</v>
      </c>
      <c r="AD96" s="32" t="n">
        <f aca="false">IFERROR(-AD95/AD111,"")</f>
        <v>0.280209414895951</v>
      </c>
      <c r="AE96" s="32" t="n">
        <f aca="false">IFERROR(-AE95/AE111,"")</f>
        <v>0.183214802136513</v>
      </c>
      <c r="AF96" s="32" t="n">
        <f aca="false">IFERROR(-AF95/AF111,"")</f>
        <v>0.219790703530982</v>
      </c>
      <c r="AG96" s="32" t="n">
        <f aca="false">IFERROR(-AG95/AG111,"")</f>
        <v>0.195978506138372</v>
      </c>
      <c r="AH96" s="32" t="n">
        <f aca="false">IFERROR(-AH95/AH111,"")</f>
        <v>0.179353187003501</v>
      </c>
      <c r="AI96" s="32" t="n">
        <f aca="false">IFERROR(-AI95/AI111,"")</f>
        <v>0.186677787466353</v>
      </c>
      <c r="AJ96" s="32" t="n">
        <f aca="false">IFERROR(-AJ95/AJ111,"")</f>
        <v>0.188707545557195</v>
      </c>
      <c r="AK96" s="32" t="n">
        <f aca="false">IFERROR(-AK95/AK111,"")</f>
        <v>0.171174440022921</v>
      </c>
      <c r="AL96" s="32" t="n">
        <f aca="false">IFERROR(-AL95/AL111,"")</f>
        <v>0.179092712034689</v>
      </c>
      <c r="AM96" s="32" t="n">
        <f aca="false">IFERROR(-AM95/AM111,"")</f>
        <v>0.171586308834398</v>
      </c>
      <c r="AN96" s="32" t="n">
        <f aca="false">IFERROR(-AN95/AN111,"")</f>
        <v>0.170679689258041</v>
      </c>
      <c r="AO96" s="32" t="n">
        <f aca="false">IFERROR(-AO95/AO111,"")</f>
        <v>0.171112495831212</v>
      </c>
      <c r="AP96" s="32" t="n">
        <f aca="false">IFERROR(-AP95/AP111,"")</f>
        <v>0.182381070534365</v>
      </c>
      <c r="AQ96" s="32" t="n">
        <f aca="false">IFERROR(-AQ95/AQ111,"")</f>
        <v>0.182853051781637</v>
      </c>
      <c r="AR96" s="32" t="n">
        <f aca="false">IFERROR(-AR95/AR111,"")</f>
        <v>0.182623930420636</v>
      </c>
      <c r="AS96" s="32" t="n">
        <f aca="false">IFERROR(-AS95/AS111,"")</f>
        <v>0.18360996002251</v>
      </c>
      <c r="AT96" s="32" t="n">
        <f aca="false">IFERROR(-AT95/AT111,"")</f>
        <v>0.179262409231075</v>
      </c>
      <c r="AU96" s="32" t="n">
        <f aca="false">IFERROR(-AU95/AU111,"")</f>
        <v>0.18137492000787</v>
      </c>
      <c r="AV96" s="32" t="n">
        <f aca="false">IFERROR(-AV95/AV111,"")</f>
        <v>0.184634332829382</v>
      </c>
      <c r="AW96" s="33" t="n">
        <f aca="false">AT96+(AV96-AS96)</f>
        <v>0.180286782037947</v>
      </c>
      <c r="AX96" s="33" t="n">
        <f aca="false">IFERROR(-AX95/AX111,"")</f>
        <v>0.182416160654834</v>
      </c>
      <c r="AY96" s="33" t="n">
        <f aca="false">CHOOSE(MATCH($BC$2,{"Bull","Base","Bear"},0),$BL$40,$BM$40,$BN$40)</f>
        <v>0.181</v>
      </c>
      <c r="AZ96" s="33" t="n">
        <f aca="false">CHOOSE(MATCH($BC$2,{"Bull","Base","Bear"},0),$BL$41,$BM$41,$BN$41)</f>
        <v>0.18</v>
      </c>
      <c r="BA96" s="33" t="n">
        <f aca="false">CHOOSE(MATCH($BC$2,{"Bull","Base","Bear"},0),$BL$42,$BM$42,$BN$42)</f>
        <v>0.18</v>
      </c>
      <c r="BB96" s="33" t="n">
        <f aca="false">CHOOSE(MATCH($BC$2,{"Bull","Base","Bear"},0),$BL$43,$BM$43,$BN$43)</f>
        <v>0.179</v>
      </c>
      <c r="BC96" s="18" t="s">
        <v>195</v>
      </c>
    </row>
    <row r="97" customFormat="false" ht="15" hidden="false" customHeight="true" outlineLevel="0" collapsed="false">
      <c r="B97" s="20" t="s">
        <v>196</v>
      </c>
      <c r="C97" s="41" t="n">
        <v>685</v>
      </c>
      <c r="D97" s="21" t="n">
        <f aca="false">E97</f>
        <v>715.8</v>
      </c>
      <c r="E97" s="41" t="n">
        <v>715.8</v>
      </c>
      <c r="F97" s="41" t="n">
        <v>762</v>
      </c>
      <c r="G97" s="21" t="n">
        <f aca="false">H97</f>
        <v>804.1</v>
      </c>
      <c r="H97" s="41" t="n">
        <v>804.1</v>
      </c>
      <c r="I97" s="41" t="n">
        <v>974.3</v>
      </c>
      <c r="J97" s="21" t="n">
        <f aca="false">K97</f>
        <v>1006.6</v>
      </c>
      <c r="K97" s="41" t="n">
        <v>1006.6</v>
      </c>
      <c r="L97" s="41" t="n">
        <v>1170.7</v>
      </c>
      <c r="M97" s="21" t="n">
        <f aca="false">N97</f>
        <v>1240.8</v>
      </c>
      <c r="N97" s="41" t="n">
        <v>1240.8</v>
      </c>
      <c r="O97" s="41" t="n">
        <v>1352</v>
      </c>
      <c r="P97" s="21" t="n">
        <f aca="false">Q97</f>
        <v>1364.8</v>
      </c>
      <c r="Q97" s="41" t="n">
        <v>1364.8</v>
      </c>
      <c r="R97" s="41" t="n">
        <v>1423.1</v>
      </c>
      <c r="S97" s="21" t="n">
        <f aca="false">T97</f>
        <v>1440.2</v>
      </c>
      <c r="T97" s="41" t="n">
        <v>1440.2</v>
      </c>
      <c r="U97" s="41" t="n">
        <v>1570.1</v>
      </c>
      <c r="V97" s="21" t="n">
        <f aca="false">W97</f>
        <v>1605.4</v>
      </c>
      <c r="W97" s="41" t="n">
        <v>1605.4</v>
      </c>
      <c r="X97" s="41" t="n">
        <v>1693.2</v>
      </c>
      <c r="Y97" s="21" t="n">
        <f aca="false">Z97</f>
        <v>1735.9</v>
      </c>
      <c r="Z97" s="41" t="n">
        <v>1735.9</v>
      </c>
      <c r="AA97" s="41" t="n">
        <v>1842.1</v>
      </c>
      <c r="AB97" s="21" t="n">
        <f aca="false">AC97</f>
        <v>1889.8</v>
      </c>
      <c r="AC97" s="41" t="n">
        <v>1889.8</v>
      </c>
      <c r="AD97" s="41" t="n">
        <v>2026.3</v>
      </c>
      <c r="AE97" s="21" t="n">
        <f aca="false">AF97</f>
        <v>2044.7</v>
      </c>
      <c r="AF97" s="41" t="n">
        <v>2044.7</v>
      </c>
      <c r="AG97" s="41" t="n">
        <v>2127.4</v>
      </c>
      <c r="AH97" s="21" t="n">
        <f aca="false">AI97</f>
        <v>2160.1</v>
      </c>
      <c r="AI97" s="41" t="n">
        <v>2160.1</v>
      </c>
      <c r="AJ97" s="41" t="n">
        <v>2254.5</v>
      </c>
      <c r="AK97" s="21" t="n">
        <f aca="false">AL97</f>
        <v>2308.3</v>
      </c>
      <c r="AL97" s="41" t="n">
        <v>2308.3</v>
      </c>
      <c r="AM97" s="41" t="n">
        <v>2531.1</v>
      </c>
      <c r="AN97" s="21" t="n">
        <f aca="false">AO97</f>
        <v>2623.3</v>
      </c>
      <c r="AO97" s="41" t="n">
        <v>2623.3</v>
      </c>
      <c r="AP97" s="41" t="n">
        <v>3021.1</v>
      </c>
      <c r="AQ97" s="21" t="n">
        <f aca="false">AR97</f>
        <v>3101.4</v>
      </c>
      <c r="AR97" s="41" t="n">
        <v>3101.4</v>
      </c>
      <c r="AS97" s="41" t="n">
        <v>3283.1</v>
      </c>
      <c r="AT97" s="21" t="n">
        <f aca="false">AU97</f>
        <v>3327.5</v>
      </c>
      <c r="AU97" s="41" t="n">
        <v>3327.5</v>
      </c>
      <c r="AV97" s="41" t="n">
        <v>3542.9</v>
      </c>
    </row>
    <row r="98" customFormat="false" ht="15" hidden="false" customHeight="true" outlineLevel="0" collapsed="false">
      <c r="B98" s="14" t="s">
        <v>197</v>
      </c>
      <c r="C98" s="35" t="n">
        <f aca="false">C112+C116+C117+N(C119)</f>
        <v>-0.254</v>
      </c>
      <c r="D98" s="35" t="n">
        <f aca="false">D112+D116+D117+N(D119)</f>
        <v>-1.416</v>
      </c>
      <c r="E98" s="35" t="n">
        <f aca="false">E112+E116+E117+N(E119)</f>
        <v>-1.67</v>
      </c>
      <c r="F98" s="35" t="n">
        <f aca="false">F112+F116+F117+N(F119)</f>
        <v>0.35</v>
      </c>
      <c r="G98" s="35" t="n">
        <f aca="false">G112+G116+G117+N(G119)</f>
        <v>-0.764</v>
      </c>
      <c r="H98" s="35" t="n">
        <f aca="false">H112+H116+H117+N(H119)</f>
        <v>-0.414</v>
      </c>
      <c r="I98" s="35" t="n">
        <f aca="false">I112+I116+I117+N(I119)</f>
        <v>-0.232</v>
      </c>
      <c r="J98" s="35" t="n">
        <f aca="false">J112+J116+J117+N(J119)</f>
        <v>-1.851</v>
      </c>
      <c r="K98" s="35" t="n">
        <f aca="false">K112+K116+K117+N(K119)</f>
        <v>-2.083</v>
      </c>
      <c r="L98" s="35" t="n">
        <f aca="false">L112+L116+L117+N(L119)</f>
        <v>-0.429</v>
      </c>
      <c r="M98" s="35" t="n">
        <f aca="false">M112+M116+M117+N(M119)</f>
        <v>-2.746</v>
      </c>
      <c r="N98" s="35" t="n">
        <f aca="false">N112+N116+N117+N(N119)</f>
        <v>-3.175</v>
      </c>
      <c r="O98" s="35" t="n">
        <f aca="false">O112+O116+O117+N(O119)</f>
        <v>-1.582</v>
      </c>
      <c r="P98" s="35" t="n">
        <f aca="false">P112+P116+P117+N(P119)</f>
        <v>-3.183</v>
      </c>
      <c r="Q98" s="35" t="n">
        <f aca="false">Q112+Q116+Q117+N(Q119)</f>
        <v>-4.765</v>
      </c>
      <c r="R98" s="35" t="n">
        <f aca="false">R112+R116+R117+N(R119)</f>
        <v>-2.098</v>
      </c>
      <c r="S98" s="35" t="n">
        <f aca="false">S112+S116+S117+N(S119)</f>
        <v>-3.051</v>
      </c>
      <c r="T98" s="35" t="n">
        <f aca="false">T112+T116+T117+N(T119)</f>
        <v>-5.149</v>
      </c>
      <c r="U98" s="35" t="n">
        <f aca="false">U112+U116+U117+N(U119)</f>
        <v>-2.544</v>
      </c>
      <c r="V98" s="35" t="n">
        <f aca="false">V112+V116+V117+N(V119)</f>
        <v>-1.261</v>
      </c>
      <c r="W98" s="35" t="n">
        <f aca="false">W112+W116+W117+N(W119)</f>
        <v>-3.805</v>
      </c>
      <c r="X98" s="35" t="n">
        <f aca="false">X112+X116+X117+N(X119)</f>
        <v>-1.661</v>
      </c>
      <c r="Y98" s="35" t="n">
        <f aca="false">Y112+Y116+Y117+N(Y119)</f>
        <v>-1.479</v>
      </c>
      <c r="Z98" s="35" t="n">
        <f aca="false">Z112+Z116+Z117+N(Z119)</f>
        <v>-3.14</v>
      </c>
      <c r="AA98" s="35" t="n">
        <f aca="false">AA112+AA116+AA117+N(AA119)</f>
        <v>-2.316</v>
      </c>
      <c r="AB98" s="35" t="n">
        <f aca="false">AB112+AB116+AB117+N(AB119)</f>
        <v>-3.274</v>
      </c>
      <c r="AC98" s="35" t="n">
        <f aca="false">AC112+AC116+AC117+N(AC119)</f>
        <v>-5.59</v>
      </c>
      <c r="AD98" s="35" t="n">
        <f aca="false">AD112+AD116+AD117+N(AD119)</f>
        <v>-33.273</v>
      </c>
      <c r="AE98" s="35" t="n">
        <f aca="false">AE112+AE116+AE117+N(AE119)</f>
        <v>-4.684</v>
      </c>
      <c r="AF98" s="35" t="n">
        <f aca="false">AF112+AF116+AF117+N(AF119)</f>
        <v>-37.957</v>
      </c>
      <c r="AG98" s="35" t="n">
        <f aca="false">AG112+AG116+AG117+N(AG119)</f>
        <v>-2.211</v>
      </c>
      <c r="AH98" s="35" t="n">
        <f aca="false">AH112+AH116+AH117+N(AH119)</f>
        <v>0.985</v>
      </c>
      <c r="AI98" s="35" t="n">
        <f aca="false">AI112+AI116+AI117+N(AI119)</f>
        <v>-1.226</v>
      </c>
      <c r="AJ98" s="35" t="n">
        <f aca="false">AJ112+AJ116+AJ117+N(AJ119)</f>
        <v>-11.264</v>
      </c>
      <c r="AK98" s="35" t="n">
        <f aca="false">AK112+AK116+AK117+N(AK119)</f>
        <v>-9.613</v>
      </c>
      <c r="AL98" s="35" t="n">
        <f aca="false">AL112+AL116+AL117+N(AL119)</f>
        <v>-20.877</v>
      </c>
      <c r="AM98" s="35" t="n">
        <f aca="false">AM112+AM116+AM117+N(AM119)</f>
        <v>-13.961</v>
      </c>
      <c r="AN98" s="35" t="n">
        <f aca="false">AN112+AN116+AN117+N(AN119)</f>
        <v>-14.127</v>
      </c>
      <c r="AO98" s="35" t="n">
        <f aca="false">AO112+AO116+AO117+N(AO119)</f>
        <v>-28.088</v>
      </c>
      <c r="AP98" s="35" t="n">
        <f aca="false">AP112+AP116+AP117+N(AP119)</f>
        <v>-8.93</v>
      </c>
      <c r="AQ98" s="35" t="n">
        <f aca="false">AQ112+AQ116+AQ117+N(AQ119)</f>
        <v>-9.282</v>
      </c>
      <c r="AR98" s="35" t="n">
        <f aca="false">AR112+AR116+AR117+N(AR119)</f>
        <v>-18.212</v>
      </c>
      <c r="AS98" s="35" t="n">
        <f aca="false">AS112+AS116+AS117+N(AS119)</f>
        <v>-8.085</v>
      </c>
      <c r="AT98" s="35" t="n">
        <f aca="false">AT112+AT116+AT117+N(AT119)</f>
        <v>-19.267</v>
      </c>
      <c r="AU98" s="35" t="n">
        <f aca="false">AU112+AU116+AU117+N(AU119)</f>
        <v>-27.352</v>
      </c>
      <c r="AV98" s="35" t="n">
        <f aca="false">AV112+AV116+AV117+N(AV119)</f>
        <v>-12.694</v>
      </c>
      <c r="AW98" s="36" t="n">
        <f aca="false">-AW111*AW99</f>
        <v>-12.0795921615438</v>
      </c>
      <c r="AX98" s="36" t="n">
        <f aca="false">AX112+AX116+AX117+N(AX119)</f>
        <v>-24.7735921615438</v>
      </c>
      <c r="AY98" s="36" t="n">
        <f aca="false">-AY111*AY99</f>
        <v>-25.303678809329</v>
      </c>
      <c r="AZ98" s="36" t="n">
        <f aca="false">-AZ111*AZ99</f>
        <v>-27.3981251081774</v>
      </c>
      <c r="BA98" s="36" t="n">
        <f aca="false">-BA111*BA99</f>
        <v>-29.5133120507352</v>
      </c>
      <c r="BB98" s="36" t="n">
        <f aca="false">-BB111*BB99</f>
        <v>-31.6280729071614</v>
      </c>
    </row>
    <row r="99" customFormat="false" ht="15" hidden="false" customHeight="true" outlineLevel="0" collapsed="false">
      <c r="B99" s="31" t="s">
        <v>198</v>
      </c>
      <c r="C99" s="32" t="n">
        <f aca="false">IFERROR(-C98/C111,"")</f>
        <v>0.00218106253810419</v>
      </c>
      <c r="D99" s="32" t="n">
        <f aca="false">IFERROR(-D98/D111,"")</f>
        <v>0.0112222415952068</v>
      </c>
      <c r="E99" s="32" t="n">
        <f aca="false">IFERROR(-E98/E111,"")</f>
        <v>0.00688276629505224</v>
      </c>
      <c r="F99" s="32" t="n">
        <f aca="false">IFERROR(-F98/F111,"")</f>
        <v>-0.00258869995488266</v>
      </c>
      <c r="G99" s="32" t="n">
        <f aca="false">IFERROR(-G98/G111,"")</f>
        <v>0.00530121150723713</v>
      </c>
      <c r="H99" s="32" t="n">
        <f aca="false">IFERROR(-H98/H111,"")</f>
        <v>0.00148216568034627</v>
      </c>
      <c r="I99" s="32" t="n">
        <f aca="false">IFERROR(-I98/I111,"")</f>
        <v>0.00147232411438435</v>
      </c>
      <c r="J99" s="32" t="n">
        <f aca="false">IFERROR(-J98/J111,"")</f>
        <v>0.0112245764253575</v>
      </c>
      <c r="K99" s="32" t="n">
        <f aca="false">IFERROR(-K98/K111,"")</f>
        <v>0.00645931530637559</v>
      </c>
      <c r="L99" s="32" t="n">
        <f aca="false">IFERROR(-L98/L111,"")</f>
        <v>0.00244012035651922</v>
      </c>
      <c r="M99" s="32" t="n">
        <f aca="false">IFERROR(-M98/M111,"")</f>
        <v>0.0152472542726738</v>
      </c>
      <c r="N99" s="32" t="n">
        <f aca="false">IFERROR(-N98/N111,"")</f>
        <v>0.00892081964771894</v>
      </c>
      <c r="O99" s="32" t="n">
        <f aca="false">IFERROR(-O98/O111,"")</f>
        <v>0.00789689116067328</v>
      </c>
      <c r="P99" s="32" t="n">
        <f aca="false">IFERROR(-P98/P111,"")</f>
        <v>0.0148864226284848</v>
      </c>
      <c r="Q99" s="32" t="n">
        <f aca="false">IFERROR(-Q98/Q111,"")</f>
        <v>0.0115054653978863</v>
      </c>
      <c r="R99" s="32" t="n">
        <f aca="false">IFERROR(-R98/R111,"")</f>
        <v>0.00954330422125182</v>
      </c>
      <c r="S99" s="32" t="n">
        <f aca="false">IFERROR(-S98/S111,"")</f>
        <v>0.0129207939660612</v>
      </c>
      <c r="T99" s="32" t="n">
        <f aca="false">IFERROR(-T98/T111,"")</f>
        <v>0.011292384822719</v>
      </c>
      <c r="U99" s="32" t="n">
        <f aca="false">IFERROR(-U98/U111,"")</f>
        <v>0.0104550666387207</v>
      </c>
      <c r="V99" s="32" t="n">
        <f aca="false">IFERROR(-V98/V111,"")</f>
        <v>0.00484545272897742</v>
      </c>
      <c r="W99" s="32" t="n">
        <f aca="false">IFERROR(-W98/W111,"")</f>
        <v>0.00755603479946224</v>
      </c>
      <c r="X99" s="32" t="n">
        <f aca="false">IFERROR(-X98/X111,"")</f>
        <v>0.00616358549238179</v>
      </c>
      <c r="Y99" s="32" t="n">
        <f aca="false">IFERROR(-Y98/Y111,"")</f>
        <v>0.00521674720468414</v>
      </c>
      <c r="Z99" s="32" t="n">
        <f aca="false">IFERROR(-Z98/Z111,"")</f>
        <v>0.0056781604206902</v>
      </c>
      <c r="AA99" s="32" t="n">
        <f aca="false">IFERROR(-AA98/AA111,"")</f>
        <v>0.00794748346847944</v>
      </c>
      <c r="AB99" s="32" t="n">
        <f aca="false">IFERROR(-AB98/AB111,"")</f>
        <v>0.0103493620949081</v>
      </c>
      <c r="AC99" s="32" t="n">
        <f aca="false">IFERROR(-AC98/AC111,"")</f>
        <v>0.00919769448845846</v>
      </c>
      <c r="AD99" s="32" t="n">
        <f aca="false">IFERROR(-AD98/AD111,"")</f>
        <v>0.162194176745002</v>
      </c>
      <c r="AE99" s="32" t="n">
        <f aca="false">IFERROR(-AE98/AE111,"")</f>
        <v>0.0138224097736595</v>
      </c>
      <c r="AF99" s="32" t="n">
        <f aca="false">IFERROR(-AF98/AF111,"")</f>
        <v>0.069772229707746</v>
      </c>
      <c r="AG99" s="32" t="n">
        <f aca="false">IFERROR(-AG98/AG111,"")</f>
        <v>0.00704669751787968</v>
      </c>
      <c r="AH99" s="32" t="n">
        <f aca="false">IFERROR(-AH98/AH111,"")</f>
        <v>-0.00247229647478132</v>
      </c>
      <c r="AI99" s="32" t="n">
        <f aca="false">IFERROR(-AI98/AI111,"")</f>
        <v>0.00172147732522301</v>
      </c>
      <c r="AJ99" s="32" t="n">
        <f aca="false">IFERROR(-AJ98/AJ111,"")</f>
        <v>0.0271188399376922</v>
      </c>
      <c r="AK99" s="32" t="n">
        <f aca="false">IFERROR(-AK98/AK111,"")</f>
        <v>0.0190601386732653</v>
      </c>
      <c r="AL99" s="32" t="n">
        <f aca="false">IFERROR(-AL98/AL111,"")</f>
        <v>0.0226995959587173</v>
      </c>
      <c r="AM99" s="32" t="n">
        <f aca="false">IFERROR(-AM98/AM111,"")</f>
        <v>0.0256663394258947</v>
      </c>
      <c r="AN99" s="32" t="n">
        <f aca="false">IFERROR(-AN98/AN111,"")</f>
        <v>0.0237237983603089</v>
      </c>
      <c r="AO99" s="32" t="n">
        <f aca="false">IFERROR(-AO98/AO111,"")</f>
        <v>0.0246511382984325</v>
      </c>
      <c r="AP99" s="32" t="n">
        <f aca="false">IFERROR(-AP98/AP111,"")</f>
        <v>0.014387863281464</v>
      </c>
      <c r="AQ99" s="32" t="n">
        <f aca="false">IFERROR(-AQ98/AQ111,"")</f>
        <v>0.0141089989329329</v>
      </c>
      <c r="AR99" s="32" t="n">
        <f aca="false">IFERROR(-AR98/AR111,"")</f>
        <v>0.0142443724873684</v>
      </c>
      <c r="AS99" s="32" t="n">
        <f aca="false">IFERROR(-AS98/AS111,"")</f>
        <v>0.0118178429695893</v>
      </c>
      <c r="AT99" s="32" t="n">
        <f aca="false">IFERROR(-AT98/AT111,"")</f>
        <v>0.0266186434121379</v>
      </c>
      <c r="AU99" s="32" t="n">
        <f aca="false">IFERROR(-AU98/AU111,"")</f>
        <v>0.0194268124387852</v>
      </c>
      <c r="AV99" s="32" t="n">
        <f aca="false">IFERROR(-AV98/AV111,"")</f>
        <v>0.0169386358086551</v>
      </c>
      <c r="AW99" s="33" t="n">
        <f aca="false">-(AT98+N(AT157))/AT111</f>
        <v>0.0154735457630116</v>
      </c>
      <c r="AX99" s="33" t="n">
        <f aca="false">IFERROR(-AX98/AX111,"")</f>
        <v>0.0161911294244041</v>
      </c>
      <c r="AY99" s="43" t="n">
        <v>0.015</v>
      </c>
      <c r="AZ99" s="43" t="n">
        <v>0.015</v>
      </c>
      <c r="BA99" s="43" t="n">
        <v>0.015</v>
      </c>
      <c r="BB99" s="43" t="n">
        <v>0.015</v>
      </c>
      <c r="BC99" s="18" t="s">
        <v>199</v>
      </c>
    </row>
    <row r="100" customFormat="false" ht="15" hidden="false" customHeight="true" outlineLevel="0" collapsed="false">
      <c r="B100" s="46" t="s">
        <v>200</v>
      </c>
      <c r="C100" s="47" t="n">
        <f aca="false">IF(ISNUMBER(C83),C83+C87+C95+C98,"")</f>
        <v>18.351</v>
      </c>
      <c r="D100" s="47" t="n">
        <f aca="false">IF(ISNUMBER(D83),D83+D87+D95+D98,"")</f>
        <v>21.809</v>
      </c>
      <c r="E100" s="47" t="n">
        <f aca="false">IF(ISNUMBER(E83),E83+E87+E95+E98,"")</f>
        <v>40.16</v>
      </c>
      <c r="F100" s="47" t="n">
        <f aca="false">IF(ISNUMBER(F83),F83+F87+F95+F98,"")</f>
        <v>16.418</v>
      </c>
      <c r="G100" s="47" t="n">
        <f aca="false">IF(ISNUMBER(G83),G83+G87+G95+G98,"")</f>
        <v>26.451</v>
      </c>
      <c r="H100" s="47" t="n">
        <f aca="false">IF(ISNUMBER(H83),H83+H87+H95+H98,"")</f>
        <v>42.869</v>
      </c>
      <c r="I100" s="47" t="n">
        <f aca="false">IF(ISNUMBER(I83),I83+I87+I95+I98,"")</f>
        <v>27.129</v>
      </c>
      <c r="J100" s="47" t="n">
        <f aca="false">IF(ISNUMBER(J83),J83+J87+J95+J98,"")</f>
        <v>31.052</v>
      </c>
      <c r="K100" s="47" t="n">
        <f aca="false">IF(ISNUMBER(K83),K83+K87+K95+K98,"")</f>
        <v>58.181</v>
      </c>
      <c r="L100" s="47" t="n">
        <f aca="false">IF(ISNUMBER(L83),L83+L87+L95+L98,"")</f>
        <v>30.618</v>
      </c>
      <c r="M100" s="47" t="n">
        <f aca="false">IF(ISNUMBER(M83),M83+M87+M95+M98,"")</f>
        <v>32.423</v>
      </c>
      <c r="N100" s="47" t="n">
        <f aca="false">IF(ISNUMBER(N83),N83+N87+N95+N98,"")</f>
        <v>63.041</v>
      </c>
      <c r="O100" s="47" t="n">
        <f aca="false">IF(ISNUMBER(O83),O83+O87+O95+O98,"")</f>
        <v>33.384</v>
      </c>
      <c r="P100" s="47" t="n">
        <f aca="false">IF(ISNUMBER(P83),P83+P87+P95+P98,"")</f>
        <v>35.74</v>
      </c>
      <c r="Q100" s="47" t="n">
        <f aca="false">IF(ISNUMBER(Q83),Q83+Q87+Q95+Q98,"")</f>
        <v>69.124</v>
      </c>
      <c r="R100" s="47" t="n">
        <f aca="false">IF(ISNUMBER(R83),R83+R87+R95+R98,"")</f>
        <v>35.484</v>
      </c>
      <c r="S100" s="47" t="n">
        <f aca="false">IF(ISNUMBER(S83),S83+S87+S95+S98,"")</f>
        <v>41.208</v>
      </c>
      <c r="T100" s="47" t="n">
        <f aca="false">IF(ISNUMBER(T83),T83+T87+T95+T98,"")</f>
        <v>76.692</v>
      </c>
      <c r="U100" s="47" t="n">
        <f aca="false">IF(ISNUMBER(U83),U83+U87+U95+U98,"")</f>
        <v>41.592</v>
      </c>
      <c r="V100" s="47" t="n">
        <f aca="false">IF(ISNUMBER(V83),V83+V87+V95+V98,"")</f>
        <v>45.884</v>
      </c>
      <c r="W100" s="47" t="n">
        <f aca="false">IF(ISNUMBER(W83),W83+W87+W95+W98,"")</f>
        <v>87.476</v>
      </c>
      <c r="X100" s="47" t="n">
        <f aca="false">IF(ISNUMBER(X83),X83+X87+X95+X98,"")</f>
        <v>46.233</v>
      </c>
      <c r="Y100" s="47" t="n">
        <f aca="false">IF(ISNUMBER(Y83),Y83+Y87+Y95+Y98,"")</f>
        <v>48.91</v>
      </c>
      <c r="Z100" s="47" t="n">
        <f aca="false">IF(ISNUMBER(Z83),Z83+Z87+Z95+Z98,"")</f>
        <v>95.143</v>
      </c>
      <c r="AA100" s="47" t="n">
        <f aca="false">IF(ISNUMBER(AA83),AA83+AA87+AA95+AA98,"")</f>
        <v>79.226</v>
      </c>
      <c r="AB100" s="47" t="n">
        <f aca="false">IF(ISNUMBER(AB83),AB83+AB87+AB95+AB98,"")</f>
        <v>90.4</v>
      </c>
      <c r="AC100" s="47" t="n">
        <f aca="false">IF(ISNUMBER(AC83),AC83+AC87+AC95+AC98,"")</f>
        <v>169.626</v>
      </c>
      <c r="AD100" s="47" t="n">
        <f aca="false">IF(ISNUMBER(AD83),AD83+AD87+AD95+AD98,"")</f>
        <v>-3.42399999999999</v>
      </c>
      <c r="AE100" s="47" t="n">
        <f aca="false">IF(ISNUMBER(AE83),AE83+AE87+AE95+AE98,"")</f>
        <v>92.89</v>
      </c>
      <c r="AF100" s="47" t="n">
        <f aca="false">IF(ISNUMBER(AF83),AF83+AF87+AF95+AF98,"")</f>
        <v>89.466</v>
      </c>
      <c r="AG100" s="47" t="n">
        <f aca="false">IF(ISNUMBER(AG83),AG83+AG87+AG95+AG98,"")</f>
        <v>80.595</v>
      </c>
      <c r="AH100" s="47" t="n">
        <f aca="false">IF(ISNUMBER(AH83),AH83+AH87+AH95+AH98,"")</f>
        <v>112.716</v>
      </c>
      <c r="AI100" s="47" t="n">
        <f aca="false">IF(ISNUMBER(AI83),AI83+AI87+AI95+AI98,"")</f>
        <v>193.311</v>
      </c>
      <c r="AJ100" s="47" t="n">
        <f aca="false">IF(ISNUMBER(AJ83),AJ83+AJ87+AJ95+AJ98,"")</f>
        <v>119.952</v>
      </c>
      <c r="AK100" s="47" t="n">
        <f aca="false">IF(ISNUMBER(AK83),AK83+AK87+AK95+AK98,"")</f>
        <v>146.405</v>
      </c>
      <c r="AL100" s="47" t="n">
        <f aca="false">IF(ISNUMBER(AL83),AL83+AL87+AL95+AL98,"")</f>
        <v>266.357</v>
      </c>
      <c r="AM100" s="47" t="n">
        <f aca="false">IF(ISNUMBER(AM83),AM83+AM87+AM95+AM98,"")</f>
        <v>154.808</v>
      </c>
      <c r="AN100" s="47" t="n">
        <f aca="false">IF(ISNUMBER(AN83),AN83+AN87+AN95+AN98,"")</f>
        <v>171.443</v>
      </c>
      <c r="AO100" s="47" t="n">
        <f aca="false">IF(ISNUMBER(AO83),AO83+AO87+AO95+AO98,"")</f>
        <v>326.251</v>
      </c>
      <c r="AP100" s="47" t="n">
        <f aca="false">IF(ISNUMBER(AP83),AP83+AP87+AP95+AP98,"")</f>
        <v>177.754</v>
      </c>
      <c r="AQ100" s="47" t="n">
        <f aca="false">IF(ISNUMBER(AQ83),AQ83+AQ87+AQ95+AQ98,"")</f>
        <v>186.921</v>
      </c>
      <c r="AR100" s="47" t="n">
        <f aca="false">IF(ISNUMBER(AR83),AR83+AR87+AR95+AR98,"")</f>
        <v>364.675</v>
      </c>
      <c r="AS100" s="47" t="n">
        <f aca="false">IF(ISNUMBER(AS83),AS83+AS87+AS95+AS98,"")</f>
        <v>200.615</v>
      </c>
      <c r="AT100" s="47" t="n">
        <f aca="false">IF(ISNUMBER(AT83),AT83+AT87+AT95+AT98,"")</f>
        <v>207.781</v>
      </c>
      <c r="AU100" s="47" t="n">
        <f aca="false">IF(ISNUMBER(AU83),AU83+AU87+AU95+AU98,"")</f>
        <v>408.396</v>
      </c>
      <c r="AV100" s="47" t="n">
        <f aca="false">IF(ISNUMBER(AV83),AV83+AV87+AV95+AV98,"")</f>
        <v>226.542</v>
      </c>
      <c r="AW100" s="47" t="n">
        <f aca="false">IF(ISNUMBER(AW83),AW83+AW87+AW95+AW98,"")</f>
        <v>236.473557018447</v>
      </c>
      <c r="AX100" s="47" t="n">
        <f aca="false">IF(ISNUMBER(AX83),AX83+AX87+AX95+AX98,"")</f>
        <v>463.015557018447</v>
      </c>
      <c r="AY100" s="47" t="n">
        <f aca="false">IF(ISNUMBER(AY83),AY83+AY87+AY95+AY98,"")</f>
        <v>512.821223869069</v>
      </c>
      <c r="AZ100" s="47" t="n">
        <f aca="false">IF(ISNUMBER(AZ83),AZ83+AZ87+AZ95+AZ98,"")</f>
        <v>560.748293880698</v>
      </c>
      <c r="BA100" s="47" t="n">
        <f aca="false">IF(ISNUMBER(BA83),BA83+BA87+BA95+BA98,"")</f>
        <v>607.974228245144</v>
      </c>
      <c r="BB100" s="47" t="n">
        <f aca="false">IF(ISNUMBER(BB83),BB83+BB87+BB95+BB98,"")</f>
        <v>655.755378275147</v>
      </c>
      <c r="BE100" s="37" t="n">
        <f aca="false">IFERROR(IF(AND(BB100&gt;0,AU100&gt;0),(BB100/AU100)^(1/5)-1,"n/m"),"n/m")</f>
        <v>0.0993401164958463</v>
      </c>
      <c r="BF100" s="37" t="n">
        <f aca="false">IFERROR(IF(AND(AU100&gt;0,AF100&gt;0),(AU100/AF100)^(1/5)-1,"n/m"),"n/m")</f>
        <v>0.354829648030325</v>
      </c>
      <c r="BG100" s="37" t="n">
        <f aca="false">IFERROR(IF(AND(AU100&gt;0,Q100&gt;0),(AU100/Q100)^(1/10)-1,"n/m"),"n/m")</f>
        <v>0.194387533670697</v>
      </c>
      <c r="BH100" s="37" t="n">
        <f aca="false">IFERROR(IF(AND(AU100&gt;0,E100&gt;0),(AU100/E100)^(1/14)-1,"n/m"),"n/m")</f>
        <v>0.18018238122639</v>
      </c>
    </row>
    <row r="101" customFormat="false" ht="15" hidden="false" customHeight="true" outlineLevel="0" collapsed="false">
      <c r="B101" s="45" t="s">
        <v>201</v>
      </c>
      <c r="C101" s="26" t="n">
        <f aca="false">IF(ISNUMBER(C100),ROUND(C100-C136,1),"n/a")</f>
        <v>0</v>
      </c>
      <c r="D101" s="26" t="n">
        <f aca="false">IF(ISNUMBER(D100),ROUND(D100-D136,1),"n/a")</f>
        <v>0</v>
      </c>
      <c r="E101" s="26" t="n">
        <f aca="false">IF(ISNUMBER(E100),ROUND(E100-E136,1),"n/a")</f>
        <v>0</v>
      </c>
      <c r="F101" s="26" t="n">
        <f aca="false">IF(ISNUMBER(F100),ROUND(F100-F136,1),"n/a")</f>
        <v>0</v>
      </c>
      <c r="G101" s="26" t="n">
        <f aca="false">IF(ISNUMBER(G100),ROUND(G100-G136,1),"n/a")</f>
        <v>0</v>
      </c>
      <c r="H101" s="26" t="n">
        <f aca="false">IF(ISNUMBER(H100),ROUND(H100-H136,1),"n/a")</f>
        <v>0</v>
      </c>
      <c r="I101" s="26" t="n">
        <f aca="false">IF(ISNUMBER(I100),ROUND(I100-I136,1),"n/a")</f>
        <v>0</v>
      </c>
      <c r="J101" s="26" t="n">
        <f aca="false">IF(ISNUMBER(J100),ROUND(J100-J136,1),"n/a")</f>
        <v>0</v>
      </c>
      <c r="K101" s="26" t="n">
        <f aca="false">IF(ISNUMBER(K100),ROUND(K100-K136,1),"n/a")</f>
        <v>0</v>
      </c>
      <c r="L101" s="26" t="n">
        <f aca="false">IF(ISNUMBER(L100),ROUND(L100-L136,1),"n/a")</f>
        <v>0</v>
      </c>
      <c r="M101" s="26" t="n">
        <f aca="false">IF(ISNUMBER(M100),ROUND(M100-M136,1),"n/a")</f>
        <v>0</v>
      </c>
      <c r="N101" s="26" t="n">
        <f aca="false">IF(ISNUMBER(N100),ROUND(N100-N136,1),"n/a")</f>
        <v>0</v>
      </c>
      <c r="O101" s="26" t="n">
        <f aca="false">IF(ISNUMBER(O100),ROUND(O100-O136,1),"n/a")</f>
        <v>0</v>
      </c>
      <c r="P101" s="26" t="n">
        <f aca="false">IF(ISNUMBER(P100),ROUND(P100-P136,1),"n/a")</f>
        <v>0</v>
      </c>
      <c r="Q101" s="26" t="n">
        <f aca="false">IF(ISNUMBER(Q100),ROUND(Q100-Q136,1),"n/a")</f>
        <v>0</v>
      </c>
      <c r="R101" s="26" t="n">
        <f aca="false">IF(ISNUMBER(R100),ROUND(R100-R136,1),"n/a")</f>
        <v>0</v>
      </c>
      <c r="S101" s="26" t="n">
        <f aca="false">IF(ISNUMBER(S100),ROUND(S100-S136,1),"n/a")</f>
        <v>0</v>
      </c>
      <c r="T101" s="26" t="n">
        <f aca="false">IF(ISNUMBER(T100),ROUND(T100-T136,1),"n/a")</f>
        <v>0</v>
      </c>
      <c r="U101" s="26" t="n">
        <f aca="false">IF(ISNUMBER(U100),ROUND(U100-U136,1),"n/a")</f>
        <v>0</v>
      </c>
      <c r="V101" s="26" t="n">
        <f aca="false">IF(ISNUMBER(V100),ROUND(V100-V136,1),"n/a")</f>
        <v>0</v>
      </c>
      <c r="W101" s="26" t="n">
        <f aca="false">IF(ISNUMBER(W100),ROUND(W100-W136,1),"n/a")</f>
        <v>0</v>
      </c>
      <c r="X101" s="26" t="n">
        <f aca="false">IF(ISNUMBER(X100),ROUND(X100-X136,1),"n/a")</f>
        <v>0</v>
      </c>
      <c r="Y101" s="26" t="n">
        <f aca="false">IF(ISNUMBER(Y100),ROUND(Y100-Y136,1),"n/a")</f>
        <v>0</v>
      </c>
      <c r="Z101" s="26" t="n">
        <f aca="false">IF(ISNUMBER(Z100),ROUND(Z100-Z136,1),"n/a")</f>
        <v>0</v>
      </c>
      <c r="AA101" s="26" t="n">
        <f aca="false">IF(ISNUMBER(AA100),ROUND(AA100-AA136,1),"n/a")</f>
        <v>0</v>
      </c>
      <c r="AB101" s="26" t="n">
        <f aca="false">IF(ISNUMBER(AB100),ROUND(AB100-AB136,1),"n/a")</f>
        <v>0</v>
      </c>
      <c r="AC101" s="26" t="n">
        <f aca="false">IF(ISNUMBER(AC100),ROUND(AC100-AC136,1),"n/a")</f>
        <v>0</v>
      </c>
      <c r="AD101" s="26" t="n">
        <f aca="false">IF(ISNUMBER(AD100),ROUND(AD100-AD136,1),"n/a")</f>
        <v>0</v>
      </c>
      <c r="AE101" s="26" t="n">
        <f aca="false">IF(ISNUMBER(AE100),ROUND(AE100-AE136,1),"n/a")</f>
        <v>0</v>
      </c>
      <c r="AF101" s="26" t="n">
        <f aca="false">IF(ISNUMBER(AF100),ROUND(AF100-AF136,1),"n/a")</f>
        <v>0</v>
      </c>
      <c r="AG101" s="26" t="n">
        <f aca="false">IF(ISNUMBER(AG100),ROUND(AG100-AG136,1),"n/a")</f>
        <v>0</v>
      </c>
      <c r="AH101" s="26" t="n">
        <f aca="false">IF(ISNUMBER(AH100),ROUND(AH100-AH136,1),"n/a")</f>
        <v>0</v>
      </c>
      <c r="AI101" s="26" t="n">
        <f aca="false">IF(ISNUMBER(AI100),ROUND(AI100-AI136,1),"n/a")</f>
        <v>0</v>
      </c>
      <c r="AJ101" s="26" t="n">
        <f aca="false">IF(ISNUMBER(AJ100),ROUND(AJ100-AJ136,1),"n/a")</f>
        <v>0</v>
      </c>
      <c r="AK101" s="26" t="n">
        <f aca="false">IF(ISNUMBER(AK100),ROUND(AK100-AK136,1),"n/a")</f>
        <v>0</v>
      </c>
      <c r="AL101" s="26" t="n">
        <f aca="false">IF(ISNUMBER(AL100),ROUND(AL100-AL136,1),"n/a")</f>
        <v>0</v>
      </c>
      <c r="AM101" s="26" t="n">
        <f aca="false">IF(ISNUMBER(AM100),ROUND(AM100-AM136,1),"n/a")</f>
        <v>0</v>
      </c>
      <c r="AN101" s="26" t="n">
        <f aca="false">IF(ISNUMBER(AN100),ROUND(AN100-AN136,1),"n/a")</f>
        <v>0</v>
      </c>
      <c r="AO101" s="26" t="n">
        <f aca="false">IF(ISNUMBER(AO100),ROUND(AO100-AO136,1),"n/a")</f>
        <v>0</v>
      </c>
      <c r="AP101" s="26" t="n">
        <f aca="false">IF(ISNUMBER(AP100),ROUND(AP100-AP136,1),"n/a")</f>
        <v>0</v>
      </c>
      <c r="AQ101" s="26" t="n">
        <f aca="false">IF(ISNUMBER(AQ100),ROUND(AQ100-AQ136,1),"n/a")</f>
        <v>0</v>
      </c>
      <c r="AR101" s="26" t="n">
        <f aca="false">IF(ISNUMBER(AR100),ROUND(AR100-AR136,1),"n/a")</f>
        <v>0</v>
      </c>
      <c r="AS101" s="26" t="n">
        <f aca="false">IF(ISNUMBER(AS100),ROUND(AS100-AS136,1),"n/a")</f>
        <v>0</v>
      </c>
      <c r="AT101" s="26" t="n">
        <f aca="false">IF(ISNUMBER(AT100),ROUND(AT100-AT136,1),"n/a")</f>
        <v>0</v>
      </c>
      <c r="AU101" s="26" t="n">
        <f aca="false">IF(ISNUMBER(AU100),ROUND(AU100-AU136,1),"n/a")</f>
        <v>0</v>
      </c>
      <c r="AV101" s="26" t="n">
        <f aca="false">IF(ISNUMBER(AV100),ROUND(AV100-AV136,1),"n/a")</f>
        <v>0</v>
      </c>
      <c r="AW101" s="27" t="n">
        <f aca="false">IF(ISNUMBER(AW100),ROUND(AW100-AW136,1),"n/a")</f>
        <v>0</v>
      </c>
      <c r="AX101" s="27" t="n">
        <f aca="false">IF(ISNUMBER(AX100),ROUND(AX100-AX136,1),"n/a")</f>
        <v>0</v>
      </c>
      <c r="AY101" s="27" t="n">
        <f aca="false">IF(ISNUMBER(AY100),ROUND(AY100-AY136,1),"n/a")</f>
        <v>0</v>
      </c>
      <c r="AZ101" s="27" t="n">
        <f aca="false">IF(ISNUMBER(AZ100),ROUND(AZ100-AZ136,1),"n/a")</f>
        <v>0</v>
      </c>
      <c r="BA101" s="27" t="n">
        <f aca="false">IF(ISNUMBER(BA100),ROUND(BA100-BA136,1),"n/a")</f>
        <v>0</v>
      </c>
      <c r="BB101" s="27" t="n">
        <f aca="false">IF(ISNUMBER(BB100),ROUND(BB100-BB136,1),"n/a")</f>
        <v>0</v>
      </c>
    </row>
    <row r="102" customFormat="false" ht="15" hidden="false" customHeight="true" outlineLevel="0" collapsed="false"/>
    <row r="103" customFormat="false" ht="15" hidden="false" customHeight="true" outlineLevel="0" collapsed="false">
      <c r="B103" s="12" t="s">
        <v>202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3" t="s">
        <v>203</v>
      </c>
    </row>
    <row r="104" customFormat="false" ht="15" hidden="false" customHeight="true" outlineLevel="0" collapsed="false">
      <c r="B104" s="20" t="s">
        <v>204</v>
      </c>
      <c r="AA104" s="42" t="n">
        <v>-26.146</v>
      </c>
      <c r="AB104" s="26" t="n">
        <f aca="false">AC104-AA104</f>
        <v>-30.859</v>
      </c>
      <c r="AC104" s="42" t="n">
        <v>-57.005</v>
      </c>
      <c r="AD104" s="42" t="n">
        <v>-34.126</v>
      </c>
      <c r="AE104" s="26" t="n">
        <f aca="false">AF104-AD104</f>
        <v>-35.326</v>
      </c>
      <c r="AF104" s="42" t="n">
        <v>-69.452</v>
      </c>
      <c r="AG104" s="42" t="n">
        <v>-39.138</v>
      </c>
      <c r="AH104" s="26" t="n">
        <f aca="false">AI104-AG104</f>
        <v>-42.182</v>
      </c>
      <c r="AI104" s="42" t="n">
        <v>-81.32</v>
      </c>
      <c r="AJ104" s="42" t="n">
        <v>-43.619</v>
      </c>
      <c r="AK104" s="26" t="n">
        <f aca="false">AL104-AJ104</f>
        <v>-47.383</v>
      </c>
      <c r="AL104" s="42" t="n">
        <v>-91.002</v>
      </c>
      <c r="AM104" s="42" t="n">
        <v>-44.386</v>
      </c>
      <c r="AN104" s="26" t="n">
        <f aca="false">AO104-AM104</f>
        <v>-47.04</v>
      </c>
      <c r="AO104" s="42" t="n">
        <v>-91.426</v>
      </c>
      <c r="AP104" s="42" t="n">
        <v>-49.843</v>
      </c>
      <c r="AQ104" s="26" t="n">
        <f aca="false">AR104-AP104</f>
        <v>-54.142</v>
      </c>
      <c r="AR104" s="42" t="n">
        <v>-103.985</v>
      </c>
      <c r="AS104" s="42" t="n">
        <v>-60.635</v>
      </c>
      <c r="AT104" s="26" t="n">
        <f aca="false">AU104-AS104</f>
        <v>-64.336</v>
      </c>
      <c r="AU104" s="42" t="n">
        <v>-124.971</v>
      </c>
      <c r="AV104" s="42" t="n">
        <v>-67.449</v>
      </c>
      <c r="AW104" s="27" t="n">
        <f aca="false">-AW105*AV262</f>
        <v>-69.8706387490472</v>
      </c>
      <c r="AX104" s="27" t="n">
        <f aca="false">AV104+AW104</f>
        <v>-137.319638749047</v>
      </c>
      <c r="AY104" s="27" t="n">
        <f aca="false">-AY105*AX262</f>
        <v>-155.391037351445</v>
      </c>
      <c r="AZ104" s="27" t="n">
        <f aca="false">-AZ105*AY262</f>
        <v>-163.304823223061</v>
      </c>
      <c r="BA104" s="27" t="n">
        <f aca="false">-BA105*AZ262</f>
        <v>-171.015849208294</v>
      </c>
      <c r="BB104" s="27" t="n">
        <f aca="false">-BB105*BA262</f>
        <v>-180.325945903532</v>
      </c>
      <c r="BC104" s="18" t="s">
        <v>205</v>
      </c>
    </row>
    <row r="105" customFormat="false" ht="15" hidden="false" customHeight="true" outlineLevel="0" collapsed="false">
      <c r="B105" s="31" t="s">
        <v>206</v>
      </c>
      <c r="AD105" s="32" t="n">
        <f aca="false">IFERROR(-AD104/AC262,"")</f>
        <v>0.0787000629582054</v>
      </c>
      <c r="AF105" s="32" t="n">
        <f aca="false">IFERROR(-AF104/AD262,"")</f>
        <v>0.150456990470249</v>
      </c>
      <c r="AG105" s="32" t="n">
        <f aca="false">IFERROR(-AG104/AF262,"")</f>
        <v>0.083237451536271</v>
      </c>
      <c r="AI105" s="32" t="n">
        <f aca="false">IFERROR(-AI104/AG262,"")</f>
        <v>0.162555796097621</v>
      </c>
      <c r="AJ105" s="32" t="n">
        <f aca="false">IFERROR(-AJ104/AI262,"")</f>
        <v>0.086379730992855</v>
      </c>
      <c r="AL105" s="32" t="n">
        <f aca="false">IFERROR(-AL104/AJ262,"")</f>
        <v>0.160541241432843</v>
      </c>
      <c r="AM105" s="32" t="n">
        <f aca="false">IFERROR(-AM104/AL262,"")</f>
        <v>0.085346859821638</v>
      </c>
      <c r="AO105" s="32" t="n">
        <f aca="false">IFERROR(-AO104/AM262,"")</f>
        <v>0.184718767868075</v>
      </c>
      <c r="AP105" s="32" t="n">
        <f aca="false">IFERROR(-AP104/AO262,"")</f>
        <v>0.0994768995571309</v>
      </c>
      <c r="AR105" s="32" t="n">
        <f aca="false">IFERROR(-AR104/AP262,"")</f>
        <v>0.178520537973706</v>
      </c>
      <c r="AS105" s="32" t="n">
        <f aca="false">IFERROR(-AS104/AR262,"")</f>
        <v>0.0991349500769242</v>
      </c>
      <c r="AU105" s="32" t="n">
        <f aca="false">IFERROR(-AU104/AS262,"")</f>
        <v>0.171540932301104</v>
      </c>
      <c r="AV105" s="32" t="n">
        <f aca="false">IFERROR(-AV104/AU262,"")</f>
        <v>0.0941649006123253</v>
      </c>
      <c r="AW105" s="33" t="n">
        <f aca="false">AV105</f>
        <v>0.0941649006123253</v>
      </c>
      <c r="AY105" s="43" t="n">
        <v>0.205</v>
      </c>
      <c r="AZ105" s="43" t="n">
        <v>0.205</v>
      </c>
      <c r="BA105" s="43" t="n">
        <v>0.205</v>
      </c>
      <c r="BB105" s="43" t="n">
        <v>0.205</v>
      </c>
      <c r="BC105" s="18" t="s">
        <v>207</v>
      </c>
    </row>
    <row r="106" customFormat="false" ht="15" hidden="false" customHeight="true" outlineLevel="0" collapsed="false">
      <c r="B106" s="20" t="s">
        <v>208</v>
      </c>
      <c r="C106" s="26" t="n">
        <f aca="false">C118-N(C104)</f>
        <v>-2.389</v>
      </c>
      <c r="D106" s="26" t="n">
        <f aca="false">D118-N(D104)</f>
        <v>-2.864</v>
      </c>
      <c r="E106" s="26" t="n">
        <f aca="false">E118-N(E104)</f>
        <v>-5.253</v>
      </c>
      <c r="F106" s="26" t="n">
        <f aca="false">F118-N(F104)</f>
        <v>-2.963</v>
      </c>
      <c r="G106" s="26" t="n">
        <f aca="false">G118-N(G104)</f>
        <v>-4.162</v>
      </c>
      <c r="H106" s="26" t="n">
        <f aca="false">H118-N(H104)</f>
        <v>-7.125</v>
      </c>
      <c r="I106" s="26" t="n">
        <f aca="false">I118-N(I104)</f>
        <v>-5.325</v>
      </c>
      <c r="J106" s="26" t="n">
        <f aca="false">J118-N(J104)</f>
        <v>-5.9</v>
      </c>
      <c r="K106" s="26" t="n">
        <f aca="false">K118-N(K104)</f>
        <v>-11.225</v>
      </c>
      <c r="L106" s="26" t="n">
        <f aca="false">L118-N(L104)</f>
        <v>-6.322</v>
      </c>
      <c r="M106" s="26" t="n">
        <f aca="false">M118-N(M104)</f>
        <v>-7.39</v>
      </c>
      <c r="N106" s="26" t="n">
        <f aca="false">N118-N(N104)</f>
        <v>-13.712</v>
      </c>
      <c r="O106" s="26" t="n">
        <f aca="false">O118-N(O104)</f>
        <v>-8.532</v>
      </c>
      <c r="P106" s="26" t="n">
        <f aca="false">P118-N(P104)</f>
        <v>-9.617</v>
      </c>
      <c r="Q106" s="26" t="n">
        <f aca="false">Q118-N(Q104)</f>
        <v>-18.149</v>
      </c>
      <c r="R106" s="26" t="n">
        <f aca="false">R118-N(R104)</f>
        <v>-9.558</v>
      </c>
      <c r="S106" s="26" t="n">
        <f aca="false">S118-N(S104)</f>
        <v>-10.489</v>
      </c>
      <c r="T106" s="26" t="n">
        <f aca="false">T118-N(T104)</f>
        <v>-20.047</v>
      </c>
      <c r="U106" s="26" t="n">
        <f aca="false">U118-N(U104)</f>
        <v>-10.567</v>
      </c>
      <c r="V106" s="26" t="n">
        <f aca="false">V118-N(V104)</f>
        <v>-12.188</v>
      </c>
      <c r="W106" s="26" t="n">
        <f aca="false">W118-N(W104)</f>
        <v>-22.755</v>
      </c>
      <c r="X106" s="26" t="n">
        <f aca="false">X118-N(X104)</f>
        <v>-11.793</v>
      </c>
      <c r="Y106" s="26" t="n">
        <f aca="false">Y118-N(Y104)</f>
        <v>-13.812</v>
      </c>
      <c r="Z106" s="26" t="n">
        <f aca="false">Z118-N(Z104)</f>
        <v>-25.605</v>
      </c>
      <c r="AA106" s="26" t="n">
        <f aca="false">AA118-N(AA104)</f>
        <v>-13.938</v>
      </c>
      <c r="AB106" s="26" t="n">
        <f aca="false">AB118-N(AB104)</f>
        <v>-15.307</v>
      </c>
      <c r="AC106" s="26" t="n">
        <f aca="false">AC118-N(AC104)</f>
        <v>-29.245</v>
      </c>
      <c r="AD106" s="26" t="n">
        <f aca="false">AD118-N(AD104)</f>
        <v>-15.725</v>
      </c>
      <c r="AE106" s="26" t="n">
        <f aca="false">AE118-N(AE104)</f>
        <v>-19.107</v>
      </c>
      <c r="AF106" s="26" t="n">
        <f aca="false">AF118-N(AF104)</f>
        <v>-34.832</v>
      </c>
      <c r="AG106" s="26" t="n">
        <f aca="false">AG118-N(AG104)</f>
        <v>-16.123</v>
      </c>
      <c r="AH106" s="26" t="n">
        <f aca="false">AH118-N(AH104)</f>
        <v>-18.832</v>
      </c>
      <c r="AI106" s="26" t="n">
        <f aca="false">AI118-N(AI104)</f>
        <v>-34.955</v>
      </c>
      <c r="AJ106" s="26" t="n">
        <f aca="false">AJ118-N(AJ104)</f>
        <v>-18.579</v>
      </c>
      <c r="AK106" s="26" t="n">
        <f aca="false">AK118-N(AK104)</f>
        <v>-22.364</v>
      </c>
      <c r="AL106" s="26" t="n">
        <f aca="false">AL118-N(AL104)</f>
        <v>-40.943</v>
      </c>
      <c r="AM106" s="26" t="n">
        <f aca="false">AM118-N(AM104)</f>
        <v>-22.729</v>
      </c>
      <c r="AN106" s="26" t="n">
        <f aca="false">AN118-N(AN104)</f>
        <v>-24.69</v>
      </c>
      <c r="AO106" s="26" t="n">
        <f aca="false">AO118-N(AO104)</f>
        <v>-47.419</v>
      </c>
      <c r="AP106" s="26" t="n">
        <f aca="false">AP118-N(AP104)</f>
        <v>-23.324</v>
      </c>
      <c r="AQ106" s="26" t="n">
        <f aca="false">AQ118-N(AQ104)</f>
        <v>-25.695</v>
      </c>
      <c r="AR106" s="26" t="n">
        <f aca="false">AR118-N(AR104)</f>
        <v>-49.019</v>
      </c>
      <c r="AS106" s="26" t="n">
        <f aca="false">AS118-N(AS104)</f>
        <v>-26.143</v>
      </c>
      <c r="AT106" s="26" t="n">
        <f aca="false">AT118-N(AT104)</f>
        <v>-29.498</v>
      </c>
      <c r="AU106" s="26" t="n">
        <f aca="false">AU118-N(AU104)</f>
        <v>-55.641</v>
      </c>
      <c r="AV106" s="26" t="n">
        <f aca="false">AV118-N(AV104)</f>
        <v>-30.894</v>
      </c>
      <c r="AW106" s="27" t="n">
        <f aca="false">-AW111*AV107</f>
        <v>-32.1822575924293</v>
      </c>
      <c r="AX106" s="27" t="n">
        <f aca="false">AX118-N(AX104)</f>
        <v>-63.0762575924293</v>
      </c>
      <c r="AY106" s="27" t="n">
        <f aca="false">-AY111*AY107</f>
        <v>-69.1633887454994</v>
      </c>
      <c r="AZ106" s="27" t="n">
        <f aca="false">-AZ111*AZ107</f>
        <v>-74.8882086290183</v>
      </c>
      <c r="BA106" s="27" t="n">
        <f aca="false">-BA111*BA107</f>
        <v>-78.7021654686271</v>
      </c>
      <c r="BB106" s="27" t="n">
        <f aca="false">-BB111*BB107</f>
        <v>-84.3415277524305</v>
      </c>
    </row>
    <row r="107" customFormat="false" ht="15" hidden="false" customHeight="true" outlineLevel="0" collapsed="false">
      <c r="B107" s="31" t="s">
        <v>209</v>
      </c>
      <c r="C107" s="32" t="n">
        <f aca="false">IFERROR(-C106/C111,"")</f>
        <v>0.0205140094627201</v>
      </c>
      <c r="D107" s="32" t="n">
        <f aca="false">IFERROR(-D106/D111,"")</f>
        <v>0.0226980931699662</v>
      </c>
      <c r="E107" s="32" t="n">
        <f aca="false">IFERROR(-E106/E111,"")</f>
        <v>0.021649803202341</v>
      </c>
      <c r="F107" s="32" t="n">
        <f aca="false">IFERROR(-F106/F111,"")</f>
        <v>0.021915194189478</v>
      </c>
      <c r="G107" s="32" t="n">
        <f aca="false">IFERROR(-G106/G111,"")</f>
        <v>0.0288791129491111</v>
      </c>
      <c r="H107" s="32" t="n">
        <f aca="false">IFERROR(-H106/H111,"")</f>
        <v>0.0255082861653796</v>
      </c>
      <c r="I107" s="32" t="n">
        <f aca="false">IFERROR(-I106/I111,"")</f>
        <v>0.0337936461598995</v>
      </c>
      <c r="J107" s="32" t="n">
        <f aca="false">IFERROR(-J106/J111,"")</f>
        <v>0.0357779583520309</v>
      </c>
      <c r="K107" s="32" t="n">
        <f aca="false">IFERROR(-K106/K111,"")</f>
        <v>0.034808360208385</v>
      </c>
      <c r="L107" s="32" t="n">
        <f aca="false">IFERROR(-L106/L111,"")</f>
        <v>0.0359590696827844</v>
      </c>
      <c r="M107" s="32" t="n">
        <f aca="false">IFERROR(-M106/M111,"")</f>
        <v>0.0410332152494753</v>
      </c>
      <c r="N107" s="32" t="n">
        <f aca="false">IFERROR(-N106/N111,"")</f>
        <v>0.0385267020502432</v>
      </c>
      <c r="O107" s="32" t="n">
        <f aca="false">IFERROR(-O106/O111,"")</f>
        <v>0.0425893017590799</v>
      </c>
      <c r="P107" s="32" t="n">
        <f aca="false">IFERROR(-P106/P111,"")</f>
        <v>0.0449772938794027</v>
      </c>
      <c r="Q107" s="32" t="n">
        <f aca="false">IFERROR(-Q106/Q111,"")</f>
        <v>0.0438221807987908</v>
      </c>
      <c r="R107" s="32" t="n">
        <f aca="false">IFERROR(-R106/R111,"")</f>
        <v>0.0434770742358079</v>
      </c>
      <c r="S107" s="32" t="n">
        <f aca="false">IFERROR(-S106/S111,"")</f>
        <v>0.0444202582464818</v>
      </c>
      <c r="T107" s="32" t="n">
        <f aca="false">IFERROR(-T106/T111,"")</f>
        <v>0.043965515350757</v>
      </c>
      <c r="U107" s="32" t="n">
        <f aca="false">IFERROR(-U106/U111,"")</f>
        <v>0.0434271576931454</v>
      </c>
      <c r="V107" s="32" t="n">
        <f aca="false">IFERROR(-V106/V111,"")</f>
        <v>0.0468329721338436</v>
      </c>
      <c r="W107" s="32" t="n">
        <f aca="false">IFERROR(-W106/W111,"")</f>
        <v>0.0451872724998064</v>
      </c>
      <c r="X107" s="32" t="n">
        <f aca="false">IFERROR(-X106/X111,"")</f>
        <v>0.0437610859191201</v>
      </c>
      <c r="Y107" s="32" t="n">
        <f aca="false">IFERROR(-Y106/Y111,"")</f>
        <v>0.048717858276604</v>
      </c>
      <c r="Z107" s="32" t="n">
        <f aca="false">IFERROR(-Z106/Z111,"")</f>
        <v>0.0463023240674435</v>
      </c>
      <c r="AA107" s="32" t="n">
        <f aca="false">IFERROR(-AA106/AA111,"")</f>
        <v>0.0478290261587507</v>
      </c>
      <c r="AB107" s="32" t="n">
        <f aca="false">IFERROR(-AB106/AB111,"")</f>
        <v>0.0483865869232617</v>
      </c>
      <c r="AC107" s="32" t="n">
        <f aca="false">IFERROR(-AC106/AC111,"")</f>
        <v>0.0481192442423913</v>
      </c>
      <c r="AD107" s="32" t="n">
        <f aca="false">IFERROR(-AD106/AD111,"")</f>
        <v>0.0766538463413326</v>
      </c>
      <c r="AE107" s="32" t="n">
        <f aca="false">IFERROR(-AE106/AE111,"")</f>
        <v>0.0563844542154809</v>
      </c>
      <c r="AF107" s="32" t="n">
        <f aca="false">IFERROR(-AF106/AF111,"")</f>
        <v>0.0640278816866509</v>
      </c>
      <c r="AG107" s="32" t="n">
        <f aca="false">IFERROR(-AG106/AG111,"")</f>
        <v>0.0513857548985862</v>
      </c>
      <c r="AH107" s="32" t="n">
        <f aca="false">IFERROR(-AH106/AH111,"")</f>
        <v>0.0472672966630273</v>
      </c>
      <c r="AI107" s="32" t="n">
        <f aca="false">IFERROR(-AI106/AI111,"")</f>
        <v>0.0490817617480999</v>
      </c>
      <c r="AJ107" s="32" t="n">
        <f aca="false">IFERROR(-AJ106/AJ111,"")</f>
        <v>0.0447301959519161</v>
      </c>
      <c r="AK107" s="32" t="n">
        <f aca="false">IFERROR(-AK106/AK111,"")</f>
        <v>0.0443421347434624</v>
      </c>
      <c r="AL107" s="32" t="n">
        <f aca="false">IFERROR(-AL106/AL111,"")</f>
        <v>0.0445173903021394</v>
      </c>
      <c r="AM107" s="32" t="n">
        <f aca="false">IFERROR(-AM106/AM111,"")</f>
        <v>0.0417857050935578</v>
      </c>
      <c r="AN107" s="32" t="n">
        <f aca="false">IFERROR(-AN106/AN111,"")</f>
        <v>0.0414624889584502</v>
      </c>
      <c r="AO107" s="32" t="n">
        <f aca="false">IFERROR(-AO106/AO111,"")</f>
        <v>0.0416167874883713</v>
      </c>
      <c r="AP107" s="32" t="n">
        <f aca="false">IFERROR(-AP106/AP111,"")</f>
        <v>0.0375792299190219</v>
      </c>
      <c r="AQ107" s="32" t="n">
        <f aca="false">IFERROR(-AQ106/AQ111,"")</f>
        <v>0.0390573936200937</v>
      </c>
      <c r="AR107" s="32" t="n">
        <f aca="false">IFERROR(-AR106/AR111,"")</f>
        <v>0.0383398251130195</v>
      </c>
      <c r="AS107" s="32" t="n">
        <f aca="false">IFERROR(-AS106/AS111,"")</f>
        <v>0.0382132181513883</v>
      </c>
      <c r="AT107" s="32" t="n">
        <f aca="false">IFERROR(-AT106/AT111,"")</f>
        <v>0.0407534511533318</v>
      </c>
      <c r="AU107" s="32" t="n">
        <f aca="false">IFERROR(-AU106/AU111,"")</f>
        <v>0.0395191309924848</v>
      </c>
      <c r="AV107" s="32" t="n">
        <f aca="false">IFERROR(-AV106/AV111,"")</f>
        <v>0.0412243748757358</v>
      </c>
      <c r="AW107" s="33" t="n">
        <f aca="false">IFERROR(-AW106/AW111,"")</f>
        <v>0.0412243748757358</v>
      </c>
      <c r="AX107" s="33" t="n">
        <f aca="false">IFERROR(-AX106/AX111,"")</f>
        <v>0.0412243748757358</v>
      </c>
      <c r="AY107" s="43" t="n">
        <v>0.041</v>
      </c>
      <c r="AZ107" s="43" t="n">
        <v>0.041</v>
      </c>
      <c r="BA107" s="43" t="n">
        <v>0.04</v>
      </c>
      <c r="BB107" s="43" t="n">
        <v>0.04</v>
      </c>
      <c r="BC107" s="18" t="s">
        <v>210</v>
      </c>
    </row>
    <row r="108" customFormat="false" ht="15" hidden="false" customHeight="true" outlineLevel="0" collapsed="false">
      <c r="B108" s="31" t="s">
        <v>211</v>
      </c>
      <c r="C108" s="32" t="n">
        <f aca="false">IF(AND(ISNUMBER(C118),ISNUMBER(C111)),IFERROR(-C118/C111,""),"")</f>
        <v>0.0205140094627201</v>
      </c>
      <c r="D108" s="32" t="n">
        <f aca="false">IF(AND(ISNUMBER(D118),ISNUMBER(D111)),IFERROR(-D118/D111,""),"")</f>
        <v>0.0226980931699662</v>
      </c>
      <c r="E108" s="32" t="n">
        <f aca="false">IF(AND(ISNUMBER(E118),ISNUMBER(E111)),IFERROR(-E118/E111,""),"")</f>
        <v>0.021649803202341</v>
      </c>
      <c r="F108" s="32" t="n">
        <f aca="false">IF(AND(ISNUMBER(F118),ISNUMBER(F111)),IFERROR(-F118/F111,""),"")</f>
        <v>0.021915194189478</v>
      </c>
      <c r="G108" s="32" t="n">
        <f aca="false">IF(AND(ISNUMBER(G118),ISNUMBER(G111)),IFERROR(-G118/G111,""),"")</f>
        <v>0.0288791129491111</v>
      </c>
      <c r="H108" s="32" t="n">
        <f aca="false">IF(AND(ISNUMBER(H118),ISNUMBER(H111)),IFERROR(-H118/H111,""),"")</f>
        <v>0.0255082861653796</v>
      </c>
      <c r="I108" s="32" t="n">
        <f aca="false">IF(AND(ISNUMBER(I118),ISNUMBER(I111)),IFERROR(-I118/I111,""),"")</f>
        <v>0.0337936461598995</v>
      </c>
      <c r="J108" s="32" t="n">
        <f aca="false">IF(AND(ISNUMBER(J118),ISNUMBER(J111)),IFERROR(-J118/J111,""),"")</f>
        <v>0.0357779583520309</v>
      </c>
      <c r="K108" s="32" t="n">
        <f aca="false">IF(AND(ISNUMBER(K118),ISNUMBER(K111)),IFERROR(-K118/K111,""),"")</f>
        <v>0.034808360208385</v>
      </c>
      <c r="L108" s="32" t="n">
        <f aca="false">IF(AND(ISNUMBER(L118),ISNUMBER(L111)),IFERROR(-L118/L111,""),"")</f>
        <v>0.0359590696827844</v>
      </c>
      <c r="M108" s="32" t="n">
        <f aca="false">IF(AND(ISNUMBER(M118),ISNUMBER(M111)),IFERROR(-M118/M111,""),"")</f>
        <v>0.0410332152494753</v>
      </c>
      <c r="N108" s="32" t="n">
        <f aca="false">IF(AND(ISNUMBER(N118),ISNUMBER(N111)),IFERROR(-N118/N111,""),"")</f>
        <v>0.0385267020502432</v>
      </c>
      <c r="O108" s="32" t="n">
        <f aca="false">IF(AND(ISNUMBER(O118),ISNUMBER(O111)),IFERROR(-O118/O111,""),"")</f>
        <v>0.0425893017590799</v>
      </c>
      <c r="P108" s="32" t="n">
        <f aca="false">IF(AND(ISNUMBER(P118),ISNUMBER(P111)),IFERROR(-P118/P111,""),"")</f>
        <v>0.0449772938794027</v>
      </c>
      <c r="Q108" s="32" t="n">
        <f aca="false">IF(AND(ISNUMBER(Q118),ISNUMBER(Q111)),IFERROR(-Q118/Q111,""),"")</f>
        <v>0.0438221807987908</v>
      </c>
      <c r="R108" s="32" t="n">
        <f aca="false">IF(AND(ISNUMBER(R118),ISNUMBER(R111)),IFERROR(-R118/R111,""),"")</f>
        <v>0.0434770742358079</v>
      </c>
      <c r="S108" s="32" t="n">
        <f aca="false">IF(AND(ISNUMBER(S118),ISNUMBER(S111)),IFERROR(-S118/S111,""),"")</f>
        <v>0.0444202582464818</v>
      </c>
      <c r="T108" s="32" t="n">
        <f aca="false">IF(AND(ISNUMBER(T118),ISNUMBER(T111)),IFERROR(-T118/T111,""),"")</f>
        <v>0.043965515350757</v>
      </c>
      <c r="U108" s="32" t="n">
        <f aca="false">IF(AND(ISNUMBER(U118),ISNUMBER(U111)),IFERROR(-U118/U111,""),"")</f>
        <v>0.0434271576931454</v>
      </c>
      <c r="V108" s="32" t="n">
        <f aca="false">IF(AND(ISNUMBER(V118),ISNUMBER(V111)),IFERROR(-V118/V111,""),"")</f>
        <v>0.0468329721338436</v>
      </c>
      <c r="W108" s="32" t="n">
        <f aca="false">IF(AND(ISNUMBER(W118),ISNUMBER(W111)),IFERROR(-W118/W111,""),"")</f>
        <v>0.0451872724998064</v>
      </c>
      <c r="X108" s="32" t="n">
        <f aca="false">IF(AND(ISNUMBER(X118),ISNUMBER(X111)),IFERROR(-X118/X111,""),"")</f>
        <v>0.0437610859191201</v>
      </c>
      <c r="Y108" s="32" t="n">
        <f aca="false">IF(AND(ISNUMBER(Y118),ISNUMBER(Y111)),IFERROR(-Y118/Y111,""),"")</f>
        <v>0.048717858276604</v>
      </c>
      <c r="Z108" s="32" t="n">
        <f aca="false">IF(AND(ISNUMBER(Z118),ISNUMBER(Z111)),IFERROR(-Z118/Z111,""),"")</f>
        <v>0.0463023240674435</v>
      </c>
      <c r="AA108" s="32" t="n">
        <f aca="false">IF(AND(ISNUMBER(AA118),ISNUMBER(AA111)),IFERROR(-AA118/AA111,""),"")</f>
        <v>0.137550486766205</v>
      </c>
      <c r="AB108" s="32" t="n">
        <f aca="false">IF(AND(ISNUMBER(AB118),ISNUMBER(AB111)),IFERROR(-AB118/AB111,""),"")</f>
        <v>0.145934224335226</v>
      </c>
      <c r="AC108" s="32" t="n">
        <f aca="false">IF(AND(ISNUMBER(AC118),ISNUMBER(AC111)),IFERROR(-AC118/AC111,""),"")</f>
        <v>0.141914338037485</v>
      </c>
      <c r="AD108" s="32" t="n">
        <f aca="false">IF(AND(ISNUMBER(AD118),ISNUMBER(AD111)),IFERROR(-AD118/AD111,""),"")</f>
        <v>0.243006098185168</v>
      </c>
      <c r="AE108" s="32" t="n">
        <f aca="false">IF(AND(ISNUMBER(AE118),ISNUMBER(AE111)),IFERROR(-AE118/AE111,""),"")</f>
        <v>0.160630920411957</v>
      </c>
      <c r="AF108" s="32" t="n">
        <f aca="false">IF(AND(ISNUMBER(AF118),ISNUMBER(AF111)),IFERROR(-AF118/AF111,""),"")</f>
        <v>0.191693948490202</v>
      </c>
      <c r="AG108" s="32" t="n">
        <f aca="false">IF(AND(ISNUMBER(AG118),ISNUMBER(AG111)),IFERROR(-AG118/AG111,""),"")</f>
        <v>0.176122818424038</v>
      </c>
      <c r="AH108" s="32" t="n">
        <f aca="false">IF(AND(ISNUMBER(AH118),ISNUMBER(AH111)),IFERROR(-AH118/AH111,""),"")</f>
        <v>0.1531418244795</v>
      </c>
      <c r="AI108" s="32" t="n">
        <f aca="false">IF(AND(ISNUMBER(AI118),ISNUMBER(AI111)),IFERROR(-AI118/AI111,""),"")</f>
        <v>0.163266538328145</v>
      </c>
      <c r="AJ108" s="32" t="n">
        <f aca="false">IF(AND(ISNUMBER(AJ118),ISNUMBER(AJ111)),IFERROR(-AJ118/AJ111,""),"")</f>
        <v>0.149745881253957</v>
      </c>
      <c r="AK108" s="32" t="n">
        <f aca="false">IF(AND(ISNUMBER(AK118),ISNUMBER(AK111)),IFERROR(-AK118/AK111,""),"")</f>
        <v>0.13829059524022</v>
      </c>
      <c r="AL108" s="32" t="n">
        <f aca="false">IF(AND(ISNUMBER(AL118),ISNUMBER(AL111)),IFERROR(-AL118/AL111,""),"")</f>
        <v>0.143464012490921</v>
      </c>
      <c r="AM108" s="32" t="n">
        <f aca="false">IF(AND(ISNUMBER(AM118),ISNUMBER(AM111)),IFERROR(-AM118/AM111,""),"")</f>
        <v>0.123386316923496</v>
      </c>
      <c r="AN108" s="32" t="n">
        <f aca="false">IF(AND(ISNUMBER(AN118),ISNUMBER(AN111)),IFERROR(-AN118/AN111,""),"")</f>
        <v>0.120457850667867</v>
      </c>
      <c r="AO108" s="32" t="n">
        <f aca="false">IF(AND(ISNUMBER(AO118),ISNUMBER(AO111)),IFERROR(-AO118/AO111,""),"")</f>
        <v>0.121855856488389</v>
      </c>
      <c r="AP108" s="32" t="n">
        <f aca="false">IF(AND(ISNUMBER(AP118),ISNUMBER(AP111)),IFERROR(-AP118/AP111,""),"")</f>
        <v>0.117885419117007</v>
      </c>
      <c r="AQ108" s="32" t="n">
        <f aca="false">IF(AND(ISNUMBER(AQ118),ISNUMBER(AQ111)),IFERROR(-AQ118/AQ111,""),"")</f>
        <v>0.121355327279526</v>
      </c>
      <c r="AR108" s="32" t="n">
        <f aca="false">IF(AND(ISNUMBER(AR118),ISNUMBER(AR111)),IFERROR(-AR118/AR111,""),"")</f>
        <v>0.119670874591331</v>
      </c>
      <c r="AS108" s="32" t="n">
        <f aca="false">IF(AND(ISNUMBER(AS118),ISNUMBER(AS111)),IFERROR(-AS118/AS111,""),"")</f>
        <v>0.126843386173782</v>
      </c>
      <c r="AT108" s="32" t="n">
        <f aca="false">IF(AND(ISNUMBER(AT118),ISNUMBER(AT111)),IFERROR(-AT118/AT111,""),"")</f>
        <v>0.129637919029146</v>
      </c>
      <c r="AU108" s="32" t="n">
        <f aca="false">IF(AND(ISNUMBER(AU118),ISNUMBER(AU111)),IFERROR(-AU118/AU111,""),"")</f>
        <v>0.128280032472721</v>
      </c>
      <c r="AV108" s="32" t="n">
        <f aca="false">IF(AND(ISNUMBER(AV118),ISNUMBER(AV111)),IFERROR(-AV118/AV111,""),"")</f>
        <v>0.131227056982083</v>
      </c>
      <c r="AW108" s="33" t="n">
        <f aca="false">IF(AND(ISNUMBER(AW118),ISNUMBER(AW111)),IFERROR(-AW118/AW111,""),"")</f>
        <v>0.130726281207982</v>
      </c>
      <c r="AX108" s="33" t="n">
        <f aca="false">IF(AND(ISNUMBER(AX118),ISNUMBER(AX111)),IFERROR(-AX118/AX111,""),"")</f>
        <v>0.130971555220037</v>
      </c>
      <c r="AY108" s="33" t="n">
        <f aca="false">IF(AND(ISNUMBER(AY118),ISNUMBER(AY111)),IFERROR(-AY118/AY111,""),"")</f>
        <v>0.133115679219432</v>
      </c>
      <c r="AZ108" s="33" t="n">
        <f aca="false">IF(AND(ISNUMBER(AZ118),ISNUMBER(AZ111)),IFERROR(-AZ118/AZ111,""),"")</f>
        <v>0.130406568466789</v>
      </c>
      <c r="BA108" s="33" t="n">
        <f aca="false">IF(AND(ISNUMBER(BA118),ISNUMBER(BA111)),IFERROR(-BA118/BA111,""),"")</f>
        <v>0.126917989201436</v>
      </c>
      <c r="BB108" s="33" t="n">
        <f aca="false">IF(AND(ISNUMBER(BB118),ISNUMBER(BB111)),IFERROR(-BB118/BB111,""),"")</f>
        <v>0.125521783021454</v>
      </c>
    </row>
    <row r="109" customFormat="false" ht="15" hidden="false" customHeight="true" outlineLevel="0" collapsed="false"/>
    <row r="110" customFormat="false" ht="15" hidden="false" customHeight="true" outlineLevel="0" collapsed="false">
      <c r="B110" s="9" t="s">
        <v>212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 t="s">
        <v>213</v>
      </c>
    </row>
    <row r="111" customFormat="false" ht="15" hidden="false" customHeight="true" outlineLevel="0" collapsed="false">
      <c r="B111" s="46" t="s">
        <v>214</v>
      </c>
      <c r="C111" s="49" t="n">
        <v>116.457</v>
      </c>
      <c r="D111" s="47" t="n">
        <f aca="false">E111-C111</f>
        <v>126.178</v>
      </c>
      <c r="E111" s="49" t="n">
        <v>242.635</v>
      </c>
      <c r="F111" s="49" t="n">
        <v>135.203</v>
      </c>
      <c r="G111" s="47" t="n">
        <f aca="false">H111-F111</f>
        <v>144.118</v>
      </c>
      <c r="H111" s="49" t="n">
        <v>279.321</v>
      </c>
      <c r="I111" s="49" t="n">
        <v>157.574</v>
      </c>
      <c r="J111" s="47" t="n">
        <f aca="false">K111-I111</f>
        <v>164.906</v>
      </c>
      <c r="K111" s="49" t="n">
        <v>322.48</v>
      </c>
      <c r="L111" s="49" t="n">
        <v>175.811</v>
      </c>
      <c r="M111" s="47" t="n">
        <f aca="false">N111-L111</f>
        <v>180.098</v>
      </c>
      <c r="N111" s="49" t="n">
        <v>355.909</v>
      </c>
      <c r="O111" s="49" t="n">
        <v>200.332</v>
      </c>
      <c r="P111" s="47" t="n">
        <f aca="false">Q111-O111</f>
        <v>213.819</v>
      </c>
      <c r="Q111" s="49" t="n">
        <v>414.151</v>
      </c>
      <c r="R111" s="49" t="n">
        <v>219.84</v>
      </c>
      <c r="S111" s="47" t="n">
        <f aca="false">T111-R111</f>
        <v>236.131</v>
      </c>
      <c r="T111" s="49" t="n">
        <v>455.971</v>
      </c>
      <c r="U111" s="49" t="n">
        <v>243.327</v>
      </c>
      <c r="V111" s="47" t="n">
        <f aca="false">W111-U111</f>
        <v>260.244</v>
      </c>
      <c r="W111" s="49" t="n">
        <v>503.571</v>
      </c>
      <c r="X111" s="49" t="n">
        <v>269.486</v>
      </c>
      <c r="Y111" s="47" t="n">
        <f aca="false">Z111-X111</f>
        <v>283.51</v>
      </c>
      <c r="Z111" s="49" t="n">
        <v>552.996</v>
      </c>
      <c r="AA111" s="49" t="n">
        <v>291.413</v>
      </c>
      <c r="AB111" s="47" t="n">
        <f aca="false">AC111-AA111</f>
        <v>316.348</v>
      </c>
      <c r="AC111" s="49" t="n">
        <v>607.761</v>
      </c>
      <c r="AD111" s="49" t="n">
        <v>205.143</v>
      </c>
      <c r="AE111" s="47" t="n">
        <f aca="false">AF111-AD111</f>
        <v>338.87</v>
      </c>
      <c r="AF111" s="49" t="n">
        <v>544.013</v>
      </c>
      <c r="AG111" s="49" t="n">
        <v>313.764</v>
      </c>
      <c r="AH111" s="47" t="n">
        <f aca="false">AI111-AG111</f>
        <v>398.415</v>
      </c>
      <c r="AI111" s="49" t="n">
        <v>712.179</v>
      </c>
      <c r="AJ111" s="49" t="n">
        <v>415.357</v>
      </c>
      <c r="AK111" s="47" t="n">
        <f aca="false">AL111-AJ111</f>
        <v>504.351</v>
      </c>
      <c r="AL111" s="49" t="n">
        <v>919.708</v>
      </c>
      <c r="AM111" s="49" t="n">
        <v>543.942</v>
      </c>
      <c r="AN111" s="47" t="n">
        <f aca="false">AO111-AM111</f>
        <v>595.478</v>
      </c>
      <c r="AO111" s="49" t="n">
        <v>1139.42</v>
      </c>
      <c r="AP111" s="49" t="n">
        <v>620.662</v>
      </c>
      <c r="AQ111" s="47" t="n">
        <f aca="false">AR111-AP111</f>
        <v>657.878</v>
      </c>
      <c r="AR111" s="49" t="n">
        <v>1278.54</v>
      </c>
      <c r="AS111" s="49" t="n">
        <v>684.135</v>
      </c>
      <c r="AT111" s="47" t="n">
        <f aca="false">AU111-AS111</f>
        <v>723.816</v>
      </c>
      <c r="AU111" s="49" t="n">
        <v>1407.951</v>
      </c>
      <c r="AV111" s="49" t="n">
        <v>749.411</v>
      </c>
      <c r="AW111" s="47" t="n">
        <f aca="false">AW62</f>
        <v>780.6609</v>
      </c>
      <c r="AX111" s="47" t="n">
        <f aca="false">AV111+AW111</f>
        <v>1530.0719</v>
      </c>
      <c r="AY111" s="47" t="n">
        <f aca="false">AY62</f>
        <v>1686.91192062194</v>
      </c>
      <c r="AZ111" s="47" t="n">
        <f aca="false">AZ62</f>
        <v>1826.54167387849</v>
      </c>
      <c r="BA111" s="47" t="n">
        <f aca="false">BA62</f>
        <v>1967.55413671568</v>
      </c>
      <c r="BB111" s="47" t="n">
        <f aca="false">BB62</f>
        <v>2108.53819381076</v>
      </c>
      <c r="BC111" s="18" t="s">
        <v>215</v>
      </c>
      <c r="BE111" s="37" t="n">
        <f aca="false">IFERROR(IF(AND(BB111&gt;0,AU111&gt;0),(BB111/AU111)^(1/5)-1,"n/m"),"n/m")</f>
        <v>0.084123569420731</v>
      </c>
      <c r="BF111" s="37" t="n">
        <f aca="false">IFERROR(IF(AND(AU111&gt;0,AF111&gt;0),(AU111/AF111)^(1/5)-1,"n/m"),"n/m")</f>
        <v>0.209471537415018</v>
      </c>
      <c r="BG111" s="37" t="n">
        <f aca="false">IFERROR(IF(AND(AU111&gt;0,Q111&gt;0),(AU111/Q111)^(1/10)-1,"n/m"),"n/m")</f>
        <v>0.130167678009657</v>
      </c>
      <c r="BH111" s="37" t="n">
        <f aca="false">IFERROR(IF(AND(AU111&gt;0,E111&gt;0),(AU111/E111)^(1/14)-1,"n/m"),"n/m")</f>
        <v>0.133823077742208</v>
      </c>
    </row>
    <row r="112" customFormat="false" ht="15" hidden="false" customHeight="true" outlineLevel="0" collapsed="false">
      <c r="B112" s="20" t="s">
        <v>216</v>
      </c>
      <c r="C112" s="42" t="n">
        <v>0.389</v>
      </c>
      <c r="D112" s="26" t="n">
        <f aca="false">E112-C112</f>
        <v>0.424</v>
      </c>
      <c r="E112" s="42" t="n">
        <v>0.813</v>
      </c>
      <c r="F112" s="42" t="n">
        <v>1.516</v>
      </c>
      <c r="G112" s="26" t="n">
        <f aca="false">H112-F112</f>
        <v>0.514</v>
      </c>
      <c r="H112" s="42" t="n">
        <v>2.03</v>
      </c>
      <c r="I112" s="42" t="n">
        <v>1.254</v>
      </c>
      <c r="J112" s="26" t="n">
        <f aca="false">K112-I112</f>
        <v>0.836</v>
      </c>
      <c r="K112" s="42" t="n">
        <v>2.09</v>
      </c>
      <c r="L112" s="42" t="n">
        <v>1.219</v>
      </c>
      <c r="M112" s="26" t="n">
        <f aca="false">N112-L112</f>
        <v>0.255</v>
      </c>
      <c r="N112" s="42" t="n">
        <v>1.474</v>
      </c>
      <c r="O112" s="42" t="n">
        <v>0.316</v>
      </c>
      <c r="P112" s="26" t="n">
        <f aca="false">Q112-O112</f>
        <v>0.47</v>
      </c>
      <c r="Q112" s="42" t="n">
        <v>0.786</v>
      </c>
      <c r="R112" s="42" t="n">
        <v>0.493</v>
      </c>
      <c r="S112" s="26" t="n">
        <f aca="false">T112-R112</f>
        <v>0.565</v>
      </c>
      <c r="T112" s="42" t="n">
        <v>1.058</v>
      </c>
      <c r="U112" s="42" t="n">
        <v>1.176</v>
      </c>
      <c r="V112" s="26" t="n">
        <f aca="false">W112-U112</f>
        <v>0.937</v>
      </c>
      <c r="W112" s="42" t="n">
        <v>2.113</v>
      </c>
      <c r="X112" s="42" t="n">
        <v>0.584</v>
      </c>
      <c r="Y112" s="26" t="n">
        <f aca="false">Z112-X112</f>
        <v>0.864</v>
      </c>
      <c r="Z112" s="42" t="n">
        <v>1.448</v>
      </c>
      <c r="AA112" s="42" t="n">
        <v>0.398</v>
      </c>
      <c r="AB112" s="26" t="n">
        <f aca="false">AC112-AA112</f>
        <v>0.428</v>
      </c>
      <c r="AC112" s="42" t="n">
        <v>0.826</v>
      </c>
      <c r="AD112" s="42" t="n">
        <v>1.347</v>
      </c>
      <c r="AE112" s="26" t="n">
        <f aca="false">AF112-AD112</f>
        <v>1.425</v>
      </c>
      <c r="AF112" s="42" t="n">
        <v>2.772</v>
      </c>
      <c r="AG112" s="42" t="n">
        <v>2.162</v>
      </c>
      <c r="AH112" s="26" t="n">
        <f aca="false">AI112-AG112</f>
        <v>-2.162</v>
      </c>
      <c r="AI112" s="42" t="n">
        <v>0</v>
      </c>
      <c r="AJ112" s="42" t="n">
        <v>0</v>
      </c>
      <c r="AK112" s="26" t="n">
        <f aca="false">AL112-AJ112</f>
        <v>0</v>
      </c>
      <c r="AL112" s="42" t="n">
        <v>0</v>
      </c>
      <c r="AM112" s="42" t="n">
        <v>0.983</v>
      </c>
      <c r="AN112" s="26" t="n">
        <f aca="false">AO112-AM112</f>
        <v>1.386</v>
      </c>
      <c r="AO112" s="42" t="n">
        <v>2.369</v>
      </c>
      <c r="AP112" s="42" t="n">
        <v>1.767</v>
      </c>
      <c r="AQ112" s="26" t="n">
        <f aca="false">AR112-AP112</f>
        <v>1.504</v>
      </c>
      <c r="AR112" s="42" t="n">
        <v>3.271</v>
      </c>
      <c r="AS112" s="42" t="n">
        <v>1.556</v>
      </c>
      <c r="AT112" s="26" t="n">
        <f aca="false">AU112-AS112</f>
        <v>3.848</v>
      </c>
      <c r="AU112" s="42" t="n">
        <v>5.404</v>
      </c>
      <c r="AV112" s="42" t="n">
        <v>1.716</v>
      </c>
      <c r="AW112" s="27" t="n">
        <f aca="false">AW111*AT112/AT111</f>
        <v>4.15020273550184</v>
      </c>
      <c r="AX112" s="27" t="n">
        <f aca="false">AV112+AW112</f>
        <v>5.86620273550184</v>
      </c>
      <c r="AY112" s="27" t="n">
        <f aca="false">AY111*AX112/AX111</f>
        <v>6.4675178488691</v>
      </c>
      <c r="AZ112" s="27" t="n">
        <f aca="false">AZ111*AY112/AY111</f>
        <v>7.00284984242514</v>
      </c>
      <c r="BA112" s="27" t="n">
        <f aca="false">BA111*AZ112/AZ111</f>
        <v>7.54348306053426</v>
      </c>
      <c r="BB112" s="27" t="n">
        <f aca="false">BB111*BA112/BA111</f>
        <v>8.0840073727534</v>
      </c>
    </row>
    <row r="113" customFormat="false" ht="15" hidden="false" customHeight="true" outlineLevel="0" collapsed="false">
      <c r="B113" s="14" t="s">
        <v>217</v>
      </c>
      <c r="C113" s="34" t="n">
        <v>-17.582</v>
      </c>
      <c r="D113" s="35" t="n">
        <f aca="false">E113-C113</f>
        <v>-29.479</v>
      </c>
      <c r="E113" s="34" t="n">
        <v>-47.061</v>
      </c>
      <c r="F113" s="34" t="n">
        <v>-20.787</v>
      </c>
      <c r="G113" s="35" t="n">
        <f aca="false">H113-F113</f>
        <v>-23.674</v>
      </c>
      <c r="H113" s="34" t="n">
        <v>-44.461</v>
      </c>
      <c r="I113" s="34" t="n">
        <v>-27.887</v>
      </c>
      <c r="J113" s="35" t="n">
        <f aca="false">K113-I113</f>
        <v>-26.598</v>
      </c>
      <c r="K113" s="34" t="n">
        <v>-54.485</v>
      </c>
      <c r="L113" s="34" t="n">
        <v>-28.216</v>
      </c>
      <c r="M113" s="35" t="n">
        <f aca="false">N113-L113</f>
        <v>-23.073</v>
      </c>
      <c r="N113" s="34" t="n">
        <v>-51.289</v>
      </c>
      <c r="O113" s="34" t="n">
        <v>-29.193</v>
      </c>
      <c r="P113" s="35" t="n">
        <f aca="false">Q113-O113</f>
        <v>-36.341</v>
      </c>
      <c r="Q113" s="34" t="n">
        <v>-65.534</v>
      </c>
      <c r="R113" s="34" t="n">
        <v>-33.336</v>
      </c>
      <c r="S113" s="35" t="n">
        <f aca="false">T113-R113</f>
        <v>-39.552</v>
      </c>
      <c r="T113" s="34" t="n">
        <v>-72.888</v>
      </c>
      <c r="U113" s="34" t="n">
        <v>-37.919</v>
      </c>
      <c r="V113" s="35" t="n">
        <f aca="false">W113-U113</f>
        <v>-44.982</v>
      </c>
      <c r="W113" s="34" t="n">
        <v>-82.901</v>
      </c>
      <c r="X113" s="34" t="n">
        <v>-41.679</v>
      </c>
      <c r="Y113" s="35" t="n">
        <f aca="false">Z113-X113</f>
        <v>-46.377</v>
      </c>
      <c r="Z113" s="34" t="n">
        <v>-88.056</v>
      </c>
      <c r="AA113" s="34" t="n">
        <v>-39.575</v>
      </c>
      <c r="AB113" s="35" t="n">
        <f aca="false">AC113-AA113</f>
        <v>-32.704</v>
      </c>
      <c r="AC113" s="34" t="n">
        <v>-72.279</v>
      </c>
      <c r="AD113" s="34" t="n">
        <v>-10.657</v>
      </c>
      <c r="AE113" s="35" t="n">
        <f aca="false">AF113-AD113</f>
        <v>-43.068</v>
      </c>
      <c r="AF113" s="34" t="n">
        <v>-53.725</v>
      </c>
      <c r="AG113" s="34" t="n">
        <v>-46.926</v>
      </c>
      <c r="AH113" s="35" t="n">
        <f aca="false">AI113-AG113</f>
        <v>-66.684</v>
      </c>
      <c r="AI113" s="34" t="n">
        <v>-113.61</v>
      </c>
      <c r="AJ113" s="34" t="n">
        <v>-33.575</v>
      </c>
      <c r="AK113" s="35" t="n">
        <f aca="false">AL113-AJ113</f>
        <v>-61.962</v>
      </c>
      <c r="AL113" s="34" t="n">
        <v>-95.537</v>
      </c>
      <c r="AM113" s="34" t="n">
        <v>-54</v>
      </c>
      <c r="AN113" s="35" t="n">
        <f aca="false">AO113-AM113</f>
        <v>-60.343</v>
      </c>
      <c r="AO113" s="34" t="n">
        <v>-114.343</v>
      </c>
      <c r="AP113" s="34" t="n">
        <v>-39.276</v>
      </c>
      <c r="AQ113" s="35" t="n">
        <f aca="false">AR113-AP113</f>
        <v>-62.524</v>
      </c>
      <c r="AR113" s="34" t="n">
        <v>-101.8</v>
      </c>
      <c r="AS113" s="34" t="n">
        <v>-58.384</v>
      </c>
      <c r="AT113" s="35" t="n">
        <f aca="false">AU113-AS113</f>
        <v>-62.715</v>
      </c>
      <c r="AU113" s="34" t="n">
        <v>-121.099</v>
      </c>
      <c r="AV113" s="34" t="n">
        <v>-68.567</v>
      </c>
      <c r="AW113" s="36" t="n">
        <f aca="false">AW80*AW82</f>
        <v>-66.0355197265065</v>
      </c>
      <c r="AX113" s="36" t="n">
        <f aca="false">AV113+AW113</f>
        <v>-134.602519726506</v>
      </c>
      <c r="AY113" s="36" t="n">
        <f aca="false">AY80*AY82</f>
        <v>-148.012599609078</v>
      </c>
      <c r="AZ113" s="36" t="n">
        <f aca="false">AZ80*AZ82</f>
        <v>-159.60171038656</v>
      </c>
      <c r="BA113" s="36" t="n">
        <f aca="false">BA80*BA82</f>
        <v>-171.209888965944</v>
      </c>
      <c r="BB113" s="36" t="n">
        <f aca="false">BB80*BB82</f>
        <v>-183.477843534914</v>
      </c>
    </row>
    <row r="114" customFormat="false" ht="15" hidden="false" customHeight="true" outlineLevel="0" collapsed="false">
      <c r="B114" s="14" t="s">
        <v>218</v>
      </c>
      <c r="C114" s="34" t="n">
        <v>-63.246</v>
      </c>
      <c r="D114" s="35" t="n">
        <f aca="false">E114-C114</f>
        <v>-52.788</v>
      </c>
      <c r="E114" s="34" t="n">
        <v>-116.034</v>
      </c>
      <c r="F114" s="34" t="n">
        <v>-77.822</v>
      </c>
      <c r="G114" s="35" t="n">
        <f aca="false">H114-F114</f>
        <v>-71.134</v>
      </c>
      <c r="H114" s="34" t="n">
        <v>-148.956</v>
      </c>
      <c r="I114" s="34" t="n">
        <v>-77.749</v>
      </c>
      <c r="J114" s="35" t="n">
        <f aca="false">K114-I114</f>
        <v>-78.87</v>
      </c>
      <c r="K114" s="34" t="n">
        <v>-156.619</v>
      </c>
      <c r="L114" s="34" t="n">
        <v>-87.151</v>
      </c>
      <c r="M114" s="35" t="n">
        <f aca="false">N114-L114</f>
        <v>-88.98</v>
      </c>
      <c r="N114" s="34" t="n">
        <v>-176.131</v>
      </c>
      <c r="O114" s="34" t="n">
        <v>-100.217</v>
      </c>
      <c r="P114" s="35" t="n">
        <f aca="false">Q114-O114</f>
        <v>-99.843</v>
      </c>
      <c r="Q114" s="34" t="n">
        <v>-200.06</v>
      </c>
      <c r="R114" s="34" t="n">
        <v>-108.383</v>
      </c>
      <c r="S114" s="35" t="n">
        <f aca="false">T114-R114</f>
        <v>-111.501</v>
      </c>
      <c r="T114" s="34" t="n">
        <v>-219.884</v>
      </c>
      <c r="U114" s="34" t="n">
        <v>-117.88</v>
      </c>
      <c r="V114" s="35" t="n">
        <f aca="false">W114-U114</f>
        <v>-122.448</v>
      </c>
      <c r="W114" s="34" t="n">
        <v>-240.328</v>
      </c>
      <c r="X114" s="34" t="n">
        <v>-132.94</v>
      </c>
      <c r="Y114" s="35" t="n">
        <f aca="false">Z114-X114</f>
        <v>-135.388</v>
      </c>
      <c r="Z114" s="34" t="n">
        <v>-268.328</v>
      </c>
      <c r="AA114" s="34" t="n">
        <v>-116.464</v>
      </c>
      <c r="AB114" s="35" t="n">
        <f aca="false">AC114-AA114</f>
        <v>-131.603</v>
      </c>
      <c r="AC114" s="34" t="n">
        <v>-248.067</v>
      </c>
      <c r="AD114" s="34" t="n">
        <v>-107.154</v>
      </c>
      <c r="AE114" s="35" t="n">
        <f aca="false">AF114-AD114</f>
        <v>-136.142</v>
      </c>
      <c r="AF114" s="34" t="n">
        <v>-243.296</v>
      </c>
      <c r="AG114" s="34" t="n">
        <v>-122.541</v>
      </c>
      <c r="AH114" s="35" t="n">
        <f aca="false">AI114-AG114</f>
        <v>-148.543</v>
      </c>
      <c r="AI114" s="34" t="n">
        <v>-271.084</v>
      </c>
      <c r="AJ114" s="34" t="n">
        <v>-172.185</v>
      </c>
      <c r="AK114" s="35" t="n">
        <f aca="false">AL114-AJ114</f>
        <v>-200.039</v>
      </c>
      <c r="AL114" s="34" t="n">
        <v>-372.224</v>
      </c>
      <c r="AM114" s="34" t="n">
        <v>-227.84</v>
      </c>
      <c r="AN114" s="35" t="n">
        <f aca="false">AO114-AM114</f>
        <v>-247.929</v>
      </c>
      <c r="AO114" s="34" t="n">
        <v>-475.769</v>
      </c>
      <c r="AP114" s="34" t="n">
        <v>-281.505</v>
      </c>
      <c r="AQ114" s="35" t="n">
        <f aca="false">AR114-AP114</f>
        <v>-278.856</v>
      </c>
      <c r="AR114" s="34" t="n">
        <v>-560.361</v>
      </c>
      <c r="AS114" s="34" t="n">
        <v>-291.437</v>
      </c>
      <c r="AT114" s="35" t="n">
        <f aca="false">AU114-AS114</f>
        <v>-304.3</v>
      </c>
      <c r="AU114" s="34" t="n">
        <v>-595.737</v>
      </c>
      <c r="AV114" s="34" t="n">
        <v>-303.241</v>
      </c>
      <c r="AW114" s="36" t="n">
        <f aca="false">AW87+AW81</f>
        <v>-325.329389569655</v>
      </c>
      <c r="AX114" s="36" t="n">
        <f aca="false">AV114+AW114</f>
        <v>-628.570389569655</v>
      </c>
      <c r="AY114" s="36" t="n">
        <f aca="false">AY87+AY81</f>
        <v>-695.443360701889</v>
      </c>
      <c r="AZ114" s="36" t="n">
        <f aca="false">AZ87+AZ81</f>
        <v>-750.01604320493</v>
      </c>
      <c r="BA114" s="36" t="n">
        <f aca="false">BA87+BA81</f>
        <v>-804.696962845032</v>
      </c>
      <c r="BB114" s="36" t="n">
        <f aca="false">BB87+BB81</f>
        <v>-860.248562401413</v>
      </c>
    </row>
    <row r="115" customFormat="false" ht="15" hidden="false" customHeight="true" outlineLevel="0" collapsed="false">
      <c r="B115" s="14" t="s">
        <v>219</v>
      </c>
      <c r="C115" s="34" t="n">
        <v>-17.024</v>
      </c>
      <c r="D115" s="35" t="n">
        <f aca="false">E115-C115</f>
        <v>-20.686</v>
      </c>
      <c r="E115" s="34" t="n">
        <v>-37.71</v>
      </c>
      <c r="F115" s="34" t="n">
        <v>-20.526</v>
      </c>
      <c r="G115" s="35" t="n">
        <f aca="false">H115-F115</f>
        <v>-22.095</v>
      </c>
      <c r="H115" s="34" t="n">
        <v>-42.621</v>
      </c>
      <c r="I115" s="34" t="n">
        <v>-24.577</v>
      </c>
      <c r="J115" s="35" t="n">
        <f aca="false">K115-I115</f>
        <v>-26.535</v>
      </c>
      <c r="K115" s="34" t="n">
        <v>-51.112</v>
      </c>
      <c r="L115" s="34" t="n">
        <v>-29.397</v>
      </c>
      <c r="M115" s="35" t="n">
        <f aca="false">N115-L115</f>
        <v>-32.876</v>
      </c>
      <c r="N115" s="34" t="n">
        <v>-62.273</v>
      </c>
      <c r="O115" s="34" t="n">
        <v>-35.956</v>
      </c>
      <c r="P115" s="35" t="n">
        <f aca="false">Q115-O115</f>
        <v>-38.712</v>
      </c>
      <c r="Q115" s="34" t="n">
        <v>-74.668</v>
      </c>
      <c r="R115" s="34" t="n">
        <v>-40.539</v>
      </c>
      <c r="S115" s="35" t="n">
        <f aca="false">T115-R115</f>
        <v>-40.819</v>
      </c>
      <c r="T115" s="34" t="n">
        <v>-81.358</v>
      </c>
      <c r="U115" s="34" t="n">
        <v>-43.392</v>
      </c>
      <c r="V115" s="35" t="n">
        <f aca="false">W115-U115</f>
        <v>-45.669</v>
      </c>
      <c r="W115" s="34" t="n">
        <v>-89.061</v>
      </c>
      <c r="X115" s="34" t="n">
        <v>-46.973</v>
      </c>
      <c r="Y115" s="35" t="n">
        <f aca="false">Z115-X115</f>
        <v>-51.356</v>
      </c>
      <c r="Z115" s="34" t="n">
        <v>-98.329</v>
      </c>
      <c r="AA115" s="34" t="n">
        <v>-53.832</v>
      </c>
      <c r="AB115" s="35" t="n">
        <f aca="false">AC115-AA115</f>
        <v>-58.367</v>
      </c>
      <c r="AC115" s="34" t="n">
        <v>-112.199</v>
      </c>
      <c r="AD115" s="34" t="n">
        <v>-57.483</v>
      </c>
      <c r="AE115" s="35" t="n">
        <f aca="false">AF115-AD115</f>
        <v>-62.086</v>
      </c>
      <c r="AF115" s="34" t="n">
        <v>-119.569</v>
      </c>
      <c r="AG115" s="34" t="n">
        <v>-61.491</v>
      </c>
      <c r="AH115" s="35" t="n">
        <f aca="false">AI115-AG115</f>
        <v>-71.457</v>
      </c>
      <c r="AI115" s="34" t="n">
        <v>-132.948</v>
      </c>
      <c r="AJ115" s="34" t="n">
        <v>-78.381</v>
      </c>
      <c r="AK115" s="35" t="n">
        <f aca="false">AL115-AJ115</f>
        <v>-86.332</v>
      </c>
      <c r="AL115" s="34" t="n">
        <v>-164.713</v>
      </c>
      <c r="AM115" s="34" t="n">
        <v>-93.333</v>
      </c>
      <c r="AN115" s="35" t="n">
        <f aca="false">AO115-AM115</f>
        <v>-101.636</v>
      </c>
      <c r="AO115" s="34" t="n">
        <v>-194.969</v>
      </c>
      <c r="AP115" s="34" t="n">
        <v>-113.197</v>
      </c>
      <c r="AQ115" s="35" t="n">
        <f aca="false">AR115-AP115</f>
        <v>-120.295</v>
      </c>
      <c r="AR115" s="34" t="n">
        <v>-233.492</v>
      </c>
      <c r="AS115" s="34" t="n">
        <v>-125.614</v>
      </c>
      <c r="AT115" s="35" t="n">
        <f aca="false">AU115-AS115</f>
        <v>-129.753</v>
      </c>
      <c r="AU115" s="34" t="n">
        <v>-255.367</v>
      </c>
      <c r="AV115" s="34" t="n">
        <v>-138.367</v>
      </c>
      <c r="AW115" s="36" t="n">
        <f aca="false">AW95</f>
        <v>-140.742841523848</v>
      </c>
      <c r="AX115" s="36" t="n">
        <f aca="false">AV115+AW115</f>
        <v>-279.109841523848</v>
      </c>
      <c r="AY115" s="36" t="n">
        <f aca="false">AY95</f>
        <v>-305.33105763257</v>
      </c>
      <c r="AZ115" s="36" t="n">
        <f aca="false">AZ95</f>
        <v>-328.777501298129</v>
      </c>
      <c r="BA115" s="36" t="n">
        <f aca="false">BA95</f>
        <v>-354.159744608822</v>
      </c>
      <c r="BB115" s="36" t="n">
        <f aca="false">BB95</f>
        <v>-377.428336692126</v>
      </c>
    </row>
    <row r="116" customFormat="false" ht="15" hidden="false" customHeight="true" outlineLevel="0" collapsed="false">
      <c r="B116" s="20" t="s">
        <v>220</v>
      </c>
      <c r="C116" s="42" t="n">
        <v>-0.571</v>
      </c>
      <c r="D116" s="26" t="n">
        <f aca="false">E116-C116</f>
        <v>-0.803</v>
      </c>
      <c r="E116" s="42" t="n">
        <v>-1.374</v>
      </c>
      <c r="F116" s="42" t="n">
        <v>-0.887</v>
      </c>
      <c r="G116" s="26" t="n">
        <f aca="false">H116-F116</f>
        <v>-0.692</v>
      </c>
      <c r="H116" s="42" t="n">
        <v>-1.579</v>
      </c>
      <c r="I116" s="42" t="n">
        <v>-0.873</v>
      </c>
      <c r="J116" s="26" t="n">
        <f aca="false">K116-I116</f>
        <v>-2.043</v>
      </c>
      <c r="K116" s="42" t="n">
        <v>-2.916</v>
      </c>
      <c r="L116" s="42" t="n">
        <v>-1.272</v>
      </c>
      <c r="M116" s="26" t="n">
        <f aca="false">N116-L116</f>
        <v>-2.107</v>
      </c>
      <c r="N116" s="42" t="n">
        <v>-3.379</v>
      </c>
      <c r="O116" s="42" t="n">
        <v>-2.112</v>
      </c>
      <c r="P116" s="26" t="n">
        <f aca="false">Q116-O116</f>
        <v>-2.679</v>
      </c>
      <c r="Q116" s="42" t="n">
        <v>-4.791</v>
      </c>
      <c r="R116" s="42" t="n">
        <v>-2.262</v>
      </c>
      <c r="S116" s="26" t="n">
        <f aca="false">T116-R116</f>
        <v>-3.04</v>
      </c>
      <c r="T116" s="42" t="n">
        <v>-5.302</v>
      </c>
      <c r="U116" s="42" t="n">
        <v>-2.557</v>
      </c>
      <c r="V116" s="26" t="n">
        <f aca="false">W116-U116</f>
        <v>-2.496</v>
      </c>
      <c r="W116" s="42" t="n">
        <v>-5.053</v>
      </c>
      <c r="X116" s="42" t="n">
        <v>-2.829</v>
      </c>
      <c r="Y116" s="26" t="n">
        <f aca="false">Z116-X116</f>
        <v>-3.087</v>
      </c>
      <c r="Z116" s="42" t="n">
        <v>-5.916</v>
      </c>
      <c r="AA116" s="42" t="n">
        <v>-3.384</v>
      </c>
      <c r="AB116" s="26" t="n">
        <f aca="false">AC116-AA116</f>
        <v>-4.146</v>
      </c>
      <c r="AC116" s="42" t="n">
        <v>-7.53</v>
      </c>
      <c r="AD116" s="42" t="n">
        <v>-4.294</v>
      </c>
      <c r="AE116" s="26" t="n">
        <f aca="false">AF116-AD116</f>
        <v>-4.608</v>
      </c>
      <c r="AF116" s="42" t="n">
        <v>-8.902</v>
      </c>
      <c r="AG116" s="42" t="n">
        <v>-3.983</v>
      </c>
      <c r="AH116" s="26" t="n">
        <f aca="false">AI116-AG116</f>
        <v>4.224</v>
      </c>
      <c r="AI116" s="42" t="n">
        <v>0.241</v>
      </c>
      <c r="AJ116" s="42" t="n">
        <v>-4.465</v>
      </c>
      <c r="AK116" s="26" t="n">
        <f aca="false">AL116-AJ116</f>
        <v>-10.079</v>
      </c>
      <c r="AL116" s="42" t="n">
        <v>-14.544</v>
      </c>
      <c r="AM116" s="42" t="n">
        <v>-13.581</v>
      </c>
      <c r="AN116" s="26" t="n">
        <f aca="false">AO116-AM116</f>
        <v>-7.988</v>
      </c>
      <c r="AO116" s="42" t="n">
        <v>-21.569</v>
      </c>
      <c r="AP116" s="42" t="n">
        <v>-10.613</v>
      </c>
      <c r="AQ116" s="26" t="n">
        <f aca="false">AR116-AP116</f>
        <v>-10.466</v>
      </c>
      <c r="AR116" s="42" t="n">
        <v>-21.079</v>
      </c>
      <c r="AS116" s="42" t="n">
        <v>-8.945</v>
      </c>
      <c r="AT116" s="26" t="n">
        <f aca="false">AU116-AS116</f>
        <v>-16.669</v>
      </c>
      <c r="AU116" s="42" t="n">
        <v>-25.614</v>
      </c>
      <c r="AV116" s="42" t="n">
        <v>-13.019</v>
      </c>
      <c r="AW116" s="27" t="n">
        <f aca="false">AW98-AW112-AW117-N(AW119)</f>
        <v>-17.1437948970457</v>
      </c>
      <c r="AX116" s="27" t="n">
        <f aca="false">AV116+AW116</f>
        <v>-30.1627948970457</v>
      </c>
      <c r="AY116" s="27" t="n">
        <f aca="false">AY98-AY112-AY117-N(AY119)</f>
        <v>-33.2431966581981</v>
      </c>
      <c r="AZ116" s="27" t="n">
        <f aca="false">AZ98-AZ112-AZ117-N(AZ119)</f>
        <v>-35.8729749506026</v>
      </c>
      <c r="BA116" s="27" t="n">
        <f aca="false">BA98-BA112-BA117-N(BA119)</f>
        <v>-38.5287951112694</v>
      </c>
      <c r="BB116" s="27" t="n">
        <f aca="false">BB98-BB112-BB117-N(BB119)</f>
        <v>-41.1840802799148</v>
      </c>
    </row>
    <row r="117" customFormat="false" ht="15" hidden="false" customHeight="true" outlineLevel="0" collapsed="false">
      <c r="B117" s="20" t="s">
        <v>221</v>
      </c>
      <c r="C117" s="42" t="n">
        <v>0.217</v>
      </c>
      <c r="D117" s="26" t="n">
        <f aca="false">E117-C117</f>
        <v>0.012</v>
      </c>
      <c r="E117" s="42" t="n">
        <v>0.229</v>
      </c>
      <c r="F117" s="42" t="n">
        <v>0.092</v>
      </c>
      <c r="G117" s="26" t="n">
        <f aca="false">H117-F117</f>
        <v>0.203</v>
      </c>
      <c r="H117" s="42" t="n">
        <v>0.295</v>
      </c>
      <c r="I117" s="42" t="n">
        <v>0.289</v>
      </c>
      <c r="J117" s="26" t="n">
        <f aca="false">K117-I117</f>
        <v>0.239</v>
      </c>
      <c r="K117" s="42" t="n">
        <v>0.528</v>
      </c>
      <c r="L117" s="42" t="n">
        <v>0.457</v>
      </c>
      <c r="M117" s="26" t="n">
        <f aca="false">N117-L117</f>
        <v>0.564</v>
      </c>
      <c r="N117" s="42" t="n">
        <v>1.021</v>
      </c>
      <c r="O117" s="42" t="n">
        <v>0.558</v>
      </c>
      <c r="P117" s="26" t="n">
        <f aca="false">Q117-O117</f>
        <v>0.285</v>
      </c>
      <c r="Q117" s="42" t="n">
        <v>0.843</v>
      </c>
      <c r="R117" s="42" t="n">
        <v>0.482</v>
      </c>
      <c r="S117" s="26" t="n">
        <f aca="false">T117-R117</f>
        <v>0.843</v>
      </c>
      <c r="T117" s="42" t="n">
        <v>1.325</v>
      </c>
      <c r="U117" s="42" t="n">
        <v>0.697</v>
      </c>
      <c r="V117" s="26" t="n">
        <f aca="false">W117-U117</f>
        <v>1.176</v>
      </c>
      <c r="W117" s="42" t="n">
        <v>1.873</v>
      </c>
      <c r="X117" s="42" t="n">
        <v>1.08</v>
      </c>
      <c r="Y117" s="26" t="n">
        <f aca="false">Z117-X117</f>
        <v>1.39</v>
      </c>
      <c r="Z117" s="42" t="n">
        <v>2.47</v>
      </c>
      <c r="AA117" s="42" t="n">
        <v>1.022</v>
      </c>
      <c r="AB117" s="26" t="n">
        <f aca="false">AC117-AA117</f>
        <v>1.36</v>
      </c>
      <c r="AC117" s="42" t="n">
        <v>2.382</v>
      </c>
      <c r="AD117" s="42" t="n">
        <v>1.414</v>
      </c>
      <c r="AE117" s="26" t="n">
        <f aca="false">AF117-AD117</f>
        <v>1.844</v>
      </c>
      <c r="AF117" s="42" t="n">
        <v>3.258</v>
      </c>
      <c r="AG117" s="42" t="n">
        <v>1.355</v>
      </c>
      <c r="AH117" s="26" t="n">
        <f aca="false">AI117-AG117</f>
        <v>2.09</v>
      </c>
      <c r="AI117" s="42" t="n">
        <v>3.445</v>
      </c>
      <c r="AJ117" s="42" t="n">
        <v>0.861</v>
      </c>
      <c r="AK117" s="26" t="n">
        <f aca="false">AL117-AJ117</f>
        <v>1.292</v>
      </c>
      <c r="AL117" s="42" t="n">
        <v>2.153</v>
      </c>
      <c r="AM117" s="42" t="n">
        <v>0.762</v>
      </c>
      <c r="AN117" s="26" t="n">
        <f aca="false">AO117-AM117</f>
        <v>1.67</v>
      </c>
      <c r="AO117" s="42" t="n">
        <v>2.432</v>
      </c>
      <c r="AP117" s="42" t="n">
        <v>0.789</v>
      </c>
      <c r="AQ117" s="26" t="n">
        <f aca="false">AR117-AP117</f>
        <v>1.628</v>
      </c>
      <c r="AR117" s="42" t="n">
        <v>2.417</v>
      </c>
      <c r="AS117" s="42" t="n">
        <v>0.821</v>
      </c>
      <c r="AT117" s="26" t="n">
        <f aca="false">AU117-AS117</f>
        <v>0.914</v>
      </c>
      <c r="AU117" s="42" t="n">
        <v>1.735</v>
      </c>
      <c r="AV117" s="42" t="n">
        <v>0.558</v>
      </c>
      <c r="AW117" s="27" t="n">
        <f aca="false">AT117</f>
        <v>0.914</v>
      </c>
      <c r="AX117" s="27" t="n">
        <f aca="false">AV117+AW117</f>
        <v>1.472</v>
      </c>
      <c r="AY117" s="27" t="n">
        <f aca="false">AX117</f>
        <v>1.472</v>
      </c>
      <c r="AZ117" s="27" t="n">
        <f aca="false">AY117</f>
        <v>1.472</v>
      </c>
      <c r="BA117" s="27" t="n">
        <f aca="false">AZ117</f>
        <v>1.472</v>
      </c>
      <c r="BB117" s="27" t="n">
        <f aca="false">BA117</f>
        <v>1.472</v>
      </c>
    </row>
    <row r="118" customFormat="false" ht="15" hidden="false" customHeight="true" outlineLevel="0" collapsed="false">
      <c r="B118" s="14" t="s">
        <v>222</v>
      </c>
      <c r="C118" s="34" t="n">
        <v>-2.389</v>
      </c>
      <c r="D118" s="35" t="n">
        <f aca="false">E118-C118</f>
        <v>-2.864</v>
      </c>
      <c r="E118" s="34" t="n">
        <v>-5.253</v>
      </c>
      <c r="F118" s="34" t="n">
        <v>-2.963</v>
      </c>
      <c r="G118" s="35" t="n">
        <f aca="false">H118-F118</f>
        <v>-4.162</v>
      </c>
      <c r="H118" s="34" t="n">
        <v>-7.125</v>
      </c>
      <c r="I118" s="34" t="n">
        <v>-5.325</v>
      </c>
      <c r="J118" s="35" t="n">
        <f aca="false">K118-I118</f>
        <v>-5.9</v>
      </c>
      <c r="K118" s="34" t="n">
        <v>-11.225</v>
      </c>
      <c r="L118" s="34" t="n">
        <v>-6.322</v>
      </c>
      <c r="M118" s="35" t="n">
        <f aca="false">N118-L118</f>
        <v>-7.39</v>
      </c>
      <c r="N118" s="34" t="n">
        <v>-13.712</v>
      </c>
      <c r="O118" s="34" t="n">
        <v>-8.532</v>
      </c>
      <c r="P118" s="35" t="n">
        <f aca="false">Q118-O118</f>
        <v>-9.617</v>
      </c>
      <c r="Q118" s="34" t="n">
        <v>-18.149</v>
      </c>
      <c r="R118" s="34" t="n">
        <v>-9.558</v>
      </c>
      <c r="S118" s="35" t="n">
        <f aca="false">T118-R118</f>
        <v>-10.489</v>
      </c>
      <c r="T118" s="34" t="n">
        <v>-20.047</v>
      </c>
      <c r="U118" s="34" t="n">
        <v>-10.567</v>
      </c>
      <c r="V118" s="35" t="n">
        <f aca="false">W118-U118</f>
        <v>-12.188</v>
      </c>
      <c r="W118" s="34" t="n">
        <v>-22.755</v>
      </c>
      <c r="X118" s="34" t="n">
        <v>-11.793</v>
      </c>
      <c r="Y118" s="35" t="n">
        <f aca="false">Z118-X118</f>
        <v>-13.812</v>
      </c>
      <c r="Z118" s="34" t="n">
        <v>-25.605</v>
      </c>
      <c r="AA118" s="34" t="n">
        <v>-40.084</v>
      </c>
      <c r="AB118" s="35" t="n">
        <f aca="false">AC118-AA118</f>
        <v>-46.166</v>
      </c>
      <c r="AC118" s="34" t="n">
        <v>-86.25</v>
      </c>
      <c r="AD118" s="34" t="n">
        <v>-49.851</v>
      </c>
      <c r="AE118" s="35" t="n">
        <f aca="false">AF118-AD118</f>
        <v>-54.433</v>
      </c>
      <c r="AF118" s="34" t="n">
        <v>-104.284</v>
      </c>
      <c r="AG118" s="34" t="n">
        <v>-55.261</v>
      </c>
      <c r="AH118" s="35" t="n">
        <f aca="false">AI118-AG118</f>
        <v>-61.014</v>
      </c>
      <c r="AI118" s="34" t="n">
        <v>-116.275</v>
      </c>
      <c r="AJ118" s="34" t="n">
        <v>-62.198</v>
      </c>
      <c r="AK118" s="35" t="n">
        <f aca="false">AL118-AJ118</f>
        <v>-69.747</v>
      </c>
      <c r="AL118" s="34" t="n">
        <v>-131.945</v>
      </c>
      <c r="AM118" s="34" t="n">
        <v>-67.115</v>
      </c>
      <c r="AN118" s="35" t="n">
        <f aca="false">AO118-AM118</f>
        <v>-71.73</v>
      </c>
      <c r="AO118" s="34" t="n">
        <v>-138.845</v>
      </c>
      <c r="AP118" s="34" t="n">
        <v>-73.167</v>
      </c>
      <c r="AQ118" s="35" t="n">
        <f aca="false">AR118-AP118</f>
        <v>-79.837</v>
      </c>
      <c r="AR118" s="34" t="n">
        <v>-153.004</v>
      </c>
      <c r="AS118" s="34" t="n">
        <v>-86.778</v>
      </c>
      <c r="AT118" s="35" t="n">
        <f aca="false">AU118-AS118</f>
        <v>-93.834</v>
      </c>
      <c r="AU118" s="34" t="n">
        <v>-180.612</v>
      </c>
      <c r="AV118" s="34" t="n">
        <v>-98.343</v>
      </c>
      <c r="AW118" s="36" t="n">
        <f aca="false">AW104+AW106</f>
        <v>-102.052896341476</v>
      </c>
      <c r="AX118" s="36" t="n">
        <f aca="false">AV118+AW118</f>
        <v>-200.395896341476</v>
      </c>
      <c r="AY118" s="36" t="n">
        <f aca="false">AY104+AY106</f>
        <v>-224.554426096945</v>
      </c>
      <c r="AZ118" s="36" t="n">
        <f aca="false">AZ104+AZ106</f>
        <v>-238.193031852079</v>
      </c>
      <c r="BA118" s="36" t="n">
        <f aca="false">BA104+BA106</f>
        <v>-249.718014676921</v>
      </c>
      <c r="BB118" s="36" t="n">
        <f aca="false">BB104+BB106</f>
        <v>-264.667473655962</v>
      </c>
    </row>
    <row r="119" customFormat="false" ht="15" hidden="false" customHeight="true" outlineLevel="0" collapsed="false">
      <c r="B119" s="20" t="s">
        <v>223</v>
      </c>
      <c r="C119" s="42" t="n">
        <v>-0.289</v>
      </c>
      <c r="D119" s="26" t="n">
        <f aca="false">E119-C119</f>
        <v>-1.049</v>
      </c>
      <c r="E119" s="42" t="n">
        <v>-1.338</v>
      </c>
      <c r="F119" s="42" t="n">
        <v>-0.371</v>
      </c>
      <c r="G119" s="26" t="n">
        <f aca="false">H119-F119</f>
        <v>-0.789</v>
      </c>
      <c r="H119" s="42" t="n">
        <v>-1.16</v>
      </c>
      <c r="I119" s="42" t="n">
        <v>-0.902</v>
      </c>
      <c r="J119" s="26" t="n">
        <f aca="false">K119-I119</f>
        <v>-0.883</v>
      </c>
      <c r="K119" s="42" t="n">
        <v>-1.785</v>
      </c>
      <c r="L119" s="42" t="n">
        <v>-0.833</v>
      </c>
      <c r="M119" s="26" t="n">
        <f aca="false">N119-L119</f>
        <v>-1.458</v>
      </c>
      <c r="N119" s="42" t="n">
        <v>-2.291</v>
      </c>
      <c r="O119" s="42" t="n">
        <v>-0.344</v>
      </c>
      <c r="P119" s="26" t="n">
        <f aca="false">Q119-O119</f>
        <v>-1.259</v>
      </c>
      <c r="Q119" s="42" t="n">
        <v>-1.603</v>
      </c>
      <c r="R119" s="42" t="n">
        <v>-0.811</v>
      </c>
      <c r="S119" s="26" t="n">
        <f aca="false">T119-R119</f>
        <v>-1.419</v>
      </c>
      <c r="T119" s="42" t="n">
        <v>-2.23</v>
      </c>
      <c r="U119" s="42" t="n">
        <v>-1.86</v>
      </c>
      <c r="V119" s="26" t="n">
        <f aca="false">W119-U119</f>
        <v>-0.878</v>
      </c>
      <c r="W119" s="42" t="n">
        <v>-2.738</v>
      </c>
      <c r="X119" s="42" t="n">
        <v>-0.496</v>
      </c>
      <c r="Y119" s="26" t="n">
        <f aca="false">Z119-X119</f>
        <v>-0.646</v>
      </c>
      <c r="Z119" s="42" t="n">
        <v>-1.142</v>
      </c>
      <c r="AA119" s="42" t="n">
        <v>-0.352</v>
      </c>
      <c r="AB119" s="26" t="n">
        <f aca="false">AC119-AA119</f>
        <v>-0.916</v>
      </c>
      <c r="AC119" s="42" t="n">
        <v>-1.268</v>
      </c>
      <c r="AD119" s="42" t="n">
        <v>-31.74</v>
      </c>
      <c r="AE119" s="26" t="n">
        <f aca="false">AF119-AD119</f>
        <v>-3.345</v>
      </c>
      <c r="AF119" s="42" t="n">
        <v>-35.085</v>
      </c>
      <c r="AG119" s="42" t="n">
        <v>-1.745</v>
      </c>
      <c r="AH119" s="26" t="n">
        <f aca="false">AI119-AG119</f>
        <v>-3.167</v>
      </c>
      <c r="AI119" s="42" t="n">
        <v>-4.912</v>
      </c>
      <c r="AJ119" s="42" t="n">
        <v>-7.66</v>
      </c>
      <c r="AK119" s="26" t="n">
        <f aca="false">AL119-AJ119</f>
        <v>-0.826000000000001</v>
      </c>
      <c r="AL119" s="42" t="n">
        <v>-8.486</v>
      </c>
      <c r="AM119" s="42" t="n">
        <v>-2.125</v>
      </c>
      <c r="AN119" s="26" t="n">
        <f aca="false">AO119-AM119</f>
        <v>-9.195</v>
      </c>
      <c r="AO119" s="42" t="n">
        <v>-11.32</v>
      </c>
      <c r="AP119" s="42" t="n">
        <v>-0.873</v>
      </c>
      <c r="AQ119" s="26" t="n">
        <f aca="false">AR119-AP119</f>
        <v>-1.948</v>
      </c>
      <c r="AR119" s="42" t="n">
        <v>-2.821</v>
      </c>
      <c r="AS119" s="42" t="n">
        <v>-1.517</v>
      </c>
      <c r="AT119" s="26" t="n">
        <f aca="false">AU119-AS119</f>
        <v>-7.36</v>
      </c>
      <c r="AU119" s="42" t="n">
        <v>-8.877</v>
      </c>
      <c r="AV119" s="42" t="n">
        <v>-1.949</v>
      </c>
      <c r="AW119" s="50" t="n">
        <v>0</v>
      </c>
      <c r="AX119" s="27" t="n">
        <f aca="false">AV119+AW119</f>
        <v>-1.949</v>
      </c>
      <c r="AY119" s="50" t="n">
        <v>0</v>
      </c>
      <c r="AZ119" s="50" t="n">
        <v>0</v>
      </c>
      <c r="BA119" s="50" t="n">
        <v>0</v>
      </c>
      <c r="BB119" s="50" t="n">
        <v>0</v>
      </c>
      <c r="BC119" s="18" t="s">
        <v>224</v>
      </c>
    </row>
    <row r="120" customFormat="false" ht="15" hidden="false" customHeight="true" outlineLevel="0" collapsed="false">
      <c r="B120" s="46" t="s">
        <v>225</v>
      </c>
      <c r="C120" s="47" t="n">
        <f aca="false">C111+N(C112)+C113+C114+C115+N(C116)+N(C117)+C118+N(C119)</f>
        <v>15.962</v>
      </c>
      <c r="D120" s="47" t="n">
        <f aca="false">D111+N(D112)+D113+D114+D115+N(D116)+N(D117)+D118+N(D119)</f>
        <v>18.945</v>
      </c>
      <c r="E120" s="47" t="n">
        <f aca="false">E111+N(E112)+E113+E114+E115+N(E116)+N(E117)+E118+N(E119)</f>
        <v>34.907</v>
      </c>
      <c r="F120" s="47" t="n">
        <f aca="false">F111+N(F112)+F113+F114+F115+N(F116)+N(F117)+F118+N(F119)</f>
        <v>13.455</v>
      </c>
      <c r="G120" s="47" t="n">
        <f aca="false">G111+N(G112)+G113+G114+G115+N(G116)+N(G117)+G118+N(G119)</f>
        <v>22.289</v>
      </c>
      <c r="H120" s="47" t="n">
        <f aca="false">H111+N(H112)+H113+H114+H115+N(H116)+N(H117)+H118+N(H119)</f>
        <v>35.744</v>
      </c>
      <c r="I120" s="47" t="n">
        <f aca="false">I111+N(I112)+I113+I114+I115+N(I116)+N(I117)+I118+N(I119)</f>
        <v>21.804</v>
      </c>
      <c r="J120" s="47" t="n">
        <f aca="false">J111+N(J112)+J113+J114+J115+N(J116)+N(J117)+J118+N(J119)</f>
        <v>25.152</v>
      </c>
      <c r="K120" s="47" t="n">
        <f aca="false">K111+N(K112)+K113+K114+K115+N(K116)+N(K117)+K118+N(K119)</f>
        <v>46.956</v>
      </c>
      <c r="L120" s="47" t="n">
        <f aca="false">L111+N(L112)+L113+L114+L115+N(L116)+N(L117)+L118+N(L119)</f>
        <v>24.296</v>
      </c>
      <c r="M120" s="47" t="n">
        <f aca="false">M111+N(M112)+M113+M114+M115+N(M116)+N(M117)+M118+N(M119)</f>
        <v>25.033</v>
      </c>
      <c r="N120" s="47" t="n">
        <f aca="false">N111+N(N112)+N113+N114+N115+N(N116)+N(N117)+N118+N(N119)</f>
        <v>49.329</v>
      </c>
      <c r="O120" s="47" t="n">
        <f aca="false">O111+N(O112)+O113+O114+O115+N(O116)+N(O117)+O118+N(O119)</f>
        <v>24.852</v>
      </c>
      <c r="P120" s="47" t="n">
        <f aca="false">P111+N(P112)+P113+P114+P115+N(P116)+N(P117)+P118+N(P119)</f>
        <v>26.123</v>
      </c>
      <c r="Q120" s="47" t="n">
        <f aca="false">Q111+N(Q112)+Q113+Q114+Q115+N(Q116)+N(Q117)+Q118+N(Q119)</f>
        <v>50.975</v>
      </c>
      <c r="R120" s="47" t="n">
        <f aca="false">R111+N(R112)+R113+R114+R115+N(R116)+N(R117)+R118+N(R119)</f>
        <v>25.926</v>
      </c>
      <c r="S120" s="47" t="n">
        <f aca="false">S111+N(S112)+S113+S114+S115+N(S116)+N(S117)+S118+N(S119)</f>
        <v>30.719</v>
      </c>
      <c r="T120" s="47" t="n">
        <f aca="false">T111+N(T112)+T113+T114+T115+N(T116)+N(T117)+T118+N(T119)</f>
        <v>56.645</v>
      </c>
      <c r="U120" s="47" t="n">
        <f aca="false">U111+N(U112)+U113+U114+U115+N(U116)+N(U117)+U118+N(U119)</f>
        <v>31.025</v>
      </c>
      <c r="V120" s="47" t="n">
        <f aca="false">V111+N(V112)+V113+V114+V115+N(V116)+N(V117)+V118+N(V119)</f>
        <v>33.696</v>
      </c>
      <c r="W120" s="47" t="n">
        <f aca="false">W111+N(W112)+W113+W114+W115+N(W116)+N(W117)+W118+N(W119)</f>
        <v>64.721</v>
      </c>
      <c r="X120" s="47" t="n">
        <f aca="false">X111+N(X112)+X113+X114+X115+N(X116)+N(X117)+X118+N(X119)</f>
        <v>34.44</v>
      </c>
      <c r="Y120" s="47" t="n">
        <f aca="false">Y111+N(Y112)+Y113+Y114+Y115+N(Y116)+N(Y117)+Y118+N(Y119)</f>
        <v>35.098</v>
      </c>
      <c r="Z120" s="47" t="n">
        <f aca="false">Z111+N(Z112)+Z113+Z114+Z115+N(Z116)+N(Z117)+Z118+N(Z119)</f>
        <v>69.538</v>
      </c>
      <c r="AA120" s="47" t="n">
        <f aca="false">AA111+N(AA112)+AA113+AA114+AA115+N(AA116)+N(AA117)+AA118+N(AA119)</f>
        <v>39.1420000000001</v>
      </c>
      <c r="AB120" s="47" t="n">
        <f aca="false">AB111+N(AB112)+AB113+AB114+AB115+N(AB116)+N(AB117)+AB118+N(AB119)</f>
        <v>44.234</v>
      </c>
      <c r="AC120" s="47" t="n">
        <f aca="false">AC111+N(AC112)+AC113+AC114+AC115+N(AC116)+N(AC117)+AC118+N(AC119)</f>
        <v>83.376</v>
      </c>
      <c r="AD120" s="47" t="n">
        <f aca="false">AD111+N(AD112)+AD113+AD114+AD115+N(AD116)+N(AD117)+AD118+N(AD119)</f>
        <v>-53.275</v>
      </c>
      <c r="AE120" s="47" t="n">
        <f aca="false">AE111+N(AE112)+AE113+AE114+AE115+N(AE116)+N(AE117)+AE118+N(AE119)</f>
        <v>38.457</v>
      </c>
      <c r="AF120" s="47" t="n">
        <f aca="false">AF111+N(AF112)+AF113+AF114+AF115+N(AF116)+N(AF117)+AF118+N(AF119)</f>
        <v>-14.818</v>
      </c>
      <c r="AG120" s="47" t="n">
        <f aca="false">AG111+N(AG112)+AG113+AG114+AG115+N(AG116)+N(AG117)+AG118+N(AG119)</f>
        <v>25.334</v>
      </c>
      <c r="AH120" s="47" t="n">
        <f aca="false">AH111+N(AH112)+AH113+AH114+AH115+N(AH116)+N(AH117)+AH118+N(AH119)</f>
        <v>51.702</v>
      </c>
      <c r="AI120" s="47" t="n">
        <f aca="false">AI111+N(AI112)+AI113+AI114+AI115+N(AI116)+N(AI117)+AI118+N(AI119)</f>
        <v>77.0359999999999</v>
      </c>
      <c r="AJ120" s="47" t="n">
        <f aca="false">AJ111+N(AJ112)+AJ113+AJ114+AJ115+N(AJ116)+N(AJ117)+AJ118+N(AJ119)</f>
        <v>57.7540000000001</v>
      </c>
      <c r="AK120" s="47" t="n">
        <f aca="false">AK111+N(AK112)+AK113+AK114+AK115+N(AK116)+N(AK117)+AK118+N(AK119)</f>
        <v>76.658</v>
      </c>
      <c r="AL120" s="47" t="n">
        <f aca="false">AL111+N(AL112)+AL113+AL114+AL115+N(AL116)+N(AL117)+AL118+N(AL119)</f>
        <v>134.412</v>
      </c>
      <c r="AM120" s="47" t="n">
        <f aca="false">AM111+N(AM112)+AM113+AM114+AM115+N(AM116)+N(AM117)+AM118+N(AM119)</f>
        <v>87.6929999999999</v>
      </c>
      <c r="AN120" s="47" t="n">
        <f aca="false">AN111+N(AN112)+AN113+AN114+AN115+N(AN116)+N(AN117)+AN118+N(AN119)</f>
        <v>99.7130000000001</v>
      </c>
      <c r="AO120" s="47" t="n">
        <f aca="false">AO111+N(AO112)+AO113+AO114+AO115+N(AO116)+N(AO117)+AO118+N(AO119)</f>
        <v>187.406</v>
      </c>
      <c r="AP120" s="47" t="n">
        <f aca="false">AP111+N(AP112)+AP113+AP114+AP115+N(AP116)+N(AP117)+AP118+N(AP119)</f>
        <v>104.587</v>
      </c>
      <c r="AQ120" s="47" t="n">
        <f aca="false">AQ111+N(AQ112)+AQ113+AQ114+AQ115+N(AQ116)+N(AQ117)+AQ118+N(AQ119)</f>
        <v>107.084</v>
      </c>
      <c r="AR120" s="47" t="n">
        <f aca="false">AR111+N(AR112)+AR113+AR114+AR115+N(AR116)+N(AR117)+AR118+N(AR119)</f>
        <v>211.671</v>
      </c>
      <c r="AS120" s="47" t="n">
        <f aca="false">AS111+N(AS112)+AS113+AS114+AS115+N(AS116)+N(AS117)+AS118+N(AS119)</f>
        <v>113.837</v>
      </c>
      <c r="AT120" s="47" t="n">
        <f aca="false">AT111+N(AT112)+AT113+AT114+AT115+N(AT116)+N(AT117)+AT118+N(AT119)</f>
        <v>113.947</v>
      </c>
      <c r="AU120" s="47" t="n">
        <f aca="false">AU111+N(AU112)+AU113+AU114+AU115+N(AU116)+N(AU117)+AU118+N(AU119)</f>
        <v>227.784</v>
      </c>
      <c r="AV120" s="47" t="n">
        <f aca="false">AV111+N(AV112)+AV113+AV114+AV115+N(AV116)+N(AV117)+AV118+N(AV119)</f>
        <v>128.199</v>
      </c>
      <c r="AW120" s="47" t="n">
        <f aca="false">AW111+N(AW112)+AW113+AW114+AW115+N(AW116)+N(AW117)+AW118+N(AW119)</f>
        <v>134.420660676971</v>
      </c>
      <c r="AX120" s="47" t="n">
        <f aca="false">AX111+N(AX112)+AX113+AX114+AX115+N(AX116)+N(AX117)+AX118+N(AX119)</f>
        <v>262.619660676971</v>
      </c>
      <c r="AY120" s="47" t="n">
        <f aca="false">AY111+N(AY112)+AY113+AY114+AY115+N(AY116)+N(AY117)+AY118+N(AY119)</f>
        <v>288.266797772124</v>
      </c>
      <c r="AZ120" s="47" t="n">
        <f aca="false">AZ111+N(AZ112)+AZ113+AZ114+AZ115+N(AZ116)+N(AZ117)+AZ118+N(AZ119)</f>
        <v>322.555262028618</v>
      </c>
      <c r="BA120" s="47" t="n">
        <f aca="false">BA111+N(BA112)+BA113+BA114+BA115+N(BA116)+N(BA117)+BA118+N(BA119)</f>
        <v>358.256213568223</v>
      </c>
      <c r="BB120" s="47" t="n">
        <f aca="false">BB111+N(BB112)+BB113+BB114+BB115+N(BB116)+N(BB117)+BB118+N(BB119)</f>
        <v>391.087904619185</v>
      </c>
      <c r="BE120" s="37" t="n">
        <f aca="false">IFERROR(IF(AND(BB120&gt;0,AU120&gt;0),(BB120/AU120)^(1/5)-1,"n/m"),"n/m")</f>
        <v>0.114166853086707</v>
      </c>
      <c r="BF120" s="37" t="str">
        <f aca="false">IFERROR(IF(AND(AU120&gt;0,AF120&gt;0),(AU120/AF120)^(1/5)-1,"n/m"),"n/m")</f>
        <v>n/m</v>
      </c>
      <c r="BG120" s="37" t="n">
        <f aca="false">IFERROR(IF(AND(AU120&gt;0,Q120&gt;0),(AU120/Q120)^(1/10)-1,"n/m"),"n/m")</f>
        <v>0.161493003464777</v>
      </c>
      <c r="BH120" s="37" t="n">
        <f aca="false">IFERROR(IF(AND(AU120&gt;0,E120&gt;0),(AU120/E120)^(1/14)-1,"n/m"),"n/m")</f>
        <v>0.143369170387784</v>
      </c>
    </row>
    <row r="121" customFormat="false" ht="15" hidden="false" customHeight="true" outlineLevel="0" collapsed="false">
      <c r="B121" s="31" t="s">
        <v>226</v>
      </c>
      <c r="C121" s="32" t="n">
        <f aca="false">IF(AND(ISNUMBER(C120),ISNUMBER(C111)),IFERROR(C120/C111,""),"")</f>
        <v>0.137063465485114</v>
      </c>
      <c r="D121" s="32" t="n">
        <f aca="false">IF(AND(ISNUMBER(D120),ISNUMBER(D111)),IFERROR(D120/D111,""),"")</f>
        <v>0.150145033207057</v>
      </c>
      <c r="E121" s="32" t="n">
        <f aca="false">IF(AND(ISNUMBER(E120),ISNUMBER(E111)),IFERROR(E120/E111,""),"")</f>
        <v>0.143866301234364</v>
      </c>
      <c r="F121" s="32" t="n">
        <f aca="false">IF(AND(ISNUMBER(F120),ISNUMBER(F111)),IFERROR(F120/F111,""),"")</f>
        <v>0.0995170225512746</v>
      </c>
      <c r="G121" s="32" t="n">
        <f aca="false">IF(AND(ISNUMBER(G120),ISNUMBER(G111)),IFERROR(G120/G111,""),"")</f>
        <v>0.154657988592681</v>
      </c>
      <c r="H121" s="32" t="n">
        <f aca="false">IF(AND(ISNUMBER(H120),ISNUMBER(H111)),IFERROR(H120/H111,""),"")</f>
        <v>0.127967463957239</v>
      </c>
      <c r="I121" s="32" t="n">
        <f aca="false">IF(AND(ISNUMBER(I120),ISNUMBER(I111)),IFERROR(I120/I111,""),"")</f>
        <v>0.138373081853605</v>
      </c>
      <c r="J121" s="32" t="n">
        <f aca="false">IF(AND(ISNUMBER(J120),ISNUMBER(J111)),IFERROR(J120/J111,""),"")</f>
        <v>0.152523255672929</v>
      </c>
      <c r="K121" s="32" t="n">
        <f aca="false">IF(AND(ISNUMBER(K120),ISNUMBER(K111)),IFERROR(K120/K111,""),"")</f>
        <v>0.145609030017365</v>
      </c>
      <c r="L121" s="32" t="n">
        <f aca="false">IF(AND(ISNUMBER(L120),ISNUMBER(L111)),IFERROR(L120/L111,""),"")</f>
        <v>0.138193855902077</v>
      </c>
      <c r="M121" s="32" t="n">
        <f aca="false">IF(AND(ISNUMBER(M120),ISNUMBER(M111)),IFERROR(M120/M111,""),"")</f>
        <v>0.138996546324779</v>
      </c>
      <c r="N121" s="32" t="n">
        <f aca="false">IF(AND(ISNUMBER(N120),ISNUMBER(N111)),IFERROR(N120/N111,""),"")</f>
        <v>0.138600035402308</v>
      </c>
      <c r="O121" s="32" t="n">
        <f aca="false">IF(AND(ISNUMBER(O120),ISNUMBER(O111)),IFERROR(O120/O111,""),"")</f>
        <v>0.124054070243396</v>
      </c>
      <c r="P121" s="32" t="n">
        <f aca="false">IF(AND(ISNUMBER(P120),ISNUMBER(P111)),IFERROR(P120/P111,""),"")</f>
        <v>0.122173427057464</v>
      </c>
      <c r="Q121" s="32" t="n">
        <f aca="false">IF(AND(ISNUMBER(Q120),ISNUMBER(Q111)),IFERROR(Q120/Q111,""),"")</f>
        <v>0.123083126685677</v>
      </c>
      <c r="R121" s="32" t="n">
        <f aca="false">IF(AND(ISNUMBER(R120),ISNUMBER(R111)),IFERROR(R120/R111,""),"")</f>
        <v>0.117931222707424</v>
      </c>
      <c r="S121" s="32" t="n">
        <f aca="false">IF(AND(ISNUMBER(S120),ISNUMBER(S111)),IFERROR(S120/S111,""),"")</f>
        <v>0.13009304157438</v>
      </c>
      <c r="T121" s="32" t="n">
        <f aca="false">IF(AND(ISNUMBER(T120),ISNUMBER(T111)),IFERROR(T120/T111,""),"")</f>
        <v>0.124229391781495</v>
      </c>
      <c r="U121" s="32" t="n">
        <f aca="false">IF(AND(ISNUMBER(U120),ISNUMBER(U111)),IFERROR(U120/U111,""),"")</f>
        <v>0.127503318579525</v>
      </c>
      <c r="V121" s="32" t="n">
        <f aca="false">IF(AND(ISNUMBER(V120),ISNUMBER(V111)),IFERROR(V120/V111,""),"")</f>
        <v>0.129478489417624</v>
      </c>
      <c r="W121" s="32" t="n">
        <f aca="false">IF(AND(ISNUMBER(W120),ISNUMBER(W111)),IFERROR(W120/W111,""),"")</f>
        <v>0.128524081013402</v>
      </c>
      <c r="X121" s="32" t="n">
        <f aca="false">IF(AND(ISNUMBER(X120),ISNUMBER(X111)),IFERROR(X120/X111,""),"")</f>
        <v>0.127798846693335</v>
      </c>
      <c r="Y121" s="32" t="n">
        <f aca="false">IF(AND(ISNUMBER(Y120),ISNUMBER(Y111)),IFERROR(Y120/Y111,""),"")</f>
        <v>0.123798102359705</v>
      </c>
      <c r="Z121" s="32" t="n">
        <f aca="false">IF(AND(ISNUMBER(Z120),ISNUMBER(Z111)),IFERROR(Z120/Z111,""),"")</f>
        <v>0.125747745010814</v>
      </c>
      <c r="AA121" s="32" t="n">
        <f aca="false">IF(AND(ISNUMBER(AA120),ISNUMBER(AA111)),IFERROR(AA120/AA111,""),"")</f>
        <v>0.134317961106746</v>
      </c>
      <c r="AB121" s="32" t="n">
        <f aca="false">IF(AND(ISNUMBER(AB120),ISNUMBER(AB111)),IFERROR(AB120/AB111,""),"")</f>
        <v>0.139827025933466</v>
      </c>
      <c r="AC121" s="32" t="n">
        <f aca="false">IF(AND(ISNUMBER(AC120),ISNUMBER(AC111)),IFERROR(AC120/AC111,""),"")</f>
        <v>0.137185505486532</v>
      </c>
      <c r="AD121" s="32" t="n">
        <f aca="false">IF(AND(ISNUMBER(AD120),ISNUMBER(AD111)),IFERROR(AD120/AD111,""),"")</f>
        <v>-0.259696894361494</v>
      </c>
      <c r="AE121" s="32" t="n">
        <f aca="false">IF(AND(ISNUMBER(AE120),ISNUMBER(AE111)),IFERROR(AE120/AE111,""),"")</f>
        <v>0.113485997580193</v>
      </c>
      <c r="AF121" s="32" t="n">
        <f aca="false">IF(AND(ISNUMBER(AF120),ISNUMBER(AF111)),IFERROR(AF120/AF111,""),"")</f>
        <v>-0.0272383196725078</v>
      </c>
      <c r="AG121" s="32" t="n">
        <f aca="false">IF(AND(ISNUMBER(AG120),ISNUMBER(AG111)),IFERROR(AG120/AG111,""),"")</f>
        <v>0.0807422138932446</v>
      </c>
      <c r="AH121" s="32" t="n">
        <f aca="false">IF(AND(ISNUMBER(AH120),ISNUMBER(AH111)),IFERROR(AH120/AH111,""),"")</f>
        <v>0.129769210496593</v>
      </c>
      <c r="AI121" s="32" t="n">
        <f aca="false">IF(AND(ISNUMBER(AI120),ISNUMBER(AI111)),IFERROR(AI120/AI111,""),"")</f>
        <v>0.108169434931387</v>
      </c>
      <c r="AJ121" s="32" t="n">
        <f aca="false">IF(AND(ISNUMBER(AJ120),ISNUMBER(AJ111)),IFERROR(AJ120/AJ111,""),"")</f>
        <v>0.13904665143479</v>
      </c>
      <c r="AK121" s="32" t="n">
        <f aca="false">IF(AND(ISNUMBER(AK120),ISNUMBER(AK111)),IFERROR(AK120/AK111,""),"")</f>
        <v>0.151993353834928</v>
      </c>
      <c r="AL121" s="32" t="n">
        <f aca="false">IF(AND(ISNUMBER(AL120),ISNUMBER(AL111)),IFERROR(AL120/AL111,""),"")</f>
        <v>0.146146385591949</v>
      </c>
      <c r="AM121" s="32" t="n">
        <f aca="false">IF(AND(ISNUMBER(AM120),ISNUMBER(AM111)),IFERROR(AM120/AM111,""),"")</f>
        <v>0.161217556283574</v>
      </c>
      <c r="AN121" s="32" t="n">
        <f aca="false">IF(AND(ISNUMBER(AN120),ISNUMBER(AN111)),IFERROR(AN120/AN111,""),"")</f>
        <v>0.167450350810609</v>
      </c>
      <c r="AO121" s="32" t="n">
        <f aca="false">IF(AND(ISNUMBER(AO120),ISNUMBER(AO111)),IFERROR(AO120/AO111,""),"")</f>
        <v>0.164474908286672</v>
      </c>
      <c r="AP121" s="32" t="n">
        <f aca="false">IF(AND(ISNUMBER(AP120),ISNUMBER(AP111)),IFERROR(AP120/AP111,""),"")</f>
        <v>0.168508785780344</v>
      </c>
      <c r="AQ121" s="32" t="n">
        <f aca="false">IF(AND(ISNUMBER(AQ120),ISNUMBER(AQ111)),IFERROR(AQ120/AQ111,""),"")</f>
        <v>0.162771820915124</v>
      </c>
      <c r="AR121" s="32" t="n">
        <f aca="false">IF(AND(ISNUMBER(AR120),ISNUMBER(AR111)),IFERROR(AR120/AR111,""),"")</f>
        <v>0.165556806982965</v>
      </c>
      <c r="AS121" s="32" t="n">
        <f aca="false">IF(AND(ISNUMBER(AS120),ISNUMBER(AS111)),IFERROR(AS120/AS111,""),"")</f>
        <v>0.16639552135178</v>
      </c>
      <c r="AT121" s="32" t="n">
        <f aca="false">IF(AND(ISNUMBER(AT120),ISNUMBER(AT111)),IFERROR(AT120/AT111,""),"")</f>
        <v>0.157425367773025</v>
      </c>
      <c r="AU121" s="32" t="n">
        <f aca="false">IF(AND(ISNUMBER(AU120),ISNUMBER(AU111)),IFERROR(AU120/AU111,""),"")</f>
        <v>0.161784039359324</v>
      </c>
      <c r="AV121" s="32" t="n">
        <f aca="false">IF(AND(ISNUMBER(AV120),ISNUMBER(AV111)),IFERROR(AV120/AV111,""),"")</f>
        <v>0.171066344102235</v>
      </c>
      <c r="AW121" s="33" t="n">
        <f aca="false">IF(AND(ISNUMBER(AW120),ISNUMBER(AW111)),IFERROR(AW120/AW111,""),"")</f>
        <v>0.172188283897619</v>
      </c>
      <c r="AX121" s="33" t="n">
        <f aca="false">IF(AND(ISNUMBER(AX120),ISNUMBER(AX111)),IFERROR(AX120/AX111,""),"")</f>
        <v>0.17163877114335</v>
      </c>
      <c r="AY121" s="33" t="n">
        <f aca="false">IF(AND(ISNUMBER(AY120),ISNUMBER(AY111)),IFERROR(AY120/AY111,""),"")</f>
        <v>0.170884320780569</v>
      </c>
      <c r="AZ121" s="33" t="n">
        <f aca="false">IF(AND(ISNUMBER(AZ120),ISNUMBER(AZ111)),IFERROR(AZ120/AZ111,""),"")</f>
        <v>0.176593431533211</v>
      </c>
      <c r="BA121" s="33" t="n">
        <f aca="false">IF(AND(ISNUMBER(BA120),ISNUMBER(BA111)),IFERROR(BA120/BA111,""),"")</f>
        <v>0.182082010798564</v>
      </c>
      <c r="BB121" s="33" t="n">
        <f aca="false">IF(AND(ISNUMBER(BB120),ISNUMBER(BB111)),IFERROR(BB120/BB111,""),"")</f>
        <v>0.185478216978546</v>
      </c>
    </row>
    <row r="122" customFormat="false" ht="15" hidden="false" customHeight="true" outlineLevel="0" collapsed="false">
      <c r="B122" s="45" t="s">
        <v>227</v>
      </c>
      <c r="C122" s="26" t="n">
        <f aca="false">ROUND(C120-15.962,1)</f>
        <v>0</v>
      </c>
      <c r="E122" s="26" t="n">
        <f aca="false">ROUND(E120-34.907,1)</f>
        <v>0</v>
      </c>
      <c r="F122" s="26" t="n">
        <f aca="false">ROUND(F120-13.455,1)</f>
        <v>0</v>
      </c>
      <c r="H122" s="26" t="n">
        <f aca="false">ROUND(H120-35.744,1)</f>
        <v>0</v>
      </c>
      <c r="I122" s="26" t="n">
        <f aca="false">ROUND(I120-21.804,1)</f>
        <v>0</v>
      </c>
      <c r="K122" s="26" t="n">
        <f aca="false">ROUND(K120-46.956,1)</f>
        <v>0</v>
      </c>
      <c r="L122" s="26" t="n">
        <f aca="false">ROUND(L120-24.296,1)</f>
        <v>0</v>
      </c>
      <c r="N122" s="26" t="n">
        <f aca="false">ROUND(N120-49.329,1)</f>
        <v>0</v>
      </c>
      <c r="O122" s="26" t="n">
        <f aca="false">ROUND(O120-24.852,1)</f>
        <v>0</v>
      </c>
      <c r="Q122" s="26" t="n">
        <f aca="false">ROUND(Q120-50.975,1)</f>
        <v>0</v>
      </c>
      <c r="R122" s="26" t="n">
        <f aca="false">ROUND(R120-25.926,1)</f>
        <v>0</v>
      </c>
      <c r="T122" s="26" t="n">
        <f aca="false">ROUND(T120-56.645,1)</f>
        <v>0</v>
      </c>
      <c r="U122" s="26" t="n">
        <f aca="false">ROUND(U120-31.025,1)</f>
        <v>0</v>
      </c>
      <c r="W122" s="26" t="n">
        <f aca="false">ROUND(W120-64.721,1)</f>
        <v>0</v>
      </c>
      <c r="X122" s="26" t="n">
        <f aca="false">ROUND(X120-34.44,1)</f>
        <v>0</v>
      </c>
      <c r="Z122" s="26" t="n">
        <f aca="false">ROUND(Z120-69.538,1)</f>
        <v>0</v>
      </c>
      <c r="AA122" s="26" t="n">
        <f aca="false">ROUND(AA120-39.142,1)</f>
        <v>0</v>
      </c>
      <c r="AC122" s="26" t="n">
        <f aca="false">ROUND(AC120-83.376,1)</f>
        <v>0</v>
      </c>
      <c r="AD122" s="26" t="n">
        <f aca="false">ROUND(AD120--53.275,1)</f>
        <v>0</v>
      </c>
      <c r="AF122" s="26" t="n">
        <f aca="false">ROUND(AF120--14.818,1)</f>
        <v>0</v>
      </c>
      <c r="AG122" s="26" t="n">
        <f aca="false">ROUND(AG120-25.334,1)</f>
        <v>0</v>
      </c>
      <c r="AI122" s="26" t="n">
        <f aca="false">ROUND(AI120-77.036,1)</f>
        <v>0</v>
      </c>
      <c r="AJ122" s="26" t="n">
        <f aca="false">ROUND(AJ120-57.754,1)</f>
        <v>0</v>
      </c>
      <c r="AL122" s="26" t="n">
        <f aca="false">ROUND(AL120-134.412,1)</f>
        <v>0</v>
      </c>
      <c r="AM122" s="26" t="n">
        <f aca="false">ROUND(AM120-87.693,1)</f>
        <v>0</v>
      </c>
      <c r="AO122" s="26" t="n">
        <f aca="false">ROUND(AO120-187.406,1)</f>
        <v>0</v>
      </c>
      <c r="AP122" s="26" t="n">
        <f aca="false">ROUND(AP120-104.587,1)</f>
        <v>0</v>
      </c>
      <c r="AR122" s="26" t="n">
        <f aca="false">ROUND(AR120-211.671,1)</f>
        <v>0</v>
      </c>
      <c r="AS122" s="26" t="n">
        <f aca="false">ROUND(AS120-113.837,1)</f>
        <v>0</v>
      </c>
      <c r="AU122" s="26" t="n">
        <f aca="false">ROUND(AU120-227.784,1)</f>
        <v>0</v>
      </c>
      <c r="AV122" s="26" t="n">
        <f aca="false">ROUND(AV120-128.199,1)</f>
        <v>0</v>
      </c>
    </row>
    <row r="123" customFormat="false" ht="15" hidden="false" customHeight="true" outlineLevel="0" collapsed="false">
      <c r="B123" s="14" t="s">
        <v>228</v>
      </c>
      <c r="C123" s="34" t="n">
        <v>-2.197</v>
      </c>
      <c r="D123" s="35" t="n">
        <f aca="false">E123-C123</f>
        <v>-1.788</v>
      </c>
      <c r="E123" s="34" t="n">
        <v>-3.985</v>
      </c>
      <c r="F123" s="34" t="n">
        <v>-2.068</v>
      </c>
      <c r="G123" s="35" t="n">
        <f aca="false">H123-F123</f>
        <v>-1.874</v>
      </c>
      <c r="H123" s="34" t="n">
        <v>-3.942</v>
      </c>
      <c r="I123" s="34" t="n">
        <v>-3.441</v>
      </c>
      <c r="J123" s="35" t="n">
        <f aca="false">K123-I123</f>
        <v>-2.371</v>
      </c>
      <c r="K123" s="34" t="n">
        <v>-5.812</v>
      </c>
      <c r="L123" s="34" t="n">
        <v>-3.036</v>
      </c>
      <c r="M123" s="35" t="n">
        <f aca="false">N123-L123</f>
        <v>-7.606</v>
      </c>
      <c r="N123" s="34" t="n">
        <v>-10.642</v>
      </c>
      <c r="O123" s="34" t="n">
        <v>-18.261</v>
      </c>
      <c r="P123" s="35" t="n">
        <f aca="false">Q123-O123</f>
        <v>-11.677</v>
      </c>
      <c r="Q123" s="34" t="n">
        <v>-29.938</v>
      </c>
      <c r="R123" s="34" t="n">
        <v>-11.307</v>
      </c>
      <c r="S123" s="35" t="n">
        <f aca="false">T123-R123</f>
        <v>-6.737</v>
      </c>
      <c r="T123" s="34" t="n">
        <v>-18.044</v>
      </c>
      <c r="U123" s="34" t="n">
        <v>-13.115</v>
      </c>
      <c r="V123" s="35" t="n">
        <f aca="false">W123-U123</f>
        <v>-10.389</v>
      </c>
      <c r="W123" s="34" t="n">
        <v>-23.504</v>
      </c>
      <c r="X123" s="34" t="n">
        <v>-17.102</v>
      </c>
      <c r="Y123" s="35" t="n">
        <f aca="false">Z123-X123</f>
        <v>-9.228</v>
      </c>
      <c r="Z123" s="34" t="n">
        <v>-26.33</v>
      </c>
      <c r="AA123" s="34" t="n">
        <v>-23.38</v>
      </c>
      <c r="AB123" s="35" t="n">
        <f aca="false">AC123-AA123</f>
        <v>-18.021</v>
      </c>
      <c r="AC123" s="34" t="n">
        <v>-41.401</v>
      </c>
      <c r="AD123" s="34" t="n">
        <v>-26.521</v>
      </c>
      <c r="AE123" s="35" t="n">
        <f aca="false">AF123-AD123</f>
        <v>-20.435</v>
      </c>
      <c r="AF123" s="34" t="n">
        <v>-46.956</v>
      </c>
      <c r="AG123" s="34" t="n">
        <v>-18.897</v>
      </c>
      <c r="AH123" s="35" t="n">
        <f aca="false">AI123-AG123</f>
        <v>-16.011</v>
      </c>
      <c r="AI123" s="34" t="n">
        <v>-34.908</v>
      </c>
      <c r="AJ123" s="34" t="n">
        <v>-44.063</v>
      </c>
      <c r="AK123" s="35" t="n">
        <f aca="false">AL123-AJ123</f>
        <v>-36.854</v>
      </c>
      <c r="AL123" s="34" t="n">
        <v>-80.917</v>
      </c>
      <c r="AM123" s="34" t="n">
        <v>-49.067</v>
      </c>
      <c r="AN123" s="35" t="n">
        <f aca="false">AO123-AM123</f>
        <v>-12.271</v>
      </c>
      <c r="AO123" s="34" t="n">
        <v>-61.338</v>
      </c>
      <c r="AP123" s="34" t="n">
        <v>-28.606</v>
      </c>
      <c r="AQ123" s="35" t="n">
        <f aca="false">AR123-AP123</f>
        <v>-38.953</v>
      </c>
      <c r="AR123" s="34" t="n">
        <v>-67.559</v>
      </c>
      <c r="AS123" s="34" t="n">
        <v>-53.684</v>
      </c>
      <c r="AT123" s="35" t="n">
        <f aca="false">AU123-AS123</f>
        <v>-30.95</v>
      </c>
      <c r="AU123" s="34" t="n">
        <v>-84.634</v>
      </c>
      <c r="AV123" s="34" t="n">
        <v>-40.207</v>
      </c>
      <c r="AW123" s="36" t="n">
        <f aca="false">-(AW345+AW346)</f>
        <v>-40.207</v>
      </c>
      <c r="AX123" s="36" t="n">
        <f aca="false">AV123+AW123</f>
        <v>-80.414</v>
      </c>
      <c r="AY123" s="36" t="n">
        <f aca="false">-(AY345+AY346)</f>
        <v>-43.4664701152672</v>
      </c>
      <c r="AZ123" s="36" t="n">
        <f aca="false">-(AZ345+AZ346)</f>
        <v>-44.5785992987771</v>
      </c>
      <c r="BA123" s="36" t="n">
        <f aca="false">-(BA345+BA346)</f>
        <v>-45.1103167637761</v>
      </c>
      <c r="BB123" s="36" t="n">
        <f aca="false">-(BB345+BB346)</f>
        <v>-45.6579520048665</v>
      </c>
    </row>
    <row r="124" customFormat="false" ht="15" hidden="false" customHeight="true" outlineLevel="0" collapsed="false">
      <c r="B124" s="14" t="s">
        <v>229</v>
      </c>
      <c r="C124" s="34" t="n">
        <v>1.077</v>
      </c>
      <c r="D124" s="35" t="n">
        <f aca="false">E124-C124</f>
        <v>0.351</v>
      </c>
      <c r="E124" s="34" t="n">
        <v>1.428</v>
      </c>
      <c r="F124" s="34" t="n">
        <v>1.204</v>
      </c>
      <c r="G124" s="35" t="n">
        <f aca="false">H124-F124</f>
        <v>0.754</v>
      </c>
      <c r="H124" s="34" t="n">
        <v>1.958</v>
      </c>
      <c r="I124" s="34" t="n">
        <v>2.482</v>
      </c>
      <c r="J124" s="35" t="n">
        <f aca="false">K124-I124</f>
        <v>1.595</v>
      </c>
      <c r="K124" s="34" t="n">
        <v>4.077</v>
      </c>
      <c r="L124" s="34" t="n">
        <v>1.748</v>
      </c>
      <c r="M124" s="35" t="n">
        <f aca="false">N124-L124</f>
        <v>5.991</v>
      </c>
      <c r="N124" s="34" t="n">
        <v>7.739</v>
      </c>
      <c r="O124" s="34" t="n">
        <v>15.719</v>
      </c>
      <c r="P124" s="35" t="n">
        <f aca="false">Q124-O124</f>
        <v>9.387</v>
      </c>
      <c r="Q124" s="34" t="n">
        <v>25.106</v>
      </c>
      <c r="R124" s="34" t="n">
        <v>9.499</v>
      </c>
      <c r="S124" s="35" t="n">
        <f aca="false">T124-R124</f>
        <v>5.3</v>
      </c>
      <c r="T124" s="34" t="n">
        <v>14.799</v>
      </c>
      <c r="U124" s="34" t="n">
        <v>10.079</v>
      </c>
      <c r="V124" s="35" t="n">
        <f aca="false">W124-U124</f>
        <v>8.118</v>
      </c>
      <c r="W124" s="34" t="n">
        <v>18.197</v>
      </c>
      <c r="X124" s="34" t="n">
        <v>15.895</v>
      </c>
      <c r="Y124" s="35" t="n">
        <f aca="false">Z124-X124</f>
        <v>6.179</v>
      </c>
      <c r="Z124" s="34" t="n">
        <v>22.074</v>
      </c>
      <c r="AA124" s="34" t="n">
        <v>16.916</v>
      </c>
      <c r="AB124" s="35" t="n">
        <f aca="false">AC124-AA124</f>
        <v>10.285</v>
      </c>
      <c r="AC124" s="34" t="n">
        <v>27.201</v>
      </c>
      <c r="AD124" s="34" t="n">
        <v>15.519</v>
      </c>
      <c r="AE124" s="35" t="n">
        <f aca="false">AF124-AD124</f>
        <v>12.473</v>
      </c>
      <c r="AF124" s="34" t="n">
        <v>27.992</v>
      </c>
      <c r="AG124" s="34" t="n">
        <v>12.697</v>
      </c>
      <c r="AH124" s="35" t="n">
        <f aca="false">AI124-AG124</f>
        <v>9.201</v>
      </c>
      <c r="AI124" s="34" t="n">
        <v>21.898</v>
      </c>
      <c r="AJ124" s="34" t="n">
        <v>56.005</v>
      </c>
      <c r="AK124" s="35" t="n">
        <f aca="false">AL124-AJ124</f>
        <v>14.467</v>
      </c>
      <c r="AL124" s="34" t="n">
        <v>70.472</v>
      </c>
      <c r="AM124" s="34" t="n">
        <v>46.638</v>
      </c>
      <c r="AN124" s="35" t="n">
        <f aca="false">AO124-AM124</f>
        <v>0.635000000000005</v>
      </c>
      <c r="AO124" s="34" t="n">
        <v>47.273</v>
      </c>
      <c r="AP124" s="34" t="n">
        <v>19.266</v>
      </c>
      <c r="AQ124" s="35" t="n">
        <f aca="false">AR124-AP124</f>
        <v>16.359</v>
      </c>
      <c r="AR124" s="34" t="n">
        <v>35.625</v>
      </c>
      <c r="AS124" s="34" t="n">
        <v>47.203</v>
      </c>
      <c r="AT124" s="35" t="n">
        <f aca="false">AU124-AS124</f>
        <v>8.343</v>
      </c>
      <c r="AU124" s="34" t="n">
        <v>55.546</v>
      </c>
      <c r="AV124" s="34" t="n">
        <v>21.797</v>
      </c>
      <c r="AW124" s="36" t="n">
        <f aca="false">AW348</f>
        <v>21.797</v>
      </c>
      <c r="AX124" s="36" t="n">
        <f aca="false">AV124+AW124</f>
        <v>43.594</v>
      </c>
      <c r="AY124" s="36" t="n">
        <f aca="false">AY348</f>
        <v>2.25</v>
      </c>
      <c r="AZ124" s="36" t="n">
        <f aca="false">AZ348</f>
        <v>2.25</v>
      </c>
      <c r="BA124" s="36" t="n">
        <f aca="false">BA348</f>
        <v>2.25</v>
      </c>
      <c r="BB124" s="36" t="n">
        <f aca="false">BB348</f>
        <v>2.25</v>
      </c>
    </row>
    <row r="125" customFormat="false" ht="15" hidden="false" customHeight="true" outlineLevel="0" collapsed="false">
      <c r="B125" s="20" t="s">
        <v>230</v>
      </c>
      <c r="AA125" s="42" t="n">
        <v>5.034</v>
      </c>
      <c r="AB125" s="26" t="n">
        <f aca="false">AC125-AA125</f>
        <v>5.407</v>
      </c>
      <c r="AC125" s="42" t="n">
        <v>10.441</v>
      </c>
      <c r="AD125" s="42" t="n">
        <v>6.804</v>
      </c>
      <c r="AE125" s="26" t="n">
        <f aca="false">AF125-AD125</f>
        <v>6.341</v>
      </c>
      <c r="AF125" s="42" t="n">
        <v>13.145</v>
      </c>
      <c r="AG125" s="42" t="n">
        <v>3.94</v>
      </c>
      <c r="AH125" s="26" t="n">
        <f aca="false">AI125-AG125</f>
        <v>5.51</v>
      </c>
      <c r="AI125" s="42" t="n">
        <v>9.45</v>
      </c>
      <c r="AJ125" s="42" t="n">
        <v>-4.716</v>
      </c>
      <c r="AK125" s="26" t="n">
        <f aca="false">AL125-AJ125</f>
        <v>14.098</v>
      </c>
      <c r="AL125" s="42" t="n">
        <v>9.382</v>
      </c>
      <c r="AM125" s="42" t="n">
        <v>12.619</v>
      </c>
      <c r="AN125" s="26" t="n">
        <f aca="false">AO125-AM125</f>
        <v>7.195</v>
      </c>
      <c r="AO125" s="42" t="n">
        <v>19.814</v>
      </c>
      <c r="AP125" s="42" t="n">
        <v>7.126</v>
      </c>
      <c r="AQ125" s="26" t="n">
        <f aca="false">AR125-AP125</f>
        <v>18.147</v>
      </c>
      <c r="AR125" s="42" t="n">
        <v>25.273</v>
      </c>
      <c r="AS125" s="42" t="n">
        <v>4.795</v>
      </c>
      <c r="AT125" s="26" t="n">
        <f aca="false">AU125-AS125</f>
        <v>14.271</v>
      </c>
      <c r="AU125" s="42" t="n">
        <v>19.066</v>
      </c>
      <c r="AV125" s="42" t="n">
        <v>13.307</v>
      </c>
    </row>
    <row r="126" customFormat="false" ht="15" hidden="false" customHeight="true" outlineLevel="0" collapsed="false">
      <c r="B126" s="20" t="s">
        <v>231</v>
      </c>
      <c r="C126" s="42" t="n">
        <v>1.346</v>
      </c>
      <c r="D126" s="26" t="n">
        <f aca="false">E126-C126</f>
        <v>1.55</v>
      </c>
      <c r="E126" s="42" t="n">
        <v>2.896</v>
      </c>
      <c r="F126" s="42" t="n">
        <v>1.064</v>
      </c>
      <c r="G126" s="26" t="n">
        <f aca="false">H126-F126</f>
        <v>0.76</v>
      </c>
      <c r="H126" s="42" t="n">
        <v>1.824</v>
      </c>
      <c r="I126" s="42" t="n">
        <v>0.53</v>
      </c>
      <c r="J126" s="26" t="n">
        <f aca="false">K126-I126</f>
        <v>0.73</v>
      </c>
      <c r="K126" s="42" t="n">
        <v>1.26</v>
      </c>
      <c r="L126" s="42" t="n">
        <v>0.953</v>
      </c>
      <c r="M126" s="26" t="n">
        <f aca="false">N126-L126</f>
        <v>0.671</v>
      </c>
      <c r="N126" s="42" t="n">
        <v>1.624</v>
      </c>
      <c r="O126" s="42" t="n">
        <v>0.806</v>
      </c>
      <c r="P126" s="26" t="n">
        <f aca="false">Q126-O126</f>
        <v>1.288</v>
      </c>
      <c r="Q126" s="42" t="n">
        <v>2.094</v>
      </c>
      <c r="R126" s="42" t="n">
        <v>0.847</v>
      </c>
      <c r="S126" s="26" t="n">
        <f aca="false">T126-R126</f>
        <v>0.583</v>
      </c>
      <c r="T126" s="42" t="n">
        <v>1.43</v>
      </c>
      <c r="U126" s="42" t="n">
        <v>0.794</v>
      </c>
      <c r="V126" s="26" t="n">
        <f aca="false">W126-U126</f>
        <v>0.657</v>
      </c>
      <c r="W126" s="42" t="n">
        <v>1.451</v>
      </c>
      <c r="X126" s="42" t="n">
        <v>0.153</v>
      </c>
      <c r="Y126" s="26" t="n">
        <f aca="false">Z126-X126</f>
        <v>0.96</v>
      </c>
      <c r="Z126" s="42" t="n">
        <v>1.113</v>
      </c>
      <c r="AA126" s="42" t="n">
        <v>0.772</v>
      </c>
      <c r="AB126" s="26" t="n">
        <f aca="false">AC126-AA126</f>
        <v>1.084</v>
      </c>
      <c r="AC126" s="42" t="n">
        <v>1.856</v>
      </c>
      <c r="AD126" s="42" t="n">
        <v>1.178</v>
      </c>
      <c r="AE126" s="26" t="n">
        <f aca="false">AF126-AD126</f>
        <v>1.053</v>
      </c>
      <c r="AF126" s="42" t="n">
        <v>2.231</v>
      </c>
      <c r="AG126" s="42" t="n">
        <v>0.804</v>
      </c>
      <c r="AH126" s="26" t="n">
        <f aca="false">AI126-AG126</f>
        <v>0.854</v>
      </c>
      <c r="AI126" s="42" t="n">
        <v>1.658</v>
      </c>
      <c r="AJ126" s="42" t="n">
        <v>1.694</v>
      </c>
      <c r="AK126" s="26" t="n">
        <f aca="false">AL126-AJ126</f>
        <v>1.645</v>
      </c>
      <c r="AL126" s="42" t="n">
        <v>3.339</v>
      </c>
      <c r="AM126" s="42" t="n">
        <v>2.486</v>
      </c>
      <c r="AN126" s="26" t="n">
        <f aca="false">AO126-AM126</f>
        <v>2.496</v>
      </c>
      <c r="AO126" s="42" t="n">
        <v>4.982</v>
      </c>
      <c r="AP126" s="42" t="n">
        <v>3.21</v>
      </c>
      <c r="AQ126" s="26" t="n">
        <f aca="false">AR126-AP126</f>
        <v>0.521</v>
      </c>
      <c r="AR126" s="42" t="n">
        <v>3.731</v>
      </c>
      <c r="AS126" s="42" t="n">
        <v>4.344</v>
      </c>
      <c r="AT126" s="26" t="n">
        <f aca="false">AU126-AS126</f>
        <v>5.784</v>
      </c>
      <c r="AU126" s="42" t="n">
        <v>10.128</v>
      </c>
      <c r="AV126" s="42" t="n">
        <v>6.142</v>
      </c>
    </row>
    <row r="127" customFormat="false" ht="15" hidden="false" customHeight="true" outlineLevel="0" collapsed="false">
      <c r="B127" s="14" t="s">
        <v>232</v>
      </c>
      <c r="C127" s="35" t="n">
        <f aca="false">C120+C123+C124</f>
        <v>14.842</v>
      </c>
      <c r="D127" s="35" t="n">
        <f aca="false">D120+D123+D124</f>
        <v>17.508</v>
      </c>
      <c r="E127" s="35" t="n">
        <f aca="false">E120+E123+E124</f>
        <v>32.35</v>
      </c>
      <c r="F127" s="35" t="n">
        <f aca="false">F120+F123+F124</f>
        <v>12.591</v>
      </c>
      <c r="G127" s="35" t="n">
        <f aca="false">G120+G123+G124</f>
        <v>21.169</v>
      </c>
      <c r="H127" s="35" t="n">
        <f aca="false">H120+H123+H124</f>
        <v>33.76</v>
      </c>
      <c r="I127" s="35" t="n">
        <f aca="false">I120+I123+I124</f>
        <v>20.845</v>
      </c>
      <c r="J127" s="35" t="n">
        <f aca="false">J120+J123+J124</f>
        <v>24.376</v>
      </c>
      <c r="K127" s="35" t="n">
        <f aca="false">K120+K123+K124</f>
        <v>45.221</v>
      </c>
      <c r="L127" s="35" t="n">
        <f aca="false">L120+L123+L124</f>
        <v>23.008</v>
      </c>
      <c r="M127" s="35" t="n">
        <f aca="false">M120+M123+M124</f>
        <v>23.418</v>
      </c>
      <c r="N127" s="35" t="n">
        <f aca="false">N120+N123+N124</f>
        <v>46.426</v>
      </c>
      <c r="O127" s="35" t="n">
        <f aca="false">O120+O123+O124</f>
        <v>22.31</v>
      </c>
      <c r="P127" s="35" t="n">
        <f aca="false">P120+P123+P124</f>
        <v>23.833</v>
      </c>
      <c r="Q127" s="35" t="n">
        <f aca="false">Q120+Q123+Q124</f>
        <v>46.143</v>
      </c>
      <c r="R127" s="35" t="n">
        <f aca="false">R120+R123+R124</f>
        <v>24.118</v>
      </c>
      <c r="S127" s="35" t="n">
        <f aca="false">S120+S123+S124</f>
        <v>29.282</v>
      </c>
      <c r="T127" s="35" t="n">
        <f aca="false">T120+T123+T124</f>
        <v>53.4</v>
      </c>
      <c r="U127" s="35" t="n">
        <f aca="false">U120+U123+U124</f>
        <v>27.989</v>
      </c>
      <c r="V127" s="35" t="n">
        <f aca="false">V120+V123+V124</f>
        <v>31.425</v>
      </c>
      <c r="W127" s="35" t="n">
        <f aca="false">W120+W123+W124</f>
        <v>59.414</v>
      </c>
      <c r="X127" s="35" t="n">
        <f aca="false">X120+X123+X124</f>
        <v>33.233</v>
      </c>
      <c r="Y127" s="35" t="n">
        <f aca="false">Y120+Y123+Y124</f>
        <v>32.049</v>
      </c>
      <c r="Z127" s="35" t="n">
        <f aca="false">Z120+Z123+Z124</f>
        <v>65.282</v>
      </c>
      <c r="AA127" s="35" t="n">
        <f aca="false">AA120+AA123+AA124</f>
        <v>32.6780000000001</v>
      </c>
      <c r="AB127" s="35" t="n">
        <f aca="false">AB120+AB123+AB124</f>
        <v>36.498</v>
      </c>
      <c r="AC127" s="35" t="n">
        <f aca="false">AC120+AC123+AC124</f>
        <v>69.176</v>
      </c>
      <c r="AD127" s="35" t="n">
        <f aca="false">AD120+AD123+AD124</f>
        <v>-64.277</v>
      </c>
      <c r="AE127" s="35" t="n">
        <f aca="false">AE120+AE123+AE124</f>
        <v>30.495</v>
      </c>
      <c r="AF127" s="35" t="n">
        <f aca="false">AF120+AF123+AF124</f>
        <v>-33.782</v>
      </c>
      <c r="AG127" s="35" t="n">
        <f aca="false">AG120+AG123+AG124</f>
        <v>19.134</v>
      </c>
      <c r="AH127" s="35" t="n">
        <f aca="false">AH120+AH123+AH124</f>
        <v>44.8919999999999</v>
      </c>
      <c r="AI127" s="35" t="n">
        <f aca="false">AI120+AI123+AI124</f>
        <v>64.0259999999999</v>
      </c>
      <c r="AJ127" s="35" t="n">
        <f aca="false">AJ120+AJ123+AJ124</f>
        <v>69.6960000000001</v>
      </c>
      <c r="AK127" s="35" t="n">
        <f aca="false">AK120+AK123+AK124</f>
        <v>54.271</v>
      </c>
      <c r="AL127" s="35" t="n">
        <f aca="false">AL120+AL123+AL124</f>
        <v>123.967</v>
      </c>
      <c r="AM127" s="35" t="n">
        <f aca="false">AM120+AM123+AM124</f>
        <v>85.2639999999999</v>
      </c>
      <c r="AN127" s="35" t="n">
        <f aca="false">AN120+AN123+AN124</f>
        <v>88.0770000000001</v>
      </c>
      <c r="AO127" s="35" t="n">
        <f aca="false">AO120+AO123+AO124</f>
        <v>173.341</v>
      </c>
      <c r="AP127" s="35" t="n">
        <f aca="false">AP120+AP123+AP124</f>
        <v>95.2470000000001</v>
      </c>
      <c r="AQ127" s="35" t="n">
        <f aca="false">AQ120+AQ123+AQ124</f>
        <v>84.49</v>
      </c>
      <c r="AR127" s="35" t="n">
        <f aca="false">AR120+AR123+AR124</f>
        <v>179.737</v>
      </c>
      <c r="AS127" s="35" t="n">
        <f aca="false">AS120+AS123+AS124</f>
        <v>107.356</v>
      </c>
      <c r="AT127" s="35" t="n">
        <f aca="false">AT120+AT123+AT124</f>
        <v>91.34</v>
      </c>
      <c r="AU127" s="35" t="n">
        <f aca="false">AU120+AU123+AU124</f>
        <v>198.696</v>
      </c>
      <c r="AV127" s="35" t="n">
        <f aca="false">AV120+AV123+AV124</f>
        <v>109.789</v>
      </c>
      <c r="AW127" s="36" t="n">
        <f aca="false">AW120+AW123+AW124</f>
        <v>116.010660676971</v>
      </c>
      <c r="AX127" s="36" t="n">
        <f aca="false">AX120+AX123+AX124</f>
        <v>225.799660676971</v>
      </c>
      <c r="AY127" s="36" t="n">
        <f aca="false">AY120+AY123+AY124</f>
        <v>247.050327656857</v>
      </c>
      <c r="AZ127" s="36" t="n">
        <f aca="false">AZ120+AZ123+AZ124</f>
        <v>280.226662729841</v>
      </c>
      <c r="BA127" s="36" t="n">
        <f aca="false">BA120+BA123+BA124</f>
        <v>315.395896804447</v>
      </c>
      <c r="BB127" s="36" t="n">
        <f aca="false">BB120+BB123+BB124</f>
        <v>347.679952614318</v>
      </c>
    </row>
    <row r="128" customFormat="false" ht="15" hidden="false" customHeight="true" outlineLevel="0" collapsed="false">
      <c r="B128" s="14" t="s">
        <v>233</v>
      </c>
      <c r="C128" s="34" t="n">
        <v>-6.021</v>
      </c>
      <c r="D128" s="35" t="n">
        <f aca="false">E128-C128</f>
        <v>-5.304</v>
      </c>
      <c r="E128" s="34" t="n">
        <v>-11.325</v>
      </c>
      <c r="F128" s="34" t="n">
        <v>-4.953</v>
      </c>
      <c r="G128" s="35" t="n">
        <f aca="false">H128-F128</f>
        <v>-6.564</v>
      </c>
      <c r="H128" s="34" t="n">
        <v>-11.517</v>
      </c>
      <c r="I128" s="34" t="n">
        <v>-7.582</v>
      </c>
      <c r="J128" s="35" t="n">
        <f aca="false">K128-I128</f>
        <v>-8.064</v>
      </c>
      <c r="K128" s="34" t="n">
        <v>-15.646</v>
      </c>
      <c r="L128" s="34" t="n">
        <v>-7.383</v>
      </c>
      <c r="M128" s="35" t="n">
        <f aca="false">N128-L128</f>
        <v>-7.256</v>
      </c>
      <c r="N128" s="34" t="n">
        <v>-14.639</v>
      </c>
      <c r="O128" s="34" t="n">
        <v>-6.797</v>
      </c>
      <c r="P128" s="35" t="n">
        <f aca="false">Q128-O128</f>
        <v>-6.397</v>
      </c>
      <c r="Q128" s="34" t="n">
        <v>-13.194</v>
      </c>
      <c r="R128" s="34" t="n">
        <v>-8.093</v>
      </c>
      <c r="S128" s="35" t="n">
        <f aca="false">T128-R128</f>
        <v>-8.188</v>
      </c>
      <c r="T128" s="34" t="n">
        <v>-16.281</v>
      </c>
      <c r="U128" s="34" t="n">
        <v>-8.137</v>
      </c>
      <c r="V128" s="35" t="n">
        <f aca="false">W128-U128</f>
        <v>1.208</v>
      </c>
      <c r="W128" s="34" t="n">
        <v>-6.929</v>
      </c>
      <c r="X128" s="34" t="n">
        <v>-7.453</v>
      </c>
      <c r="Y128" s="35" t="n">
        <f aca="false">Z128-X128</f>
        <v>-6.787</v>
      </c>
      <c r="Z128" s="34" t="n">
        <v>-14.24</v>
      </c>
      <c r="AA128" s="34" t="n">
        <v>-7.665</v>
      </c>
      <c r="AB128" s="35" t="n">
        <f aca="false">AC128-AA128</f>
        <v>-8.428</v>
      </c>
      <c r="AC128" s="34" t="n">
        <v>-16.093</v>
      </c>
      <c r="AD128" s="34" t="n">
        <v>16.62</v>
      </c>
      <c r="AE128" s="35" t="n">
        <f aca="false">AF128-AD128</f>
        <v>-14.907</v>
      </c>
      <c r="AF128" s="34" t="n">
        <v>1.713</v>
      </c>
      <c r="AG128" s="34" t="n">
        <v>2.72</v>
      </c>
      <c r="AH128" s="35" t="n">
        <f aca="false">AI128-AG128</f>
        <v>-10.451</v>
      </c>
      <c r="AI128" s="34" t="n">
        <v>-7.731</v>
      </c>
      <c r="AJ128" s="34" t="n">
        <v>-19.125</v>
      </c>
      <c r="AK128" s="35" t="n">
        <f aca="false">AL128-AJ128</f>
        <v>-17.637</v>
      </c>
      <c r="AL128" s="34" t="n">
        <v>-36.762</v>
      </c>
      <c r="AM128" s="34" t="n">
        <v>-18.577</v>
      </c>
      <c r="AN128" s="35" t="n">
        <f aca="false">AO128-AM128</f>
        <v>-30.955</v>
      </c>
      <c r="AO128" s="34" t="n">
        <v>-49.532</v>
      </c>
      <c r="AP128" s="34" t="n">
        <v>-29.17</v>
      </c>
      <c r="AQ128" s="35" t="n">
        <f aca="false">AR128-AP128</f>
        <v>-22.054</v>
      </c>
      <c r="AR128" s="34" t="n">
        <v>-51.224</v>
      </c>
      <c r="AS128" s="34" t="n">
        <v>-30.706</v>
      </c>
      <c r="AT128" s="35" t="n">
        <f aca="false">AU128-AS128</f>
        <v>-26.001</v>
      </c>
      <c r="AU128" s="34" t="n">
        <v>-56.707</v>
      </c>
      <c r="AV128" s="34" t="n">
        <v>-31.62</v>
      </c>
      <c r="AW128" s="36" t="n">
        <f aca="false">-AW127*AW129</f>
        <v>-33.4118817969543</v>
      </c>
      <c r="AX128" s="36" t="n">
        <f aca="false">AV128+AW128</f>
        <v>-65.0318817969543</v>
      </c>
      <c r="AY128" s="36" t="n">
        <f aca="false">-AY127*AY129</f>
        <v>-70.4093433822041</v>
      </c>
      <c r="AZ128" s="36" t="n">
        <f aca="false">-AZ127*AZ129</f>
        <v>-79.8645988780047</v>
      </c>
      <c r="BA128" s="36" t="n">
        <f aca="false">-BA127*BA129</f>
        <v>-89.8878305892675</v>
      </c>
      <c r="BB128" s="36" t="n">
        <f aca="false">-BB127*BB129</f>
        <v>-99.0887864950807</v>
      </c>
    </row>
    <row r="129" customFormat="false" ht="15" hidden="false" customHeight="true" outlineLevel="0" collapsed="false">
      <c r="B129" s="31" t="s">
        <v>234</v>
      </c>
      <c r="C129" s="32" t="n">
        <f aca="false">IFERROR(-C128/C127,"")</f>
        <v>0.405673089880071</v>
      </c>
      <c r="D129" s="32" t="n">
        <f aca="false">IFERROR(-D128/D127,"")</f>
        <v>0.302947224126114</v>
      </c>
      <c r="E129" s="32" t="n">
        <f aca="false">IFERROR(-E128/E127,"")</f>
        <v>0.350077279752705</v>
      </c>
      <c r="F129" s="32" t="n">
        <f aca="false">IFERROR(-F128/F127,"")</f>
        <v>0.393376221110317</v>
      </c>
      <c r="G129" s="32" t="n">
        <f aca="false">IFERROR(-G128/G127,"")</f>
        <v>0.310076054608153</v>
      </c>
      <c r="H129" s="32" t="n">
        <f aca="false">IFERROR(-H128/H127,"")</f>
        <v>0.34114336492891</v>
      </c>
      <c r="I129" s="32" t="n">
        <f aca="false">IFERROR(-I128/I127,"")</f>
        <v>0.363732309906452</v>
      </c>
      <c r="J129" s="32" t="n">
        <f aca="false">IFERROR(-J128/J127,"")</f>
        <v>0.33081719724319</v>
      </c>
      <c r="K129" s="32" t="n">
        <f aca="false">IFERROR(-K128/K127,"")</f>
        <v>0.345989695053183</v>
      </c>
      <c r="L129" s="32" t="n">
        <f aca="false">IFERROR(-L128/L127,"")</f>
        <v>0.320888386648122</v>
      </c>
      <c r="M129" s="32" t="n">
        <f aca="false">IFERROR(-M128/M127,"")</f>
        <v>0.309847126142284</v>
      </c>
      <c r="N129" s="32" t="n">
        <f aca="false">IFERROR(-N128/N127,"")</f>
        <v>0.315319002283203</v>
      </c>
      <c r="O129" s="32" t="n">
        <f aca="false">IFERROR(-O128/O127,"")</f>
        <v>0.304661586732407</v>
      </c>
      <c r="P129" s="32" t="n">
        <f aca="false">IFERROR(-P128/P127,"")</f>
        <v>0.268409348382495</v>
      </c>
      <c r="Q129" s="32" t="n">
        <f aca="false">IFERROR(-Q128/Q127,"")</f>
        <v>0.285937195240882</v>
      </c>
      <c r="R129" s="32" t="n">
        <f aca="false">IFERROR(-R128/R127,"")</f>
        <v>0.335558504021892</v>
      </c>
      <c r="S129" s="32" t="n">
        <f aca="false">IFERROR(-S128/S127,"")</f>
        <v>0.27962570862646</v>
      </c>
      <c r="T129" s="32" t="n">
        <f aca="false">IFERROR(-T128/T127,"")</f>
        <v>0.304887640449438</v>
      </c>
      <c r="U129" s="32" t="n">
        <f aca="false">IFERROR(-U128/U127,"")</f>
        <v>0.290721354817964</v>
      </c>
      <c r="V129" s="32" t="n">
        <f aca="false">IFERROR(-V128/V127,"")</f>
        <v>-0.0384407319013524</v>
      </c>
      <c r="W129" s="32" t="n">
        <f aca="false">IFERROR(-W128/W127,"")</f>
        <v>0.116622344901875</v>
      </c>
      <c r="X129" s="32" t="n">
        <f aca="false">IFERROR(-X128/X127,"")</f>
        <v>0.224265037763669</v>
      </c>
      <c r="Y129" s="32" t="n">
        <f aca="false">IFERROR(-Y128/Y127,"")</f>
        <v>0.211769477986833</v>
      </c>
      <c r="Z129" s="32" t="n">
        <f aca="false">IFERROR(-Z128/Z127,"")</f>
        <v>0.218130571980025</v>
      </c>
      <c r="AA129" s="32" t="n">
        <f aca="false">IFERROR(-AA128/AA127,"")</f>
        <v>0.234561478670665</v>
      </c>
      <c r="AB129" s="32" t="n">
        <f aca="false">IFERROR(-AB128/AB127,"")</f>
        <v>0.230916762562333</v>
      </c>
      <c r="AC129" s="32" t="n">
        <f aca="false">IFERROR(-AC128/AC127,"")</f>
        <v>0.232638487336649</v>
      </c>
      <c r="AD129" s="32" t="n">
        <f aca="false">IFERROR(-AD128/AD127,"")</f>
        <v>0.258568383714237</v>
      </c>
      <c r="AE129" s="32" t="n">
        <f aca="false">IFERROR(-AE128/AE127,"")</f>
        <v>0.488834235120512</v>
      </c>
      <c r="AF129" s="32" t="n">
        <f aca="false">IFERROR(-AF128/AF127,"")</f>
        <v>0.0507074773548044</v>
      </c>
      <c r="AG129" s="32" t="n">
        <f aca="false">IFERROR(-AG128/AG127,"")</f>
        <v>-0.142155325598411</v>
      </c>
      <c r="AH129" s="32" t="n">
        <f aca="false">IFERROR(-AH128/AH127,"")</f>
        <v>0.232803172057382</v>
      </c>
      <c r="AI129" s="32" t="n">
        <f aca="false">IFERROR(-AI128/AI127,"")</f>
        <v>0.120747821197639</v>
      </c>
      <c r="AJ129" s="32" t="n">
        <f aca="false">IFERROR(-AJ128/AJ127,"")</f>
        <v>0.274405991735537</v>
      </c>
      <c r="AK129" s="32" t="n">
        <f aca="false">IFERROR(-AK128/AK127,"")</f>
        <v>0.324980191999411</v>
      </c>
      <c r="AL129" s="32" t="n">
        <f aca="false">IFERROR(-AL128/AL127,"")</f>
        <v>0.296546661611558</v>
      </c>
      <c r="AM129" s="32" t="n">
        <f aca="false">IFERROR(-AM128/AM127,"")</f>
        <v>0.217876243197598</v>
      </c>
      <c r="AN129" s="32" t="n">
        <f aca="false">IFERROR(-AN128/AN127,"")</f>
        <v>0.351453841525029</v>
      </c>
      <c r="AO129" s="32" t="n">
        <f aca="false">IFERROR(-AO128/AO127,"")</f>
        <v>0.285748899567904</v>
      </c>
      <c r="AP129" s="32" t="n">
        <f aca="false">IFERROR(-AP128/AP127,"")</f>
        <v>0.306256365029869</v>
      </c>
      <c r="AQ129" s="32" t="n">
        <f aca="false">IFERROR(-AQ128/AQ127,"")</f>
        <v>0.26102497336963</v>
      </c>
      <c r="AR129" s="32" t="n">
        <f aca="false">IFERROR(-AR128/AR127,"")</f>
        <v>0.284994185949471</v>
      </c>
      <c r="AS129" s="32" t="n">
        <f aca="false">IFERROR(-AS128/AS127,"")</f>
        <v>0.286020343529938</v>
      </c>
      <c r="AT129" s="32" t="n">
        <f aca="false">IFERROR(-AT128/AT127,"")</f>
        <v>0.28466170352529</v>
      </c>
      <c r="AU129" s="32" t="n">
        <f aca="false">IFERROR(-AU128/AU127,"")</f>
        <v>0.285395780488787</v>
      </c>
      <c r="AV129" s="32" t="n">
        <f aca="false">IFERROR(-AV128/AV127,"")</f>
        <v>0.288006995236317</v>
      </c>
      <c r="AW129" s="33" t="n">
        <f aca="false">AV129</f>
        <v>0.288006995236317</v>
      </c>
      <c r="AX129" s="33" t="n">
        <f aca="false">IFERROR(-AX128/AX127,"")</f>
        <v>0.288006995236317</v>
      </c>
      <c r="AY129" s="43" t="n">
        <v>0.285</v>
      </c>
      <c r="AZ129" s="43" t="n">
        <v>0.285</v>
      </c>
      <c r="BA129" s="43" t="n">
        <v>0.285</v>
      </c>
      <c r="BB129" s="43" t="n">
        <v>0.285</v>
      </c>
      <c r="BC129" s="18" t="s">
        <v>235</v>
      </c>
    </row>
    <row r="130" customFormat="false" ht="15" hidden="false" customHeight="true" outlineLevel="0" collapsed="false">
      <c r="B130" s="46" t="s">
        <v>236</v>
      </c>
      <c r="C130" s="47" t="n">
        <f aca="false">C127+C128</f>
        <v>8.82099999999998</v>
      </c>
      <c r="D130" s="47" t="n">
        <f aca="false">D127+D128</f>
        <v>12.204</v>
      </c>
      <c r="E130" s="47" t="n">
        <f aca="false">E127+E128</f>
        <v>21.025</v>
      </c>
      <c r="F130" s="47" t="n">
        <f aca="false">F127+F128</f>
        <v>7.63799999999998</v>
      </c>
      <c r="G130" s="47" t="n">
        <f aca="false">G127+G128</f>
        <v>14.605</v>
      </c>
      <c r="H130" s="47" t="n">
        <f aca="false">H127+H128</f>
        <v>22.243</v>
      </c>
      <c r="I130" s="47" t="n">
        <f aca="false">I127+I128</f>
        <v>13.263</v>
      </c>
      <c r="J130" s="47" t="n">
        <f aca="false">J127+J128</f>
        <v>16.312</v>
      </c>
      <c r="K130" s="47" t="n">
        <f aca="false">K127+K128</f>
        <v>29.575</v>
      </c>
      <c r="L130" s="47" t="n">
        <f aca="false">L127+L128</f>
        <v>15.625</v>
      </c>
      <c r="M130" s="47" t="n">
        <f aca="false">M127+M128</f>
        <v>16.162</v>
      </c>
      <c r="N130" s="47" t="n">
        <f aca="false">N127+N128</f>
        <v>31.787</v>
      </c>
      <c r="O130" s="47" t="n">
        <f aca="false">O127+O128</f>
        <v>15.513</v>
      </c>
      <c r="P130" s="47" t="n">
        <f aca="false">P127+P128</f>
        <v>17.436</v>
      </c>
      <c r="Q130" s="47" t="n">
        <f aca="false">Q127+Q128</f>
        <v>32.949</v>
      </c>
      <c r="R130" s="47" t="n">
        <f aca="false">R127+R128</f>
        <v>16.025</v>
      </c>
      <c r="S130" s="47" t="n">
        <f aca="false">S127+S128</f>
        <v>21.094</v>
      </c>
      <c r="T130" s="47" t="n">
        <f aca="false">T127+T128</f>
        <v>37.119</v>
      </c>
      <c r="U130" s="47" t="n">
        <f aca="false">U127+U128</f>
        <v>19.852</v>
      </c>
      <c r="V130" s="47" t="n">
        <f aca="false">V127+V128</f>
        <v>32.633</v>
      </c>
      <c r="W130" s="47" t="n">
        <f aca="false">W127+W128</f>
        <v>52.485</v>
      </c>
      <c r="X130" s="47" t="n">
        <f aca="false">X127+X128</f>
        <v>25.78</v>
      </c>
      <c r="Y130" s="47" t="n">
        <f aca="false">Y127+Y128</f>
        <v>25.262</v>
      </c>
      <c r="Z130" s="47" t="n">
        <f aca="false">Z127+Z128</f>
        <v>51.042</v>
      </c>
      <c r="AA130" s="47" t="n">
        <f aca="false">AA127+AA128</f>
        <v>25.0130000000001</v>
      </c>
      <c r="AB130" s="47" t="n">
        <f aca="false">AB127+AB128</f>
        <v>28.0699999999999</v>
      </c>
      <c r="AC130" s="47" t="n">
        <f aca="false">AC127+AC128</f>
        <v>53.083</v>
      </c>
      <c r="AD130" s="47" t="n">
        <f aca="false">AD127+AD128</f>
        <v>-47.657</v>
      </c>
      <c r="AE130" s="47" t="n">
        <f aca="false">AE127+AE128</f>
        <v>15.588</v>
      </c>
      <c r="AF130" s="47" t="n">
        <f aca="false">AF127+AF128</f>
        <v>-32.069</v>
      </c>
      <c r="AG130" s="47" t="n">
        <f aca="false">AG127+AG128</f>
        <v>21.854</v>
      </c>
      <c r="AH130" s="47" t="n">
        <f aca="false">AH127+AH128</f>
        <v>34.4409999999999</v>
      </c>
      <c r="AI130" s="47" t="n">
        <f aca="false">AI127+AI128</f>
        <v>56.2949999999999</v>
      </c>
      <c r="AJ130" s="47" t="n">
        <f aca="false">AJ127+AJ128</f>
        <v>50.5710000000001</v>
      </c>
      <c r="AK130" s="47" t="n">
        <f aca="false">AK127+AK128</f>
        <v>36.634</v>
      </c>
      <c r="AL130" s="47" t="n">
        <f aca="false">AL127+AL128</f>
        <v>87.205</v>
      </c>
      <c r="AM130" s="47" t="n">
        <f aca="false">AM127+AM128</f>
        <v>66.6869999999999</v>
      </c>
      <c r="AN130" s="47" t="n">
        <f aca="false">AN127+AN128</f>
        <v>57.1220000000001</v>
      </c>
      <c r="AO130" s="47" t="n">
        <f aca="false">AO127+AO128</f>
        <v>123.809</v>
      </c>
      <c r="AP130" s="47" t="n">
        <f aca="false">AP127+AP128</f>
        <v>66.0770000000001</v>
      </c>
      <c r="AQ130" s="47" t="n">
        <f aca="false">AQ127+AQ128</f>
        <v>62.436</v>
      </c>
      <c r="AR130" s="47" t="n">
        <f aca="false">AR127+AR128</f>
        <v>128.513</v>
      </c>
      <c r="AS130" s="47" t="n">
        <f aca="false">AS127+AS128</f>
        <v>76.65</v>
      </c>
      <c r="AT130" s="47" t="n">
        <f aca="false">AT127+AT128</f>
        <v>65.339</v>
      </c>
      <c r="AU130" s="47" t="n">
        <f aca="false">AU127+AU128</f>
        <v>141.989</v>
      </c>
      <c r="AV130" s="47" t="n">
        <f aca="false">AV127+AV128</f>
        <v>78.169</v>
      </c>
      <c r="AW130" s="47" t="n">
        <f aca="false">AW127+AW128</f>
        <v>82.5987788800163</v>
      </c>
      <c r="AX130" s="47" t="n">
        <f aca="false">AX127+AX128</f>
        <v>160.767778880016</v>
      </c>
      <c r="AY130" s="47" t="n">
        <f aca="false">AY127+AY128</f>
        <v>176.640984274652</v>
      </c>
      <c r="AZ130" s="47" t="n">
        <f aca="false">AZ127+AZ128</f>
        <v>200.362063851836</v>
      </c>
      <c r="BA130" s="47" t="n">
        <f aca="false">BA127+BA128</f>
        <v>225.50806621518</v>
      </c>
      <c r="BB130" s="47" t="n">
        <f aca="false">BB127+BB128</f>
        <v>248.591166119237</v>
      </c>
      <c r="BE130" s="37" t="n">
        <f aca="false">IFERROR(IF(AND(BB130&gt;0,AU130&gt;0),(BB130/AU130)^(1/5)-1,"n/m"),"n/m")</f>
        <v>0.118526294986147</v>
      </c>
      <c r="BF130" s="37" t="str">
        <f aca="false">IFERROR(IF(AND(AU130&gt;0,AF130&gt;0),(AU130/AF130)^(1/5)-1,"n/m"),"n/m")</f>
        <v>n/m</v>
      </c>
      <c r="BG130" s="37" t="n">
        <f aca="false">IFERROR(IF(AND(AU130&gt;0,Q130&gt;0),(AU130/Q130)^(1/10)-1,"n/m"),"n/m")</f>
        <v>0.157287457206443</v>
      </c>
      <c r="BH130" s="37" t="n">
        <f aca="false">IFERROR(IF(AND(AU130&gt;0,E130&gt;0),(AU130/E130)^(1/14)-1,"n/m"),"n/m")</f>
        <v>0.146176065961043</v>
      </c>
    </row>
    <row r="131" customFormat="false" ht="15" hidden="false" customHeight="true" outlineLevel="0" collapsed="false">
      <c r="B131" s="20" t="s">
        <v>237</v>
      </c>
      <c r="C131" s="42" t="n">
        <v>0.246</v>
      </c>
      <c r="D131" s="26" t="n">
        <f aca="false">E131-C131</f>
        <v>0.511</v>
      </c>
      <c r="E131" s="42" t="n">
        <v>0.757</v>
      </c>
      <c r="F131" s="42" t="n">
        <v>-0.225</v>
      </c>
      <c r="G131" s="26" t="n">
        <f aca="false">H131-F131</f>
        <v>-0.016</v>
      </c>
      <c r="H131" s="42" t="n">
        <v>-0.241</v>
      </c>
      <c r="I131" s="42" t="n">
        <v>-0.784</v>
      </c>
      <c r="J131" s="26" t="n">
        <f aca="false">K131-I131</f>
        <v>-0.117</v>
      </c>
      <c r="K131" s="42" t="n">
        <v>-0.901</v>
      </c>
      <c r="L131" s="42" t="n">
        <v>-0.993</v>
      </c>
      <c r="M131" s="26" t="n">
        <f aca="false">N131-L131</f>
        <v>-0.28</v>
      </c>
      <c r="N131" s="42" t="n">
        <v>-1.273</v>
      </c>
      <c r="O131" s="42" t="n">
        <v>-1.936</v>
      </c>
      <c r="P131" s="26" t="n">
        <f aca="false">Q131-O131</f>
        <v>1.547</v>
      </c>
      <c r="Q131" s="42" t="n">
        <v>-0.389</v>
      </c>
      <c r="R131" s="42" t="n">
        <v>-0.192</v>
      </c>
      <c r="S131" s="26" t="n">
        <f aca="false">T131-R131</f>
        <v>0.914</v>
      </c>
      <c r="T131" s="42" t="n">
        <v>0.722</v>
      </c>
      <c r="U131" s="42" t="n">
        <v>0.272</v>
      </c>
      <c r="V131" s="26" t="n">
        <f aca="false">W131-U131</f>
        <v>1.096</v>
      </c>
      <c r="W131" s="42" t="n">
        <v>1.368</v>
      </c>
      <c r="X131" s="42" t="n">
        <v>-0.302</v>
      </c>
      <c r="Y131" s="26" t="n">
        <f aca="false">Z131-X131</f>
        <v>0.652</v>
      </c>
      <c r="Z131" s="42" t="n">
        <v>0.35</v>
      </c>
      <c r="AA131" s="42" t="n">
        <v>-0.291</v>
      </c>
      <c r="AB131" s="26" t="n">
        <f aca="false">AC131-AA131</f>
        <v>0.821</v>
      </c>
      <c r="AC131" s="42" t="n">
        <v>0.53</v>
      </c>
      <c r="AD131" s="42" t="n">
        <v>-0.137</v>
      </c>
      <c r="AE131" s="26" t="n">
        <f aca="false">AF131-AD131</f>
        <v>1.284</v>
      </c>
      <c r="AF131" s="42" t="n">
        <v>1.147</v>
      </c>
      <c r="AG131" s="42" t="n">
        <v>1.507</v>
      </c>
      <c r="AH131" s="26" t="n">
        <f aca="false">AI131-AG131</f>
        <v>1.466</v>
      </c>
      <c r="AI131" s="42" t="n">
        <v>2.973</v>
      </c>
      <c r="AJ131" s="42" t="n">
        <v>3.985</v>
      </c>
      <c r="AK131" s="26" t="n">
        <f aca="false">AL131-AJ131</f>
        <v>2.621</v>
      </c>
      <c r="AL131" s="42" t="n">
        <v>6.606</v>
      </c>
      <c r="AM131" s="42" t="n">
        <v>4.905</v>
      </c>
      <c r="AN131" s="26" t="n">
        <f aca="false">AO131-AM131</f>
        <v>4.287</v>
      </c>
      <c r="AO131" s="42" t="n">
        <v>9.192</v>
      </c>
      <c r="AP131" s="42" t="n">
        <v>5.138</v>
      </c>
      <c r="AQ131" s="26" t="n">
        <f aca="false">AR131-AP131</f>
        <v>3.897</v>
      </c>
      <c r="AR131" s="42" t="n">
        <v>9.035</v>
      </c>
      <c r="AS131" s="42" t="n">
        <v>3.387</v>
      </c>
      <c r="AT131" s="26" t="n">
        <f aca="false">AU131-AS131</f>
        <v>3.568</v>
      </c>
      <c r="AU131" s="42" t="n">
        <v>6.955</v>
      </c>
      <c r="AV131" s="42" t="n">
        <v>2.047</v>
      </c>
      <c r="AW131" s="27" t="n">
        <f aca="false">AW130*AW132</f>
        <v>3.30395115520065</v>
      </c>
      <c r="AX131" s="27" t="n">
        <f aca="false">AV131+AW131</f>
        <v>5.35095115520065</v>
      </c>
      <c r="AY131" s="27" t="n">
        <f aca="false">AY130*AY132</f>
        <v>7.0656393709861</v>
      </c>
      <c r="AZ131" s="27" t="n">
        <f aca="false">AZ130*AZ132</f>
        <v>8.01448255407346</v>
      </c>
      <c r="BA131" s="27" t="n">
        <f aca="false">BA130*BA132</f>
        <v>9.02032264860719</v>
      </c>
      <c r="BB131" s="27" t="n">
        <f aca="false">BB130*BB132</f>
        <v>9.9436466447695</v>
      </c>
    </row>
    <row r="132" customFormat="false" ht="15" hidden="false" customHeight="true" outlineLevel="0" collapsed="false">
      <c r="B132" s="31" t="s">
        <v>238</v>
      </c>
      <c r="C132" s="32" t="n">
        <f aca="false">IFERROR(C131/C130,"")</f>
        <v>0.0278879945584402</v>
      </c>
      <c r="D132" s="32" t="n">
        <f aca="false">IFERROR(D131/D130,"")</f>
        <v>0.0418715175352344</v>
      </c>
      <c r="E132" s="32" t="n">
        <f aca="false">IFERROR(E131/E130,"")</f>
        <v>0.0360047562425684</v>
      </c>
      <c r="F132" s="32" t="n">
        <f aca="false">IFERROR(F131/F130,"")</f>
        <v>-0.0294579732914376</v>
      </c>
      <c r="G132" s="32" t="n">
        <f aca="false">IFERROR(G131/G130,"")</f>
        <v>-0.00109551523450873</v>
      </c>
      <c r="H132" s="32" t="n">
        <f aca="false">IFERROR(H131/H130,"")</f>
        <v>-0.0108348693971137</v>
      </c>
      <c r="I132" s="32" t="n">
        <f aca="false">IFERROR(I131/I130,"")</f>
        <v>-0.0591118148231923</v>
      </c>
      <c r="J132" s="32" t="n">
        <f aca="false">IFERROR(J131/J130,"")</f>
        <v>-0.00717263364394311</v>
      </c>
      <c r="K132" s="32" t="n">
        <f aca="false">IFERROR(K131/K130,"")</f>
        <v>-0.0304649196956889</v>
      </c>
      <c r="L132" s="32" t="n">
        <f aca="false">IFERROR(L131/L130,"")</f>
        <v>-0.063552</v>
      </c>
      <c r="M132" s="32" t="n">
        <f aca="false">IFERROR(M131/M130,"")</f>
        <v>-0.0173245885410222</v>
      </c>
      <c r="N132" s="32" t="n">
        <f aca="false">IFERROR(N131/N130,"")</f>
        <v>-0.0400478182904961</v>
      </c>
      <c r="O132" s="32" t="n">
        <f aca="false">IFERROR(O131/O130,"")</f>
        <v>-0.124798556049765</v>
      </c>
      <c r="P132" s="32" t="n">
        <f aca="false">IFERROR(P131/P130,"")</f>
        <v>0.0887244780913054</v>
      </c>
      <c r="Q132" s="32" t="n">
        <f aca="false">IFERROR(Q131/Q130,"")</f>
        <v>-0.0118061246168321</v>
      </c>
      <c r="R132" s="32" t="n">
        <f aca="false">IFERROR(R131/R130,"")</f>
        <v>-0.01198127925117</v>
      </c>
      <c r="S132" s="32" t="n">
        <f aca="false">IFERROR(S131/S130,"")</f>
        <v>0.0433298568313264</v>
      </c>
      <c r="T132" s="32" t="n">
        <f aca="false">IFERROR(T131/T130,"")</f>
        <v>0.0194509550365042</v>
      </c>
      <c r="U132" s="32" t="n">
        <f aca="false">IFERROR(U131/U130,"")</f>
        <v>0.0137013902881322</v>
      </c>
      <c r="V132" s="32" t="n">
        <f aca="false">IFERROR(V131/V130,"")</f>
        <v>0.0335856341739956</v>
      </c>
      <c r="W132" s="32" t="n">
        <f aca="false">IFERROR(W131/W130,"")</f>
        <v>0.0260645898828237</v>
      </c>
      <c r="X132" s="32" t="n">
        <f aca="false">IFERROR(X131/X130,"")</f>
        <v>-0.0117145073700543</v>
      </c>
      <c r="Y132" s="32" t="n">
        <f aca="false">IFERROR(Y131/Y130,"")</f>
        <v>0.0258095162694957</v>
      </c>
      <c r="Z132" s="32" t="n">
        <f aca="false">IFERROR(Z131/Z130,"")</f>
        <v>0.0068570980760942</v>
      </c>
      <c r="AA132" s="32" t="n">
        <f aca="false">IFERROR(AA131/AA130,"")</f>
        <v>-0.0116339503458201</v>
      </c>
      <c r="AB132" s="32" t="n">
        <f aca="false">IFERROR(AB131/AB130,"")</f>
        <v>0.0292483078019238</v>
      </c>
      <c r="AC132" s="32" t="n">
        <f aca="false">IFERROR(AC131/AC130,"")</f>
        <v>0.0099843641090368</v>
      </c>
      <c r="AD132" s="32" t="n">
        <f aca="false">IFERROR(AD131/AD130,"")</f>
        <v>0.00287470885704094</v>
      </c>
      <c r="AE132" s="32" t="n">
        <f aca="false">IFERROR(AE131/AE130,"")</f>
        <v>0.0823710546574288</v>
      </c>
      <c r="AF132" s="32" t="n">
        <f aca="false">IFERROR(AF131/AF130,"")</f>
        <v>-0.0357666282079267</v>
      </c>
      <c r="AG132" s="32" t="n">
        <f aca="false">IFERROR(AG131/AG130,"")</f>
        <v>0.068957627894207</v>
      </c>
      <c r="AH132" s="32" t="n">
        <f aca="false">IFERROR(AH131/AH130,"")</f>
        <v>0.0425655468772684</v>
      </c>
      <c r="AI132" s="32" t="n">
        <f aca="false">IFERROR(AI131/AI130,"")</f>
        <v>0.0528110844657608</v>
      </c>
      <c r="AJ132" s="32" t="n">
        <f aca="false">IFERROR(AJ131/AJ130,"")</f>
        <v>0.0788001028257301</v>
      </c>
      <c r="AK132" s="32" t="n">
        <f aca="false">IFERROR(AK131/AK130,"")</f>
        <v>0.0715455587705411</v>
      </c>
      <c r="AL132" s="32" t="n">
        <f aca="false">IFERROR(AL131/AL130,"")</f>
        <v>0.0757525371251649</v>
      </c>
      <c r="AM132" s="32" t="n">
        <f aca="false">IFERROR(AM131/AM130,"")</f>
        <v>0.0735525664672276</v>
      </c>
      <c r="AN132" s="32" t="n">
        <f aca="false">IFERROR(AN131/AN130,"")</f>
        <v>0.0750498932110219</v>
      </c>
      <c r="AO132" s="32" t="n">
        <f aca="false">IFERROR(AO131/AO130,"")</f>
        <v>0.0742433910297313</v>
      </c>
      <c r="AP132" s="32" t="n">
        <f aca="false">IFERROR(AP131/AP130,"")</f>
        <v>0.0777577674531228</v>
      </c>
      <c r="AQ132" s="32" t="n">
        <f aca="false">IFERROR(AQ131/AQ130,"")</f>
        <v>0.0624159138958293</v>
      </c>
      <c r="AR132" s="32" t="n">
        <f aca="false">IFERROR(AR131/AR130,"")</f>
        <v>0.07030417156241</v>
      </c>
      <c r="AS132" s="32" t="n">
        <f aca="false">IFERROR(AS131/AS130,"")</f>
        <v>0.044187866927593</v>
      </c>
      <c r="AT132" s="32" t="n">
        <f aca="false">IFERROR(AT131/AT130,"")</f>
        <v>0.0546075085324232</v>
      </c>
      <c r="AU132" s="32" t="n">
        <f aca="false">IFERROR(AU131/AU130,"")</f>
        <v>0.0489826676714393</v>
      </c>
      <c r="AV132" s="32" t="n">
        <f aca="false">IFERROR(AV131/AV130,"")</f>
        <v>0.0261868515651985</v>
      </c>
      <c r="AW132" s="43" t="n">
        <v>0.04</v>
      </c>
      <c r="AX132" s="33" t="n">
        <f aca="false">IFERROR(AX131/AX130,"")</f>
        <v>0.033283728819779</v>
      </c>
      <c r="AY132" s="43" t="n">
        <v>0.04</v>
      </c>
      <c r="AZ132" s="43" t="n">
        <v>0.04</v>
      </c>
      <c r="BA132" s="43" t="n">
        <v>0.04</v>
      </c>
      <c r="BB132" s="43" t="n">
        <v>0.04</v>
      </c>
      <c r="BC132" s="18" t="s">
        <v>239</v>
      </c>
    </row>
    <row r="133" customFormat="false" ht="15" hidden="false" customHeight="true" outlineLevel="0" collapsed="false">
      <c r="B133" s="46" t="s">
        <v>240</v>
      </c>
      <c r="C133" s="47" t="n">
        <f aca="false">C130-C131</f>
        <v>8.57499999999998</v>
      </c>
      <c r="D133" s="47" t="n">
        <f aca="false">D130-D131</f>
        <v>11.693</v>
      </c>
      <c r="E133" s="47" t="n">
        <f aca="false">E130-E131</f>
        <v>20.268</v>
      </c>
      <c r="F133" s="47" t="n">
        <f aca="false">F130-F131</f>
        <v>7.86299999999998</v>
      </c>
      <c r="G133" s="47" t="n">
        <f aca="false">G130-G131</f>
        <v>14.621</v>
      </c>
      <c r="H133" s="47" t="n">
        <f aca="false">H130-H131</f>
        <v>22.484</v>
      </c>
      <c r="I133" s="47" t="n">
        <f aca="false">I130-I131</f>
        <v>14.047</v>
      </c>
      <c r="J133" s="47" t="n">
        <f aca="false">J130-J131</f>
        <v>16.429</v>
      </c>
      <c r="K133" s="47" t="n">
        <f aca="false">K130-K131</f>
        <v>30.476</v>
      </c>
      <c r="L133" s="47" t="n">
        <f aca="false">L130-L131</f>
        <v>16.618</v>
      </c>
      <c r="M133" s="47" t="n">
        <f aca="false">M130-M131</f>
        <v>16.442</v>
      </c>
      <c r="N133" s="47" t="n">
        <f aca="false">N130-N131</f>
        <v>33.06</v>
      </c>
      <c r="O133" s="47" t="n">
        <f aca="false">O130-O131</f>
        <v>17.449</v>
      </c>
      <c r="P133" s="47" t="n">
        <f aca="false">P130-P131</f>
        <v>15.889</v>
      </c>
      <c r="Q133" s="47" t="n">
        <f aca="false">Q130-Q131</f>
        <v>33.338</v>
      </c>
      <c r="R133" s="47" t="n">
        <f aca="false">R130-R131</f>
        <v>16.217</v>
      </c>
      <c r="S133" s="47" t="n">
        <f aca="false">S130-S131</f>
        <v>20.18</v>
      </c>
      <c r="T133" s="47" t="n">
        <f aca="false">T130-T131</f>
        <v>36.397</v>
      </c>
      <c r="U133" s="47" t="n">
        <f aca="false">U130-U131</f>
        <v>19.58</v>
      </c>
      <c r="V133" s="47" t="n">
        <f aca="false">V130-V131</f>
        <v>31.537</v>
      </c>
      <c r="W133" s="47" t="n">
        <f aca="false">W130-W131</f>
        <v>51.117</v>
      </c>
      <c r="X133" s="47" t="n">
        <f aca="false">X130-X131</f>
        <v>26.082</v>
      </c>
      <c r="Y133" s="47" t="n">
        <f aca="false">Y130-Y131</f>
        <v>24.61</v>
      </c>
      <c r="Z133" s="47" t="n">
        <f aca="false">Z130-Z131</f>
        <v>50.692</v>
      </c>
      <c r="AA133" s="47" t="n">
        <f aca="false">AA130-AA131</f>
        <v>25.3040000000001</v>
      </c>
      <c r="AB133" s="47" t="n">
        <f aca="false">AB130-AB131</f>
        <v>27.2489999999999</v>
      </c>
      <c r="AC133" s="47" t="n">
        <f aca="false">AC130-AC131</f>
        <v>52.553</v>
      </c>
      <c r="AD133" s="47" t="n">
        <f aca="false">AD130-AD131</f>
        <v>-47.52</v>
      </c>
      <c r="AE133" s="47" t="n">
        <f aca="false">AE130-AE131</f>
        <v>14.304</v>
      </c>
      <c r="AF133" s="47" t="n">
        <f aca="false">AF130-AF131</f>
        <v>-33.216</v>
      </c>
      <c r="AG133" s="47" t="n">
        <f aca="false">AG130-AG131</f>
        <v>20.347</v>
      </c>
      <c r="AH133" s="47" t="n">
        <f aca="false">AH130-AH131</f>
        <v>32.9749999999999</v>
      </c>
      <c r="AI133" s="47" t="n">
        <f aca="false">AI130-AI131</f>
        <v>53.3219999999999</v>
      </c>
      <c r="AJ133" s="47" t="n">
        <f aca="false">AJ130-AJ131</f>
        <v>46.5860000000001</v>
      </c>
      <c r="AK133" s="47" t="n">
        <f aca="false">AK130-AK131</f>
        <v>34.013</v>
      </c>
      <c r="AL133" s="47" t="n">
        <f aca="false">AL130-AL131</f>
        <v>80.599</v>
      </c>
      <c r="AM133" s="47" t="n">
        <f aca="false">AM130-AM131</f>
        <v>61.7819999999999</v>
      </c>
      <c r="AN133" s="47" t="n">
        <f aca="false">AN130-AN131</f>
        <v>52.8350000000001</v>
      </c>
      <c r="AO133" s="47" t="n">
        <f aca="false">AO130-AO131</f>
        <v>114.617</v>
      </c>
      <c r="AP133" s="47" t="n">
        <f aca="false">AP130-AP131</f>
        <v>60.9390000000001</v>
      </c>
      <c r="AQ133" s="47" t="n">
        <f aca="false">AQ130-AQ131</f>
        <v>58.539</v>
      </c>
      <c r="AR133" s="47" t="n">
        <f aca="false">AR130-AR131</f>
        <v>119.478</v>
      </c>
      <c r="AS133" s="47" t="n">
        <f aca="false">AS130-AS131</f>
        <v>73.263</v>
      </c>
      <c r="AT133" s="47" t="n">
        <f aca="false">AT130-AT131</f>
        <v>61.771</v>
      </c>
      <c r="AU133" s="47" t="n">
        <f aca="false">AU130-AU131</f>
        <v>135.034</v>
      </c>
      <c r="AV133" s="47" t="n">
        <f aca="false">AV130-AV131</f>
        <v>76.122</v>
      </c>
      <c r="AW133" s="47" t="n">
        <f aca="false">AW130-AW131</f>
        <v>79.2948277248157</v>
      </c>
      <c r="AX133" s="47" t="n">
        <f aca="false">AX130-AX131</f>
        <v>155.416827724816</v>
      </c>
      <c r="AY133" s="47" t="n">
        <f aca="false">AY130-AY131</f>
        <v>169.575344903666</v>
      </c>
      <c r="AZ133" s="47" t="n">
        <f aca="false">AZ130-AZ131</f>
        <v>192.347581297763</v>
      </c>
      <c r="BA133" s="47" t="n">
        <f aca="false">BA130-BA131</f>
        <v>216.487743566573</v>
      </c>
      <c r="BB133" s="47" t="n">
        <f aca="false">BB130-BB131</f>
        <v>238.647519474468</v>
      </c>
      <c r="BE133" s="37" t="n">
        <f aca="false">IFERROR(IF(AND(BB133&gt;0,AU133&gt;0),(BB133/AU133)^(1/5)-1,"n/m"),"n/m")</f>
        <v>0.120631325708724</v>
      </c>
      <c r="BF133" s="37" t="str">
        <f aca="false">IFERROR(IF(AND(AU133&gt;0,AF133&gt;0),(AU133/AF133)^(1/5)-1,"n/m"),"n/m")</f>
        <v>n/m</v>
      </c>
      <c r="BG133" s="37" t="n">
        <f aca="false">IFERROR(IF(AND(AU133&gt;0,Q133&gt;0),(AU133/Q133)^(1/10)-1,"n/m"),"n/m")</f>
        <v>0.150139076449471</v>
      </c>
      <c r="BH133" s="37" t="n">
        <f aca="false">IFERROR(IF(AND(AU133&gt;0,E133&gt;0),(AU133/E133)^(1/14)-1,"n/m"),"n/m")</f>
        <v>0.145066934802665</v>
      </c>
    </row>
    <row r="134" customFormat="false" ht="15" hidden="false" customHeight="true" outlineLevel="0" collapsed="false">
      <c r="B134" s="45" t="s">
        <v>241</v>
      </c>
      <c r="C134" s="26" t="n">
        <f aca="false">IF(ISNUMBER(C135),ROUND(C133-C135,1),"")</f>
        <v>0</v>
      </c>
      <c r="D134" s="26" t="n">
        <f aca="false">IF(ISNUMBER(D135),ROUND(D133-D135,1),"")</f>
        <v>0</v>
      </c>
      <c r="E134" s="26" t="n">
        <f aca="false">IF(ISNUMBER(E135),ROUND(E133-E135,1),"")</f>
        <v>0</v>
      </c>
      <c r="F134" s="26" t="n">
        <f aca="false">IF(ISNUMBER(F135),ROUND(F133-F135,1),"")</f>
        <v>0</v>
      </c>
      <c r="G134" s="26" t="n">
        <f aca="false">IF(ISNUMBER(G135),ROUND(G133-G135,1),"")</f>
        <v>0</v>
      </c>
      <c r="H134" s="26" t="n">
        <f aca="false">IF(ISNUMBER(H135),ROUND(H133-H135,1),"")</f>
        <v>0</v>
      </c>
      <c r="I134" s="26" t="n">
        <f aca="false">IF(ISNUMBER(I135),ROUND(I133-I135,1),"")</f>
        <v>0</v>
      </c>
      <c r="J134" s="26" t="n">
        <f aca="false">IF(ISNUMBER(J135),ROUND(J133-J135,1),"")</f>
        <v>0</v>
      </c>
      <c r="K134" s="26" t="n">
        <f aca="false">IF(ISNUMBER(K135),ROUND(K133-K135,1),"")</f>
        <v>0</v>
      </c>
      <c r="L134" s="26" t="n">
        <f aca="false">IF(ISNUMBER(L135),ROUND(L133-L135,1),"")</f>
        <v>0</v>
      </c>
      <c r="M134" s="26" t="n">
        <f aca="false">IF(ISNUMBER(M135),ROUND(M133-M135,1),"")</f>
        <v>0</v>
      </c>
      <c r="N134" s="26" t="n">
        <f aca="false">IF(ISNUMBER(N135),ROUND(N133-N135,1),"")</f>
        <v>0</v>
      </c>
      <c r="O134" s="26" t="n">
        <f aca="false">IF(ISNUMBER(O135),ROUND(O133-O135,1),"")</f>
        <v>0</v>
      </c>
      <c r="P134" s="26" t="n">
        <f aca="false">IF(ISNUMBER(P135),ROUND(P133-P135,1),"")</f>
        <v>0</v>
      </c>
      <c r="Q134" s="26" t="n">
        <f aca="false">IF(ISNUMBER(Q135),ROUND(Q133-Q135,1),"")</f>
        <v>0</v>
      </c>
      <c r="R134" s="26" t="n">
        <f aca="false">IF(ISNUMBER(R135),ROUND(R133-R135,1),"")</f>
        <v>0</v>
      </c>
      <c r="S134" s="26" t="n">
        <f aca="false">IF(ISNUMBER(S135),ROUND(S133-S135,1),"")</f>
        <v>0</v>
      </c>
      <c r="T134" s="26" t="n">
        <f aca="false">IF(ISNUMBER(T135),ROUND(T133-T135,1),"")</f>
        <v>0</v>
      </c>
      <c r="U134" s="26" t="n">
        <f aca="false">IF(ISNUMBER(U135),ROUND(U133-U135,1),"")</f>
        <v>0</v>
      </c>
      <c r="V134" s="26" t="n">
        <f aca="false">IF(ISNUMBER(V135),ROUND(V133-V135,1),"")</f>
        <v>0</v>
      </c>
      <c r="W134" s="26" t="n">
        <f aca="false">IF(ISNUMBER(W135),ROUND(W133-W135,1),"")</f>
        <v>0</v>
      </c>
      <c r="X134" s="26" t="n">
        <f aca="false">IF(ISNUMBER(X135),ROUND(X133-X135,1),"")</f>
        <v>0</v>
      </c>
      <c r="Y134" s="26" t="n">
        <f aca="false">IF(ISNUMBER(Y135),ROUND(Y133-Y135,1),"")</f>
        <v>0</v>
      </c>
      <c r="Z134" s="26" t="n">
        <f aca="false">IF(ISNUMBER(Z135),ROUND(Z133-Z135,1),"")</f>
        <v>0</v>
      </c>
      <c r="AA134" s="26" t="n">
        <f aca="false">IF(ISNUMBER(AA135),ROUND(AA133-AA135,1),"")</f>
        <v>0</v>
      </c>
      <c r="AB134" s="26" t="n">
        <f aca="false">IF(ISNUMBER(AB135),ROUND(AB133-AB135,1),"")</f>
        <v>0</v>
      </c>
      <c r="AC134" s="26" t="n">
        <f aca="false">IF(ISNUMBER(AC135),ROUND(AC133-AC135,1),"")</f>
        <v>0</v>
      </c>
      <c r="AD134" s="26" t="n">
        <f aca="false">IF(ISNUMBER(AD135),ROUND(AD133-AD135,1),"")</f>
        <v>0</v>
      </c>
      <c r="AE134" s="26" t="n">
        <f aca="false">IF(ISNUMBER(AE135),ROUND(AE133-AE135,1),"")</f>
        <v>0</v>
      </c>
      <c r="AF134" s="26" t="n">
        <f aca="false">IF(ISNUMBER(AF135),ROUND(AF133-AF135,1),"")</f>
        <v>0</v>
      </c>
      <c r="AG134" s="26" t="n">
        <f aca="false">IF(ISNUMBER(AG135),ROUND(AG133-AG135,1),"")</f>
        <v>0</v>
      </c>
      <c r="AH134" s="26" t="n">
        <f aca="false">IF(ISNUMBER(AH135),ROUND(AH133-AH135,1),"")</f>
        <v>0</v>
      </c>
      <c r="AI134" s="26" t="n">
        <f aca="false">IF(ISNUMBER(AI135),ROUND(AI133-AI135,1),"")</f>
        <v>0</v>
      </c>
      <c r="AJ134" s="26" t="n">
        <f aca="false">IF(ISNUMBER(AJ135),ROUND(AJ133-AJ135,1),"")</f>
        <v>0</v>
      </c>
      <c r="AK134" s="26" t="n">
        <f aca="false">IF(ISNUMBER(AK135),ROUND(AK133-AK135,1),"")</f>
        <v>0</v>
      </c>
      <c r="AL134" s="26" t="n">
        <f aca="false">IF(ISNUMBER(AL135),ROUND(AL133-AL135,1),"")</f>
        <v>0</v>
      </c>
      <c r="AM134" s="26" t="n">
        <f aca="false">IF(ISNUMBER(AM135),ROUND(AM133-AM135,1),"")</f>
        <v>0</v>
      </c>
      <c r="AN134" s="26" t="n">
        <f aca="false">IF(ISNUMBER(AN135),ROUND(AN133-AN135,1),"")</f>
        <v>0</v>
      </c>
      <c r="AO134" s="26" t="n">
        <f aca="false">IF(ISNUMBER(AO135),ROUND(AO133-AO135,1),"")</f>
        <v>0</v>
      </c>
      <c r="AP134" s="26" t="n">
        <f aca="false">IF(ISNUMBER(AP135),ROUND(AP133-AP135,1),"")</f>
        <v>0</v>
      </c>
      <c r="AQ134" s="26" t="n">
        <f aca="false">IF(ISNUMBER(AQ135),ROUND(AQ133-AQ135,1),"")</f>
        <v>0</v>
      </c>
      <c r="AR134" s="26" t="n">
        <f aca="false">IF(ISNUMBER(AR135),ROUND(AR133-AR135,1),"")</f>
        <v>0</v>
      </c>
      <c r="AS134" s="26" t="n">
        <f aca="false">IF(ISNUMBER(AS135),ROUND(AS133-AS135,1),"")</f>
        <v>0</v>
      </c>
      <c r="AT134" s="26" t="n">
        <f aca="false">IF(ISNUMBER(AT135),ROUND(AT133-AT135,1),"")</f>
        <v>0</v>
      </c>
      <c r="AU134" s="26" t="n">
        <f aca="false">IF(ISNUMBER(AU135),ROUND(AU133-AU135,1),"")</f>
        <v>0</v>
      </c>
      <c r="AV134" s="26" t="n">
        <f aca="false">IF(ISNUMBER(AV135),ROUND(AV133-AV135,1),"")</f>
        <v>0</v>
      </c>
      <c r="AW134" s="27" t="str">
        <f aca="false">IF(ISNUMBER(AW135),ROUND(AW133-AW135,1),"")</f>
        <v/>
      </c>
      <c r="AX134" s="27" t="str">
        <f aca="false">IF(ISNUMBER(AX135),ROUND(AX133-AX135,1),"")</f>
        <v/>
      </c>
      <c r="AY134" s="27" t="str">
        <f aca="false">IF(ISNUMBER(AY135),ROUND(AY133-AY135,1),"")</f>
        <v/>
      </c>
      <c r="AZ134" s="27" t="str">
        <f aca="false">IF(ISNUMBER(AZ135),ROUND(AZ133-AZ135,1),"")</f>
        <v/>
      </c>
      <c r="BA134" s="27" t="str">
        <f aca="false">IF(ISNUMBER(BA135),ROUND(BA133-BA135,1),"")</f>
        <v/>
      </c>
      <c r="BB134" s="27" t="str">
        <f aca="false">IF(ISNUMBER(BB135),ROUND(BB133-BB135,1),"")</f>
        <v/>
      </c>
    </row>
    <row r="135" customFormat="false" ht="15" hidden="false" customHeight="true" outlineLevel="0" collapsed="false">
      <c r="B135" s="20" t="s">
        <v>242</v>
      </c>
      <c r="C135" s="42" t="n">
        <v>8.575</v>
      </c>
      <c r="D135" s="26" t="n">
        <f aca="false">E135-C135</f>
        <v>11.693</v>
      </c>
      <c r="E135" s="42" t="n">
        <v>20.268</v>
      </c>
      <c r="F135" s="42" t="n">
        <v>7.863</v>
      </c>
      <c r="G135" s="26" t="n">
        <f aca="false">H135-F135</f>
        <v>14.621</v>
      </c>
      <c r="H135" s="42" t="n">
        <v>22.484</v>
      </c>
      <c r="I135" s="42" t="n">
        <v>14.047</v>
      </c>
      <c r="J135" s="26" t="n">
        <f aca="false">K135-I135</f>
        <v>16.429</v>
      </c>
      <c r="K135" s="42" t="n">
        <v>30.476</v>
      </c>
      <c r="L135" s="42" t="n">
        <v>16.618</v>
      </c>
      <c r="M135" s="26" t="n">
        <f aca="false">N135-L135</f>
        <v>16.442</v>
      </c>
      <c r="N135" s="42" t="n">
        <v>33.06</v>
      </c>
      <c r="O135" s="42" t="n">
        <v>17.449</v>
      </c>
      <c r="P135" s="26" t="n">
        <f aca="false">Q135-O135</f>
        <v>15.889</v>
      </c>
      <c r="Q135" s="42" t="n">
        <v>33.338</v>
      </c>
      <c r="R135" s="42" t="n">
        <v>16.217</v>
      </c>
      <c r="S135" s="26" t="n">
        <f aca="false">T135-R135</f>
        <v>20.18</v>
      </c>
      <c r="T135" s="42" t="n">
        <v>36.397</v>
      </c>
      <c r="U135" s="42" t="n">
        <v>19.58</v>
      </c>
      <c r="V135" s="26" t="n">
        <f aca="false">W135-U135</f>
        <v>31.537</v>
      </c>
      <c r="W135" s="42" t="n">
        <v>51.117</v>
      </c>
      <c r="X135" s="42" t="n">
        <v>26.082</v>
      </c>
      <c r="Y135" s="26" t="n">
        <f aca="false">Z135-X135</f>
        <v>24.61</v>
      </c>
      <c r="Z135" s="42" t="n">
        <v>50.692</v>
      </c>
      <c r="AA135" s="42" t="n">
        <v>25.304</v>
      </c>
      <c r="AB135" s="26" t="n">
        <f aca="false">AC135-AA135</f>
        <v>27.249</v>
      </c>
      <c r="AC135" s="42" t="n">
        <v>52.553</v>
      </c>
      <c r="AD135" s="42" t="n">
        <v>-47.52</v>
      </c>
      <c r="AE135" s="26" t="n">
        <f aca="false">AF135-AD135</f>
        <v>14.304</v>
      </c>
      <c r="AF135" s="42" t="n">
        <v>-33.216</v>
      </c>
      <c r="AG135" s="42" t="n">
        <v>20.347</v>
      </c>
      <c r="AH135" s="26" t="n">
        <f aca="false">AI135-AG135</f>
        <v>32.975</v>
      </c>
      <c r="AI135" s="42" t="n">
        <v>53.322</v>
      </c>
      <c r="AJ135" s="42" t="n">
        <v>46.586</v>
      </c>
      <c r="AK135" s="26" t="n">
        <f aca="false">AL135-AJ135</f>
        <v>34.013</v>
      </c>
      <c r="AL135" s="42" t="n">
        <v>80.599</v>
      </c>
      <c r="AM135" s="42" t="n">
        <v>61.782</v>
      </c>
      <c r="AN135" s="26" t="n">
        <f aca="false">AO135-AM135</f>
        <v>52.835</v>
      </c>
      <c r="AO135" s="42" t="n">
        <v>114.617</v>
      </c>
      <c r="AP135" s="42" t="n">
        <v>60.939</v>
      </c>
      <c r="AQ135" s="26" t="n">
        <f aca="false">AR135-AP135</f>
        <v>58.539</v>
      </c>
      <c r="AR135" s="42" t="n">
        <v>119.478</v>
      </c>
      <c r="AS135" s="42" t="n">
        <v>73.263</v>
      </c>
      <c r="AT135" s="26" t="n">
        <f aca="false">AU135-AS135</f>
        <v>61.771</v>
      </c>
      <c r="AU135" s="42" t="n">
        <v>135.034</v>
      </c>
      <c r="AV135" s="42" t="n">
        <v>76.122</v>
      </c>
    </row>
    <row r="136" customFormat="false" ht="15" hidden="false" customHeight="true" outlineLevel="0" collapsed="false">
      <c r="B136" s="40" t="s">
        <v>243</v>
      </c>
      <c r="C136" s="26" t="n">
        <f aca="false">C120-C118</f>
        <v>18.351</v>
      </c>
      <c r="D136" s="26" t="n">
        <f aca="false">D120-D118</f>
        <v>21.809</v>
      </c>
      <c r="E136" s="26" t="n">
        <f aca="false">E120-E118</f>
        <v>40.16</v>
      </c>
      <c r="F136" s="26" t="n">
        <f aca="false">F120-F118</f>
        <v>16.418</v>
      </c>
      <c r="G136" s="26" t="n">
        <f aca="false">G120-G118</f>
        <v>26.451</v>
      </c>
      <c r="H136" s="26" t="n">
        <f aca="false">H120-H118</f>
        <v>42.869</v>
      </c>
      <c r="I136" s="26" t="n">
        <f aca="false">I120-I118</f>
        <v>27.129</v>
      </c>
      <c r="J136" s="26" t="n">
        <f aca="false">J120-J118</f>
        <v>31.052</v>
      </c>
      <c r="K136" s="26" t="n">
        <f aca="false">K120-K118</f>
        <v>58.181</v>
      </c>
      <c r="L136" s="26" t="n">
        <f aca="false">L120-L118</f>
        <v>30.618</v>
      </c>
      <c r="M136" s="26" t="n">
        <f aca="false">M120-M118</f>
        <v>32.423</v>
      </c>
      <c r="N136" s="26" t="n">
        <f aca="false">N120-N118</f>
        <v>63.041</v>
      </c>
      <c r="O136" s="26" t="n">
        <f aca="false">O120-O118</f>
        <v>33.384</v>
      </c>
      <c r="P136" s="26" t="n">
        <f aca="false">P120-P118</f>
        <v>35.74</v>
      </c>
      <c r="Q136" s="26" t="n">
        <f aca="false">Q120-Q118</f>
        <v>69.124</v>
      </c>
      <c r="R136" s="26" t="n">
        <f aca="false">R120-R118</f>
        <v>35.484</v>
      </c>
      <c r="S136" s="26" t="n">
        <f aca="false">S120-S118</f>
        <v>41.208</v>
      </c>
      <c r="T136" s="26" t="n">
        <f aca="false">T120-T118</f>
        <v>76.692</v>
      </c>
      <c r="U136" s="26" t="n">
        <f aca="false">U120-U118</f>
        <v>41.592</v>
      </c>
      <c r="V136" s="26" t="n">
        <f aca="false">V120-V118</f>
        <v>45.884</v>
      </c>
      <c r="W136" s="26" t="n">
        <f aca="false">W120-W118</f>
        <v>87.476</v>
      </c>
      <c r="X136" s="26" t="n">
        <f aca="false">X120-X118</f>
        <v>46.233</v>
      </c>
      <c r="Y136" s="26" t="n">
        <f aca="false">Y120-Y118</f>
        <v>48.91</v>
      </c>
      <c r="Z136" s="26" t="n">
        <f aca="false">Z120-Z118</f>
        <v>95.143</v>
      </c>
      <c r="AA136" s="26" t="n">
        <f aca="false">AA120-AA118</f>
        <v>79.2260000000001</v>
      </c>
      <c r="AB136" s="26" t="n">
        <f aca="false">AB120-AB118</f>
        <v>90.4</v>
      </c>
      <c r="AC136" s="26" t="n">
        <f aca="false">AC120-AC118</f>
        <v>169.626</v>
      </c>
      <c r="AD136" s="26" t="n">
        <f aca="false">AD120-AD118</f>
        <v>-3.42399999999999</v>
      </c>
      <c r="AE136" s="26" t="n">
        <f aca="false">AE120-AE118</f>
        <v>92.89</v>
      </c>
      <c r="AF136" s="26" t="n">
        <f aca="false">AF120-AF118</f>
        <v>89.466</v>
      </c>
      <c r="AG136" s="26" t="n">
        <f aca="false">AG120-AG118</f>
        <v>80.595</v>
      </c>
      <c r="AH136" s="26" t="n">
        <f aca="false">AH120-AH118</f>
        <v>112.716</v>
      </c>
      <c r="AI136" s="26" t="n">
        <f aca="false">AI120-AI118</f>
        <v>193.311</v>
      </c>
      <c r="AJ136" s="26" t="n">
        <f aca="false">AJ120-AJ118</f>
        <v>119.952</v>
      </c>
      <c r="AK136" s="26" t="n">
        <f aca="false">AK120-AK118</f>
        <v>146.405</v>
      </c>
      <c r="AL136" s="26" t="n">
        <f aca="false">AL120-AL118</f>
        <v>266.357</v>
      </c>
      <c r="AM136" s="26" t="n">
        <f aca="false">AM120-AM118</f>
        <v>154.808</v>
      </c>
      <c r="AN136" s="26" t="n">
        <f aca="false">AN120-AN118</f>
        <v>171.443</v>
      </c>
      <c r="AO136" s="26" t="n">
        <f aca="false">AO120-AO118</f>
        <v>326.251</v>
      </c>
      <c r="AP136" s="26" t="n">
        <f aca="false">AP120-AP118</f>
        <v>177.754</v>
      </c>
      <c r="AQ136" s="26" t="n">
        <f aca="false">AQ120-AQ118</f>
        <v>186.921</v>
      </c>
      <c r="AR136" s="26" t="n">
        <f aca="false">AR120-AR118</f>
        <v>364.675</v>
      </c>
      <c r="AS136" s="26" t="n">
        <f aca="false">AS120-AS118</f>
        <v>200.615</v>
      </c>
      <c r="AT136" s="26" t="n">
        <f aca="false">AT120-AT118</f>
        <v>207.781</v>
      </c>
      <c r="AU136" s="26" t="n">
        <f aca="false">AU120-AU118</f>
        <v>408.396</v>
      </c>
      <c r="AV136" s="26" t="n">
        <f aca="false">AV120-AV118</f>
        <v>226.542</v>
      </c>
      <c r="AW136" s="27" t="n">
        <f aca="false">AW120-AW118</f>
        <v>236.473557018447</v>
      </c>
      <c r="AX136" s="27" t="n">
        <f aca="false">AX120-AX118</f>
        <v>463.015557018447</v>
      </c>
      <c r="AY136" s="27" t="n">
        <f aca="false">AY120-AY118</f>
        <v>512.821223869068</v>
      </c>
      <c r="AZ136" s="27" t="n">
        <f aca="false">AZ120-AZ118</f>
        <v>560.748293880698</v>
      </c>
      <c r="BA136" s="27" t="n">
        <f aca="false">BA120-BA118</f>
        <v>607.974228245144</v>
      </c>
      <c r="BB136" s="27" t="n">
        <f aca="false">BB120-BB118</f>
        <v>655.755378275147</v>
      </c>
    </row>
    <row r="137" customFormat="false" ht="15" hidden="false" customHeight="true" outlineLevel="0" collapsed="false">
      <c r="B137" s="20" t="s">
        <v>244</v>
      </c>
    </row>
    <row r="138" customFormat="false" ht="15" hidden="false" customHeight="true" outlineLevel="0" collapsed="false">
      <c r="B138" s="20" t="s">
        <v>245</v>
      </c>
      <c r="E138" s="51" t="n">
        <v>60</v>
      </c>
      <c r="H138" s="51" t="n">
        <v>65.435616</v>
      </c>
      <c r="I138" s="51" t="n">
        <v>68</v>
      </c>
      <c r="J138" s="52" t="n">
        <f aca="false">2*K138-I138</f>
        <v>68</v>
      </c>
      <c r="K138" s="51" t="n">
        <v>68</v>
      </c>
      <c r="L138" s="51" t="n">
        <v>68</v>
      </c>
      <c r="M138" s="52" t="n">
        <f aca="false">2*N138-L138</f>
        <v>68</v>
      </c>
      <c r="N138" s="51" t="n">
        <v>68</v>
      </c>
      <c r="O138" s="51" t="n">
        <v>68</v>
      </c>
      <c r="P138" s="52" t="n">
        <f aca="false">2*Q138-O138</f>
        <v>68</v>
      </c>
      <c r="Q138" s="51" t="n">
        <v>68</v>
      </c>
      <c r="R138" s="51" t="n">
        <v>68</v>
      </c>
      <c r="S138" s="52" t="n">
        <f aca="false">2*T138-R138</f>
        <v>68</v>
      </c>
      <c r="T138" s="51" t="n">
        <v>68</v>
      </c>
      <c r="U138" s="51" t="n">
        <v>68</v>
      </c>
      <c r="V138" s="52" t="n">
        <f aca="false">2*W138-U138</f>
        <v>68</v>
      </c>
      <c r="W138" s="51" t="n">
        <v>68</v>
      </c>
      <c r="X138" s="51" t="n">
        <v>68</v>
      </c>
      <c r="Y138" s="52" t="n">
        <f aca="false">2*Z138-X138</f>
        <v>68</v>
      </c>
      <c r="Z138" s="51" t="n">
        <v>68</v>
      </c>
      <c r="AA138" s="51" t="n">
        <v>68</v>
      </c>
      <c r="AB138" s="52" t="n">
        <f aca="false">2*AC138-AA138</f>
        <v>68</v>
      </c>
      <c r="AC138" s="51" t="n">
        <v>68</v>
      </c>
      <c r="AD138" s="51" t="n">
        <v>68</v>
      </c>
      <c r="AE138" s="52" t="n">
        <f aca="false">2*AF138-AD138</f>
        <v>68</v>
      </c>
      <c r="AF138" s="51" t="n">
        <v>68</v>
      </c>
      <c r="AG138" s="51" t="n">
        <v>68</v>
      </c>
      <c r="AH138" s="52" t="n">
        <f aca="false">2*AI138-AG138</f>
        <v>68</v>
      </c>
      <c r="AI138" s="51" t="n">
        <v>68</v>
      </c>
      <c r="AJ138" s="51" t="n">
        <v>68</v>
      </c>
      <c r="AK138" s="52" t="n">
        <f aca="false">2*AL138-AJ138</f>
        <v>68</v>
      </c>
      <c r="AL138" s="51" t="n">
        <v>68</v>
      </c>
      <c r="AM138" s="51" t="n">
        <v>67.98207</v>
      </c>
      <c r="AN138" s="52" t="n">
        <f aca="false">2*AO138-AM138</f>
        <v>68.000148</v>
      </c>
      <c r="AO138" s="51" t="n">
        <v>67.991109</v>
      </c>
      <c r="AP138" s="51" t="n">
        <v>67.993676</v>
      </c>
      <c r="AQ138" s="52" t="n">
        <f aca="false">2*AR138-AP138</f>
        <v>67.998586</v>
      </c>
      <c r="AR138" s="51" t="n">
        <v>67.996131</v>
      </c>
      <c r="AS138" s="51" t="n">
        <v>67.951499</v>
      </c>
      <c r="AT138" s="52" t="n">
        <f aca="false">2*AU138-AS138</f>
        <v>68.000399</v>
      </c>
      <c r="AU138" s="51" t="n">
        <v>67.975949</v>
      </c>
      <c r="AV138" s="51" t="n">
        <v>68</v>
      </c>
      <c r="AW138" s="53" t="n">
        <f aca="false">AVERAGE(AV256,AX256)</f>
        <v>68</v>
      </c>
      <c r="AX138" s="53" t="n">
        <f aca="false">AVERAGE(AV138,AW138)</f>
        <v>68</v>
      </c>
      <c r="AY138" s="53" t="n">
        <f aca="false">AVERAGE(AX256,AY256)</f>
        <v>68</v>
      </c>
      <c r="AZ138" s="53" t="n">
        <f aca="false">AVERAGE(AY256,AZ256)</f>
        <v>68</v>
      </c>
      <c r="BA138" s="53" t="n">
        <f aca="false">AVERAGE(AZ256,BA256)</f>
        <v>68</v>
      </c>
      <c r="BB138" s="53" t="n">
        <f aca="false">AVERAGE(BA256,BB256)</f>
        <v>68</v>
      </c>
      <c r="BC138" s="18" t="s">
        <v>246</v>
      </c>
    </row>
    <row r="139" customFormat="false" ht="15" hidden="false" customHeight="true" outlineLevel="0" collapsed="false">
      <c r="B139" s="46" t="s">
        <v>247</v>
      </c>
      <c r="C139" s="54" t="str">
        <f aca="false">IFERROR(C133/C138,"")</f>
        <v/>
      </c>
      <c r="D139" s="54" t="str">
        <f aca="false">IFERROR(D133/D138,"")</f>
        <v/>
      </c>
      <c r="E139" s="54" t="n">
        <f aca="false">IFERROR(E133/E138,"")</f>
        <v>0.337799999999999</v>
      </c>
      <c r="F139" s="54" t="str">
        <f aca="false">IFERROR(F133/F138,"")</f>
        <v/>
      </c>
      <c r="G139" s="54" t="str">
        <f aca="false">IFERROR(G133/G138,"")</f>
        <v/>
      </c>
      <c r="H139" s="54" t="n">
        <f aca="false">IFERROR(H133/H138,"")</f>
        <v>0.343604926100184</v>
      </c>
      <c r="I139" s="54" t="n">
        <f aca="false">IFERROR(I133/I138,"")</f>
        <v>0.206573529411765</v>
      </c>
      <c r="J139" s="54" t="n">
        <f aca="false">IFERROR(J133/J138,"")</f>
        <v>0.241602941176471</v>
      </c>
      <c r="K139" s="54" t="n">
        <f aca="false">IFERROR(K133/K138,"")</f>
        <v>0.448176470588235</v>
      </c>
      <c r="L139" s="54" t="n">
        <f aca="false">IFERROR(L133/L138,"")</f>
        <v>0.244382352941177</v>
      </c>
      <c r="M139" s="54" t="n">
        <f aca="false">IFERROR(M133/M138,"")</f>
        <v>0.241794117647058</v>
      </c>
      <c r="N139" s="54" t="n">
        <f aca="false">IFERROR(N133/N138,"")</f>
        <v>0.486176470588235</v>
      </c>
      <c r="O139" s="54" t="n">
        <f aca="false">IFERROR(O133/O138,"")</f>
        <v>0.25660294117647</v>
      </c>
      <c r="P139" s="54" t="n">
        <f aca="false">IFERROR(P133/P138,"")</f>
        <v>0.233661764705882</v>
      </c>
      <c r="Q139" s="54" t="n">
        <f aca="false">IFERROR(Q133/Q138,"")</f>
        <v>0.490264705882353</v>
      </c>
      <c r="R139" s="54" t="n">
        <f aca="false">IFERROR(R133/R138,"")</f>
        <v>0.238485294117647</v>
      </c>
      <c r="S139" s="54" t="n">
        <f aca="false">IFERROR(S133/S138,"")</f>
        <v>0.296764705882353</v>
      </c>
      <c r="T139" s="54" t="n">
        <f aca="false">IFERROR(T133/T138,"")</f>
        <v>0.53525</v>
      </c>
      <c r="U139" s="54" t="n">
        <f aca="false">IFERROR(U133/U138,"")</f>
        <v>0.287941176470588</v>
      </c>
      <c r="V139" s="54" t="n">
        <f aca="false">IFERROR(V133/V138,"")</f>
        <v>0.463779411764706</v>
      </c>
      <c r="W139" s="54" t="n">
        <f aca="false">IFERROR(W133/W138,"")</f>
        <v>0.751720588235294</v>
      </c>
      <c r="X139" s="54" t="n">
        <f aca="false">IFERROR(X133/X138,"")</f>
        <v>0.383558823529412</v>
      </c>
      <c r="Y139" s="54" t="n">
        <f aca="false">IFERROR(Y133/Y138,"")</f>
        <v>0.361911764705882</v>
      </c>
      <c r="Z139" s="54" t="n">
        <f aca="false">IFERROR(Z133/Z138,"")</f>
        <v>0.745470588235294</v>
      </c>
      <c r="AA139" s="54" t="n">
        <f aca="false">IFERROR(AA133/AA138,"")</f>
        <v>0.372117647058824</v>
      </c>
      <c r="AB139" s="54" t="n">
        <f aca="false">IFERROR(AB133/AB138,"")</f>
        <v>0.400720588235293</v>
      </c>
      <c r="AC139" s="54" t="n">
        <f aca="false">IFERROR(AC133/AC138,"")</f>
        <v>0.772838235294117</v>
      </c>
      <c r="AD139" s="54" t="n">
        <f aca="false">IFERROR(AD133/AD138,"")</f>
        <v>-0.698823529411764</v>
      </c>
      <c r="AE139" s="54" t="n">
        <f aca="false">IFERROR(AE133/AE138,"")</f>
        <v>0.210352941176471</v>
      </c>
      <c r="AF139" s="54" t="n">
        <f aca="false">IFERROR(AF133/AF138,"")</f>
        <v>-0.488470588235294</v>
      </c>
      <c r="AG139" s="54" t="n">
        <f aca="false">IFERROR(AG133/AG138,"")</f>
        <v>0.299220588235294</v>
      </c>
      <c r="AH139" s="54" t="n">
        <f aca="false">IFERROR(AH133/AH138,"")</f>
        <v>0.484926470588234</v>
      </c>
      <c r="AI139" s="54" t="n">
        <f aca="false">IFERROR(AI133/AI138,"")</f>
        <v>0.784147058823529</v>
      </c>
      <c r="AJ139" s="54" t="n">
        <f aca="false">IFERROR(AJ133/AJ138,"")</f>
        <v>0.685088235294118</v>
      </c>
      <c r="AK139" s="54" t="n">
        <f aca="false">IFERROR(AK133/AK138,"")</f>
        <v>0.500191176470588</v>
      </c>
      <c r="AL139" s="54" t="n">
        <f aca="false">IFERROR(AL133/AL138,"")</f>
        <v>1.18527941176471</v>
      </c>
      <c r="AM139" s="54" t="n">
        <f aca="false">IFERROR(AM133/AM138,"")</f>
        <v>0.908798452297789</v>
      </c>
      <c r="AN139" s="54" t="n">
        <f aca="false">IFERROR(AN133/AN138,"")</f>
        <v>0.776983603035689</v>
      </c>
      <c r="AO139" s="54" t="n">
        <f aca="false">IFERROR(AO133/AO138,"")</f>
        <v>1.68576453135953</v>
      </c>
      <c r="AP139" s="54" t="n">
        <f aca="false">IFERROR(AP133/AP138,"")</f>
        <v>0.896245115501626</v>
      </c>
      <c r="AQ139" s="54" t="n">
        <f aca="false">IFERROR(AQ133/AQ138,"")</f>
        <v>0.860885548414198</v>
      </c>
      <c r="AR139" s="54" t="n">
        <f aca="false">IFERROR(AR133/AR138,"")</f>
        <v>1.75712938725881</v>
      </c>
      <c r="AS139" s="54" t="n">
        <f aca="false">IFERROR(AS133/AS138,"")</f>
        <v>1.07816606076637</v>
      </c>
      <c r="AT139" s="54" t="n">
        <f aca="false">IFERROR(AT133/AT138,"")</f>
        <v>0.908391728701474</v>
      </c>
      <c r="AU139" s="54" t="n">
        <f aca="false">IFERROR(AU133/AU138,"")</f>
        <v>1.98649672401043</v>
      </c>
      <c r="AV139" s="54" t="n">
        <f aca="false">IFERROR(AV133/AV138,"")</f>
        <v>1.11944117647059</v>
      </c>
      <c r="AW139" s="54" t="n">
        <f aca="false">IFERROR(AW133/AW138,"")</f>
        <v>1.16610040771788</v>
      </c>
      <c r="AX139" s="54" t="n">
        <f aca="false">IFERROR(AX133/AX138,"")</f>
        <v>2.28554158418847</v>
      </c>
      <c r="AY139" s="54" t="n">
        <f aca="false">IFERROR(AY133/AY138,"")</f>
        <v>2.49375507211274</v>
      </c>
      <c r="AZ139" s="54" t="n">
        <f aca="false">IFERROR(AZ133/AZ138,"")</f>
        <v>2.82864090143769</v>
      </c>
      <c r="BA139" s="54" t="n">
        <f aca="false">IFERROR(BA133/BA138,"")</f>
        <v>3.18364328774371</v>
      </c>
      <c r="BB139" s="54" t="n">
        <f aca="false">IFERROR(BB133/BB138,"")</f>
        <v>3.50952234521276</v>
      </c>
      <c r="BE139" s="37" t="n">
        <f aca="false">IFERROR(IF(AND(BB139&gt;0,AU139&gt;0),(BB139/AU139)^(1/5)-1,"n/m"),"n/m")</f>
        <v>0.120552043008898</v>
      </c>
      <c r="BF139" s="37" t="str">
        <f aca="false">IFERROR(IF(AND(AU139&gt;0,AF139&gt;0),(AU139/AF139)^(1/5)-1,"n/m"),"n/m")</f>
        <v>n/m</v>
      </c>
      <c r="BG139" s="37" t="n">
        <f aca="false">IFERROR(IF(AND(AU139&gt;0,Q139&gt;0),(AU139/Q139)^(1/10)-1,"n/m"),"n/m")</f>
        <v>0.150179763769107</v>
      </c>
      <c r="BH139" s="37" t="n">
        <f aca="false">IFERROR(IF(AND(AU139&gt;0,E139&gt;0),(AU139/E139)^(1/14)-1,"n/m"),"n/m")</f>
        <v>0.134904081043196</v>
      </c>
    </row>
    <row r="140" customFormat="false" ht="15" hidden="false" customHeight="true" outlineLevel="0" collapsed="false">
      <c r="B140" s="31" t="s">
        <v>248</v>
      </c>
      <c r="F140" s="32" t="str">
        <f aca="false">IF(AND(ISNUMBER(F139),ISNUMBER(C139)),IFERROR(F139/C139-1,""),"")</f>
        <v/>
      </c>
      <c r="G140" s="32" t="str">
        <f aca="false">IF(AND(ISNUMBER(G139),ISNUMBER(D139)),IFERROR(G139/D139-1,""),"")</f>
        <v/>
      </c>
      <c r="H140" s="32" t="n">
        <f aca="false">IF(AND(ISNUMBER(H139),ISNUMBER(E139)),IFERROR(H139/E139-1,""),"")</f>
        <v>0.017184505921209</v>
      </c>
      <c r="I140" s="32" t="str">
        <f aca="false">IF(AND(ISNUMBER(I139),ISNUMBER(F139)),IFERROR(I139/F139-1,""),"")</f>
        <v/>
      </c>
      <c r="J140" s="32" t="str">
        <f aca="false">IF(AND(ISNUMBER(J139),ISNUMBER(G139)),IFERROR(J139/G139-1,""),"")</f>
        <v/>
      </c>
      <c r="K140" s="32" t="n">
        <f aca="false">IF(AND(ISNUMBER(K139),ISNUMBER(H139)),IFERROR(K139/H139-1,""),"")</f>
        <v>0.304336569544878</v>
      </c>
      <c r="L140" s="32" t="n">
        <f aca="false">IF(AND(ISNUMBER(L139),ISNUMBER(I139)),IFERROR(L139/I139-1,""),"")</f>
        <v>0.18302840464156</v>
      </c>
      <c r="M140" s="32" t="n">
        <f aca="false">IF(AND(ISNUMBER(M139),ISNUMBER(J139)),IFERROR(M139/J139-1,""),"")</f>
        <v>0.000791283705640078</v>
      </c>
      <c r="N140" s="32" t="n">
        <f aca="false">IF(AND(ISNUMBER(N139),ISNUMBER(K139)),IFERROR(N139/K139-1,""),"")</f>
        <v>0.0847880299251875</v>
      </c>
      <c r="O140" s="32" t="n">
        <f aca="false">IF(AND(ISNUMBER(O139),ISNUMBER(L139)),IFERROR(O139/L139-1,""),"")</f>
        <v>0.0500060175713071</v>
      </c>
      <c r="P140" s="32" t="n">
        <f aca="false">IF(AND(ISNUMBER(P139),ISNUMBER(M139)),IFERROR(P139/M139-1,""),"")</f>
        <v>-0.033633377934556</v>
      </c>
      <c r="Q140" s="32" t="n">
        <f aca="false">IF(AND(ISNUMBER(Q139),ISNUMBER(N139)),IFERROR(Q139/N139-1,""),"")</f>
        <v>0.0084089534180285</v>
      </c>
      <c r="R140" s="32" t="n">
        <f aca="false">IF(AND(ISNUMBER(R139),ISNUMBER(O139)),IFERROR(R139/O139-1,""),"")</f>
        <v>-0.0706057653733719</v>
      </c>
      <c r="S140" s="32" t="n">
        <f aca="false">IF(AND(ISNUMBER(S139),ISNUMBER(P139)),IFERROR(S139/P139-1,""),"")</f>
        <v>0.270061048524137</v>
      </c>
      <c r="T140" s="32" t="n">
        <f aca="false">IF(AND(ISNUMBER(T139),ISNUMBER(Q139)),IFERROR(T139/Q139-1,""),"")</f>
        <v>0.0917571539984392</v>
      </c>
      <c r="U140" s="32" t="n">
        <f aca="false">IF(AND(ISNUMBER(U139),ISNUMBER(R139)),IFERROR(U139/R139-1,""),"")</f>
        <v>0.207374976876117</v>
      </c>
      <c r="V140" s="32" t="n">
        <f aca="false">IF(AND(ISNUMBER(V139),ISNUMBER(S139)),IFERROR(V139/S139-1,""),"")</f>
        <v>0.562784935579783</v>
      </c>
      <c r="W140" s="32" t="n">
        <f aca="false">IF(AND(ISNUMBER(W139),ISNUMBER(T139)),IFERROR(W139/T139-1,""),"")</f>
        <v>0.404428936450807</v>
      </c>
      <c r="X140" s="32" t="n">
        <f aca="false">IF(AND(ISNUMBER(X139),ISNUMBER(U139)),IFERROR(X139/U139-1,""),"")</f>
        <v>0.332073544433094</v>
      </c>
      <c r="Y140" s="32" t="n">
        <f aca="false">IF(AND(ISNUMBER(Y139),ISNUMBER(V139)),IFERROR(Y139/V139-1,""),"")</f>
        <v>-0.219646764118338</v>
      </c>
      <c r="Z140" s="32" t="n">
        <f aca="false">IF(AND(ISNUMBER(Z139),ISNUMBER(W139)),IFERROR(Z139/W139-1,""),"")</f>
        <v>-0.00831425944402064</v>
      </c>
      <c r="AA140" s="32" t="n">
        <f aca="false">IF(AND(ISNUMBER(AA139),ISNUMBER(X139)),IFERROR(AA139/X139-1,""),"")</f>
        <v>-0.0298290008434908</v>
      </c>
      <c r="AB140" s="32" t="n">
        <f aca="false">IF(AND(ISNUMBER(AB139),ISNUMBER(Y139)),IFERROR(AB139/Y139-1,""),"")</f>
        <v>0.107232832182038</v>
      </c>
      <c r="AC140" s="32" t="n">
        <f aca="false">IF(AND(ISNUMBER(AC139),ISNUMBER(Z139)),IFERROR(AC139/Z139-1,""),"")</f>
        <v>0.0367119072042919</v>
      </c>
      <c r="AD140" s="32" t="n">
        <f aca="false">IF(AND(ISNUMBER(AD139),ISNUMBER(AA139)),IFERROR(AD139/AA139-1,""),"")</f>
        <v>-2.87796395826746</v>
      </c>
      <c r="AE140" s="32" t="n">
        <f aca="false">IF(AND(ISNUMBER(AE139),ISNUMBER(AB139)),IFERROR(AE139/AB139-1,""),"")</f>
        <v>-0.475063305075415</v>
      </c>
      <c r="AF140" s="32" t="n">
        <f aca="false">IF(AND(ISNUMBER(AF139),ISNUMBER(AC139)),IFERROR(AF139/AC139-1,""),"")</f>
        <v>-1.63204764713718</v>
      </c>
      <c r="AG140" s="32" t="n">
        <f aca="false">IF(AND(ISNUMBER(AG139),ISNUMBER(AD139)),IFERROR(AG139/AD139-1,""),"")</f>
        <v>-1.42817760942761</v>
      </c>
      <c r="AH140" s="32" t="n">
        <f aca="false">IF(AND(ISNUMBER(AH139),ISNUMBER(AE139)),IFERROR(AH139/AE139-1,""),"")</f>
        <v>1.30529921700223</v>
      </c>
      <c r="AI140" s="32" t="n">
        <f aca="false">IF(AND(ISNUMBER(AI139),ISNUMBER(AF139)),IFERROR(AI139/AF139-1,""),"")</f>
        <v>-2.60531069364162</v>
      </c>
      <c r="AJ140" s="32" t="n">
        <f aca="false">IF(AND(ISNUMBER(AJ139),ISNUMBER(AG139)),IFERROR(AJ139/AG139-1,""),"")</f>
        <v>1.28957585884897</v>
      </c>
      <c r="AK140" s="32" t="n">
        <f aca="false">IF(AND(ISNUMBER(AK139),ISNUMBER(AH139)),IFERROR(AK139/AH139-1,""),"")</f>
        <v>0.0314783927217599</v>
      </c>
      <c r="AL140" s="32" t="n">
        <f aca="false">IF(AND(ISNUMBER(AL139),ISNUMBER(AI139)),IFERROR(AL139/AI139-1,""),"")</f>
        <v>0.511552454896667</v>
      </c>
      <c r="AM140" s="32" t="n">
        <f aca="false">IF(AND(ISNUMBER(AM139),ISNUMBER(AJ139)),IFERROR(AM139/AJ139-1,""),"")</f>
        <v>0.326542196287502</v>
      </c>
      <c r="AN140" s="32" t="n">
        <f aca="false">IF(AND(ISNUMBER(AN139),ISNUMBER(AK139)),IFERROR(AN139/AK139-1,""),"")</f>
        <v>0.553373269233143</v>
      </c>
      <c r="AO140" s="32" t="n">
        <f aca="false">IF(AND(ISNUMBER(AO139),ISNUMBER(AL139)),IFERROR(AO139/AL139-1,""),"")</f>
        <v>0.422250749171185</v>
      </c>
      <c r="AP140" s="32" t="n">
        <f aca="false">IF(AND(ISNUMBER(AP139),ISNUMBER(AM139)),IFERROR(AP139/AM139-1,""),"")</f>
        <v>-0.0138131141887662</v>
      </c>
      <c r="AQ140" s="32" t="n">
        <f aca="false">IF(AND(ISNUMBER(AQ139),ISNUMBER(AN139)),IFERROR(AQ139/AN139-1,""),"")</f>
        <v>0.107984190465156</v>
      </c>
      <c r="AR140" s="32" t="n">
        <f aca="false">IF(AND(ISNUMBER(AR139),ISNUMBER(AO139)),IFERROR(AR139/AO139-1,""),"")</f>
        <v>0.0423338221748715</v>
      </c>
      <c r="AS140" s="32" t="n">
        <f aca="false">IF(AND(ISNUMBER(AS139),ISNUMBER(AP139)),IFERROR(AS139/AP139-1,""),"")</f>
        <v>0.202981240419843</v>
      </c>
      <c r="AT140" s="32" t="n">
        <f aca="false">IF(AND(ISNUMBER(AT139),ISNUMBER(AQ139)),IFERROR(AT139/AQ139-1,""),"")</f>
        <v>0.0551829222534701</v>
      </c>
      <c r="AU140" s="32" t="n">
        <f aca="false">IF(AND(ISNUMBER(AU139),ISNUMBER(AR139)),IFERROR(AU139/AR139-1,""),"")</f>
        <v>0.130535257343479</v>
      </c>
      <c r="AV140" s="32" t="n">
        <f aca="false">IF(AND(ISNUMBER(AV139),ISNUMBER(AS139)),IFERROR(AV139/AS139-1,""),"")</f>
        <v>0.0382827072806184</v>
      </c>
      <c r="AW140" s="33" t="n">
        <f aca="false">IF(AND(ISNUMBER(AW139),ISNUMBER(AT139)),IFERROR(AW139/AT139-1,""),"")</f>
        <v>0.283697738402784</v>
      </c>
      <c r="AX140" s="33" t="n">
        <f aca="false">IF(AND(ISNUMBER(AX139),ISNUMBER(AU139)),IFERROR(AX139/AU139-1,""),"")</f>
        <v>0.150538813663034</v>
      </c>
      <c r="AY140" s="33" t="n">
        <f aca="false">IF(AND(ISNUMBER(AY139),ISNUMBER(AX139)),IFERROR(AY139/AX139-1,""),"")</f>
        <v>0.0911002842235336</v>
      </c>
      <c r="AZ140" s="33" t="n">
        <f aca="false">IF(AND(ISNUMBER(AZ139),ISNUMBER(AY139)),IFERROR(AZ139/AY139-1,""),"")</f>
        <v>0.134289783736152</v>
      </c>
      <c r="BA140" s="33" t="n">
        <f aca="false">IF(AND(ISNUMBER(BA139),ISNUMBER(AZ139)),IFERROR(BA139/AZ139-1,""),"")</f>
        <v>0.125502811659688</v>
      </c>
      <c r="BB140" s="33" t="n">
        <f aca="false">IF(AND(ISNUMBER(BB139),ISNUMBER(BA139)),IFERROR(BB139/BA139-1,""),"")</f>
        <v>0.102360417928607</v>
      </c>
    </row>
    <row r="141" customFormat="false" ht="15" hidden="false" customHeight="true" outlineLevel="0" collapsed="false">
      <c r="B141" s="20" t="s">
        <v>249</v>
      </c>
      <c r="C141" s="55" t="n">
        <v>0.14292</v>
      </c>
      <c r="E141" s="55" t="n">
        <v>0.3378</v>
      </c>
      <c r="F141" s="55" t="n">
        <v>0.12515</v>
      </c>
      <c r="H141" s="55" t="n">
        <v>0.3436</v>
      </c>
      <c r="I141" s="55" t="n">
        <v>0.20657</v>
      </c>
      <c r="K141" s="55" t="n">
        <v>0.44818</v>
      </c>
      <c r="L141" s="55" t="n">
        <v>0.24438</v>
      </c>
      <c r="N141" s="55" t="n">
        <v>0.48618</v>
      </c>
      <c r="O141" s="55" t="n">
        <v>0.2566</v>
      </c>
      <c r="Q141" s="55" t="n">
        <v>0.49026</v>
      </c>
      <c r="R141" s="55" t="n">
        <v>0.23849</v>
      </c>
      <c r="T141" s="55" t="n">
        <v>0.53525</v>
      </c>
      <c r="U141" s="55" t="n">
        <v>0.28794</v>
      </c>
      <c r="W141" s="55" t="n">
        <v>0.75172</v>
      </c>
      <c r="X141" s="55" t="n">
        <v>0.38356</v>
      </c>
      <c r="Z141" s="55" t="n">
        <v>0.74547</v>
      </c>
      <c r="AA141" s="55" t="n">
        <v>0.37212</v>
      </c>
      <c r="AC141" s="55" t="n">
        <v>0.77284</v>
      </c>
      <c r="AD141" s="55" t="n">
        <v>-0.69882</v>
      </c>
      <c r="AF141" s="55" t="n">
        <v>-0.48847</v>
      </c>
      <c r="AG141" s="55" t="n">
        <v>0.29922</v>
      </c>
      <c r="AI141" s="55" t="n">
        <v>0.78415</v>
      </c>
      <c r="AJ141" s="55" t="n">
        <v>0.68509</v>
      </c>
      <c r="AL141" s="55" t="n">
        <v>1.18528</v>
      </c>
      <c r="AM141" s="55" t="n">
        <v>0.9088</v>
      </c>
      <c r="AO141" s="55" t="n">
        <v>1.68576</v>
      </c>
      <c r="AP141" s="55" t="n">
        <v>0.89625</v>
      </c>
      <c r="AR141" s="55" t="n">
        <v>1.75713</v>
      </c>
      <c r="AS141" s="55" t="n">
        <v>1.07817</v>
      </c>
      <c r="AU141" s="55" t="n">
        <v>1.9865</v>
      </c>
      <c r="AV141" s="55" t="n">
        <v>1.11944</v>
      </c>
    </row>
    <row r="142" customFormat="false" ht="15" hidden="false" customHeight="true" outlineLevel="0" collapsed="false">
      <c r="B142" s="20" t="s">
        <v>250</v>
      </c>
      <c r="H142" s="56" t="n">
        <v>0.08</v>
      </c>
      <c r="K142" s="56" t="n">
        <v>0.11</v>
      </c>
      <c r="N142" s="56" t="n">
        <v>0.12</v>
      </c>
      <c r="Q142" s="56" t="n">
        <v>0.13</v>
      </c>
      <c r="T142" s="56" t="n">
        <v>0.16</v>
      </c>
      <c r="W142" s="56" t="n">
        <v>0.27</v>
      </c>
      <c r="Z142" s="56" t="n">
        <v>0.3</v>
      </c>
      <c r="AC142" s="56" t="n">
        <v>0</v>
      </c>
      <c r="AF142" s="56" t="n">
        <v>0</v>
      </c>
      <c r="AI142" s="56" t="n">
        <v>0.42</v>
      </c>
      <c r="AL142" s="56" t="n">
        <v>0.65</v>
      </c>
      <c r="AO142" s="56" t="n">
        <v>0.91</v>
      </c>
      <c r="AR142" s="56" t="n">
        <v>0.94</v>
      </c>
      <c r="AU142" s="56" t="n">
        <v>1.04</v>
      </c>
      <c r="AX142" s="57" t="n">
        <f aca="false">ROUND(AX139*AX144,2)</f>
        <v>1.14</v>
      </c>
      <c r="AY142" s="57" t="n">
        <f aca="false">ROUND(AY139*AY144,2)</f>
        <v>1.25</v>
      </c>
      <c r="AZ142" s="57" t="n">
        <f aca="false">ROUND(AZ139*AZ144,2)</f>
        <v>1.41</v>
      </c>
      <c r="BA142" s="57" t="n">
        <f aca="false">ROUND(BA139*BA144,2)</f>
        <v>1.59</v>
      </c>
      <c r="BB142" s="57" t="n">
        <f aca="false">ROUND(BB139*BB144,2)</f>
        <v>1.75</v>
      </c>
    </row>
    <row r="143" customFormat="false" ht="15" hidden="false" customHeight="true" outlineLevel="0" collapsed="false">
      <c r="B143" s="31" t="s">
        <v>251</v>
      </c>
      <c r="H143" s="32" t="str">
        <f aca="false">IF(AND(ISNUMBER(H142),ISNUMBER(E142)),IFERROR(H142/E142-1,""),"")</f>
        <v/>
      </c>
      <c r="K143" s="32" t="n">
        <f aca="false">IF(AND(ISNUMBER(K142),ISNUMBER(H142)),IFERROR(K142/H142-1,""),"")</f>
        <v>0.375</v>
      </c>
      <c r="N143" s="32" t="n">
        <f aca="false">IF(AND(ISNUMBER(N142),ISNUMBER(K142)),IFERROR(N142/K142-1,""),"")</f>
        <v>0.0909090909090908</v>
      </c>
      <c r="Q143" s="32" t="n">
        <f aca="false">IF(AND(ISNUMBER(Q142),ISNUMBER(N142)),IFERROR(Q142/N142-1,""),"")</f>
        <v>0.0833333333333335</v>
      </c>
      <c r="T143" s="32" t="n">
        <f aca="false">IF(AND(ISNUMBER(T142),ISNUMBER(Q142)),IFERROR(T142/Q142-1,""),"")</f>
        <v>0.230769230769231</v>
      </c>
      <c r="W143" s="32" t="n">
        <f aca="false">IF(AND(ISNUMBER(W142),ISNUMBER(T142)),IFERROR(W142/T142-1,""),"")</f>
        <v>0.6875</v>
      </c>
      <c r="Z143" s="32" t="n">
        <f aca="false">IF(AND(ISNUMBER(Z142),ISNUMBER(W142)),IFERROR(Z142/W142-1,""),"")</f>
        <v>0.111111111111111</v>
      </c>
      <c r="AC143" s="32" t="n">
        <f aca="false">IF(AND(ISNUMBER(AC142),ISNUMBER(Z142)),IFERROR(AC142/Z142-1,""),"")</f>
        <v>-1</v>
      </c>
      <c r="AF143" s="32" t="str">
        <f aca="false">IF(AND(ISNUMBER(AF142),ISNUMBER(AC142)),IFERROR(AF142/AC142-1,""),"")</f>
        <v/>
      </c>
      <c r="AI143" s="32" t="str">
        <f aca="false">IF(AND(ISNUMBER(AI142),ISNUMBER(AF142)),IFERROR(AI142/AF142-1,""),"")</f>
        <v/>
      </c>
      <c r="AL143" s="32" t="n">
        <f aca="false">IF(AND(ISNUMBER(AL142),ISNUMBER(AI142)),IFERROR(AL142/AI142-1,""),"")</f>
        <v>0.547619047619048</v>
      </c>
      <c r="AO143" s="32" t="n">
        <f aca="false">IF(AND(ISNUMBER(AO142),ISNUMBER(AL142)),IFERROR(AO142/AL142-1,""),"")</f>
        <v>0.4</v>
      </c>
      <c r="AR143" s="32" t="n">
        <f aca="false">IF(AND(ISNUMBER(AR142),ISNUMBER(AO142)),IFERROR(AR142/AO142-1,""),"")</f>
        <v>0.0329670329670329</v>
      </c>
      <c r="AU143" s="32" t="n">
        <f aca="false">IF(AND(ISNUMBER(AU142),ISNUMBER(AR142)),IFERROR(AU142/AR142-1,""),"")</f>
        <v>0.106382978723404</v>
      </c>
      <c r="AX143" s="33" t="n">
        <f aca="false">IF(AND(ISNUMBER(AX142),ISNUMBER(AU142)),IFERROR(AX142/AU142-1,""),"")</f>
        <v>0.096153846153846</v>
      </c>
      <c r="AY143" s="33" t="n">
        <f aca="false">IF(AND(ISNUMBER(AY142),ISNUMBER(AX142)),IFERROR(AY142/AX142-1,""),"")</f>
        <v>0.0964912280701755</v>
      </c>
      <c r="AZ143" s="33" t="n">
        <f aca="false">IF(AND(ISNUMBER(AZ142),ISNUMBER(AY142)),IFERROR(AZ142/AY142-1,""),"")</f>
        <v>0.128</v>
      </c>
      <c r="BA143" s="33" t="n">
        <f aca="false">IF(AND(ISNUMBER(BA142),ISNUMBER(AZ142)),IFERROR(BA142/AZ142-1,""),"")</f>
        <v>0.127659574468085</v>
      </c>
      <c r="BB143" s="33" t="n">
        <f aca="false">IF(AND(ISNUMBER(BB142),ISNUMBER(BA142)),IFERROR(BB142/BA142-1,""),"")</f>
        <v>0.10062893081761</v>
      </c>
    </row>
    <row r="144" customFormat="false" ht="15" hidden="false" customHeight="true" outlineLevel="0" collapsed="false">
      <c r="B144" s="31" t="s">
        <v>252</v>
      </c>
      <c r="E144" s="32" t="n">
        <f aca="false">IFERROR(E142/E139,"")</f>
        <v>0</v>
      </c>
      <c r="H144" s="32" t="n">
        <f aca="false">IFERROR(H142/H139,"")</f>
        <v>0.232825532823341</v>
      </c>
      <c r="K144" s="32" t="n">
        <f aca="false">IFERROR(K142/K139,"")</f>
        <v>0.245439033993963</v>
      </c>
      <c r="N144" s="32" t="n">
        <f aca="false">IFERROR(N142/N139,"")</f>
        <v>0.246823956442831</v>
      </c>
      <c r="Q144" s="32" t="n">
        <f aca="false">IFERROR(Q142/Q139,"")</f>
        <v>0.265162877197192</v>
      </c>
      <c r="T144" s="32" t="n">
        <f aca="false">IFERROR(T142/T139,"")</f>
        <v>0.298925735637553</v>
      </c>
      <c r="W144" s="32" t="n">
        <f aca="false">IFERROR(W142/W139,"")</f>
        <v>0.359176007981689</v>
      </c>
      <c r="Z144" s="32" t="n">
        <f aca="false">IFERROR(Z142/Z139,"")</f>
        <v>0.402430363765486</v>
      </c>
      <c r="AC144" s="32" t="n">
        <f aca="false">IFERROR(AC142/AC139,"")</f>
        <v>0</v>
      </c>
      <c r="AF144" s="32" t="n">
        <f aca="false">IFERROR(AF142/AF139,"")</f>
        <v>-0</v>
      </c>
      <c r="AI144" s="32" t="n">
        <f aca="false">IFERROR(AI142/AI139,"")</f>
        <v>0.535613817936312</v>
      </c>
      <c r="AL144" s="32" t="n">
        <f aca="false">IFERROR(AL142/AL139,"")</f>
        <v>0.548393900668743</v>
      </c>
      <c r="AO144" s="32" t="n">
        <f aca="false">IFERROR(AO142/AO139,"")</f>
        <v>0.539814418367258</v>
      </c>
      <c r="AR144" s="32" t="n">
        <f aca="false">IFERROR(AR142/AR139,"")</f>
        <v>0.534963450509717</v>
      </c>
      <c r="AU144" s="32" t="n">
        <f aca="false">IFERROR(AU142/AU139,"")</f>
        <v>0.523534716886117</v>
      </c>
      <c r="AX144" s="43" t="n">
        <v>0.5</v>
      </c>
      <c r="AY144" s="43" t="n">
        <v>0.5</v>
      </c>
      <c r="AZ144" s="43" t="n">
        <v>0.5</v>
      </c>
      <c r="BA144" s="43" t="n">
        <v>0.5</v>
      </c>
      <c r="BB144" s="43" t="n">
        <v>0.5</v>
      </c>
      <c r="BC144" s="18" t="s">
        <v>253</v>
      </c>
    </row>
    <row r="145" customFormat="false" ht="15" hidden="false" customHeight="true" outlineLevel="0" collapsed="false"/>
    <row r="146" customFormat="false" ht="15" hidden="false" customHeight="true" outlineLevel="0" collapsed="false">
      <c r="B146" s="9" t="s">
        <v>254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 t="s">
        <v>255</v>
      </c>
    </row>
    <row r="147" customFormat="false" ht="15" hidden="false" customHeight="true" outlineLevel="0" collapsed="false">
      <c r="B147" s="14" t="s">
        <v>256</v>
      </c>
      <c r="C147" s="35" t="n">
        <f aca="false">C130</f>
        <v>8.82099999999998</v>
      </c>
      <c r="D147" s="35" t="n">
        <f aca="false">D130</f>
        <v>12.204</v>
      </c>
      <c r="E147" s="35" t="n">
        <f aca="false">E130</f>
        <v>21.025</v>
      </c>
      <c r="F147" s="35" t="n">
        <f aca="false">F130</f>
        <v>7.63799999999998</v>
      </c>
      <c r="G147" s="35" t="n">
        <f aca="false">G130</f>
        <v>14.605</v>
      </c>
      <c r="H147" s="35" t="n">
        <f aca="false">H130</f>
        <v>22.243</v>
      </c>
      <c r="I147" s="35" t="n">
        <f aca="false">I130</f>
        <v>13.263</v>
      </c>
      <c r="J147" s="35" t="n">
        <f aca="false">J130</f>
        <v>16.312</v>
      </c>
      <c r="K147" s="35" t="n">
        <f aca="false">K130</f>
        <v>29.575</v>
      </c>
      <c r="L147" s="35" t="n">
        <f aca="false">L130</f>
        <v>15.625</v>
      </c>
      <c r="M147" s="35" t="n">
        <f aca="false">M130</f>
        <v>16.162</v>
      </c>
      <c r="N147" s="35" t="n">
        <f aca="false">N130</f>
        <v>31.787</v>
      </c>
      <c r="O147" s="35" t="n">
        <f aca="false">O130</f>
        <v>15.513</v>
      </c>
      <c r="P147" s="35" t="n">
        <f aca="false">P130</f>
        <v>17.436</v>
      </c>
      <c r="Q147" s="35" t="n">
        <f aca="false">Q130</f>
        <v>32.949</v>
      </c>
      <c r="R147" s="35" t="n">
        <f aca="false">R130</f>
        <v>16.025</v>
      </c>
      <c r="S147" s="35" t="n">
        <f aca="false">S130</f>
        <v>21.094</v>
      </c>
      <c r="T147" s="35" t="n">
        <f aca="false">T130</f>
        <v>37.119</v>
      </c>
      <c r="U147" s="35" t="n">
        <f aca="false">U130</f>
        <v>19.852</v>
      </c>
      <c r="V147" s="35" t="n">
        <f aca="false">V130</f>
        <v>32.633</v>
      </c>
      <c r="W147" s="35" t="n">
        <f aca="false">W130</f>
        <v>52.485</v>
      </c>
      <c r="X147" s="35" t="n">
        <f aca="false">X130</f>
        <v>25.78</v>
      </c>
      <c r="Y147" s="35" t="n">
        <f aca="false">Y130</f>
        <v>25.262</v>
      </c>
      <c r="Z147" s="35" t="n">
        <f aca="false">Z130</f>
        <v>51.042</v>
      </c>
      <c r="AA147" s="35" t="n">
        <f aca="false">AA130</f>
        <v>25.0130000000001</v>
      </c>
      <c r="AB147" s="35" t="n">
        <f aca="false">AB130</f>
        <v>28.0699999999999</v>
      </c>
      <c r="AC147" s="35" t="n">
        <f aca="false">AC130</f>
        <v>53.083</v>
      </c>
      <c r="AD147" s="35" t="n">
        <f aca="false">AD130</f>
        <v>-47.657</v>
      </c>
      <c r="AE147" s="35" t="n">
        <f aca="false">AE130</f>
        <v>15.588</v>
      </c>
      <c r="AF147" s="35" t="n">
        <f aca="false">AF130</f>
        <v>-32.069</v>
      </c>
      <c r="AG147" s="35" t="n">
        <f aca="false">AG130</f>
        <v>21.854</v>
      </c>
      <c r="AH147" s="35" t="n">
        <f aca="false">AH130</f>
        <v>34.4409999999999</v>
      </c>
      <c r="AI147" s="35" t="n">
        <f aca="false">AI130</f>
        <v>56.2949999999999</v>
      </c>
      <c r="AJ147" s="35" t="n">
        <f aca="false">AJ130</f>
        <v>50.5710000000001</v>
      </c>
      <c r="AK147" s="35" t="n">
        <f aca="false">AK130</f>
        <v>36.634</v>
      </c>
      <c r="AL147" s="35" t="n">
        <f aca="false">AL130</f>
        <v>87.205</v>
      </c>
      <c r="AM147" s="35" t="n">
        <f aca="false">AM130</f>
        <v>66.6869999999999</v>
      </c>
      <c r="AN147" s="35" t="n">
        <f aca="false">AN130</f>
        <v>57.1220000000001</v>
      </c>
      <c r="AO147" s="35" t="n">
        <f aca="false">AO130</f>
        <v>123.809</v>
      </c>
      <c r="AP147" s="35" t="n">
        <f aca="false">AP130</f>
        <v>66.0770000000001</v>
      </c>
      <c r="AQ147" s="35" t="n">
        <f aca="false">AQ130</f>
        <v>62.436</v>
      </c>
      <c r="AR147" s="35" t="n">
        <f aca="false">AR130</f>
        <v>128.513</v>
      </c>
      <c r="AS147" s="35" t="n">
        <f aca="false">AS130</f>
        <v>76.65</v>
      </c>
      <c r="AT147" s="35" t="n">
        <f aca="false">AT130</f>
        <v>65.339</v>
      </c>
      <c r="AU147" s="35" t="n">
        <f aca="false">AU130</f>
        <v>141.989</v>
      </c>
      <c r="AV147" s="35" t="n">
        <f aca="false">AV130</f>
        <v>78.169</v>
      </c>
      <c r="AW147" s="36" t="n">
        <f aca="false">AW130</f>
        <v>82.5987788800163</v>
      </c>
      <c r="AX147" s="36" t="n">
        <f aca="false">AX130</f>
        <v>160.767778880016</v>
      </c>
      <c r="AY147" s="36" t="n">
        <f aca="false">AY130</f>
        <v>176.640984274652</v>
      </c>
      <c r="AZ147" s="36" t="n">
        <f aca="false">AZ130</f>
        <v>200.362063851836</v>
      </c>
      <c r="BA147" s="36" t="n">
        <f aca="false">BA130</f>
        <v>225.50806621518</v>
      </c>
      <c r="BB147" s="36" t="n">
        <f aca="false">BB130</f>
        <v>248.591166119237</v>
      </c>
    </row>
    <row r="148" customFormat="false" ht="15" hidden="false" customHeight="true" outlineLevel="0" collapsed="false">
      <c r="B148" s="20" t="s">
        <v>257</v>
      </c>
      <c r="C148" s="26" t="n">
        <f aca="false">-C128</f>
        <v>6.021</v>
      </c>
      <c r="D148" s="26" t="n">
        <f aca="false">-D128</f>
        <v>5.304</v>
      </c>
      <c r="E148" s="26" t="n">
        <f aca="false">-E128</f>
        <v>11.325</v>
      </c>
      <c r="F148" s="26" t="n">
        <f aca="false">-F128</f>
        <v>4.953</v>
      </c>
      <c r="G148" s="26" t="n">
        <f aca="false">-G128</f>
        <v>6.564</v>
      </c>
      <c r="H148" s="26" t="n">
        <f aca="false">-H128</f>
        <v>11.517</v>
      </c>
      <c r="I148" s="26" t="n">
        <f aca="false">-I128</f>
        <v>7.582</v>
      </c>
      <c r="J148" s="26" t="n">
        <f aca="false">-J128</f>
        <v>8.064</v>
      </c>
      <c r="K148" s="26" t="n">
        <f aca="false">-K128</f>
        <v>15.646</v>
      </c>
      <c r="L148" s="26" t="n">
        <f aca="false">-L128</f>
        <v>7.383</v>
      </c>
      <c r="M148" s="26" t="n">
        <f aca="false">-M128</f>
        <v>7.256</v>
      </c>
      <c r="N148" s="26" t="n">
        <f aca="false">-N128</f>
        <v>14.639</v>
      </c>
      <c r="O148" s="26" t="n">
        <f aca="false">-O128</f>
        <v>6.797</v>
      </c>
      <c r="P148" s="26" t="n">
        <f aca="false">-P128</f>
        <v>6.397</v>
      </c>
      <c r="Q148" s="26" t="n">
        <f aca="false">-Q128</f>
        <v>13.194</v>
      </c>
      <c r="R148" s="26" t="n">
        <f aca="false">-R128</f>
        <v>8.093</v>
      </c>
      <c r="S148" s="26" t="n">
        <f aca="false">-S128</f>
        <v>8.188</v>
      </c>
      <c r="T148" s="26" t="n">
        <f aca="false">-T128</f>
        <v>16.281</v>
      </c>
      <c r="U148" s="26" t="n">
        <f aca="false">-U128</f>
        <v>8.137</v>
      </c>
      <c r="V148" s="26" t="n">
        <f aca="false">-V128</f>
        <v>-1.208</v>
      </c>
      <c r="W148" s="26" t="n">
        <f aca="false">-W128</f>
        <v>6.929</v>
      </c>
      <c r="X148" s="26" t="n">
        <f aca="false">-X128</f>
        <v>7.453</v>
      </c>
      <c r="Y148" s="26" t="n">
        <f aca="false">-Y128</f>
        <v>6.787</v>
      </c>
      <c r="Z148" s="26" t="n">
        <f aca="false">-Z128</f>
        <v>14.24</v>
      </c>
      <c r="AA148" s="26" t="n">
        <f aca="false">-AA128</f>
        <v>7.665</v>
      </c>
      <c r="AB148" s="26" t="n">
        <f aca="false">-AB128</f>
        <v>8.428</v>
      </c>
      <c r="AC148" s="26" t="n">
        <f aca="false">-AC128</f>
        <v>16.093</v>
      </c>
      <c r="AD148" s="26" t="n">
        <f aca="false">-AD128</f>
        <v>-16.62</v>
      </c>
      <c r="AE148" s="26" t="n">
        <f aca="false">-AE128</f>
        <v>14.907</v>
      </c>
      <c r="AF148" s="26" t="n">
        <f aca="false">-AF128</f>
        <v>-1.713</v>
      </c>
      <c r="AG148" s="26" t="n">
        <f aca="false">-AG128</f>
        <v>-2.72</v>
      </c>
      <c r="AH148" s="26" t="n">
        <f aca="false">-AH128</f>
        <v>10.451</v>
      </c>
      <c r="AI148" s="26" t="n">
        <f aca="false">-AI128</f>
        <v>7.731</v>
      </c>
      <c r="AJ148" s="26" t="n">
        <f aca="false">-AJ128</f>
        <v>19.125</v>
      </c>
      <c r="AK148" s="26" t="n">
        <f aca="false">-AK128</f>
        <v>17.637</v>
      </c>
      <c r="AL148" s="26" t="n">
        <f aca="false">-AL128</f>
        <v>36.762</v>
      </c>
      <c r="AM148" s="26" t="n">
        <f aca="false">-AM128</f>
        <v>18.577</v>
      </c>
      <c r="AN148" s="26" t="n">
        <f aca="false">-AN128</f>
        <v>30.955</v>
      </c>
      <c r="AO148" s="26" t="n">
        <f aca="false">-AO128</f>
        <v>49.532</v>
      </c>
      <c r="AP148" s="26" t="n">
        <f aca="false">-AP128</f>
        <v>29.17</v>
      </c>
      <c r="AQ148" s="26" t="n">
        <f aca="false">-AQ128</f>
        <v>22.054</v>
      </c>
      <c r="AR148" s="26" t="n">
        <f aca="false">-AR128</f>
        <v>51.224</v>
      </c>
      <c r="AS148" s="26" t="n">
        <f aca="false">-AS128</f>
        <v>30.706</v>
      </c>
      <c r="AT148" s="26" t="n">
        <f aca="false">-AT128</f>
        <v>26.001</v>
      </c>
      <c r="AU148" s="26" t="n">
        <f aca="false">-AU128</f>
        <v>56.707</v>
      </c>
      <c r="AV148" s="26" t="n">
        <f aca="false">-AV128</f>
        <v>31.62</v>
      </c>
      <c r="AW148" s="27" t="n">
        <f aca="false">-AW128</f>
        <v>33.4118817969543</v>
      </c>
      <c r="AX148" s="27" t="n">
        <f aca="false">-AX128</f>
        <v>65.0318817969543</v>
      </c>
      <c r="AY148" s="27" t="n">
        <f aca="false">-AY128</f>
        <v>70.4093433822041</v>
      </c>
      <c r="AZ148" s="27" t="n">
        <f aca="false">-AZ128</f>
        <v>79.8645988780047</v>
      </c>
      <c r="BA148" s="27" t="n">
        <f aca="false">-BA128</f>
        <v>89.8878305892675</v>
      </c>
      <c r="BB148" s="27" t="n">
        <f aca="false">-BB128</f>
        <v>99.0887864950807</v>
      </c>
    </row>
    <row r="149" customFormat="false" ht="15" hidden="false" customHeight="true" outlineLevel="0" collapsed="false">
      <c r="B149" s="20" t="s">
        <v>258</v>
      </c>
      <c r="C149" s="26" t="n">
        <f aca="false">-(C123+C124)</f>
        <v>1.12</v>
      </c>
      <c r="D149" s="26" t="n">
        <f aca="false">-(D123+D124)</f>
        <v>1.437</v>
      </c>
      <c r="E149" s="26" t="n">
        <f aca="false">-(E123+E124)</f>
        <v>2.557</v>
      </c>
      <c r="F149" s="26" t="n">
        <f aca="false">-(F123+F124)</f>
        <v>0.864</v>
      </c>
      <c r="G149" s="26" t="n">
        <f aca="false">-(G123+G124)</f>
        <v>1.12</v>
      </c>
      <c r="H149" s="26" t="n">
        <f aca="false">-(H123+H124)</f>
        <v>1.984</v>
      </c>
      <c r="I149" s="26" t="n">
        <f aca="false">-(I123+I124)</f>
        <v>0.959</v>
      </c>
      <c r="J149" s="26" t="n">
        <f aca="false">-(J123+J124)</f>
        <v>0.776000000000001</v>
      </c>
      <c r="K149" s="26" t="n">
        <f aca="false">-(K123+K124)</f>
        <v>1.735</v>
      </c>
      <c r="L149" s="26" t="n">
        <f aca="false">-(L123+L124)</f>
        <v>1.288</v>
      </c>
      <c r="M149" s="26" t="n">
        <f aca="false">-(M123+M124)</f>
        <v>1.615</v>
      </c>
      <c r="N149" s="26" t="n">
        <f aca="false">-(N123+N124)</f>
        <v>2.903</v>
      </c>
      <c r="O149" s="26" t="n">
        <f aca="false">-(O123+O124)</f>
        <v>2.542</v>
      </c>
      <c r="P149" s="26" t="n">
        <f aca="false">-(P123+P124)</f>
        <v>2.29</v>
      </c>
      <c r="Q149" s="26" t="n">
        <f aca="false">-(Q123+Q124)</f>
        <v>4.832</v>
      </c>
      <c r="R149" s="26" t="n">
        <f aca="false">-(R123+R124)</f>
        <v>1.808</v>
      </c>
      <c r="S149" s="26" t="n">
        <f aca="false">-(S123+S124)</f>
        <v>1.437</v>
      </c>
      <c r="T149" s="26" t="n">
        <f aca="false">-(T123+T124)</f>
        <v>3.245</v>
      </c>
      <c r="U149" s="26" t="n">
        <f aca="false">-(U123+U124)</f>
        <v>3.036</v>
      </c>
      <c r="V149" s="26" t="n">
        <f aca="false">-(V123+V124)</f>
        <v>2.271</v>
      </c>
      <c r="W149" s="26" t="n">
        <f aca="false">-(W123+W124)</f>
        <v>5.307</v>
      </c>
      <c r="X149" s="26" t="n">
        <f aca="false">-(X123+X124)</f>
        <v>1.207</v>
      </c>
      <c r="Y149" s="26" t="n">
        <f aca="false">-(Y123+Y124)</f>
        <v>3.049</v>
      </c>
      <c r="Z149" s="26" t="n">
        <f aca="false">-(Z123+Z124)</f>
        <v>4.256</v>
      </c>
      <c r="AA149" s="26" t="n">
        <f aca="false">-(AA123+AA124)</f>
        <v>6.464</v>
      </c>
      <c r="AB149" s="26" t="n">
        <f aca="false">-(AB123+AB124)</f>
        <v>7.736</v>
      </c>
      <c r="AC149" s="26" t="n">
        <f aca="false">-(AC123+AC124)</f>
        <v>14.2</v>
      </c>
      <c r="AD149" s="26" t="n">
        <f aca="false">-(AD123+AD124)</f>
        <v>11.002</v>
      </c>
      <c r="AE149" s="26" t="n">
        <f aca="false">-(AE123+AE124)</f>
        <v>7.962</v>
      </c>
      <c r="AF149" s="26" t="n">
        <f aca="false">-(AF123+AF124)</f>
        <v>18.964</v>
      </c>
      <c r="AG149" s="26" t="n">
        <f aca="false">-(AG123+AG124)</f>
        <v>6.2</v>
      </c>
      <c r="AH149" s="26" t="n">
        <f aca="false">-(AH123+AH124)</f>
        <v>6.81</v>
      </c>
      <c r="AI149" s="26" t="n">
        <f aca="false">-(AI123+AI124)</f>
        <v>13.01</v>
      </c>
      <c r="AJ149" s="26" t="n">
        <f aca="false">-(AJ123+AJ124)</f>
        <v>-11.942</v>
      </c>
      <c r="AK149" s="26" t="n">
        <f aca="false">-(AK123+AK124)</f>
        <v>22.387</v>
      </c>
      <c r="AL149" s="26" t="n">
        <f aca="false">-(AL123+AL124)</f>
        <v>10.445</v>
      </c>
      <c r="AM149" s="26" t="n">
        <f aca="false">-(AM123+AM124)</f>
        <v>2.429</v>
      </c>
      <c r="AN149" s="26" t="n">
        <f aca="false">-(AN123+AN124)</f>
        <v>11.636</v>
      </c>
      <c r="AO149" s="26" t="n">
        <f aca="false">-(AO123+AO124)</f>
        <v>14.065</v>
      </c>
      <c r="AP149" s="26" t="n">
        <f aca="false">-(AP123+AP124)</f>
        <v>9.34</v>
      </c>
      <c r="AQ149" s="26" t="n">
        <f aca="false">-(AQ123+AQ124)</f>
        <v>22.594</v>
      </c>
      <c r="AR149" s="26" t="n">
        <f aca="false">-(AR123+AR124)</f>
        <v>31.934</v>
      </c>
      <c r="AS149" s="26" t="n">
        <f aca="false">-(AS123+AS124)</f>
        <v>6.48099999999999</v>
      </c>
      <c r="AT149" s="26" t="n">
        <f aca="false">-(AT123+AT124)</f>
        <v>22.607</v>
      </c>
      <c r="AU149" s="26" t="n">
        <f aca="false">-(AU123+AU124)</f>
        <v>29.088</v>
      </c>
      <c r="AV149" s="26" t="n">
        <f aca="false">-(AV123+AV124)</f>
        <v>18.41</v>
      </c>
      <c r="AW149" s="27" t="n">
        <f aca="false">-(AW123+AW124)</f>
        <v>18.41</v>
      </c>
      <c r="AX149" s="27" t="n">
        <f aca="false">-(AX123+AX124)</f>
        <v>36.82</v>
      </c>
      <c r="AY149" s="27" t="n">
        <f aca="false">-(AY123+AY124)</f>
        <v>41.2164701152672</v>
      </c>
      <c r="AZ149" s="27" t="n">
        <f aca="false">-(AZ123+AZ124)</f>
        <v>42.3285992987771</v>
      </c>
      <c r="BA149" s="27" t="n">
        <f aca="false">-(BA123+BA124)</f>
        <v>42.8603167637761</v>
      </c>
      <c r="BB149" s="27" t="n">
        <f aca="false">-(BB123+BB124)</f>
        <v>43.4079520048665</v>
      </c>
    </row>
    <row r="150" customFormat="false" ht="15" hidden="false" customHeight="true" outlineLevel="0" collapsed="false">
      <c r="B150" s="46" t="s">
        <v>259</v>
      </c>
      <c r="C150" s="47" t="n">
        <f aca="false">C147+C148+C149</f>
        <v>15.962</v>
      </c>
      <c r="D150" s="47" t="n">
        <f aca="false">D147+D148+D149</f>
        <v>18.945</v>
      </c>
      <c r="E150" s="47" t="n">
        <f aca="false">E147+E148+E149</f>
        <v>34.907</v>
      </c>
      <c r="F150" s="47" t="n">
        <f aca="false">F147+F148+F149</f>
        <v>13.455</v>
      </c>
      <c r="G150" s="47" t="n">
        <f aca="false">G147+G148+G149</f>
        <v>22.289</v>
      </c>
      <c r="H150" s="47" t="n">
        <f aca="false">H147+H148+H149</f>
        <v>35.744</v>
      </c>
      <c r="I150" s="47" t="n">
        <f aca="false">I147+I148+I149</f>
        <v>21.804</v>
      </c>
      <c r="J150" s="47" t="n">
        <f aca="false">J147+J148+J149</f>
        <v>25.152</v>
      </c>
      <c r="K150" s="47" t="n">
        <f aca="false">K147+K148+K149</f>
        <v>46.956</v>
      </c>
      <c r="L150" s="47" t="n">
        <f aca="false">L147+L148+L149</f>
        <v>24.296</v>
      </c>
      <c r="M150" s="47" t="n">
        <f aca="false">M147+M148+M149</f>
        <v>25.033</v>
      </c>
      <c r="N150" s="47" t="n">
        <f aca="false">N147+N148+N149</f>
        <v>49.329</v>
      </c>
      <c r="O150" s="47" t="n">
        <f aca="false">O147+O148+O149</f>
        <v>24.852</v>
      </c>
      <c r="P150" s="47" t="n">
        <f aca="false">P147+P148+P149</f>
        <v>26.123</v>
      </c>
      <c r="Q150" s="47" t="n">
        <f aca="false">Q147+Q148+Q149</f>
        <v>50.975</v>
      </c>
      <c r="R150" s="47" t="n">
        <f aca="false">R147+R148+R149</f>
        <v>25.926</v>
      </c>
      <c r="S150" s="47" t="n">
        <f aca="false">S147+S148+S149</f>
        <v>30.719</v>
      </c>
      <c r="T150" s="47" t="n">
        <f aca="false">T147+T148+T149</f>
        <v>56.645</v>
      </c>
      <c r="U150" s="47" t="n">
        <f aca="false">U147+U148+U149</f>
        <v>31.025</v>
      </c>
      <c r="V150" s="47" t="n">
        <f aca="false">V147+V148+V149</f>
        <v>33.696</v>
      </c>
      <c r="W150" s="47" t="n">
        <f aca="false">W147+W148+W149</f>
        <v>64.721</v>
      </c>
      <c r="X150" s="47" t="n">
        <f aca="false">X147+X148+X149</f>
        <v>34.44</v>
      </c>
      <c r="Y150" s="47" t="n">
        <f aca="false">Y147+Y148+Y149</f>
        <v>35.098</v>
      </c>
      <c r="Z150" s="47" t="n">
        <f aca="false">Z147+Z148+Z149</f>
        <v>69.538</v>
      </c>
      <c r="AA150" s="47" t="n">
        <f aca="false">AA147+AA148+AA149</f>
        <v>39.1420000000001</v>
      </c>
      <c r="AB150" s="47" t="n">
        <f aca="false">AB147+AB148+AB149</f>
        <v>44.234</v>
      </c>
      <c r="AC150" s="47" t="n">
        <f aca="false">AC147+AC148+AC149</f>
        <v>83.376</v>
      </c>
      <c r="AD150" s="47" t="n">
        <f aca="false">AD147+AD148+AD149</f>
        <v>-53.275</v>
      </c>
      <c r="AE150" s="47" t="n">
        <f aca="false">AE147+AE148+AE149</f>
        <v>38.457</v>
      </c>
      <c r="AF150" s="47" t="n">
        <f aca="false">AF147+AF148+AF149</f>
        <v>-14.818</v>
      </c>
      <c r="AG150" s="47" t="n">
        <f aca="false">AG147+AG148+AG149</f>
        <v>25.334</v>
      </c>
      <c r="AH150" s="47" t="n">
        <f aca="false">AH147+AH148+AH149</f>
        <v>51.702</v>
      </c>
      <c r="AI150" s="47" t="n">
        <f aca="false">AI147+AI148+AI149</f>
        <v>77.0359999999999</v>
      </c>
      <c r="AJ150" s="47" t="n">
        <f aca="false">AJ147+AJ148+AJ149</f>
        <v>57.7540000000001</v>
      </c>
      <c r="AK150" s="47" t="n">
        <f aca="false">AK147+AK148+AK149</f>
        <v>76.658</v>
      </c>
      <c r="AL150" s="47" t="n">
        <f aca="false">AL147+AL148+AL149</f>
        <v>134.412</v>
      </c>
      <c r="AM150" s="47" t="n">
        <f aca="false">AM147+AM148+AM149</f>
        <v>87.6929999999999</v>
      </c>
      <c r="AN150" s="47" t="n">
        <f aca="false">AN147+AN148+AN149</f>
        <v>99.7130000000001</v>
      </c>
      <c r="AO150" s="47" t="n">
        <f aca="false">AO147+AO148+AO149</f>
        <v>187.406</v>
      </c>
      <c r="AP150" s="47" t="n">
        <f aca="false">AP147+AP148+AP149</f>
        <v>104.587</v>
      </c>
      <c r="AQ150" s="47" t="n">
        <f aca="false">AQ147+AQ148+AQ149</f>
        <v>107.084</v>
      </c>
      <c r="AR150" s="47" t="n">
        <f aca="false">AR147+AR148+AR149</f>
        <v>211.671</v>
      </c>
      <c r="AS150" s="47" t="n">
        <f aca="false">AS147+AS148+AS149</f>
        <v>113.837</v>
      </c>
      <c r="AT150" s="47" t="n">
        <f aca="false">AT147+AT148+AT149</f>
        <v>113.947</v>
      </c>
      <c r="AU150" s="47" t="n">
        <f aca="false">AU147+AU148+AU149</f>
        <v>227.784</v>
      </c>
      <c r="AV150" s="47" t="n">
        <f aca="false">AV147+AV148+AV149</f>
        <v>128.199</v>
      </c>
      <c r="AW150" s="47" t="n">
        <f aca="false">AW147+AW148+AW149</f>
        <v>134.420660676971</v>
      </c>
      <c r="AX150" s="47" t="n">
        <f aca="false">AX147+AX148+AX149</f>
        <v>262.619660676971</v>
      </c>
      <c r="AY150" s="47" t="n">
        <f aca="false">AY147+AY148+AY149</f>
        <v>288.266797772124</v>
      </c>
      <c r="AZ150" s="47" t="n">
        <f aca="false">AZ147+AZ148+AZ149</f>
        <v>322.555262028618</v>
      </c>
      <c r="BA150" s="47" t="n">
        <f aca="false">BA147+BA148+BA149</f>
        <v>358.256213568223</v>
      </c>
      <c r="BB150" s="47" t="n">
        <f aca="false">BB147+BB148+BB149</f>
        <v>391.087904619185</v>
      </c>
    </row>
    <row r="151" customFormat="false" ht="15" hidden="false" customHeight="true" outlineLevel="0" collapsed="false">
      <c r="B151" s="20" t="s">
        <v>260</v>
      </c>
      <c r="C151" s="26" t="n">
        <f aca="false">-C118</f>
        <v>2.389</v>
      </c>
      <c r="D151" s="26" t="n">
        <f aca="false">-D118</f>
        <v>2.864</v>
      </c>
      <c r="E151" s="26" t="n">
        <f aca="false">-E118</f>
        <v>5.253</v>
      </c>
      <c r="F151" s="26" t="n">
        <f aca="false">-F118</f>
        <v>2.963</v>
      </c>
      <c r="G151" s="26" t="n">
        <f aca="false">-G118</f>
        <v>4.162</v>
      </c>
      <c r="H151" s="26" t="n">
        <f aca="false">-H118</f>
        <v>7.125</v>
      </c>
      <c r="I151" s="26" t="n">
        <f aca="false">-I118</f>
        <v>5.325</v>
      </c>
      <c r="J151" s="26" t="n">
        <f aca="false">-J118</f>
        <v>5.9</v>
      </c>
      <c r="K151" s="26" t="n">
        <f aca="false">-K118</f>
        <v>11.225</v>
      </c>
      <c r="L151" s="26" t="n">
        <f aca="false">-L118</f>
        <v>6.322</v>
      </c>
      <c r="M151" s="26" t="n">
        <f aca="false">-M118</f>
        <v>7.39</v>
      </c>
      <c r="N151" s="26" t="n">
        <f aca="false">-N118</f>
        <v>13.712</v>
      </c>
      <c r="O151" s="26" t="n">
        <f aca="false">-O118</f>
        <v>8.532</v>
      </c>
      <c r="P151" s="26" t="n">
        <f aca="false">-P118</f>
        <v>9.617</v>
      </c>
      <c r="Q151" s="26" t="n">
        <f aca="false">-Q118</f>
        <v>18.149</v>
      </c>
      <c r="R151" s="26" t="n">
        <f aca="false">-R118</f>
        <v>9.558</v>
      </c>
      <c r="S151" s="26" t="n">
        <f aca="false">-S118</f>
        <v>10.489</v>
      </c>
      <c r="T151" s="26" t="n">
        <f aca="false">-T118</f>
        <v>20.047</v>
      </c>
      <c r="U151" s="26" t="n">
        <f aca="false">-U118</f>
        <v>10.567</v>
      </c>
      <c r="V151" s="26" t="n">
        <f aca="false">-V118</f>
        <v>12.188</v>
      </c>
      <c r="W151" s="26" t="n">
        <f aca="false">-W118</f>
        <v>22.755</v>
      </c>
      <c r="X151" s="26" t="n">
        <f aca="false">-X118</f>
        <v>11.793</v>
      </c>
      <c r="Y151" s="26" t="n">
        <f aca="false">-Y118</f>
        <v>13.812</v>
      </c>
      <c r="Z151" s="26" t="n">
        <f aca="false">-Z118</f>
        <v>25.605</v>
      </c>
      <c r="AA151" s="26" t="n">
        <f aca="false">-AA118</f>
        <v>40.084</v>
      </c>
      <c r="AB151" s="26" t="n">
        <f aca="false">-AB118</f>
        <v>46.166</v>
      </c>
      <c r="AC151" s="26" t="n">
        <f aca="false">-AC118</f>
        <v>86.25</v>
      </c>
      <c r="AD151" s="26" t="n">
        <f aca="false">-AD118</f>
        <v>49.851</v>
      </c>
      <c r="AE151" s="26" t="n">
        <f aca="false">-AE118</f>
        <v>54.433</v>
      </c>
      <c r="AF151" s="26" t="n">
        <f aca="false">-AF118</f>
        <v>104.284</v>
      </c>
      <c r="AG151" s="26" t="n">
        <f aca="false">-AG118</f>
        <v>55.261</v>
      </c>
      <c r="AH151" s="26" t="n">
        <f aca="false">-AH118</f>
        <v>61.014</v>
      </c>
      <c r="AI151" s="26" t="n">
        <f aca="false">-AI118</f>
        <v>116.275</v>
      </c>
      <c r="AJ151" s="26" t="n">
        <f aca="false">-AJ118</f>
        <v>62.198</v>
      </c>
      <c r="AK151" s="26" t="n">
        <f aca="false">-AK118</f>
        <v>69.747</v>
      </c>
      <c r="AL151" s="26" t="n">
        <f aca="false">-AL118</f>
        <v>131.945</v>
      </c>
      <c r="AM151" s="26" t="n">
        <f aca="false">-AM118</f>
        <v>67.115</v>
      </c>
      <c r="AN151" s="26" t="n">
        <f aca="false">-AN118</f>
        <v>71.73</v>
      </c>
      <c r="AO151" s="26" t="n">
        <f aca="false">-AO118</f>
        <v>138.845</v>
      </c>
      <c r="AP151" s="26" t="n">
        <f aca="false">-AP118</f>
        <v>73.167</v>
      </c>
      <c r="AQ151" s="26" t="n">
        <f aca="false">-AQ118</f>
        <v>79.837</v>
      </c>
      <c r="AR151" s="26" t="n">
        <f aca="false">-AR118</f>
        <v>153.004</v>
      </c>
      <c r="AS151" s="26" t="n">
        <f aca="false">-AS118</f>
        <v>86.778</v>
      </c>
      <c r="AT151" s="26" t="n">
        <f aca="false">-AT118</f>
        <v>93.834</v>
      </c>
      <c r="AU151" s="26" t="n">
        <f aca="false">-AU118</f>
        <v>180.612</v>
      </c>
      <c r="AV151" s="26" t="n">
        <f aca="false">-AV118</f>
        <v>98.343</v>
      </c>
      <c r="AW151" s="27" t="n">
        <f aca="false">-AW118</f>
        <v>102.052896341476</v>
      </c>
      <c r="AX151" s="27" t="n">
        <f aca="false">-AX118</f>
        <v>200.395896341476</v>
      </c>
      <c r="AY151" s="27" t="n">
        <f aca="false">-AY118</f>
        <v>224.554426096945</v>
      </c>
      <c r="AZ151" s="27" t="n">
        <f aca="false">-AZ118</f>
        <v>238.193031852079</v>
      </c>
      <c r="BA151" s="27" t="n">
        <f aca="false">-BA118</f>
        <v>249.718014676921</v>
      </c>
      <c r="BB151" s="27" t="n">
        <f aca="false">-BB118</f>
        <v>264.667473655962</v>
      </c>
    </row>
    <row r="152" customFormat="false" ht="15" hidden="false" customHeight="true" outlineLevel="0" collapsed="false">
      <c r="B152" s="46" t="s">
        <v>261</v>
      </c>
      <c r="C152" s="47" t="n">
        <f aca="false">C150+C151</f>
        <v>18.351</v>
      </c>
      <c r="D152" s="47" t="n">
        <f aca="false">D150+D151</f>
        <v>21.809</v>
      </c>
      <c r="E152" s="47" t="n">
        <f aca="false">E150+E151</f>
        <v>40.16</v>
      </c>
      <c r="F152" s="47" t="n">
        <f aca="false">F150+F151</f>
        <v>16.418</v>
      </c>
      <c r="G152" s="47" t="n">
        <f aca="false">G150+G151</f>
        <v>26.451</v>
      </c>
      <c r="H152" s="47" t="n">
        <f aca="false">H150+H151</f>
        <v>42.869</v>
      </c>
      <c r="I152" s="47" t="n">
        <f aca="false">I150+I151</f>
        <v>27.129</v>
      </c>
      <c r="J152" s="47" t="n">
        <f aca="false">J150+J151</f>
        <v>31.052</v>
      </c>
      <c r="K152" s="47" t="n">
        <f aca="false">K150+K151</f>
        <v>58.181</v>
      </c>
      <c r="L152" s="47" t="n">
        <f aca="false">L150+L151</f>
        <v>30.618</v>
      </c>
      <c r="M152" s="47" t="n">
        <f aca="false">M150+M151</f>
        <v>32.423</v>
      </c>
      <c r="N152" s="47" t="n">
        <f aca="false">N150+N151</f>
        <v>63.041</v>
      </c>
      <c r="O152" s="47" t="n">
        <f aca="false">O150+O151</f>
        <v>33.384</v>
      </c>
      <c r="P152" s="47" t="n">
        <f aca="false">P150+P151</f>
        <v>35.74</v>
      </c>
      <c r="Q152" s="47" t="n">
        <f aca="false">Q150+Q151</f>
        <v>69.124</v>
      </c>
      <c r="R152" s="47" t="n">
        <f aca="false">R150+R151</f>
        <v>35.484</v>
      </c>
      <c r="S152" s="47" t="n">
        <f aca="false">S150+S151</f>
        <v>41.208</v>
      </c>
      <c r="T152" s="47" t="n">
        <f aca="false">T150+T151</f>
        <v>76.692</v>
      </c>
      <c r="U152" s="47" t="n">
        <f aca="false">U150+U151</f>
        <v>41.592</v>
      </c>
      <c r="V152" s="47" t="n">
        <f aca="false">V150+V151</f>
        <v>45.884</v>
      </c>
      <c r="W152" s="47" t="n">
        <f aca="false">W150+W151</f>
        <v>87.476</v>
      </c>
      <c r="X152" s="47" t="n">
        <f aca="false">X150+X151</f>
        <v>46.233</v>
      </c>
      <c r="Y152" s="47" t="n">
        <f aca="false">Y150+Y151</f>
        <v>48.91</v>
      </c>
      <c r="Z152" s="47" t="n">
        <f aca="false">Z150+Z151</f>
        <v>95.143</v>
      </c>
      <c r="AA152" s="47" t="n">
        <f aca="false">AA150+AA151</f>
        <v>79.2260000000001</v>
      </c>
      <c r="AB152" s="47" t="n">
        <f aca="false">AB150+AB151</f>
        <v>90.4</v>
      </c>
      <c r="AC152" s="47" t="n">
        <f aca="false">AC150+AC151</f>
        <v>169.626</v>
      </c>
      <c r="AD152" s="47" t="n">
        <f aca="false">AD150+AD151</f>
        <v>-3.42399999999999</v>
      </c>
      <c r="AE152" s="47" t="n">
        <f aca="false">AE150+AE151</f>
        <v>92.89</v>
      </c>
      <c r="AF152" s="47" t="n">
        <f aca="false">AF150+AF151</f>
        <v>89.466</v>
      </c>
      <c r="AG152" s="47" t="n">
        <f aca="false">AG150+AG151</f>
        <v>80.595</v>
      </c>
      <c r="AH152" s="47" t="n">
        <f aca="false">AH150+AH151</f>
        <v>112.716</v>
      </c>
      <c r="AI152" s="47" t="n">
        <f aca="false">AI150+AI151</f>
        <v>193.311</v>
      </c>
      <c r="AJ152" s="47" t="n">
        <f aca="false">AJ150+AJ151</f>
        <v>119.952</v>
      </c>
      <c r="AK152" s="47" t="n">
        <f aca="false">AK150+AK151</f>
        <v>146.405</v>
      </c>
      <c r="AL152" s="47" t="n">
        <f aca="false">AL150+AL151</f>
        <v>266.357</v>
      </c>
      <c r="AM152" s="47" t="n">
        <f aca="false">AM150+AM151</f>
        <v>154.808</v>
      </c>
      <c r="AN152" s="47" t="n">
        <f aca="false">AN150+AN151</f>
        <v>171.443</v>
      </c>
      <c r="AO152" s="47" t="n">
        <f aca="false">AO150+AO151</f>
        <v>326.251</v>
      </c>
      <c r="AP152" s="47" t="n">
        <f aca="false">AP150+AP151</f>
        <v>177.754</v>
      </c>
      <c r="AQ152" s="47" t="n">
        <f aca="false">AQ150+AQ151</f>
        <v>186.921</v>
      </c>
      <c r="AR152" s="47" t="n">
        <f aca="false">AR150+AR151</f>
        <v>364.675</v>
      </c>
      <c r="AS152" s="47" t="n">
        <f aca="false">AS150+AS151</f>
        <v>200.615</v>
      </c>
      <c r="AT152" s="47" t="n">
        <f aca="false">AT150+AT151</f>
        <v>207.781</v>
      </c>
      <c r="AU152" s="47" t="n">
        <f aca="false">AU150+AU151</f>
        <v>408.396</v>
      </c>
      <c r="AV152" s="47" t="n">
        <f aca="false">AV150+AV151</f>
        <v>226.542</v>
      </c>
      <c r="AW152" s="47" t="n">
        <f aca="false">AW150+AW151</f>
        <v>236.473557018447</v>
      </c>
      <c r="AX152" s="47" t="n">
        <f aca="false">AX150+AX151</f>
        <v>463.015557018447</v>
      </c>
      <c r="AY152" s="47" t="n">
        <f aca="false">AY150+AY151</f>
        <v>512.821223869068</v>
      </c>
      <c r="AZ152" s="47" t="n">
        <f aca="false">AZ150+AZ151</f>
        <v>560.748293880698</v>
      </c>
      <c r="BA152" s="47" t="n">
        <f aca="false">BA150+BA151</f>
        <v>607.974228245144</v>
      </c>
      <c r="BB152" s="47" t="n">
        <f aca="false">BB150+BB151</f>
        <v>655.755378275147</v>
      </c>
      <c r="BE152" s="37" t="n">
        <f aca="false">IFERROR(IF(AND(BB152&gt;0,AU152&gt;0),(BB152/AU152)^(1/5)-1,"n/m"),"n/m")</f>
        <v>0.0993401164958463</v>
      </c>
      <c r="BF152" s="37" t="n">
        <f aca="false">IFERROR(IF(AND(AU152&gt;0,AF152&gt;0),(AU152/AF152)^(1/5)-1,"n/m"),"n/m")</f>
        <v>0.354829648030325</v>
      </c>
      <c r="BG152" s="37" t="n">
        <f aca="false">IFERROR(IF(AND(AU152&gt;0,Q152&gt;0),(AU152/Q152)^(1/10)-1,"n/m"),"n/m")</f>
        <v>0.194387533670697</v>
      </c>
      <c r="BH152" s="37" t="n">
        <f aca="false">IFERROR(IF(AND(AU152&gt;0,E152&gt;0),(AU152/E152)^(1/14)-1,"n/m"),"n/m")</f>
        <v>0.18018238122639</v>
      </c>
    </row>
    <row r="153" customFormat="false" ht="15" hidden="false" customHeight="true" outlineLevel="0" collapsed="false">
      <c r="B153" s="31" t="s">
        <v>262</v>
      </c>
      <c r="C153" s="32" t="n">
        <f aca="false">IF(AND(ISNUMBER(C152),ISNUMBER(C111)),IFERROR(C152/C111,""),"")</f>
        <v>0.157577474947835</v>
      </c>
      <c r="D153" s="32" t="n">
        <f aca="false">IF(AND(ISNUMBER(D152),ISNUMBER(D111)),IFERROR(D152/D111,""),"")</f>
        <v>0.172843126377023</v>
      </c>
      <c r="E153" s="32" t="n">
        <f aca="false">IF(AND(ISNUMBER(E152),ISNUMBER(E111)),IFERROR(E152/E111,""),"")</f>
        <v>0.165516104436705</v>
      </c>
      <c r="F153" s="32" t="n">
        <f aca="false">IF(AND(ISNUMBER(F152),ISNUMBER(F111)),IFERROR(F152/F111,""),"")</f>
        <v>0.121432216740753</v>
      </c>
      <c r="G153" s="32" t="n">
        <f aca="false">IF(AND(ISNUMBER(G152),ISNUMBER(G111)),IFERROR(G152/G111,""),"")</f>
        <v>0.183537101541792</v>
      </c>
      <c r="H153" s="32" t="n">
        <f aca="false">IF(AND(ISNUMBER(H152),ISNUMBER(H111)),IFERROR(H152/H111,""),"")</f>
        <v>0.153475750122619</v>
      </c>
      <c r="I153" s="32" t="n">
        <f aca="false">IF(AND(ISNUMBER(I152),ISNUMBER(I111)),IFERROR(I152/I111,""),"")</f>
        <v>0.172166728013505</v>
      </c>
      <c r="J153" s="32" t="n">
        <f aca="false">IF(AND(ISNUMBER(J152),ISNUMBER(J111)),IFERROR(J152/J111,""),"")</f>
        <v>0.18830121402496</v>
      </c>
      <c r="K153" s="32" t="n">
        <f aca="false">IF(AND(ISNUMBER(K152),ISNUMBER(K111)),IFERROR(K152/K111,""),"")</f>
        <v>0.18041739022575</v>
      </c>
      <c r="L153" s="32" t="n">
        <f aca="false">IF(AND(ISNUMBER(L152),ISNUMBER(L111)),IFERROR(L152/L111,""),"")</f>
        <v>0.174152925584861</v>
      </c>
      <c r="M153" s="32" t="n">
        <f aca="false">IF(AND(ISNUMBER(M152),ISNUMBER(M111)),IFERROR(M152/M111,""),"")</f>
        <v>0.180029761574254</v>
      </c>
      <c r="N153" s="32" t="n">
        <f aca="false">IF(AND(ISNUMBER(N152),ISNUMBER(N111)),IFERROR(N152/N111,""),"")</f>
        <v>0.177126737452551</v>
      </c>
      <c r="O153" s="32" t="n">
        <f aca="false">IF(AND(ISNUMBER(O152),ISNUMBER(O111)),IFERROR(O152/O111,""),"")</f>
        <v>0.166643372002476</v>
      </c>
      <c r="P153" s="32" t="n">
        <f aca="false">IF(AND(ISNUMBER(P152),ISNUMBER(P111)),IFERROR(P152/P111,""),"")</f>
        <v>0.167150720936867</v>
      </c>
      <c r="Q153" s="32" t="n">
        <f aca="false">IF(AND(ISNUMBER(Q152),ISNUMBER(Q111)),IFERROR(Q152/Q111,""),"")</f>
        <v>0.166905307484468</v>
      </c>
      <c r="R153" s="32" t="n">
        <f aca="false">IF(AND(ISNUMBER(R152),ISNUMBER(R111)),IFERROR(R152/R111,""),"")</f>
        <v>0.161408296943232</v>
      </c>
      <c r="S153" s="32" t="n">
        <f aca="false">IF(AND(ISNUMBER(S152),ISNUMBER(S111)),IFERROR(S152/S111,""),"")</f>
        <v>0.174513299820862</v>
      </c>
      <c r="T153" s="32" t="n">
        <f aca="false">IF(AND(ISNUMBER(T152),ISNUMBER(T111)),IFERROR(T152/T111,""),"")</f>
        <v>0.168194907132252</v>
      </c>
      <c r="U153" s="32" t="n">
        <f aca="false">IF(AND(ISNUMBER(U152),ISNUMBER(U111)),IFERROR(U152/U111,""),"")</f>
        <v>0.17093047627267</v>
      </c>
      <c r="V153" s="32" t="n">
        <f aca="false">IF(AND(ISNUMBER(V152),ISNUMBER(V111)),IFERROR(V152/V111,""),"")</f>
        <v>0.176311461551467</v>
      </c>
      <c r="W153" s="32" t="n">
        <f aca="false">IF(AND(ISNUMBER(W152),ISNUMBER(W111)),IFERROR(W152/W111,""),"")</f>
        <v>0.173711353513209</v>
      </c>
      <c r="X153" s="32" t="n">
        <f aca="false">IF(AND(ISNUMBER(X152),ISNUMBER(X111)),IFERROR(X152/X111,""),"")</f>
        <v>0.171559932612455</v>
      </c>
      <c r="Y153" s="32" t="n">
        <f aca="false">IF(AND(ISNUMBER(Y152),ISNUMBER(Y111)),IFERROR(Y152/Y111,""),"")</f>
        <v>0.172515960636309</v>
      </c>
      <c r="Z153" s="32" t="n">
        <f aca="false">IF(AND(ISNUMBER(Z152),ISNUMBER(Z111)),IFERROR(Z152/Z111,""),"")</f>
        <v>0.172050069078257</v>
      </c>
      <c r="AA153" s="32" t="n">
        <f aca="false">IF(AND(ISNUMBER(AA152),ISNUMBER(AA111)),IFERROR(AA152/AA111,""),"")</f>
        <v>0.27186844787295</v>
      </c>
      <c r="AB153" s="32" t="n">
        <f aca="false">IF(AND(ISNUMBER(AB152),ISNUMBER(AB111)),IFERROR(AB152/AB111,""),"")</f>
        <v>0.285761250268691</v>
      </c>
      <c r="AC153" s="32" t="n">
        <f aca="false">IF(AND(ISNUMBER(AC152),ISNUMBER(AC111)),IFERROR(AC152/AC111,""),"")</f>
        <v>0.279099843524017</v>
      </c>
      <c r="AD153" s="32" t="n">
        <f aca="false">IF(AND(ISNUMBER(AD152),ISNUMBER(AD111)),IFERROR(AD152/AD111,""),"")</f>
        <v>-0.0166907961763257</v>
      </c>
      <c r="AE153" s="32" t="n">
        <f aca="false">IF(AND(ISNUMBER(AE152),ISNUMBER(AE111)),IFERROR(AE152/AE111,""),"")</f>
        <v>0.27411691799215</v>
      </c>
      <c r="AF153" s="32" t="n">
        <f aca="false">IF(AND(ISNUMBER(AF152),ISNUMBER(AF111)),IFERROR(AF152/AF111,""),"")</f>
        <v>0.164455628817694</v>
      </c>
      <c r="AG153" s="32" t="n">
        <f aca="false">IF(AND(ISNUMBER(AG152),ISNUMBER(AG111)),IFERROR(AG152/AG111,""),"")</f>
        <v>0.256865032317283</v>
      </c>
      <c r="AH153" s="32" t="n">
        <f aca="false">IF(AND(ISNUMBER(AH152),ISNUMBER(AH111)),IFERROR(AH152/AH111,""),"")</f>
        <v>0.282911034976093</v>
      </c>
      <c r="AI153" s="32" t="n">
        <f aca="false">IF(AND(ISNUMBER(AI152),ISNUMBER(AI111)),IFERROR(AI152/AI111,""),"")</f>
        <v>0.271435973259532</v>
      </c>
      <c r="AJ153" s="32" t="n">
        <f aca="false">IF(AND(ISNUMBER(AJ152),ISNUMBER(AJ111)),IFERROR(AJ152/AJ111,""),"")</f>
        <v>0.288792532688747</v>
      </c>
      <c r="AK153" s="32" t="n">
        <f aca="false">IF(AND(ISNUMBER(AK152),ISNUMBER(AK111)),IFERROR(AK152/AK111,""),"")</f>
        <v>0.290283949075148</v>
      </c>
      <c r="AL153" s="32" t="n">
        <f aca="false">IF(AND(ISNUMBER(AL152),ISNUMBER(AL111)),IFERROR(AL152/AL111,""),"")</f>
        <v>0.28961039808287</v>
      </c>
      <c r="AM153" s="32" t="n">
        <f aca="false">IF(AND(ISNUMBER(AM152),ISNUMBER(AM111)),IFERROR(AM152/AM111,""),"")</f>
        <v>0.28460387320707</v>
      </c>
      <c r="AN153" s="32" t="n">
        <f aca="false">IF(AND(ISNUMBER(AN152),ISNUMBER(AN111)),IFERROR(AN152/AN111,""),"")</f>
        <v>0.287908201478476</v>
      </c>
      <c r="AO153" s="32" t="n">
        <f aca="false">IF(AND(ISNUMBER(AO152),ISNUMBER(AO111)),IFERROR(AO152/AO111,""),"")</f>
        <v>0.286330764775061</v>
      </c>
      <c r="AP153" s="32" t="n">
        <f aca="false">IF(AND(ISNUMBER(AP152),ISNUMBER(AP111)),IFERROR(AP152/AP111,""),"")</f>
        <v>0.286394204897352</v>
      </c>
      <c r="AQ153" s="32" t="n">
        <f aca="false">IF(AND(ISNUMBER(AQ152),ISNUMBER(AQ111)),IFERROR(AQ152/AQ111,""),"")</f>
        <v>0.28412714819465</v>
      </c>
      <c r="AR153" s="32" t="n">
        <f aca="false">IF(AND(ISNUMBER(AR152),ISNUMBER(AR111)),IFERROR(AR152/AR111,""),"")</f>
        <v>0.285227681574296</v>
      </c>
      <c r="AS153" s="32" t="n">
        <f aca="false">IF(AND(ISNUMBER(AS152),ISNUMBER(AS111)),IFERROR(AS152/AS111,""),"")</f>
        <v>0.293238907525562</v>
      </c>
      <c r="AT153" s="32" t="n">
        <f aca="false">IF(AND(ISNUMBER(AT152),ISNUMBER(AT111)),IFERROR(AT152/AT111,""),"")</f>
        <v>0.287063286802171</v>
      </c>
      <c r="AU153" s="32" t="n">
        <f aca="false">IF(AND(ISNUMBER(AU152),ISNUMBER(AU111)),IFERROR(AU152/AU111,""),"")</f>
        <v>0.290064071832045</v>
      </c>
      <c r="AV153" s="32" t="n">
        <f aca="false">IF(AND(ISNUMBER(AV152),ISNUMBER(AV111)),IFERROR(AV152/AV111,""),"")</f>
        <v>0.302293401084318</v>
      </c>
      <c r="AW153" s="33" t="n">
        <f aca="false">IF(AND(ISNUMBER(AW152),ISNUMBER(AW111)),IFERROR(AW152/AW111,""),"")</f>
        <v>0.302914565105601</v>
      </c>
      <c r="AX153" s="33" t="n">
        <f aca="false">IF(AND(ISNUMBER(AX152),ISNUMBER(AX111)),IFERROR(AX152/AX111,""),"")</f>
        <v>0.302610326363387</v>
      </c>
      <c r="AY153" s="33" t="n">
        <f aca="false">IF(AND(ISNUMBER(AY152),ISNUMBER(AY111)),IFERROR(AY152/AY111,""),"")</f>
        <v>0.304</v>
      </c>
      <c r="AZ153" s="33" t="n">
        <f aca="false">IF(AND(ISNUMBER(AZ152),ISNUMBER(AZ111)),IFERROR(AZ152/AZ111,""),"")</f>
        <v>0.307</v>
      </c>
      <c r="BA153" s="33" t="n">
        <f aca="false">IF(AND(ISNUMBER(BA152),ISNUMBER(BA111)),IFERROR(BA152/BA111,""),"")</f>
        <v>0.309</v>
      </c>
      <c r="BB153" s="33" t="n">
        <f aca="false">IF(AND(ISNUMBER(BB152),ISNUMBER(BB111)),IFERROR(BB152/BB111,""),"")</f>
        <v>0.311</v>
      </c>
    </row>
    <row r="154" customFormat="false" ht="15" hidden="false" customHeight="true" outlineLevel="0" collapsed="false">
      <c r="B154" s="20" t="s">
        <v>263</v>
      </c>
      <c r="C154" s="42" t="n">
        <v>18.351</v>
      </c>
      <c r="D154" s="26" t="n">
        <f aca="false">E154-C154</f>
        <v>21.809</v>
      </c>
      <c r="E154" s="42" t="n">
        <v>40.16</v>
      </c>
      <c r="F154" s="42" t="n">
        <v>16.418</v>
      </c>
      <c r="G154" s="26" t="n">
        <f aca="false">H154-F154</f>
        <v>26.451</v>
      </c>
      <c r="H154" s="42" t="n">
        <v>42.869</v>
      </c>
      <c r="I154" s="42" t="n">
        <v>27.129</v>
      </c>
      <c r="J154" s="26" t="n">
        <f aca="false">K154-I154</f>
        <v>31.052</v>
      </c>
      <c r="K154" s="42" t="n">
        <v>58.181</v>
      </c>
      <c r="L154" s="42" t="n">
        <v>30.618</v>
      </c>
      <c r="M154" s="26" t="n">
        <f aca="false">N154-L154</f>
        <v>32.423</v>
      </c>
      <c r="N154" s="42" t="n">
        <v>63.041</v>
      </c>
      <c r="O154" s="42" t="n">
        <v>33.384</v>
      </c>
      <c r="P154" s="26" t="n">
        <f aca="false">Q154-O154</f>
        <v>35.74</v>
      </c>
      <c r="Q154" s="42" t="n">
        <v>69.124</v>
      </c>
      <c r="R154" s="42" t="n">
        <v>35.484</v>
      </c>
      <c r="S154" s="26" t="n">
        <f aca="false">T154-R154</f>
        <v>41.208</v>
      </c>
      <c r="T154" s="42" t="n">
        <v>76.692</v>
      </c>
      <c r="U154" s="42" t="n">
        <v>41.592</v>
      </c>
      <c r="V154" s="26" t="n">
        <f aca="false">W154-U154</f>
        <v>45.884</v>
      </c>
      <c r="W154" s="42" t="n">
        <v>87.476</v>
      </c>
      <c r="X154" s="42" t="n">
        <v>46.233</v>
      </c>
      <c r="Y154" s="26" t="n">
        <f aca="false">Z154-X154</f>
        <v>48.91</v>
      </c>
      <c r="Z154" s="42" t="n">
        <v>95.143</v>
      </c>
      <c r="AA154" s="42" t="n">
        <v>79.226</v>
      </c>
      <c r="AB154" s="26" t="n">
        <f aca="false">AC154-AA154</f>
        <v>90.4</v>
      </c>
      <c r="AC154" s="42" t="n">
        <v>169.626</v>
      </c>
      <c r="AD154" s="42" t="n">
        <v>-3.424</v>
      </c>
      <c r="AE154" s="26" t="n">
        <f aca="false">AF154-AD154</f>
        <v>92.89</v>
      </c>
      <c r="AF154" s="42" t="n">
        <v>89.466</v>
      </c>
      <c r="AG154" s="42" t="n">
        <v>80.595</v>
      </c>
      <c r="AH154" s="26" t="n">
        <f aca="false">AI154-AG154</f>
        <v>112.716</v>
      </c>
      <c r="AI154" s="42" t="n">
        <v>193.311</v>
      </c>
      <c r="AJ154" s="42" t="n">
        <v>119.952</v>
      </c>
      <c r="AK154" s="26" t="n">
        <f aca="false">AL154-AJ154</f>
        <v>146.405</v>
      </c>
      <c r="AL154" s="42" t="n">
        <v>266.357</v>
      </c>
      <c r="AM154" s="42" t="n">
        <v>154.808</v>
      </c>
      <c r="AN154" s="26" t="n">
        <f aca="false">AO154-AM154</f>
        <v>171.443</v>
      </c>
      <c r="AO154" s="42" t="n">
        <v>326.251</v>
      </c>
      <c r="AP154" s="42" t="n">
        <v>177.754</v>
      </c>
      <c r="AQ154" s="26" t="n">
        <f aca="false">AR154-AP154</f>
        <v>186.921</v>
      </c>
      <c r="AR154" s="42" t="n">
        <v>364.675</v>
      </c>
      <c r="AS154" s="42" t="n">
        <v>200.615</v>
      </c>
      <c r="AT154" s="26" t="n">
        <f aca="false">AU154-AS154</f>
        <v>207.781</v>
      </c>
      <c r="AU154" s="42" t="n">
        <v>408.396</v>
      </c>
      <c r="AV154" s="42" t="n">
        <v>226.542</v>
      </c>
    </row>
    <row r="155" customFormat="false" ht="15" hidden="false" customHeight="true" outlineLevel="0" collapsed="false">
      <c r="B155" s="45" t="s">
        <v>264</v>
      </c>
      <c r="C155" s="26" t="n">
        <f aca="false">IF(ISNUMBER(C154),ROUND(C152-C154,1),"n/p")</f>
        <v>0</v>
      </c>
      <c r="D155" s="26" t="n">
        <f aca="false">IF(ISNUMBER(D154),ROUND(D152-D154,1),"n/p")</f>
        <v>0</v>
      </c>
      <c r="E155" s="26" t="n">
        <f aca="false">IF(ISNUMBER(E154),ROUND(E152-E154,1),"n/p")</f>
        <v>0</v>
      </c>
      <c r="F155" s="26" t="n">
        <f aca="false">IF(ISNUMBER(F154),ROUND(F152-F154,1),"n/p")</f>
        <v>0</v>
      </c>
      <c r="G155" s="26" t="n">
        <f aca="false">IF(ISNUMBER(G154),ROUND(G152-G154,1),"n/p")</f>
        <v>0</v>
      </c>
      <c r="H155" s="26" t="n">
        <f aca="false">IF(ISNUMBER(H154),ROUND(H152-H154,1),"n/p")</f>
        <v>0</v>
      </c>
      <c r="I155" s="26" t="n">
        <f aca="false">IF(ISNUMBER(I154),ROUND(I152-I154,1),"n/p")</f>
        <v>0</v>
      </c>
      <c r="J155" s="26" t="n">
        <f aca="false">IF(ISNUMBER(J154),ROUND(J152-J154,1),"n/p")</f>
        <v>0</v>
      </c>
      <c r="K155" s="26" t="n">
        <f aca="false">IF(ISNUMBER(K154),ROUND(K152-K154,1),"n/p")</f>
        <v>0</v>
      </c>
      <c r="L155" s="26" t="n">
        <f aca="false">IF(ISNUMBER(L154),ROUND(L152-L154,1),"n/p")</f>
        <v>0</v>
      </c>
      <c r="M155" s="26" t="n">
        <f aca="false">IF(ISNUMBER(M154),ROUND(M152-M154,1),"n/p")</f>
        <v>0</v>
      </c>
      <c r="N155" s="26" t="n">
        <f aca="false">IF(ISNUMBER(N154),ROUND(N152-N154,1),"n/p")</f>
        <v>0</v>
      </c>
      <c r="O155" s="26" t="n">
        <f aca="false">IF(ISNUMBER(O154),ROUND(O152-O154,1),"n/p")</f>
        <v>0</v>
      </c>
      <c r="P155" s="26" t="n">
        <f aca="false">IF(ISNUMBER(P154),ROUND(P152-P154,1),"n/p")</f>
        <v>0</v>
      </c>
      <c r="Q155" s="26" t="n">
        <f aca="false">IF(ISNUMBER(Q154),ROUND(Q152-Q154,1),"n/p")</f>
        <v>0</v>
      </c>
      <c r="R155" s="26" t="n">
        <f aca="false">IF(ISNUMBER(R154),ROUND(R152-R154,1),"n/p")</f>
        <v>0</v>
      </c>
      <c r="S155" s="26" t="n">
        <f aca="false">IF(ISNUMBER(S154),ROUND(S152-S154,1),"n/p")</f>
        <v>0</v>
      </c>
      <c r="T155" s="26" t="n">
        <f aca="false">IF(ISNUMBER(T154),ROUND(T152-T154,1),"n/p")</f>
        <v>0</v>
      </c>
      <c r="U155" s="26" t="n">
        <f aca="false">IF(ISNUMBER(U154),ROUND(U152-U154,1),"n/p")</f>
        <v>0</v>
      </c>
      <c r="V155" s="26" t="n">
        <f aca="false">IF(ISNUMBER(V154),ROUND(V152-V154,1),"n/p")</f>
        <v>0</v>
      </c>
      <c r="W155" s="26" t="n">
        <f aca="false">IF(ISNUMBER(W154),ROUND(W152-W154,1),"n/p")</f>
        <v>0</v>
      </c>
      <c r="X155" s="26" t="n">
        <f aca="false">IF(ISNUMBER(X154),ROUND(X152-X154,1),"n/p")</f>
        <v>0</v>
      </c>
      <c r="Y155" s="26" t="n">
        <f aca="false">IF(ISNUMBER(Y154),ROUND(Y152-Y154,1),"n/p")</f>
        <v>0</v>
      </c>
      <c r="Z155" s="26" t="n">
        <f aca="false">IF(ISNUMBER(Z154),ROUND(Z152-Z154,1),"n/p")</f>
        <v>0</v>
      </c>
      <c r="AA155" s="26" t="n">
        <f aca="false">IF(ISNUMBER(AA154),ROUND(AA152-AA154,1),"n/p")</f>
        <v>0</v>
      </c>
      <c r="AB155" s="26" t="n">
        <f aca="false">IF(ISNUMBER(AB154),ROUND(AB152-AB154,1),"n/p")</f>
        <v>0</v>
      </c>
      <c r="AC155" s="26" t="n">
        <f aca="false">IF(ISNUMBER(AC154),ROUND(AC152-AC154,1),"n/p")</f>
        <v>0</v>
      </c>
      <c r="AD155" s="26" t="n">
        <f aca="false">IF(ISNUMBER(AD154),ROUND(AD152-AD154,1),"n/p")</f>
        <v>0</v>
      </c>
      <c r="AE155" s="26" t="n">
        <f aca="false">IF(ISNUMBER(AE154),ROUND(AE152-AE154,1),"n/p")</f>
        <v>0</v>
      </c>
      <c r="AF155" s="26" t="n">
        <f aca="false">IF(ISNUMBER(AF154),ROUND(AF152-AF154,1),"n/p")</f>
        <v>0</v>
      </c>
      <c r="AG155" s="26" t="n">
        <f aca="false">IF(ISNUMBER(AG154),ROUND(AG152-AG154,1),"n/p")</f>
        <v>0</v>
      </c>
      <c r="AH155" s="26" t="n">
        <f aca="false">IF(ISNUMBER(AH154),ROUND(AH152-AH154,1),"n/p")</f>
        <v>0</v>
      </c>
      <c r="AI155" s="26" t="n">
        <f aca="false">IF(ISNUMBER(AI154),ROUND(AI152-AI154,1),"n/p")</f>
        <v>0</v>
      </c>
      <c r="AJ155" s="26" t="n">
        <f aca="false">IF(ISNUMBER(AJ154),ROUND(AJ152-AJ154,1),"n/p")</f>
        <v>0</v>
      </c>
      <c r="AK155" s="26" t="n">
        <f aca="false">IF(ISNUMBER(AK154),ROUND(AK152-AK154,1),"n/p")</f>
        <v>0</v>
      </c>
      <c r="AL155" s="26" t="n">
        <f aca="false">IF(ISNUMBER(AL154),ROUND(AL152-AL154,1),"n/p")</f>
        <v>0</v>
      </c>
      <c r="AM155" s="26" t="n">
        <f aca="false">IF(ISNUMBER(AM154),ROUND(AM152-AM154,1),"n/p")</f>
        <v>0</v>
      </c>
      <c r="AN155" s="26" t="n">
        <f aca="false">IF(ISNUMBER(AN154),ROUND(AN152-AN154,1),"n/p")</f>
        <v>0</v>
      </c>
      <c r="AO155" s="26" t="n">
        <f aca="false">IF(ISNUMBER(AO154),ROUND(AO152-AO154,1),"n/p")</f>
        <v>0</v>
      </c>
      <c r="AP155" s="26" t="n">
        <f aca="false">IF(ISNUMBER(AP154),ROUND(AP152-AP154,1),"n/p")</f>
        <v>0</v>
      </c>
      <c r="AQ155" s="26" t="n">
        <f aca="false">IF(ISNUMBER(AQ154),ROUND(AQ152-AQ154,1),"n/p")</f>
        <v>0</v>
      </c>
      <c r="AR155" s="26" t="n">
        <f aca="false">IF(ISNUMBER(AR154),ROUND(AR152-AR154,1),"n/p")</f>
        <v>0</v>
      </c>
      <c r="AS155" s="26" t="n">
        <f aca="false">IF(ISNUMBER(AS154),ROUND(AS152-AS154,1),"n/p")</f>
        <v>0</v>
      </c>
      <c r="AT155" s="26" t="n">
        <f aca="false">IF(ISNUMBER(AT154),ROUND(AT152-AT154,1),"n/p")</f>
        <v>0</v>
      </c>
      <c r="AU155" s="26" t="n">
        <f aca="false">IF(ISNUMBER(AU154),ROUND(AU152-AU154,1),"n/p")</f>
        <v>0</v>
      </c>
      <c r="AV155" s="26" t="n">
        <f aca="false">IF(ISNUMBER(AV154),ROUND(AV152-AV154,1),"n/p")</f>
        <v>0</v>
      </c>
      <c r="AW155" s="27" t="str">
        <f aca="false">IF(ISNUMBER(AW154),ROUND(AW152-AW154,1),"n/p")</f>
        <v>n/p</v>
      </c>
      <c r="AX155" s="27" t="str">
        <f aca="false">IF(ISNUMBER(AX154),ROUND(AX152-AX154,1),"n/p")</f>
        <v>n/p</v>
      </c>
      <c r="AY155" s="27" t="str">
        <f aca="false">IF(ISNUMBER(AY154),ROUND(AY152-AY154,1),"n/p")</f>
        <v>n/p</v>
      </c>
      <c r="AZ155" s="27" t="str">
        <f aca="false">IF(ISNUMBER(AZ154),ROUND(AZ152-AZ154,1),"n/p")</f>
        <v>n/p</v>
      </c>
      <c r="BA155" s="27" t="str">
        <f aca="false">IF(ISNUMBER(BA154),ROUND(BA152-BA154,1),"n/p")</f>
        <v>n/p</v>
      </c>
      <c r="BB155" s="27" t="str">
        <f aca="false">IF(ISNUMBER(BB154),ROUND(BB152-BB154,1),"n/p")</f>
        <v>n/p</v>
      </c>
    </row>
    <row r="156" customFormat="false" ht="15" hidden="false" customHeight="true" outlineLevel="0" collapsed="false">
      <c r="B156" s="58" t="s">
        <v>265</v>
      </c>
      <c r="E156" s="59" t="s">
        <v>266</v>
      </c>
      <c r="H156" s="59" t="s">
        <v>266</v>
      </c>
      <c r="K156" s="59" t="s">
        <v>266</v>
      </c>
      <c r="N156" s="59" t="s">
        <v>266</v>
      </c>
      <c r="Q156" s="59" t="s">
        <v>266</v>
      </c>
      <c r="T156" s="59" t="s">
        <v>266</v>
      </c>
      <c r="W156" s="59" t="s">
        <v>266</v>
      </c>
      <c r="Z156" s="59" t="s">
        <v>266</v>
      </c>
      <c r="AC156" s="59" t="s">
        <v>267</v>
      </c>
      <c r="AF156" s="59" t="s">
        <v>267</v>
      </c>
      <c r="AI156" s="59" t="s">
        <v>267</v>
      </c>
      <c r="AL156" s="59" t="s">
        <v>267</v>
      </c>
      <c r="AO156" s="59" t="s">
        <v>267</v>
      </c>
      <c r="AR156" s="59" t="s">
        <v>267</v>
      </c>
      <c r="AU156" s="59" t="s">
        <v>267</v>
      </c>
    </row>
    <row r="157" customFormat="false" ht="15" hidden="false" customHeight="true" outlineLevel="0" collapsed="false">
      <c r="B157" s="20" t="s">
        <v>268</v>
      </c>
      <c r="F157" s="42" t="n">
        <v>6.241</v>
      </c>
      <c r="G157" s="26" t="n">
        <f aca="false">H157-F157</f>
        <v>0</v>
      </c>
      <c r="H157" s="42" t="n">
        <v>6.241</v>
      </c>
      <c r="R157" s="42" t="n">
        <v>1.293</v>
      </c>
      <c r="S157" s="26" t="n">
        <f aca="false">T157-R157</f>
        <v>0.23</v>
      </c>
      <c r="T157" s="42" t="n">
        <v>1.523</v>
      </c>
      <c r="AD157" s="42" t="n">
        <v>30</v>
      </c>
      <c r="AE157" s="26" t="n">
        <f aca="false">AF157-AD157</f>
        <v>1.727</v>
      </c>
      <c r="AF157" s="42" t="n">
        <v>31.727</v>
      </c>
      <c r="AS157" s="42" t="n">
        <v>0</v>
      </c>
      <c r="AT157" s="26" t="n">
        <f aca="false">AU157-AS157</f>
        <v>8.067</v>
      </c>
      <c r="AU157" s="42" t="n">
        <v>8.067</v>
      </c>
      <c r="AW157" s="50" t="n">
        <v>0</v>
      </c>
      <c r="AX157" s="27" t="n">
        <f aca="false">AV157+AW157</f>
        <v>0</v>
      </c>
      <c r="AY157" s="50" t="n">
        <v>0</v>
      </c>
      <c r="AZ157" s="50" t="n">
        <v>0</v>
      </c>
      <c r="BA157" s="50" t="n">
        <v>0</v>
      </c>
      <c r="BB157" s="50" t="n">
        <v>0</v>
      </c>
      <c r="BC157" s="18" t="s">
        <v>269</v>
      </c>
    </row>
    <row r="158" customFormat="false" ht="15" hidden="false" customHeight="true" outlineLevel="0" collapsed="false">
      <c r="B158" s="46" t="s">
        <v>270</v>
      </c>
      <c r="C158" s="47" t="n">
        <f aca="false">C152+N(C157)</f>
        <v>18.351</v>
      </c>
      <c r="D158" s="47" t="n">
        <f aca="false">D152+N(D157)</f>
        <v>21.809</v>
      </c>
      <c r="E158" s="47" t="n">
        <f aca="false">E152+N(E157)</f>
        <v>40.16</v>
      </c>
      <c r="F158" s="47" t="n">
        <f aca="false">F152+N(F157)</f>
        <v>22.659</v>
      </c>
      <c r="G158" s="47" t="n">
        <f aca="false">G152+N(G157)</f>
        <v>26.451</v>
      </c>
      <c r="H158" s="47" t="n">
        <f aca="false">H152+N(H157)</f>
        <v>49.11</v>
      </c>
      <c r="I158" s="47" t="n">
        <f aca="false">I152+N(I157)</f>
        <v>27.129</v>
      </c>
      <c r="J158" s="47" t="n">
        <f aca="false">J152+N(J157)</f>
        <v>31.052</v>
      </c>
      <c r="K158" s="47" t="n">
        <f aca="false">K152+N(K157)</f>
        <v>58.181</v>
      </c>
      <c r="L158" s="47" t="n">
        <f aca="false">L152+N(L157)</f>
        <v>30.618</v>
      </c>
      <c r="M158" s="47" t="n">
        <f aca="false">M152+N(M157)</f>
        <v>32.423</v>
      </c>
      <c r="N158" s="47" t="n">
        <f aca="false">N152+N(N157)</f>
        <v>63.041</v>
      </c>
      <c r="O158" s="47" t="n">
        <f aca="false">O152+N(O157)</f>
        <v>33.384</v>
      </c>
      <c r="P158" s="47" t="n">
        <f aca="false">P152+N(P157)</f>
        <v>35.74</v>
      </c>
      <c r="Q158" s="47" t="n">
        <f aca="false">Q152+N(Q157)</f>
        <v>69.124</v>
      </c>
      <c r="R158" s="47" t="n">
        <f aca="false">R152+N(R157)</f>
        <v>36.777</v>
      </c>
      <c r="S158" s="47" t="n">
        <f aca="false">S152+N(S157)</f>
        <v>41.438</v>
      </c>
      <c r="T158" s="47" t="n">
        <f aca="false">T152+N(T157)</f>
        <v>78.215</v>
      </c>
      <c r="U158" s="47" t="n">
        <f aca="false">U152+N(U157)</f>
        <v>41.592</v>
      </c>
      <c r="V158" s="47" t="n">
        <f aca="false">V152+N(V157)</f>
        <v>45.884</v>
      </c>
      <c r="W158" s="47" t="n">
        <f aca="false">W152+N(W157)</f>
        <v>87.476</v>
      </c>
      <c r="X158" s="47" t="n">
        <f aca="false">X152+N(X157)</f>
        <v>46.233</v>
      </c>
      <c r="Y158" s="47" t="n">
        <f aca="false">Y152+N(Y157)</f>
        <v>48.91</v>
      </c>
      <c r="Z158" s="47" t="n">
        <f aca="false">Z152+N(Z157)</f>
        <v>95.143</v>
      </c>
      <c r="AA158" s="47" t="n">
        <f aca="false">AA152+N(AA157)</f>
        <v>79.2260000000001</v>
      </c>
      <c r="AB158" s="47" t="n">
        <f aca="false">AB152+N(AB157)</f>
        <v>90.4</v>
      </c>
      <c r="AC158" s="47" t="n">
        <f aca="false">AC152+N(AC157)</f>
        <v>169.626</v>
      </c>
      <c r="AD158" s="47" t="n">
        <f aca="false">AD152+N(AD157)</f>
        <v>26.576</v>
      </c>
      <c r="AE158" s="47" t="n">
        <f aca="false">AE152+N(AE157)</f>
        <v>94.617</v>
      </c>
      <c r="AF158" s="47" t="n">
        <f aca="false">AF152+N(AF157)</f>
        <v>121.193</v>
      </c>
      <c r="AG158" s="47" t="n">
        <f aca="false">AG152+N(AG157)</f>
        <v>80.595</v>
      </c>
      <c r="AH158" s="47" t="n">
        <f aca="false">AH152+N(AH157)</f>
        <v>112.716</v>
      </c>
      <c r="AI158" s="47" t="n">
        <f aca="false">AI152+N(AI157)</f>
        <v>193.311</v>
      </c>
      <c r="AJ158" s="47" t="n">
        <f aca="false">AJ152+N(AJ157)</f>
        <v>119.952</v>
      </c>
      <c r="AK158" s="47" t="n">
        <f aca="false">AK152+N(AK157)</f>
        <v>146.405</v>
      </c>
      <c r="AL158" s="47" t="n">
        <f aca="false">AL152+N(AL157)</f>
        <v>266.357</v>
      </c>
      <c r="AM158" s="47" t="n">
        <f aca="false">AM152+N(AM157)</f>
        <v>154.808</v>
      </c>
      <c r="AN158" s="47" t="n">
        <f aca="false">AN152+N(AN157)</f>
        <v>171.443</v>
      </c>
      <c r="AO158" s="47" t="n">
        <f aca="false">AO152+N(AO157)</f>
        <v>326.251</v>
      </c>
      <c r="AP158" s="47" t="n">
        <f aca="false">AP152+N(AP157)</f>
        <v>177.754</v>
      </c>
      <c r="AQ158" s="47" t="n">
        <f aca="false">AQ152+N(AQ157)</f>
        <v>186.921</v>
      </c>
      <c r="AR158" s="47" t="n">
        <f aca="false">AR152+N(AR157)</f>
        <v>364.675</v>
      </c>
      <c r="AS158" s="47" t="n">
        <f aca="false">AS152+N(AS157)</f>
        <v>200.615</v>
      </c>
      <c r="AT158" s="47" t="n">
        <f aca="false">AT152+N(AT157)</f>
        <v>215.848</v>
      </c>
      <c r="AU158" s="47" t="n">
        <f aca="false">AU152+N(AU157)</f>
        <v>416.463</v>
      </c>
      <c r="AV158" s="47" t="n">
        <f aca="false">AV152+N(AV157)</f>
        <v>226.542</v>
      </c>
      <c r="AW158" s="47" t="n">
        <f aca="false">AW152+N(AW157)</f>
        <v>236.473557018447</v>
      </c>
      <c r="AX158" s="47" t="n">
        <f aca="false">AX152+N(AX157)</f>
        <v>463.015557018447</v>
      </c>
      <c r="AY158" s="47" t="n">
        <f aca="false">AY152+N(AY157)</f>
        <v>512.821223869068</v>
      </c>
      <c r="AZ158" s="47" t="n">
        <f aca="false">AZ152+N(AZ157)</f>
        <v>560.748293880698</v>
      </c>
      <c r="BA158" s="47" t="n">
        <f aca="false">BA152+N(BA157)</f>
        <v>607.974228245144</v>
      </c>
      <c r="BB158" s="47" t="n">
        <f aca="false">BB152+N(BB157)</f>
        <v>655.755378275147</v>
      </c>
      <c r="BE158" s="37" t="n">
        <f aca="false">IFERROR(IF(AND(BB158&gt;0,AU158&gt;0),(BB158/AU158)^(1/5)-1,"n/m"),"n/m")</f>
        <v>0.0950478266937405</v>
      </c>
      <c r="BF158" s="37" t="n">
        <f aca="false">IFERROR(IF(AND(AU158&gt;0,AF158&gt;0),(AU158/AF158)^(1/5)-1,"n/m"),"n/m")</f>
        <v>0.280028906893377</v>
      </c>
      <c r="BG158" s="37" t="n">
        <f aca="false">IFERROR(IF(AND(AU158&gt;0,Q158&gt;0),(AU158/Q158)^(1/10)-1,"n/m"),"n/m")</f>
        <v>0.196726081518415</v>
      </c>
      <c r="BH158" s="37" t="n">
        <f aca="false">IFERROR(IF(AND(AU158&gt;0,E158&gt;0),(AU158/E158)^(1/14)-1,"n/m"),"n/m")</f>
        <v>0.181832444884536</v>
      </c>
    </row>
    <row r="159" customFormat="false" ht="15" hidden="false" customHeight="true" outlineLevel="0" collapsed="false">
      <c r="B159" s="31" t="s">
        <v>271</v>
      </c>
      <c r="C159" s="32" t="n">
        <f aca="false">IF(AND(ISNUMBER(C158),ISNUMBER(C111)),IFERROR(C158/C111,""),"")</f>
        <v>0.157577474947835</v>
      </c>
      <c r="D159" s="32" t="n">
        <f aca="false">IF(AND(ISNUMBER(D158),ISNUMBER(D111)),IFERROR(D158/D111,""),"")</f>
        <v>0.172843126377023</v>
      </c>
      <c r="E159" s="32" t="n">
        <f aca="false">IF(AND(ISNUMBER(E158),ISNUMBER(E111)),IFERROR(E158/E111,""),"")</f>
        <v>0.165516104436705</v>
      </c>
      <c r="F159" s="32" t="n">
        <f aca="false">IF(AND(ISNUMBER(F158),ISNUMBER(F111)),IFERROR(F158/F111,""),"")</f>
        <v>0.167592435079103</v>
      </c>
      <c r="G159" s="32" t="n">
        <f aca="false">IF(AND(ISNUMBER(G158),ISNUMBER(G111)),IFERROR(G158/G111,""),"")</f>
        <v>0.183537101541792</v>
      </c>
      <c r="H159" s="32" t="n">
        <f aca="false">IF(AND(ISNUMBER(H158),ISNUMBER(H111)),IFERROR(H158/H111,""),"")</f>
        <v>0.175819218748322</v>
      </c>
      <c r="I159" s="32" t="n">
        <f aca="false">IF(AND(ISNUMBER(I158),ISNUMBER(I111)),IFERROR(I158/I111,""),"")</f>
        <v>0.172166728013505</v>
      </c>
      <c r="J159" s="32" t="n">
        <f aca="false">IF(AND(ISNUMBER(J158),ISNUMBER(J111)),IFERROR(J158/J111,""),"")</f>
        <v>0.18830121402496</v>
      </c>
      <c r="K159" s="32" t="n">
        <f aca="false">IF(AND(ISNUMBER(K158),ISNUMBER(K111)),IFERROR(K158/K111,""),"")</f>
        <v>0.18041739022575</v>
      </c>
      <c r="L159" s="32" t="n">
        <f aca="false">IF(AND(ISNUMBER(L158),ISNUMBER(L111)),IFERROR(L158/L111,""),"")</f>
        <v>0.174152925584861</v>
      </c>
      <c r="M159" s="32" t="n">
        <f aca="false">IF(AND(ISNUMBER(M158),ISNUMBER(M111)),IFERROR(M158/M111,""),"")</f>
        <v>0.180029761574254</v>
      </c>
      <c r="N159" s="32" t="n">
        <f aca="false">IF(AND(ISNUMBER(N158),ISNUMBER(N111)),IFERROR(N158/N111,""),"")</f>
        <v>0.177126737452551</v>
      </c>
      <c r="O159" s="32" t="n">
        <f aca="false">IF(AND(ISNUMBER(O158),ISNUMBER(O111)),IFERROR(O158/O111,""),"")</f>
        <v>0.166643372002476</v>
      </c>
      <c r="P159" s="32" t="n">
        <f aca="false">IF(AND(ISNUMBER(P158),ISNUMBER(P111)),IFERROR(P158/P111,""),"")</f>
        <v>0.167150720936867</v>
      </c>
      <c r="Q159" s="32" t="n">
        <f aca="false">IF(AND(ISNUMBER(Q158),ISNUMBER(Q111)),IFERROR(Q158/Q111,""),"")</f>
        <v>0.166905307484468</v>
      </c>
      <c r="R159" s="32" t="n">
        <f aca="false">IF(AND(ISNUMBER(R158),ISNUMBER(R111)),IFERROR(R158/R111,""),"")</f>
        <v>0.167289847161572</v>
      </c>
      <c r="S159" s="32" t="n">
        <f aca="false">IF(AND(ISNUMBER(S158),ISNUMBER(S111)),IFERROR(S158/S111,""),"")</f>
        <v>0.175487335419746</v>
      </c>
      <c r="T159" s="32" t="n">
        <f aca="false">IF(AND(ISNUMBER(T158),ISNUMBER(T111)),IFERROR(T158/T111,""),"")</f>
        <v>0.171535031833165</v>
      </c>
      <c r="U159" s="32" t="n">
        <f aca="false">IF(AND(ISNUMBER(U158),ISNUMBER(U111)),IFERROR(U158/U111,""),"")</f>
        <v>0.17093047627267</v>
      </c>
      <c r="V159" s="32" t="n">
        <f aca="false">IF(AND(ISNUMBER(V158),ISNUMBER(V111)),IFERROR(V158/V111,""),"")</f>
        <v>0.176311461551467</v>
      </c>
      <c r="W159" s="32" t="n">
        <f aca="false">IF(AND(ISNUMBER(W158),ISNUMBER(W111)),IFERROR(W158/W111,""),"")</f>
        <v>0.173711353513209</v>
      </c>
      <c r="X159" s="32" t="n">
        <f aca="false">IF(AND(ISNUMBER(X158),ISNUMBER(X111)),IFERROR(X158/X111,""),"")</f>
        <v>0.171559932612455</v>
      </c>
      <c r="Y159" s="32" t="n">
        <f aca="false">IF(AND(ISNUMBER(Y158),ISNUMBER(Y111)),IFERROR(Y158/Y111,""),"")</f>
        <v>0.172515960636309</v>
      </c>
      <c r="Z159" s="32" t="n">
        <f aca="false">IF(AND(ISNUMBER(Z158),ISNUMBER(Z111)),IFERROR(Z158/Z111,""),"")</f>
        <v>0.172050069078257</v>
      </c>
      <c r="AA159" s="32" t="n">
        <f aca="false">IF(AND(ISNUMBER(AA158),ISNUMBER(AA111)),IFERROR(AA158/AA111,""),"")</f>
        <v>0.27186844787295</v>
      </c>
      <c r="AB159" s="32" t="n">
        <f aca="false">IF(AND(ISNUMBER(AB158),ISNUMBER(AB111)),IFERROR(AB158/AB111,""),"")</f>
        <v>0.285761250268691</v>
      </c>
      <c r="AC159" s="32" t="n">
        <f aca="false">IF(AND(ISNUMBER(AC158),ISNUMBER(AC111)),IFERROR(AC158/AC111,""),"")</f>
        <v>0.279099843524017</v>
      </c>
      <c r="AD159" s="32" t="n">
        <f aca="false">IF(AND(ISNUMBER(AD158),ISNUMBER(AD111)),IFERROR(AD158/AD111,""),"")</f>
        <v>0.129548656303164</v>
      </c>
      <c r="AE159" s="32" t="n">
        <f aca="false">IF(AND(ISNUMBER(AE158),ISNUMBER(AE111)),IFERROR(AE158/AE111,""),"")</f>
        <v>0.279213267624753</v>
      </c>
      <c r="AF159" s="32" t="n">
        <f aca="false">IF(AND(ISNUMBER(AF158),ISNUMBER(AF111)),IFERROR(AF158/AF111,""),"")</f>
        <v>0.222775926310585</v>
      </c>
      <c r="AG159" s="32" t="n">
        <f aca="false">IF(AND(ISNUMBER(AG158),ISNUMBER(AG111)),IFERROR(AG158/AG111,""),"")</f>
        <v>0.256865032317283</v>
      </c>
      <c r="AH159" s="32" t="n">
        <f aca="false">IF(AND(ISNUMBER(AH158),ISNUMBER(AH111)),IFERROR(AH158/AH111,""),"")</f>
        <v>0.282911034976093</v>
      </c>
      <c r="AI159" s="32" t="n">
        <f aca="false">IF(AND(ISNUMBER(AI158),ISNUMBER(AI111)),IFERROR(AI158/AI111,""),"")</f>
        <v>0.271435973259532</v>
      </c>
      <c r="AJ159" s="32" t="n">
        <f aca="false">IF(AND(ISNUMBER(AJ158),ISNUMBER(AJ111)),IFERROR(AJ158/AJ111,""),"")</f>
        <v>0.288792532688747</v>
      </c>
      <c r="AK159" s="32" t="n">
        <f aca="false">IF(AND(ISNUMBER(AK158),ISNUMBER(AK111)),IFERROR(AK158/AK111,""),"")</f>
        <v>0.290283949075148</v>
      </c>
      <c r="AL159" s="32" t="n">
        <f aca="false">IF(AND(ISNUMBER(AL158),ISNUMBER(AL111)),IFERROR(AL158/AL111,""),"")</f>
        <v>0.28961039808287</v>
      </c>
      <c r="AM159" s="32" t="n">
        <f aca="false">IF(AND(ISNUMBER(AM158),ISNUMBER(AM111)),IFERROR(AM158/AM111,""),"")</f>
        <v>0.28460387320707</v>
      </c>
      <c r="AN159" s="32" t="n">
        <f aca="false">IF(AND(ISNUMBER(AN158),ISNUMBER(AN111)),IFERROR(AN158/AN111,""),"")</f>
        <v>0.287908201478476</v>
      </c>
      <c r="AO159" s="32" t="n">
        <f aca="false">IF(AND(ISNUMBER(AO158),ISNUMBER(AO111)),IFERROR(AO158/AO111,""),"")</f>
        <v>0.286330764775061</v>
      </c>
      <c r="AP159" s="32" t="n">
        <f aca="false">IF(AND(ISNUMBER(AP158),ISNUMBER(AP111)),IFERROR(AP158/AP111,""),"")</f>
        <v>0.286394204897352</v>
      </c>
      <c r="AQ159" s="32" t="n">
        <f aca="false">IF(AND(ISNUMBER(AQ158),ISNUMBER(AQ111)),IFERROR(AQ158/AQ111,""),"")</f>
        <v>0.28412714819465</v>
      </c>
      <c r="AR159" s="32" t="n">
        <f aca="false">IF(AND(ISNUMBER(AR158),ISNUMBER(AR111)),IFERROR(AR158/AR111,""),"")</f>
        <v>0.285227681574296</v>
      </c>
      <c r="AS159" s="32" t="n">
        <f aca="false">IF(AND(ISNUMBER(AS158),ISNUMBER(AS111)),IFERROR(AS158/AS111,""),"")</f>
        <v>0.293238907525562</v>
      </c>
      <c r="AT159" s="32" t="n">
        <f aca="false">IF(AND(ISNUMBER(AT158),ISNUMBER(AT111)),IFERROR(AT158/AT111,""),"")</f>
        <v>0.298208384451297</v>
      </c>
      <c r="AU159" s="32" t="n">
        <f aca="false">IF(AND(ISNUMBER(AU158),ISNUMBER(AU111)),IFERROR(AU158/AU111,""),"")</f>
        <v>0.295793674637825</v>
      </c>
      <c r="AV159" s="32" t="n">
        <f aca="false">IF(AND(ISNUMBER(AV158),ISNUMBER(AV111)),IFERROR(AV158/AV111,""),"")</f>
        <v>0.302293401084318</v>
      </c>
      <c r="AW159" s="33" t="n">
        <f aca="false">IF(AND(ISNUMBER(AW158),ISNUMBER(AW111)),IFERROR(AW158/AW111,""),"")</f>
        <v>0.302914565105601</v>
      </c>
      <c r="AX159" s="33" t="n">
        <f aca="false">IF(AND(ISNUMBER(AX158),ISNUMBER(AX111)),IFERROR(AX158/AX111,""),"")</f>
        <v>0.302610326363387</v>
      </c>
      <c r="AY159" s="33" t="n">
        <f aca="false">IF(AND(ISNUMBER(AY158),ISNUMBER(AY111)),IFERROR(AY158/AY111,""),"")</f>
        <v>0.304</v>
      </c>
      <c r="AZ159" s="33" t="n">
        <f aca="false">IF(AND(ISNUMBER(AZ158),ISNUMBER(AZ111)),IFERROR(AZ158/AZ111,""),"")</f>
        <v>0.307</v>
      </c>
      <c r="BA159" s="33" t="n">
        <f aca="false">IF(AND(ISNUMBER(BA158),ISNUMBER(BA111)),IFERROR(BA158/BA111,""),"")</f>
        <v>0.309</v>
      </c>
      <c r="BB159" s="33" t="n">
        <f aca="false">IF(AND(ISNUMBER(BB158),ISNUMBER(BB111)),IFERROR(BB158/BB111,""),"")</f>
        <v>0.311</v>
      </c>
    </row>
    <row r="160" customFormat="false" ht="15" hidden="false" customHeight="true" outlineLevel="0" collapsed="false">
      <c r="B160" s="20" t="s">
        <v>272</v>
      </c>
      <c r="AA160" s="42" t="n">
        <v>-29.362</v>
      </c>
      <c r="AB160" s="26" t="n">
        <f aca="false">AC160-AA160</f>
        <v>-34.206</v>
      </c>
      <c r="AC160" s="42" t="n">
        <v>-63.568</v>
      </c>
      <c r="AD160" s="42" t="n">
        <v>-39.982</v>
      </c>
      <c r="AE160" s="26" t="n">
        <f aca="false">AF160-AD160</f>
        <v>-38.505</v>
      </c>
      <c r="AF160" s="42" t="n">
        <v>-78.487</v>
      </c>
      <c r="AG160" s="42" t="n">
        <v>-41.491</v>
      </c>
      <c r="AH160" s="26" t="n">
        <f aca="false">AI160-AG160</f>
        <v>-43.199</v>
      </c>
      <c r="AI160" s="42" t="n">
        <v>-84.69</v>
      </c>
      <c r="AJ160" s="42" t="n">
        <v>-45.197</v>
      </c>
      <c r="AK160" s="26" t="n">
        <f aca="false">AL160-AJ160</f>
        <v>-49.816</v>
      </c>
      <c r="AL160" s="42" t="n">
        <v>-95.013</v>
      </c>
      <c r="AM160" s="42" t="n">
        <v>-50.62</v>
      </c>
      <c r="AN160" s="26" t="n">
        <f aca="false">AO160-AM160</f>
        <v>-53.794</v>
      </c>
      <c r="AO160" s="42" t="n">
        <v>-104.414</v>
      </c>
      <c r="AP160" s="42" t="n">
        <v>-57.995</v>
      </c>
      <c r="AQ160" s="26" t="n">
        <f aca="false">AR160-AP160</f>
        <v>-63.657</v>
      </c>
      <c r="AR160" s="42" t="n">
        <v>-121.652</v>
      </c>
      <c r="AS160" s="42" t="n">
        <v>-72.862</v>
      </c>
      <c r="AT160" s="26" t="n">
        <f aca="false">AU160-AS160</f>
        <v>-77.804</v>
      </c>
      <c r="AU160" s="42" t="n">
        <v>-150.666</v>
      </c>
      <c r="AV160" s="42" t="n">
        <v>-80.947</v>
      </c>
      <c r="AW160" s="27" t="n">
        <f aca="false">-AW334</f>
        <v>-84.3113772</v>
      </c>
      <c r="AX160" s="27" t="n">
        <f aca="false">AV160+AW160</f>
        <v>-165.2583772</v>
      </c>
      <c r="AY160" s="27" t="n">
        <f aca="false">-AY334</f>
        <v>-188.891130223445</v>
      </c>
      <c r="AZ160" s="27" t="n">
        <f aca="false">-AZ334</f>
        <v>-198.349069435864</v>
      </c>
      <c r="BA160" s="27" t="n">
        <f aca="false">-BA334</f>
        <v>-207.56468585724</v>
      </c>
      <c r="BB160" s="27" t="n">
        <f aca="false">-BB334</f>
        <v>-218.691386785695</v>
      </c>
      <c r="BC160" s="18" t="s">
        <v>273</v>
      </c>
    </row>
    <row r="161" customFormat="false" ht="15" hidden="false" customHeight="true" outlineLevel="0" collapsed="false">
      <c r="B161" s="20" t="s">
        <v>274</v>
      </c>
      <c r="AA161" s="42" t="n">
        <v>0</v>
      </c>
      <c r="AB161" s="26" t="n">
        <f aca="false">AC161-AA161</f>
        <v>0</v>
      </c>
      <c r="AC161" s="42" t="n">
        <v>0</v>
      </c>
      <c r="AD161" s="42" t="n">
        <v>-0.665</v>
      </c>
      <c r="AE161" s="26" t="n">
        <f aca="false">AF161-AD161</f>
        <v>-0.282</v>
      </c>
      <c r="AF161" s="42" t="n">
        <v>-0.947</v>
      </c>
      <c r="AG161" s="42" t="n">
        <v>0.83</v>
      </c>
      <c r="AH161" s="26" t="n">
        <f aca="false">AI161-AG161</f>
        <v>0.562</v>
      </c>
      <c r="AI161" s="42" t="n">
        <v>1.392</v>
      </c>
      <c r="AJ161" s="42" t="n">
        <v>0.517</v>
      </c>
      <c r="AK161" s="26" t="n">
        <f aca="false">AL161-AJ161</f>
        <v>0.55</v>
      </c>
      <c r="AL161" s="42" t="n">
        <v>1.067</v>
      </c>
      <c r="AM161" s="42" t="n">
        <v>0.587</v>
      </c>
      <c r="AN161" s="26" t="n">
        <f aca="false">AO161-AM161</f>
        <v>7.855</v>
      </c>
      <c r="AO161" s="42" t="n">
        <v>8.442</v>
      </c>
      <c r="AP161" s="42" t="n">
        <v>0.578</v>
      </c>
      <c r="BC161" s="18" t="s">
        <v>275</v>
      </c>
    </row>
    <row r="162" customFormat="false" ht="15" hidden="false" customHeight="true" outlineLevel="0" collapsed="false">
      <c r="B162" s="46" t="s">
        <v>276</v>
      </c>
      <c r="C162" s="47" t="n">
        <f aca="false">C158+N(C160)+N(C161)</f>
        <v>18.351</v>
      </c>
      <c r="D162" s="47" t="n">
        <f aca="false">D158+N(D160)+N(D161)</f>
        <v>21.809</v>
      </c>
      <c r="E162" s="47" t="n">
        <f aca="false">E158+N(E160)+N(E161)</f>
        <v>40.16</v>
      </c>
      <c r="F162" s="47" t="n">
        <f aca="false">F158+N(F160)+N(F161)</f>
        <v>22.659</v>
      </c>
      <c r="G162" s="47" t="n">
        <f aca="false">G158+N(G160)+N(G161)</f>
        <v>26.451</v>
      </c>
      <c r="H162" s="47" t="n">
        <f aca="false">H158+N(H160)+N(H161)</f>
        <v>49.11</v>
      </c>
      <c r="I162" s="47" t="n">
        <f aca="false">I158+N(I160)+N(I161)</f>
        <v>27.129</v>
      </c>
      <c r="J162" s="47" t="n">
        <f aca="false">J158+N(J160)+N(J161)</f>
        <v>31.052</v>
      </c>
      <c r="K162" s="47" t="n">
        <f aca="false">K158+N(K160)+N(K161)</f>
        <v>58.181</v>
      </c>
      <c r="L162" s="47" t="n">
        <f aca="false">L158+N(L160)+N(L161)</f>
        <v>30.618</v>
      </c>
      <c r="M162" s="47" t="n">
        <f aca="false">M158+N(M160)+N(M161)</f>
        <v>32.423</v>
      </c>
      <c r="N162" s="47" t="n">
        <f aca="false">N158+N(N160)+N(N161)</f>
        <v>63.041</v>
      </c>
      <c r="O162" s="47" t="n">
        <f aca="false">O158+N(O160)+N(O161)</f>
        <v>33.384</v>
      </c>
      <c r="P162" s="47" t="n">
        <f aca="false">P158+N(P160)+N(P161)</f>
        <v>35.74</v>
      </c>
      <c r="Q162" s="47" t="n">
        <f aca="false">Q158+N(Q160)+N(Q161)</f>
        <v>69.124</v>
      </c>
      <c r="R162" s="47" t="n">
        <f aca="false">R158+N(R160)+N(R161)</f>
        <v>36.777</v>
      </c>
      <c r="S162" s="47" t="n">
        <f aca="false">S158+N(S160)+N(S161)</f>
        <v>41.438</v>
      </c>
      <c r="T162" s="47" t="n">
        <f aca="false">T158+N(T160)+N(T161)</f>
        <v>78.215</v>
      </c>
      <c r="U162" s="47" t="n">
        <f aca="false">U158+N(U160)+N(U161)</f>
        <v>41.592</v>
      </c>
      <c r="V162" s="47" t="n">
        <f aca="false">V158+N(V160)+N(V161)</f>
        <v>45.884</v>
      </c>
      <c r="W162" s="47" t="n">
        <f aca="false">W158+N(W160)+N(W161)</f>
        <v>87.476</v>
      </c>
      <c r="X162" s="47" t="n">
        <f aca="false">X158+N(X160)+N(X161)</f>
        <v>46.233</v>
      </c>
      <c r="Y162" s="47" t="n">
        <f aca="false">Y158+N(Y160)+N(Y161)</f>
        <v>48.91</v>
      </c>
      <c r="Z162" s="47" t="n">
        <f aca="false">Z158+N(Z160)+N(Z161)</f>
        <v>95.143</v>
      </c>
      <c r="AA162" s="47" t="n">
        <f aca="false">AA158+N(AA160)+N(AA161)</f>
        <v>49.8640000000001</v>
      </c>
      <c r="AB162" s="47" t="n">
        <f aca="false">AB158+N(AB160)+N(AB161)</f>
        <v>56.1939999999999</v>
      </c>
      <c r="AC162" s="47" t="n">
        <f aca="false">AC158+N(AC160)+N(AC161)</f>
        <v>106.058</v>
      </c>
      <c r="AD162" s="47" t="n">
        <f aca="false">AD158+N(AD160)+N(AD161)</f>
        <v>-14.071</v>
      </c>
      <c r="AE162" s="47" t="n">
        <f aca="false">AE158+N(AE160)+N(AE161)</f>
        <v>55.83</v>
      </c>
      <c r="AF162" s="47" t="n">
        <f aca="false">AF158+N(AF160)+N(AF161)</f>
        <v>41.759</v>
      </c>
      <c r="AG162" s="47" t="n">
        <f aca="false">AG158+N(AG160)+N(AG161)</f>
        <v>39.934</v>
      </c>
      <c r="AH162" s="47" t="n">
        <f aca="false">AH158+N(AH160)+N(AH161)</f>
        <v>70.079</v>
      </c>
      <c r="AI162" s="47" t="n">
        <f aca="false">AI158+N(AI160)+N(AI161)</f>
        <v>110.013</v>
      </c>
      <c r="AJ162" s="47" t="n">
        <f aca="false">AJ158+N(AJ160)+N(AJ161)</f>
        <v>75.2720000000001</v>
      </c>
      <c r="AK162" s="47" t="n">
        <f aca="false">AK158+N(AK160)+N(AK161)</f>
        <v>97.139</v>
      </c>
      <c r="AL162" s="47" t="n">
        <f aca="false">AL158+N(AL160)+N(AL161)</f>
        <v>172.411</v>
      </c>
      <c r="AM162" s="47" t="n">
        <f aca="false">AM158+N(AM160)+N(AM161)</f>
        <v>104.775</v>
      </c>
      <c r="AN162" s="47" t="n">
        <f aca="false">AN158+N(AN160)+N(AN161)</f>
        <v>125.504</v>
      </c>
      <c r="AO162" s="47" t="n">
        <f aca="false">AO158+N(AO160)+N(AO161)</f>
        <v>230.279</v>
      </c>
      <c r="AP162" s="47" t="n">
        <f aca="false">AP158+N(AP160)+N(AP161)</f>
        <v>120.337</v>
      </c>
      <c r="AQ162" s="47" t="n">
        <f aca="false">AQ158+N(AQ160)+N(AQ161)</f>
        <v>123.264</v>
      </c>
      <c r="AR162" s="47" t="n">
        <f aca="false">AR158+N(AR160)+N(AR161)</f>
        <v>243.023</v>
      </c>
      <c r="AS162" s="47" t="n">
        <f aca="false">AS158+N(AS160)+N(AS161)</f>
        <v>127.753</v>
      </c>
      <c r="AT162" s="47" t="n">
        <f aca="false">AT158+N(AT160)+N(AT161)</f>
        <v>138.044</v>
      </c>
      <c r="AU162" s="47" t="n">
        <f aca="false">AU158+N(AU160)+N(AU161)</f>
        <v>265.797</v>
      </c>
      <c r="AV162" s="47" t="n">
        <f aca="false">AV158+N(AV160)+N(AV161)</f>
        <v>145.595</v>
      </c>
      <c r="AW162" s="47" t="n">
        <f aca="false">AW158+N(AW160)+N(AW161)</f>
        <v>152.162179818447</v>
      </c>
      <c r="AX162" s="47" t="n">
        <f aca="false">AX158+N(AX160)+N(AX161)</f>
        <v>297.757179818447</v>
      </c>
      <c r="AY162" s="47" t="n">
        <f aca="false">AY158+N(AY160)+N(AY161)</f>
        <v>323.930093645623</v>
      </c>
      <c r="AZ162" s="47" t="n">
        <f aca="false">AZ158+N(AZ160)+N(AZ161)</f>
        <v>362.399224444833</v>
      </c>
      <c r="BA162" s="47" t="n">
        <f aca="false">BA158+N(BA160)+N(BA161)</f>
        <v>400.409542387904</v>
      </c>
      <c r="BB162" s="47" t="n">
        <f aca="false">BB158+N(BB160)+N(BB161)</f>
        <v>437.063991489452</v>
      </c>
      <c r="BE162" s="37" t="n">
        <f aca="false">IFERROR(IF(AND(BB162&gt;0,AU162&gt;0),(BB162/AU162)^(1/5)-1,"n/m"),"n/m")</f>
        <v>0.104584616570702</v>
      </c>
      <c r="BF162" s="37" t="n">
        <f aca="false">IFERROR(IF(AND(AU162&gt;0,AF162&gt;0),(AU162/AF162)^(1/5)-1,"n/m"),"n/m")</f>
        <v>0.447971443633166</v>
      </c>
      <c r="BG162" s="37" t="n">
        <f aca="false">IFERROR(IF(AND(AU162&gt;0,Q162&gt;0),(AU162/Q162)^(1/10)-1,"n/m"),"n/m")</f>
        <v>0.144174122815882</v>
      </c>
      <c r="BH162" s="37" t="n">
        <f aca="false">IFERROR(IF(AND(AU162&gt;0,E162&gt;0),(AU162/E162)^(1/14)-1,"n/m"),"n/m")</f>
        <v>0.144525452197492</v>
      </c>
    </row>
    <row r="163" customFormat="false" ht="15" hidden="false" customHeight="true" outlineLevel="0" collapsed="false">
      <c r="B163" s="31" t="s">
        <v>277</v>
      </c>
      <c r="C163" s="32" t="n">
        <f aca="false">IF(AND(ISNUMBER(C162),ISNUMBER(C111)),IFERROR(C162/C111,""),"")</f>
        <v>0.157577474947835</v>
      </c>
      <c r="D163" s="32" t="n">
        <f aca="false">IF(AND(ISNUMBER(D162),ISNUMBER(D111)),IFERROR(D162/D111,""),"")</f>
        <v>0.172843126377023</v>
      </c>
      <c r="E163" s="32" t="n">
        <f aca="false">IF(AND(ISNUMBER(E162),ISNUMBER(E111)),IFERROR(E162/E111,""),"")</f>
        <v>0.165516104436705</v>
      </c>
      <c r="F163" s="32" t="n">
        <f aca="false">IF(AND(ISNUMBER(F162),ISNUMBER(F111)),IFERROR(F162/F111,""),"")</f>
        <v>0.167592435079103</v>
      </c>
      <c r="G163" s="32" t="n">
        <f aca="false">IF(AND(ISNUMBER(G162),ISNUMBER(G111)),IFERROR(G162/G111,""),"")</f>
        <v>0.183537101541792</v>
      </c>
      <c r="H163" s="32" t="n">
        <f aca="false">IF(AND(ISNUMBER(H162),ISNUMBER(H111)),IFERROR(H162/H111,""),"")</f>
        <v>0.175819218748322</v>
      </c>
      <c r="I163" s="32" t="n">
        <f aca="false">IF(AND(ISNUMBER(I162),ISNUMBER(I111)),IFERROR(I162/I111,""),"")</f>
        <v>0.172166728013505</v>
      </c>
      <c r="J163" s="32" t="n">
        <f aca="false">IF(AND(ISNUMBER(J162),ISNUMBER(J111)),IFERROR(J162/J111,""),"")</f>
        <v>0.18830121402496</v>
      </c>
      <c r="K163" s="32" t="n">
        <f aca="false">IF(AND(ISNUMBER(K162),ISNUMBER(K111)),IFERROR(K162/K111,""),"")</f>
        <v>0.18041739022575</v>
      </c>
      <c r="L163" s="32" t="n">
        <f aca="false">IF(AND(ISNUMBER(L162),ISNUMBER(L111)),IFERROR(L162/L111,""),"")</f>
        <v>0.174152925584861</v>
      </c>
      <c r="M163" s="32" t="n">
        <f aca="false">IF(AND(ISNUMBER(M162),ISNUMBER(M111)),IFERROR(M162/M111,""),"")</f>
        <v>0.180029761574254</v>
      </c>
      <c r="N163" s="32" t="n">
        <f aca="false">IF(AND(ISNUMBER(N162),ISNUMBER(N111)),IFERROR(N162/N111,""),"")</f>
        <v>0.177126737452551</v>
      </c>
      <c r="O163" s="32" t="n">
        <f aca="false">IF(AND(ISNUMBER(O162),ISNUMBER(O111)),IFERROR(O162/O111,""),"")</f>
        <v>0.166643372002476</v>
      </c>
      <c r="P163" s="32" t="n">
        <f aca="false">IF(AND(ISNUMBER(P162),ISNUMBER(P111)),IFERROR(P162/P111,""),"")</f>
        <v>0.167150720936867</v>
      </c>
      <c r="Q163" s="32" t="n">
        <f aca="false">IF(AND(ISNUMBER(Q162),ISNUMBER(Q111)),IFERROR(Q162/Q111,""),"")</f>
        <v>0.166905307484468</v>
      </c>
      <c r="R163" s="32" t="n">
        <f aca="false">IF(AND(ISNUMBER(R162),ISNUMBER(R111)),IFERROR(R162/R111,""),"")</f>
        <v>0.167289847161572</v>
      </c>
      <c r="S163" s="32" t="n">
        <f aca="false">IF(AND(ISNUMBER(S162),ISNUMBER(S111)),IFERROR(S162/S111,""),"")</f>
        <v>0.175487335419746</v>
      </c>
      <c r="T163" s="32" t="n">
        <f aca="false">IF(AND(ISNUMBER(T162),ISNUMBER(T111)),IFERROR(T162/T111,""),"")</f>
        <v>0.171535031833165</v>
      </c>
      <c r="U163" s="32" t="n">
        <f aca="false">IF(AND(ISNUMBER(U162),ISNUMBER(U111)),IFERROR(U162/U111,""),"")</f>
        <v>0.17093047627267</v>
      </c>
      <c r="V163" s="32" t="n">
        <f aca="false">IF(AND(ISNUMBER(V162),ISNUMBER(V111)),IFERROR(V162/V111,""),"")</f>
        <v>0.176311461551467</v>
      </c>
      <c r="W163" s="32" t="n">
        <f aca="false">IF(AND(ISNUMBER(W162),ISNUMBER(W111)),IFERROR(W162/W111,""),"")</f>
        <v>0.173711353513209</v>
      </c>
      <c r="X163" s="32" t="n">
        <f aca="false">IF(AND(ISNUMBER(X162),ISNUMBER(X111)),IFERROR(X162/X111,""),"")</f>
        <v>0.171559932612455</v>
      </c>
      <c r="Y163" s="32" t="n">
        <f aca="false">IF(AND(ISNUMBER(Y162),ISNUMBER(Y111)),IFERROR(Y162/Y111,""),"")</f>
        <v>0.172515960636309</v>
      </c>
      <c r="Z163" s="32" t="n">
        <f aca="false">IF(AND(ISNUMBER(Z162),ISNUMBER(Z111)),IFERROR(Z162/Z111,""),"")</f>
        <v>0.172050069078257</v>
      </c>
      <c r="AA163" s="32" t="n">
        <f aca="false">IF(AND(ISNUMBER(AA162),ISNUMBER(AA111)),IFERROR(AA162/AA111,""),"")</f>
        <v>0.171111103485432</v>
      </c>
      <c r="AB163" s="32" t="n">
        <f aca="false">IF(AND(ISNUMBER(AB162),ISNUMBER(AB111)),IFERROR(AB162/AB111,""),"")</f>
        <v>0.177633492230076</v>
      </c>
      <c r="AC163" s="32" t="n">
        <f aca="false">IF(AND(ISNUMBER(AC162),ISNUMBER(AC111)),IFERROR(AC162/AC111,""),"")</f>
        <v>0.174506096969039</v>
      </c>
      <c r="AD163" s="32" t="n">
        <f aca="false">IF(AND(ISNUMBER(AD162),ISNUMBER(AD111)),IFERROR(AD162/AD111,""),"")</f>
        <v>-0.0685911778612967</v>
      </c>
      <c r="AE163" s="32" t="n">
        <f aca="false">IF(AND(ISNUMBER(AE162),ISNUMBER(AE111)),IFERROR(AE162/AE111,""),"")</f>
        <v>0.164753445273999</v>
      </c>
      <c r="AF163" s="32" t="n">
        <f aca="false">IF(AND(ISNUMBER(AF162),ISNUMBER(AF111)),IFERROR(AF162/AF111,""),"")</f>
        <v>0.0767610332841312</v>
      </c>
      <c r="AG163" s="32" t="n">
        <f aca="false">IF(AND(ISNUMBER(AG162),ISNUMBER(AG111)),IFERROR(AG162/AG111,""),"")</f>
        <v>0.12727400211624</v>
      </c>
      <c r="AH163" s="32" t="n">
        <f aca="false">IF(AND(ISNUMBER(AH162),ISNUMBER(AH111)),IFERROR(AH162/AH111,""),"")</f>
        <v>0.175894481884467</v>
      </c>
      <c r="AI163" s="32" t="n">
        <f aca="false">IF(AND(ISNUMBER(AI162),ISNUMBER(AI111)),IFERROR(AI162/AI111,""),"")</f>
        <v>0.154473805040587</v>
      </c>
      <c r="AJ163" s="32" t="n">
        <f aca="false">IF(AND(ISNUMBER(AJ162),ISNUMBER(AJ111)),IFERROR(AJ162/AJ111,""),"")</f>
        <v>0.181222418305217</v>
      </c>
      <c r="AK163" s="32" t="n">
        <f aca="false">IF(AND(ISNUMBER(AK162),ISNUMBER(AK111)),IFERROR(AK162/AK111,""),"")</f>
        <v>0.192601977591003</v>
      </c>
      <c r="AL163" s="32" t="n">
        <f aca="false">IF(AND(ISNUMBER(AL162),ISNUMBER(AL111)),IFERROR(AL162/AL111,""),"")</f>
        <v>0.187462759919453</v>
      </c>
      <c r="AM163" s="32" t="n">
        <f aca="false">IF(AND(ISNUMBER(AM162),ISNUMBER(AM111)),IFERROR(AM162/AM111,""),"")</f>
        <v>0.192621639807185</v>
      </c>
      <c r="AN163" s="32" t="n">
        <f aca="false">IF(AND(ISNUMBER(AN162),ISNUMBER(AN111)),IFERROR(AN162/AN111,""),"")</f>
        <v>0.210761774574376</v>
      </c>
      <c r="AO163" s="32" t="n">
        <f aca="false">IF(AND(ISNUMBER(AO162),ISNUMBER(AO111)),IFERROR(AO162/AO111,""),"")</f>
        <v>0.202101946604413</v>
      </c>
      <c r="AP163" s="32" t="n">
        <f aca="false">IF(AND(ISNUMBER(AP162),ISNUMBER(AP111)),IFERROR(AP162/AP111,""),"")</f>
        <v>0.193884916427943</v>
      </c>
      <c r="AQ163" s="32" t="n">
        <f aca="false">IF(AND(ISNUMBER(AQ162),ISNUMBER(AQ111)),IFERROR(AQ162/AQ111,""),"")</f>
        <v>0.187366046592225</v>
      </c>
      <c r="AR163" s="32" t="n">
        <f aca="false">IF(AND(ISNUMBER(AR162),ISNUMBER(AR111)),IFERROR(AR162/AR111,""),"")</f>
        <v>0.190078527069939</v>
      </c>
      <c r="AS163" s="32" t="n">
        <f aca="false">IF(AND(ISNUMBER(AS162),ISNUMBER(AS111)),IFERROR(AS162/AS111,""),"")</f>
        <v>0.186736535917619</v>
      </c>
      <c r="AT163" s="32" t="n">
        <f aca="false">IF(AND(ISNUMBER(AT162),ISNUMBER(AT111)),IFERROR(AT162/AT111,""),"")</f>
        <v>0.190716977795462</v>
      </c>
      <c r="AU163" s="32" t="n">
        <f aca="false">IF(AND(ISNUMBER(AU162),ISNUMBER(AU111)),IFERROR(AU162/AU111,""),"")</f>
        <v>0.188782848266737</v>
      </c>
      <c r="AV163" s="32" t="n">
        <f aca="false">IF(AND(ISNUMBER(AV162),ISNUMBER(AV111)),IFERROR(AV162/AV111,""),"")</f>
        <v>0.194279240630308</v>
      </c>
      <c r="AW163" s="33" t="n">
        <f aca="false">IF(AND(ISNUMBER(AW162),ISNUMBER(AW111)),IFERROR(AW162/AW111,""),"")</f>
        <v>0.194914565105601</v>
      </c>
      <c r="AX163" s="33" t="n">
        <f aca="false">IF(AND(ISNUMBER(AX162),ISNUMBER(AX111)),IFERROR(AX162/AX111,""),"")</f>
        <v>0.194603390741603</v>
      </c>
      <c r="AY163" s="33" t="n">
        <f aca="false">IF(AND(ISNUMBER(AY162),ISNUMBER(AY111)),IFERROR(AY162/AY111,""),"")</f>
        <v>0.192025493261199</v>
      </c>
      <c r="AZ163" s="33" t="n">
        <f aca="false">IF(AND(ISNUMBER(AZ162),ISNUMBER(AZ111)),IFERROR(AZ162/AZ111,""),"")</f>
        <v>0.198407312369343</v>
      </c>
      <c r="BA163" s="33" t="n">
        <f aca="false">IF(AND(ISNUMBER(BA162),ISNUMBER(BA111)),IFERROR(BA162/BA111,""),"")</f>
        <v>0.20350623899797</v>
      </c>
      <c r="BB163" s="33" t="n">
        <f aca="false">IF(AND(ISNUMBER(BB162),ISNUMBER(BB111)),IFERROR(BB162/BB111,""),"")</f>
        <v>0.207282937900947</v>
      </c>
    </row>
    <row r="164" customFormat="false" ht="15" hidden="false" customHeight="true" outlineLevel="0" collapsed="false">
      <c r="B164" s="20" t="s">
        <v>278</v>
      </c>
      <c r="AA164" s="42" t="n">
        <v>49.864</v>
      </c>
      <c r="AB164" s="26" t="n">
        <f aca="false">AC164-AA164</f>
        <v>56.194</v>
      </c>
      <c r="AC164" s="42" t="n">
        <v>106.058</v>
      </c>
      <c r="AD164" s="42" t="n">
        <v>-14.071</v>
      </c>
      <c r="AE164" s="26" t="n">
        <f aca="false">AF164-AD164</f>
        <v>55.83</v>
      </c>
      <c r="AF164" s="42" t="n">
        <v>41.759</v>
      </c>
      <c r="AG164" s="42" t="n">
        <v>39.934</v>
      </c>
      <c r="AH164" s="26" t="n">
        <f aca="false">AI164-AG164</f>
        <v>70.079</v>
      </c>
      <c r="AI164" s="42" t="n">
        <v>110.013</v>
      </c>
      <c r="AJ164" s="42" t="n">
        <v>75.272</v>
      </c>
      <c r="AK164" s="26" t="n">
        <f aca="false">AL164-AJ164</f>
        <v>97.139</v>
      </c>
      <c r="AL164" s="42" t="n">
        <v>172.411</v>
      </c>
      <c r="AM164" s="42" t="n">
        <v>104.775</v>
      </c>
      <c r="AN164" s="26" t="n">
        <f aca="false">AO164-AM164</f>
        <v>125.504</v>
      </c>
      <c r="AO164" s="42" t="n">
        <v>230.279</v>
      </c>
      <c r="AP164" s="42" t="n">
        <v>120.337</v>
      </c>
    </row>
    <row r="165" customFormat="false" ht="15" hidden="false" customHeight="true" outlineLevel="0" collapsed="false">
      <c r="B165" s="45" t="s">
        <v>279</v>
      </c>
      <c r="C165" s="26" t="str">
        <f aca="false">IF(ISNUMBER(C164),ROUND(C162-C164,1),"n/p")</f>
        <v>n/p</v>
      </c>
      <c r="D165" s="26" t="str">
        <f aca="false">IF(ISNUMBER(D164),ROUND(D162-D164,1),"n/p")</f>
        <v>n/p</v>
      </c>
      <c r="E165" s="26" t="str">
        <f aca="false">IF(ISNUMBER(E164),ROUND(E162-E164,1),"n/p")</f>
        <v>n/p</v>
      </c>
      <c r="F165" s="26" t="str">
        <f aca="false">IF(ISNUMBER(F164),ROUND(F162-F164,1),"n/p")</f>
        <v>n/p</v>
      </c>
      <c r="G165" s="26" t="str">
        <f aca="false">IF(ISNUMBER(G164),ROUND(G162-G164,1),"n/p")</f>
        <v>n/p</v>
      </c>
      <c r="H165" s="26" t="str">
        <f aca="false">IF(ISNUMBER(H164),ROUND(H162-H164,1),"n/p")</f>
        <v>n/p</v>
      </c>
      <c r="I165" s="26" t="str">
        <f aca="false">IF(ISNUMBER(I164),ROUND(I162-I164,1),"n/p")</f>
        <v>n/p</v>
      </c>
      <c r="J165" s="26" t="str">
        <f aca="false">IF(ISNUMBER(J164),ROUND(J162-J164,1),"n/p")</f>
        <v>n/p</v>
      </c>
      <c r="K165" s="26" t="str">
        <f aca="false">IF(ISNUMBER(K164),ROUND(K162-K164,1),"n/p")</f>
        <v>n/p</v>
      </c>
      <c r="L165" s="26" t="str">
        <f aca="false">IF(ISNUMBER(L164),ROUND(L162-L164,1),"n/p")</f>
        <v>n/p</v>
      </c>
      <c r="M165" s="26" t="str">
        <f aca="false">IF(ISNUMBER(M164),ROUND(M162-M164,1),"n/p")</f>
        <v>n/p</v>
      </c>
      <c r="N165" s="26" t="str">
        <f aca="false">IF(ISNUMBER(N164),ROUND(N162-N164,1),"n/p")</f>
        <v>n/p</v>
      </c>
      <c r="O165" s="26" t="str">
        <f aca="false">IF(ISNUMBER(O164),ROUND(O162-O164,1),"n/p")</f>
        <v>n/p</v>
      </c>
      <c r="P165" s="26" t="str">
        <f aca="false">IF(ISNUMBER(P164),ROUND(P162-P164,1),"n/p")</f>
        <v>n/p</v>
      </c>
      <c r="Q165" s="26" t="str">
        <f aca="false">IF(ISNUMBER(Q164),ROUND(Q162-Q164,1),"n/p")</f>
        <v>n/p</v>
      </c>
      <c r="R165" s="26" t="str">
        <f aca="false">IF(ISNUMBER(R164),ROUND(R162-R164,1),"n/p")</f>
        <v>n/p</v>
      </c>
      <c r="S165" s="26" t="str">
        <f aca="false">IF(ISNUMBER(S164),ROUND(S162-S164,1),"n/p")</f>
        <v>n/p</v>
      </c>
      <c r="T165" s="26" t="str">
        <f aca="false">IF(ISNUMBER(T164),ROUND(T162-T164,1),"n/p")</f>
        <v>n/p</v>
      </c>
      <c r="U165" s="26" t="str">
        <f aca="false">IF(ISNUMBER(U164),ROUND(U162-U164,1),"n/p")</f>
        <v>n/p</v>
      </c>
      <c r="V165" s="26" t="str">
        <f aca="false">IF(ISNUMBER(V164),ROUND(V162-V164,1),"n/p")</f>
        <v>n/p</v>
      </c>
      <c r="W165" s="26" t="str">
        <f aca="false">IF(ISNUMBER(W164),ROUND(W162-W164,1),"n/p")</f>
        <v>n/p</v>
      </c>
      <c r="X165" s="26" t="str">
        <f aca="false">IF(ISNUMBER(X164),ROUND(X162-X164,1),"n/p")</f>
        <v>n/p</v>
      </c>
      <c r="Y165" s="26" t="str">
        <f aca="false">IF(ISNUMBER(Y164),ROUND(Y162-Y164,1),"n/p")</f>
        <v>n/p</v>
      </c>
      <c r="Z165" s="26" t="str">
        <f aca="false">IF(ISNUMBER(Z164),ROUND(Z162-Z164,1),"n/p")</f>
        <v>n/p</v>
      </c>
      <c r="AA165" s="26" t="n">
        <f aca="false">IF(ISNUMBER(AA164),ROUND(AA162-AA164,1),"n/p")</f>
        <v>0</v>
      </c>
      <c r="AB165" s="26" t="n">
        <f aca="false">IF(ISNUMBER(AB164),ROUND(AB162-AB164,1),"n/p")</f>
        <v>0</v>
      </c>
      <c r="AC165" s="26" t="n">
        <f aca="false">IF(ISNUMBER(AC164),ROUND(AC162-AC164,1),"n/p")</f>
        <v>0</v>
      </c>
      <c r="AD165" s="26" t="n">
        <f aca="false">IF(ISNUMBER(AD164),ROUND(AD162-AD164,1),"n/p")</f>
        <v>0</v>
      </c>
      <c r="AE165" s="26" t="n">
        <f aca="false">IF(ISNUMBER(AE164),ROUND(AE162-AE164,1),"n/p")</f>
        <v>0</v>
      </c>
      <c r="AF165" s="26" t="n">
        <f aca="false">IF(ISNUMBER(AF164),ROUND(AF162-AF164,1),"n/p")</f>
        <v>0</v>
      </c>
      <c r="AG165" s="26" t="n">
        <f aca="false">IF(ISNUMBER(AG164),ROUND(AG162-AG164,1),"n/p")</f>
        <v>0</v>
      </c>
      <c r="AH165" s="26" t="n">
        <f aca="false">IF(ISNUMBER(AH164),ROUND(AH162-AH164,1),"n/p")</f>
        <v>0</v>
      </c>
      <c r="AI165" s="26" t="n">
        <f aca="false">IF(ISNUMBER(AI164),ROUND(AI162-AI164,1),"n/p")</f>
        <v>0</v>
      </c>
      <c r="AJ165" s="26" t="n">
        <f aca="false">IF(ISNUMBER(AJ164),ROUND(AJ162-AJ164,1),"n/p")</f>
        <v>0</v>
      </c>
      <c r="AK165" s="26" t="n">
        <f aca="false">IF(ISNUMBER(AK164),ROUND(AK162-AK164,1),"n/p")</f>
        <v>0</v>
      </c>
      <c r="AL165" s="26" t="n">
        <f aca="false">IF(ISNUMBER(AL164),ROUND(AL162-AL164,1),"n/p")</f>
        <v>0</v>
      </c>
      <c r="AM165" s="26" t="n">
        <f aca="false">IF(ISNUMBER(AM164),ROUND(AM162-AM164,1),"n/p")</f>
        <v>0</v>
      </c>
      <c r="AN165" s="26" t="n">
        <f aca="false">IF(ISNUMBER(AN164),ROUND(AN162-AN164,1),"n/p")</f>
        <v>0</v>
      </c>
      <c r="AO165" s="26" t="n">
        <f aca="false">IF(ISNUMBER(AO164),ROUND(AO162-AO164,1),"n/p")</f>
        <v>0</v>
      </c>
      <c r="AP165" s="26" t="n">
        <f aca="false">IF(ISNUMBER(AP164),ROUND(AP162-AP164,1),"n/p")</f>
        <v>0</v>
      </c>
      <c r="AQ165" s="26" t="str">
        <f aca="false">IF(ISNUMBER(AQ164),ROUND(AQ162-AQ164,1),"n/p")</f>
        <v>n/p</v>
      </c>
      <c r="AR165" s="26" t="str">
        <f aca="false">IF(ISNUMBER(AR164),ROUND(AR162-AR164,1),"n/p")</f>
        <v>n/p</v>
      </c>
      <c r="AS165" s="26" t="str">
        <f aca="false">IF(ISNUMBER(AS164),ROUND(AS162-AS164,1),"n/p")</f>
        <v>n/p</v>
      </c>
      <c r="AT165" s="26" t="str">
        <f aca="false">IF(ISNUMBER(AT164),ROUND(AT162-AT164,1),"n/p")</f>
        <v>n/p</v>
      </c>
      <c r="AU165" s="26" t="str">
        <f aca="false">IF(ISNUMBER(AU164),ROUND(AU162-AU164,1),"n/p")</f>
        <v>n/p</v>
      </c>
      <c r="AV165" s="26" t="str">
        <f aca="false">IF(ISNUMBER(AV164),ROUND(AV162-AV164,1),"n/p")</f>
        <v>n/p</v>
      </c>
      <c r="AW165" s="27" t="str">
        <f aca="false">IF(ISNUMBER(AW164),ROUND(AW162-AW164,1),"n/p")</f>
        <v>n/p</v>
      </c>
      <c r="AX165" s="27" t="str">
        <f aca="false">IF(ISNUMBER(AX164),ROUND(AX162-AX164,1),"n/p")</f>
        <v>n/p</v>
      </c>
      <c r="AY165" s="27" t="str">
        <f aca="false">IF(ISNUMBER(AY164),ROUND(AY162-AY164,1),"n/p")</f>
        <v>n/p</v>
      </c>
      <c r="AZ165" s="27" t="str">
        <f aca="false">IF(ISNUMBER(AZ164),ROUND(AZ162-AZ164,1),"n/p")</f>
        <v>n/p</v>
      </c>
      <c r="BA165" s="27" t="str">
        <f aca="false">IF(ISNUMBER(BA164),ROUND(BA162-BA164,1),"n/p")</f>
        <v>n/p</v>
      </c>
      <c r="BB165" s="27" t="str">
        <f aca="false">IF(ISNUMBER(BB164),ROUND(BB162-BB164,1),"n/p")</f>
        <v>n/p</v>
      </c>
    </row>
    <row r="166" customFormat="false" ht="15" hidden="false" customHeight="true" outlineLevel="0" collapsed="false">
      <c r="B166" s="20" t="s">
        <v>280</v>
      </c>
    </row>
    <row r="167" customFormat="false" ht="15" hidden="false" customHeight="true" outlineLevel="0" collapsed="false">
      <c r="B167" s="20" t="s">
        <v>281</v>
      </c>
      <c r="C167" s="26" t="n">
        <f aca="false">C118</f>
        <v>-2.389</v>
      </c>
      <c r="D167" s="26" t="n">
        <f aca="false">D118</f>
        <v>-2.864</v>
      </c>
      <c r="E167" s="26" t="n">
        <f aca="false">E118</f>
        <v>-5.253</v>
      </c>
      <c r="F167" s="26" t="n">
        <f aca="false">F118</f>
        <v>-2.963</v>
      </c>
      <c r="G167" s="26" t="n">
        <f aca="false">G118</f>
        <v>-4.162</v>
      </c>
      <c r="H167" s="26" t="n">
        <f aca="false">H118</f>
        <v>-7.125</v>
      </c>
      <c r="I167" s="26" t="n">
        <f aca="false">I118</f>
        <v>-5.325</v>
      </c>
      <c r="J167" s="26" t="n">
        <f aca="false">J118</f>
        <v>-5.9</v>
      </c>
      <c r="K167" s="26" t="n">
        <f aca="false">K118</f>
        <v>-11.225</v>
      </c>
      <c r="L167" s="26" t="n">
        <f aca="false">L118</f>
        <v>-6.322</v>
      </c>
      <c r="M167" s="26" t="n">
        <f aca="false">M118</f>
        <v>-7.39</v>
      </c>
      <c r="N167" s="26" t="n">
        <f aca="false">N118</f>
        <v>-13.712</v>
      </c>
      <c r="O167" s="26" t="n">
        <f aca="false">O118</f>
        <v>-8.532</v>
      </c>
      <c r="P167" s="26" t="n">
        <f aca="false">P118</f>
        <v>-9.617</v>
      </c>
      <c r="Q167" s="26" t="n">
        <f aca="false">Q118</f>
        <v>-18.149</v>
      </c>
      <c r="R167" s="26" t="n">
        <f aca="false">R118</f>
        <v>-9.558</v>
      </c>
      <c r="S167" s="26" t="n">
        <f aca="false">S118</f>
        <v>-10.489</v>
      </c>
      <c r="T167" s="26" t="n">
        <f aca="false">T118</f>
        <v>-20.047</v>
      </c>
      <c r="U167" s="26" t="n">
        <f aca="false">U118</f>
        <v>-10.567</v>
      </c>
      <c r="V167" s="26" t="n">
        <f aca="false">V118</f>
        <v>-12.188</v>
      </c>
      <c r="W167" s="26" t="n">
        <f aca="false">W118</f>
        <v>-22.755</v>
      </c>
      <c r="X167" s="26" t="n">
        <f aca="false">X118</f>
        <v>-11.793</v>
      </c>
      <c r="Y167" s="26" t="n">
        <f aca="false">Y118</f>
        <v>-13.812</v>
      </c>
      <c r="Z167" s="26" t="n">
        <f aca="false">Z118</f>
        <v>-25.605</v>
      </c>
      <c r="AA167" s="26" t="n">
        <f aca="false">AA118</f>
        <v>-40.084</v>
      </c>
      <c r="AB167" s="26" t="n">
        <f aca="false">AB118</f>
        <v>-46.166</v>
      </c>
      <c r="AC167" s="26" t="n">
        <f aca="false">AC118</f>
        <v>-86.25</v>
      </c>
      <c r="AD167" s="26" t="n">
        <f aca="false">AD118</f>
        <v>-49.851</v>
      </c>
      <c r="AE167" s="26" t="n">
        <f aca="false">AE118</f>
        <v>-54.433</v>
      </c>
      <c r="AF167" s="26" t="n">
        <f aca="false">AF118</f>
        <v>-104.284</v>
      </c>
      <c r="AG167" s="26" t="n">
        <f aca="false">AG118</f>
        <v>-55.261</v>
      </c>
      <c r="AH167" s="26" t="n">
        <f aca="false">AH118</f>
        <v>-61.014</v>
      </c>
      <c r="AI167" s="26" t="n">
        <f aca="false">AI118</f>
        <v>-116.275</v>
      </c>
      <c r="AJ167" s="26" t="n">
        <f aca="false">AJ118</f>
        <v>-62.198</v>
      </c>
      <c r="AK167" s="26" t="n">
        <f aca="false">AK118</f>
        <v>-69.747</v>
      </c>
      <c r="AL167" s="26" t="n">
        <f aca="false">AL118</f>
        <v>-131.945</v>
      </c>
      <c r="AM167" s="26" t="n">
        <f aca="false">AM118</f>
        <v>-67.115</v>
      </c>
      <c r="AN167" s="26" t="n">
        <f aca="false">AN118</f>
        <v>-71.73</v>
      </c>
      <c r="AO167" s="26" t="n">
        <f aca="false">AO118</f>
        <v>-138.845</v>
      </c>
      <c r="AP167" s="26" t="n">
        <f aca="false">AP118</f>
        <v>-73.167</v>
      </c>
      <c r="AQ167" s="26" t="n">
        <f aca="false">AQ118</f>
        <v>-79.837</v>
      </c>
      <c r="AR167" s="26" t="n">
        <f aca="false">AR118</f>
        <v>-153.004</v>
      </c>
      <c r="AS167" s="26" t="n">
        <f aca="false">AS118</f>
        <v>-86.778</v>
      </c>
      <c r="AT167" s="26" t="n">
        <f aca="false">AT118</f>
        <v>-93.834</v>
      </c>
      <c r="AU167" s="26" t="n">
        <f aca="false">AU118</f>
        <v>-180.612</v>
      </c>
      <c r="AV167" s="26" t="n">
        <f aca="false">AV118</f>
        <v>-98.343</v>
      </c>
      <c r="AW167" s="27" t="n">
        <f aca="false">AW118</f>
        <v>-102.052896341476</v>
      </c>
      <c r="AX167" s="27" t="n">
        <f aca="false">AX118</f>
        <v>-200.395896341476</v>
      </c>
      <c r="AY167" s="27" t="n">
        <f aca="false">AY118</f>
        <v>-224.554426096945</v>
      </c>
      <c r="AZ167" s="27" t="n">
        <f aca="false">AZ118</f>
        <v>-238.193031852079</v>
      </c>
      <c r="BA167" s="27" t="n">
        <f aca="false">BA118</f>
        <v>-249.718014676921</v>
      </c>
      <c r="BB167" s="27" t="n">
        <f aca="false">BB118</f>
        <v>-264.667473655962</v>
      </c>
    </row>
    <row r="168" customFormat="false" ht="15" hidden="false" customHeight="true" outlineLevel="0" collapsed="false">
      <c r="B168" s="46" t="s">
        <v>282</v>
      </c>
      <c r="C168" s="47" t="n">
        <f aca="false">C158+C167</f>
        <v>15.962</v>
      </c>
      <c r="D168" s="47" t="n">
        <f aca="false">D158+D167</f>
        <v>18.945</v>
      </c>
      <c r="E168" s="47" t="n">
        <f aca="false">E158+E167</f>
        <v>34.907</v>
      </c>
      <c r="F168" s="47" t="n">
        <f aca="false">F158+F167</f>
        <v>19.696</v>
      </c>
      <c r="G168" s="47" t="n">
        <f aca="false">G158+G167</f>
        <v>22.289</v>
      </c>
      <c r="H168" s="47" t="n">
        <f aca="false">H158+H167</f>
        <v>41.985</v>
      </c>
      <c r="I168" s="47" t="n">
        <f aca="false">I158+I167</f>
        <v>21.804</v>
      </c>
      <c r="J168" s="47" t="n">
        <f aca="false">J158+J167</f>
        <v>25.152</v>
      </c>
      <c r="K168" s="47" t="n">
        <f aca="false">K158+K167</f>
        <v>46.956</v>
      </c>
      <c r="L168" s="47" t="n">
        <f aca="false">L158+L167</f>
        <v>24.296</v>
      </c>
      <c r="M168" s="47" t="n">
        <f aca="false">M158+M167</f>
        <v>25.033</v>
      </c>
      <c r="N168" s="47" t="n">
        <f aca="false">N158+N167</f>
        <v>49.329</v>
      </c>
      <c r="O168" s="47" t="n">
        <f aca="false">O158+O167</f>
        <v>24.852</v>
      </c>
      <c r="P168" s="47" t="n">
        <f aca="false">P158+P167</f>
        <v>26.123</v>
      </c>
      <c r="Q168" s="47" t="n">
        <f aca="false">Q158+Q167</f>
        <v>50.975</v>
      </c>
      <c r="R168" s="47" t="n">
        <f aca="false">R158+R167</f>
        <v>27.219</v>
      </c>
      <c r="S168" s="47" t="n">
        <f aca="false">S158+S167</f>
        <v>30.949</v>
      </c>
      <c r="T168" s="47" t="n">
        <f aca="false">T158+T167</f>
        <v>58.168</v>
      </c>
      <c r="U168" s="47" t="n">
        <f aca="false">U158+U167</f>
        <v>31.025</v>
      </c>
      <c r="V168" s="47" t="n">
        <f aca="false">V158+V167</f>
        <v>33.696</v>
      </c>
      <c r="W168" s="47" t="n">
        <f aca="false">W158+W167</f>
        <v>64.721</v>
      </c>
      <c r="X168" s="47" t="n">
        <f aca="false">X158+X167</f>
        <v>34.44</v>
      </c>
      <c r="Y168" s="47" t="n">
        <f aca="false">Y158+Y167</f>
        <v>35.098</v>
      </c>
      <c r="Z168" s="47" t="n">
        <f aca="false">Z158+Z167</f>
        <v>69.538</v>
      </c>
      <c r="AA168" s="47" t="n">
        <f aca="false">AA158+AA167</f>
        <v>39.1420000000001</v>
      </c>
      <c r="AB168" s="47" t="n">
        <f aca="false">AB158+AB167</f>
        <v>44.234</v>
      </c>
      <c r="AC168" s="47" t="n">
        <f aca="false">AC158+AC167</f>
        <v>83.376</v>
      </c>
      <c r="AD168" s="47" t="n">
        <f aca="false">AD158+AD167</f>
        <v>-23.275</v>
      </c>
      <c r="AE168" s="47" t="n">
        <f aca="false">AE158+AE167</f>
        <v>40.184</v>
      </c>
      <c r="AF168" s="47" t="n">
        <f aca="false">AF158+AF167</f>
        <v>16.909</v>
      </c>
      <c r="AG168" s="47" t="n">
        <f aca="false">AG158+AG167</f>
        <v>25.334</v>
      </c>
      <c r="AH168" s="47" t="n">
        <f aca="false">AH158+AH167</f>
        <v>51.702</v>
      </c>
      <c r="AI168" s="47" t="n">
        <f aca="false">AI158+AI167</f>
        <v>77.0359999999999</v>
      </c>
      <c r="AJ168" s="47" t="n">
        <f aca="false">AJ158+AJ167</f>
        <v>57.7540000000001</v>
      </c>
      <c r="AK168" s="47" t="n">
        <f aca="false">AK158+AK167</f>
        <v>76.658</v>
      </c>
      <c r="AL168" s="47" t="n">
        <f aca="false">AL158+AL167</f>
        <v>134.412</v>
      </c>
      <c r="AM168" s="47" t="n">
        <f aca="false">AM158+AM167</f>
        <v>87.6929999999999</v>
      </c>
      <c r="AN168" s="47" t="n">
        <f aca="false">AN158+AN167</f>
        <v>99.7130000000001</v>
      </c>
      <c r="AO168" s="47" t="n">
        <f aca="false">AO158+AO167</f>
        <v>187.406</v>
      </c>
      <c r="AP168" s="47" t="n">
        <f aca="false">AP158+AP167</f>
        <v>104.587</v>
      </c>
      <c r="AQ168" s="47" t="n">
        <f aca="false">AQ158+AQ167</f>
        <v>107.084</v>
      </c>
      <c r="AR168" s="47" t="n">
        <f aca="false">AR158+AR167</f>
        <v>211.671</v>
      </c>
      <c r="AS168" s="47" t="n">
        <f aca="false">AS158+AS167</f>
        <v>113.837</v>
      </c>
      <c r="AT168" s="47" t="n">
        <f aca="false">AT158+AT167</f>
        <v>122.014</v>
      </c>
      <c r="AU168" s="47" t="n">
        <f aca="false">AU158+AU167</f>
        <v>235.851</v>
      </c>
      <c r="AV168" s="47" t="n">
        <f aca="false">AV158+AV167</f>
        <v>128.199</v>
      </c>
      <c r="AW168" s="47" t="n">
        <f aca="false">AW158+AW167</f>
        <v>134.420660676971</v>
      </c>
      <c r="AX168" s="47" t="n">
        <f aca="false">AX158+AX167</f>
        <v>262.619660676971</v>
      </c>
      <c r="AY168" s="47" t="n">
        <f aca="false">AY158+AY167</f>
        <v>288.266797772124</v>
      </c>
      <c r="AZ168" s="47" t="n">
        <f aca="false">AZ158+AZ167</f>
        <v>322.555262028618</v>
      </c>
      <c r="BA168" s="47" t="n">
        <f aca="false">BA158+BA167</f>
        <v>358.256213568223</v>
      </c>
      <c r="BB168" s="47" t="n">
        <f aca="false">BB158+BB167</f>
        <v>391.087904619185</v>
      </c>
      <c r="BE168" s="37" t="n">
        <f aca="false">IFERROR(IF(AND(BB168&gt;0,AU168&gt;0),(BB168/AU168)^(1/5)-1,"n/m"),"n/m")</f>
        <v>0.106438635757333</v>
      </c>
      <c r="BF168" s="37" t="n">
        <f aca="false">IFERROR(IF(AND(AU168&gt;0,AF168&gt;0),(AU168/AF168)^(1/5)-1,"n/m"),"n/m")</f>
        <v>0.69396315386749</v>
      </c>
      <c r="BG168" s="37" t="n">
        <f aca="false">IFERROR(IF(AND(AU168&gt;0,Q168&gt;0),(AU168/Q168)^(1/10)-1,"n/m"),"n/m")</f>
        <v>0.165542324538166</v>
      </c>
      <c r="BH168" s="37" t="n">
        <f aca="false">IFERROR(IF(AND(AU168&gt;0,E168&gt;0),(AU168/E168)^(1/14)-1,"n/m"),"n/m")</f>
        <v>0.146214994329936</v>
      </c>
    </row>
    <row r="169" customFormat="false" ht="15" hidden="false" customHeight="true" outlineLevel="0" collapsed="false">
      <c r="B169" s="31" t="s">
        <v>283</v>
      </c>
      <c r="C169" s="32" t="n">
        <f aca="false">IF(AND(ISNUMBER(C168),ISNUMBER(C111)),IFERROR(C168/C111,""),"")</f>
        <v>0.137063465485115</v>
      </c>
      <c r="D169" s="32" t="n">
        <f aca="false">IF(AND(ISNUMBER(D168),ISNUMBER(D111)),IFERROR(D168/D111,""),"")</f>
        <v>0.150145033207057</v>
      </c>
      <c r="E169" s="32" t="n">
        <f aca="false">IF(AND(ISNUMBER(E168),ISNUMBER(E111)),IFERROR(E168/E111,""),"")</f>
        <v>0.143866301234364</v>
      </c>
      <c r="F169" s="32" t="n">
        <f aca="false">IF(AND(ISNUMBER(F168),ISNUMBER(F111)),IFERROR(F168/F111,""),"")</f>
        <v>0.145677240889625</v>
      </c>
      <c r="G169" s="32" t="n">
        <f aca="false">IF(AND(ISNUMBER(G168),ISNUMBER(G111)),IFERROR(G168/G111,""),"")</f>
        <v>0.154657988592681</v>
      </c>
      <c r="H169" s="32" t="n">
        <f aca="false">IF(AND(ISNUMBER(H168),ISNUMBER(H111)),IFERROR(H168/H111,""),"")</f>
        <v>0.150310932582942</v>
      </c>
      <c r="I169" s="32" t="n">
        <f aca="false">IF(AND(ISNUMBER(I168),ISNUMBER(I111)),IFERROR(I168/I111,""),"")</f>
        <v>0.138373081853605</v>
      </c>
      <c r="J169" s="32" t="n">
        <f aca="false">IF(AND(ISNUMBER(J168),ISNUMBER(J111)),IFERROR(J168/J111,""),"")</f>
        <v>0.152523255672929</v>
      </c>
      <c r="K169" s="32" t="n">
        <f aca="false">IF(AND(ISNUMBER(K168),ISNUMBER(K111)),IFERROR(K168/K111,""),"")</f>
        <v>0.145609030017365</v>
      </c>
      <c r="L169" s="32" t="n">
        <f aca="false">IF(AND(ISNUMBER(L168),ISNUMBER(L111)),IFERROR(L168/L111,""),"")</f>
        <v>0.138193855902077</v>
      </c>
      <c r="M169" s="32" t="n">
        <f aca="false">IF(AND(ISNUMBER(M168),ISNUMBER(M111)),IFERROR(M168/M111,""),"")</f>
        <v>0.138996546324779</v>
      </c>
      <c r="N169" s="32" t="n">
        <f aca="false">IF(AND(ISNUMBER(N168),ISNUMBER(N111)),IFERROR(N168/N111,""),"")</f>
        <v>0.138600035402308</v>
      </c>
      <c r="O169" s="32" t="n">
        <f aca="false">IF(AND(ISNUMBER(O168),ISNUMBER(O111)),IFERROR(O168/O111,""),"")</f>
        <v>0.124054070243396</v>
      </c>
      <c r="P169" s="32" t="n">
        <f aca="false">IF(AND(ISNUMBER(P168),ISNUMBER(P111)),IFERROR(P168/P111,""),"")</f>
        <v>0.122173427057464</v>
      </c>
      <c r="Q169" s="32" t="n">
        <f aca="false">IF(AND(ISNUMBER(Q168),ISNUMBER(Q111)),IFERROR(Q168/Q111,""),"")</f>
        <v>0.123083126685677</v>
      </c>
      <c r="R169" s="32" t="n">
        <f aca="false">IF(AND(ISNUMBER(R168),ISNUMBER(R111)),IFERROR(R168/R111,""),"")</f>
        <v>0.123812772925764</v>
      </c>
      <c r="S169" s="32" t="n">
        <f aca="false">IF(AND(ISNUMBER(S168),ISNUMBER(S111)),IFERROR(S168/S111,""),"")</f>
        <v>0.131067077173264</v>
      </c>
      <c r="T169" s="32" t="n">
        <f aca="false">IF(AND(ISNUMBER(T168),ISNUMBER(T111)),IFERROR(T168/T111,""),"")</f>
        <v>0.127569516482408</v>
      </c>
      <c r="U169" s="32" t="n">
        <f aca="false">IF(AND(ISNUMBER(U168),ISNUMBER(U111)),IFERROR(U168/U111,""),"")</f>
        <v>0.127503318579525</v>
      </c>
      <c r="V169" s="32" t="n">
        <f aca="false">IF(AND(ISNUMBER(V168),ISNUMBER(V111)),IFERROR(V168/V111,""),"")</f>
        <v>0.129478489417624</v>
      </c>
      <c r="W169" s="32" t="n">
        <f aca="false">IF(AND(ISNUMBER(W168),ISNUMBER(W111)),IFERROR(W168/W111,""),"")</f>
        <v>0.128524081013402</v>
      </c>
      <c r="X169" s="32" t="n">
        <f aca="false">IF(AND(ISNUMBER(X168),ISNUMBER(X111)),IFERROR(X168/X111,""),"")</f>
        <v>0.127798846693335</v>
      </c>
      <c r="Y169" s="32" t="n">
        <f aca="false">IF(AND(ISNUMBER(Y168),ISNUMBER(Y111)),IFERROR(Y168/Y111,""),"")</f>
        <v>0.123798102359705</v>
      </c>
      <c r="Z169" s="32" t="n">
        <f aca="false">IF(AND(ISNUMBER(Z168),ISNUMBER(Z111)),IFERROR(Z168/Z111,""),"")</f>
        <v>0.125747745010814</v>
      </c>
      <c r="AA169" s="32" t="n">
        <f aca="false">IF(AND(ISNUMBER(AA168),ISNUMBER(AA111)),IFERROR(AA168/AA111,""),"")</f>
        <v>0.134317961106746</v>
      </c>
      <c r="AB169" s="32" t="n">
        <f aca="false">IF(AND(ISNUMBER(AB168),ISNUMBER(AB111)),IFERROR(AB168/AB111,""),"")</f>
        <v>0.139827025933466</v>
      </c>
      <c r="AC169" s="32" t="n">
        <f aca="false">IF(AND(ISNUMBER(AC168),ISNUMBER(AC111)),IFERROR(AC168/AC111,""),"")</f>
        <v>0.137185505486532</v>
      </c>
      <c r="AD169" s="32" t="n">
        <f aca="false">IF(AND(ISNUMBER(AD168),ISNUMBER(AD111)),IFERROR(AD168/AD111,""),"")</f>
        <v>-0.113457441882004</v>
      </c>
      <c r="AE169" s="32" t="n">
        <f aca="false">IF(AND(ISNUMBER(AE168),ISNUMBER(AE111)),IFERROR(AE168/AE111,""),"")</f>
        <v>0.118582347212796</v>
      </c>
      <c r="AF169" s="32" t="n">
        <f aca="false">IF(AND(ISNUMBER(AF168),ISNUMBER(AF111)),IFERROR(AF168/AF111,""),"")</f>
        <v>0.031081977820383</v>
      </c>
      <c r="AG169" s="32" t="n">
        <f aca="false">IF(AND(ISNUMBER(AG168),ISNUMBER(AG111)),IFERROR(AG168/AG111,""),"")</f>
        <v>0.0807422138932446</v>
      </c>
      <c r="AH169" s="32" t="n">
        <f aca="false">IF(AND(ISNUMBER(AH168),ISNUMBER(AH111)),IFERROR(AH168/AH111,""),"")</f>
        <v>0.129769210496593</v>
      </c>
      <c r="AI169" s="32" t="n">
        <f aca="false">IF(AND(ISNUMBER(AI168),ISNUMBER(AI111)),IFERROR(AI168/AI111,""),"")</f>
        <v>0.108169434931387</v>
      </c>
      <c r="AJ169" s="32" t="n">
        <f aca="false">IF(AND(ISNUMBER(AJ168),ISNUMBER(AJ111)),IFERROR(AJ168/AJ111,""),"")</f>
        <v>0.13904665143479</v>
      </c>
      <c r="AK169" s="32" t="n">
        <f aca="false">IF(AND(ISNUMBER(AK168),ISNUMBER(AK111)),IFERROR(AK168/AK111,""),"")</f>
        <v>0.151993353834928</v>
      </c>
      <c r="AL169" s="32" t="n">
        <f aca="false">IF(AND(ISNUMBER(AL168),ISNUMBER(AL111)),IFERROR(AL168/AL111,""),"")</f>
        <v>0.146146385591949</v>
      </c>
      <c r="AM169" s="32" t="n">
        <f aca="false">IF(AND(ISNUMBER(AM168),ISNUMBER(AM111)),IFERROR(AM168/AM111,""),"")</f>
        <v>0.161217556283574</v>
      </c>
      <c r="AN169" s="32" t="n">
        <f aca="false">IF(AND(ISNUMBER(AN168),ISNUMBER(AN111)),IFERROR(AN168/AN111,""),"")</f>
        <v>0.167450350810609</v>
      </c>
      <c r="AO169" s="32" t="n">
        <f aca="false">IF(AND(ISNUMBER(AO168),ISNUMBER(AO111)),IFERROR(AO168/AO111,""),"")</f>
        <v>0.164474908286672</v>
      </c>
      <c r="AP169" s="32" t="n">
        <f aca="false">IF(AND(ISNUMBER(AP168),ISNUMBER(AP111)),IFERROR(AP168/AP111,""),"")</f>
        <v>0.168508785780344</v>
      </c>
      <c r="AQ169" s="32" t="n">
        <f aca="false">IF(AND(ISNUMBER(AQ168),ISNUMBER(AQ111)),IFERROR(AQ168/AQ111,""),"")</f>
        <v>0.162771820915124</v>
      </c>
      <c r="AR169" s="32" t="n">
        <f aca="false">IF(AND(ISNUMBER(AR168),ISNUMBER(AR111)),IFERROR(AR168/AR111,""),"")</f>
        <v>0.165556806982965</v>
      </c>
      <c r="AS169" s="32" t="n">
        <f aca="false">IF(AND(ISNUMBER(AS168),ISNUMBER(AS111)),IFERROR(AS168/AS111,""),"")</f>
        <v>0.16639552135178</v>
      </c>
      <c r="AT169" s="32" t="n">
        <f aca="false">IF(AND(ISNUMBER(AT168),ISNUMBER(AT111)),IFERROR(AT168/AT111,""),"")</f>
        <v>0.168570465422152</v>
      </c>
      <c r="AU169" s="32" t="n">
        <f aca="false">IF(AND(ISNUMBER(AU168),ISNUMBER(AU111)),IFERROR(AU168/AU111,""),"")</f>
        <v>0.167513642165104</v>
      </c>
      <c r="AV169" s="32" t="n">
        <f aca="false">IF(AND(ISNUMBER(AV168),ISNUMBER(AV111)),IFERROR(AV168/AV111,""),"")</f>
        <v>0.171066344102235</v>
      </c>
      <c r="AW169" s="33" t="n">
        <f aca="false">IF(AND(ISNUMBER(AW168),ISNUMBER(AW111)),IFERROR(AW168/AW111,""),"")</f>
        <v>0.172188283897619</v>
      </c>
      <c r="AX169" s="33" t="n">
        <f aca="false">IF(AND(ISNUMBER(AX168),ISNUMBER(AX111)),IFERROR(AX168/AX111,""),"")</f>
        <v>0.17163877114335</v>
      </c>
      <c r="AY169" s="33" t="n">
        <f aca="false">IF(AND(ISNUMBER(AY168),ISNUMBER(AY111)),IFERROR(AY168/AY111,""),"")</f>
        <v>0.170884320780569</v>
      </c>
      <c r="AZ169" s="33" t="n">
        <f aca="false">IF(AND(ISNUMBER(AZ168),ISNUMBER(AZ111)),IFERROR(AZ168/AZ111,""),"")</f>
        <v>0.176593431533211</v>
      </c>
      <c r="BA169" s="33" t="n">
        <f aca="false">IF(AND(ISNUMBER(BA168),ISNUMBER(BA111)),IFERROR(BA168/BA111,""),"")</f>
        <v>0.182082010798564</v>
      </c>
      <c r="BB169" s="33" t="n">
        <f aca="false">IF(AND(ISNUMBER(BB168),ISNUMBER(BB111)),IFERROR(BB168/BB111,""),"")</f>
        <v>0.185478216978546</v>
      </c>
    </row>
    <row r="170" customFormat="false" ht="15" hidden="false" customHeight="true" outlineLevel="0" collapsed="false">
      <c r="B170" s="20" t="s">
        <v>284</v>
      </c>
      <c r="F170" s="42" t="n">
        <v>19.696</v>
      </c>
      <c r="G170" s="26" t="n">
        <f aca="false">H170-F170</f>
        <v>22.289</v>
      </c>
      <c r="H170" s="42" t="n">
        <v>41.985</v>
      </c>
      <c r="O170" s="42" t="n">
        <v>24.852</v>
      </c>
      <c r="P170" s="26" t="n">
        <f aca="false">Q170-O170</f>
        <v>26.123</v>
      </c>
      <c r="Q170" s="42" t="n">
        <v>50.975</v>
      </c>
      <c r="R170" s="42" t="n">
        <v>27.219</v>
      </c>
      <c r="S170" s="26" t="n">
        <f aca="false">T170-R170</f>
        <v>30.949</v>
      </c>
      <c r="T170" s="42" t="n">
        <v>58.168</v>
      </c>
      <c r="U170" s="42" t="n">
        <v>31.025</v>
      </c>
      <c r="AU170" s="42" t="n">
        <v>235.851</v>
      </c>
    </row>
    <row r="171" customFormat="false" ht="15" hidden="false" customHeight="true" outlineLevel="0" collapsed="false">
      <c r="B171" s="45" t="s">
        <v>285</v>
      </c>
      <c r="C171" s="26" t="str">
        <f aca="false">IF(ISNUMBER(C170),ROUND(C168-C170,1),"n/p")</f>
        <v>n/p</v>
      </c>
      <c r="D171" s="26" t="str">
        <f aca="false">IF(ISNUMBER(D170),ROUND(D168-D170,1),"n/p")</f>
        <v>n/p</v>
      </c>
      <c r="E171" s="26" t="str">
        <f aca="false">IF(ISNUMBER(E170),ROUND(E168-E170,1),"n/p")</f>
        <v>n/p</v>
      </c>
      <c r="F171" s="26" t="n">
        <f aca="false">IF(ISNUMBER(F170),ROUND(F168-F170,1),"n/p")</f>
        <v>0</v>
      </c>
      <c r="G171" s="26" t="n">
        <f aca="false">IF(ISNUMBER(G170),ROUND(G168-G170,1),"n/p")</f>
        <v>0</v>
      </c>
      <c r="H171" s="26" t="n">
        <f aca="false">IF(ISNUMBER(H170),ROUND(H168-H170,1),"n/p")</f>
        <v>0</v>
      </c>
      <c r="I171" s="26" t="str">
        <f aca="false">IF(ISNUMBER(I170),ROUND(I168-I170,1),"n/p")</f>
        <v>n/p</v>
      </c>
      <c r="J171" s="26" t="str">
        <f aca="false">IF(ISNUMBER(J170),ROUND(J168-J170,1),"n/p")</f>
        <v>n/p</v>
      </c>
      <c r="K171" s="26" t="str">
        <f aca="false">IF(ISNUMBER(K170),ROUND(K168-K170,1),"n/p")</f>
        <v>n/p</v>
      </c>
      <c r="L171" s="26" t="str">
        <f aca="false">IF(ISNUMBER(L170),ROUND(L168-L170,1),"n/p")</f>
        <v>n/p</v>
      </c>
      <c r="M171" s="26" t="str">
        <f aca="false">IF(ISNUMBER(M170),ROUND(M168-M170,1),"n/p")</f>
        <v>n/p</v>
      </c>
      <c r="N171" s="26" t="str">
        <f aca="false">IF(ISNUMBER(N170),ROUND(N168-N170,1),"n/p")</f>
        <v>n/p</v>
      </c>
      <c r="O171" s="26" t="n">
        <f aca="false">IF(ISNUMBER(O170),ROUND(O168-O170,1),"n/p")</f>
        <v>0</v>
      </c>
      <c r="P171" s="26" t="n">
        <f aca="false">IF(ISNUMBER(P170),ROUND(P168-P170,1),"n/p")</f>
        <v>0</v>
      </c>
      <c r="Q171" s="26" t="n">
        <f aca="false">IF(ISNUMBER(Q170),ROUND(Q168-Q170,1),"n/p")</f>
        <v>0</v>
      </c>
      <c r="R171" s="26" t="n">
        <f aca="false">IF(ISNUMBER(R170),ROUND(R168-R170,1),"n/p")</f>
        <v>0</v>
      </c>
      <c r="S171" s="26" t="n">
        <f aca="false">IF(ISNUMBER(S170),ROUND(S168-S170,1),"n/p")</f>
        <v>0</v>
      </c>
      <c r="T171" s="26" t="n">
        <f aca="false">IF(ISNUMBER(T170),ROUND(T168-T170,1),"n/p")</f>
        <v>0</v>
      </c>
      <c r="U171" s="26" t="n">
        <f aca="false">IF(ISNUMBER(U170),ROUND(U168-U170,1),"n/p")</f>
        <v>0</v>
      </c>
      <c r="V171" s="26" t="str">
        <f aca="false">IF(ISNUMBER(V170),ROUND(V168-V170,1),"n/p")</f>
        <v>n/p</v>
      </c>
      <c r="W171" s="26" t="str">
        <f aca="false">IF(ISNUMBER(W170),ROUND(W168-W170,1),"n/p")</f>
        <v>n/p</v>
      </c>
      <c r="X171" s="26" t="str">
        <f aca="false">IF(ISNUMBER(X170),ROUND(X168-X170,1),"n/p")</f>
        <v>n/p</v>
      </c>
      <c r="Y171" s="26" t="str">
        <f aca="false">IF(ISNUMBER(Y170),ROUND(Y168-Y170,1),"n/p")</f>
        <v>n/p</v>
      </c>
      <c r="Z171" s="26" t="str">
        <f aca="false">IF(ISNUMBER(Z170),ROUND(Z168-Z170,1),"n/p")</f>
        <v>n/p</v>
      </c>
      <c r="AA171" s="26" t="str">
        <f aca="false">IF(ISNUMBER(AA170),ROUND(AA168-AA170,1),"n/p")</f>
        <v>n/p</v>
      </c>
      <c r="AB171" s="26" t="str">
        <f aca="false">IF(ISNUMBER(AB170),ROUND(AB168-AB170,1),"n/p")</f>
        <v>n/p</v>
      </c>
      <c r="AC171" s="26" t="str">
        <f aca="false">IF(ISNUMBER(AC170),ROUND(AC168-AC170,1),"n/p")</f>
        <v>n/p</v>
      </c>
      <c r="AD171" s="26" t="str">
        <f aca="false">IF(ISNUMBER(AD170),ROUND(AD168-AD170,1),"n/p")</f>
        <v>n/p</v>
      </c>
      <c r="AE171" s="26" t="str">
        <f aca="false">IF(ISNUMBER(AE170),ROUND(AE168-AE170,1),"n/p")</f>
        <v>n/p</v>
      </c>
      <c r="AF171" s="26" t="str">
        <f aca="false">IF(ISNUMBER(AF170),ROUND(AF168-AF170,1),"n/p")</f>
        <v>n/p</v>
      </c>
      <c r="AG171" s="26" t="str">
        <f aca="false">IF(ISNUMBER(AG170),ROUND(AG168-AG170,1),"n/p")</f>
        <v>n/p</v>
      </c>
      <c r="AH171" s="26" t="str">
        <f aca="false">IF(ISNUMBER(AH170),ROUND(AH168-AH170,1),"n/p")</f>
        <v>n/p</v>
      </c>
      <c r="AI171" s="26" t="str">
        <f aca="false">IF(ISNUMBER(AI170),ROUND(AI168-AI170,1),"n/p")</f>
        <v>n/p</v>
      </c>
      <c r="AJ171" s="26" t="str">
        <f aca="false">IF(ISNUMBER(AJ170),ROUND(AJ168-AJ170,1),"n/p")</f>
        <v>n/p</v>
      </c>
      <c r="AK171" s="26" t="str">
        <f aca="false">IF(ISNUMBER(AK170),ROUND(AK168-AK170,1),"n/p")</f>
        <v>n/p</v>
      </c>
      <c r="AL171" s="26" t="str">
        <f aca="false">IF(ISNUMBER(AL170),ROUND(AL168-AL170,1),"n/p")</f>
        <v>n/p</v>
      </c>
      <c r="AM171" s="26" t="str">
        <f aca="false">IF(ISNUMBER(AM170),ROUND(AM168-AM170,1),"n/p")</f>
        <v>n/p</v>
      </c>
      <c r="AN171" s="26" t="str">
        <f aca="false">IF(ISNUMBER(AN170),ROUND(AN168-AN170,1),"n/p")</f>
        <v>n/p</v>
      </c>
      <c r="AO171" s="26" t="str">
        <f aca="false">IF(ISNUMBER(AO170),ROUND(AO168-AO170,1),"n/p")</f>
        <v>n/p</v>
      </c>
      <c r="AP171" s="26" t="str">
        <f aca="false">IF(ISNUMBER(AP170),ROUND(AP168-AP170,1),"n/p")</f>
        <v>n/p</v>
      </c>
      <c r="AQ171" s="26" t="str">
        <f aca="false">IF(ISNUMBER(AQ170),ROUND(AQ168-AQ170,1),"n/p")</f>
        <v>n/p</v>
      </c>
      <c r="AR171" s="26" t="str">
        <f aca="false">IF(ISNUMBER(AR170),ROUND(AR168-AR170,1),"n/p")</f>
        <v>n/p</v>
      </c>
      <c r="AS171" s="26" t="str">
        <f aca="false">IF(ISNUMBER(AS170),ROUND(AS168-AS170,1),"n/p")</f>
        <v>n/p</v>
      </c>
      <c r="AT171" s="26" t="str">
        <f aca="false">IF(ISNUMBER(AT170),ROUND(AT168-AT170,1),"n/p")</f>
        <v>n/p</v>
      </c>
      <c r="AU171" s="26" t="n">
        <f aca="false">IF(ISNUMBER(AU170),ROUND(AU168-AU170,1),"n/p")</f>
        <v>0</v>
      </c>
      <c r="AV171" s="26" t="str">
        <f aca="false">IF(ISNUMBER(AV170),ROUND(AV168-AV170,1),"n/p")</f>
        <v>n/p</v>
      </c>
      <c r="AW171" s="27" t="str">
        <f aca="false">IF(ISNUMBER(AW170),ROUND(AW168-AW170,1),"n/p")</f>
        <v>n/p</v>
      </c>
      <c r="AX171" s="27" t="str">
        <f aca="false">IF(ISNUMBER(AX170),ROUND(AX168-AX170,1),"n/p")</f>
        <v>n/p</v>
      </c>
      <c r="AY171" s="27" t="str">
        <f aca="false">IF(ISNUMBER(AY170),ROUND(AY168-AY170,1),"n/p")</f>
        <v>n/p</v>
      </c>
      <c r="AZ171" s="27" t="str">
        <f aca="false">IF(ISNUMBER(AZ170),ROUND(AZ168-AZ170,1),"n/p")</f>
        <v>n/p</v>
      </c>
      <c r="BA171" s="27" t="str">
        <f aca="false">IF(ISNUMBER(BA170),ROUND(BA168-BA170,1),"n/p")</f>
        <v>n/p</v>
      </c>
      <c r="BB171" s="27" t="str">
        <f aca="false">IF(ISNUMBER(BB170),ROUND(BB168-BB170,1),"n/p")</f>
        <v>n/p</v>
      </c>
    </row>
    <row r="172" customFormat="false" ht="15" hidden="false" customHeight="true" outlineLevel="0" collapsed="false">
      <c r="B172" s="20" t="s">
        <v>286</v>
      </c>
      <c r="C172" s="26" t="n">
        <f aca="false">C106</f>
        <v>-2.389</v>
      </c>
      <c r="D172" s="26" t="n">
        <f aca="false">D106</f>
        <v>-2.864</v>
      </c>
      <c r="E172" s="26" t="n">
        <f aca="false">E106</f>
        <v>-5.253</v>
      </c>
      <c r="F172" s="26" t="n">
        <f aca="false">F106</f>
        <v>-2.963</v>
      </c>
      <c r="G172" s="26" t="n">
        <f aca="false">G106</f>
        <v>-4.162</v>
      </c>
      <c r="H172" s="26" t="n">
        <f aca="false">H106</f>
        <v>-7.125</v>
      </c>
      <c r="I172" s="26" t="n">
        <f aca="false">I106</f>
        <v>-5.325</v>
      </c>
      <c r="J172" s="26" t="n">
        <f aca="false">J106</f>
        <v>-5.9</v>
      </c>
      <c r="K172" s="26" t="n">
        <f aca="false">K106</f>
        <v>-11.225</v>
      </c>
      <c r="L172" s="26" t="n">
        <f aca="false">L106</f>
        <v>-6.322</v>
      </c>
      <c r="M172" s="26" t="n">
        <f aca="false">M106</f>
        <v>-7.39</v>
      </c>
      <c r="N172" s="26" t="n">
        <f aca="false">N106</f>
        <v>-13.712</v>
      </c>
      <c r="O172" s="26" t="n">
        <f aca="false">O106</f>
        <v>-8.532</v>
      </c>
      <c r="P172" s="26" t="n">
        <f aca="false">P106</f>
        <v>-9.617</v>
      </c>
      <c r="Q172" s="26" t="n">
        <f aca="false">Q106</f>
        <v>-18.149</v>
      </c>
      <c r="R172" s="26" t="n">
        <f aca="false">R106</f>
        <v>-9.558</v>
      </c>
      <c r="S172" s="26" t="n">
        <f aca="false">S106</f>
        <v>-10.489</v>
      </c>
      <c r="T172" s="26" t="n">
        <f aca="false">T106</f>
        <v>-20.047</v>
      </c>
      <c r="U172" s="26" t="n">
        <f aca="false">U106</f>
        <v>-10.567</v>
      </c>
      <c r="V172" s="26" t="n">
        <f aca="false">V106</f>
        <v>-12.188</v>
      </c>
      <c r="W172" s="26" t="n">
        <f aca="false">W106</f>
        <v>-22.755</v>
      </c>
      <c r="X172" s="26" t="n">
        <f aca="false">X106</f>
        <v>-11.793</v>
      </c>
      <c r="Y172" s="26" t="n">
        <f aca="false">Y106</f>
        <v>-13.812</v>
      </c>
      <c r="Z172" s="26" t="n">
        <f aca="false">Z106</f>
        <v>-25.605</v>
      </c>
      <c r="AA172" s="26" t="n">
        <f aca="false">AA106</f>
        <v>-13.938</v>
      </c>
      <c r="AB172" s="26" t="n">
        <f aca="false">AB106</f>
        <v>-15.307</v>
      </c>
      <c r="AC172" s="26" t="n">
        <f aca="false">AC106</f>
        <v>-29.245</v>
      </c>
      <c r="AD172" s="26" t="n">
        <f aca="false">AD106</f>
        <v>-15.725</v>
      </c>
      <c r="AE172" s="26" t="n">
        <f aca="false">AE106</f>
        <v>-19.107</v>
      </c>
      <c r="AF172" s="26" t="n">
        <f aca="false">AF106</f>
        <v>-34.832</v>
      </c>
      <c r="AG172" s="26" t="n">
        <f aca="false">AG106</f>
        <v>-16.123</v>
      </c>
      <c r="AH172" s="26" t="n">
        <f aca="false">AH106</f>
        <v>-18.832</v>
      </c>
      <c r="AI172" s="26" t="n">
        <f aca="false">AI106</f>
        <v>-34.955</v>
      </c>
      <c r="AJ172" s="26" t="n">
        <f aca="false">AJ106</f>
        <v>-18.579</v>
      </c>
      <c r="AK172" s="26" t="n">
        <f aca="false">AK106</f>
        <v>-22.364</v>
      </c>
      <c r="AL172" s="26" t="n">
        <f aca="false">AL106</f>
        <v>-40.943</v>
      </c>
      <c r="AM172" s="26" t="n">
        <f aca="false">AM106</f>
        <v>-22.729</v>
      </c>
      <c r="AN172" s="26" t="n">
        <f aca="false">AN106</f>
        <v>-24.69</v>
      </c>
      <c r="AO172" s="26" t="n">
        <f aca="false">AO106</f>
        <v>-47.419</v>
      </c>
      <c r="AP172" s="26" t="n">
        <f aca="false">AP106</f>
        <v>-23.324</v>
      </c>
      <c r="AQ172" s="26" t="n">
        <f aca="false">AQ106</f>
        <v>-25.695</v>
      </c>
      <c r="AR172" s="26" t="n">
        <f aca="false">AR106</f>
        <v>-49.019</v>
      </c>
      <c r="AS172" s="26" t="n">
        <f aca="false">AS106</f>
        <v>-26.143</v>
      </c>
      <c r="AT172" s="26" t="n">
        <f aca="false">AT106</f>
        <v>-29.498</v>
      </c>
      <c r="AU172" s="26" t="n">
        <f aca="false">AU106</f>
        <v>-55.641</v>
      </c>
      <c r="AV172" s="26" t="n">
        <f aca="false">AV106</f>
        <v>-30.894</v>
      </c>
      <c r="AW172" s="27" t="n">
        <f aca="false">AW106</f>
        <v>-32.1822575924293</v>
      </c>
      <c r="AX172" s="27" t="n">
        <f aca="false">AX106</f>
        <v>-63.0762575924293</v>
      </c>
      <c r="AY172" s="27" t="n">
        <f aca="false">AY106</f>
        <v>-69.1633887454994</v>
      </c>
      <c r="AZ172" s="27" t="n">
        <f aca="false">AZ106</f>
        <v>-74.8882086290183</v>
      </c>
      <c r="BA172" s="27" t="n">
        <f aca="false">BA106</f>
        <v>-78.7021654686271</v>
      </c>
      <c r="BB172" s="27" t="n">
        <f aca="false">BB106</f>
        <v>-84.3415277524305</v>
      </c>
    </row>
    <row r="173" customFormat="false" ht="15" hidden="false" customHeight="true" outlineLevel="0" collapsed="false">
      <c r="B173" s="46" t="s">
        <v>287</v>
      </c>
      <c r="C173" s="47" t="n">
        <f aca="false">C162+C172</f>
        <v>15.962</v>
      </c>
      <c r="D173" s="47" t="n">
        <f aca="false">D162+D172</f>
        <v>18.945</v>
      </c>
      <c r="E173" s="47" t="n">
        <f aca="false">E162+E172</f>
        <v>34.907</v>
      </c>
      <c r="F173" s="47" t="n">
        <f aca="false">F162+F172</f>
        <v>19.696</v>
      </c>
      <c r="G173" s="47" t="n">
        <f aca="false">G162+G172</f>
        <v>22.289</v>
      </c>
      <c r="H173" s="47" t="n">
        <f aca="false">H162+H172</f>
        <v>41.985</v>
      </c>
      <c r="I173" s="47" t="n">
        <f aca="false">I162+I172</f>
        <v>21.804</v>
      </c>
      <c r="J173" s="47" t="n">
        <f aca="false">J162+J172</f>
        <v>25.152</v>
      </c>
      <c r="K173" s="47" t="n">
        <f aca="false">K162+K172</f>
        <v>46.956</v>
      </c>
      <c r="L173" s="47" t="n">
        <f aca="false">L162+L172</f>
        <v>24.296</v>
      </c>
      <c r="M173" s="47" t="n">
        <f aca="false">M162+M172</f>
        <v>25.033</v>
      </c>
      <c r="N173" s="47" t="n">
        <f aca="false">N162+N172</f>
        <v>49.329</v>
      </c>
      <c r="O173" s="47" t="n">
        <f aca="false">O162+O172</f>
        <v>24.852</v>
      </c>
      <c r="P173" s="47" t="n">
        <f aca="false">P162+P172</f>
        <v>26.123</v>
      </c>
      <c r="Q173" s="47" t="n">
        <f aca="false">Q162+Q172</f>
        <v>50.975</v>
      </c>
      <c r="R173" s="47" t="n">
        <f aca="false">R162+R172</f>
        <v>27.219</v>
      </c>
      <c r="S173" s="47" t="n">
        <f aca="false">S162+S172</f>
        <v>30.949</v>
      </c>
      <c r="T173" s="47" t="n">
        <f aca="false">T162+T172</f>
        <v>58.168</v>
      </c>
      <c r="U173" s="47" t="n">
        <f aca="false">U162+U172</f>
        <v>31.025</v>
      </c>
      <c r="V173" s="47" t="n">
        <f aca="false">V162+V172</f>
        <v>33.696</v>
      </c>
      <c r="W173" s="47" t="n">
        <f aca="false">W162+W172</f>
        <v>64.721</v>
      </c>
      <c r="X173" s="47" t="n">
        <f aca="false">X162+X172</f>
        <v>34.44</v>
      </c>
      <c r="Y173" s="47" t="n">
        <f aca="false">Y162+Y172</f>
        <v>35.098</v>
      </c>
      <c r="Z173" s="47" t="n">
        <f aca="false">Z162+Z172</f>
        <v>69.538</v>
      </c>
      <c r="AA173" s="47" t="n">
        <f aca="false">AA162+AA172</f>
        <v>35.9260000000001</v>
      </c>
      <c r="AB173" s="47" t="n">
        <f aca="false">AB162+AB172</f>
        <v>40.887</v>
      </c>
      <c r="AC173" s="47" t="n">
        <f aca="false">AC162+AC172</f>
        <v>76.813</v>
      </c>
      <c r="AD173" s="47" t="n">
        <f aca="false">AD162+AD172</f>
        <v>-29.796</v>
      </c>
      <c r="AE173" s="47" t="n">
        <f aca="false">AE162+AE172</f>
        <v>36.723</v>
      </c>
      <c r="AF173" s="47" t="n">
        <f aca="false">AF162+AF172</f>
        <v>6.92700000000004</v>
      </c>
      <c r="AG173" s="47" t="n">
        <f aca="false">AG162+AG172</f>
        <v>23.811</v>
      </c>
      <c r="AH173" s="47" t="n">
        <f aca="false">AH162+AH172</f>
        <v>51.2469999999999</v>
      </c>
      <c r="AI173" s="47" t="n">
        <f aca="false">AI162+AI172</f>
        <v>75.0579999999999</v>
      </c>
      <c r="AJ173" s="47" t="n">
        <f aca="false">AJ162+AJ172</f>
        <v>56.6930000000001</v>
      </c>
      <c r="AK173" s="47" t="n">
        <f aca="false">AK162+AK172</f>
        <v>74.775</v>
      </c>
      <c r="AL173" s="47" t="n">
        <f aca="false">AL162+AL172</f>
        <v>131.468</v>
      </c>
      <c r="AM173" s="47" t="n">
        <f aca="false">AM162+AM172</f>
        <v>82.0459999999999</v>
      </c>
      <c r="AN173" s="47" t="n">
        <f aca="false">AN162+AN172</f>
        <v>100.814</v>
      </c>
      <c r="AO173" s="47" t="n">
        <f aca="false">AO162+AO172</f>
        <v>182.86</v>
      </c>
      <c r="AP173" s="47" t="n">
        <f aca="false">AP162+AP172</f>
        <v>97.0130000000001</v>
      </c>
      <c r="AQ173" s="47" t="n">
        <f aca="false">AQ162+AQ172</f>
        <v>97.569</v>
      </c>
      <c r="AR173" s="47" t="n">
        <f aca="false">AR162+AR172</f>
        <v>194.004</v>
      </c>
      <c r="AS173" s="47" t="n">
        <f aca="false">AS162+AS172</f>
        <v>101.61</v>
      </c>
      <c r="AT173" s="47" t="n">
        <f aca="false">AT162+AT172</f>
        <v>108.546</v>
      </c>
      <c r="AU173" s="47" t="n">
        <f aca="false">AU162+AU172</f>
        <v>210.156</v>
      </c>
      <c r="AV173" s="47" t="n">
        <f aca="false">AV162+AV172</f>
        <v>114.701</v>
      </c>
      <c r="AW173" s="47" t="n">
        <f aca="false">AW162+AW172</f>
        <v>119.979922226018</v>
      </c>
      <c r="AX173" s="47" t="n">
        <f aca="false">AX162+AX172</f>
        <v>234.680922226018</v>
      </c>
      <c r="AY173" s="47" t="n">
        <f aca="false">AY162+AY172</f>
        <v>254.766704900124</v>
      </c>
      <c r="AZ173" s="47" t="n">
        <f aca="false">AZ162+AZ172</f>
        <v>287.511015815815</v>
      </c>
      <c r="BA173" s="47" t="n">
        <f aca="false">BA162+BA172</f>
        <v>321.707376919277</v>
      </c>
      <c r="BB173" s="47" t="n">
        <f aca="false">BB162+BB172</f>
        <v>352.722463737021</v>
      </c>
      <c r="BE173" s="37" t="n">
        <f aca="false">IFERROR(IF(AND(BB173&gt;0,AU173&gt;0),(BB173/AU173)^(1/5)-1,"n/m"),"n/m")</f>
        <v>0.109119306442411</v>
      </c>
      <c r="BF173" s="37" t="n">
        <f aca="false">IFERROR(IF(AND(AU173&gt;0,AF173&gt;0),(AU173/AF173)^(1/5)-1,"n/m"),"n/m")</f>
        <v>0.978788242472712</v>
      </c>
      <c r="BG173" s="37" t="n">
        <f aca="false">IFERROR(IF(AND(AU173&gt;0,Q173&gt;0),(AU173/Q173)^(1/10)-1,"n/m"),"n/m")</f>
        <v>0.152175022009991</v>
      </c>
      <c r="BH173" s="37" t="n">
        <f aca="false">IFERROR(IF(AND(AU173&gt;0,E173&gt;0),(AU173/E173)^(1/14)-1,"n/m"),"n/m")</f>
        <v>0.136809789571461</v>
      </c>
    </row>
    <row r="174" customFormat="false" ht="15" hidden="false" customHeight="true" outlineLevel="0" collapsed="false">
      <c r="B174" s="31" t="s">
        <v>288</v>
      </c>
      <c r="C174" s="32" t="n">
        <f aca="false">IF(AND(ISNUMBER(C173),ISNUMBER(C111)),IFERROR(C173/C111,""),"")</f>
        <v>0.137063465485115</v>
      </c>
      <c r="D174" s="32" t="n">
        <f aca="false">IF(AND(ISNUMBER(D173),ISNUMBER(D111)),IFERROR(D173/D111,""),"")</f>
        <v>0.150145033207057</v>
      </c>
      <c r="E174" s="32" t="n">
        <f aca="false">IF(AND(ISNUMBER(E173),ISNUMBER(E111)),IFERROR(E173/E111,""),"")</f>
        <v>0.143866301234364</v>
      </c>
      <c r="F174" s="32" t="n">
        <f aca="false">IF(AND(ISNUMBER(F173),ISNUMBER(F111)),IFERROR(F173/F111,""),"")</f>
        <v>0.145677240889625</v>
      </c>
      <c r="G174" s="32" t="n">
        <f aca="false">IF(AND(ISNUMBER(G173),ISNUMBER(G111)),IFERROR(G173/G111,""),"")</f>
        <v>0.154657988592681</v>
      </c>
      <c r="H174" s="32" t="n">
        <f aca="false">IF(AND(ISNUMBER(H173),ISNUMBER(H111)),IFERROR(H173/H111,""),"")</f>
        <v>0.150310932582942</v>
      </c>
      <c r="I174" s="32" t="n">
        <f aca="false">IF(AND(ISNUMBER(I173),ISNUMBER(I111)),IFERROR(I173/I111,""),"")</f>
        <v>0.138373081853605</v>
      </c>
      <c r="J174" s="32" t="n">
        <f aca="false">IF(AND(ISNUMBER(J173),ISNUMBER(J111)),IFERROR(J173/J111,""),"")</f>
        <v>0.152523255672929</v>
      </c>
      <c r="K174" s="32" t="n">
        <f aca="false">IF(AND(ISNUMBER(K173),ISNUMBER(K111)),IFERROR(K173/K111,""),"")</f>
        <v>0.145609030017365</v>
      </c>
      <c r="L174" s="32" t="n">
        <f aca="false">IF(AND(ISNUMBER(L173),ISNUMBER(L111)),IFERROR(L173/L111,""),"")</f>
        <v>0.138193855902077</v>
      </c>
      <c r="M174" s="32" t="n">
        <f aca="false">IF(AND(ISNUMBER(M173),ISNUMBER(M111)),IFERROR(M173/M111,""),"")</f>
        <v>0.138996546324779</v>
      </c>
      <c r="N174" s="32" t="n">
        <f aca="false">IF(AND(ISNUMBER(N173),ISNUMBER(N111)),IFERROR(N173/N111,""),"")</f>
        <v>0.138600035402308</v>
      </c>
      <c r="O174" s="32" t="n">
        <f aca="false">IF(AND(ISNUMBER(O173),ISNUMBER(O111)),IFERROR(O173/O111,""),"")</f>
        <v>0.124054070243396</v>
      </c>
      <c r="P174" s="32" t="n">
        <f aca="false">IF(AND(ISNUMBER(P173),ISNUMBER(P111)),IFERROR(P173/P111,""),"")</f>
        <v>0.122173427057464</v>
      </c>
      <c r="Q174" s="32" t="n">
        <f aca="false">IF(AND(ISNUMBER(Q173),ISNUMBER(Q111)),IFERROR(Q173/Q111,""),"")</f>
        <v>0.123083126685677</v>
      </c>
      <c r="R174" s="32" t="n">
        <f aca="false">IF(AND(ISNUMBER(R173),ISNUMBER(R111)),IFERROR(R173/R111,""),"")</f>
        <v>0.123812772925764</v>
      </c>
      <c r="S174" s="32" t="n">
        <f aca="false">IF(AND(ISNUMBER(S173),ISNUMBER(S111)),IFERROR(S173/S111,""),"")</f>
        <v>0.131067077173264</v>
      </c>
      <c r="T174" s="32" t="n">
        <f aca="false">IF(AND(ISNUMBER(T173),ISNUMBER(T111)),IFERROR(T173/T111,""),"")</f>
        <v>0.127569516482408</v>
      </c>
      <c r="U174" s="32" t="n">
        <f aca="false">IF(AND(ISNUMBER(U173),ISNUMBER(U111)),IFERROR(U173/U111,""),"")</f>
        <v>0.127503318579525</v>
      </c>
      <c r="V174" s="32" t="n">
        <f aca="false">IF(AND(ISNUMBER(V173),ISNUMBER(V111)),IFERROR(V173/V111,""),"")</f>
        <v>0.129478489417624</v>
      </c>
      <c r="W174" s="32" t="n">
        <f aca="false">IF(AND(ISNUMBER(W173),ISNUMBER(W111)),IFERROR(W173/W111,""),"")</f>
        <v>0.128524081013402</v>
      </c>
      <c r="X174" s="32" t="n">
        <f aca="false">IF(AND(ISNUMBER(X173),ISNUMBER(X111)),IFERROR(X173/X111,""),"")</f>
        <v>0.127798846693335</v>
      </c>
      <c r="Y174" s="32" t="n">
        <f aca="false">IF(AND(ISNUMBER(Y173),ISNUMBER(Y111)),IFERROR(Y173/Y111,""),"")</f>
        <v>0.123798102359705</v>
      </c>
      <c r="Z174" s="32" t="n">
        <f aca="false">IF(AND(ISNUMBER(Z173),ISNUMBER(Z111)),IFERROR(Z173/Z111,""),"")</f>
        <v>0.125747745010814</v>
      </c>
      <c r="AA174" s="32" t="n">
        <f aca="false">IF(AND(ISNUMBER(AA173),ISNUMBER(AA111)),IFERROR(AA173/AA111,""),"")</f>
        <v>0.123282077326681</v>
      </c>
      <c r="AB174" s="32" t="n">
        <f aca="false">IF(AND(ISNUMBER(AB173),ISNUMBER(AB111)),IFERROR(AB173/AB111,""),"")</f>
        <v>0.129246905306814</v>
      </c>
      <c r="AC174" s="32" t="n">
        <f aca="false">IF(AND(ISNUMBER(AC173),ISNUMBER(AC111)),IFERROR(AC173/AC111,""),"")</f>
        <v>0.126386852726647</v>
      </c>
      <c r="AD174" s="32" t="n">
        <f aca="false">IF(AND(ISNUMBER(AD173),ISNUMBER(AD111)),IFERROR(AD173/AD111,""),"")</f>
        <v>-0.145245024202629</v>
      </c>
      <c r="AE174" s="32" t="n">
        <f aca="false">IF(AND(ISNUMBER(AE173),ISNUMBER(AE111)),IFERROR(AE173/AE111,""),"")</f>
        <v>0.108368991058518</v>
      </c>
      <c r="AF174" s="32" t="n">
        <f aca="false">IF(AND(ISNUMBER(AF173),ISNUMBER(AF111)),IFERROR(AF173/AF111,""),"")</f>
        <v>0.0127331515974803</v>
      </c>
      <c r="AG174" s="32" t="n">
        <f aca="false">IF(AND(ISNUMBER(AG173),ISNUMBER(AG111)),IFERROR(AG173/AG111,""),"")</f>
        <v>0.075888247217654</v>
      </c>
      <c r="AH174" s="32" t="n">
        <f aca="false">IF(AND(ISNUMBER(AH173),ISNUMBER(AH111)),IFERROR(AH173/AH111,""),"")</f>
        <v>0.12862718522144</v>
      </c>
      <c r="AI174" s="32" t="n">
        <f aca="false">IF(AND(ISNUMBER(AI173),ISNUMBER(AI111)),IFERROR(AI173/AI111,""),"")</f>
        <v>0.105392043292487</v>
      </c>
      <c r="AJ174" s="32" t="n">
        <f aca="false">IF(AND(ISNUMBER(AJ173),ISNUMBER(AJ111)),IFERROR(AJ173/AJ111,""),"")</f>
        <v>0.136492222353301</v>
      </c>
      <c r="AK174" s="32" t="n">
        <f aca="false">IF(AND(ISNUMBER(AK173),ISNUMBER(AK111)),IFERROR(AK173/AK111,""),"")</f>
        <v>0.148259842847541</v>
      </c>
      <c r="AL174" s="32" t="n">
        <f aca="false">IF(AND(ISNUMBER(AL173),ISNUMBER(AL111)),IFERROR(AL173/AL111,""),"")</f>
        <v>0.142945369617313</v>
      </c>
      <c r="AM174" s="32" t="n">
        <f aca="false">IF(AND(ISNUMBER(AM173),ISNUMBER(AM111)),IFERROR(AM173/AM111,""),"")</f>
        <v>0.150835934713627</v>
      </c>
      <c r="AN174" s="32" t="n">
        <f aca="false">IF(AND(ISNUMBER(AN173),ISNUMBER(AN111)),IFERROR(AN173/AN111,""),"")</f>
        <v>0.169299285615925</v>
      </c>
      <c r="AO174" s="32" t="n">
        <f aca="false">IF(AND(ISNUMBER(AO173),ISNUMBER(AO111)),IFERROR(AO173/AO111,""),"")</f>
        <v>0.160485159116041</v>
      </c>
      <c r="AP174" s="32" t="n">
        <f aca="false">IF(AND(ISNUMBER(AP173),ISNUMBER(AP111)),IFERROR(AP173/AP111,""),"")</f>
        <v>0.156305686508921</v>
      </c>
      <c r="AQ174" s="32" t="n">
        <f aca="false">IF(AND(ISNUMBER(AQ173),ISNUMBER(AQ111)),IFERROR(AQ173/AQ111,""),"")</f>
        <v>0.148308652972132</v>
      </c>
      <c r="AR174" s="32" t="n">
        <f aca="false">IF(AND(ISNUMBER(AR173),ISNUMBER(AR111)),IFERROR(AR173/AR111,""),"")</f>
        <v>0.15173870195692</v>
      </c>
      <c r="AS174" s="32" t="n">
        <f aca="false">IF(AND(ISNUMBER(AS173),ISNUMBER(AS111)),IFERROR(AS173/AS111,""),"")</f>
        <v>0.14852331776623</v>
      </c>
      <c r="AT174" s="32" t="n">
        <f aca="false">IF(AND(ISNUMBER(AT173),ISNUMBER(AT111)),IFERROR(AT173/AT111,""),"")</f>
        <v>0.14996352664213</v>
      </c>
      <c r="AU174" s="32" t="n">
        <f aca="false">IF(AND(ISNUMBER(AU173),ISNUMBER(AU111)),IFERROR(AU173/AU111,""),"")</f>
        <v>0.149263717274252</v>
      </c>
      <c r="AV174" s="32" t="n">
        <f aca="false">IF(AND(ISNUMBER(AV173),ISNUMBER(AV111)),IFERROR(AV173/AV111,""),"")</f>
        <v>0.153054865754573</v>
      </c>
      <c r="AW174" s="33" t="n">
        <f aca="false">IF(AND(ISNUMBER(AW173),ISNUMBER(AW111)),IFERROR(AW173/AW111,""),"")</f>
        <v>0.153690190229865</v>
      </c>
      <c r="AX174" s="33" t="n">
        <f aca="false">IF(AND(ISNUMBER(AX173),ISNUMBER(AX111)),IFERROR(AX173/AX111,""),"")</f>
        <v>0.153379015865867</v>
      </c>
      <c r="AY174" s="33" t="n">
        <f aca="false">IF(AND(ISNUMBER(AY173),ISNUMBER(AY111)),IFERROR(AY173/AY111,""),"")</f>
        <v>0.151025493261199</v>
      </c>
      <c r="AZ174" s="33" t="n">
        <f aca="false">IF(AND(ISNUMBER(AZ173),ISNUMBER(AZ111)),IFERROR(AZ173/AZ111,""),"")</f>
        <v>0.157407312369343</v>
      </c>
      <c r="BA174" s="33" t="n">
        <f aca="false">IF(AND(ISNUMBER(BA173),ISNUMBER(BA111)),IFERROR(BA173/BA111,""),"")</f>
        <v>0.16350623899797</v>
      </c>
      <c r="BB174" s="33" t="n">
        <f aca="false">IF(AND(ISNUMBER(BB173),ISNUMBER(BB111)),IFERROR(BB173/BB111,""),"")</f>
        <v>0.167282937900947</v>
      </c>
    </row>
    <row r="175" customFormat="false" ht="15" hidden="false" customHeight="true" outlineLevel="0" collapsed="false">
      <c r="B175" s="20" t="s">
        <v>289</v>
      </c>
      <c r="AA175" s="42" t="n">
        <v>35.926</v>
      </c>
      <c r="AB175" s="26" t="n">
        <f aca="false">AC175-AA175</f>
        <v>40.887</v>
      </c>
      <c r="AC175" s="42" t="n">
        <v>76.813</v>
      </c>
      <c r="AD175" s="42" t="n">
        <v>-29.796</v>
      </c>
      <c r="AE175" s="26" t="n">
        <f aca="false">AF175-AD175</f>
        <v>36.723</v>
      </c>
      <c r="AF175" s="42" t="n">
        <v>6.927</v>
      </c>
    </row>
    <row r="176" customFormat="false" ht="15" hidden="false" customHeight="true" outlineLevel="0" collapsed="false">
      <c r="B176" s="45" t="s">
        <v>290</v>
      </c>
      <c r="C176" s="26" t="str">
        <f aca="false">IF(ISNUMBER(C175),ROUND(C173-C175,1),"n/p")</f>
        <v>n/p</v>
      </c>
      <c r="D176" s="26" t="str">
        <f aca="false">IF(ISNUMBER(D175),ROUND(D173-D175,1),"n/p")</f>
        <v>n/p</v>
      </c>
      <c r="E176" s="26" t="str">
        <f aca="false">IF(ISNUMBER(E175),ROUND(E173-E175,1),"n/p")</f>
        <v>n/p</v>
      </c>
      <c r="F176" s="26" t="str">
        <f aca="false">IF(ISNUMBER(F175),ROUND(F173-F175,1),"n/p")</f>
        <v>n/p</v>
      </c>
      <c r="G176" s="26" t="str">
        <f aca="false">IF(ISNUMBER(G175),ROUND(G173-G175,1),"n/p")</f>
        <v>n/p</v>
      </c>
      <c r="H176" s="26" t="str">
        <f aca="false">IF(ISNUMBER(H175),ROUND(H173-H175,1),"n/p")</f>
        <v>n/p</v>
      </c>
      <c r="I176" s="26" t="str">
        <f aca="false">IF(ISNUMBER(I175),ROUND(I173-I175,1),"n/p")</f>
        <v>n/p</v>
      </c>
      <c r="J176" s="26" t="str">
        <f aca="false">IF(ISNUMBER(J175),ROUND(J173-J175,1),"n/p")</f>
        <v>n/p</v>
      </c>
      <c r="K176" s="26" t="str">
        <f aca="false">IF(ISNUMBER(K175),ROUND(K173-K175,1),"n/p")</f>
        <v>n/p</v>
      </c>
      <c r="L176" s="26" t="str">
        <f aca="false">IF(ISNUMBER(L175),ROUND(L173-L175,1),"n/p")</f>
        <v>n/p</v>
      </c>
      <c r="M176" s="26" t="str">
        <f aca="false">IF(ISNUMBER(M175),ROUND(M173-M175,1),"n/p")</f>
        <v>n/p</v>
      </c>
      <c r="N176" s="26" t="str">
        <f aca="false">IF(ISNUMBER(N175),ROUND(N173-N175,1),"n/p")</f>
        <v>n/p</v>
      </c>
      <c r="O176" s="26" t="str">
        <f aca="false">IF(ISNUMBER(O175),ROUND(O173-O175,1),"n/p")</f>
        <v>n/p</v>
      </c>
      <c r="P176" s="26" t="str">
        <f aca="false">IF(ISNUMBER(P175),ROUND(P173-P175,1),"n/p")</f>
        <v>n/p</v>
      </c>
      <c r="Q176" s="26" t="str">
        <f aca="false">IF(ISNUMBER(Q175),ROUND(Q173-Q175,1),"n/p")</f>
        <v>n/p</v>
      </c>
      <c r="R176" s="26" t="str">
        <f aca="false">IF(ISNUMBER(R175),ROUND(R173-R175,1),"n/p")</f>
        <v>n/p</v>
      </c>
      <c r="S176" s="26" t="str">
        <f aca="false">IF(ISNUMBER(S175),ROUND(S173-S175,1),"n/p")</f>
        <v>n/p</v>
      </c>
      <c r="T176" s="26" t="str">
        <f aca="false">IF(ISNUMBER(T175),ROUND(T173-T175,1),"n/p")</f>
        <v>n/p</v>
      </c>
      <c r="U176" s="26" t="str">
        <f aca="false">IF(ISNUMBER(U175),ROUND(U173-U175,1),"n/p")</f>
        <v>n/p</v>
      </c>
      <c r="V176" s="26" t="str">
        <f aca="false">IF(ISNUMBER(V175),ROUND(V173-V175,1),"n/p")</f>
        <v>n/p</v>
      </c>
      <c r="W176" s="26" t="str">
        <f aca="false">IF(ISNUMBER(W175),ROUND(W173-W175,1),"n/p")</f>
        <v>n/p</v>
      </c>
      <c r="X176" s="26" t="str">
        <f aca="false">IF(ISNUMBER(X175),ROUND(X173-X175,1),"n/p")</f>
        <v>n/p</v>
      </c>
      <c r="Y176" s="26" t="str">
        <f aca="false">IF(ISNUMBER(Y175),ROUND(Y173-Y175,1),"n/p")</f>
        <v>n/p</v>
      </c>
      <c r="Z176" s="26" t="str">
        <f aca="false">IF(ISNUMBER(Z175),ROUND(Z173-Z175,1),"n/p")</f>
        <v>n/p</v>
      </c>
      <c r="AA176" s="26" t="n">
        <f aca="false">IF(ISNUMBER(AA175),ROUND(AA173-AA175,1),"n/p")</f>
        <v>0</v>
      </c>
      <c r="AB176" s="26" t="n">
        <f aca="false">IF(ISNUMBER(AB175),ROUND(AB173-AB175,1),"n/p")</f>
        <v>0</v>
      </c>
      <c r="AC176" s="26" t="n">
        <f aca="false">IF(ISNUMBER(AC175),ROUND(AC173-AC175,1),"n/p")</f>
        <v>0</v>
      </c>
      <c r="AD176" s="26" t="n">
        <f aca="false">IF(ISNUMBER(AD175),ROUND(AD173-AD175,1),"n/p")</f>
        <v>0</v>
      </c>
      <c r="AE176" s="26" t="n">
        <f aca="false">IF(ISNUMBER(AE175),ROUND(AE173-AE175,1),"n/p")</f>
        <v>0</v>
      </c>
      <c r="AF176" s="26" t="n">
        <f aca="false">IF(ISNUMBER(AF175),ROUND(AF173-AF175,1),"n/p")</f>
        <v>0</v>
      </c>
      <c r="AG176" s="26" t="str">
        <f aca="false">IF(ISNUMBER(AG175),ROUND(AG173-AG175,1),"n/p")</f>
        <v>n/p</v>
      </c>
      <c r="AH176" s="26" t="str">
        <f aca="false">IF(ISNUMBER(AH175),ROUND(AH173-AH175,1),"n/p")</f>
        <v>n/p</v>
      </c>
      <c r="AI176" s="26" t="str">
        <f aca="false">IF(ISNUMBER(AI175),ROUND(AI173-AI175,1),"n/p")</f>
        <v>n/p</v>
      </c>
      <c r="AJ176" s="26" t="str">
        <f aca="false">IF(ISNUMBER(AJ175),ROUND(AJ173-AJ175,1),"n/p")</f>
        <v>n/p</v>
      </c>
      <c r="AK176" s="26" t="str">
        <f aca="false">IF(ISNUMBER(AK175),ROUND(AK173-AK175,1),"n/p")</f>
        <v>n/p</v>
      </c>
      <c r="AL176" s="26" t="str">
        <f aca="false">IF(ISNUMBER(AL175),ROUND(AL173-AL175,1),"n/p")</f>
        <v>n/p</v>
      </c>
      <c r="AM176" s="26" t="str">
        <f aca="false">IF(ISNUMBER(AM175),ROUND(AM173-AM175,1),"n/p")</f>
        <v>n/p</v>
      </c>
      <c r="AN176" s="26" t="str">
        <f aca="false">IF(ISNUMBER(AN175),ROUND(AN173-AN175,1),"n/p")</f>
        <v>n/p</v>
      </c>
      <c r="AO176" s="26" t="str">
        <f aca="false">IF(ISNUMBER(AO175),ROUND(AO173-AO175,1),"n/p")</f>
        <v>n/p</v>
      </c>
      <c r="AP176" s="26" t="str">
        <f aca="false">IF(ISNUMBER(AP175),ROUND(AP173-AP175,1),"n/p")</f>
        <v>n/p</v>
      </c>
      <c r="AQ176" s="26" t="str">
        <f aca="false">IF(ISNUMBER(AQ175),ROUND(AQ173-AQ175,1),"n/p")</f>
        <v>n/p</v>
      </c>
      <c r="AR176" s="26" t="str">
        <f aca="false">IF(ISNUMBER(AR175),ROUND(AR173-AR175,1),"n/p")</f>
        <v>n/p</v>
      </c>
      <c r="AS176" s="26" t="str">
        <f aca="false">IF(ISNUMBER(AS175),ROUND(AS173-AS175,1),"n/p")</f>
        <v>n/p</v>
      </c>
      <c r="AT176" s="26" t="str">
        <f aca="false">IF(ISNUMBER(AT175),ROUND(AT173-AT175,1),"n/p")</f>
        <v>n/p</v>
      </c>
      <c r="AU176" s="26" t="str">
        <f aca="false">IF(ISNUMBER(AU175),ROUND(AU173-AU175,1),"n/p")</f>
        <v>n/p</v>
      </c>
      <c r="AV176" s="26" t="str">
        <f aca="false">IF(ISNUMBER(AV175),ROUND(AV173-AV175,1),"n/p")</f>
        <v>n/p</v>
      </c>
      <c r="AW176" s="27" t="str">
        <f aca="false">IF(ISNUMBER(AW175),ROUND(AW173-AW175,1),"n/p")</f>
        <v>n/p</v>
      </c>
      <c r="AX176" s="27" t="str">
        <f aca="false">IF(ISNUMBER(AX175),ROUND(AX173-AX175,1),"n/p")</f>
        <v>n/p</v>
      </c>
      <c r="AY176" s="27" t="str">
        <f aca="false">IF(ISNUMBER(AY175),ROUND(AY173-AY175,1),"n/p")</f>
        <v>n/p</v>
      </c>
      <c r="AZ176" s="27" t="str">
        <f aca="false">IF(ISNUMBER(AZ175),ROUND(AZ173-AZ175,1),"n/p")</f>
        <v>n/p</v>
      </c>
      <c r="BA176" s="27" t="str">
        <f aca="false">IF(ISNUMBER(BA175),ROUND(BA173-BA175,1),"n/p")</f>
        <v>n/p</v>
      </c>
      <c r="BB176" s="27" t="str">
        <f aca="false">IF(ISNUMBER(BB175),ROUND(BB173-BB175,1),"n/p")</f>
        <v>n/p</v>
      </c>
    </row>
    <row r="177" customFormat="false" ht="15" hidden="false" customHeight="true" outlineLevel="0" collapsed="false"/>
    <row r="178" customFormat="false" ht="15" hidden="false" customHeight="true" outlineLevel="0" collapsed="false">
      <c r="B178" s="9" t="s">
        <v>291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 t="s">
        <v>292</v>
      </c>
    </row>
    <row r="179" customFormat="false" ht="15" hidden="false" customHeight="true" outlineLevel="0" collapsed="false">
      <c r="B179" s="14" t="s">
        <v>293</v>
      </c>
      <c r="C179" s="35" t="n">
        <f aca="false">C133</f>
        <v>8.57499999999998</v>
      </c>
      <c r="D179" s="35" t="n">
        <f aca="false">D133</f>
        <v>11.693</v>
      </c>
      <c r="E179" s="35" t="n">
        <f aca="false">E133</f>
        <v>20.268</v>
      </c>
      <c r="F179" s="35" t="n">
        <f aca="false">F133</f>
        <v>7.86299999999998</v>
      </c>
      <c r="G179" s="35" t="n">
        <f aca="false">G133</f>
        <v>14.621</v>
      </c>
      <c r="H179" s="35" t="n">
        <f aca="false">H133</f>
        <v>22.484</v>
      </c>
      <c r="I179" s="35" t="n">
        <f aca="false">I133</f>
        <v>14.047</v>
      </c>
      <c r="J179" s="35" t="n">
        <f aca="false">J133</f>
        <v>16.429</v>
      </c>
      <c r="K179" s="35" t="n">
        <f aca="false">K133</f>
        <v>30.476</v>
      </c>
      <c r="L179" s="35" t="n">
        <f aca="false">L133</f>
        <v>16.618</v>
      </c>
      <c r="M179" s="35" t="n">
        <f aca="false">M133</f>
        <v>16.442</v>
      </c>
      <c r="N179" s="35" t="n">
        <f aca="false">N133</f>
        <v>33.06</v>
      </c>
      <c r="O179" s="35" t="n">
        <f aca="false">O133</f>
        <v>17.449</v>
      </c>
      <c r="P179" s="35" t="n">
        <f aca="false">P133</f>
        <v>15.889</v>
      </c>
      <c r="Q179" s="35" t="n">
        <f aca="false">Q133</f>
        <v>33.338</v>
      </c>
      <c r="R179" s="35" t="n">
        <f aca="false">R133</f>
        <v>16.217</v>
      </c>
      <c r="S179" s="35" t="n">
        <f aca="false">S133</f>
        <v>20.18</v>
      </c>
      <c r="T179" s="35" t="n">
        <f aca="false">T133</f>
        <v>36.397</v>
      </c>
      <c r="U179" s="35" t="n">
        <f aca="false">U133</f>
        <v>19.58</v>
      </c>
      <c r="V179" s="35" t="n">
        <f aca="false">V133</f>
        <v>31.537</v>
      </c>
      <c r="W179" s="35" t="n">
        <f aca="false">W133</f>
        <v>51.117</v>
      </c>
      <c r="X179" s="35" t="n">
        <f aca="false">X133</f>
        <v>26.082</v>
      </c>
      <c r="Y179" s="35" t="n">
        <f aca="false">Y133</f>
        <v>24.61</v>
      </c>
      <c r="Z179" s="35" t="n">
        <f aca="false">Z133</f>
        <v>50.692</v>
      </c>
      <c r="AA179" s="35" t="n">
        <f aca="false">AA133</f>
        <v>25.3040000000001</v>
      </c>
      <c r="AB179" s="35" t="n">
        <f aca="false">AB133</f>
        <v>27.2489999999999</v>
      </c>
      <c r="AC179" s="35" t="n">
        <f aca="false">AC133</f>
        <v>52.553</v>
      </c>
      <c r="AD179" s="35" t="n">
        <f aca="false">AD133</f>
        <v>-47.52</v>
      </c>
      <c r="AE179" s="35" t="n">
        <f aca="false">AE133</f>
        <v>14.304</v>
      </c>
      <c r="AF179" s="35" t="n">
        <f aca="false">AF133</f>
        <v>-33.216</v>
      </c>
      <c r="AG179" s="35" t="n">
        <f aca="false">AG133</f>
        <v>20.347</v>
      </c>
      <c r="AH179" s="35" t="n">
        <f aca="false">AH133</f>
        <v>32.9749999999999</v>
      </c>
      <c r="AI179" s="35" t="n">
        <f aca="false">AI133</f>
        <v>53.3219999999999</v>
      </c>
      <c r="AJ179" s="35" t="n">
        <f aca="false">AJ133</f>
        <v>46.5860000000001</v>
      </c>
      <c r="AK179" s="35" t="n">
        <f aca="false">AK133</f>
        <v>34.013</v>
      </c>
      <c r="AL179" s="35" t="n">
        <f aca="false">AL133</f>
        <v>80.599</v>
      </c>
      <c r="AM179" s="35" t="n">
        <f aca="false">AM133</f>
        <v>61.7819999999999</v>
      </c>
      <c r="AN179" s="35" t="n">
        <f aca="false">AN133</f>
        <v>52.8350000000001</v>
      </c>
      <c r="AO179" s="35" t="n">
        <f aca="false">AO133</f>
        <v>114.617</v>
      </c>
      <c r="AP179" s="35" t="n">
        <f aca="false">AP133</f>
        <v>60.9390000000001</v>
      </c>
      <c r="AQ179" s="35" t="n">
        <f aca="false">AQ133</f>
        <v>58.539</v>
      </c>
      <c r="AR179" s="35" t="n">
        <f aca="false">AR133</f>
        <v>119.478</v>
      </c>
      <c r="AS179" s="35" t="n">
        <f aca="false">AS133</f>
        <v>73.263</v>
      </c>
      <c r="AT179" s="35" t="n">
        <f aca="false">AT133</f>
        <v>61.771</v>
      </c>
      <c r="AU179" s="35" t="n">
        <f aca="false">AU133</f>
        <v>135.034</v>
      </c>
      <c r="AV179" s="35" t="n">
        <f aca="false">AV133</f>
        <v>76.122</v>
      </c>
      <c r="AW179" s="36" t="n">
        <f aca="false">AW133</f>
        <v>79.2948277248157</v>
      </c>
      <c r="AX179" s="36" t="n">
        <f aca="false">AX133</f>
        <v>155.416827724816</v>
      </c>
      <c r="AY179" s="36" t="n">
        <f aca="false">AY133</f>
        <v>169.575344903666</v>
      </c>
      <c r="AZ179" s="36" t="n">
        <f aca="false">AZ133</f>
        <v>192.347581297763</v>
      </c>
      <c r="BA179" s="36" t="n">
        <f aca="false">BA133</f>
        <v>216.487743566573</v>
      </c>
      <c r="BB179" s="36" t="n">
        <f aca="false">BB133</f>
        <v>238.647519474468</v>
      </c>
    </row>
    <row r="180" customFormat="false" ht="15" hidden="false" customHeight="true" outlineLevel="0" collapsed="false">
      <c r="B180" s="20" t="s">
        <v>294</v>
      </c>
      <c r="C180" s="26" t="n">
        <f aca="false">N(C157)</f>
        <v>0</v>
      </c>
      <c r="D180" s="26" t="n">
        <f aca="false">N(D157)</f>
        <v>0</v>
      </c>
      <c r="E180" s="26" t="n">
        <f aca="false">N(E157)</f>
        <v>0</v>
      </c>
      <c r="F180" s="26" t="n">
        <f aca="false">N(F157)</f>
        <v>6.241</v>
      </c>
      <c r="G180" s="26" t="n">
        <f aca="false">N(G157)</f>
        <v>0</v>
      </c>
      <c r="H180" s="26" t="n">
        <f aca="false">N(H157)</f>
        <v>6.241</v>
      </c>
      <c r="I180" s="26" t="n">
        <f aca="false">N(I157)</f>
        <v>0</v>
      </c>
      <c r="J180" s="26" t="n">
        <f aca="false">N(J157)</f>
        <v>0</v>
      </c>
      <c r="K180" s="26" t="n">
        <f aca="false">N(K157)</f>
        <v>0</v>
      </c>
      <c r="L180" s="26" t="n">
        <f aca="false">N(L157)</f>
        <v>0</v>
      </c>
      <c r="M180" s="26" t="n">
        <f aca="false">N(M157)</f>
        <v>0</v>
      </c>
      <c r="N180" s="26" t="n">
        <f aca="false">N(N157)</f>
        <v>0</v>
      </c>
      <c r="O180" s="26" t="n">
        <f aca="false">N(O157)</f>
        <v>0</v>
      </c>
      <c r="P180" s="26" t="n">
        <f aca="false">N(P157)</f>
        <v>0</v>
      </c>
      <c r="Q180" s="26" t="n">
        <f aca="false">N(Q157)</f>
        <v>0</v>
      </c>
      <c r="R180" s="26" t="n">
        <f aca="false">N(R157)</f>
        <v>1.293</v>
      </c>
      <c r="S180" s="26" t="n">
        <f aca="false">N(S157)</f>
        <v>0.23</v>
      </c>
      <c r="T180" s="26" t="n">
        <f aca="false">N(T157)</f>
        <v>1.523</v>
      </c>
      <c r="U180" s="26" t="n">
        <f aca="false">N(U157)</f>
        <v>0</v>
      </c>
      <c r="V180" s="26" t="n">
        <f aca="false">N(V157)</f>
        <v>0</v>
      </c>
      <c r="W180" s="26" t="n">
        <f aca="false">N(W157)</f>
        <v>0</v>
      </c>
      <c r="X180" s="26" t="n">
        <f aca="false">N(X157)</f>
        <v>0</v>
      </c>
      <c r="Y180" s="26" t="n">
        <f aca="false">N(Y157)</f>
        <v>0</v>
      </c>
      <c r="Z180" s="26" t="n">
        <f aca="false">N(Z157)</f>
        <v>0</v>
      </c>
      <c r="AA180" s="26" t="n">
        <f aca="false">N(AA157)</f>
        <v>0</v>
      </c>
      <c r="AB180" s="26" t="n">
        <f aca="false">N(AB157)</f>
        <v>0</v>
      </c>
      <c r="AC180" s="26" t="n">
        <f aca="false">N(AC157)</f>
        <v>0</v>
      </c>
      <c r="AD180" s="26" t="n">
        <f aca="false">N(AD157)</f>
        <v>30</v>
      </c>
      <c r="AE180" s="26" t="n">
        <f aca="false">N(AE157)</f>
        <v>1.727</v>
      </c>
      <c r="AF180" s="26" t="n">
        <f aca="false">N(AF157)</f>
        <v>31.727</v>
      </c>
      <c r="AG180" s="26" t="n">
        <f aca="false">N(AG157)</f>
        <v>0</v>
      </c>
      <c r="AH180" s="26" t="n">
        <f aca="false">N(AH157)</f>
        <v>0</v>
      </c>
      <c r="AI180" s="26" t="n">
        <f aca="false">N(AI157)</f>
        <v>0</v>
      </c>
      <c r="AJ180" s="26" t="n">
        <f aca="false">N(AJ157)</f>
        <v>0</v>
      </c>
      <c r="AK180" s="26" t="n">
        <f aca="false">N(AK157)</f>
        <v>0</v>
      </c>
      <c r="AL180" s="26" t="n">
        <f aca="false">N(AL157)</f>
        <v>0</v>
      </c>
      <c r="AM180" s="26" t="n">
        <f aca="false">N(AM157)</f>
        <v>0</v>
      </c>
      <c r="AN180" s="26" t="n">
        <f aca="false">N(AN157)</f>
        <v>0</v>
      </c>
      <c r="AO180" s="26" t="n">
        <f aca="false">N(AO157)</f>
        <v>0</v>
      </c>
      <c r="AP180" s="26" t="n">
        <f aca="false">N(AP157)</f>
        <v>0</v>
      </c>
      <c r="AQ180" s="26" t="n">
        <f aca="false">N(AQ157)</f>
        <v>0</v>
      </c>
      <c r="AR180" s="26" t="n">
        <f aca="false">N(AR157)</f>
        <v>0</v>
      </c>
      <c r="AS180" s="26" t="n">
        <f aca="false">N(AS157)</f>
        <v>0</v>
      </c>
      <c r="AT180" s="26" t="n">
        <f aca="false">N(AT157)</f>
        <v>8.067</v>
      </c>
      <c r="AU180" s="26" t="n">
        <f aca="false">N(AU157)</f>
        <v>8.067</v>
      </c>
      <c r="AV180" s="26" t="n">
        <f aca="false">N(AV157)</f>
        <v>0</v>
      </c>
      <c r="AW180" s="27" t="n">
        <f aca="false">N(AW157)</f>
        <v>0</v>
      </c>
      <c r="AX180" s="27" t="n">
        <f aca="false">N(AX157)</f>
        <v>0</v>
      </c>
      <c r="AY180" s="27" t="n">
        <f aca="false">N(AY157)</f>
        <v>0</v>
      </c>
      <c r="AZ180" s="27" t="n">
        <f aca="false">N(AZ157)</f>
        <v>0</v>
      </c>
      <c r="BA180" s="27" t="n">
        <f aca="false">N(BA157)</f>
        <v>0</v>
      </c>
      <c r="BB180" s="27" t="n">
        <f aca="false">N(BB157)</f>
        <v>0</v>
      </c>
    </row>
    <row r="181" customFormat="false" ht="15" hidden="false" customHeight="true" outlineLevel="0" collapsed="false">
      <c r="B181" s="31" t="s">
        <v>295</v>
      </c>
      <c r="C181" s="32" t="n">
        <f aca="false">IFERROR(MIN(MAX(C129,0.2),0.35),0.28)</f>
        <v>0.35</v>
      </c>
      <c r="D181" s="32" t="n">
        <f aca="false">IFERROR(MIN(MAX(D129,0.2),0.35),0.28)</f>
        <v>0.302947224126114</v>
      </c>
      <c r="E181" s="32" t="n">
        <f aca="false">IFERROR(MIN(MAX(E129,0.2),0.35),0.28)</f>
        <v>0.35</v>
      </c>
      <c r="F181" s="32" t="n">
        <f aca="false">IFERROR(MIN(MAX(F129,0.2),0.35),0.28)</f>
        <v>0.35</v>
      </c>
      <c r="G181" s="32" t="n">
        <f aca="false">IFERROR(MIN(MAX(G129,0.2),0.35),0.28)</f>
        <v>0.310076054608153</v>
      </c>
      <c r="H181" s="32" t="n">
        <f aca="false">IFERROR(MIN(MAX(H129,0.2),0.35),0.28)</f>
        <v>0.34114336492891</v>
      </c>
      <c r="I181" s="32" t="n">
        <f aca="false">IFERROR(MIN(MAX(I129,0.2),0.35),0.28)</f>
        <v>0.35</v>
      </c>
      <c r="J181" s="32" t="n">
        <f aca="false">IFERROR(MIN(MAX(J129,0.2),0.35),0.28)</f>
        <v>0.33081719724319</v>
      </c>
      <c r="K181" s="32" t="n">
        <f aca="false">IFERROR(MIN(MAX(K129,0.2),0.35),0.28)</f>
        <v>0.345989695053183</v>
      </c>
      <c r="L181" s="32" t="n">
        <f aca="false">IFERROR(MIN(MAX(L129,0.2),0.35),0.28)</f>
        <v>0.320888386648122</v>
      </c>
      <c r="M181" s="32" t="n">
        <f aca="false">IFERROR(MIN(MAX(M129,0.2),0.35),0.28)</f>
        <v>0.309847126142284</v>
      </c>
      <c r="N181" s="32" t="n">
        <f aca="false">IFERROR(MIN(MAX(N129,0.2),0.35),0.28)</f>
        <v>0.315319002283203</v>
      </c>
      <c r="O181" s="32" t="n">
        <f aca="false">IFERROR(MIN(MAX(O129,0.2),0.35),0.28)</f>
        <v>0.304661586732407</v>
      </c>
      <c r="P181" s="32" t="n">
        <f aca="false">IFERROR(MIN(MAX(P129,0.2),0.35),0.28)</f>
        <v>0.268409348382495</v>
      </c>
      <c r="Q181" s="32" t="n">
        <f aca="false">IFERROR(MIN(MAX(Q129,0.2),0.35),0.28)</f>
        <v>0.285937195240882</v>
      </c>
      <c r="R181" s="32" t="n">
        <f aca="false">IFERROR(MIN(MAX(R129,0.2),0.35),0.28)</f>
        <v>0.335558504021892</v>
      </c>
      <c r="S181" s="32" t="n">
        <f aca="false">IFERROR(MIN(MAX(S129,0.2),0.35),0.28)</f>
        <v>0.27962570862646</v>
      </c>
      <c r="T181" s="32" t="n">
        <f aca="false">IFERROR(MIN(MAX(T129,0.2),0.35),0.28)</f>
        <v>0.304887640449438</v>
      </c>
      <c r="U181" s="32" t="n">
        <f aca="false">IFERROR(MIN(MAX(U129,0.2),0.35),0.28)</f>
        <v>0.290721354817964</v>
      </c>
      <c r="V181" s="32" t="n">
        <f aca="false">IFERROR(MIN(MAX(V129,0.2),0.35),0.28)</f>
        <v>0.2</v>
      </c>
      <c r="W181" s="32" t="n">
        <f aca="false">IFERROR(MIN(MAX(W129,0.2),0.35),0.28)</f>
        <v>0.2</v>
      </c>
      <c r="X181" s="32" t="n">
        <f aca="false">IFERROR(MIN(MAX(X129,0.2),0.35),0.28)</f>
        <v>0.224265037763669</v>
      </c>
      <c r="Y181" s="32" t="n">
        <f aca="false">IFERROR(MIN(MAX(Y129,0.2),0.35),0.28)</f>
        <v>0.211769477986833</v>
      </c>
      <c r="Z181" s="32" t="n">
        <f aca="false">IFERROR(MIN(MAX(Z129,0.2),0.35),0.28)</f>
        <v>0.218130571980025</v>
      </c>
      <c r="AA181" s="32" t="n">
        <f aca="false">IFERROR(MIN(MAX(AA129,0.2),0.35),0.28)</f>
        <v>0.234561478670665</v>
      </c>
      <c r="AB181" s="32" t="n">
        <f aca="false">IFERROR(MIN(MAX(AB129,0.2),0.35),0.28)</f>
        <v>0.230916762562333</v>
      </c>
      <c r="AC181" s="32" t="n">
        <f aca="false">IFERROR(MIN(MAX(AC129,0.2),0.35),0.28)</f>
        <v>0.232638487336649</v>
      </c>
      <c r="AD181" s="32" t="n">
        <f aca="false">IFERROR(MIN(MAX(AD129,0.2),0.35),0.28)</f>
        <v>0.258568383714237</v>
      </c>
      <c r="AE181" s="32" t="n">
        <f aca="false">IFERROR(MIN(MAX(AE129,0.2),0.35),0.28)</f>
        <v>0.35</v>
      </c>
      <c r="AF181" s="32" t="n">
        <f aca="false">IFERROR(MIN(MAX(AF129,0.2),0.35),0.28)</f>
        <v>0.2</v>
      </c>
      <c r="AG181" s="32" t="n">
        <f aca="false">IFERROR(MIN(MAX(AG129,0.2),0.35),0.28)</f>
        <v>0.2</v>
      </c>
      <c r="AH181" s="32" t="n">
        <f aca="false">IFERROR(MIN(MAX(AH129,0.2),0.35),0.28)</f>
        <v>0.232803172057382</v>
      </c>
      <c r="AI181" s="32" t="n">
        <f aca="false">IFERROR(MIN(MAX(AI129,0.2),0.35),0.28)</f>
        <v>0.2</v>
      </c>
      <c r="AJ181" s="32" t="n">
        <f aca="false">IFERROR(MIN(MAX(AJ129,0.2),0.35),0.28)</f>
        <v>0.274405991735537</v>
      </c>
      <c r="AK181" s="32" t="n">
        <f aca="false">IFERROR(MIN(MAX(AK129,0.2),0.35),0.28)</f>
        <v>0.324980191999411</v>
      </c>
      <c r="AL181" s="32" t="n">
        <f aca="false">IFERROR(MIN(MAX(AL129,0.2),0.35),0.28)</f>
        <v>0.296546661611558</v>
      </c>
      <c r="AM181" s="32" t="n">
        <f aca="false">IFERROR(MIN(MAX(AM129,0.2),0.35),0.28)</f>
        <v>0.217876243197598</v>
      </c>
      <c r="AN181" s="32" t="n">
        <f aca="false">IFERROR(MIN(MAX(AN129,0.2),0.35),0.28)</f>
        <v>0.35</v>
      </c>
      <c r="AO181" s="32" t="n">
        <f aca="false">IFERROR(MIN(MAX(AO129,0.2),0.35),0.28)</f>
        <v>0.285748899567904</v>
      </c>
      <c r="AP181" s="32" t="n">
        <f aca="false">IFERROR(MIN(MAX(AP129,0.2),0.35),0.28)</f>
        <v>0.306256365029869</v>
      </c>
      <c r="AQ181" s="32" t="n">
        <f aca="false">IFERROR(MIN(MAX(AQ129,0.2),0.35),0.28)</f>
        <v>0.26102497336963</v>
      </c>
      <c r="AR181" s="32" t="n">
        <f aca="false">IFERROR(MIN(MAX(AR129,0.2),0.35),0.28)</f>
        <v>0.284994185949471</v>
      </c>
      <c r="AS181" s="32" t="n">
        <f aca="false">IFERROR(MIN(MAX(AS129,0.2),0.35),0.28)</f>
        <v>0.286020343529938</v>
      </c>
      <c r="AT181" s="32" t="n">
        <f aca="false">IFERROR(MIN(MAX(AT129,0.2),0.35),0.28)</f>
        <v>0.28466170352529</v>
      </c>
      <c r="AU181" s="32" t="n">
        <f aca="false">IFERROR(MIN(MAX(AU129,0.2),0.35),0.28)</f>
        <v>0.285395780488787</v>
      </c>
      <c r="AV181" s="32" t="n">
        <f aca="false">IFERROR(MIN(MAX(AV129,0.2),0.35),0.28)</f>
        <v>0.288006995236317</v>
      </c>
      <c r="AW181" s="33" t="n">
        <f aca="false">IFERROR(MIN(MAX(AW129,0.2),0.35),0.28)</f>
        <v>0.288006995236317</v>
      </c>
      <c r="AX181" s="33" t="str">
        <f aca="false">IFERROR(-AX182/AX180,"")</f>
        <v/>
      </c>
      <c r="AY181" s="43" t="n">
        <v>0.285</v>
      </c>
      <c r="AZ181" s="43" t="n">
        <v>0.285</v>
      </c>
      <c r="BA181" s="43" t="n">
        <v>0.285</v>
      </c>
      <c r="BB181" s="43" t="n">
        <v>0.285</v>
      </c>
      <c r="BC181" s="18" t="s">
        <v>296</v>
      </c>
    </row>
    <row r="182" customFormat="false" ht="15" hidden="false" customHeight="true" outlineLevel="0" collapsed="false">
      <c r="B182" s="20" t="s">
        <v>297</v>
      </c>
      <c r="C182" s="26" t="n">
        <f aca="false">-C180*C181</f>
        <v>-0</v>
      </c>
      <c r="D182" s="26" t="n">
        <f aca="false">E182-C182</f>
        <v>0</v>
      </c>
      <c r="E182" s="26" t="n">
        <f aca="false">-E180*E181</f>
        <v>-0</v>
      </c>
      <c r="F182" s="26" t="n">
        <f aca="false">-F180*F181</f>
        <v>-2.18435</v>
      </c>
      <c r="G182" s="26" t="n">
        <f aca="false">H182-F182</f>
        <v>0.055274259478673</v>
      </c>
      <c r="H182" s="26" t="n">
        <f aca="false">-H180*H181</f>
        <v>-2.12907574052133</v>
      </c>
      <c r="I182" s="26" t="n">
        <f aca="false">-I180*I181</f>
        <v>-0</v>
      </c>
      <c r="J182" s="26" t="n">
        <f aca="false">K182-I182</f>
        <v>0</v>
      </c>
      <c r="K182" s="26" t="n">
        <f aca="false">-K180*K181</f>
        <v>-0</v>
      </c>
      <c r="L182" s="26" t="n">
        <f aca="false">-L180*L181</f>
        <v>-0</v>
      </c>
      <c r="M182" s="26" t="n">
        <f aca="false">N182-L182</f>
        <v>0</v>
      </c>
      <c r="N182" s="26" t="n">
        <f aca="false">-N180*N181</f>
        <v>-0</v>
      </c>
      <c r="O182" s="26" t="n">
        <f aca="false">-O180*O181</f>
        <v>-0</v>
      </c>
      <c r="P182" s="26" t="n">
        <f aca="false">Q182-O182</f>
        <v>0</v>
      </c>
      <c r="Q182" s="26" t="n">
        <f aca="false">-Q180*Q181</f>
        <v>-0</v>
      </c>
      <c r="R182" s="26" t="n">
        <f aca="false">-0.406</f>
        <v>-0.406</v>
      </c>
      <c r="S182" s="26" t="n">
        <f aca="false">T182-R182</f>
        <v>-0.048</v>
      </c>
      <c r="T182" s="26" t="n">
        <f aca="false">-0.454</f>
        <v>-0.454</v>
      </c>
      <c r="U182" s="26" t="n">
        <f aca="false">-U180*U181</f>
        <v>-0</v>
      </c>
      <c r="V182" s="26" t="n">
        <f aca="false">W182-U182</f>
        <v>0</v>
      </c>
      <c r="W182" s="26" t="n">
        <f aca="false">-W180*W181</f>
        <v>-0</v>
      </c>
      <c r="X182" s="26" t="n">
        <f aca="false">-X180*X181</f>
        <v>-0</v>
      </c>
      <c r="Y182" s="26" t="n">
        <f aca="false">Z182-X182</f>
        <v>0</v>
      </c>
      <c r="Z182" s="26" t="n">
        <f aca="false">-Z180*Z181</f>
        <v>-0</v>
      </c>
      <c r="AA182" s="26" t="n">
        <f aca="false">-AA180*AA181</f>
        <v>-0</v>
      </c>
      <c r="AB182" s="26" t="n">
        <f aca="false">AC182-AA182</f>
        <v>0</v>
      </c>
      <c r="AC182" s="26" t="n">
        <f aca="false">-AC180*AC181</f>
        <v>-0</v>
      </c>
      <c r="AD182" s="26" t="n">
        <f aca="false">0</f>
        <v>0</v>
      </c>
      <c r="AE182" s="26" t="n">
        <f aca="false">AF182-AD182</f>
        <v>0</v>
      </c>
      <c r="AF182" s="26" t="n">
        <f aca="false">0</f>
        <v>0</v>
      </c>
      <c r="AG182" s="26" t="n">
        <f aca="false">-AG180*AG181</f>
        <v>-0</v>
      </c>
      <c r="AH182" s="26" t="n">
        <f aca="false">AI182-AG182</f>
        <v>0</v>
      </c>
      <c r="AI182" s="26" t="n">
        <f aca="false">-AI180*AI181</f>
        <v>-0</v>
      </c>
      <c r="AJ182" s="26" t="n">
        <f aca="false">-AJ180*AJ181</f>
        <v>-0</v>
      </c>
      <c r="AK182" s="26" t="n">
        <f aca="false">AL182-AJ182</f>
        <v>0</v>
      </c>
      <c r="AL182" s="26" t="n">
        <f aca="false">-AL180*AL181</f>
        <v>-0</v>
      </c>
      <c r="AM182" s="26" t="n">
        <f aca="false">-AM180*AM181</f>
        <v>-0</v>
      </c>
      <c r="AN182" s="26" t="n">
        <f aca="false">AO182-AM182</f>
        <v>0</v>
      </c>
      <c r="AO182" s="26" t="n">
        <f aca="false">-AO180*AO181</f>
        <v>-0</v>
      </c>
      <c r="AP182" s="26" t="n">
        <f aca="false">-AP180*AP181</f>
        <v>-0</v>
      </c>
      <c r="AQ182" s="26" t="n">
        <f aca="false">AR182-AP182</f>
        <v>0</v>
      </c>
      <c r="AR182" s="26" t="n">
        <f aca="false">-AR180*AR181</f>
        <v>-0</v>
      </c>
      <c r="AS182" s="26" t="n">
        <f aca="false">-AS180*AS181</f>
        <v>-0</v>
      </c>
      <c r="AT182" s="26" t="n">
        <f aca="false">AU182-AS182</f>
        <v>-2.30228776120304</v>
      </c>
      <c r="AU182" s="26" t="n">
        <f aca="false">-AU180*AU181</f>
        <v>-2.30228776120304</v>
      </c>
      <c r="AV182" s="26" t="n">
        <f aca="false">-AV180*AV181</f>
        <v>-0</v>
      </c>
      <c r="AW182" s="27" t="n">
        <f aca="false">-AW180*AW181</f>
        <v>-0</v>
      </c>
      <c r="AX182" s="27" t="n">
        <f aca="false">AV182+AW182</f>
        <v>-0</v>
      </c>
      <c r="AY182" s="27" t="n">
        <f aca="false">-AY180*AY181</f>
        <v>-0</v>
      </c>
      <c r="AZ182" s="27" t="n">
        <f aca="false">-AZ180*AZ181</f>
        <v>-0</v>
      </c>
      <c r="BA182" s="27" t="n">
        <f aca="false">-BA180*BA181</f>
        <v>-0</v>
      </c>
      <c r="BB182" s="27" t="n">
        <f aca="false">-BB180*BB181</f>
        <v>-0</v>
      </c>
    </row>
    <row r="183" customFormat="false" ht="15" hidden="false" customHeight="true" outlineLevel="0" collapsed="false">
      <c r="B183" s="20" t="s">
        <v>298</v>
      </c>
      <c r="R183" s="42" t="n">
        <v>1.031</v>
      </c>
      <c r="S183" s="26" t="n">
        <f aca="false">T183-R183</f>
        <v>-0.075</v>
      </c>
      <c r="T183" s="42" t="n">
        <v>0.956</v>
      </c>
      <c r="U183" s="42" t="n">
        <v>0</v>
      </c>
      <c r="V183" s="26" t="n">
        <f aca="false">W183-U183</f>
        <v>-10.401</v>
      </c>
      <c r="W183" s="42" t="n">
        <v>-10.401</v>
      </c>
      <c r="X183" s="42" t="n">
        <v>-2.008</v>
      </c>
      <c r="Y183" s="26" t="n">
        <f aca="false">Z183-X183</f>
        <v>-3.015</v>
      </c>
      <c r="Z183" s="42" t="n">
        <v>-5.023</v>
      </c>
      <c r="AA183" s="42" t="n">
        <v>-2.5</v>
      </c>
      <c r="AB183" s="26" t="n">
        <f aca="false">AC183-AA183</f>
        <v>-3.149</v>
      </c>
      <c r="AC183" s="42" t="n">
        <v>-5.649</v>
      </c>
      <c r="AG183" s="42" t="n">
        <v>-9.2</v>
      </c>
      <c r="AH183" s="26" t="n">
        <f aca="false">AI183-AG183</f>
        <v>0.376999999999999</v>
      </c>
      <c r="AI183" s="42" t="n">
        <v>-8.823</v>
      </c>
      <c r="AW183" s="50" t="n">
        <v>0</v>
      </c>
      <c r="AX183" s="27" t="n">
        <f aca="false">AV183+AW183</f>
        <v>0</v>
      </c>
      <c r="AY183" s="50" t="n">
        <v>0</v>
      </c>
      <c r="AZ183" s="50" t="n">
        <v>0</v>
      </c>
      <c r="BA183" s="50" t="n">
        <v>0</v>
      </c>
      <c r="BB183" s="50" t="n">
        <v>0</v>
      </c>
    </row>
    <row r="184" customFormat="false" ht="15" hidden="false" customHeight="true" outlineLevel="0" collapsed="false">
      <c r="B184" s="46" t="s">
        <v>299</v>
      </c>
      <c r="C184" s="47" t="n">
        <f aca="false">C179+C180+C182+N(C183)</f>
        <v>8.57499999999998</v>
      </c>
      <c r="D184" s="47" t="n">
        <f aca="false">D179+D180+D182+N(D183)</f>
        <v>11.693</v>
      </c>
      <c r="E184" s="47" t="n">
        <f aca="false">E179+E180+E182+N(E183)</f>
        <v>20.268</v>
      </c>
      <c r="F184" s="47" t="n">
        <f aca="false">F179+F180+F182+N(F183)</f>
        <v>11.91965</v>
      </c>
      <c r="G184" s="47" t="n">
        <f aca="false">G179+G180+G182+N(G183)</f>
        <v>14.6762742594787</v>
      </c>
      <c r="H184" s="47" t="n">
        <f aca="false">H179+H180+H182+N(H183)</f>
        <v>26.5959242594787</v>
      </c>
      <c r="I184" s="47" t="n">
        <f aca="false">I179+I180+I182+N(I183)</f>
        <v>14.047</v>
      </c>
      <c r="J184" s="47" t="n">
        <f aca="false">J179+J180+J182+N(J183)</f>
        <v>16.429</v>
      </c>
      <c r="K184" s="47" t="n">
        <f aca="false">K179+K180+K182+N(K183)</f>
        <v>30.476</v>
      </c>
      <c r="L184" s="47" t="n">
        <f aca="false">L179+L180+L182+N(L183)</f>
        <v>16.618</v>
      </c>
      <c r="M184" s="47" t="n">
        <f aca="false">M179+M180+M182+N(M183)</f>
        <v>16.442</v>
      </c>
      <c r="N184" s="47" t="n">
        <f aca="false">N179+N180+N182+N(N183)</f>
        <v>33.06</v>
      </c>
      <c r="O184" s="47" t="n">
        <f aca="false">O179+O180+O182+N(O183)</f>
        <v>17.449</v>
      </c>
      <c r="P184" s="47" t="n">
        <f aca="false">P179+P180+P182+N(P183)</f>
        <v>15.889</v>
      </c>
      <c r="Q184" s="47" t="n">
        <f aca="false">Q179+Q180+Q182+N(Q183)</f>
        <v>33.338</v>
      </c>
      <c r="R184" s="47" t="n">
        <f aca="false">R179+R180+R182+N(R183)</f>
        <v>18.135</v>
      </c>
      <c r="S184" s="47" t="n">
        <f aca="false">S179+S180+S182+N(S183)</f>
        <v>20.287</v>
      </c>
      <c r="T184" s="47" t="n">
        <f aca="false">T179+T180+T182+N(T183)</f>
        <v>38.422</v>
      </c>
      <c r="U184" s="47" t="n">
        <f aca="false">U179+U180+U182+N(U183)</f>
        <v>19.58</v>
      </c>
      <c r="V184" s="47" t="n">
        <f aca="false">V179+V180+V182+N(V183)</f>
        <v>21.136</v>
      </c>
      <c r="W184" s="47" t="n">
        <f aca="false">W179+W180+W182+N(W183)</f>
        <v>40.716</v>
      </c>
      <c r="X184" s="47" t="n">
        <f aca="false">X179+X180+X182+N(X183)</f>
        <v>24.074</v>
      </c>
      <c r="Y184" s="47" t="n">
        <f aca="false">Y179+Y180+Y182+N(Y183)</f>
        <v>21.595</v>
      </c>
      <c r="Z184" s="47" t="n">
        <f aca="false">Z179+Z180+Z182+N(Z183)</f>
        <v>45.669</v>
      </c>
      <c r="AA184" s="47" t="n">
        <f aca="false">AA179+AA180+AA182+N(AA183)</f>
        <v>22.8040000000001</v>
      </c>
      <c r="AB184" s="47" t="n">
        <f aca="false">AB179+AB180+AB182+N(AB183)</f>
        <v>24.0999999999999</v>
      </c>
      <c r="AC184" s="47" t="n">
        <f aca="false">AC179+AC180+AC182+N(AC183)</f>
        <v>46.904</v>
      </c>
      <c r="AD184" s="47" t="n">
        <f aca="false">AD179+AD180+AD182+N(AD183)</f>
        <v>-17.52</v>
      </c>
      <c r="AE184" s="47" t="n">
        <f aca="false">AE179+AE180+AE182+N(AE183)</f>
        <v>16.031</v>
      </c>
      <c r="AF184" s="47" t="n">
        <f aca="false">AF179+AF180+AF182+N(AF183)</f>
        <v>-1.48899999999997</v>
      </c>
      <c r="AG184" s="47" t="n">
        <f aca="false">AG179+AG180+AG182+N(AG183)</f>
        <v>11.147</v>
      </c>
      <c r="AH184" s="47" t="n">
        <f aca="false">AH179+AH180+AH182+N(AH183)</f>
        <v>33.352</v>
      </c>
      <c r="AI184" s="47" t="n">
        <f aca="false">AI179+AI180+AI182+N(AI183)</f>
        <v>44.4989999999999</v>
      </c>
      <c r="AJ184" s="47" t="n">
        <f aca="false">AJ179+AJ180+AJ182+N(AJ183)</f>
        <v>46.5860000000001</v>
      </c>
      <c r="AK184" s="47" t="n">
        <f aca="false">AK179+AK180+AK182+N(AK183)</f>
        <v>34.013</v>
      </c>
      <c r="AL184" s="47" t="n">
        <f aca="false">AL179+AL180+AL182+N(AL183)</f>
        <v>80.599</v>
      </c>
      <c r="AM184" s="47" t="n">
        <f aca="false">AM179+AM180+AM182+N(AM183)</f>
        <v>61.7819999999999</v>
      </c>
      <c r="AN184" s="47" t="n">
        <f aca="false">AN179+AN180+AN182+N(AN183)</f>
        <v>52.8350000000001</v>
      </c>
      <c r="AO184" s="47" t="n">
        <f aca="false">AO179+AO180+AO182+N(AO183)</f>
        <v>114.617</v>
      </c>
      <c r="AP184" s="47" t="n">
        <f aca="false">AP179+AP180+AP182+N(AP183)</f>
        <v>60.9390000000001</v>
      </c>
      <c r="AQ184" s="47" t="n">
        <f aca="false">AQ179+AQ180+AQ182+N(AQ183)</f>
        <v>58.539</v>
      </c>
      <c r="AR184" s="47" t="n">
        <f aca="false">AR179+AR180+AR182+N(AR183)</f>
        <v>119.478</v>
      </c>
      <c r="AS184" s="47" t="n">
        <f aca="false">AS179+AS180+AS182+N(AS183)</f>
        <v>73.263</v>
      </c>
      <c r="AT184" s="47" t="n">
        <f aca="false">AT179+AT180+AT182+N(AT183)</f>
        <v>67.535712238797</v>
      </c>
      <c r="AU184" s="47" t="n">
        <f aca="false">AU179+AU180+AU182+N(AU183)</f>
        <v>140.798712238797</v>
      </c>
      <c r="AV184" s="47" t="n">
        <f aca="false">AV179+AV180+AV182+N(AV183)</f>
        <v>76.122</v>
      </c>
      <c r="AW184" s="47" t="n">
        <f aca="false">AW179+AW180+AW182+N(AW183)</f>
        <v>79.2948277248157</v>
      </c>
      <c r="AX184" s="47" t="n">
        <f aca="false">AX179+AX180+AX182+N(AX183)</f>
        <v>155.416827724816</v>
      </c>
      <c r="AY184" s="47" t="n">
        <f aca="false">AY179+AY180+AY182+N(AY183)</f>
        <v>169.575344903666</v>
      </c>
      <c r="AZ184" s="47" t="n">
        <f aca="false">AZ179+AZ180+AZ182+N(AZ183)</f>
        <v>192.347581297763</v>
      </c>
      <c r="BA184" s="47" t="n">
        <f aca="false">BA179+BA180+BA182+N(BA183)</f>
        <v>216.487743566573</v>
      </c>
      <c r="BB184" s="47" t="n">
        <f aca="false">BB179+BB180+BB182+N(BB183)</f>
        <v>238.647519474468</v>
      </c>
      <c r="BE184" s="37" t="n">
        <f aca="false">IFERROR(IF(AND(BB184&gt;0,AU184&gt;0),(BB184/AU184)^(1/5)-1,"n/m"),"n/m")</f>
        <v>0.111300854747941</v>
      </c>
      <c r="BF184" s="37" t="str">
        <f aca="false">IFERROR(IF(AND(AU184&gt;0,AF184&gt;0),(AU184/AF184)^(1/5)-1,"n/m"),"n/m")</f>
        <v>n/m</v>
      </c>
      <c r="BG184" s="37" t="n">
        <f aca="false">IFERROR(IF(AND(AU184&gt;0,Q184&gt;0),(AU184/Q184)^(1/10)-1,"n/m"),"n/m")</f>
        <v>0.154957262371034</v>
      </c>
      <c r="BH184" s="37" t="n">
        <f aca="false">IFERROR(IF(AND(AU184&gt;0,E184&gt;0),(AU184/E184)^(1/14)-1,"n/m"),"n/m")</f>
        <v>0.148491271923653</v>
      </c>
    </row>
    <row r="185" customFormat="false" ht="15" hidden="false" customHeight="true" outlineLevel="0" collapsed="false">
      <c r="B185" s="20" t="s">
        <v>300</v>
      </c>
      <c r="O185" s="42" t="n">
        <v>15.513</v>
      </c>
      <c r="P185" s="26" t="n">
        <f aca="false">Q185-O185</f>
        <v>17.436</v>
      </c>
      <c r="Q185" s="42" t="n">
        <v>32.949</v>
      </c>
      <c r="R185" s="42" t="n">
        <v>17.943</v>
      </c>
      <c r="S185" s="26" t="n">
        <f aca="false">T185-R185</f>
        <v>21.201</v>
      </c>
      <c r="T185" s="42" t="n">
        <v>39.144</v>
      </c>
      <c r="U185" s="42" t="n">
        <v>19.852</v>
      </c>
      <c r="V185" s="26" t="n">
        <f aca="false">W185-U185</f>
        <v>22.232</v>
      </c>
      <c r="W185" s="42" t="n">
        <v>42.084</v>
      </c>
      <c r="X185" s="42" t="n">
        <v>23.772</v>
      </c>
      <c r="Y185" s="26" t="n">
        <f aca="false">Z185-X185</f>
        <v>22.247</v>
      </c>
      <c r="Z185" s="42" t="n">
        <v>46.019</v>
      </c>
    </row>
    <row r="186" customFormat="false" ht="15" hidden="false" customHeight="true" outlineLevel="0" collapsed="false">
      <c r="B186" s="45" t="s">
        <v>301</v>
      </c>
      <c r="C186" s="26" t="str">
        <f aca="false">IF(ISNUMBER(C185),ROUND(C184+C131-C185,1),"n/p")</f>
        <v>n/p</v>
      </c>
      <c r="D186" s="26" t="str">
        <f aca="false">IF(ISNUMBER(D185),ROUND(D184+D131-D185,1),"n/p")</f>
        <v>n/p</v>
      </c>
      <c r="E186" s="26" t="str">
        <f aca="false">IF(ISNUMBER(E185),ROUND(E184+E131-E185,1),"n/p")</f>
        <v>n/p</v>
      </c>
      <c r="F186" s="26" t="str">
        <f aca="false">IF(ISNUMBER(F185),ROUND(F184+F131-F185,1),"n/p")</f>
        <v>n/p</v>
      </c>
      <c r="G186" s="26" t="str">
        <f aca="false">IF(ISNUMBER(G185),ROUND(G184+G131-G185,1),"n/p")</f>
        <v>n/p</v>
      </c>
      <c r="H186" s="26" t="str">
        <f aca="false">IF(ISNUMBER(H185),ROUND(H184+H131-H185,1),"n/p")</f>
        <v>n/p</v>
      </c>
      <c r="I186" s="26" t="str">
        <f aca="false">IF(ISNUMBER(I185),ROUND(I184+I131-I185,1),"n/p")</f>
        <v>n/p</v>
      </c>
      <c r="J186" s="26" t="str">
        <f aca="false">IF(ISNUMBER(J185),ROUND(J184+J131-J185,1),"n/p")</f>
        <v>n/p</v>
      </c>
      <c r="K186" s="26" t="str">
        <f aca="false">IF(ISNUMBER(K185),ROUND(K184+K131-K185,1),"n/p")</f>
        <v>n/p</v>
      </c>
      <c r="L186" s="26" t="str">
        <f aca="false">IF(ISNUMBER(L185),ROUND(L184+L131-L185,1),"n/p")</f>
        <v>n/p</v>
      </c>
      <c r="M186" s="26" t="str">
        <f aca="false">IF(ISNUMBER(M185),ROUND(M184+M131-M185,1),"n/p")</f>
        <v>n/p</v>
      </c>
      <c r="N186" s="26" t="str">
        <f aca="false">IF(ISNUMBER(N185),ROUND(N184+N131-N185,1),"n/p")</f>
        <v>n/p</v>
      </c>
      <c r="O186" s="26" t="n">
        <f aca="false">IF(ISNUMBER(O185),ROUND(O184+O131-O185,1),"n/p")</f>
        <v>0</v>
      </c>
      <c r="P186" s="26" t="n">
        <f aca="false">IF(ISNUMBER(P185),ROUND(P184+P131-P185,1),"n/p")</f>
        <v>0</v>
      </c>
      <c r="Q186" s="26" t="n">
        <f aca="false">IF(ISNUMBER(Q185),ROUND(Q184+Q131-Q185,1),"n/p")</f>
        <v>0</v>
      </c>
      <c r="R186" s="26" t="n">
        <f aca="false">IF(ISNUMBER(R185),ROUND(R184+R131-R185,1),"n/p")</f>
        <v>0</v>
      </c>
      <c r="S186" s="26" t="n">
        <f aca="false">IF(ISNUMBER(S185),ROUND(S184+S131-S185,1),"n/p")</f>
        <v>0</v>
      </c>
      <c r="T186" s="26" t="n">
        <f aca="false">IF(ISNUMBER(T185),ROUND(T184+T131-T185,1),"n/p")</f>
        <v>0</v>
      </c>
      <c r="U186" s="26" t="n">
        <f aca="false">IF(ISNUMBER(U185),ROUND(U184+U131-U185,1),"n/p")</f>
        <v>0</v>
      </c>
      <c r="V186" s="26" t="n">
        <f aca="false">IF(ISNUMBER(V185),ROUND(V184+V131-V185,1),"n/p")</f>
        <v>0</v>
      </c>
      <c r="W186" s="26" t="n">
        <f aca="false">IF(ISNUMBER(W185),ROUND(W184+W131-W185,1),"n/p")</f>
        <v>0</v>
      </c>
      <c r="X186" s="26" t="n">
        <f aca="false">IF(ISNUMBER(X185),ROUND(X184+X131-X185,1),"n/p")</f>
        <v>0</v>
      </c>
      <c r="Y186" s="26" t="n">
        <f aca="false">IF(ISNUMBER(Y185),ROUND(Y184+Y131-Y185,1),"n/p")</f>
        <v>0</v>
      </c>
      <c r="Z186" s="26" t="n">
        <f aca="false">IF(ISNUMBER(Z185),ROUND(Z184+Z131-Z185,1),"n/p")</f>
        <v>0</v>
      </c>
      <c r="AA186" s="26" t="str">
        <f aca="false">IF(ISNUMBER(AA185),ROUND(AA184+AA131-AA185,1),"n/p")</f>
        <v>n/p</v>
      </c>
      <c r="AB186" s="26" t="str">
        <f aca="false">IF(ISNUMBER(AB185),ROUND(AB184+AB131-AB185,1),"n/p")</f>
        <v>n/p</v>
      </c>
      <c r="AC186" s="26" t="str">
        <f aca="false">IF(ISNUMBER(AC185),ROUND(AC184+AC131-AC185,1),"n/p")</f>
        <v>n/p</v>
      </c>
      <c r="AD186" s="26" t="str">
        <f aca="false">IF(ISNUMBER(AD185),ROUND(AD184+AD131-AD185,1),"n/p")</f>
        <v>n/p</v>
      </c>
      <c r="AE186" s="26" t="str">
        <f aca="false">IF(ISNUMBER(AE185),ROUND(AE184+AE131-AE185,1),"n/p")</f>
        <v>n/p</v>
      </c>
      <c r="AF186" s="26" t="str">
        <f aca="false">IF(ISNUMBER(AF185),ROUND(AF184+AF131-AF185,1),"n/p")</f>
        <v>n/p</v>
      </c>
      <c r="AG186" s="26" t="str">
        <f aca="false">IF(ISNUMBER(AG185),ROUND(AG184+AG131-AG185,1),"n/p")</f>
        <v>n/p</v>
      </c>
      <c r="AH186" s="26" t="str">
        <f aca="false">IF(ISNUMBER(AH185),ROUND(AH184+AH131-AH185,1),"n/p")</f>
        <v>n/p</v>
      </c>
      <c r="AI186" s="26" t="str">
        <f aca="false">IF(ISNUMBER(AI185),ROUND(AI184+AI131-AI185,1),"n/p")</f>
        <v>n/p</v>
      </c>
      <c r="AJ186" s="26" t="str">
        <f aca="false">IF(ISNUMBER(AJ185),ROUND(AJ184+AJ131-AJ185,1),"n/p")</f>
        <v>n/p</v>
      </c>
      <c r="AK186" s="26" t="str">
        <f aca="false">IF(ISNUMBER(AK185),ROUND(AK184+AK131-AK185,1),"n/p")</f>
        <v>n/p</v>
      </c>
      <c r="AL186" s="26" t="str">
        <f aca="false">IF(ISNUMBER(AL185),ROUND(AL184+AL131-AL185,1),"n/p")</f>
        <v>n/p</v>
      </c>
      <c r="AM186" s="26" t="str">
        <f aca="false">IF(ISNUMBER(AM185),ROUND(AM184+AM131-AM185,1),"n/p")</f>
        <v>n/p</v>
      </c>
      <c r="AN186" s="26" t="str">
        <f aca="false">IF(ISNUMBER(AN185),ROUND(AN184+AN131-AN185,1),"n/p")</f>
        <v>n/p</v>
      </c>
      <c r="AO186" s="26" t="str">
        <f aca="false">IF(ISNUMBER(AO185),ROUND(AO184+AO131-AO185,1),"n/p")</f>
        <v>n/p</v>
      </c>
      <c r="AP186" s="26" t="str">
        <f aca="false">IF(ISNUMBER(AP185),ROUND(AP184+AP131-AP185,1),"n/p")</f>
        <v>n/p</v>
      </c>
      <c r="AQ186" s="26" t="str">
        <f aca="false">IF(ISNUMBER(AQ185),ROUND(AQ184+AQ131-AQ185,1),"n/p")</f>
        <v>n/p</v>
      </c>
      <c r="AR186" s="26" t="str">
        <f aca="false">IF(ISNUMBER(AR185),ROUND(AR184+AR131-AR185,1),"n/p")</f>
        <v>n/p</v>
      </c>
      <c r="AS186" s="26" t="str">
        <f aca="false">IF(ISNUMBER(AS185),ROUND(AS184+AS131-AS185,1),"n/p")</f>
        <v>n/p</v>
      </c>
      <c r="AT186" s="26" t="str">
        <f aca="false">IF(ISNUMBER(AT185),ROUND(AT184+AT131-AT185,1),"n/p")</f>
        <v>n/p</v>
      </c>
      <c r="AU186" s="26" t="str">
        <f aca="false">IF(ISNUMBER(AU185),ROUND(AU184+AU131-AU185,1),"n/p")</f>
        <v>n/p</v>
      </c>
      <c r="AV186" s="26" t="str">
        <f aca="false">IF(ISNUMBER(AV185),ROUND(AV184+AV131-AV185,1),"n/p")</f>
        <v>n/p</v>
      </c>
      <c r="AW186" s="27" t="str">
        <f aca="false">IF(ISNUMBER(AW185),ROUND(AW184+AW131-AW185,1),"n/p")</f>
        <v>n/p</v>
      </c>
      <c r="AX186" s="27" t="str">
        <f aca="false">IF(ISNUMBER(AX185),ROUND(AX184+AX131-AX185,1),"n/p")</f>
        <v>n/p</v>
      </c>
      <c r="AY186" s="27" t="str">
        <f aca="false">IF(ISNUMBER(AY185),ROUND(AY184+AY131-AY185,1),"n/p")</f>
        <v>n/p</v>
      </c>
      <c r="AZ186" s="27" t="str">
        <f aca="false">IF(ISNUMBER(AZ185),ROUND(AZ184+AZ131-AZ185,1),"n/p")</f>
        <v>n/p</v>
      </c>
      <c r="BA186" s="27" t="str">
        <f aca="false">IF(ISNUMBER(BA185),ROUND(BA184+BA131-BA185,1),"n/p")</f>
        <v>n/p</v>
      </c>
      <c r="BB186" s="27" t="str">
        <f aca="false">IF(ISNUMBER(BB185),ROUND(BB184+BB131-BB185,1),"n/p")</f>
        <v>n/p</v>
      </c>
    </row>
    <row r="187" customFormat="false" ht="15" hidden="false" customHeight="true" outlineLevel="0" collapsed="false">
      <c r="B187" s="20" t="s">
        <v>302</v>
      </c>
      <c r="C187" s="52" t="n">
        <f aca="false">C138</f>
        <v>0</v>
      </c>
      <c r="D187" s="52" t="n">
        <f aca="false">D138</f>
        <v>0</v>
      </c>
      <c r="E187" s="52" t="n">
        <f aca="false">E138</f>
        <v>60</v>
      </c>
      <c r="F187" s="52" t="n">
        <f aca="false">F138</f>
        <v>0</v>
      </c>
      <c r="G187" s="52" t="n">
        <f aca="false">G138</f>
        <v>0</v>
      </c>
      <c r="H187" s="52" t="n">
        <f aca="false">H138</f>
        <v>65.435616</v>
      </c>
      <c r="I187" s="52" t="n">
        <f aca="false">I138</f>
        <v>68</v>
      </c>
      <c r="J187" s="52" t="n">
        <f aca="false">J138</f>
        <v>68</v>
      </c>
      <c r="K187" s="52" t="n">
        <f aca="false">K138</f>
        <v>68</v>
      </c>
      <c r="L187" s="52" t="n">
        <f aca="false">L138</f>
        <v>68</v>
      </c>
      <c r="M187" s="52" t="n">
        <f aca="false">M138</f>
        <v>68</v>
      </c>
      <c r="N187" s="52" t="n">
        <f aca="false">N138</f>
        <v>68</v>
      </c>
      <c r="O187" s="52" t="n">
        <f aca="false">O138</f>
        <v>68</v>
      </c>
      <c r="P187" s="52" t="n">
        <f aca="false">P138</f>
        <v>68</v>
      </c>
      <c r="Q187" s="52" t="n">
        <f aca="false">Q138</f>
        <v>68</v>
      </c>
      <c r="R187" s="52" t="n">
        <f aca="false">R138</f>
        <v>68</v>
      </c>
      <c r="S187" s="52" t="n">
        <f aca="false">S138</f>
        <v>68</v>
      </c>
      <c r="T187" s="52" t="n">
        <f aca="false">T138</f>
        <v>68</v>
      </c>
      <c r="U187" s="52" t="n">
        <f aca="false">U138</f>
        <v>68</v>
      </c>
      <c r="V187" s="52" t="n">
        <f aca="false">V138</f>
        <v>68</v>
      </c>
      <c r="W187" s="52" t="n">
        <f aca="false">W138</f>
        <v>68</v>
      </c>
      <c r="X187" s="52" t="n">
        <f aca="false">X138</f>
        <v>68</v>
      </c>
      <c r="Y187" s="52" t="n">
        <f aca="false">Y138</f>
        <v>68</v>
      </c>
      <c r="Z187" s="52" t="n">
        <f aca="false">Z138</f>
        <v>68</v>
      </c>
      <c r="AA187" s="52" t="n">
        <f aca="false">AA138</f>
        <v>68</v>
      </c>
      <c r="AB187" s="52" t="n">
        <f aca="false">AB138</f>
        <v>68</v>
      </c>
      <c r="AC187" s="52" t="n">
        <f aca="false">AC138</f>
        <v>68</v>
      </c>
      <c r="AD187" s="52" t="n">
        <f aca="false">AD138</f>
        <v>68</v>
      </c>
      <c r="AE187" s="52" t="n">
        <f aca="false">AE138</f>
        <v>68</v>
      </c>
      <c r="AF187" s="52" t="n">
        <f aca="false">AF138</f>
        <v>68</v>
      </c>
      <c r="AG187" s="52" t="n">
        <f aca="false">AG138</f>
        <v>68</v>
      </c>
      <c r="AH187" s="52" t="n">
        <f aca="false">AH138</f>
        <v>68</v>
      </c>
      <c r="AI187" s="52" t="n">
        <f aca="false">AI138</f>
        <v>68</v>
      </c>
      <c r="AJ187" s="52" t="n">
        <f aca="false">AJ138</f>
        <v>68</v>
      </c>
      <c r="AK187" s="52" t="n">
        <f aca="false">AK138</f>
        <v>68</v>
      </c>
      <c r="AL187" s="52" t="n">
        <f aca="false">AL138</f>
        <v>68</v>
      </c>
      <c r="AM187" s="52" t="n">
        <f aca="false">AM138</f>
        <v>67.98207</v>
      </c>
      <c r="AN187" s="52" t="n">
        <f aca="false">AN138</f>
        <v>68.000148</v>
      </c>
      <c r="AO187" s="52" t="n">
        <f aca="false">AO138</f>
        <v>67.991109</v>
      </c>
      <c r="AP187" s="52" t="n">
        <f aca="false">AP138</f>
        <v>67.993676</v>
      </c>
      <c r="AQ187" s="52" t="n">
        <f aca="false">AQ138</f>
        <v>67.998586</v>
      </c>
      <c r="AR187" s="52" t="n">
        <f aca="false">AR138</f>
        <v>67.996131</v>
      </c>
      <c r="AS187" s="52" t="n">
        <f aca="false">AS138</f>
        <v>67.951499</v>
      </c>
      <c r="AT187" s="52" t="n">
        <f aca="false">AT138</f>
        <v>68.000399</v>
      </c>
      <c r="AU187" s="52" t="n">
        <f aca="false">AU138</f>
        <v>67.975949</v>
      </c>
      <c r="AV187" s="52" t="n">
        <f aca="false">AV138</f>
        <v>68</v>
      </c>
      <c r="AW187" s="53" t="n">
        <f aca="false">AW138</f>
        <v>68</v>
      </c>
      <c r="AX187" s="53" t="n">
        <f aca="false">AX138</f>
        <v>68</v>
      </c>
      <c r="AY187" s="53" t="n">
        <f aca="false">AY138</f>
        <v>68</v>
      </c>
      <c r="AZ187" s="53" t="n">
        <f aca="false">AZ138</f>
        <v>68</v>
      </c>
      <c r="BA187" s="53" t="n">
        <f aca="false">BA138</f>
        <v>68</v>
      </c>
      <c r="BB187" s="53" t="n">
        <f aca="false">BB138</f>
        <v>68</v>
      </c>
    </row>
    <row r="188" customFormat="false" ht="15" hidden="false" customHeight="true" outlineLevel="0" collapsed="false">
      <c r="B188" s="46" t="s">
        <v>303</v>
      </c>
      <c r="C188" s="54" t="str">
        <f aca="false">IFERROR(C184/C187,"")</f>
        <v/>
      </c>
      <c r="D188" s="54" t="str">
        <f aca="false">IFERROR(D184/D187,"")</f>
        <v/>
      </c>
      <c r="E188" s="54" t="n">
        <f aca="false">IFERROR(E184/E187,"")</f>
        <v>0.337799999999999</v>
      </c>
      <c r="F188" s="54" t="str">
        <f aca="false">IFERROR(F184/F187,"")</f>
        <v/>
      </c>
      <c r="G188" s="54" t="str">
        <f aca="false">IFERROR(G184/G187,"")</f>
        <v/>
      </c>
      <c r="H188" s="54" t="n">
        <f aca="false">IFERROR(H184/H187,"")</f>
        <v>0.406444164283235</v>
      </c>
      <c r="I188" s="54" t="n">
        <f aca="false">IFERROR(I184/I187,"")</f>
        <v>0.206573529411765</v>
      </c>
      <c r="J188" s="54" t="n">
        <f aca="false">IFERROR(J184/J187,"")</f>
        <v>0.241602941176471</v>
      </c>
      <c r="K188" s="54" t="n">
        <f aca="false">IFERROR(K184/K187,"")</f>
        <v>0.448176470588235</v>
      </c>
      <c r="L188" s="54" t="n">
        <f aca="false">IFERROR(L184/L187,"")</f>
        <v>0.244382352941177</v>
      </c>
      <c r="M188" s="54" t="n">
        <f aca="false">IFERROR(M184/M187,"")</f>
        <v>0.241794117647058</v>
      </c>
      <c r="N188" s="54" t="n">
        <f aca="false">IFERROR(N184/N187,"")</f>
        <v>0.486176470588235</v>
      </c>
      <c r="O188" s="54" t="n">
        <f aca="false">IFERROR(O184/O187,"")</f>
        <v>0.25660294117647</v>
      </c>
      <c r="P188" s="54" t="n">
        <f aca="false">IFERROR(P184/P187,"")</f>
        <v>0.233661764705882</v>
      </c>
      <c r="Q188" s="54" t="n">
        <f aca="false">IFERROR(Q184/Q187,"")</f>
        <v>0.490264705882353</v>
      </c>
      <c r="R188" s="54" t="n">
        <f aca="false">IFERROR(R184/R187,"")</f>
        <v>0.266691176470589</v>
      </c>
      <c r="S188" s="54" t="n">
        <f aca="false">IFERROR(S184/S187,"")</f>
        <v>0.298338235294118</v>
      </c>
      <c r="T188" s="54" t="n">
        <f aca="false">IFERROR(T184/T187,"")</f>
        <v>0.565029411764706</v>
      </c>
      <c r="U188" s="54" t="n">
        <f aca="false">IFERROR(U184/U187,"")</f>
        <v>0.287941176470588</v>
      </c>
      <c r="V188" s="54" t="n">
        <f aca="false">IFERROR(V184/V187,"")</f>
        <v>0.310823529411765</v>
      </c>
      <c r="W188" s="54" t="n">
        <f aca="false">IFERROR(W184/W187,"")</f>
        <v>0.598764705882353</v>
      </c>
      <c r="X188" s="54" t="n">
        <f aca="false">IFERROR(X184/X187,"")</f>
        <v>0.354029411764706</v>
      </c>
      <c r="Y188" s="54" t="n">
        <f aca="false">IFERROR(Y184/Y187,"")</f>
        <v>0.317573529411765</v>
      </c>
      <c r="Z188" s="54" t="n">
        <f aca="false">IFERROR(Z184/Z187,"")</f>
        <v>0.671602941176471</v>
      </c>
      <c r="AA188" s="54" t="n">
        <f aca="false">IFERROR(AA184/AA187,"")</f>
        <v>0.335352941176472</v>
      </c>
      <c r="AB188" s="54" t="n">
        <f aca="false">IFERROR(AB184/AB187,"")</f>
        <v>0.354411764705882</v>
      </c>
      <c r="AC188" s="54" t="n">
        <f aca="false">IFERROR(AC184/AC187,"")</f>
        <v>0.689764705882353</v>
      </c>
      <c r="AD188" s="54" t="n">
        <f aca="false">IFERROR(AD184/AD187,"")</f>
        <v>-0.257647058823529</v>
      </c>
      <c r="AE188" s="54" t="n">
        <f aca="false">IFERROR(AE184/AE187,"")</f>
        <v>0.23575</v>
      </c>
      <c r="AF188" s="54" t="n">
        <f aca="false">IFERROR(AF184/AF187,"")</f>
        <v>-0.0218970588235289</v>
      </c>
      <c r="AG188" s="54" t="n">
        <f aca="false">IFERROR(AG184/AG187,"")</f>
        <v>0.163926470588235</v>
      </c>
      <c r="AH188" s="54" t="n">
        <f aca="false">IFERROR(AH184/AH187,"")</f>
        <v>0.490470588235293</v>
      </c>
      <c r="AI188" s="54" t="n">
        <f aca="false">IFERROR(AI184/AI187,"")</f>
        <v>0.654397058823529</v>
      </c>
      <c r="AJ188" s="54" t="n">
        <f aca="false">IFERROR(AJ184/AJ187,"")</f>
        <v>0.685088235294118</v>
      </c>
      <c r="AK188" s="54" t="n">
        <f aca="false">IFERROR(AK184/AK187,"")</f>
        <v>0.500191176470588</v>
      </c>
      <c r="AL188" s="54" t="n">
        <f aca="false">IFERROR(AL184/AL187,"")</f>
        <v>1.18527941176471</v>
      </c>
      <c r="AM188" s="54" t="n">
        <f aca="false">IFERROR(AM184/AM187,"")</f>
        <v>0.908798452297789</v>
      </c>
      <c r="AN188" s="54" t="n">
        <f aca="false">IFERROR(AN184/AN187,"")</f>
        <v>0.776983603035689</v>
      </c>
      <c r="AO188" s="54" t="n">
        <f aca="false">IFERROR(AO184/AO187,"")</f>
        <v>1.68576453135953</v>
      </c>
      <c r="AP188" s="54" t="n">
        <f aca="false">IFERROR(AP184/AP187,"")</f>
        <v>0.896245115501626</v>
      </c>
      <c r="AQ188" s="54" t="n">
        <f aca="false">IFERROR(AQ184/AQ187,"")</f>
        <v>0.860885548414198</v>
      </c>
      <c r="AR188" s="54" t="n">
        <f aca="false">IFERROR(AR184/AR187,"")</f>
        <v>1.75712938725881</v>
      </c>
      <c r="AS188" s="54" t="n">
        <f aca="false">IFERROR(AS184/AS187,"")</f>
        <v>1.07816606076637</v>
      </c>
      <c r="AT188" s="54" t="n">
        <f aca="false">IFERROR(AT184/AT187,"")</f>
        <v>0.993166411255866</v>
      </c>
      <c r="AU188" s="54" t="n">
        <f aca="false">IFERROR(AU184/AU187,"")</f>
        <v>2.07130189883479</v>
      </c>
      <c r="AV188" s="54" t="n">
        <f aca="false">IFERROR(AV184/AV187,"")</f>
        <v>1.11944117647059</v>
      </c>
      <c r="AW188" s="54" t="n">
        <f aca="false">IFERROR(AW184/AW187,"")</f>
        <v>1.16610040771788</v>
      </c>
      <c r="AX188" s="54" t="n">
        <f aca="false">IFERROR(AX184/AX187,"")</f>
        <v>2.28554158418847</v>
      </c>
      <c r="AY188" s="54" t="n">
        <f aca="false">IFERROR(AY184/AY187,"")</f>
        <v>2.49375507211274</v>
      </c>
      <c r="AZ188" s="54" t="n">
        <f aca="false">IFERROR(AZ184/AZ187,"")</f>
        <v>2.82864090143769</v>
      </c>
      <c r="BA188" s="54" t="n">
        <f aca="false">IFERROR(BA184/BA187,"")</f>
        <v>3.18364328774371</v>
      </c>
      <c r="BB188" s="54" t="n">
        <f aca="false">IFERROR(BB184/BB187,"")</f>
        <v>3.50952234521276</v>
      </c>
      <c r="BE188" s="37" t="n">
        <f aca="false">IFERROR(IF(AND(BB188&gt;0,AU188&gt;0),(BB188/AU188)^(1/5)-1,"n/m"),"n/m")</f>
        <v>0.111222232162562</v>
      </c>
      <c r="BF188" s="37" t="str">
        <f aca="false">IFERROR(IF(AND(AU188&gt;0,AF188&gt;0),(AU188/AF188)^(1/5)-1,"n/m"),"n/m")</f>
        <v>n/m</v>
      </c>
      <c r="BG188" s="37" t="n">
        <f aca="false">IFERROR(IF(AND(AU188&gt;0,Q188&gt;0),(AU188/Q188)^(1/10)-1,"n/m"),"n/m")</f>
        <v>0.154998120138814</v>
      </c>
      <c r="BH188" s="37" t="n">
        <f aca="false">IFERROR(IF(AND(AU188&gt;0,E188&gt;0),(AU188/E188)^(1/14)-1,"n/m"),"n/m")</f>
        <v>0.138298026021747</v>
      </c>
    </row>
    <row r="189" customFormat="false" ht="15" hidden="false" customHeight="true" outlineLevel="0" collapsed="false">
      <c r="B189" s="20" t="s">
        <v>304</v>
      </c>
      <c r="BC189" s="18" t="s">
        <v>305</v>
      </c>
    </row>
    <row r="190" customFormat="false" ht="15" hidden="false" customHeight="true" outlineLevel="0" collapsed="false">
      <c r="B190" s="45" t="s">
        <v>306</v>
      </c>
      <c r="C190" s="60" t="str">
        <f aca="false">IF(ISNUMBER(C189),ROUND(C188-C189,2),"n/p")</f>
        <v>n/p</v>
      </c>
      <c r="D190" s="60" t="str">
        <f aca="false">IF(ISNUMBER(D189),ROUND(D188-D189,2),"n/p")</f>
        <v>n/p</v>
      </c>
      <c r="E190" s="60" t="str">
        <f aca="false">IF(ISNUMBER(E189),ROUND(E188-E189,2),"n/p")</f>
        <v>n/p</v>
      </c>
      <c r="F190" s="60" t="str">
        <f aca="false">IF(ISNUMBER(F189),ROUND(F188-F189,2),"n/p")</f>
        <v>n/p</v>
      </c>
      <c r="G190" s="60" t="str">
        <f aca="false">IF(ISNUMBER(G189),ROUND(G188-G189,2),"n/p")</f>
        <v>n/p</v>
      </c>
      <c r="H190" s="60" t="str">
        <f aca="false">IF(ISNUMBER(H189),ROUND(H188-H189,2),"n/p")</f>
        <v>n/p</v>
      </c>
      <c r="I190" s="60" t="str">
        <f aca="false">IF(ISNUMBER(I189),ROUND(I188-I189,2),"n/p")</f>
        <v>n/p</v>
      </c>
      <c r="J190" s="60" t="str">
        <f aca="false">IF(ISNUMBER(J189),ROUND(J188-J189,2),"n/p")</f>
        <v>n/p</v>
      </c>
      <c r="K190" s="60" t="str">
        <f aca="false">IF(ISNUMBER(K189),ROUND(K188-K189,2),"n/p")</f>
        <v>n/p</v>
      </c>
      <c r="L190" s="60" t="str">
        <f aca="false">IF(ISNUMBER(L189),ROUND(L188-L189,2),"n/p")</f>
        <v>n/p</v>
      </c>
      <c r="M190" s="60" t="str">
        <f aca="false">IF(ISNUMBER(M189),ROUND(M188-M189,2),"n/p")</f>
        <v>n/p</v>
      </c>
      <c r="N190" s="60" t="str">
        <f aca="false">IF(ISNUMBER(N189),ROUND(N188-N189,2),"n/p")</f>
        <v>n/p</v>
      </c>
      <c r="O190" s="60" t="str">
        <f aca="false">IF(ISNUMBER(O189),ROUND(O188-O189,2),"n/p")</f>
        <v>n/p</v>
      </c>
      <c r="P190" s="60" t="str">
        <f aca="false">IF(ISNUMBER(P189),ROUND(P188-P189,2),"n/p")</f>
        <v>n/p</v>
      </c>
      <c r="Q190" s="60" t="str">
        <f aca="false">IF(ISNUMBER(Q189),ROUND(Q188-Q189,2),"n/p")</f>
        <v>n/p</v>
      </c>
      <c r="R190" s="60" t="str">
        <f aca="false">IF(ISNUMBER(R189),ROUND(R188-R189,2),"n/p")</f>
        <v>n/p</v>
      </c>
      <c r="S190" s="60" t="str">
        <f aca="false">IF(ISNUMBER(S189),ROUND(S188-S189,2),"n/p")</f>
        <v>n/p</v>
      </c>
      <c r="T190" s="60" t="str">
        <f aca="false">IF(ISNUMBER(T189),ROUND(T188-T189,2),"n/p")</f>
        <v>n/p</v>
      </c>
      <c r="U190" s="60" t="str">
        <f aca="false">IF(ISNUMBER(U189),ROUND(U188-U189,2),"n/p")</f>
        <v>n/p</v>
      </c>
      <c r="V190" s="60" t="str">
        <f aca="false">IF(ISNUMBER(V189),ROUND(V188-V189,2),"n/p")</f>
        <v>n/p</v>
      </c>
      <c r="W190" s="60" t="str">
        <f aca="false">IF(ISNUMBER(W189),ROUND(W188-W189,2),"n/p")</f>
        <v>n/p</v>
      </c>
      <c r="X190" s="60" t="str">
        <f aca="false">IF(ISNUMBER(X189),ROUND(X188-X189,2),"n/p")</f>
        <v>n/p</v>
      </c>
      <c r="Y190" s="60" t="str">
        <f aca="false">IF(ISNUMBER(Y189),ROUND(Y188-Y189,2),"n/p")</f>
        <v>n/p</v>
      </c>
      <c r="Z190" s="60" t="str">
        <f aca="false">IF(ISNUMBER(Z189),ROUND(Z188-Z189,2),"n/p")</f>
        <v>n/p</v>
      </c>
      <c r="AA190" s="60" t="str">
        <f aca="false">IF(ISNUMBER(AA189),ROUND(AA188-AA189,2),"n/p")</f>
        <v>n/p</v>
      </c>
      <c r="AB190" s="60" t="str">
        <f aca="false">IF(ISNUMBER(AB189),ROUND(AB188-AB189,2),"n/p")</f>
        <v>n/p</v>
      </c>
      <c r="AC190" s="60" t="str">
        <f aca="false">IF(ISNUMBER(AC189),ROUND(AC188-AC189,2),"n/p")</f>
        <v>n/p</v>
      </c>
      <c r="AD190" s="60" t="str">
        <f aca="false">IF(ISNUMBER(AD189),ROUND(AD188-AD189,2),"n/p")</f>
        <v>n/p</v>
      </c>
      <c r="AE190" s="60" t="str">
        <f aca="false">IF(ISNUMBER(AE189),ROUND(AE188-AE189,2),"n/p")</f>
        <v>n/p</v>
      </c>
      <c r="AF190" s="60" t="str">
        <f aca="false">IF(ISNUMBER(AF189),ROUND(AF188-AF189,2),"n/p")</f>
        <v>n/p</v>
      </c>
      <c r="AG190" s="60" t="str">
        <f aca="false">IF(ISNUMBER(AG189),ROUND(AG188-AG189,2),"n/p")</f>
        <v>n/p</v>
      </c>
      <c r="AH190" s="60" t="str">
        <f aca="false">IF(ISNUMBER(AH189),ROUND(AH188-AH189,2),"n/p")</f>
        <v>n/p</v>
      </c>
      <c r="AI190" s="60" t="str">
        <f aca="false">IF(ISNUMBER(AI189),ROUND(AI188-AI189,2),"n/p")</f>
        <v>n/p</v>
      </c>
      <c r="AJ190" s="60" t="str">
        <f aca="false">IF(ISNUMBER(AJ189),ROUND(AJ188-AJ189,2),"n/p")</f>
        <v>n/p</v>
      </c>
      <c r="AK190" s="60" t="str">
        <f aca="false">IF(ISNUMBER(AK189),ROUND(AK188-AK189,2),"n/p")</f>
        <v>n/p</v>
      </c>
      <c r="AL190" s="60" t="str">
        <f aca="false">IF(ISNUMBER(AL189),ROUND(AL188-AL189,2),"n/p")</f>
        <v>n/p</v>
      </c>
      <c r="AM190" s="60" t="str">
        <f aca="false">IF(ISNUMBER(AM189),ROUND(AM188-AM189,2),"n/p")</f>
        <v>n/p</v>
      </c>
      <c r="AN190" s="60" t="str">
        <f aca="false">IF(ISNUMBER(AN189),ROUND(AN188-AN189,2),"n/p")</f>
        <v>n/p</v>
      </c>
      <c r="AO190" s="60" t="str">
        <f aca="false">IF(ISNUMBER(AO189),ROUND(AO188-AO189,2),"n/p")</f>
        <v>n/p</v>
      </c>
      <c r="AP190" s="60" t="str">
        <f aca="false">IF(ISNUMBER(AP189),ROUND(AP188-AP189,2),"n/p")</f>
        <v>n/p</v>
      </c>
      <c r="AQ190" s="60" t="str">
        <f aca="false">IF(ISNUMBER(AQ189),ROUND(AQ188-AQ189,2),"n/p")</f>
        <v>n/p</v>
      </c>
      <c r="AR190" s="60" t="str">
        <f aca="false">IF(ISNUMBER(AR189),ROUND(AR188-AR189,2),"n/p")</f>
        <v>n/p</v>
      </c>
      <c r="AS190" s="60" t="str">
        <f aca="false">IF(ISNUMBER(AS189),ROUND(AS188-AS189,2),"n/p")</f>
        <v>n/p</v>
      </c>
      <c r="AT190" s="60" t="str">
        <f aca="false">IF(ISNUMBER(AT189),ROUND(AT188-AT189,2),"n/p")</f>
        <v>n/p</v>
      </c>
      <c r="AU190" s="60" t="str">
        <f aca="false">IF(ISNUMBER(AU189),ROUND(AU188-AU189,2),"n/p")</f>
        <v>n/p</v>
      </c>
      <c r="AV190" s="60" t="str">
        <f aca="false">IF(ISNUMBER(AV189),ROUND(AV188-AV189,2),"n/p")</f>
        <v>n/p</v>
      </c>
      <c r="AW190" s="57" t="str">
        <f aca="false">IF(ISNUMBER(AW189),ROUND(AW188-AW189,2),"n/p")</f>
        <v>n/p</v>
      </c>
      <c r="AX190" s="57" t="str">
        <f aca="false">IF(ISNUMBER(AX189),ROUND(AX188-AX189,2),"n/p")</f>
        <v>n/p</v>
      </c>
      <c r="AY190" s="57" t="str">
        <f aca="false">IF(ISNUMBER(AY189),ROUND(AY188-AY189,2),"n/p")</f>
        <v>n/p</v>
      </c>
      <c r="AZ190" s="57" t="str">
        <f aca="false">IF(ISNUMBER(AZ189),ROUND(AZ188-AZ189,2),"n/p")</f>
        <v>n/p</v>
      </c>
      <c r="BA190" s="57" t="str">
        <f aca="false">IF(ISNUMBER(BA189),ROUND(BA188-BA189,2),"n/p")</f>
        <v>n/p</v>
      </c>
      <c r="BB190" s="57" t="str">
        <f aca="false">IF(ISNUMBER(BB189),ROUND(BB188-BB189,2),"n/p")</f>
        <v>n/p</v>
      </c>
    </row>
    <row r="191" customFormat="false" ht="15" hidden="false" customHeight="true" outlineLevel="0" collapsed="false">
      <c r="B191" s="20" t="s">
        <v>307</v>
      </c>
      <c r="AA191" s="42" t="n">
        <v>22.754</v>
      </c>
      <c r="AB191" s="26" t="n">
        <f aca="false">AC191-AA191</f>
        <v>26.552</v>
      </c>
      <c r="AC191" s="42" t="n">
        <v>49.306</v>
      </c>
      <c r="AD191" s="42" t="n">
        <v>-25.814</v>
      </c>
      <c r="AE191" s="26" t="n">
        <f aca="false">AF191-AD191</f>
        <v>28.475</v>
      </c>
      <c r="AF191" s="42" t="n">
        <v>2.661</v>
      </c>
    </row>
    <row r="192" customFormat="false" ht="15" hidden="false" customHeight="true" outlineLevel="0" collapsed="false">
      <c r="B192" s="20" t="s">
        <v>308</v>
      </c>
      <c r="C192" s="26" t="str">
        <f aca="false">IF(ISNUMBER(C160),-(C160-N(C104)+N(C347)),"")</f>
        <v/>
      </c>
      <c r="D192" s="26" t="str">
        <f aca="false">IF(ISNUMBER(D160),-(D160-N(D104)+N(D347)),"")</f>
        <v/>
      </c>
      <c r="E192" s="26" t="str">
        <f aca="false">IF(ISNUMBER(E160),-(E160-N(E104)+N(E347)),"")</f>
        <v/>
      </c>
      <c r="F192" s="26" t="str">
        <f aca="false">IF(ISNUMBER(F160),-(F160-N(F104)+N(F347)),"")</f>
        <v/>
      </c>
      <c r="G192" s="26" t="str">
        <f aca="false">IF(ISNUMBER(G160),-(G160-N(G104)+N(G347)),"")</f>
        <v/>
      </c>
      <c r="H192" s="26" t="str">
        <f aca="false">IF(ISNUMBER(H160),-(H160-N(H104)+N(H347)),"")</f>
        <v/>
      </c>
      <c r="I192" s="26" t="str">
        <f aca="false">IF(ISNUMBER(I160),-(I160-N(I104)+N(I347)),"")</f>
        <v/>
      </c>
      <c r="J192" s="26" t="str">
        <f aca="false">IF(ISNUMBER(J160),-(J160-N(J104)+N(J347)),"")</f>
        <v/>
      </c>
      <c r="K192" s="26" t="str">
        <f aca="false">IF(ISNUMBER(K160),-(K160-N(K104)+N(K347)),"")</f>
        <v/>
      </c>
      <c r="L192" s="26" t="str">
        <f aca="false">IF(ISNUMBER(L160),-(L160-N(L104)+N(L347)),"")</f>
        <v/>
      </c>
      <c r="M192" s="26" t="str">
        <f aca="false">IF(ISNUMBER(M160),-(M160-N(M104)+N(M347)),"")</f>
        <v/>
      </c>
      <c r="N192" s="26" t="str">
        <f aca="false">IF(ISNUMBER(N160),-(N160-N(N104)+N(N347)),"")</f>
        <v/>
      </c>
      <c r="O192" s="26" t="str">
        <f aca="false">IF(ISNUMBER(O160),-(O160-N(O104)+N(O347)),"")</f>
        <v/>
      </c>
      <c r="P192" s="26" t="str">
        <f aca="false">IF(ISNUMBER(P160),-(P160-N(P104)+N(P347)),"")</f>
        <v/>
      </c>
      <c r="Q192" s="26" t="str">
        <f aca="false">IF(ISNUMBER(Q160),-(Q160-N(Q104)+N(Q347)),"")</f>
        <v/>
      </c>
      <c r="R192" s="26" t="str">
        <f aca="false">IF(ISNUMBER(R160),-(R160-N(R104)+N(R347)),"")</f>
        <v/>
      </c>
      <c r="S192" s="26" t="str">
        <f aca="false">IF(ISNUMBER(S160),-(S160-N(S104)+N(S347)),"")</f>
        <v/>
      </c>
      <c r="T192" s="26" t="str">
        <f aca="false">IF(ISNUMBER(T160),-(T160-N(T104)+N(T347)),"")</f>
        <v/>
      </c>
      <c r="U192" s="26" t="str">
        <f aca="false">IF(ISNUMBER(U160),-(U160-N(U104)+N(U347)),"")</f>
        <v/>
      </c>
      <c r="V192" s="26" t="str">
        <f aca="false">IF(ISNUMBER(V160),-(V160-N(V104)+N(V347)),"")</f>
        <v/>
      </c>
      <c r="W192" s="26" t="str">
        <f aca="false">IF(ISNUMBER(W160),-(W160-N(W104)+N(W347)),"")</f>
        <v/>
      </c>
      <c r="X192" s="26" t="str">
        <f aca="false">IF(ISNUMBER(X160),-(X160-N(X104)+N(X347)),"")</f>
        <v/>
      </c>
      <c r="Y192" s="26" t="str">
        <f aca="false">IF(ISNUMBER(Y160),-(Y160-N(Y104)+N(Y347)),"")</f>
        <v/>
      </c>
      <c r="Z192" s="26" t="str">
        <f aca="false">IF(ISNUMBER(Z160),-(Z160-N(Z104)+N(Z347)),"")</f>
        <v/>
      </c>
      <c r="AA192" s="26" t="n">
        <f aca="false">IF(ISNUMBER(AA160),-(AA160-N(AA104)+N(AA347)),"")</f>
        <v>-1.829</v>
      </c>
      <c r="AB192" s="26" t="n">
        <f aca="false">IF(ISNUMBER(AB160),-(AB160-N(AB104)+N(AB347)),"")</f>
        <v>-2.071</v>
      </c>
      <c r="AC192" s="26" t="n">
        <f aca="false">IF(ISNUMBER(AC160),-(AC160-N(AC104)+N(AC347)),"")</f>
        <v>-3.9</v>
      </c>
      <c r="AD192" s="26" t="n">
        <f aca="false">IF(ISNUMBER(AD160),-(AD160-N(AD104)+N(AD347)),"")</f>
        <v>0.365000000000002</v>
      </c>
      <c r="AE192" s="26" t="n">
        <f aca="false">IF(ISNUMBER(AE160),-(AE160-N(AE104)+N(AE347)),"")</f>
        <v>-2.03500000000001</v>
      </c>
      <c r="AF192" s="26" t="n">
        <f aca="false">IF(ISNUMBER(AF160),-(AF160-N(AF104)+N(AF347)),"")</f>
        <v>-1.67</v>
      </c>
      <c r="AG192" s="26" t="n">
        <f aca="false">IF(ISNUMBER(AG160),-(AG160-N(AG104)+N(AG347)),"")</f>
        <v>-2.775</v>
      </c>
      <c r="AH192" s="26" t="n">
        <f aca="false">IF(ISNUMBER(AH160),-(AH160-N(AH104)+N(AH347)),"")</f>
        <v>-4.433</v>
      </c>
      <c r="AI192" s="26" t="n">
        <f aca="false">IF(ISNUMBER(AI160),-(AI160-N(AI104)+N(AI347)),"")</f>
        <v>-7.208</v>
      </c>
      <c r="AJ192" s="26" t="n">
        <f aca="false">IF(ISNUMBER(AJ160),-(AJ160-N(AJ104)+N(AJ347)),"")</f>
        <v>-3.979</v>
      </c>
      <c r="AK192" s="26" t="n">
        <f aca="false">IF(ISNUMBER(AK160),-(AK160-N(AK104)+N(AK347)),"")</f>
        <v>-3.76299999999999</v>
      </c>
      <c r="AL192" s="26" t="n">
        <f aca="false">IF(ISNUMBER(AL160),-(AL160-N(AL104)+N(AL347)),"")</f>
        <v>-7.74199999999999</v>
      </c>
      <c r="AM192" s="26" t="n">
        <f aca="false">IF(ISNUMBER(AM160),-(AM160-N(AM104)+N(AM347)),"")</f>
        <v>0.284999999999995</v>
      </c>
      <c r="AN192" s="26" t="n">
        <f aca="false">IF(ISNUMBER(AN160),-(AN160-N(AN104)+N(AN347)),"")</f>
        <v>-0.240999999999996</v>
      </c>
      <c r="AO192" s="26" t="n">
        <f aca="false">IF(ISNUMBER(AO160),-(AO160-N(AO104)+N(AO347)),"")</f>
        <v>0.0439999999999987</v>
      </c>
      <c r="AP192" s="26" t="n">
        <f aca="false">IF(ISNUMBER(AP160),-(AP160-N(AP104)+N(AP347)),"")</f>
        <v>-1.00500000000001</v>
      </c>
      <c r="AQ192" s="26" t="n">
        <f aca="false">IF(ISNUMBER(AQ160),-(AQ160-N(AQ104)+N(AQ347)),"")</f>
        <v>-1.54599999999999</v>
      </c>
      <c r="AR192" s="26" t="n">
        <f aca="false">IF(ISNUMBER(AR160),-(AR160-N(AR104)+N(AR347)),"")</f>
        <v>-2.551</v>
      </c>
      <c r="AS192" s="26" t="n">
        <f aca="false">IF(ISNUMBER(AS160),-(AS160-N(AS104)+N(AS347)),"")</f>
        <v>-0.801000000000004</v>
      </c>
      <c r="AT192" s="26" t="n">
        <f aca="false">IF(ISNUMBER(AT160),-(AT160-N(AT104)+N(AT347)),"")</f>
        <v>-0.494000000000009</v>
      </c>
      <c r="AU192" s="26" t="n">
        <f aca="false">IF(ISNUMBER(AU160),-(AU160-N(AU104)+N(AU347)),"")</f>
        <v>-1.29500000000001</v>
      </c>
      <c r="AV192" s="26" t="n">
        <f aca="false">IF(ISNUMBER(AV160),-(AV160-N(AV104)+N(AV347)),"")</f>
        <v>-0.480999999999995</v>
      </c>
      <c r="AW192" s="27" t="n">
        <f aca="false">IF(ISNUMBER(AW160),-(AW160-N(AW104)+N(AW347)),"")</f>
        <v>0.461738450952836</v>
      </c>
      <c r="AX192" s="27" t="n">
        <f aca="false">IF(ISNUMBER(AX160),-(AX160-N(AX104)+N(AX347)),"")</f>
        <v>-0.0192615490471439</v>
      </c>
      <c r="AY192" s="27" t="n">
        <f aca="false">IF(ISNUMBER(AY160),-(AY160-N(AY104)+N(AY347)),"")</f>
        <v>-0</v>
      </c>
      <c r="AZ192" s="27" t="n">
        <f aca="false">IF(ISNUMBER(AZ160),-(AZ160-N(AZ104)+N(AZ347)),"")</f>
        <v>-0</v>
      </c>
      <c r="BA192" s="27" t="n">
        <f aca="false">IF(ISNUMBER(BA160),-(BA160-N(BA104)+N(BA347)),"")</f>
        <v>-0</v>
      </c>
      <c r="BB192" s="27" t="n">
        <f aca="false">IF(ISNUMBER(BB160),-(BB160-N(BB104)+N(BB347)),"")</f>
        <v>-0</v>
      </c>
    </row>
    <row r="193" customFormat="false" ht="15" hidden="false" customHeight="true" outlineLevel="0" collapsed="false"/>
    <row r="194" customFormat="false" ht="15" hidden="false" customHeight="true" outlineLevel="0" collapsed="false">
      <c r="B194" s="9" t="s">
        <v>309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 t="s">
        <v>309</v>
      </c>
    </row>
    <row r="195" customFormat="false" ht="15" hidden="false" customHeight="true" outlineLevel="0" collapsed="false">
      <c r="B195" s="31" t="s">
        <v>152</v>
      </c>
      <c r="F195" s="32" t="n">
        <f aca="false">IF(AND(ISNUMBER(F111),ISNUMBER(C111)),IFERROR(F111/C111-1,""),"")</f>
        <v>0.160969284800399</v>
      </c>
      <c r="G195" s="32" t="n">
        <f aca="false">IF(AND(ISNUMBER(G111),ISNUMBER(D111)),IFERROR(G111/D111-1,""),"")</f>
        <v>0.14218009478673</v>
      </c>
      <c r="H195" s="32" t="n">
        <f aca="false">IF(AND(ISNUMBER(H111),ISNUMBER(E111)),IFERROR(H111/E111-1,""),"")</f>
        <v>0.15119830197622</v>
      </c>
      <c r="I195" s="32" t="n">
        <f aca="false">IF(AND(ISNUMBER(I111),ISNUMBER(F111)),IFERROR(I111/F111-1,""),"")</f>
        <v>0.165462304830514</v>
      </c>
      <c r="J195" s="32" t="n">
        <f aca="false">IF(AND(ISNUMBER(J111),ISNUMBER(G111)),IFERROR(J111/G111-1,""),"")</f>
        <v>0.144242912058174</v>
      </c>
      <c r="K195" s="32" t="n">
        <f aca="false">IF(AND(ISNUMBER(K111),ISNUMBER(H111)),IFERROR(K111/H111-1,""),"")</f>
        <v>0.154513982120929</v>
      </c>
      <c r="L195" s="32" t="n">
        <f aca="false">IF(AND(ISNUMBER(L111),ISNUMBER(I111)),IFERROR(L111/I111-1,""),"")</f>
        <v>0.115736098594946</v>
      </c>
      <c r="M195" s="32" t="n">
        <f aca="false">IF(AND(ISNUMBER(M111),ISNUMBER(J111)),IFERROR(M111/J111-1,""),"")</f>
        <v>0.0921252107261106</v>
      </c>
      <c r="N195" s="32" t="n">
        <f aca="false">IF(AND(ISNUMBER(N111),ISNUMBER(K111)),IFERROR(N111/K111-1,""),"")</f>
        <v>0.103662242619697</v>
      </c>
      <c r="O195" s="32" t="n">
        <f aca="false">IF(AND(ISNUMBER(O111),ISNUMBER(L111)),IFERROR(O111/L111-1,""),"")</f>
        <v>0.139473639305845</v>
      </c>
      <c r="P195" s="32" t="n">
        <f aca="false">IF(AND(ISNUMBER(P111),ISNUMBER(M111)),IFERROR(P111/M111-1,""),"")</f>
        <v>0.187236948772335</v>
      </c>
      <c r="Q195" s="32" t="n">
        <f aca="false">IF(AND(ISNUMBER(Q111),ISNUMBER(N111)),IFERROR(Q111/N111-1,""),"")</f>
        <v>0.163642953676361</v>
      </c>
      <c r="R195" s="32" t="n">
        <f aca="false">IF(AND(ISNUMBER(R111),ISNUMBER(O111)),IFERROR(R111/O111-1,""),"")</f>
        <v>0.0973783519357867</v>
      </c>
      <c r="S195" s="32" t="n">
        <f aca="false">IF(AND(ISNUMBER(S111),ISNUMBER(P111)),IFERROR(S111/P111-1,""),"")</f>
        <v>0.104349940837811</v>
      </c>
      <c r="T195" s="32" t="n">
        <f aca="false">IF(AND(ISNUMBER(T111),ISNUMBER(Q111)),IFERROR(T111/Q111-1,""),"")</f>
        <v>0.100977662736538</v>
      </c>
      <c r="U195" s="32" t="n">
        <f aca="false">IF(AND(ISNUMBER(U111),ISNUMBER(R111)),IFERROR(U111/R111-1,""),"")</f>
        <v>0.106836790393013</v>
      </c>
      <c r="V195" s="32" t="n">
        <f aca="false">IF(AND(ISNUMBER(V111),ISNUMBER(S111)),IFERROR(V111/S111-1,""),"")</f>
        <v>0.102117045199487</v>
      </c>
      <c r="W195" s="32" t="n">
        <f aca="false">IF(AND(ISNUMBER(W111),ISNUMBER(T111)),IFERROR(W111/T111-1,""),"")</f>
        <v>0.1043926039156</v>
      </c>
      <c r="X195" s="32" t="n">
        <f aca="false">IF(AND(ISNUMBER(X111),ISNUMBER(U111)),IFERROR(X111/U111-1,""),"")</f>
        <v>0.107505537815368</v>
      </c>
      <c r="Y195" s="32" t="n">
        <f aca="false">IF(AND(ISNUMBER(Y111),ISNUMBER(V111)),IFERROR(Y111/V111-1,""),"")</f>
        <v>0.089400716250903</v>
      </c>
      <c r="Z195" s="32" t="n">
        <f aca="false">IF(AND(ISNUMBER(Z111),ISNUMBER(W111)),IFERROR(Z111/W111-1,""),"")</f>
        <v>0.0981490197012933</v>
      </c>
      <c r="AA195" s="32" t="n">
        <f aca="false">IF(AND(ISNUMBER(AA111),ISNUMBER(X111)),IFERROR(AA111/X111-1,""),"")</f>
        <v>0.0813660078816711</v>
      </c>
      <c r="AB195" s="32" t="n">
        <f aca="false">IF(AND(ISNUMBER(AB111),ISNUMBER(Y111)),IFERROR(AB111/Y111-1,""),"")</f>
        <v>0.115826602236253</v>
      </c>
      <c r="AC195" s="32" t="n">
        <f aca="false">IF(AND(ISNUMBER(AC111),ISNUMBER(Z111)),IFERROR(AC111/Z111-1,""),"")</f>
        <v>0.0990332660634072</v>
      </c>
      <c r="AD195" s="32" t="n">
        <f aca="false">IF(AND(ISNUMBER(AD111),ISNUMBER(AA111)),IFERROR(AD111/AA111-1,""),"")</f>
        <v>-0.296040327644958</v>
      </c>
      <c r="AE195" s="32" t="n">
        <f aca="false">IF(AND(ISNUMBER(AE111),ISNUMBER(AB111)),IFERROR(AE111/AB111-1,""),"")</f>
        <v>0.071193748656543</v>
      </c>
      <c r="AF195" s="32" t="n">
        <f aca="false">IF(AND(ISNUMBER(AF111),ISNUMBER(AC111)),IFERROR(AF111/AC111-1,""),"")</f>
        <v>-0.104889915608274</v>
      </c>
      <c r="AG195" s="32" t="n">
        <f aca="false">IF(AND(ISNUMBER(AG111),ISNUMBER(AD111)),IFERROR(AG111/AD111-1,""),"")</f>
        <v>0.529489185592489</v>
      </c>
      <c r="AH195" s="32" t="n">
        <f aca="false">IF(AND(ISNUMBER(AH111),ISNUMBER(AE111)),IFERROR(AH111/AE111-1,""),"")</f>
        <v>0.175716351403193</v>
      </c>
      <c r="AI195" s="32" t="n">
        <f aca="false">IF(AND(ISNUMBER(AI111),ISNUMBER(AF111)),IFERROR(AI111/AF111-1,""),"")</f>
        <v>0.309121289380952</v>
      </c>
      <c r="AJ195" s="32" t="n">
        <f aca="false">IF(AND(ISNUMBER(AJ111),ISNUMBER(AG111)),IFERROR(AJ111/AG111-1,""),"")</f>
        <v>0.323787942530055</v>
      </c>
      <c r="AK195" s="32" t="n">
        <f aca="false">IF(AND(ISNUMBER(AK111),ISNUMBER(AH111)),IFERROR(AK111/AH111-1,""),"")</f>
        <v>0.265893603403486</v>
      </c>
      <c r="AL195" s="32" t="n">
        <f aca="false">IF(AND(ISNUMBER(AL111),ISNUMBER(AI111)),IFERROR(AL111/AI111-1,""),"")</f>
        <v>0.29140005532317</v>
      </c>
      <c r="AM195" s="32" t="n">
        <f aca="false">IF(AND(ISNUMBER(AM111),ISNUMBER(AJ111)),IFERROR(AM111/AJ111-1,""),"")</f>
        <v>0.309577062623237</v>
      </c>
      <c r="AN195" s="32" t="n">
        <f aca="false">IF(AND(ISNUMBER(AN111),ISNUMBER(AK111)),IFERROR(AN111/AK111-1,""),"")</f>
        <v>0.180681707778908</v>
      </c>
      <c r="AO195" s="32" t="n">
        <f aca="false">IF(AND(ISNUMBER(AO111),ISNUMBER(AL111)),IFERROR(AO111/AL111-1,""),"")</f>
        <v>0.238893213933118</v>
      </c>
      <c r="AP195" s="32" t="n">
        <f aca="false">IF(AND(ISNUMBER(AP111),ISNUMBER(AM111)),IFERROR(AP111/AM111-1,""),"")</f>
        <v>0.141044449592052</v>
      </c>
      <c r="AQ195" s="32" t="n">
        <f aca="false">IF(AND(ISNUMBER(AQ111),ISNUMBER(AN111)),IFERROR(AQ111/AN111-1,""),"")</f>
        <v>0.104789765532899</v>
      </c>
      <c r="AR195" s="32" t="n">
        <f aca="false">IF(AND(ISNUMBER(AR111),ISNUMBER(AO111)),IFERROR(AR111/AO111-1,""),"")</f>
        <v>0.122097207351108</v>
      </c>
      <c r="AS195" s="32" t="n">
        <f aca="false">IF(AND(ISNUMBER(AS111),ISNUMBER(AP111)),IFERROR(AS111/AP111-1,""),"")</f>
        <v>0.102266612101273</v>
      </c>
      <c r="AT195" s="32" t="n">
        <f aca="false">IF(AND(ISNUMBER(AT111),ISNUMBER(AQ111)),IFERROR(AT111/AQ111-1,""),"")</f>
        <v>0.100228309808202</v>
      </c>
      <c r="AU195" s="32" t="n">
        <f aca="false">IF(AND(ISNUMBER(AU111),ISNUMBER(AR111)),IFERROR(AU111/AR111-1,""),"")</f>
        <v>0.101217795297762</v>
      </c>
      <c r="AV195" s="32" t="n">
        <f aca="false">IF(AND(ISNUMBER(AV111),ISNUMBER(AS111)),IFERROR(AV111/AS111-1,""),"")</f>
        <v>0.0954139168438977</v>
      </c>
      <c r="AW195" s="33" t="n">
        <f aca="false">IF(AND(ISNUMBER(AW111),ISNUMBER(AT111)),IFERROR(AW111/AT111-1,""),"")</f>
        <v>0.0785350144235553</v>
      </c>
      <c r="AX195" s="33" t="n">
        <f aca="false">IF(AND(ISNUMBER(AX111),ISNUMBER(AU111)),IFERROR(AX111/AU111-1,""),"")</f>
        <v>0.0867366122826716</v>
      </c>
      <c r="AY195" s="33" t="n">
        <f aca="false">IF(AND(ISNUMBER(AY111),ISNUMBER(AX111)),IFERROR(AY111/AX111-1,""),"")</f>
        <v>0.10250500033491</v>
      </c>
      <c r="AZ195" s="33" t="n">
        <f aca="false">IF(AND(ISNUMBER(AZ111),ISNUMBER(AY111)),IFERROR(AZ111/AY111-1,""),"")</f>
        <v>0.0827724029628529</v>
      </c>
      <c r="BA195" s="33" t="n">
        <f aca="false">IF(AND(ISNUMBER(BA111),ISNUMBER(AZ111)),IFERROR(BA111/AZ111-1,""),"")</f>
        <v>0.0772018864139876</v>
      </c>
      <c r="BB195" s="33" t="n">
        <f aca="false">IF(AND(ISNUMBER(BB111),ISNUMBER(BA111)),IFERROR(BB111/BA111-1,""),"")</f>
        <v>0.0716544741840857</v>
      </c>
    </row>
    <row r="196" customFormat="false" ht="15" hidden="false" customHeight="true" outlineLevel="0" collapsed="false">
      <c r="B196" s="31" t="s">
        <v>85</v>
      </c>
      <c r="F196" s="32" t="n">
        <f aca="false">IF(AND(ISNUMBER(F16),ISNUMBER(C16)),IFERROR(F16/C16-1,""),"")</f>
        <v>0.493562653562653</v>
      </c>
      <c r="G196" s="32" t="n">
        <f aca="false">IF(AND(ISNUMBER(G16),ISNUMBER(D16)),IFERROR(G16/D16-1,""),"")</f>
        <v>0.389245322431441</v>
      </c>
      <c r="H196" s="32" t="n">
        <f aca="false">IF(AND(ISNUMBER(H16),ISNUMBER(E16)),IFERROR(H16/E16-1,""),"")</f>
        <v>0.428658955459423</v>
      </c>
      <c r="I196" s="32" t="n">
        <f aca="false">IF(AND(ISNUMBER(I16),ISNUMBER(F16)),IFERROR(I16/F16-1,""),"")</f>
        <v>0.669638744489044</v>
      </c>
      <c r="J196" s="32" t="n">
        <f aca="false">IF(AND(ISNUMBER(J16),ISNUMBER(G16)),IFERROR(J16/G16-1,""),"")</f>
        <v>0.389603694554828</v>
      </c>
      <c r="K196" s="32" t="n">
        <f aca="false">IF(AND(ISNUMBER(K16),ISNUMBER(H16)),IFERROR(K16/H16-1,""),"")</f>
        <v>0.500214427737852</v>
      </c>
      <c r="L196" s="32" t="n">
        <f aca="false">IF(AND(ISNUMBER(L16),ISNUMBER(I16)),IFERROR(L16/I16-1,""),"")</f>
        <v>0.228644057776815</v>
      </c>
      <c r="M196" s="32" t="n">
        <f aca="false">IF(AND(ISNUMBER(M16),ISNUMBER(J16)),IFERROR(M16/J16-1,""),"")</f>
        <v>0.331457808418221</v>
      </c>
      <c r="N196" s="32" t="n">
        <f aca="false">IF(AND(ISNUMBER(N16),ISNUMBER(K16)),IFERROR(N16/K16-1,""),"")</f>
        <v>0.286261261261261</v>
      </c>
      <c r="O196" s="32" t="n">
        <f aca="false">IF(AND(ISNUMBER(O16),ISNUMBER(L16)),IFERROR(O16/L16-1,""),"")</f>
        <v>0.359550922213312</v>
      </c>
      <c r="P196" s="32" t="n">
        <f aca="false">IF(AND(ISNUMBER(P16),ISNUMBER(M16)),IFERROR(P16/M16-1,""),"")</f>
        <v>0.258544627101328</v>
      </c>
      <c r="Q196" s="32" t="n">
        <f aca="false">IF(AND(ISNUMBER(Q16),ISNUMBER(N16)),IFERROR(Q16/N16-1,""),"")</f>
        <v>0.30095766604259</v>
      </c>
      <c r="R196" s="32" t="n">
        <f aca="false">IF(AND(ISNUMBER(R16),ISNUMBER(O16)),IFERROR(R16/O16-1,""),"")</f>
        <v>0.174440826727067</v>
      </c>
      <c r="S196" s="32" t="n">
        <f aca="false">IF(AND(ISNUMBER(S16),ISNUMBER(P16)),IFERROR(S16/P16-1,""),"")</f>
        <v>0.168431636625279</v>
      </c>
      <c r="T196" s="32" t="n">
        <f aca="false">IF(AND(ISNUMBER(T16),ISNUMBER(Q16)),IFERROR(T16/Q16-1,""),"")</f>
        <v>0.171068570304492</v>
      </c>
      <c r="U196" s="32" t="n">
        <f aca="false">IF(AND(ISNUMBER(U16),ISNUMBER(R16)),IFERROR(U16/R16-1,""),"")</f>
        <v>0.216623976696298</v>
      </c>
      <c r="V196" s="32" t="n">
        <f aca="false">IF(AND(ISNUMBER(V16),ISNUMBER(S16)),IFERROR(V16/S16-1,""),"")</f>
        <v>0.179749733549126</v>
      </c>
      <c r="W196" s="32" t="n">
        <f aca="false">IF(AND(ISNUMBER(W16),ISNUMBER(T16)),IFERROR(W16/T16-1,""),"")</f>
        <v>0.195977367164707</v>
      </c>
      <c r="X196" s="32" t="n">
        <f aca="false">IF(AND(ISNUMBER(X16),ISNUMBER(U16)),IFERROR(X16/U16-1,""),"")</f>
        <v>0.105671188315816</v>
      </c>
      <c r="Y196" s="32" t="n">
        <f aca="false">IF(AND(ISNUMBER(Y16),ISNUMBER(V16)),IFERROR(Y16/V16-1,""),"")</f>
        <v>0.0864066170123066</v>
      </c>
      <c r="Z196" s="32" t="n">
        <f aca="false">IF(AND(ISNUMBER(Z16),ISNUMBER(W16)),IFERROR(Z16/W16-1,""),"")</f>
        <v>0.0950309365228383</v>
      </c>
      <c r="AA196" s="32" t="n">
        <f aca="false">IF(AND(ISNUMBER(AA16),ISNUMBER(X16)),IFERROR(AA16/X16-1,""),"")</f>
        <v>0.119668458781362</v>
      </c>
      <c r="AB196" s="32" t="n">
        <f aca="false">IF(AND(ISNUMBER(AB16),ISNUMBER(Y16)),IFERROR(AB16/Y16-1,""),"")</f>
        <v>0.167199482583387</v>
      </c>
      <c r="AC196" s="32" t="n">
        <f aca="false">IF(AND(ISNUMBER(AC16),ISNUMBER(Z16)),IFERROR(AC16/Z16-1,""),"")</f>
        <v>0.145714141056149</v>
      </c>
      <c r="AD196" s="32" t="n">
        <f aca="false">IF(AND(ISNUMBER(AD16),ISNUMBER(AA16)),IFERROR(AD16/AA16-1,""),"")</f>
        <v>-0.316307203926747</v>
      </c>
      <c r="AE196" s="32" t="n">
        <f aca="false">IF(AND(ISNUMBER(AE16),ISNUMBER(AB16)),IFERROR(AE16/AB16-1,""),"")</f>
        <v>-0.122608700241175</v>
      </c>
      <c r="AF196" s="32" t="n">
        <f aca="false">IF(AND(ISNUMBER(AF16),ISNUMBER(AC16)),IFERROR(AF16/AC16-1,""),"")</f>
        <v>-0.208175350214327</v>
      </c>
      <c r="AG196" s="32" t="n">
        <f aca="false">IF(AND(ISNUMBER(AG16),ISNUMBER(AD16)),IFERROR(AG16/AD16-1,""),"")</f>
        <v>0.614054254416341</v>
      </c>
      <c r="AH196" s="32" t="n">
        <f aca="false">IF(AND(ISNUMBER(AH16),ISNUMBER(AE16)),IFERROR(AH16/AE16-1,""),"")</f>
        <v>0.529863583870657</v>
      </c>
      <c r="AI196" s="32" t="n">
        <f aca="false">IF(AND(ISNUMBER(AI16),ISNUMBER(AF16)),IFERROR(AI16/AF16-1,""),"")</f>
        <v>0.561976091348461</v>
      </c>
      <c r="AJ196" s="32" t="n">
        <f aca="false">IF(AND(ISNUMBER(AJ16),ISNUMBER(AG16)),IFERROR(AJ16/AG16-1,""),"")</f>
        <v>0.470526023158556</v>
      </c>
      <c r="AK196" s="32" t="n">
        <f aca="false">IF(AND(ISNUMBER(AK16),ISNUMBER(AH16)),IFERROR(AK16/AH16-1,""),"")</f>
        <v>0.297410251268926</v>
      </c>
      <c r="AL196" s="32" t="n">
        <f aca="false">IF(AND(ISNUMBER(AL16),ISNUMBER(AI16)),IFERROR(AL16/AI16-1,""),"")</f>
        <v>0.365642649058995</v>
      </c>
      <c r="AM196" s="32" t="n">
        <f aca="false">IF(AND(ISNUMBER(AM16),ISNUMBER(AJ16)),IFERROR(AM16/AJ16-1,""),"")</f>
        <v>0.41641015103257</v>
      </c>
      <c r="AN196" s="32" t="n">
        <f aca="false">IF(AND(ISNUMBER(AN16),ISNUMBER(AK16)),IFERROR(AN16/AK16-1,""),"")</f>
        <v>0.21870937438446</v>
      </c>
      <c r="AO196" s="32" t="n">
        <f aca="false">IF(AND(ISNUMBER(AO16),ISNUMBER(AL16)),IFERROR(AO16/AL16-1,""),"")</f>
        <v>0.302616339914882</v>
      </c>
      <c r="AP196" s="32" t="n">
        <f aca="false">IF(AND(ISNUMBER(AP16),ISNUMBER(AM16)),IFERROR(AP16/AM16-1,""),"")</f>
        <v>0.14663076530257</v>
      </c>
      <c r="AQ196" s="32" t="n">
        <f aca="false">IF(AND(ISNUMBER(AQ16),ISNUMBER(AN16)),IFERROR(AQ16/AN16-1,""),"")</f>
        <v>0.134001213423246</v>
      </c>
      <c r="AR196" s="32" t="n">
        <f aca="false">IF(AND(ISNUMBER(AR16),ISNUMBER(AO16)),IFERROR(AR16/AO16-1,""),"")</f>
        <v>0.139829623361042</v>
      </c>
      <c r="AS196" s="32" t="n">
        <f aca="false">IF(AND(ISNUMBER(AS16),ISNUMBER(AP16)),IFERROR(AS16/AP16-1,""),"")</f>
        <v>0.102871067654561</v>
      </c>
      <c r="AT196" s="32" t="n">
        <f aca="false">IF(AND(ISNUMBER(AT16),ISNUMBER(AQ16)),IFERROR(AT16/AQ16-1,""),"")</f>
        <v>0.120846206302255</v>
      </c>
      <c r="AU196" s="32" t="n">
        <f aca="false">IF(AND(ISNUMBER(AU16),ISNUMBER(AR16)),IFERROR(AU16/AR16-1,""),"")</f>
        <v>0.112501365649996</v>
      </c>
      <c r="AV196" s="32" t="n">
        <f aca="false">IF(AND(ISNUMBER(AV16),ISNUMBER(AS16)),IFERROR(AV16/AS16-1,""),"")</f>
        <v>0.146678689510069</v>
      </c>
      <c r="AW196" s="33" t="n">
        <f aca="false">IF(AND(ISNUMBER(AW16),ISNUMBER(AT16)),IFERROR(AW16/AT16-1,""),"")</f>
        <v>0.0999732223204715</v>
      </c>
      <c r="AX196" s="33" t="n">
        <f aca="false">IF(AND(ISNUMBER(AX16),ISNUMBER(AU16)),IFERROR(AX16/AU16-1,""),"")</f>
        <v>0.121468235254364</v>
      </c>
      <c r="AY196" s="33" t="n">
        <f aca="false">IF(AND(ISNUMBER(AY16),ISNUMBER(AX16)),IFERROR(AY16/AX16-1,""),"")</f>
        <v>0.121236559139785</v>
      </c>
      <c r="AZ196" s="33" t="n">
        <f aca="false">IF(AND(ISNUMBER(AZ16),ISNUMBER(AY16)),IFERROR(AZ16/AY16-1,""),"")</f>
        <v>0.0964261168384879</v>
      </c>
      <c r="BA196" s="33" t="n">
        <f aca="false">IF(AND(ISNUMBER(BA16),ISNUMBER(AZ16)),IFERROR(BA16/AZ16-1,""),"")</f>
        <v>0.0900498338870432</v>
      </c>
      <c r="BB196" s="33" t="n">
        <f aca="false">IF(AND(ISNUMBER(BB16),ISNUMBER(BA16)),IFERROR(BB16/BA16-1,""),"")</f>
        <v>0.0837620578778135</v>
      </c>
    </row>
    <row r="197" customFormat="false" ht="15" hidden="false" customHeight="true" outlineLevel="0" collapsed="false">
      <c r="B197" s="31" t="s">
        <v>101</v>
      </c>
      <c r="F197" s="32" t="n">
        <f aca="false">IF(AND(ISNUMBER(F25),ISNUMBER(C25)),IFERROR(F25/C25-1,""),"")</f>
        <v>0.0905449134818483</v>
      </c>
      <c r="G197" s="32" t="n">
        <f aca="false">IF(AND(ISNUMBER(G25),ISNUMBER(D25)),IFERROR(G25/D25-1,""),"")</f>
        <v>0.0528343423225097</v>
      </c>
      <c r="H197" s="32" t="n">
        <f aca="false">IF(AND(ISNUMBER(H25),ISNUMBER(E25)),IFERROR(H25/E25-1,""),"")</f>
        <v>0.072033224914448</v>
      </c>
      <c r="I197" s="32" t="n">
        <f aca="false">IF(AND(ISNUMBER(I25),ISNUMBER(F25)),IFERROR(I25/F25-1,""),"")</f>
        <v>0.0192540716923164</v>
      </c>
      <c r="J197" s="32" t="n">
        <f aca="false">IF(AND(ISNUMBER(J25),ISNUMBER(G25)),IFERROR(J25/G25-1,""),"")</f>
        <v>0.0271619363898197</v>
      </c>
      <c r="K197" s="32" t="n">
        <f aca="false">IF(AND(ISNUMBER(K25),ISNUMBER(H25)),IFERROR(K25/H25-1,""),"")</f>
        <v>0.0230664321151146</v>
      </c>
      <c r="L197" s="32" t="n">
        <f aca="false">IF(AND(ISNUMBER(L25),ISNUMBER(I25)),IFERROR(L25/I25-1,""),"")</f>
        <v>0.062100405328241</v>
      </c>
      <c r="M197" s="32" t="n">
        <f aca="false">IF(AND(ISNUMBER(M25),ISNUMBER(J25)),IFERROR(M25/J25-1,""),"")</f>
        <v>-0.0623771366988314</v>
      </c>
      <c r="N197" s="32" t="n">
        <f aca="false">IF(AND(ISNUMBER(N25),ISNUMBER(K25)),IFERROR(N25/K25-1,""),"")</f>
        <v>0.0018498840803709</v>
      </c>
      <c r="O197" s="32" t="n">
        <f aca="false">IF(AND(ISNUMBER(O25),ISNUMBER(L25)),IFERROR(O25/L25-1,""),"")</f>
        <v>0.0185350032169644</v>
      </c>
      <c r="P197" s="32" t="n">
        <f aca="false">IF(AND(ISNUMBER(P25),ISNUMBER(M25)),IFERROR(P25/M25-1,""),"")</f>
        <v>0.121868414891126</v>
      </c>
      <c r="Q197" s="32" t="n">
        <f aca="false">IF(AND(ISNUMBER(Q25),ISNUMBER(N25)),IFERROR(Q25/N25-1,""),"")</f>
        <v>0.0653447303336661</v>
      </c>
      <c r="R197" s="32" t="n">
        <f aca="false">IF(AND(ISNUMBER(R25),ISNUMBER(O25)),IFERROR(R25/O25-1,""),"")</f>
        <v>0.0408518223668271</v>
      </c>
      <c r="S197" s="32" t="n">
        <f aca="false">IF(AND(ISNUMBER(S25),ISNUMBER(P25)),IFERROR(S25/P25-1,""),"")</f>
        <v>0.038448768178498</v>
      </c>
      <c r="T197" s="32" t="n">
        <f aca="false">IF(AND(ISNUMBER(T25),ISNUMBER(Q25)),IFERROR(T25/Q25-1,""),"")</f>
        <v>0.0397054897115989</v>
      </c>
      <c r="U197" s="32" t="n">
        <f aca="false">IF(AND(ISNUMBER(U25),ISNUMBER(R25)),IFERROR(U25/R25-1,""),"")</f>
        <v>0.0159704036247246</v>
      </c>
      <c r="V197" s="32" t="n">
        <f aca="false">IF(AND(ISNUMBER(V25),ISNUMBER(S25)),IFERROR(V25/S25-1,""),"")</f>
        <v>0.0122869201395865</v>
      </c>
      <c r="W197" s="32" t="n">
        <f aca="false">IF(AND(ISNUMBER(W25),ISNUMBER(T25)),IFERROR(W25/T25-1,""),"")</f>
        <v>0.0142153897045061</v>
      </c>
      <c r="X197" s="32" t="n">
        <f aca="false">IF(AND(ISNUMBER(X25),ISNUMBER(U25)),IFERROR(X25/U25-1,""),"")</f>
        <v>0.109323601132514</v>
      </c>
      <c r="Y197" s="32" t="n">
        <f aca="false">IF(AND(ISNUMBER(Y25),ISNUMBER(V25)),IFERROR(Y25/V25-1,""),"")</f>
        <v>0.0934383770564293</v>
      </c>
      <c r="Z197" s="32" t="n">
        <f aca="false">IF(AND(ISNUMBER(Z25),ISNUMBER(W25)),IFERROR(Z25/W25-1,""),"")</f>
        <v>0.101769398799229</v>
      </c>
      <c r="AA197" s="32" t="n">
        <f aca="false">IF(AND(ISNUMBER(AA25),ISNUMBER(X25)),IFERROR(AA25/X25-1,""),"")</f>
        <v>0.0435286133691339</v>
      </c>
      <c r="AB197" s="32" t="n">
        <f aca="false">IF(AND(ISNUMBER(AB25),ISNUMBER(Y25)),IFERROR(AB25/Y25-1,""),"")</f>
        <v>0.0469937688276318</v>
      </c>
      <c r="AC197" s="32" t="n">
        <f aca="false">IF(AND(ISNUMBER(AC25),ISNUMBER(Z25)),IFERROR(AC25/Z25-1,""),"")</f>
        <v>0.0451640043469626</v>
      </c>
      <c r="AD197" s="32" t="n">
        <f aca="false">IF(AND(ISNUMBER(AD25),ISNUMBER(AA25)),IFERROR(AD25/AA25-1,""),"")</f>
        <v>-0.274558731011473</v>
      </c>
      <c r="AE197" s="32" t="n">
        <f aca="false">IF(AND(ISNUMBER(AE25),ISNUMBER(AB25)),IFERROR(AE25/AB25-1,""),"")</f>
        <v>0.360676026139257</v>
      </c>
      <c r="AF197" s="32" t="n">
        <f aca="false">IF(AND(ISNUMBER(AF25),ISNUMBER(AC25)),IFERROR(AF25/AC25-1,""),"")</f>
        <v>0.0257671638231107</v>
      </c>
      <c r="AG197" s="32" t="n">
        <f aca="false">IF(AND(ISNUMBER(AG25),ISNUMBER(AD25)),IFERROR(AG25/AD25-1,""),"")</f>
        <v>0.445013934090776</v>
      </c>
      <c r="AH197" s="32" t="n">
        <f aca="false">IF(AND(ISNUMBER(AH25),ISNUMBER(AE25)),IFERROR(AH25/AE25-1,""),"")</f>
        <v>-0.165386353366471</v>
      </c>
      <c r="AI197" s="32" t="n">
        <f aca="false">IF(AND(ISNUMBER(AI25),ISNUMBER(AF25)),IFERROR(AI25/AF25-1,""),"")</f>
        <v>0.0622075279755849</v>
      </c>
      <c r="AJ197" s="32" t="n">
        <f aca="false">IF(AND(ISNUMBER(AJ25),ISNUMBER(AG25)),IFERROR(AJ25/AG25-1,""),"")</f>
        <v>0.160058261854669</v>
      </c>
      <c r="AK197" s="32" t="n">
        <f aca="false">IF(AND(ISNUMBER(AK25),ISNUMBER(AH25)),IFERROR(AK25/AH25-1,""),"")</f>
        <v>0.210250857245984</v>
      </c>
      <c r="AL197" s="32" t="n">
        <f aca="false">IF(AND(ISNUMBER(AL25),ISNUMBER(AI25)),IFERROR(AL25/AI25-1,""),"")</f>
        <v>0.184791457166116</v>
      </c>
      <c r="AM197" s="32" t="n">
        <f aca="false">IF(AND(ISNUMBER(AM25),ISNUMBER(AJ25)),IFERROR(AM25/AJ25-1,""),"")</f>
        <v>0.158470517113095</v>
      </c>
      <c r="AN197" s="32" t="n">
        <f aca="false">IF(AND(ISNUMBER(AN25),ISNUMBER(AK25)),IFERROR(AN25/AK25-1,""),"")</f>
        <v>0.108708619147033</v>
      </c>
      <c r="AO197" s="32" t="n">
        <f aca="false">IF(AND(ISNUMBER(AO25),ISNUMBER(AL25)),IFERROR(AO25/AL25-1,""),"")</f>
        <v>0.133422635888079</v>
      </c>
      <c r="AP197" s="32" t="n">
        <f aca="false">IF(AND(ISNUMBER(AP25),ISNUMBER(AM25)),IFERROR(AP25/AM25-1,""),"")</f>
        <v>0.131383784760204</v>
      </c>
      <c r="AQ197" s="32" t="n">
        <f aca="false">IF(AND(ISNUMBER(AQ25),ISNUMBER(AN25)),IFERROR(AQ25/AN25-1,""),"")</f>
        <v>0.0440173814081013</v>
      </c>
      <c r="AR197" s="32" t="n">
        <f aca="false">IF(AND(ISNUMBER(AR25),ISNUMBER(AO25)),IFERROR(AR25/AO25-1,""),"")</f>
        <v>0.0883663946368352</v>
      </c>
      <c r="AS197" s="32" t="n">
        <f aca="false">IF(AND(ISNUMBER(AS25),ISNUMBER(AP25)),IFERROR(AS25/AP25-1,""),"")</f>
        <v>0.101207213120571</v>
      </c>
      <c r="AT197" s="32" t="n">
        <f aca="false">IF(AND(ISNUMBER(AT25),ISNUMBER(AQ25)),IFERROR(AT25/AQ25-1,""),"")</f>
        <v>0.0536371699394012</v>
      </c>
      <c r="AU197" s="32" t="n">
        <f aca="false">IF(AND(ISNUMBER(AU25),ISNUMBER(AR25)),IFERROR(AU25/AR25-1,""),"")</f>
        <v>0.0787391439677787</v>
      </c>
      <c r="AV197" s="32" t="n">
        <f aca="false">IF(AND(ISNUMBER(AV25),ISNUMBER(AS25)),IFERROR(AV25/AS25-1,""),"")</f>
        <v>0.00542896036214535</v>
      </c>
      <c r="AW197" s="33" t="n">
        <f aca="false">IF(AND(ISNUMBER(AW25),ISNUMBER(AT25)),IFERROR(AW25/AT25-1,""),"")</f>
        <v>0.0269999999999999</v>
      </c>
      <c r="AX197" s="33" t="n">
        <f aca="false">IF(AND(ISNUMBER(AX25),ISNUMBER(AU25)),IFERROR(AX25/AU25-1,""),"")</f>
        <v>0.0153802170338133</v>
      </c>
      <c r="AY197" s="33" t="n">
        <f aca="false">IF(AND(ISNUMBER(AY25),ISNUMBER(AX25)),IFERROR(AY25/AX25-1,""),"")</f>
        <v>0.0600000000000001</v>
      </c>
      <c r="AZ197" s="33" t="n">
        <f aca="false">IF(AND(ISNUMBER(AZ25),ISNUMBER(AY25)),IFERROR(AZ25/AY25-1,""),"")</f>
        <v>0.05</v>
      </c>
      <c r="BA197" s="33" t="n">
        <f aca="false">IF(AND(ISNUMBER(BA25),ISNUMBER(AZ25)),IFERROR(BA25/AZ25-1,""),"")</f>
        <v>0.0449999999999999</v>
      </c>
      <c r="BB197" s="33" t="n">
        <f aca="false">IF(AND(ISNUMBER(BB25),ISNUMBER(BA25)),IFERROR(BB25/BA25-1,""),"")</f>
        <v>0.04</v>
      </c>
    </row>
    <row r="198" customFormat="false" ht="15" hidden="false" customHeight="true" outlineLevel="0" collapsed="false">
      <c r="B198" s="31" t="s">
        <v>310</v>
      </c>
      <c r="F198" s="32" t="n">
        <f aca="false">IF(AND(ISNUMBER(F158),ISNUMBER(C158)),IFERROR(F158/C158-1,""),"")</f>
        <v>0.234755599149911</v>
      </c>
      <c r="G198" s="32" t="n">
        <f aca="false">IF(AND(ISNUMBER(G158),ISNUMBER(D158)),IFERROR(G158/D158-1,""),"")</f>
        <v>0.212847906827458</v>
      </c>
      <c r="H198" s="32" t="n">
        <f aca="false">IF(AND(ISNUMBER(H158),ISNUMBER(E158)),IFERROR(H158/E158-1,""),"")</f>
        <v>0.222858565737053</v>
      </c>
      <c r="I198" s="32" t="n">
        <f aca="false">IF(AND(ISNUMBER(I158),ISNUMBER(F158)),IFERROR(I158/F158-1,""),"")</f>
        <v>0.197272606911162</v>
      </c>
      <c r="J198" s="32" t="n">
        <f aca="false">IF(AND(ISNUMBER(J158),ISNUMBER(G158)),IFERROR(J158/G158-1,""),"")</f>
        <v>0.17394427431855</v>
      </c>
      <c r="K198" s="32" t="n">
        <f aca="false">IF(AND(ISNUMBER(K158),ISNUMBER(H158)),IFERROR(K158/H158-1,""),"")</f>
        <v>0.184707798818978</v>
      </c>
      <c r="L198" s="32" t="n">
        <f aca="false">IF(AND(ISNUMBER(L158),ISNUMBER(I158)),IFERROR(L158/I158-1,""),"")</f>
        <v>0.128607762910538</v>
      </c>
      <c r="M198" s="32" t="n">
        <f aca="false">IF(AND(ISNUMBER(M158),ISNUMBER(J158)),IFERROR(M158/J158-1,""),"")</f>
        <v>0.0441517454592284</v>
      </c>
      <c r="N198" s="32" t="n">
        <f aca="false">IF(AND(ISNUMBER(N158),ISNUMBER(K158)),IFERROR(N158/K158-1,""),"")</f>
        <v>0.0835324246747222</v>
      </c>
      <c r="O198" s="32" t="n">
        <f aca="false">IF(AND(ISNUMBER(O158),ISNUMBER(L158)),IFERROR(O158/L158-1,""),"")</f>
        <v>0.0903390162649416</v>
      </c>
      <c r="P198" s="32" t="n">
        <f aca="false">IF(AND(ISNUMBER(P158),ISNUMBER(M158)),IFERROR(P158/M158-1,""),"")</f>
        <v>0.102303920056751</v>
      </c>
      <c r="Q198" s="32" t="n">
        <f aca="false">IF(AND(ISNUMBER(Q158),ISNUMBER(N158)),IFERROR(Q158/N158-1,""),"")</f>
        <v>0.0964927586808586</v>
      </c>
      <c r="R198" s="32" t="n">
        <f aca="false">IF(AND(ISNUMBER(R158),ISNUMBER(O158)),IFERROR(R158/O158-1,""),"")</f>
        <v>0.101635514018692</v>
      </c>
      <c r="S198" s="32" t="n">
        <f aca="false">IF(AND(ISNUMBER(S158),ISNUMBER(P158)),IFERROR(S158/P158-1,""),"")</f>
        <v>0.159429210968103</v>
      </c>
      <c r="T198" s="32" t="n">
        <f aca="false">IF(AND(ISNUMBER(T158),ISNUMBER(Q158)),IFERROR(T158/Q158-1,""),"")</f>
        <v>0.131517273305942</v>
      </c>
      <c r="U198" s="32" t="n">
        <f aca="false">IF(AND(ISNUMBER(U158),ISNUMBER(R158)),IFERROR(U158/R158-1,""),"")</f>
        <v>0.130924218941186</v>
      </c>
      <c r="V198" s="32" t="n">
        <f aca="false">IF(AND(ISNUMBER(V158),ISNUMBER(S158)),IFERROR(V158/S158-1,""),"")</f>
        <v>0.107292823012694</v>
      </c>
      <c r="W198" s="32" t="n">
        <f aca="false">IF(AND(ISNUMBER(W158),ISNUMBER(T158)),IFERROR(W158/T158-1,""),"")</f>
        <v>0.118404398133351</v>
      </c>
      <c r="X198" s="32" t="n">
        <f aca="false">IF(AND(ISNUMBER(X158),ISNUMBER(U158)),IFERROR(X158/U158-1,""),"")</f>
        <v>0.111583958453548</v>
      </c>
      <c r="Y198" s="32" t="n">
        <f aca="false">IF(AND(ISNUMBER(Y158),ISNUMBER(V158)),IFERROR(Y158/V158-1,""),"")</f>
        <v>0.0659489146543446</v>
      </c>
      <c r="Z198" s="32" t="n">
        <f aca="false">IF(AND(ISNUMBER(Z158),ISNUMBER(W158)),IFERROR(Z158/W158-1,""),"")</f>
        <v>0.0876468974347249</v>
      </c>
      <c r="AA198" s="32" t="n">
        <f aca="false">IF(AND(ISNUMBER(AA158),ISNUMBER(X158)),IFERROR(AA158/X158-1,""),"")</f>
        <v>0.713624467371792</v>
      </c>
      <c r="AB198" s="32" t="n">
        <f aca="false">IF(AND(ISNUMBER(AB158),ISNUMBER(Y158)),IFERROR(AB158/Y158-1,""),"")</f>
        <v>0.848292782662032</v>
      </c>
      <c r="AC198" s="32" t="n">
        <f aca="false">IF(AND(ISNUMBER(AC158),ISNUMBER(Z158)),IFERROR(AC158/Z158-1,""),"")</f>
        <v>0.78285317889913</v>
      </c>
      <c r="AD198" s="32" t="n">
        <f aca="false">IF(AND(ISNUMBER(AD158),ISNUMBER(AA158)),IFERROR(AD158/AA158-1,""),"")</f>
        <v>-0.664554565420443</v>
      </c>
      <c r="AE198" s="32" t="n">
        <f aca="false">IF(AND(ISNUMBER(AE158),ISNUMBER(AB158)),IFERROR(AE158/AB158-1,""),"")</f>
        <v>0.0466482300884963</v>
      </c>
      <c r="AF198" s="32" t="n">
        <f aca="false">IF(AND(ISNUMBER(AF158),ISNUMBER(AC158)),IFERROR(AF158/AC158-1,""),"")</f>
        <v>-0.285528161956304</v>
      </c>
      <c r="AG198" s="32" t="n">
        <f aca="false">IF(AND(ISNUMBER(AG158),ISNUMBER(AD158)),IFERROR(AG158/AD158-1,""),"")</f>
        <v>2.03262341962673</v>
      </c>
      <c r="AH198" s="32" t="n">
        <f aca="false">IF(AND(ISNUMBER(AH158),ISNUMBER(AE158)),IFERROR(AH158/AE158-1,""),"")</f>
        <v>0.191286978027204</v>
      </c>
      <c r="AI198" s="32" t="n">
        <f aca="false">IF(AND(ISNUMBER(AI158),ISNUMBER(AF158)),IFERROR(AI158/AF158-1,""),"")</f>
        <v>0.595067371877913</v>
      </c>
      <c r="AJ198" s="32" t="n">
        <f aca="false">IF(AND(ISNUMBER(AJ158),ISNUMBER(AG158)),IFERROR(AJ158/AG158-1,""),"")</f>
        <v>0.488330541596874</v>
      </c>
      <c r="AK198" s="32" t="n">
        <f aca="false">IF(AND(ISNUMBER(AK158),ISNUMBER(AH158)),IFERROR(AK158/AH158-1,""),"")</f>
        <v>0.29888392065013</v>
      </c>
      <c r="AL198" s="32" t="n">
        <f aca="false">IF(AND(ISNUMBER(AL158),ISNUMBER(AI158)),IFERROR(AL158/AI158-1,""),"")</f>
        <v>0.377867788175531</v>
      </c>
      <c r="AM198" s="32" t="n">
        <f aca="false">IF(AND(ISNUMBER(AM158),ISNUMBER(AJ158)),IFERROR(AM158/AJ158-1,""),"")</f>
        <v>0.290582899826596</v>
      </c>
      <c r="AN198" s="32" t="n">
        <f aca="false">IF(AND(ISNUMBER(AN158),ISNUMBER(AK158)),IFERROR(AN158/AK158-1,""),"")</f>
        <v>0.171018749359654</v>
      </c>
      <c r="AO198" s="32" t="n">
        <f aca="false">IF(AND(ISNUMBER(AO158),ISNUMBER(AL158)),IFERROR(AO158/AL158-1,""),"")</f>
        <v>0.224863622882072</v>
      </c>
      <c r="AP198" s="32" t="n">
        <f aca="false">IF(AND(ISNUMBER(AP158),ISNUMBER(AM158)),IFERROR(AP158/AM158-1,""),"")</f>
        <v>0.148222314092296</v>
      </c>
      <c r="AQ198" s="32" t="n">
        <f aca="false">IF(AND(ISNUMBER(AQ158),ISNUMBER(AN158)),IFERROR(AQ158/AN158-1,""),"")</f>
        <v>0.0902807347048282</v>
      </c>
      <c r="AR198" s="32" t="n">
        <f aca="false">IF(AND(ISNUMBER(AR158),ISNUMBER(AO158)),IFERROR(AR158/AO158-1,""),"")</f>
        <v>0.117774351649497</v>
      </c>
      <c r="AS198" s="32" t="n">
        <f aca="false">IF(AND(ISNUMBER(AS158),ISNUMBER(AP158)),IFERROR(AS158/AP158-1,""),"")</f>
        <v>0.128610326631186</v>
      </c>
      <c r="AT198" s="32" t="n">
        <f aca="false">IF(AND(ISNUMBER(AT158),ISNUMBER(AQ158)),IFERROR(AT158/AQ158-1,""),"")</f>
        <v>0.154755217444803</v>
      </c>
      <c r="AU198" s="32" t="n">
        <f aca="false">IF(AND(ISNUMBER(AU158),ISNUMBER(AR158)),IFERROR(AU158/AR158-1,""),"")</f>
        <v>0.142011379995887</v>
      </c>
      <c r="AV198" s="32" t="n">
        <f aca="false">IF(AND(ISNUMBER(AV158),ISNUMBER(AS158)),IFERROR(AV158/AS158-1,""),"")</f>
        <v>0.129237594397228</v>
      </c>
      <c r="AW198" s="33" t="n">
        <f aca="false">IF(AND(ISNUMBER(AW158),ISNUMBER(AT158)),IFERROR(AW158/AT158-1,""),"")</f>
        <v>0.0955559329641555</v>
      </c>
      <c r="AX198" s="33" t="n">
        <f aca="false">IF(AND(ISNUMBER(AX158),ISNUMBER(AU158)),IFERROR(AX158/AU158-1,""),"")</f>
        <v>0.111780775287233</v>
      </c>
      <c r="AY198" s="33" t="n">
        <f aca="false">IF(AND(ISNUMBER(AY158),ISNUMBER(AX158)),IFERROR(AY158/AX158-1,""),"")</f>
        <v>0.107568020330334</v>
      </c>
      <c r="AZ198" s="33" t="n">
        <f aca="false">IF(AND(ISNUMBER(AZ158),ISNUMBER(AY158)),IFERROR(AZ158/AY158-1,""),"")</f>
        <v>0.0934576569394598</v>
      </c>
      <c r="BA198" s="33" t="n">
        <f aca="false">IF(AND(ISNUMBER(BA158),ISNUMBER(AZ158)),IFERROR(BA158/AZ158-1,""),"")</f>
        <v>0.084219488279877</v>
      </c>
      <c r="BB198" s="33" t="n">
        <f aca="false">IF(AND(ISNUMBER(BB158),ISNUMBER(BA158)),IFERROR(BB158/BA158-1,""),"")</f>
        <v>0.0785907490978992</v>
      </c>
    </row>
    <row r="199" customFormat="false" ht="15" hidden="false" customHeight="true" outlineLevel="0" collapsed="false">
      <c r="B199" s="31" t="s">
        <v>311</v>
      </c>
      <c r="F199" s="32" t="n">
        <f aca="false">IF(AND(ISNUMBER(F120),ISNUMBER(C120)),IFERROR(F120/C120-1,""),"")</f>
        <v>-0.157060518731988</v>
      </c>
      <c r="G199" s="32" t="n">
        <f aca="false">IF(AND(ISNUMBER(G120),ISNUMBER(D120)),IFERROR(G120/D120-1,""),"")</f>
        <v>0.176510952757986</v>
      </c>
      <c r="H199" s="32" t="n">
        <f aca="false">IF(AND(ISNUMBER(H120),ISNUMBER(E120)),IFERROR(H120/E120-1,""),"")</f>
        <v>0.023977998682214</v>
      </c>
      <c r="I199" s="32" t="n">
        <f aca="false">IF(AND(ISNUMBER(I120),ISNUMBER(F120)),IFERROR(I120/F120-1,""),"")</f>
        <v>0.620512820512823</v>
      </c>
      <c r="J199" s="32" t="n">
        <f aca="false">IF(AND(ISNUMBER(J120),ISNUMBER(G120)),IFERROR(J120/G120-1,""),"")</f>
        <v>0.128449010722776</v>
      </c>
      <c r="K199" s="32" t="n">
        <f aca="false">IF(AND(ISNUMBER(K120),ISNUMBER(H120)),IFERROR(K120/H120-1,""),"")</f>
        <v>0.313675022381378</v>
      </c>
      <c r="L199" s="32" t="n">
        <f aca="false">IF(AND(ISNUMBER(L120),ISNUMBER(I120)),IFERROR(L120/I120-1,""),"")</f>
        <v>0.114290955787929</v>
      </c>
      <c r="M199" s="32" t="n">
        <f aca="false">IF(AND(ISNUMBER(M120),ISNUMBER(J120)),IFERROR(M120/J120-1,""),"")</f>
        <v>-0.00473123409669385</v>
      </c>
      <c r="N199" s="32" t="n">
        <f aca="false">IF(AND(ISNUMBER(N120),ISNUMBER(K120)),IFERROR(N120/K120-1,""),"")</f>
        <v>0.0505366726296961</v>
      </c>
      <c r="O199" s="32" t="n">
        <f aca="false">IF(AND(ISNUMBER(O120),ISNUMBER(L120)),IFERROR(O120/L120-1,""),"")</f>
        <v>0.0228844254198213</v>
      </c>
      <c r="P199" s="32" t="n">
        <f aca="false">IF(AND(ISNUMBER(P120),ISNUMBER(M120)),IFERROR(P120/M120-1,""),"")</f>
        <v>0.0435425238684948</v>
      </c>
      <c r="Q199" s="32" t="n">
        <f aca="false">IF(AND(ISNUMBER(Q120),ISNUMBER(N120)),IFERROR(Q120/N120-1,""),"")</f>
        <v>0.0333677958199035</v>
      </c>
      <c r="R199" s="32" t="n">
        <f aca="false">IF(AND(ISNUMBER(R120),ISNUMBER(O120)),IFERROR(R120/O120-1,""),"")</f>
        <v>0.043215837759538</v>
      </c>
      <c r="S199" s="32" t="n">
        <f aca="false">IF(AND(ISNUMBER(S120),ISNUMBER(P120)),IFERROR(S120/P120-1,""),"")</f>
        <v>0.175936913830724</v>
      </c>
      <c r="T199" s="32" t="n">
        <f aca="false">IF(AND(ISNUMBER(T120),ISNUMBER(Q120)),IFERROR(T120/Q120-1,""),"")</f>
        <v>0.111230995586071</v>
      </c>
      <c r="U199" s="32" t="n">
        <f aca="false">IF(AND(ISNUMBER(U120),ISNUMBER(R120)),IFERROR(U120/R120-1,""),"")</f>
        <v>0.196675152356707</v>
      </c>
      <c r="V199" s="32" t="n">
        <f aca="false">IF(AND(ISNUMBER(V120),ISNUMBER(S120)),IFERROR(V120/S120-1,""),"")</f>
        <v>0.0969107067287354</v>
      </c>
      <c r="W199" s="32" t="n">
        <f aca="false">IF(AND(ISNUMBER(W120),ISNUMBER(T120)),IFERROR(W120/T120-1,""),"")</f>
        <v>0.142572159943508</v>
      </c>
      <c r="X199" s="32" t="n">
        <f aca="false">IF(AND(ISNUMBER(X120),ISNUMBER(U120)),IFERROR(X120/U120-1,""),"")</f>
        <v>0.110072522159548</v>
      </c>
      <c r="Y199" s="32" t="n">
        <f aca="false">IF(AND(ISNUMBER(Y120),ISNUMBER(V120)),IFERROR(Y120/V120-1,""),"")</f>
        <v>0.0416073124406444</v>
      </c>
      <c r="Z199" s="32" t="n">
        <f aca="false">IF(AND(ISNUMBER(Z120),ISNUMBER(W120)),IFERROR(Z120/W120-1,""),"")</f>
        <v>0.0744271565643297</v>
      </c>
      <c r="AA199" s="32" t="n">
        <f aca="false">IF(AND(ISNUMBER(AA120),ISNUMBER(X120)),IFERROR(AA120/X120-1,""),"")</f>
        <v>0.136527293844369</v>
      </c>
      <c r="AB199" s="32" t="n">
        <f aca="false">IF(AND(ISNUMBER(AB120),ISNUMBER(Y120)),IFERROR(AB120/Y120-1,""),"")</f>
        <v>0.260299732178471</v>
      </c>
      <c r="AC199" s="32" t="n">
        <f aca="false">IF(AND(ISNUMBER(AC120),ISNUMBER(Z120)),IFERROR(AC120/Z120-1,""),"")</f>
        <v>0.198999108401162</v>
      </c>
      <c r="AD199" s="32" t="n">
        <f aca="false">IF(AND(ISNUMBER(AD120),ISNUMBER(AA120)),IFERROR(AD120/AA120-1,""),"")</f>
        <v>-2.36106995043687</v>
      </c>
      <c r="AE199" s="32" t="n">
        <f aca="false">IF(AND(ISNUMBER(AE120),ISNUMBER(AB120)),IFERROR(AE120/AB120-1,""),"")</f>
        <v>-0.130600895238955</v>
      </c>
      <c r="AF199" s="32" t="n">
        <f aca="false">IF(AND(ISNUMBER(AF120),ISNUMBER(AC120)),IFERROR(AF120/AC120-1,""),"")</f>
        <v>-1.17772500479754</v>
      </c>
      <c r="AG199" s="32" t="n">
        <f aca="false">IF(AND(ISNUMBER(AG120),ISNUMBER(AD120)),IFERROR(AG120/AD120-1,""),"")</f>
        <v>-1.47553261379634</v>
      </c>
      <c r="AH199" s="32" t="n">
        <f aca="false">IF(AND(ISNUMBER(AH120),ISNUMBER(AE120)),IFERROR(AH120/AE120-1,""),"")</f>
        <v>0.344410640455572</v>
      </c>
      <c r="AI199" s="32" t="n">
        <f aca="false">IF(AND(ISNUMBER(AI120),ISNUMBER(AF120)),IFERROR(AI120/AF120-1,""),"")</f>
        <v>-6.19881225536511</v>
      </c>
      <c r="AJ199" s="32" t="n">
        <f aca="false">IF(AND(ISNUMBER(AJ120),ISNUMBER(AG120)),IFERROR(AJ120/AG120-1,""),"")</f>
        <v>1.27970316570617</v>
      </c>
      <c r="AK199" s="32" t="n">
        <f aca="false">IF(AND(ISNUMBER(AK120),ISNUMBER(AH120)),IFERROR(AK120/AH120-1,""),"")</f>
        <v>0.48268925766895</v>
      </c>
      <c r="AL199" s="32" t="n">
        <f aca="false">IF(AND(ISNUMBER(AL120),ISNUMBER(AI120)),IFERROR(AL120/AI120-1,""),"")</f>
        <v>0.744794641466329</v>
      </c>
      <c r="AM199" s="32" t="n">
        <f aca="false">IF(AND(ISNUMBER(AM120),ISNUMBER(AJ120)),IFERROR(AM120/AJ120-1,""),"")</f>
        <v>0.518388336738579</v>
      </c>
      <c r="AN199" s="32" t="n">
        <f aca="false">IF(AND(ISNUMBER(AN120),ISNUMBER(AK120)),IFERROR(AN120/AK120-1,""),"")</f>
        <v>0.300751389287486</v>
      </c>
      <c r="AO199" s="32" t="n">
        <f aca="false">IF(AND(ISNUMBER(AO120),ISNUMBER(AL120)),IFERROR(AO120/AL120-1,""),"")</f>
        <v>0.394265392970865</v>
      </c>
      <c r="AP199" s="32" t="n">
        <f aca="false">IF(AND(ISNUMBER(AP120),ISNUMBER(AM120)),IFERROR(AP120/AM120-1,""),"")</f>
        <v>0.192649356277014</v>
      </c>
      <c r="AQ199" s="32" t="n">
        <f aca="false">IF(AND(ISNUMBER(AQ120),ISNUMBER(AN120)),IFERROR(AQ120/AN120-1,""),"")</f>
        <v>0.0739221565894104</v>
      </c>
      <c r="AR199" s="32" t="n">
        <f aca="false">IF(AND(ISNUMBER(AR120),ISNUMBER(AO120)),IFERROR(AR120/AO120-1,""),"")</f>
        <v>0.129478245093541</v>
      </c>
      <c r="AS199" s="32" t="n">
        <f aca="false">IF(AND(ISNUMBER(AS120),ISNUMBER(AP120)),IFERROR(AS120/AP120-1,""),"")</f>
        <v>0.088443114344994</v>
      </c>
      <c r="AT199" s="32" t="n">
        <f aca="false">IF(AND(ISNUMBER(AT120),ISNUMBER(AQ120)),IFERROR(AT120/AQ120-1,""),"")</f>
        <v>0.0640898733704385</v>
      </c>
      <c r="AU199" s="32" t="n">
        <f aca="false">IF(AND(ISNUMBER(AU120),ISNUMBER(AR120)),IFERROR(AU120/AR120-1,""),"")</f>
        <v>0.0761228510282477</v>
      </c>
      <c r="AV199" s="32" t="n">
        <f aca="false">IF(AND(ISNUMBER(AV120),ISNUMBER(AS120)),IFERROR(AV120/AS120-1,""),"")</f>
        <v>0.126162846877553</v>
      </c>
      <c r="AW199" s="33" t="n">
        <f aca="false">IF(AND(ISNUMBER(AW120),ISNUMBER(AT120)),IFERROR(AW120/AT120-1,""),"")</f>
        <v>0.179677048776805</v>
      </c>
      <c r="AX199" s="33" t="n">
        <f aca="false">IF(AND(ISNUMBER(AX120),ISNUMBER(AU120)),IFERROR(AX120/AU120-1,""),"")</f>
        <v>0.152932869196126</v>
      </c>
      <c r="AY199" s="33" t="n">
        <f aca="false">IF(AND(ISNUMBER(AY120),ISNUMBER(AX120)),IFERROR(AY120/AX120-1,""),"")</f>
        <v>0.0976588615987126</v>
      </c>
      <c r="AZ199" s="33" t="n">
        <f aca="false">IF(AND(ISNUMBER(AZ120),ISNUMBER(AY120)),IFERROR(AZ120/AY120-1,""),"")</f>
        <v>0.118946977319253</v>
      </c>
      <c r="BA199" s="33" t="n">
        <f aca="false">IF(AND(ISNUMBER(BA120),ISNUMBER(AZ120)),IFERROR(BA120/AZ120-1,""),"")</f>
        <v>0.110681659059208</v>
      </c>
      <c r="BB199" s="33" t="n">
        <f aca="false">IF(AND(ISNUMBER(BB120),ISNUMBER(BA120)),IFERROR(BB120/BA120-1,""),"")</f>
        <v>0.0916430470917962</v>
      </c>
    </row>
    <row r="200" customFormat="false" ht="15" hidden="false" customHeight="true" outlineLevel="0" collapsed="false">
      <c r="B200" s="31" t="s">
        <v>312</v>
      </c>
      <c r="F200" s="32" t="n">
        <f aca="false">IF(AND(ISNUMBER(F133),ISNUMBER(C133)),IFERROR(F133/C133-1,""),"")</f>
        <v>-0.083032069970845</v>
      </c>
      <c r="G200" s="32" t="n">
        <f aca="false">IF(AND(ISNUMBER(G133),ISNUMBER(D133)),IFERROR(G133/D133-1,""),"")</f>
        <v>0.250406225947151</v>
      </c>
      <c r="H200" s="32" t="n">
        <f aca="false">IF(AND(ISNUMBER(H133),ISNUMBER(E133)),IFERROR(H133/E133-1,""),"")</f>
        <v>0.109334912176833</v>
      </c>
      <c r="I200" s="32" t="n">
        <f aca="false">IF(AND(ISNUMBER(I133),ISNUMBER(F133)),IFERROR(I133/F133-1,""),"")</f>
        <v>0.786468269108487</v>
      </c>
      <c r="J200" s="32" t="n">
        <f aca="false">IF(AND(ISNUMBER(J133),ISNUMBER(G133)),IFERROR(J133/G133-1,""),"")</f>
        <v>0.123657752547703</v>
      </c>
      <c r="K200" s="32" t="n">
        <f aca="false">IF(AND(ISNUMBER(K133),ISNUMBER(H133)),IFERROR(K133/H133-1,""),"")</f>
        <v>0.35545276641167</v>
      </c>
      <c r="L200" s="32" t="n">
        <f aca="false">IF(AND(ISNUMBER(L133),ISNUMBER(I133)),IFERROR(L133/I133-1,""),"")</f>
        <v>0.18302840464156</v>
      </c>
      <c r="M200" s="32" t="n">
        <f aca="false">IF(AND(ISNUMBER(M133),ISNUMBER(J133)),IFERROR(M133/J133-1,""),"")</f>
        <v>0.000791283705640078</v>
      </c>
      <c r="N200" s="32" t="n">
        <f aca="false">IF(AND(ISNUMBER(N133),ISNUMBER(K133)),IFERROR(N133/K133-1,""),"")</f>
        <v>0.0847880299251875</v>
      </c>
      <c r="O200" s="32" t="n">
        <f aca="false">IF(AND(ISNUMBER(O133),ISNUMBER(L133)),IFERROR(O133/L133-1,""),"")</f>
        <v>0.0500060175713069</v>
      </c>
      <c r="P200" s="32" t="n">
        <f aca="false">IF(AND(ISNUMBER(P133),ISNUMBER(M133)),IFERROR(P133/M133-1,""),"")</f>
        <v>-0.033633377934556</v>
      </c>
      <c r="Q200" s="32" t="n">
        <f aca="false">IF(AND(ISNUMBER(Q133),ISNUMBER(N133)),IFERROR(Q133/N133-1,""),"")</f>
        <v>0.0084089534180285</v>
      </c>
      <c r="R200" s="32" t="n">
        <f aca="false">IF(AND(ISNUMBER(R133),ISNUMBER(O133)),IFERROR(R133/O133-1,""),"")</f>
        <v>-0.0706057653733718</v>
      </c>
      <c r="S200" s="32" t="n">
        <f aca="false">IF(AND(ISNUMBER(S133),ISNUMBER(P133)),IFERROR(S133/P133-1,""),"")</f>
        <v>0.270061048524137</v>
      </c>
      <c r="T200" s="32" t="n">
        <f aca="false">IF(AND(ISNUMBER(T133),ISNUMBER(Q133)),IFERROR(T133/Q133-1,""),"")</f>
        <v>0.0917571539984392</v>
      </c>
      <c r="U200" s="32" t="n">
        <f aca="false">IF(AND(ISNUMBER(U133),ISNUMBER(R133)),IFERROR(U133/R133-1,""),"")</f>
        <v>0.207374976876117</v>
      </c>
      <c r="V200" s="32" t="n">
        <f aca="false">IF(AND(ISNUMBER(V133),ISNUMBER(S133)),IFERROR(V133/S133-1,""),"")</f>
        <v>0.562784935579783</v>
      </c>
      <c r="W200" s="32" t="n">
        <f aca="false">IF(AND(ISNUMBER(W133),ISNUMBER(T133)),IFERROR(W133/T133-1,""),"")</f>
        <v>0.404428936450807</v>
      </c>
      <c r="X200" s="32" t="n">
        <f aca="false">IF(AND(ISNUMBER(X133),ISNUMBER(U133)),IFERROR(X133/U133-1,""),"")</f>
        <v>0.332073544433094</v>
      </c>
      <c r="Y200" s="32" t="n">
        <f aca="false">IF(AND(ISNUMBER(Y133),ISNUMBER(V133)),IFERROR(Y133/V133-1,""),"")</f>
        <v>-0.219646764118338</v>
      </c>
      <c r="Z200" s="32" t="n">
        <f aca="false">IF(AND(ISNUMBER(Z133),ISNUMBER(W133)),IFERROR(Z133/W133-1,""),"")</f>
        <v>-0.00831425944402064</v>
      </c>
      <c r="AA200" s="32" t="n">
        <f aca="false">IF(AND(ISNUMBER(AA133),ISNUMBER(X133)),IFERROR(AA133/X133-1,""),"")</f>
        <v>-0.0298290008434908</v>
      </c>
      <c r="AB200" s="32" t="n">
        <f aca="false">IF(AND(ISNUMBER(AB133),ISNUMBER(Y133)),IFERROR(AB133/Y133-1,""),"")</f>
        <v>0.107232832182038</v>
      </c>
      <c r="AC200" s="32" t="n">
        <f aca="false">IF(AND(ISNUMBER(AC133),ISNUMBER(Z133)),IFERROR(AC133/Z133-1,""),"")</f>
        <v>0.0367119072042919</v>
      </c>
      <c r="AD200" s="32" t="n">
        <f aca="false">IF(AND(ISNUMBER(AD133),ISNUMBER(AA133)),IFERROR(AD133/AA133-1,""),"")</f>
        <v>-2.87796395826746</v>
      </c>
      <c r="AE200" s="32" t="n">
        <f aca="false">IF(AND(ISNUMBER(AE133),ISNUMBER(AB133)),IFERROR(AE133/AB133-1,""),"")</f>
        <v>-0.475063305075414</v>
      </c>
      <c r="AF200" s="32" t="n">
        <f aca="false">IF(AND(ISNUMBER(AF133),ISNUMBER(AC133)),IFERROR(AF133/AC133-1,""),"")</f>
        <v>-1.63204764713718</v>
      </c>
      <c r="AG200" s="32" t="n">
        <f aca="false">IF(AND(ISNUMBER(AG133),ISNUMBER(AD133)),IFERROR(AG133/AD133-1,""),"")</f>
        <v>-1.42817760942761</v>
      </c>
      <c r="AH200" s="32" t="n">
        <f aca="false">IF(AND(ISNUMBER(AH133),ISNUMBER(AE133)),IFERROR(AH133/AE133-1,""),"")</f>
        <v>1.30529921700223</v>
      </c>
      <c r="AI200" s="32" t="n">
        <f aca="false">IF(AND(ISNUMBER(AI133),ISNUMBER(AF133)),IFERROR(AI133/AF133-1,""),"")</f>
        <v>-2.60531069364162</v>
      </c>
      <c r="AJ200" s="32" t="n">
        <f aca="false">IF(AND(ISNUMBER(AJ133),ISNUMBER(AG133)),IFERROR(AJ133/AG133-1,""),"")</f>
        <v>1.28957585884897</v>
      </c>
      <c r="AK200" s="32" t="n">
        <f aca="false">IF(AND(ISNUMBER(AK133),ISNUMBER(AH133)),IFERROR(AK133/AH133-1,""),"")</f>
        <v>0.0314783927217599</v>
      </c>
      <c r="AL200" s="32" t="n">
        <f aca="false">IF(AND(ISNUMBER(AL133),ISNUMBER(AI133)),IFERROR(AL133/AI133-1,""),"")</f>
        <v>0.511552454896667</v>
      </c>
      <c r="AM200" s="32" t="n">
        <f aca="false">IF(AND(ISNUMBER(AM133),ISNUMBER(AJ133)),IFERROR(AM133/AJ133-1,""),"")</f>
        <v>0.326192418323098</v>
      </c>
      <c r="AN200" s="32" t="n">
        <f aca="false">IF(AND(ISNUMBER(AN133),ISNUMBER(AK133)),IFERROR(AN133/AK133-1,""),"")</f>
        <v>0.553376650104376</v>
      </c>
      <c r="AO200" s="32" t="n">
        <f aca="false">IF(AND(ISNUMBER(AO133),ISNUMBER(AL133)),IFERROR(AO133/AL133-1,""),"")</f>
        <v>0.42206478988573</v>
      </c>
      <c r="AP200" s="32" t="n">
        <f aca="false">IF(AND(ISNUMBER(AP133),ISNUMBER(AM133)),IFERROR(AP133/AM133-1,""),"")</f>
        <v>-0.0136447508983173</v>
      </c>
      <c r="AQ200" s="32" t="n">
        <f aca="false">IF(AND(ISNUMBER(AQ133),ISNUMBER(AN133)),IFERROR(AQ133/AN133-1,""),"")</f>
        <v>0.107958739471939</v>
      </c>
      <c r="AR200" s="32" t="n">
        <f aca="false">IF(AND(ISNUMBER(AR133),ISNUMBER(AO133)),IFERROR(AR133/AO133-1,""),"")</f>
        <v>0.0424108116597022</v>
      </c>
      <c r="AS200" s="32" t="n">
        <f aca="false">IF(AND(ISNUMBER(AS133),ISNUMBER(AP133)),IFERROR(AS133/AP133-1,""),"")</f>
        <v>0.202235021907151</v>
      </c>
      <c r="AT200" s="32" t="n">
        <f aca="false">IF(AND(ISNUMBER(AT133),ISNUMBER(AQ133)),IFERROR(AT133/AQ133-1,""),"")</f>
        <v>0.0552110558772787</v>
      </c>
      <c r="AU200" s="32" t="n">
        <f aca="false">IF(AND(ISNUMBER(AU133),ISNUMBER(AR133)),IFERROR(AU133/AR133-1,""),"")</f>
        <v>0.130199702037197</v>
      </c>
      <c r="AV200" s="32" t="n">
        <f aca="false">IF(AND(ISNUMBER(AV133),ISNUMBER(AS133)),IFERROR(AV133/AS133-1,""),"")</f>
        <v>0.039023790999549</v>
      </c>
      <c r="AW200" s="33" t="n">
        <f aca="false">IF(AND(ISNUMBER(AW133),ISNUMBER(AT133)),IFERROR(AW133/AT133-1,""),"")</f>
        <v>0.283690206161721</v>
      </c>
      <c r="AX200" s="33" t="n">
        <f aca="false">IF(AND(ISNUMBER(AX133),ISNUMBER(AU133)),IFERROR(AX133/AU133-1,""),"")</f>
        <v>0.150945893070008</v>
      </c>
      <c r="AY200" s="33" t="n">
        <f aca="false">IF(AND(ISNUMBER(AY133),ISNUMBER(AX133)),IFERROR(AY133/AX133-1,""),"")</f>
        <v>0.0911002842235336</v>
      </c>
      <c r="AZ200" s="33" t="n">
        <f aca="false">IF(AND(ISNUMBER(AZ133),ISNUMBER(AY133)),IFERROR(AZ133/AY133-1,""),"")</f>
        <v>0.134289783736152</v>
      </c>
      <c r="BA200" s="33" t="n">
        <f aca="false">IF(AND(ISNUMBER(BA133),ISNUMBER(AZ133)),IFERROR(BA133/AZ133-1,""),"")</f>
        <v>0.125502811659688</v>
      </c>
      <c r="BB200" s="33" t="n">
        <f aca="false">IF(AND(ISNUMBER(BB133),ISNUMBER(BA133)),IFERROR(BB133/BA133-1,""),"")</f>
        <v>0.102360417928607</v>
      </c>
    </row>
    <row r="201" customFormat="false" ht="15" hidden="false" customHeight="true" outlineLevel="0" collapsed="false">
      <c r="B201" s="31" t="s">
        <v>313</v>
      </c>
      <c r="F201" s="32" t="str">
        <f aca="false">IF(AND(ISNUMBER(F188),ISNUMBER(C188)),IFERROR(F188/C188-1,""),"")</f>
        <v/>
      </c>
      <c r="G201" s="32" t="str">
        <f aca="false">IF(AND(ISNUMBER(G188),ISNUMBER(D188)),IFERROR(G188/D188-1,""),"")</f>
        <v/>
      </c>
      <c r="H201" s="32" t="n">
        <f aca="false">IF(AND(ISNUMBER(H188),ISNUMBER(E188)),IFERROR(H188/E188-1,""),"")</f>
        <v>0.203209485740781</v>
      </c>
      <c r="I201" s="32" t="str">
        <f aca="false">IF(AND(ISNUMBER(I188),ISNUMBER(F188)),IFERROR(I188/F188-1,""),"")</f>
        <v/>
      </c>
      <c r="J201" s="32" t="str">
        <f aca="false">IF(AND(ISNUMBER(J188),ISNUMBER(G188)),IFERROR(J188/G188-1,""),"")</f>
        <v/>
      </c>
      <c r="K201" s="32" t="n">
        <f aca="false">IF(AND(ISNUMBER(K188),ISNUMBER(H188)),IFERROR(K188/H188-1,""),"")</f>
        <v>0.102676603509845</v>
      </c>
      <c r="L201" s="32" t="n">
        <f aca="false">IF(AND(ISNUMBER(L188),ISNUMBER(I188)),IFERROR(L188/I188-1,""),"")</f>
        <v>0.18302840464156</v>
      </c>
      <c r="M201" s="32" t="n">
        <f aca="false">IF(AND(ISNUMBER(M188),ISNUMBER(J188)),IFERROR(M188/J188-1,""),"")</f>
        <v>0.000791283705640078</v>
      </c>
      <c r="N201" s="32" t="n">
        <f aca="false">IF(AND(ISNUMBER(N188),ISNUMBER(K188)),IFERROR(N188/K188-1,""),"")</f>
        <v>0.0847880299251875</v>
      </c>
      <c r="O201" s="32" t="n">
        <f aca="false">IF(AND(ISNUMBER(O188),ISNUMBER(L188)),IFERROR(O188/L188-1,""),"")</f>
        <v>0.0500060175713071</v>
      </c>
      <c r="P201" s="32" t="n">
        <f aca="false">IF(AND(ISNUMBER(P188),ISNUMBER(M188)),IFERROR(P188/M188-1,""),"")</f>
        <v>-0.033633377934556</v>
      </c>
      <c r="Q201" s="32" t="n">
        <f aca="false">IF(AND(ISNUMBER(Q188),ISNUMBER(N188)),IFERROR(Q188/N188-1,""),"")</f>
        <v>0.0084089534180285</v>
      </c>
      <c r="R201" s="32" t="n">
        <f aca="false">IF(AND(ISNUMBER(R188),ISNUMBER(O188)),IFERROR(R188/O188-1,""),"")</f>
        <v>0.0393145739010852</v>
      </c>
      <c r="S201" s="32" t="n">
        <f aca="false">IF(AND(ISNUMBER(S188),ISNUMBER(P188)),IFERROR(S188/P188-1,""),"")</f>
        <v>0.276795267165965</v>
      </c>
      <c r="T201" s="32" t="n">
        <f aca="false">IF(AND(ISNUMBER(T188),ISNUMBER(Q188)),IFERROR(T188/Q188-1,""),"")</f>
        <v>0.152498650188973</v>
      </c>
      <c r="U201" s="32" t="n">
        <f aca="false">IF(AND(ISNUMBER(U188),ISNUMBER(R188)),IFERROR(U188/R188-1,""),"")</f>
        <v>0.0796801764543693</v>
      </c>
      <c r="V201" s="32" t="n">
        <f aca="false">IF(AND(ISNUMBER(V188),ISNUMBER(S188)),IFERROR(V188/S188-1,""),"")</f>
        <v>0.0418494602454782</v>
      </c>
      <c r="W201" s="32" t="n">
        <f aca="false">IF(AND(ISNUMBER(W188),ISNUMBER(T188)),IFERROR(W188/T188-1,""),"")</f>
        <v>0.0597053771276876</v>
      </c>
      <c r="X201" s="32" t="n">
        <f aca="false">IF(AND(ISNUMBER(X188),ISNUMBER(U188)),IFERROR(X188/U188-1,""),"")</f>
        <v>0.229519918283962</v>
      </c>
      <c r="Y201" s="32" t="n">
        <f aca="false">IF(AND(ISNUMBER(Y188),ISNUMBER(V188)),IFERROR(Y188/V188-1,""),"")</f>
        <v>0.0217165026495065</v>
      </c>
      <c r="Z201" s="32" t="n">
        <f aca="false">IF(AND(ISNUMBER(Z188),ISNUMBER(W188)),IFERROR(Z188/W188-1,""),"")</f>
        <v>0.121647509578544</v>
      </c>
      <c r="AA201" s="32" t="n">
        <f aca="false">IF(AND(ISNUMBER(AA188),ISNUMBER(X188)),IFERROR(AA188/X188-1,""),"")</f>
        <v>-0.0527540084738692</v>
      </c>
      <c r="AB201" s="32" t="n">
        <f aca="false">IF(AND(ISNUMBER(AB188),ISNUMBER(Y188)),IFERROR(AB188/Y188-1,""),"")</f>
        <v>0.115999073859688</v>
      </c>
      <c r="AC201" s="32" t="n">
        <f aca="false">IF(AND(ISNUMBER(AC188),ISNUMBER(Z188)),IFERROR(AC188/Z188-1,""),"")</f>
        <v>0.0270424138912602</v>
      </c>
      <c r="AD201" s="32" t="n">
        <f aca="false">IF(AND(ISNUMBER(AD188),ISNUMBER(AA188)),IFERROR(AD188/AA188-1,""),"")</f>
        <v>-1.76828626556744</v>
      </c>
      <c r="AE201" s="32" t="n">
        <f aca="false">IF(AND(ISNUMBER(AE188),ISNUMBER(AB188)),IFERROR(AE188/AB188-1,""),"")</f>
        <v>-0.334813278008297</v>
      </c>
      <c r="AF201" s="32" t="n">
        <f aca="false">IF(AND(ISNUMBER(AF188),ISNUMBER(AC188)),IFERROR(AF188/AC188-1,""),"")</f>
        <v>-1.03174569333106</v>
      </c>
      <c r="AG201" s="32" t="n">
        <f aca="false">IF(AND(ISNUMBER(AG188),ISNUMBER(AD188)),IFERROR(AG188/AD188-1,""),"")</f>
        <v>-1.63624429223744</v>
      </c>
      <c r="AH201" s="32" t="n">
        <f aca="false">IF(AND(ISNUMBER(AH188),ISNUMBER(AE188)),IFERROR(AH188/AE188-1,""),"")</f>
        <v>1.08046909113592</v>
      </c>
      <c r="AI201" s="32" t="n">
        <f aca="false">IF(AND(ISNUMBER(AI188),ISNUMBER(AF188)),IFERROR(AI188/AF188-1,""),"")</f>
        <v>-30.8851578240436</v>
      </c>
      <c r="AJ201" s="32" t="n">
        <f aca="false">IF(AND(ISNUMBER(AJ188),ISNUMBER(AG188)),IFERROR(AJ188/AG188-1,""),"")</f>
        <v>3.17924105140397</v>
      </c>
      <c r="AK201" s="32" t="n">
        <f aca="false">IF(AND(ISNUMBER(AK188),ISNUMBER(AH188)),IFERROR(AK188/AH188-1,""),"")</f>
        <v>0.0198189014152084</v>
      </c>
      <c r="AL201" s="32" t="n">
        <f aca="false">IF(AND(ISNUMBER(AL188),ISNUMBER(AI188)),IFERROR(AL188/AI188-1,""),"")</f>
        <v>0.811254185487316</v>
      </c>
      <c r="AM201" s="32" t="n">
        <f aca="false">IF(AND(ISNUMBER(AM188),ISNUMBER(AJ188)),IFERROR(AM188/AJ188-1,""),"")</f>
        <v>0.326542196287502</v>
      </c>
      <c r="AN201" s="32" t="n">
        <f aca="false">IF(AND(ISNUMBER(AN188),ISNUMBER(AK188)),IFERROR(AN188/AK188-1,""),"")</f>
        <v>0.553373269233143</v>
      </c>
      <c r="AO201" s="32" t="n">
        <f aca="false">IF(AND(ISNUMBER(AO188),ISNUMBER(AL188)),IFERROR(AO188/AL188-1,""),"")</f>
        <v>0.422250749171185</v>
      </c>
      <c r="AP201" s="32" t="n">
        <f aca="false">IF(AND(ISNUMBER(AP188),ISNUMBER(AM188)),IFERROR(AP188/AM188-1,""),"")</f>
        <v>-0.0138131141887662</v>
      </c>
      <c r="AQ201" s="32" t="n">
        <f aca="false">IF(AND(ISNUMBER(AQ188),ISNUMBER(AN188)),IFERROR(AQ188/AN188-1,""),"")</f>
        <v>0.107984190465156</v>
      </c>
      <c r="AR201" s="32" t="n">
        <f aca="false">IF(AND(ISNUMBER(AR188),ISNUMBER(AO188)),IFERROR(AR188/AO188-1,""),"")</f>
        <v>0.0423338221748715</v>
      </c>
      <c r="AS201" s="32" t="n">
        <f aca="false">IF(AND(ISNUMBER(AS188),ISNUMBER(AP188)),IFERROR(AS188/AP188-1,""),"")</f>
        <v>0.202981240419843</v>
      </c>
      <c r="AT201" s="32" t="n">
        <f aca="false">IF(AND(ISNUMBER(AT188),ISNUMBER(AQ188)),IFERROR(AT188/AQ188-1,""),"")</f>
        <v>0.153656735306264</v>
      </c>
      <c r="AU201" s="32" t="n">
        <f aca="false">IF(AND(ISNUMBER(AU188),ISNUMBER(AR188)),IFERROR(AU188/AR188-1,""),"")</f>
        <v>0.178798734944671</v>
      </c>
      <c r="AV201" s="32" t="n">
        <f aca="false">IF(AND(ISNUMBER(AV188),ISNUMBER(AS188)),IFERROR(AV188/AS188-1,""),"")</f>
        <v>0.0382827072806184</v>
      </c>
      <c r="AW201" s="33" t="n">
        <f aca="false">IF(AND(ISNUMBER(AW188),ISNUMBER(AT188)),IFERROR(AW188/AT188-1,""),"")</f>
        <v>0.174123887499715</v>
      </c>
      <c r="AX201" s="33" t="n">
        <f aca="false">IF(AND(ISNUMBER(AX188),ISNUMBER(AU188)),IFERROR(AX188/AU188-1,""),"")</f>
        <v>0.103432380124882</v>
      </c>
      <c r="AY201" s="33" t="n">
        <f aca="false">IF(AND(ISNUMBER(AY188),ISNUMBER(AX188)),IFERROR(AY188/AX188-1,""),"")</f>
        <v>0.0911002842235336</v>
      </c>
      <c r="AZ201" s="33" t="n">
        <f aca="false">IF(AND(ISNUMBER(AZ188),ISNUMBER(AY188)),IFERROR(AZ188/AY188-1,""),"")</f>
        <v>0.134289783736152</v>
      </c>
      <c r="BA201" s="33" t="n">
        <f aca="false">IF(AND(ISNUMBER(BA188),ISNUMBER(AZ188)),IFERROR(BA188/AZ188-1,""),"")</f>
        <v>0.125502811659688</v>
      </c>
      <c r="BB201" s="33" t="n">
        <f aca="false">IF(AND(ISNUMBER(BB188),ISNUMBER(BA188)),IFERROR(BB188/BA188-1,""),"")</f>
        <v>0.102360417928607</v>
      </c>
    </row>
    <row r="202" customFormat="false" ht="15" hidden="false" customHeight="true" outlineLevel="0" collapsed="false">
      <c r="B202" s="31" t="s">
        <v>314</v>
      </c>
      <c r="C202" s="32" t="n">
        <f aca="false">C65</f>
        <v>0</v>
      </c>
      <c r="D202" s="32" t="n">
        <f aca="false">D65</f>
        <v>0</v>
      </c>
      <c r="E202" s="32" t="n">
        <f aca="false">E65</f>
        <v>0</v>
      </c>
      <c r="F202" s="32" t="n">
        <f aca="false">F65</f>
        <v>0</v>
      </c>
      <c r="G202" s="32" t="n">
        <f aca="false">G65</f>
        <v>0</v>
      </c>
      <c r="H202" s="32" t="n">
        <f aca="false">H65</f>
        <v>0.133</v>
      </c>
      <c r="I202" s="32" t="n">
        <f aca="false">I65</f>
        <v>0.172</v>
      </c>
      <c r="J202" s="32" t="n">
        <f aca="false">J65</f>
        <v>0</v>
      </c>
      <c r="K202" s="32" t="n">
        <f aca="false">K65</f>
        <v>0.171</v>
      </c>
      <c r="L202" s="32" t="n">
        <f aca="false">L65</f>
        <v>0.129</v>
      </c>
      <c r="M202" s="32" t="n">
        <f aca="false">M65</f>
        <v>0</v>
      </c>
      <c r="N202" s="32" t="n">
        <f aca="false">N65</f>
        <v>0.105</v>
      </c>
      <c r="O202" s="32" t="n">
        <f aca="false">O65</f>
        <v>0.093</v>
      </c>
      <c r="P202" s="32" t="n">
        <f aca="false">P65</f>
        <v>0</v>
      </c>
      <c r="Q202" s="32" t="n">
        <f aca="false">Q65</f>
        <v>0.095</v>
      </c>
      <c r="R202" s="32" t="n">
        <f aca="false">R65</f>
        <v>0.103</v>
      </c>
      <c r="S202" s="32" t="n">
        <f aca="false">S65</f>
        <v>0</v>
      </c>
      <c r="T202" s="32" t="n">
        <f aca="false">T65</f>
        <v>0.104</v>
      </c>
      <c r="U202" s="32" t="n">
        <f aca="false">U65</f>
        <v>0.097</v>
      </c>
      <c r="V202" s="32" t="n">
        <f aca="false">V65</f>
        <v>0</v>
      </c>
      <c r="W202" s="32" t="n">
        <f aca="false">W65</f>
        <v>0.109</v>
      </c>
      <c r="X202" s="32" t="n">
        <f aca="false">X65</f>
        <v>0.119</v>
      </c>
      <c r="Y202" s="32" t="n">
        <f aca="false">Y65</f>
        <v>0</v>
      </c>
      <c r="Z202" s="32" t="n">
        <f aca="false">Z65</f>
        <v>0.107</v>
      </c>
      <c r="AA202" s="32" t="n">
        <f aca="false">AA65</f>
        <v>0.072</v>
      </c>
      <c r="AB202" s="32" t="n">
        <f aca="false">AB65</f>
        <v>0</v>
      </c>
      <c r="AC202" s="32" t="n">
        <f aca="false">AC65</f>
        <v>0.086</v>
      </c>
      <c r="AD202" s="32" t="n">
        <f aca="false">AD65</f>
        <v>-0.298</v>
      </c>
      <c r="AE202" s="32" t="n">
        <f aca="false">AE65</f>
        <v>0</v>
      </c>
      <c r="AF202" s="32" t="n">
        <f aca="false">AF65</f>
        <v>-0.099</v>
      </c>
      <c r="AG202" s="32" t="n">
        <f aca="false">AG65</f>
        <v>0</v>
      </c>
      <c r="AH202" s="32" t="n">
        <f aca="false">AH65</f>
        <v>0</v>
      </c>
      <c r="AI202" s="32" t="n">
        <f aca="false">AI65</f>
        <v>0</v>
      </c>
      <c r="AJ202" s="32" t="n">
        <f aca="false">AJ65</f>
        <v>0.283</v>
      </c>
      <c r="AK202" s="32" t="n">
        <f aca="false">AK65</f>
        <v>0</v>
      </c>
      <c r="AL202" s="32" t="n">
        <f aca="false">AL65</f>
        <v>0.248</v>
      </c>
      <c r="AM202" s="32" t="n">
        <f aca="false">AM65</f>
        <v>0.305</v>
      </c>
      <c r="AN202" s="32" t="n">
        <f aca="false">AN65</f>
        <v>0</v>
      </c>
      <c r="AO202" s="32" t="n">
        <f aca="false">AO65</f>
        <v>0.26</v>
      </c>
      <c r="AP202" s="32" t="n">
        <f aca="false">AP65</f>
        <v>0.147</v>
      </c>
      <c r="AQ202" s="32" t="n">
        <f aca="false">AQ65</f>
        <v>0</v>
      </c>
      <c r="AR202" s="32" t="n">
        <f aca="false">AR65</f>
        <v>0.124</v>
      </c>
      <c r="AS202" s="32" t="n">
        <f aca="false">AS65</f>
        <v>0.107</v>
      </c>
      <c r="AT202" s="32" t="n">
        <f aca="false">AT65</f>
        <v>0</v>
      </c>
      <c r="AU202" s="32" t="n">
        <f aca="false">AU65</f>
        <v>0.115</v>
      </c>
      <c r="AV202" s="32" t="n">
        <f aca="false">AV65</f>
        <v>0.133</v>
      </c>
      <c r="AW202" s="33" t="n">
        <f aca="false">AW65</f>
        <v>0.0785350144235553</v>
      </c>
      <c r="AX202" s="33" t="n">
        <f aca="false">AX65</f>
        <v>0.105</v>
      </c>
      <c r="AY202" s="33" t="n">
        <f aca="false">AY65</f>
        <v>0.10250500033491</v>
      </c>
      <c r="AZ202" s="33" t="n">
        <f aca="false">AZ65</f>
        <v>0.0827724029628529</v>
      </c>
      <c r="BA202" s="33" t="n">
        <f aca="false">BA65</f>
        <v>0.0772018864139876</v>
      </c>
      <c r="BB202" s="33" t="n">
        <f aca="false">BB65</f>
        <v>0.0716544741840857</v>
      </c>
    </row>
    <row r="203" customFormat="false" ht="15" hidden="false" customHeight="true" outlineLevel="0" collapsed="false">
      <c r="B203" s="31" t="s">
        <v>173</v>
      </c>
      <c r="C203" s="32" t="n">
        <f aca="false">IF(AND(ISNUMBER(C83),ISNUMBER(C111)),IFERROR(C83/C111,""),"")</f>
        <v>0.520363739405961</v>
      </c>
      <c r="D203" s="32" t="n">
        <f aca="false">IF(AND(ISNUMBER(D83),ISNUMBER(D111)),IFERROR(D83/D111,""),"")</f>
        <v>0.575013076764571</v>
      </c>
      <c r="E203" s="32" t="n">
        <f aca="false">IF(AND(ISNUMBER(E83),ISNUMBER(E111)),IFERROR(E83/E111,""),"")</f>
        <v>0.548783151647536</v>
      </c>
      <c r="F203" s="32" t="n">
        <f aca="false">IF(AND(ISNUMBER(F83),ISNUMBER(F111)),IFERROR(F83/F111,""),"")</f>
        <v>0.541075271998402</v>
      </c>
      <c r="G203" s="32" t="n">
        <f aca="false">IF(AND(ISNUMBER(G83),ISNUMBER(G111)),IFERROR(G83/G111,""),"")</f>
        <v>0.606065862695847</v>
      </c>
      <c r="H203" s="32" t="n">
        <f aca="false">IF(AND(ISNUMBER(H83),ISNUMBER(H111)),IFERROR(H83/H111,""),"")</f>
        <v>0.574607709409604</v>
      </c>
      <c r="I203" s="32" t="n">
        <f aca="false">IF(AND(ISNUMBER(I83),ISNUMBER(I111)),IFERROR(I83/I111,""),"")</f>
        <v>0.578229911025931</v>
      </c>
      <c r="J203" s="32" t="n">
        <f aca="false">IF(AND(ISNUMBER(J83),ISNUMBER(J111)),IFERROR(J83/J111,""),"")</f>
        <v>0.61328271863971</v>
      </c>
      <c r="K203" s="32" t="n">
        <f aca="false">IF(AND(ISNUMBER(K83),ISNUMBER(K111)),IFERROR(K83/K111,""),"")</f>
        <v>0.596154800297693</v>
      </c>
      <c r="L203" s="32" t="n">
        <f aca="false">IF(AND(ISNUMBER(L83),ISNUMBER(L111)),IFERROR(L83/L111,""),"")</f>
        <v>0.597624722002605</v>
      </c>
      <c r="M203" s="32" t="n">
        <f aca="false">IF(AND(ISNUMBER(M83),ISNUMBER(M111)),IFERROR(M83/M111,""),"")</f>
        <v>0.656109451520839</v>
      </c>
      <c r="N203" s="32" t="n">
        <f aca="false">IF(AND(ISNUMBER(N83),ISNUMBER(N111)),IFERROR(N83/N111,""),"")</f>
        <v>0.627219317297399</v>
      </c>
      <c r="O203" s="32" t="n">
        <f aca="false">IF(AND(ISNUMBER(O83),ISNUMBER(O111)),IFERROR(O83/O111,""),"")</f>
        <v>0.638370305293213</v>
      </c>
      <c r="P203" s="32" t="n">
        <f aca="false">IF(AND(ISNUMBER(P83),ISNUMBER(P111)),IFERROR(P83/P111,""),"")</f>
        <v>0.647243696771569</v>
      </c>
      <c r="Q203" s="32" t="n">
        <f aca="false">IF(AND(ISNUMBER(Q83),ISNUMBER(Q111)),IFERROR(Q83/Q111,""),"")</f>
        <v>0.642951483879068</v>
      </c>
      <c r="R203" s="32" t="n">
        <f aca="false">IF(AND(ISNUMBER(R83),ISNUMBER(R111)),IFERROR(R83/R111,""),"")</f>
        <v>0.644423216885007</v>
      </c>
      <c r="S203" s="32" t="n">
        <f aca="false">IF(AND(ISNUMBER(S83),ISNUMBER(S111)),IFERROR(S83/S111,""),"")</f>
        <v>0.653908211967086</v>
      </c>
      <c r="T203" s="32" t="n">
        <f aca="false">IF(AND(ISNUMBER(T83),ISNUMBER(T111)),IFERROR(T83/T111,""),"")</f>
        <v>0.649335155086617</v>
      </c>
      <c r="U203" s="32" t="n">
        <f aca="false">IF(AND(ISNUMBER(U83),ISNUMBER(U111)),IFERROR(U83/U111,""),"")</f>
        <v>0.647260682127343</v>
      </c>
      <c r="V203" s="32" t="n">
        <f aca="false">IF(AND(ISNUMBER(V83),ISNUMBER(V111)),IFERROR(V83/V111,""),"")</f>
        <v>0.654627964525599</v>
      </c>
      <c r="W203" s="32" t="n">
        <f aca="false">IF(AND(ISNUMBER(W83),ISNUMBER(W111)),IFERROR(W83/W111,""),"")</f>
        <v>0.651068071830983</v>
      </c>
      <c r="X203" s="32" t="n">
        <f aca="false">IF(AND(ISNUMBER(X83),ISNUMBER(X111)),IFERROR(X83/X111,""),"")</f>
        <v>0.652167459534076</v>
      </c>
      <c r="Y203" s="32" t="n">
        <f aca="false">IF(AND(ISNUMBER(Y83),ISNUMBER(Y111)),IFERROR(Y83/Y111,""),"")</f>
        <v>0.663451024655215</v>
      </c>
      <c r="Z203" s="32" t="n">
        <f aca="false">IF(AND(ISNUMBER(Z83),ISNUMBER(Z111)),IFERROR(Z83/Z111,""),"")</f>
        <v>0.657952317919117</v>
      </c>
      <c r="AA203" s="32" t="n">
        <f aca="false">IF(AND(ISNUMBER(AA83),ISNUMBER(AA111)),IFERROR(AA83/AA111,""),"")</f>
        <v>0.665052691540872</v>
      </c>
      <c r="AB203" s="32" t="n">
        <f aca="false">IF(AND(ISNUMBER(AB83),ISNUMBER(AB111)),IFERROR(AB83/AB111,""),"")</f>
        <v>0.702751400356569</v>
      </c>
      <c r="AC203" s="32" t="n">
        <f aca="false">IF(AND(ISNUMBER(AC83),ISNUMBER(AC111)),IFERROR(AC83/AC111,""),"")</f>
        <v>0.68467539049067</v>
      </c>
      <c r="AD203" s="32" t="n">
        <f aca="false">IF(AND(ISNUMBER(AD83),ISNUMBER(AD111)),IFERROR(AD83/AD111,""),"")</f>
        <v>0.668845634508611</v>
      </c>
      <c r="AE203" s="32" t="n">
        <f aca="false">IF(AND(ISNUMBER(AE83),ISNUMBER(AE111)),IFERROR(AE83/AE111,""),"")</f>
        <v>0.684837843420781</v>
      </c>
      <c r="AF203" s="32" t="n">
        <f aca="false">IF(AND(ISNUMBER(AF83),ISNUMBER(AF111)),IFERROR(AF83/AF111,""),"")</f>
        <v>0.678807307913598</v>
      </c>
      <c r="AG203" s="32" t="n">
        <f aca="false">IF(AND(ISNUMBER(AG83),ISNUMBER(AG111)),IFERROR(AG83/AG111,""),"")</f>
        <v>0.667523998929131</v>
      </c>
      <c r="AH203" s="32" t="n">
        <f aca="false">IF(AND(ISNUMBER(AH83),ISNUMBER(AH111)),IFERROR(AH83/AH111,""),"")</f>
        <v>0.676475534304682</v>
      </c>
      <c r="AI203" s="32" t="n">
        <f aca="false">IF(AND(ISNUMBER(AI83),ISNUMBER(AI111)),IFERROR(AI83/AI111,""),"")</f>
        <v>0.672531765188246</v>
      </c>
      <c r="AJ203" s="32" t="n">
        <f aca="false">IF(AND(ISNUMBER(AJ83),ISNUMBER(AJ111)),IFERROR(AJ83/AJ111,""),"")</f>
        <v>0.717168604357216</v>
      </c>
      <c r="AK203" s="32" t="n">
        <f aca="false">IF(AND(ISNUMBER(AK83),ISNUMBER(AK111)),IFERROR(AK83/AK111,""),"")</f>
        <v>0.713982920624724</v>
      </c>
      <c r="AL203" s="32" t="n">
        <f aca="false">IF(AND(ISNUMBER(AL83),ISNUMBER(AL111)),IFERROR(AL83/AL111,""),"")</f>
        <v>0.715421633822909</v>
      </c>
      <c r="AM203" s="32" t="n">
        <f aca="false">IF(AND(ISNUMBER(AM83),ISNUMBER(AM111)),IFERROR(AM83/AM111,""),"")</f>
        <v>0.715223314250416</v>
      </c>
      <c r="AN203" s="32" t="n">
        <f aca="false">IF(AND(ISNUMBER(AN83),ISNUMBER(AN111)),IFERROR(AN83/AN111,""),"")</f>
        <v>0.733380578291725</v>
      </c>
      <c r="AO203" s="32" t="n">
        <f aca="false">IF(AND(ISNUMBER(AO83),ISNUMBER(AO111)),IFERROR(AO83/AO111,""),"")</f>
        <v>0.724712573063489</v>
      </c>
      <c r="AP203" s="32" t="n">
        <f aca="false">IF(AND(ISNUMBER(AP83),ISNUMBER(AP111)),IFERROR(AP83/AP111,""),"")</f>
        <v>0.74470323622197</v>
      </c>
      <c r="AQ203" s="32" t="n">
        <f aca="false">IF(AND(ISNUMBER(AQ83),ISNUMBER(AQ111)),IFERROR(AQ83/AQ111,""),"")</f>
        <v>0.746045619400558</v>
      </c>
      <c r="AR203" s="32" t="n">
        <f aca="false">IF(AND(ISNUMBER(AR83),ISNUMBER(AR111)),IFERROR(AR83/AR111,""),"")</f>
        <v>0.745393964991318</v>
      </c>
      <c r="AS203" s="32" t="n">
        <f aca="false">IF(AND(ISNUMBER(AS83),ISNUMBER(AS111)),IFERROR(AS83/AS111,""),"")</f>
        <v>0.744522645384317</v>
      </c>
      <c r="AT203" s="32" t="n">
        <f aca="false">IF(AND(ISNUMBER(AT83),ISNUMBER(AT111)),IFERROR(AT83/AT111,""),"")</f>
        <v>0.758464858472319</v>
      </c>
      <c r="AU203" s="32" t="n">
        <f aca="false">IF(AND(ISNUMBER(AU83),ISNUMBER(AU111)),IFERROR(AU83/AU111,""),"")</f>
        <v>0.751690222173925</v>
      </c>
      <c r="AV203" s="32" t="n">
        <f aca="false">IF(AND(ISNUMBER(AV83),ISNUMBER(AV111)),IFERROR(AV83/AV111,""),"")</f>
        <v>0.750253198845493</v>
      </c>
      <c r="AW203" s="33" t="n">
        <f aca="false">IF(AND(ISNUMBER(AW83),ISNUMBER(AW111)),IFERROR(AW83/AW111,""),"")</f>
        <v>0.764195411933495</v>
      </c>
      <c r="AX203" s="33" t="n">
        <f aca="false">IF(AND(ISNUMBER(AX83),ISNUMBER(AX111)),IFERROR(AX83/AX111,""),"")</f>
        <v>0.75736668195519</v>
      </c>
      <c r="AY203" s="33" t="n">
        <f aca="false">IF(AND(ISNUMBER(AY83),ISNUMBER(AY111)),IFERROR(AY83/AY111,""),"")</f>
        <v>0.758</v>
      </c>
      <c r="AZ203" s="33" t="n">
        <f aca="false">IF(AND(ISNUMBER(AZ83),ISNUMBER(AZ111)),IFERROR(AZ83/AZ111,""),"")</f>
        <v>0.759</v>
      </c>
      <c r="BA203" s="33" t="n">
        <f aca="false">IF(AND(ISNUMBER(BA83),ISNUMBER(BA111)),IFERROR(BA83/BA111,""),"")</f>
        <v>0.76</v>
      </c>
      <c r="BB203" s="33" t="n">
        <f aca="false">IF(AND(ISNUMBER(BB83),ISNUMBER(BB111)),IFERROR(BB83/BB111,""),"")</f>
        <v>0.76</v>
      </c>
    </row>
    <row r="204" customFormat="false" ht="15" hidden="false" customHeight="true" outlineLevel="0" collapsed="false">
      <c r="B204" s="31" t="s">
        <v>271</v>
      </c>
      <c r="C204" s="32" t="n">
        <f aca="false">IF(AND(ISNUMBER(C158),ISNUMBER(C111)),IFERROR(C158/C111,""),"")</f>
        <v>0.157577474947835</v>
      </c>
      <c r="D204" s="32" t="n">
        <f aca="false">IF(AND(ISNUMBER(D158),ISNUMBER(D111)),IFERROR(D158/D111,""),"")</f>
        <v>0.172843126377023</v>
      </c>
      <c r="E204" s="32" t="n">
        <f aca="false">IF(AND(ISNUMBER(E158),ISNUMBER(E111)),IFERROR(E158/E111,""),"")</f>
        <v>0.165516104436705</v>
      </c>
      <c r="F204" s="32" t="n">
        <f aca="false">IF(AND(ISNUMBER(F158),ISNUMBER(F111)),IFERROR(F158/F111,""),"")</f>
        <v>0.167592435079103</v>
      </c>
      <c r="G204" s="32" t="n">
        <f aca="false">IF(AND(ISNUMBER(G158),ISNUMBER(G111)),IFERROR(G158/G111,""),"")</f>
        <v>0.183537101541792</v>
      </c>
      <c r="H204" s="32" t="n">
        <f aca="false">IF(AND(ISNUMBER(H158),ISNUMBER(H111)),IFERROR(H158/H111,""),"")</f>
        <v>0.175819218748322</v>
      </c>
      <c r="I204" s="32" t="n">
        <f aca="false">IF(AND(ISNUMBER(I158),ISNUMBER(I111)),IFERROR(I158/I111,""),"")</f>
        <v>0.172166728013505</v>
      </c>
      <c r="J204" s="32" t="n">
        <f aca="false">IF(AND(ISNUMBER(J158),ISNUMBER(J111)),IFERROR(J158/J111,""),"")</f>
        <v>0.18830121402496</v>
      </c>
      <c r="K204" s="32" t="n">
        <f aca="false">IF(AND(ISNUMBER(K158),ISNUMBER(K111)),IFERROR(K158/K111,""),"")</f>
        <v>0.18041739022575</v>
      </c>
      <c r="L204" s="32" t="n">
        <f aca="false">IF(AND(ISNUMBER(L158),ISNUMBER(L111)),IFERROR(L158/L111,""),"")</f>
        <v>0.174152925584861</v>
      </c>
      <c r="M204" s="32" t="n">
        <f aca="false">IF(AND(ISNUMBER(M158),ISNUMBER(M111)),IFERROR(M158/M111,""),"")</f>
        <v>0.180029761574254</v>
      </c>
      <c r="N204" s="32" t="n">
        <f aca="false">IF(AND(ISNUMBER(N158),ISNUMBER(N111)),IFERROR(N158/N111,""),"")</f>
        <v>0.177126737452551</v>
      </c>
      <c r="O204" s="32" t="n">
        <f aca="false">IF(AND(ISNUMBER(O158),ISNUMBER(O111)),IFERROR(O158/O111,""),"")</f>
        <v>0.166643372002476</v>
      </c>
      <c r="P204" s="32" t="n">
        <f aca="false">IF(AND(ISNUMBER(P158),ISNUMBER(P111)),IFERROR(P158/P111,""),"")</f>
        <v>0.167150720936867</v>
      </c>
      <c r="Q204" s="32" t="n">
        <f aca="false">IF(AND(ISNUMBER(Q158),ISNUMBER(Q111)),IFERROR(Q158/Q111,""),"")</f>
        <v>0.166905307484468</v>
      </c>
      <c r="R204" s="32" t="n">
        <f aca="false">IF(AND(ISNUMBER(R158),ISNUMBER(R111)),IFERROR(R158/R111,""),"")</f>
        <v>0.167289847161572</v>
      </c>
      <c r="S204" s="32" t="n">
        <f aca="false">IF(AND(ISNUMBER(S158),ISNUMBER(S111)),IFERROR(S158/S111,""),"")</f>
        <v>0.175487335419746</v>
      </c>
      <c r="T204" s="32" t="n">
        <f aca="false">IF(AND(ISNUMBER(T158),ISNUMBER(T111)),IFERROR(T158/T111,""),"")</f>
        <v>0.171535031833165</v>
      </c>
      <c r="U204" s="32" t="n">
        <f aca="false">IF(AND(ISNUMBER(U158),ISNUMBER(U111)),IFERROR(U158/U111,""),"")</f>
        <v>0.17093047627267</v>
      </c>
      <c r="V204" s="32" t="n">
        <f aca="false">IF(AND(ISNUMBER(V158),ISNUMBER(V111)),IFERROR(V158/V111,""),"")</f>
        <v>0.176311461551467</v>
      </c>
      <c r="W204" s="32" t="n">
        <f aca="false">IF(AND(ISNUMBER(W158),ISNUMBER(W111)),IFERROR(W158/W111,""),"")</f>
        <v>0.173711353513209</v>
      </c>
      <c r="X204" s="32" t="n">
        <f aca="false">IF(AND(ISNUMBER(X158),ISNUMBER(X111)),IFERROR(X158/X111,""),"")</f>
        <v>0.171559932612455</v>
      </c>
      <c r="Y204" s="32" t="n">
        <f aca="false">IF(AND(ISNUMBER(Y158),ISNUMBER(Y111)),IFERROR(Y158/Y111,""),"")</f>
        <v>0.172515960636309</v>
      </c>
      <c r="Z204" s="32" t="n">
        <f aca="false">IF(AND(ISNUMBER(Z158),ISNUMBER(Z111)),IFERROR(Z158/Z111,""),"")</f>
        <v>0.172050069078257</v>
      </c>
      <c r="AA204" s="32" t="n">
        <f aca="false">IF(AND(ISNUMBER(AA158),ISNUMBER(AA111)),IFERROR(AA158/AA111,""),"")</f>
        <v>0.27186844787295</v>
      </c>
      <c r="AB204" s="32" t="n">
        <f aca="false">IF(AND(ISNUMBER(AB158),ISNUMBER(AB111)),IFERROR(AB158/AB111,""),"")</f>
        <v>0.285761250268691</v>
      </c>
      <c r="AC204" s="32" t="n">
        <f aca="false">IF(AND(ISNUMBER(AC158),ISNUMBER(AC111)),IFERROR(AC158/AC111,""),"")</f>
        <v>0.279099843524017</v>
      </c>
      <c r="AD204" s="32" t="n">
        <f aca="false">IF(AND(ISNUMBER(AD158),ISNUMBER(AD111)),IFERROR(AD158/AD111,""),"")</f>
        <v>0.129548656303164</v>
      </c>
      <c r="AE204" s="32" t="n">
        <f aca="false">IF(AND(ISNUMBER(AE158),ISNUMBER(AE111)),IFERROR(AE158/AE111,""),"")</f>
        <v>0.279213267624753</v>
      </c>
      <c r="AF204" s="32" t="n">
        <f aca="false">IF(AND(ISNUMBER(AF158),ISNUMBER(AF111)),IFERROR(AF158/AF111,""),"")</f>
        <v>0.222775926310585</v>
      </c>
      <c r="AG204" s="32" t="n">
        <f aca="false">IF(AND(ISNUMBER(AG158),ISNUMBER(AG111)),IFERROR(AG158/AG111,""),"")</f>
        <v>0.256865032317283</v>
      </c>
      <c r="AH204" s="32" t="n">
        <f aca="false">IF(AND(ISNUMBER(AH158),ISNUMBER(AH111)),IFERROR(AH158/AH111,""),"")</f>
        <v>0.282911034976093</v>
      </c>
      <c r="AI204" s="32" t="n">
        <f aca="false">IF(AND(ISNUMBER(AI158),ISNUMBER(AI111)),IFERROR(AI158/AI111,""),"")</f>
        <v>0.271435973259532</v>
      </c>
      <c r="AJ204" s="32" t="n">
        <f aca="false">IF(AND(ISNUMBER(AJ158),ISNUMBER(AJ111)),IFERROR(AJ158/AJ111,""),"")</f>
        <v>0.288792532688747</v>
      </c>
      <c r="AK204" s="32" t="n">
        <f aca="false">IF(AND(ISNUMBER(AK158),ISNUMBER(AK111)),IFERROR(AK158/AK111,""),"")</f>
        <v>0.290283949075148</v>
      </c>
      <c r="AL204" s="32" t="n">
        <f aca="false">IF(AND(ISNUMBER(AL158),ISNUMBER(AL111)),IFERROR(AL158/AL111,""),"")</f>
        <v>0.28961039808287</v>
      </c>
      <c r="AM204" s="32" t="n">
        <f aca="false">IF(AND(ISNUMBER(AM158),ISNUMBER(AM111)),IFERROR(AM158/AM111,""),"")</f>
        <v>0.28460387320707</v>
      </c>
      <c r="AN204" s="32" t="n">
        <f aca="false">IF(AND(ISNUMBER(AN158),ISNUMBER(AN111)),IFERROR(AN158/AN111,""),"")</f>
        <v>0.287908201478476</v>
      </c>
      <c r="AO204" s="32" t="n">
        <f aca="false">IF(AND(ISNUMBER(AO158),ISNUMBER(AO111)),IFERROR(AO158/AO111,""),"")</f>
        <v>0.286330764775061</v>
      </c>
      <c r="AP204" s="32" t="n">
        <f aca="false">IF(AND(ISNUMBER(AP158),ISNUMBER(AP111)),IFERROR(AP158/AP111,""),"")</f>
        <v>0.286394204897352</v>
      </c>
      <c r="AQ204" s="32" t="n">
        <f aca="false">IF(AND(ISNUMBER(AQ158),ISNUMBER(AQ111)),IFERROR(AQ158/AQ111,""),"")</f>
        <v>0.28412714819465</v>
      </c>
      <c r="AR204" s="32" t="n">
        <f aca="false">IF(AND(ISNUMBER(AR158),ISNUMBER(AR111)),IFERROR(AR158/AR111,""),"")</f>
        <v>0.285227681574296</v>
      </c>
      <c r="AS204" s="32" t="n">
        <f aca="false">IF(AND(ISNUMBER(AS158),ISNUMBER(AS111)),IFERROR(AS158/AS111,""),"")</f>
        <v>0.293238907525562</v>
      </c>
      <c r="AT204" s="32" t="n">
        <f aca="false">IF(AND(ISNUMBER(AT158),ISNUMBER(AT111)),IFERROR(AT158/AT111,""),"")</f>
        <v>0.298208384451297</v>
      </c>
      <c r="AU204" s="32" t="n">
        <f aca="false">IF(AND(ISNUMBER(AU158),ISNUMBER(AU111)),IFERROR(AU158/AU111,""),"")</f>
        <v>0.295793674637825</v>
      </c>
      <c r="AV204" s="32" t="n">
        <f aca="false">IF(AND(ISNUMBER(AV158),ISNUMBER(AV111)),IFERROR(AV158/AV111,""),"")</f>
        <v>0.302293401084318</v>
      </c>
      <c r="AW204" s="33" t="n">
        <f aca="false">IF(AND(ISNUMBER(AW158),ISNUMBER(AW111)),IFERROR(AW158/AW111,""),"")</f>
        <v>0.302914565105601</v>
      </c>
      <c r="AX204" s="33" t="n">
        <f aca="false">IF(AND(ISNUMBER(AX158),ISNUMBER(AX111)),IFERROR(AX158/AX111,""),"")</f>
        <v>0.302610326363387</v>
      </c>
      <c r="AY204" s="33" t="n">
        <f aca="false">IF(AND(ISNUMBER(AY158),ISNUMBER(AY111)),IFERROR(AY158/AY111,""),"")</f>
        <v>0.304</v>
      </c>
      <c r="AZ204" s="33" t="n">
        <f aca="false">IF(AND(ISNUMBER(AZ158),ISNUMBER(AZ111)),IFERROR(AZ158/AZ111,""),"")</f>
        <v>0.307</v>
      </c>
      <c r="BA204" s="33" t="n">
        <f aca="false">IF(AND(ISNUMBER(BA158),ISNUMBER(BA111)),IFERROR(BA158/BA111,""),"")</f>
        <v>0.309</v>
      </c>
      <c r="BB204" s="33" t="n">
        <f aca="false">IF(AND(ISNUMBER(BB158),ISNUMBER(BB111)),IFERROR(BB158/BB111,""),"")</f>
        <v>0.311</v>
      </c>
    </row>
    <row r="205" customFormat="false" ht="15" hidden="false" customHeight="true" outlineLevel="0" collapsed="false">
      <c r="B205" s="31" t="s">
        <v>277</v>
      </c>
      <c r="C205" s="32" t="n">
        <f aca="false">IF(AND(ISNUMBER(C162),ISNUMBER(C111)),IFERROR(C162/C111,""),"")</f>
        <v>0.157577474947835</v>
      </c>
      <c r="D205" s="32" t="n">
        <f aca="false">IF(AND(ISNUMBER(D162),ISNUMBER(D111)),IFERROR(D162/D111,""),"")</f>
        <v>0.172843126377023</v>
      </c>
      <c r="E205" s="32" t="n">
        <f aca="false">IF(AND(ISNUMBER(E162),ISNUMBER(E111)),IFERROR(E162/E111,""),"")</f>
        <v>0.165516104436705</v>
      </c>
      <c r="F205" s="32" t="n">
        <f aca="false">IF(AND(ISNUMBER(F162),ISNUMBER(F111)),IFERROR(F162/F111,""),"")</f>
        <v>0.167592435079103</v>
      </c>
      <c r="G205" s="32" t="n">
        <f aca="false">IF(AND(ISNUMBER(G162),ISNUMBER(G111)),IFERROR(G162/G111,""),"")</f>
        <v>0.183537101541792</v>
      </c>
      <c r="H205" s="32" t="n">
        <f aca="false">IF(AND(ISNUMBER(H162),ISNUMBER(H111)),IFERROR(H162/H111,""),"")</f>
        <v>0.175819218748322</v>
      </c>
      <c r="I205" s="32" t="n">
        <f aca="false">IF(AND(ISNUMBER(I162),ISNUMBER(I111)),IFERROR(I162/I111,""),"")</f>
        <v>0.172166728013505</v>
      </c>
      <c r="J205" s="32" t="n">
        <f aca="false">IF(AND(ISNUMBER(J162),ISNUMBER(J111)),IFERROR(J162/J111,""),"")</f>
        <v>0.18830121402496</v>
      </c>
      <c r="K205" s="32" t="n">
        <f aca="false">IF(AND(ISNUMBER(K162),ISNUMBER(K111)),IFERROR(K162/K111,""),"")</f>
        <v>0.18041739022575</v>
      </c>
      <c r="L205" s="32" t="n">
        <f aca="false">IF(AND(ISNUMBER(L162),ISNUMBER(L111)),IFERROR(L162/L111,""),"")</f>
        <v>0.174152925584861</v>
      </c>
      <c r="M205" s="32" t="n">
        <f aca="false">IF(AND(ISNUMBER(M162),ISNUMBER(M111)),IFERROR(M162/M111,""),"")</f>
        <v>0.180029761574254</v>
      </c>
      <c r="N205" s="32" t="n">
        <f aca="false">IF(AND(ISNUMBER(N162),ISNUMBER(N111)),IFERROR(N162/N111,""),"")</f>
        <v>0.177126737452551</v>
      </c>
      <c r="O205" s="32" t="n">
        <f aca="false">IF(AND(ISNUMBER(O162),ISNUMBER(O111)),IFERROR(O162/O111,""),"")</f>
        <v>0.166643372002476</v>
      </c>
      <c r="P205" s="32" t="n">
        <f aca="false">IF(AND(ISNUMBER(P162),ISNUMBER(P111)),IFERROR(P162/P111,""),"")</f>
        <v>0.167150720936867</v>
      </c>
      <c r="Q205" s="32" t="n">
        <f aca="false">IF(AND(ISNUMBER(Q162),ISNUMBER(Q111)),IFERROR(Q162/Q111,""),"")</f>
        <v>0.166905307484468</v>
      </c>
      <c r="R205" s="32" t="n">
        <f aca="false">IF(AND(ISNUMBER(R162),ISNUMBER(R111)),IFERROR(R162/R111,""),"")</f>
        <v>0.167289847161572</v>
      </c>
      <c r="S205" s="32" t="n">
        <f aca="false">IF(AND(ISNUMBER(S162),ISNUMBER(S111)),IFERROR(S162/S111,""),"")</f>
        <v>0.175487335419746</v>
      </c>
      <c r="T205" s="32" t="n">
        <f aca="false">IF(AND(ISNUMBER(T162),ISNUMBER(T111)),IFERROR(T162/T111,""),"")</f>
        <v>0.171535031833165</v>
      </c>
      <c r="U205" s="32" t="n">
        <f aca="false">IF(AND(ISNUMBER(U162),ISNUMBER(U111)),IFERROR(U162/U111,""),"")</f>
        <v>0.17093047627267</v>
      </c>
      <c r="V205" s="32" t="n">
        <f aca="false">IF(AND(ISNUMBER(V162),ISNUMBER(V111)),IFERROR(V162/V111,""),"")</f>
        <v>0.176311461551467</v>
      </c>
      <c r="W205" s="32" t="n">
        <f aca="false">IF(AND(ISNUMBER(W162),ISNUMBER(W111)),IFERROR(W162/W111,""),"")</f>
        <v>0.173711353513209</v>
      </c>
      <c r="X205" s="32" t="n">
        <f aca="false">IF(AND(ISNUMBER(X162),ISNUMBER(X111)),IFERROR(X162/X111,""),"")</f>
        <v>0.171559932612455</v>
      </c>
      <c r="Y205" s="32" t="n">
        <f aca="false">IF(AND(ISNUMBER(Y162),ISNUMBER(Y111)),IFERROR(Y162/Y111,""),"")</f>
        <v>0.172515960636309</v>
      </c>
      <c r="Z205" s="32" t="n">
        <f aca="false">IF(AND(ISNUMBER(Z162),ISNUMBER(Z111)),IFERROR(Z162/Z111,""),"")</f>
        <v>0.172050069078257</v>
      </c>
      <c r="AA205" s="32" t="n">
        <f aca="false">IF(AND(ISNUMBER(AA162),ISNUMBER(AA111)),IFERROR(AA162/AA111,""),"")</f>
        <v>0.171111103485432</v>
      </c>
      <c r="AB205" s="32" t="n">
        <f aca="false">IF(AND(ISNUMBER(AB162),ISNUMBER(AB111)),IFERROR(AB162/AB111,""),"")</f>
        <v>0.177633492230076</v>
      </c>
      <c r="AC205" s="32" t="n">
        <f aca="false">IF(AND(ISNUMBER(AC162),ISNUMBER(AC111)),IFERROR(AC162/AC111,""),"")</f>
        <v>0.174506096969039</v>
      </c>
      <c r="AD205" s="32" t="n">
        <f aca="false">IF(AND(ISNUMBER(AD162),ISNUMBER(AD111)),IFERROR(AD162/AD111,""),"")</f>
        <v>-0.0685911778612967</v>
      </c>
      <c r="AE205" s="32" t="n">
        <f aca="false">IF(AND(ISNUMBER(AE162),ISNUMBER(AE111)),IFERROR(AE162/AE111,""),"")</f>
        <v>0.164753445273999</v>
      </c>
      <c r="AF205" s="32" t="n">
        <f aca="false">IF(AND(ISNUMBER(AF162),ISNUMBER(AF111)),IFERROR(AF162/AF111,""),"")</f>
        <v>0.0767610332841312</v>
      </c>
      <c r="AG205" s="32" t="n">
        <f aca="false">IF(AND(ISNUMBER(AG162),ISNUMBER(AG111)),IFERROR(AG162/AG111,""),"")</f>
        <v>0.12727400211624</v>
      </c>
      <c r="AH205" s="32" t="n">
        <f aca="false">IF(AND(ISNUMBER(AH162),ISNUMBER(AH111)),IFERROR(AH162/AH111,""),"")</f>
        <v>0.175894481884467</v>
      </c>
      <c r="AI205" s="32" t="n">
        <f aca="false">IF(AND(ISNUMBER(AI162),ISNUMBER(AI111)),IFERROR(AI162/AI111,""),"")</f>
        <v>0.154473805040587</v>
      </c>
      <c r="AJ205" s="32" t="n">
        <f aca="false">IF(AND(ISNUMBER(AJ162),ISNUMBER(AJ111)),IFERROR(AJ162/AJ111,""),"")</f>
        <v>0.181222418305217</v>
      </c>
      <c r="AK205" s="32" t="n">
        <f aca="false">IF(AND(ISNUMBER(AK162),ISNUMBER(AK111)),IFERROR(AK162/AK111,""),"")</f>
        <v>0.192601977591003</v>
      </c>
      <c r="AL205" s="32" t="n">
        <f aca="false">IF(AND(ISNUMBER(AL162),ISNUMBER(AL111)),IFERROR(AL162/AL111,""),"")</f>
        <v>0.187462759919453</v>
      </c>
      <c r="AM205" s="32" t="n">
        <f aca="false">IF(AND(ISNUMBER(AM162),ISNUMBER(AM111)),IFERROR(AM162/AM111,""),"")</f>
        <v>0.192621639807185</v>
      </c>
      <c r="AN205" s="32" t="n">
        <f aca="false">IF(AND(ISNUMBER(AN162),ISNUMBER(AN111)),IFERROR(AN162/AN111,""),"")</f>
        <v>0.210761774574376</v>
      </c>
      <c r="AO205" s="32" t="n">
        <f aca="false">IF(AND(ISNUMBER(AO162),ISNUMBER(AO111)),IFERROR(AO162/AO111,""),"")</f>
        <v>0.202101946604413</v>
      </c>
      <c r="AP205" s="32" t="n">
        <f aca="false">IF(AND(ISNUMBER(AP162),ISNUMBER(AP111)),IFERROR(AP162/AP111,""),"")</f>
        <v>0.193884916427943</v>
      </c>
      <c r="AQ205" s="32" t="n">
        <f aca="false">IF(AND(ISNUMBER(AQ162),ISNUMBER(AQ111)),IFERROR(AQ162/AQ111,""),"")</f>
        <v>0.187366046592225</v>
      </c>
      <c r="AR205" s="32" t="n">
        <f aca="false">IF(AND(ISNUMBER(AR162),ISNUMBER(AR111)),IFERROR(AR162/AR111,""),"")</f>
        <v>0.190078527069939</v>
      </c>
      <c r="AS205" s="32" t="n">
        <f aca="false">IF(AND(ISNUMBER(AS162),ISNUMBER(AS111)),IFERROR(AS162/AS111,""),"")</f>
        <v>0.186736535917619</v>
      </c>
      <c r="AT205" s="32" t="n">
        <f aca="false">IF(AND(ISNUMBER(AT162),ISNUMBER(AT111)),IFERROR(AT162/AT111,""),"")</f>
        <v>0.190716977795462</v>
      </c>
      <c r="AU205" s="32" t="n">
        <f aca="false">IF(AND(ISNUMBER(AU162),ISNUMBER(AU111)),IFERROR(AU162/AU111,""),"")</f>
        <v>0.188782848266737</v>
      </c>
      <c r="AV205" s="32" t="n">
        <f aca="false">IF(AND(ISNUMBER(AV162),ISNUMBER(AV111)),IFERROR(AV162/AV111,""),"")</f>
        <v>0.194279240630308</v>
      </c>
      <c r="AW205" s="33" t="n">
        <f aca="false">IF(AND(ISNUMBER(AW162),ISNUMBER(AW111)),IFERROR(AW162/AW111,""),"")</f>
        <v>0.194914565105601</v>
      </c>
      <c r="AX205" s="33" t="n">
        <f aca="false">IF(AND(ISNUMBER(AX162),ISNUMBER(AX111)),IFERROR(AX162/AX111,""),"")</f>
        <v>0.194603390741603</v>
      </c>
      <c r="AY205" s="33" t="n">
        <f aca="false">IF(AND(ISNUMBER(AY162),ISNUMBER(AY111)),IFERROR(AY162/AY111,""),"")</f>
        <v>0.192025493261199</v>
      </c>
      <c r="AZ205" s="33" t="n">
        <f aca="false">IF(AND(ISNUMBER(AZ162),ISNUMBER(AZ111)),IFERROR(AZ162/AZ111,""),"")</f>
        <v>0.198407312369343</v>
      </c>
      <c r="BA205" s="33" t="n">
        <f aca="false">IF(AND(ISNUMBER(BA162),ISNUMBER(BA111)),IFERROR(BA162/BA111,""),"")</f>
        <v>0.20350623899797</v>
      </c>
      <c r="BB205" s="33" t="n">
        <f aca="false">IF(AND(ISNUMBER(BB162),ISNUMBER(BB111)),IFERROR(BB162/BB111,""),"")</f>
        <v>0.207282937900947</v>
      </c>
    </row>
    <row r="206" customFormat="false" ht="15" hidden="false" customHeight="true" outlineLevel="0" collapsed="false">
      <c r="B206" s="31" t="s">
        <v>315</v>
      </c>
      <c r="C206" s="32" t="n">
        <f aca="false">IF(AND(ISNUMBER(C120),ISNUMBER(C111)),IFERROR(C120/C111,""),"")</f>
        <v>0.137063465485114</v>
      </c>
      <c r="D206" s="32" t="n">
        <f aca="false">IF(AND(ISNUMBER(D120),ISNUMBER(D111)),IFERROR(D120/D111,""),"")</f>
        <v>0.150145033207057</v>
      </c>
      <c r="E206" s="32" t="n">
        <f aca="false">IF(AND(ISNUMBER(E120),ISNUMBER(E111)),IFERROR(E120/E111,""),"")</f>
        <v>0.143866301234364</v>
      </c>
      <c r="F206" s="32" t="n">
        <f aca="false">IF(AND(ISNUMBER(F120),ISNUMBER(F111)),IFERROR(F120/F111,""),"")</f>
        <v>0.0995170225512746</v>
      </c>
      <c r="G206" s="32" t="n">
        <f aca="false">IF(AND(ISNUMBER(G120),ISNUMBER(G111)),IFERROR(G120/G111,""),"")</f>
        <v>0.154657988592681</v>
      </c>
      <c r="H206" s="32" t="n">
        <f aca="false">IF(AND(ISNUMBER(H120),ISNUMBER(H111)),IFERROR(H120/H111,""),"")</f>
        <v>0.127967463957239</v>
      </c>
      <c r="I206" s="32" t="n">
        <f aca="false">IF(AND(ISNUMBER(I120),ISNUMBER(I111)),IFERROR(I120/I111,""),"")</f>
        <v>0.138373081853605</v>
      </c>
      <c r="J206" s="32" t="n">
        <f aca="false">IF(AND(ISNUMBER(J120),ISNUMBER(J111)),IFERROR(J120/J111,""),"")</f>
        <v>0.152523255672929</v>
      </c>
      <c r="K206" s="32" t="n">
        <f aca="false">IF(AND(ISNUMBER(K120),ISNUMBER(K111)),IFERROR(K120/K111,""),"")</f>
        <v>0.145609030017365</v>
      </c>
      <c r="L206" s="32" t="n">
        <f aca="false">IF(AND(ISNUMBER(L120),ISNUMBER(L111)),IFERROR(L120/L111,""),"")</f>
        <v>0.138193855902077</v>
      </c>
      <c r="M206" s="32" t="n">
        <f aca="false">IF(AND(ISNUMBER(M120),ISNUMBER(M111)),IFERROR(M120/M111,""),"")</f>
        <v>0.138996546324779</v>
      </c>
      <c r="N206" s="32" t="n">
        <f aca="false">IF(AND(ISNUMBER(N120),ISNUMBER(N111)),IFERROR(N120/N111,""),"")</f>
        <v>0.138600035402308</v>
      </c>
      <c r="O206" s="32" t="n">
        <f aca="false">IF(AND(ISNUMBER(O120),ISNUMBER(O111)),IFERROR(O120/O111,""),"")</f>
        <v>0.124054070243396</v>
      </c>
      <c r="P206" s="32" t="n">
        <f aca="false">IF(AND(ISNUMBER(P120),ISNUMBER(P111)),IFERROR(P120/P111,""),"")</f>
        <v>0.122173427057464</v>
      </c>
      <c r="Q206" s="32" t="n">
        <f aca="false">IF(AND(ISNUMBER(Q120),ISNUMBER(Q111)),IFERROR(Q120/Q111,""),"")</f>
        <v>0.123083126685677</v>
      </c>
      <c r="R206" s="32" t="n">
        <f aca="false">IF(AND(ISNUMBER(R120),ISNUMBER(R111)),IFERROR(R120/R111,""),"")</f>
        <v>0.117931222707424</v>
      </c>
      <c r="S206" s="32" t="n">
        <f aca="false">IF(AND(ISNUMBER(S120),ISNUMBER(S111)),IFERROR(S120/S111,""),"")</f>
        <v>0.13009304157438</v>
      </c>
      <c r="T206" s="32" t="n">
        <f aca="false">IF(AND(ISNUMBER(T120),ISNUMBER(T111)),IFERROR(T120/T111,""),"")</f>
        <v>0.124229391781495</v>
      </c>
      <c r="U206" s="32" t="n">
        <f aca="false">IF(AND(ISNUMBER(U120),ISNUMBER(U111)),IFERROR(U120/U111,""),"")</f>
        <v>0.127503318579525</v>
      </c>
      <c r="V206" s="32" t="n">
        <f aca="false">IF(AND(ISNUMBER(V120),ISNUMBER(V111)),IFERROR(V120/V111,""),"")</f>
        <v>0.129478489417624</v>
      </c>
      <c r="W206" s="32" t="n">
        <f aca="false">IF(AND(ISNUMBER(W120),ISNUMBER(W111)),IFERROR(W120/W111,""),"")</f>
        <v>0.128524081013402</v>
      </c>
      <c r="X206" s="32" t="n">
        <f aca="false">IF(AND(ISNUMBER(X120),ISNUMBER(X111)),IFERROR(X120/X111,""),"")</f>
        <v>0.127798846693335</v>
      </c>
      <c r="Y206" s="32" t="n">
        <f aca="false">IF(AND(ISNUMBER(Y120),ISNUMBER(Y111)),IFERROR(Y120/Y111,""),"")</f>
        <v>0.123798102359705</v>
      </c>
      <c r="Z206" s="32" t="n">
        <f aca="false">IF(AND(ISNUMBER(Z120),ISNUMBER(Z111)),IFERROR(Z120/Z111,""),"")</f>
        <v>0.125747745010814</v>
      </c>
      <c r="AA206" s="32" t="n">
        <f aca="false">IF(AND(ISNUMBER(AA120),ISNUMBER(AA111)),IFERROR(AA120/AA111,""),"")</f>
        <v>0.134317961106746</v>
      </c>
      <c r="AB206" s="32" t="n">
        <f aca="false">IF(AND(ISNUMBER(AB120),ISNUMBER(AB111)),IFERROR(AB120/AB111,""),"")</f>
        <v>0.139827025933466</v>
      </c>
      <c r="AC206" s="32" t="n">
        <f aca="false">IF(AND(ISNUMBER(AC120),ISNUMBER(AC111)),IFERROR(AC120/AC111,""),"")</f>
        <v>0.137185505486532</v>
      </c>
      <c r="AD206" s="32" t="n">
        <f aca="false">IF(AND(ISNUMBER(AD120),ISNUMBER(AD111)),IFERROR(AD120/AD111,""),"")</f>
        <v>-0.259696894361494</v>
      </c>
      <c r="AE206" s="32" t="n">
        <f aca="false">IF(AND(ISNUMBER(AE120),ISNUMBER(AE111)),IFERROR(AE120/AE111,""),"")</f>
        <v>0.113485997580193</v>
      </c>
      <c r="AF206" s="32" t="n">
        <f aca="false">IF(AND(ISNUMBER(AF120),ISNUMBER(AF111)),IFERROR(AF120/AF111,""),"")</f>
        <v>-0.0272383196725078</v>
      </c>
      <c r="AG206" s="32" t="n">
        <f aca="false">IF(AND(ISNUMBER(AG120),ISNUMBER(AG111)),IFERROR(AG120/AG111,""),"")</f>
        <v>0.0807422138932446</v>
      </c>
      <c r="AH206" s="32" t="n">
        <f aca="false">IF(AND(ISNUMBER(AH120),ISNUMBER(AH111)),IFERROR(AH120/AH111,""),"")</f>
        <v>0.129769210496593</v>
      </c>
      <c r="AI206" s="32" t="n">
        <f aca="false">IF(AND(ISNUMBER(AI120),ISNUMBER(AI111)),IFERROR(AI120/AI111,""),"")</f>
        <v>0.108169434931387</v>
      </c>
      <c r="AJ206" s="32" t="n">
        <f aca="false">IF(AND(ISNUMBER(AJ120),ISNUMBER(AJ111)),IFERROR(AJ120/AJ111,""),"")</f>
        <v>0.13904665143479</v>
      </c>
      <c r="AK206" s="32" t="n">
        <f aca="false">IF(AND(ISNUMBER(AK120),ISNUMBER(AK111)),IFERROR(AK120/AK111,""),"")</f>
        <v>0.151993353834928</v>
      </c>
      <c r="AL206" s="32" t="n">
        <f aca="false">IF(AND(ISNUMBER(AL120),ISNUMBER(AL111)),IFERROR(AL120/AL111,""),"")</f>
        <v>0.146146385591949</v>
      </c>
      <c r="AM206" s="32" t="n">
        <f aca="false">IF(AND(ISNUMBER(AM120),ISNUMBER(AM111)),IFERROR(AM120/AM111,""),"")</f>
        <v>0.161217556283574</v>
      </c>
      <c r="AN206" s="32" t="n">
        <f aca="false">IF(AND(ISNUMBER(AN120),ISNUMBER(AN111)),IFERROR(AN120/AN111,""),"")</f>
        <v>0.167450350810609</v>
      </c>
      <c r="AO206" s="32" t="n">
        <f aca="false">IF(AND(ISNUMBER(AO120),ISNUMBER(AO111)),IFERROR(AO120/AO111,""),"")</f>
        <v>0.164474908286672</v>
      </c>
      <c r="AP206" s="32" t="n">
        <f aca="false">IF(AND(ISNUMBER(AP120),ISNUMBER(AP111)),IFERROR(AP120/AP111,""),"")</f>
        <v>0.168508785780344</v>
      </c>
      <c r="AQ206" s="32" t="n">
        <f aca="false">IF(AND(ISNUMBER(AQ120),ISNUMBER(AQ111)),IFERROR(AQ120/AQ111,""),"")</f>
        <v>0.162771820915124</v>
      </c>
      <c r="AR206" s="32" t="n">
        <f aca="false">IF(AND(ISNUMBER(AR120),ISNUMBER(AR111)),IFERROR(AR120/AR111,""),"")</f>
        <v>0.165556806982965</v>
      </c>
      <c r="AS206" s="32" t="n">
        <f aca="false">IF(AND(ISNUMBER(AS120),ISNUMBER(AS111)),IFERROR(AS120/AS111,""),"")</f>
        <v>0.16639552135178</v>
      </c>
      <c r="AT206" s="32" t="n">
        <f aca="false">IF(AND(ISNUMBER(AT120),ISNUMBER(AT111)),IFERROR(AT120/AT111,""),"")</f>
        <v>0.157425367773025</v>
      </c>
      <c r="AU206" s="32" t="n">
        <f aca="false">IF(AND(ISNUMBER(AU120),ISNUMBER(AU111)),IFERROR(AU120/AU111,""),"")</f>
        <v>0.161784039359324</v>
      </c>
      <c r="AV206" s="32" t="n">
        <f aca="false">IF(AND(ISNUMBER(AV120),ISNUMBER(AV111)),IFERROR(AV120/AV111,""),"")</f>
        <v>0.171066344102235</v>
      </c>
      <c r="AW206" s="33" t="n">
        <f aca="false">IF(AND(ISNUMBER(AW120),ISNUMBER(AW111)),IFERROR(AW120/AW111,""),"")</f>
        <v>0.172188283897619</v>
      </c>
      <c r="AX206" s="33" t="n">
        <f aca="false">IF(AND(ISNUMBER(AX120),ISNUMBER(AX111)),IFERROR(AX120/AX111,""),"")</f>
        <v>0.17163877114335</v>
      </c>
      <c r="AY206" s="33" t="n">
        <f aca="false">IF(AND(ISNUMBER(AY120),ISNUMBER(AY111)),IFERROR(AY120/AY111,""),"")</f>
        <v>0.170884320780569</v>
      </c>
      <c r="AZ206" s="33" t="n">
        <f aca="false">IF(AND(ISNUMBER(AZ120),ISNUMBER(AZ111)),IFERROR(AZ120/AZ111,""),"")</f>
        <v>0.176593431533211</v>
      </c>
      <c r="BA206" s="33" t="n">
        <f aca="false">IF(AND(ISNUMBER(BA120),ISNUMBER(BA111)),IFERROR(BA120/BA111,""),"")</f>
        <v>0.182082010798564</v>
      </c>
      <c r="BB206" s="33" t="n">
        <f aca="false">IF(AND(ISNUMBER(BB120),ISNUMBER(BB111)),IFERROR(BB120/BB111,""),"")</f>
        <v>0.185478216978546</v>
      </c>
    </row>
    <row r="207" customFormat="false" ht="15" hidden="false" customHeight="true" outlineLevel="0" collapsed="false">
      <c r="B207" s="31" t="s">
        <v>316</v>
      </c>
      <c r="C207" s="32" t="n">
        <f aca="false">IF(AND(ISNUMBER(C133),ISNUMBER(C111)),IFERROR(C133/C111,""),"")</f>
        <v>0.0736323278119819</v>
      </c>
      <c r="D207" s="32" t="n">
        <f aca="false">IF(AND(ISNUMBER(D133),ISNUMBER(D111)),IFERROR(D133/D111,""),"")</f>
        <v>0.0926706715909271</v>
      </c>
      <c r="E207" s="32" t="n">
        <f aca="false">IF(AND(ISNUMBER(E133),ISNUMBER(E111)),IFERROR(E133/E111,""),"")</f>
        <v>0.0835328786036638</v>
      </c>
      <c r="F207" s="32" t="n">
        <f aca="false">IF(AND(ISNUMBER(F133),ISNUMBER(F111)),IFERROR(F133/F111,""),"")</f>
        <v>0.0581569935578351</v>
      </c>
      <c r="G207" s="32" t="n">
        <f aca="false">IF(AND(ISNUMBER(G133),ISNUMBER(G111)),IFERROR(G133/G111,""),"")</f>
        <v>0.101451588281825</v>
      </c>
      <c r="H207" s="32" t="n">
        <f aca="false">IF(AND(ISNUMBER(H133),ISNUMBER(H111)),IFERROR(H133/H111,""),"")</f>
        <v>0.0804952008620906</v>
      </c>
      <c r="I207" s="32" t="n">
        <f aca="false">IF(AND(ISNUMBER(I133),ISNUMBER(I111)),IFERROR(I133/I111,""),"")</f>
        <v>0.089145417391194</v>
      </c>
      <c r="J207" s="32" t="n">
        <f aca="false">IF(AND(ISNUMBER(J133),ISNUMBER(J111)),IFERROR(J133/J111,""),"")</f>
        <v>0.0996264538585619</v>
      </c>
      <c r="K207" s="32" t="n">
        <f aca="false">IF(AND(ISNUMBER(K133),ISNUMBER(K111)),IFERROR(K133/K111,""),"")</f>
        <v>0.094505085586703</v>
      </c>
      <c r="L207" s="32" t="n">
        <f aca="false">IF(AND(ISNUMBER(L133),ISNUMBER(L111)),IFERROR(L133/L111,""),"")</f>
        <v>0.0945219582392456</v>
      </c>
      <c r="M207" s="32" t="n">
        <f aca="false">IF(AND(ISNUMBER(M133),ISNUMBER(M111)),IFERROR(M133/M111,""),"")</f>
        <v>0.0912947395306998</v>
      </c>
      <c r="N207" s="32" t="n">
        <f aca="false">IF(AND(ISNUMBER(N133),ISNUMBER(N111)),IFERROR(N133/N111,""),"")</f>
        <v>0.0928889126153033</v>
      </c>
      <c r="O207" s="32" t="n">
        <f aca="false">IF(AND(ISNUMBER(O133),ISNUMBER(O111)),IFERROR(O133/O111,""),"")</f>
        <v>0.0871004133138988</v>
      </c>
      <c r="P207" s="32" t="n">
        <f aca="false">IF(AND(ISNUMBER(P133),ISNUMBER(P111)),IFERROR(P133/P111,""),"")</f>
        <v>0.0743105149682675</v>
      </c>
      <c r="Q207" s="32" t="n">
        <f aca="false">IF(AND(ISNUMBER(Q133),ISNUMBER(Q111)),IFERROR(Q133/Q111,""),"")</f>
        <v>0.0804972099548233</v>
      </c>
      <c r="R207" s="32" t="n">
        <f aca="false">IF(AND(ISNUMBER(R133),ISNUMBER(R111)),IFERROR(R133/R111,""),"")</f>
        <v>0.0737672852983989</v>
      </c>
      <c r="S207" s="32" t="n">
        <f aca="false">IF(AND(ISNUMBER(S133),ISNUMBER(S111)),IFERROR(S133/S111,""),"")</f>
        <v>0.085461036458576</v>
      </c>
      <c r="T207" s="32" t="n">
        <f aca="false">IF(AND(ISNUMBER(T133),ISNUMBER(T111)),IFERROR(T133/T111,""),"")</f>
        <v>0.0798230589226069</v>
      </c>
      <c r="U207" s="32" t="n">
        <f aca="false">IF(AND(ISNUMBER(U133),ISNUMBER(U111)),IFERROR(U133/U111,""),"")</f>
        <v>0.0804678477932988</v>
      </c>
      <c r="V207" s="32" t="n">
        <f aca="false">IF(AND(ISNUMBER(V133),ISNUMBER(V111)),IFERROR(V133/V111,""),"")</f>
        <v>0.12118242879759</v>
      </c>
      <c r="W207" s="32" t="n">
        <f aca="false">IF(AND(ISNUMBER(W133),ISNUMBER(W111)),IFERROR(W133/W111,""),"")</f>
        <v>0.10150902256087</v>
      </c>
      <c r="X207" s="32" t="n">
        <f aca="false">IF(AND(ISNUMBER(X133),ISNUMBER(X111)),IFERROR(X133/X111,""),"")</f>
        <v>0.0967842485323913</v>
      </c>
      <c r="Y207" s="32" t="n">
        <f aca="false">IF(AND(ISNUMBER(Y133),ISNUMBER(Y111)),IFERROR(Y133/Y111,""),"")</f>
        <v>0.0868046982469754</v>
      </c>
      <c r="Z207" s="32" t="n">
        <f aca="false">IF(AND(ISNUMBER(Z133),ISNUMBER(Z111)),IFERROR(Z133/Z111,""),"")</f>
        <v>0.0916679324986076</v>
      </c>
      <c r="AA207" s="32" t="n">
        <f aca="false">IF(AND(ISNUMBER(AA133),ISNUMBER(AA111)),IFERROR(AA133/AA111,""),"")</f>
        <v>0.0868320905381711</v>
      </c>
      <c r="AB207" s="32" t="n">
        <f aca="false">IF(AND(ISNUMBER(AB133),ISNUMBER(AB111)),IFERROR(AB133/AB111,""),"")</f>
        <v>0.0861361538558801</v>
      </c>
      <c r="AC207" s="32" t="n">
        <f aca="false">IF(AND(ISNUMBER(AC133),ISNUMBER(AC111)),IFERROR(AC133/AC111,""),"")</f>
        <v>0.0864698458769154</v>
      </c>
      <c r="AD207" s="32" t="n">
        <f aca="false">IF(AND(ISNUMBER(AD133),ISNUMBER(AD111)),IFERROR(AD133/AD111,""),"")</f>
        <v>-0.231643292727512</v>
      </c>
      <c r="AE207" s="32" t="n">
        <f aca="false">IF(AND(ISNUMBER(AE133),ISNUMBER(AE111)),IFERROR(AE133/AE111,""),"")</f>
        <v>0.0422108773275888</v>
      </c>
      <c r="AF207" s="32" t="n">
        <f aca="false">IF(AND(ISNUMBER(AF133),ISNUMBER(AF111)),IFERROR(AF133/AF111,""),"")</f>
        <v>-0.0610573644379821</v>
      </c>
      <c r="AG207" s="32" t="n">
        <f aca="false">IF(AND(ISNUMBER(AG133),ISNUMBER(AG111)),IFERROR(AG133/AG111,""),"")</f>
        <v>0.064848102395431</v>
      </c>
      <c r="AH207" s="32" t="n">
        <f aca="false">IF(AND(ISNUMBER(AH133),ISNUMBER(AH111)),IFERROR(AH133/AH111,""),"")</f>
        <v>0.0827654581278314</v>
      </c>
      <c r="AI207" s="32" t="n">
        <f aca="false">IF(AND(ISNUMBER(AI133),ISNUMBER(AI111)),IFERROR(AI133/AI111,""),"")</f>
        <v>0.0748716263748298</v>
      </c>
      <c r="AJ207" s="32" t="n">
        <f aca="false">IF(AND(ISNUMBER(AJ133),ISNUMBER(AJ111)),IFERROR(AJ133/AJ111,""),"")</f>
        <v>0.11215893797384</v>
      </c>
      <c r="AK207" s="32" t="n">
        <f aca="false">IF(AND(ISNUMBER(AK133),ISNUMBER(AK111)),IFERROR(AK133/AK111,""),"")</f>
        <v>0.067439144564004</v>
      </c>
      <c r="AL207" s="32" t="n">
        <f aca="false">IF(AND(ISNUMBER(AL133),ISNUMBER(AL111)),IFERROR(AL133/AL111,""),"")</f>
        <v>0.0876354234169976</v>
      </c>
      <c r="AM207" s="32" t="n">
        <f aca="false">IF(AND(ISNUMBER(AM133),ISNUMBER(AM111)),IFERROR(AM133/AM111,""),"")</f>
        <v>0.113581962782797</v>
      </c>
      <c r="AN207" s="32" t="n">
        <f aca="false">IF(AND(ISNUMBER(AN133),ISNUMBER(AN111)),IFERROR(AN133/AN111,""),"")</f>
        <v>0.0887270394540186</v>
      </c>
      <c r="AO207" s="32" t="n">
        <f aca="false">IF(AND(ISNUMBER(AO133),ISNUMBER(AO111)),IFERROR(AO133/AO111,""),"")</f>
        <v>0.100592406663039</v>
      </c>
      <c r="AP207" s="32" t="n">
        <f aca="false">IF(AND(ISNUMBER(AP133),ISNUMBER(AP111)),IFERROR(AP133/AP111,""),"")</f>
        <v>0.0981838746370812</v>
      </c>
      <c r="AQ207" s="32" t="n">
        <f aca="false">IF(AND(ISNUMBER(AQ133),ISNUMBER(AQ111)),IFERROR(AQ133/AQ111,""),"")</f>
        <v>0.0889815436904715</v>
      </c>
      <c r="AR207" s="32" t="n">
        <f aca="false">IF(AND(ISNUMBER(AR133),ISNUMBER(AR111)),IFERROR(AR133/AR111,""),"")</f>
        <v>0.0934487775118495</v>
      </c>
      <c r="AS207" s="32" t="n">
        <f aca="false">IF(AND(ISNUMBER(AS133),ISNUMBER(AS111)),IFERROR(AS133/AS111,""),"")</f>
        <v>0.107088513232038</v>
      </c>
      <c r="AT207" s="32" t="n">
        <f aca="false">IF(AND(ISNUMBER(AT133),ISNUMBER(AT111)),IFERROR(AT133/AT111,""),"")</f>
        <v>0.0853407495827669</v>
      </c>
      <c r="AU207" s="32" t="n">
        <f aca="false">IF(AND(ISNUMBER(AU133),ISNUMBER(AU111)),IFERROR(AU133/AU111,""),"")</f>
        <v>0.0959081672586618</v>
      </c>
      <c r="AV207" s="32" t="n">
        <f aca="false">IF(AND(ISNUMBER(AV133),ISNUMBER(AV111)),IFERROR(AV133/AV111,""),"")</f>
        <v>0.101575770838699</v>
      </c>
      <c r="AW207" s="33" t="n">
        <f aca="false">IF(AND(ISNUMBER(AW133),ISNUMBER(AW111)),IFERROR(AW133/AW111,""),"")</f>
        <v>0.101573971137552</v>
      </c>
      <c r="AX207" s="33" t="n">
        <f aca="false">IF(AND(ISNUMBER(AX133),ISNUMBER(AX111)),IFERROR(AX133/AX111,""),"")</f>
        <v>0.101574852609747</v>
      </c>
      <c r="AY207" s="33" t="n">
        <f aca="false">IF(AND(ISNUMBER(AY133),ISNUMBER(AY111)),IFERROR(AY133/AY111,""),"")</f>
        <v>0.100524125077702</v>
      </c>
      <c r="AZ207" s="33" t="n">
        <f aca="false">IF(AND(ISNUMBER(AZ133),ISNUMBER(AZ111)),IFERROR(AZ133/AZ111,""),"")</f>
        <v>0.105306976593274</v>
      </c>
      <c r="BA207" s="33" t="n">
        <f aca="false">IF(AND(ISNUMBER(BA133),ISNUMBER(BA111)),IFERROR(BA133/BA111,""),"")</f>
        <v>0.11002886249826</v>
      </c>
      <c r="BB207" s="33" t="n">
        <f aca="false">IF(AND(ISNUMBER(BB133),ISNUMBER(BB111)),IFERROR(BB133/BB111,""),"")</f>
        <v>0.113181501845675</v>
      </c>
    </row>
    <row r="208" customFormat="false" ht="15" hidden="false" customHeight="true" outlineLevel="0" collapsed="false">
      <c r="B208" s="31" t="s">
        <v>317</v>
      </c>
      <c r="F208" s="32" t="n">
        <f aca="false">IFERROR((F158-C158)/(F111-C111),"")</f>
        <v>0.229809025925531</v>
      </c>
      <c r="G208" s="32" t="n">
        <f aca="false">IFERROR((G158-D158)/(G111-D111),"")</f>
        <v>0.258751393534004</v>
      </c>
      <c r="H208" s="32" t="n">
        <f aca="false">IFERROR((H158-E158)/(H111-E111),"")</f>
        <v>0.243962274437116</v>
      </c>
      <c r="I208" s="32" t="n">
        <f aca="false">IFERROR((I158-F158)/(I111-F111),"")</f>
        <v>0.199812256939789</v>
      </c>
      <c r="J208" s="32" t="n">
        <f aca="false">IFERROR((J158-G158)/(J111-G111),"")</f>
        <v>0.221329613238405</v>
      </c>
      <c r="K208" s="32" t="n">
        <f aca="false">IFERROR((K158-H158)/(K111-H111),"")</f>
        <v>0.210176324752658</v>
      </c>
      <c r="L208" s="32" t="n">
        <f aca="false">IFERROR((L158-I158)/(L111-I111),"")</f>
        <v>0.191314360914624</v>
      </c>
      <c r="M208" s="32" t="n">
        <f aca="false">IFERROR((M158-J158)/(M111-J111),"")</f>
        <v>0.0902448657187971</v>
      </c>
      <c r="N208" s="32" t="n">
        <f aca="false">IFERROR((N158-K158)/(N111-K111),"")</f>
        <v>0.145382751503186</v>
      </c>
      <c r="O208" s="32" t="n">
        <f aca="false">IFERROR((O158-L158)/(O111-L111),"")</f>
        <v>0.112801272378777</v>
      </c>
      <c r="P208" s="32" t="n">
        <f aca="false">IFERROR((P158-M158)/(P111-M111),"")</f>
        <v>0.0983660033806834</v>
      </c>
      <c r="Q208" s="32" t="n">
        <f aca="false">IFERROR((Q158-N158)/(Q111-N111),"")</f>
        <v>0.104443528724975</v>
      </c>
      <c r="R208" s="32" t="n">
        <f aca="false">IFERROR((R158-O158)/(R111-O111),"")</f>
        <v>0.173928644658603</v>
      </c>
      <c r="S208" s="32" t="n">
        <f aca="false">IFERROR((S158-P158)/(S111-P111),"")</f>
        <v>0.255378271782001</v>
      </c>
      <c r="T208" s="32" t="n">
        <f aca="false">IFERROR((T158-Q158)/(T111-Q111),"")</f>
        <v>0.217384026781444</v>
      </c>
      <c r="U208" s="32" t="n">
        <f aca="false">IFERROR((U158-R158)/(U111-R111),"")</f>
        <v>0.205007025162856</v>
      </c>
      <c r="V208" s="32" t="n">
        <f aca="false">IFERROR((V158-S158)/(V111-S111),"")</f>
        <v>0.184381868701531</v>
      </c>
      <c r="W208" s="32" t="n">
        <f aca="false">IFERROR((W158-T158)/(W111-T111),"")</f>
        <v>0.194558823529412</v>
      </c>
      <c r="X208" s="32" t="n">
        <f aca="false">IFERROR((X158-U158)/(X111-U111),"")</f>
        <v>0.177415038801177</v>
      </c>
      <c r="Y208" s="32" t="n">
        <f aca="false">IFERROR((Y158-V158)/(Y111-V111),"")</f>
        <v>0.130061033267427</v>
      </c>
      <c r="Z208" s="32" t="n">
        <f aca="false">IFERROR((Z158-W158)/(Z111-W111),"")</f>
        <v>0.1551239251391</v>
      </c>
      <c r="AA208" s="32" t="n">
        <f aca="false">IFERROR((AA158-X158)/(AA111-X111),"")</f>
        <v>1.50467460208875</v>
      </c>
      <c r="AB208" s="32" t="n">
        <f aca="false">IFERROR((AB158-Y158)/(AB111-Y111),"")</f>
        <v>1.26347524209757</v>
      </c>
      <c r="AC208" s="32" t="n">
        <f aca="false">IFERROR((AC158-Z158)/(AC111-Z111),"")</f>
        <v>1.36004747557747</v>
      </c>
      <c r="AD208" s="32" t="n">
        <f aca="false">IFERROR((AD158-AA158)/(AD111-AA111),"")</f>
        <v>0.610293265329779</v>
      </c>
      <c r="AE208" s="32" t="n">
        <f aca="false">IFERROR((AE158-AB158)/(AE111-AB111),"")</f>
        <v>0.187239143948142</v>
      </c>
      <c r="AF208" s="32" t="n">
        <f aca="false">IFERROR((AF158-AC158)/(AF111-AC111),"")</f>
        <v>0.759757168852356</v>
      </c>
      <c r="AG208" s="32" t="n">
        <f aca="false">IFERROR((AG158-AD158)/(AG111-AD111),"")</f>
        <v>0.497316356873901</v>
      </c>
      <c r="AH208" s="32" t="n">
        <f aca="false">IFERROR((AH158-AE158)/(AH111-AE111),"")</f>
        <v>0.303954992022839</v>
      </c>
      <c r="AI208" s="32" t="n">
        <f aca="false">IFERROR((AI158-AF158)/(AI111-AF111),"")</f>
        <v>0.428850064816907</v>
      </c>
      <c r="AJ208" s="32" t="n">
        <f aca="false">IFERROR((AJ158-AG158)/(AJ111-AG111),"")</f>
        <v>0.387398738102035</v>
      </c>
      <c r="AK208" s="32" t="n">
        <f aca="false">IFERROR((AK158-AH158)/(AK111-AH111),"")</f>
        <v>0.318012762422595</v>
      </c>
      <c r="AL208" s="32" t="n">
        <f aca="false">IFERROR((AL158-AI158)/(AL111-AI111),"")</f>
        <v>0.351979723315778</v>
      </c>
      <c r="AM208" s="32" t="n">
        <f aca="false">IFERROR((AM158-AJ158)/(AM111-AJ111),"")</f>
        <v>0.271073608896838</v>
      </c>
      <c r="AN208" s="32" t="n">
        <f aca="false">IFERROR((AN158-AK158)/(AN111-AK111),"")</f>
        <v>0.274759401714092</v>
      </c>
      <c r="AO208" s="32" t="n">
        <f aca="false">IFERROR((AO158-AL158)/(AO111-AL111),"")</f>
        <v>0.272602315758811</v>
      </c>
      <c r="AP208" s="32" t="n">
        <f aca="false">IFERROR((AP158-AM158)/(AP111-AM111),"")</f>
        <v>0.299087591240878</v>
      </c>
      <c r="AQ208" s="32" t="n">
        <f aca="false">IFERROR((AQ158-AN158)/(AQ111-AN111),"")</f>
        <v>0.24804487179487</v>
      </c>
      <c r="AR208" s="32" t="n">
        <f aca="false">IFERROR((AR158-AO158)/(AR111-AO111),"")</f>
        <v>0.276193214491087</v>
      </c>
      <c r="AS208" s="32" t="n">
        <f aca="false">IFERROR((AS158-AP158)/(AS111-AP111),"")</f>
        <v>0.360168890709434</v>
      </c>
      <c r="AT208" s="32" t="n">
        <f aca="false">IFERROR((AT158-AQ158)/(AT111-AQ111),"")</f>
        <v>0.438699990900543</v>
      </c>
      <c r="AU208" s="32" t="n">
        <f aca="false">IFERROR((AU158-AR158)/(AU111-AR111),"")</f>
        <v>0.400182364713975</v>
      </c>
      <c r="AV208" s="32" t="n">
        <f aca="false">IFERROR((AV158-AS158)/(AV111-AS111),"")</f>
        <v>0.397190391568111</v>
      </c>
      <c r="AW208" s="33" t="n">
        <f aca="false">IFERROR((AW158-AT158)/(AW111-AT111),"")</f>
        <v>0.362839182027711</v>
      </c>
      <c r="AX208" s="33" t="n">
        <f aca="false">IFERROR((AX158-AU158)/(AX111-AU111),"")</f>
        <v>0.381200572698423</v>
      </c>
      <c r="AY208" s="33" t="n">
        <f aca="false">IFERROR((AY158-AX158)/(AY111-AX111),"")</f>
        <v>0.317557130208995</v>
      </c>
      <c r="AZ208" s="33" t="n">
        <f aca="false">IFERROR((AZ158-AY158)/(AZ111-AY111),"")</f>
        <v>0.343243964082404</v>
      </c>
      <c r="BA208" s="33" t="n">
        <f aca="false">IFERROR((BA158-AZ158)/(BA111-AZ111),"")</f>
        <v>0.334906102724941</v>
      </c>
      <c r="BB208" s="33" t="n">
        <f aca="false">IFERROR((BB158-BA158)/(BB111-BA111),"")</f>
        <v>0.33891172530081</v>
      </c>
    </row>
    <row r="209" customFormat="false" ht="15" hidden="false" customHeight="true" outlineLevel="0" collapsed="false">
      <c r="B209" s="31" t="s">
        <v>194</v>
      </c>
      <c r="C209" s="32" t="n">
        <f aca="false">IF(AND(ISNUMBER(C115),ISNUMBER(C111)),IFERROR(-C115/C111,""),"")</f>
        <v>0.146182711215298</v>
      </c>
      <c r="D209" s="32" t="n">
        <f aca="false">IF(AND(ISNUMBER(D115),ISNUMBER(D111)),IFERROR(-D115/D111,""),"")</f>
        <v>0.163943001157096</v>
      </c>
      <c r="E209" s="32" t="n">
        <f aca="false">IF(AND(ISNUMBER(E115),ISNUMBER(E111)),IFERROR(-E115/E111,""),"")</f>
        <v>0.155418632926</v>
      </c>
      <c r="F209" s="32" t="n">
        <f aca="false">IF(AND(ISNUMBER(F115),ISNUMBER(F111)),IFERROR(-F115/F111,""),"")</f>
        <v>0.15181615792549</v>
      </c>
      <c r="G209" s="32" t="n">
        <f aca="false">IF(AND(ISNUMBER(G115),ISNUMBER(G111)),IFERROR(-G115/G111,""),"")</f>
        <v>0.15331186944032</v>
      </c>
      <c r="H209" s="32" t="n">
        <f aca="false">IF(AND(ISNUMBER(H115),ISNUMBER(H111)),IFERROR(-H115/H111,""),"")</f>
        <v>0.152587882758547</v>
      </c>
      <c r="I209" s="32" t="n">
        <f aca="false">IF(AND(ISNUMBER(I115),ISNUMBER(I111)),IFERROR(-I115/I111,""),"")</f>
        <v>0.155971162755277</v>
      </c>
      <c r="J209" s="32" t="n">
        <f aca="false">IF(AND(ISNUMBER(J115),ISNUMBER(J111)),IFERROR(-J115/J111,""),"")</f>
        <v>0.160909851673074</v>
      </c>
      <c r="K209" s="32" t="n">
        <f aca="false">IF(AND(ISNUMBER(K115),ISNUMBER(K111)),IFERROR(-K115/K111,""),"")</f>
        <v>0.158496650955098</v>
      </c>
      <c r="L209" s="32" t="n">
        <f aca="false">IF(AND(ISNUMBER(L115),ISNUMBER(L111)),IFERROR(-L115/L111,""),"")</f>
        <v>0.167207967647076</v>
      </c>
      <c r="M209" s="32" t="n">
        <f aca="false">IF(AND(ISNUMBER(M115),ISNUMBER(M111)),IFERROR(-M115/M111,""),"")</f>
        <v>0.182545058801319</v>
      </c>
      <c r="N209" s="32" t="n">
        <f aca="false">IF(AND(ISNUMBER(N115),ISNUMBER(N111)),IFERROR(-N115/N111,""),"")</f>
        <v>0.174968882495245</v>
      </c>
      <c r="O209" s="32" t="n">
        <f aca="false">IF(AND(ISNUMBER(O115),ISNUMBER(O111)),IFERROR(-O115/O111,""),"")</f>
        <v>0.179482059780764</v>
      </c>
      <c r="P209" s="32" t="n">
        <f aca="false">IF(AND(ISNUMBER(P115),ISNUMBER(P111)),IFERROR(-P115/P111,""),"")</f>
        <v>0.181050327613542</v>
      </c>
      <c r="Q209" s="32" t="n">
        <f aca="false">IF(AND(ISNUMBER(Q115),ISNUMBER(Q111)),IFERROR(-Q115/Q111,""),"")</f>
        <v>0.180291729345094</v>
      </c>
      <c r="R209" s="32" t="n">
        <f aca="false">IF(AND(ISNUMBER(R115),ISNUMBER(R111)),IFERROR(-R115/R111,""),"")</f>
        <v>0.184402292576419</v>
      </c>
      <c r="S209" s="32" t="n">
        <f aca="false">IF(AND(ISNUMBER(S115),ISNUMBER(S111)),IFERROR(-S115/S111,""),"")</f>
        <v>0.172865909177533</v>
      </c>
      <c r="T209" s="32" t="n">
        <f aca="false">IF(AND(ISNUMBER(T115),ISNUMBER(T111)),IFERROR(-T115/T111,""),"")</f>
        <v>0.178428014062298</v>
      </c>
      <c r="U209" s="32" t="n">
        <f aca="false">IF(AND(ISNUMBER(U115),ISNUMBER(U111)),IFERROR(-U115/U111,""),"")</f>
        <v>0.178327929083086</v>
      </c>
      <c r="V209" s="32" t="n">
        <f aca="false">IF(AND(ISNUMBER(V115),ISNUMBER(V111)),IFERROR(-V115/V111,""),"")</f>
        <v>0.17548531378245</v>
      </c>
      <c r="W209" s="32" t="n">
        <f aca="false">IF(AND(ISNUMBER(W115),ISNUMBER(W111)),IFERROR(-W115/W111,""),"")</f>
        <v>0.176858873922446</v>
      </c>
      <c r="X209" s="32" t="n">
        <f aca="false">IF(AND(ISNUMBER(X115),ISNUMBER(X111)),IFERROR(-X115/X111,""),"")</f>
        <v>0.174305900863125</v>
      </c>
      <c r="Y209" s="32" t="n">
        <f aca="false">IF(AND(ISNUMBER(Y115),ISNUMBER(Y111)),IFERROR(-Y115/Y111,""),"")</f>
        <v>0.181143522274347</v>
      </c>
      <c r="Z209" s="32" t="n">
        <f aca="false">IF(AND(ISNUMBER(Z115),ISNUMBER(Z111)),IFERROR(-Z115/Z111,""),"")</f>
        <v>0.177811412740779</v>
      </c>
      <c r="AA209" s="32" t="n">
        <f aca="false">IF(AND(ISNUMBER(AA115),ISNUMBER(AA111)),IFERROR(-AA115/AA111,""),"")</f>
        <v>0.184727517303621</v>
      </c>
      <c r="AB209" s="32" t="n">
        <f aca="false">IF(AND(ISNUMBER(AB115),ISNUMBER(AB111)),IFERROR(-AB115/AB111,""),"")</f>
        <v>0.184502509894167</v>
      </c>
      <c r="AC209" s="32" t="n">
        <f aca="false">IF(AND(ISNUMBER(AC115),ISNUMBER(AC111)),IFERROR(-AC115/AC111,""),"")</f>
        <v>0.184610397837308</v>
      </c>
      <c r="AD209" s="32" t="n">
        <f aca="false">IF(AND(ISNUMBER(AD115),ISNUMBER(AD111)),IFERROR(-AD115/AD111,""),"")</f>
        <v>0.280209414895951</v>
      </c>
      <c r="AE209" s="32" t="n">
        <f aca="false">IF(AND(ISNUMBER(AE115),ISNUMBER(AE111)),IFERROR(-AE115/AE111,""),"")</f>
        <v>0.183214802136513</v>
      </c>
      <c r="AF209" s="32" t="n">
        <f aca="false">IF(AND(ISNUMBER(AF115),ISNUMBER(AF111)),IFERROR(-AF115/AF111,""),"")</f>
        <v>0.219790703530982</v>
      </c>
      <c r="AG209" s="32" t="n">
        <f aca="false">IF(AND(ISNUMBER(AG115),ISNUMBER(AG111)),IFERROR(-AG115/AG111,""),"")</f>
        <v>0.195978506138372</v>
      </c>
      <c r="AH209" s="32" t="n">
        <f aca="false">IF(AND(ISNUMBER(AH115),ISNUMBER(AH111)),IFERROR(-AH115/AH111,""),"")</f>
        <v>0.179353187003501</v>
      </c>
      <c r="AI209" s="32" t="n">
        <f aca="false">IF(AND(ISNUMBER(AI115),ISNUMBER(AI111)),IFERROR(-AI115/AI111,""),"")</f>
        <v>0.186677787466353</v>
      </c>
      <c r="AJ209" s="32" t="n">
        <f aca="false">IF(AND(ISNUMBER(AJ115),ISNUMBER(AJ111)),IFERROR(-AJ115/AJ111,""),"")</f>
        <v>0.188707545557195</v>
      </c>
      <c r="AK209" s="32" t="n">
        <f aca="false">IF(AND(ISNUMBER(AK115),ISNUMBER(AK111)),IFERROR(-AK115/AK111,""),"")</f>
        <v>0.171174440022921</v>
      </c>
      <c r="AL209" s="32" t="n">
        <f aca="false">IF(AND(ISNUMBER(AL115),ISNUMBER(AL111)),IFERROR(-AL115/AL111,""),"")</f>
        <v>0.179092712034689</v>
      </c>
      <c r="AM209" s="32" t="n">
        <f aca="false">IF(AND(ISNUMBER(AM115),ISNUMBER(AM111)),IFERROR(-AM115/AM111,""),"")</f>
        <v>0.171586308834398</v>
      </c>
      <c r="AN209" s="32" t="n">
        <f aca="false">IF(AND(ISNUMBER(AN115),ISNUMBER(AN111)),IFERROR(-AN115/AN111,""),"")</f>
        <v>0.170679689258041</v>
      </c>
      <c r="AO209" s="32" t="n">
        <f aca="false">IF(AND(ISNUMBER(AO115),ISNUMBER(AO111)),IFERROR(-AO115/AO111,""),"")</f>
        <v>0.171112495831212</v>
      </c>
      <c r="AP209" s="32" t="n">
        <f aca="false">IF(AND(ISNUMBER(AP115),ISNUMBER(AP111)),IFERROR(-AP115/AP111,""),"")</f>
        <v>0.182381070534365</v>
      </c>
      <c r="AQ209" s="32" t="n">
        <f aca="false">IF(AND(ISNUMBER(AQ115),ISNUMBER(AQ111)),IFERROR(-AQ115/AQ111,""),"")</f>
        <v>0.182853051781637</v>
      </c>
      <c r="AR209" s="32" t="n">
        <f aca="false">IF(AND(ISNUMBER(AR115),ISNUMBER(AR111)),IFERROR(-AR115/AR111,""),"")</f>
        <v>0.182623930420636</v>
      </c>
      <c r="AS209" s="32" t="n">
        <f aca="false">IF(AND(ISNUMBER(AS115),ISNUMBER(AS111)),IFERROR(-AS115/AS111,""),"")</f>
        <v>0.18360996002251</v>
      </c>
      <c r="AT209" s="32" t="n">
        <f aca="false">IF(AND(ISNUMBER(AT115),ISNUMBER(AT111)),IFERROR(-AT115/AT111,""),"")</f>
        <v>0.179262409231075</v>
      </c>
      <c r="AU209" s="32" t="n">
        <f aca="false">IF(AND(ISNUMBER(AU115),ISNUMBER(AU111)),IFERROR(-AU115/AU111,""),"")</f>
        <v>0.18137492000787</v>
      </c>
      <c r="AV209" s="32" t="n">
        <f aca="false">IF(AND(ISNUMBER(AV115),ISNUMBER(AV111)),IFERROR(-AV115/AV111,""),"")</f>
        <v>0.184634332829382</v>
      </c>
      <c r="AW209" s="33" t="n">
        <f aca="false">IF(AND(ISNUMBER(AW115),ISNUMBER(AW111)),IFERROR(-AW115/AW111,""),"")</f>
        <v>0.180286782037947</v>
      </c>
      <c r="AX209" s="33" t="n">
        <f aca="false">IF(AND(ISNUMBER(AX115),ISNUMBER(AX111)),IFERROR(-AX115/AX111,""),"")</f>
        <v>0.182416160654834</v>
      </c>
      <c r="AY209" s="33" t="n">
        <f aca="false">IF(AND(ISNUMBER(AY115),ISNUMBER(AY111)),IFERROR(-AY115/AY111,""),"")</f>
        <v>0.181</v>
      </c>
      <c r="AZ209" s="33" t="n">
        <f aca="false">IF(AND(ISNUMBER(AZ115),ISNUMBER(AZ111)),IFERROR(-AZ115/AZ111,""),"")</f>
        <v>0.18</v>
      </c>
      <c r="BA209" s="33" t="n">
        <f aca="false">IF(AND(ISNUMBER(BA115),ISNUMBER(BA111)),IFERROR(-BA115/BA111,""),"")</f>
        <v>0.18</v>
      </c>
      <c r="BB209" s="33" t="n">
        <f aca="false">IF(AND(ISNUMBER(BB115),ISNUMBER(BB111)),IFERROR(-BB115/BB111,""),"")</f>
        <v>0.179</v>
      </c>
    </row>
    <row r="210" customFormat="false" ht="15" hidden="false" customHeight="true" outlineLevel="0" collapsed="false"/>
    <row r="211" customFormat="false" ht="15" hidden="false" customHeight="true" outlineLevel="0" collapsed="false">
      <c r="B211" s="9" t="s">
        <v>318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 t="s">
        <v>319</v>
      </c>
    </row>
    <row r="212" customFormat="false" ht="15" hidden="false" customHeight="true" outlineLevel="0" collapsed="false">
      <c r="B212" s="14" t="s">
        <v>320</v>
      </c>
      <c r="C212" s="34" t="n">
        <v>8.821</v>
      </c>
      <c r="D212" s="35" t="n">
        <f aca="false">E212-C212</f>
        <v>12.204</v>
      </c>
      <c r="E212" s="34" t="n">
        <v>21.025</v>
      </c>
      <c r="F212" s="34" t="n">
        <v>7.638</v>
      </c>
      <c r="G212" s="35" t="n">
        <f aca="false">H212-F212</f>
        <v>14.605</v>
      </c>
      <c r="H212" s="34" t="n">
        <v>22.243</v>
      </c>
      <c r="I212" s="34" t="n">
        <v>13.263</v>
      </c>
      <c r="J212" s="35" t="n">
        <f aca="false">K212-I212</f>
        <v>16.312</v>
      </c>
      <c r="K212" s="34" t="n">
        <v>29.575</v>
      </c>
      <c r="L212" s="34" t="n">
        <v>15.625</v>
      </c>
      <c r="M212" s="35" t="n">
        <f aca="false">N212-L212</f>
        <v>16.162</v>
      </c>
      <c r="N212" s="34" t="n">
        <v>31.787</v>
      </c>
      <c r="O212" s="34" t="n">
        <v>15.513</v>
      </c>
      <c r="P212" s="35" t="n">
        <f aca="false">Q212-O212</f>
        <v>17.436</v>
      </c>
      <c r="Q212" s="34" t="n">
        <v>32.949</v>
      </c>
      <c r="R212" s="34" t="n">
        <v>16.025</v>
      </c>
      <c r="S212" s="35" t="n">
        <f aca="false">T212-R212</f>
        <v>21.094</v>
      </c>
      <c r="T212" s="34" t="n">
        <v>37.119</v>
      </c>
      <c r="U212" s="34" t="n">
        <v>19.852</v>
      </c>
      <c r="V212" s="35" t="n">
        <f aca="false">W212-U212</f>
        <v>32.633</v>
      </c>
      <c r="W212" s="34" t="n">
        <v>52.485</v>
      </c>
      <c r="X212" s="34" t="n">
        <v>25.78</v>
      </c>
      <c r="Y212" s="35" t="n">
        <f aca="false">Z212-X212</f>
        <v>25.262</v>
      </c>
      <c r="Z212" s="34" t="n">
        <v>51.042</v>
      </c>
      <c r="AA212" s="34" t="n">
        <v>25.013</v>
      </c>
      <c r="AB212" s="35" t="n">
        <f aca="false">AC212-AA212</f>
        <v>28.07</v>
      </c>
      <c r="AC212" s="34" t="n">
        <v>53.083</v>
      </c>
      <c r="AD212" s="34" t="n">
        <v>-47.657</v>
      </c>
      <c r="AE212" s="35" t="n">
        <f aca="false">AF212-AD212</f>
        <v>15.588</v>
      </c>
      <c r="AF212" s="34" t="n">
        <v>-32.069</v>
      </c>
      <c r="AG212" s="34" t="n">
        <v>0</v>
      </c>
      <c r="AH212" s="35" t="n">
        <f aca="false">AI212-AG212</f>
        <v>0</v>
      </c>
      <c r="AI212" s="34" t="n">
        <v>0</v>
      </c>
      <c r="AJ212" s="34" t="n">
        <v>0</v>
      </c>
      <c r="AK212" s="35" t="n">
        <f aca="false">AL212-AJ212</f>
        <v>0</v>
      </c>
      <c r="AL212" s="34" t="n">
        <v>0</v>
      </c>
      <c r="AM212" s="34" t="n">
        <v>66.687</v>
      </c>
      <c r="AN212" s="35" t="n">
        <f aca="false">AO212-AM212</f>
        <v>57.122</v>
      </c>
      <c r="AO212" s="34" t="n">
        <v>123.809</v>
      </c>
      <c r="AP212" s="34" t="n">
        <v>66.077</v>
      </c>
      <c r="AQ212" s="35" t="n">
        <f aca="false">AR212-AP212</f>
        <v>62.436</v>
      </c>
      <c r="AR212" s="34" t="n">
        <v>128.513</v>
      </c>
      <c r="AS212" s="34" t="n">
        <v>76.65</v>
      </c>
      <c r="AT212" s="35" t="n">
        <f aca="false">AU212-AS212</f>
        <v>65.339</v>
      </c>
      <c r="AU212" s="34" t="n">
        <v>141.989</v>
      </c>
      <c r="AV212" s="34" t="n">
        <v>78.169</v>
      </c>
      <c r="AW212" s="36" t="n">
        <f aca="false">AW130</f>
        <v>82.5987788800163</v>
      </c>
      <c r="AX212" s="36" t="n">
        <f aca="false">AV212+AW212</f>
        <v>160.767778880016</v>
      </c>
      <c r="AY212" s="36" t="n">
        <f aca="false">AY130</f>
        <v>176.640984274652</v>
      </c>
      <c r="AZ212" s="36" t="n">
        <f aca="false">AZ130</f>
        <v>200.362063851836</v>
      </c>
      <c r="BA212" s="36" t="n">
        <f aca="false">BA130</f>
        <v>225.50806621518</v>
      </c>
      <c r="BB212" s="36" t="n">
        <f aca="false">BB130</f>
        <v>248.591166119237</v>
      </c>
      <c r="BC212" s="18" t="s">
        <v>321</v>
      </c>
    </row>
    <row r="213" customFormat="false" ht="15" hidden="false" customHeight="true" outlineLevel="0" collapsed="false">
      <c r="B213" s="20" t="s">
        <v>322</v>
      </c>
    </row>
    <row r="214" customFormat="false" ht="15" hidden="false" customHeight="true" outlineLevel="0" collapsed="false">
      <c r="B214" s="20" t="s">
        <v>323</v>
      </c>
      <c r="C214" s="42" t="n">
        <v>2.389</v>
      </c>
      <c r="D214" s="26" t="n">
        <f aca="false">E214-C214</f>
        <v>2.864</v>
      </c>
      <c r="E214" s="42" t="n">
        <v>5.253</v>
      </c>
      <c r="F214" s="42" t="n">
        <v>2.963</v>
      </c>
      <c r="G214" s="26" t="n">
        <f aca="false">H214-F214</f>
        <v>4.162</v>
      </c>
      <c r="H214" s="42" t="n">
        <v>7.125</v>
      </c>
      <c r="I214" s="42" t="n">
        <v>5.602</v>
      </c>
      <c r="J214" s="26" t="n">
        <f aca="false">K214-I214</f>
        <v>5.623</v>
      </c>
      <c r="K214" s="42" t="n">
        <v>11.225</v>
      </c>
      <c r="L214" s="42" t="n">
        <v>6.322</v>
      </c>
      <c r="M214" s="26" t="n">
        <f aca="false">N214-L214</f>
        <v>7.39</v>
      </c>
      <c r="N214" s="42" t="n">
        <v>13.712</v>
      </c>
      <c r="O214" s="42" t="n">
        <v>8.532</v>
      </c>
      <c r="P214" s="26" t="n">
        <f aca="false">Q214-O214</f>
        <v>9.617</v>
      </c>
      <c r="Q214" s="42" t="n">
        <v>18.149</v>
      </c>
      <c r="R214" s="42" t="n">
        <v>9.558</v>
      </c>
      <c r="S214" s="26" t="n">
        <f aca="false">T214-R214</f>
        <v>10.489</v>
      </c>
      <c r="T214" s="42" t="n">
        <v>20.047</v>
      </c>
      <c r="U214" s="42" t="n">
        <v>10.567</v>
      </c>
      <c r="V214" s="26" t="n">
        <f aca="false">W214-U214</f>
        <v>12.188</v>
      </c>
      <c r="W214" s="42" t="n">
        <v>22.755</v>
      </c>
      <c r="X214" s="42" t="n">
        <v>11.793</v>
      </c>
      <c r="Y214" s="26" t="n">
        <f aca="false">Z214-X214</f>
        <v>13.812</v>
      </c>
      <c r="Z214" s="42" t="n">
        <v>25.605</v>
      </c>
      <c r="AA214" s="42" t="n">
        <v>40.084</v>
      </c>
      <c r="AB214" s="26" t="n">
        <f aca="false">AC214-AA214</f>
        <v>46.166</v>
      </c>
      <c r="AC214" s="42" t="n">
        <v>86.25</v>
      </c>
      <c r="AD214" s="42" t="n">
        <v>49.851</v>
      </c>
      <c r="AE214" s="26" t="n">
        <f aca="false">AF214-AD214</f>
        <v>54.433</v>
      </c>
      <c r="AF214" s="42" t="n">
        <v>104.284</v>
      </c>
      <c r="AG214" s="42" t="n">
        <v>55.261</v>
      </c>
      <c r="AH214" s="26" t="n">
        <f aca="false">AI214-AG214</f>
        <v>61.014</v>
      </c>
      <c r="AI214" s="42" t="n">
        <v>116.275</v>
      </c>
      <c r="AJ214" s="42" t="n">
        <v>62.198</v>
      </c>
      <c r="AK214" s="26" t="n">
        <f aca="false">AL214-AJ214</f>
        <v>69.747</v>
      </c>
      <c r="AL214" s="42" t="n">
        <v>131.945</v>
      </c>
      <c r="AM214" s="42" t="n">
        <v>67.115</v>
      </c>
      <c r="AN214" s="26" t="n">
        <f aca="false">AO214-AM214</f>
        <v>71.73</v>
      </c>
      <c r="AO214" s="42" t="n">
        <v>138.845</v>
      </c>
      <c r="AP214" s="42" t="n">
        <v>73.167</v>
      </c>
      <c r="AQ214" s="26" t="n">
        <f aca="false">AR214-AP214</f>
        <v>79.837</v>
      </c>
      <c r="AR214" s="42" t="n">
        <v>153.004</v>
      </c>
      <c r="AS214" s="42" t="n">
        <v>86.778</v>
      </c>
      <c r="AT214" s="26" t="n">
        <f aca="false">AU214-AS214</f>
        <v>93.834</v>
      </c>
      <c r="AU214" s="42" t="n">
        <v>180.612</v>
      </c>
      <c r="AV214" s="42" t="n">
        <v>98.343</v>
      </c>
      <c r="AW214" s="27" t="n">
        <f aca="false">-AW118</f>
        <v>102.052896341476</v>
      </c>
      <c r="AX214" s="27" t="n">
        <f aca="false">AV214+AW214</f>
        <v>200.395896341476</v>
      </c>
      <c r="AY214" s="27" t="n">
        <f aca="false">-AY118</f>
        <v>224.554426096945</v>
      </c>
      <c r="AZ214" s="27" t="n">
        <f aca="false">-AZ118</f>
        <v>238.193031852079</v>
      </c>
      <c r="BA214" s="27" t="n">
        <f aca="false">-BA118</f>
        <v>249.718014676921</v>
      </c>
      <c r="BB214" s="27" t="n">
        <f aca="false">-BB118</f>
        <v>264.667473655962</v>
      </c>
    </row>
    <row r="215" customFormat="false" ht="15" hidden="false" customHeight="true" outlineLevel="0" collapsed="false">
      <c r="B215" s="20" t="s">
        <v>324</v>
      </c>
      <c r="C215" s="42" t="n">
        <v>-2.678</v>
      </c>
      <c r="D215" s="26" t="n">
        <f aca="false">E215-C215</f>
        <v>3.94199999999999</v>
      </c>
      <c r="E215" s="42" t="n">
        <v>1.264</v>
      </c>
      <c r="F215" s="42" t="n">
        <v>-4.176</v>
      </c>
      <c r="G215" s="26" t="n">
        <f aca="false">H215-F215</f>
        <v>-0.311000000000002</v>
      </c>
      <c r="H215" s="42" t="n">
        <v>-4.487</v>
      </c>
      <c r="I215" s="42" t="n">
        <v>-1.999</v>
      </c>
      <c r="J215" s="26" t="n">
        <f aca="false">K215-I215</f>
        <v>1.272</v>
      </c>
      <c r="K215" s="42" t="n">
        <v>-0.727</v>
      </c>
      <c r="L215" s="42" t="n">
        <v>-0.178</v>
      </c>
      <c r="M215" s="26" t="n">
        <f aca="false">N215-L215</f>
        <v>4.93000000000001</v>
      </c>
      <c r="N215" s="42" t="n">
        <v>4.75200000000001</v>
      </c>
      <c r="O215" s="42" t="n">
        <v>-3.794</v>
      </c>
      <c r="P215" s="26" t="n">
        <f aca="false">Q215-O215</f>
        <v>1.216</v>
      </c>
      <c r="Q215" s="42" t="n">
        <v>-2.578</v>
      </c>
      <c r="R215" s="42" t="n">
        <v>-0.625999999999999</v>
      </c>
      <c r="S215" s="26" t="n">
        <f aca="false">T215-R215</f>
        <v>4.344</v>
      </c>
      <c r="T215" s="42" t="n">
        <v>3.718</v>
      </c>
      <c r="U215" s="42" t="n">
        <v>-1.683</v>
      </c>
      <c r="V215" s="26" t="n">
        <f aca="false">W215-U215</f>
        <v>3.10300000000002</v>
      </c>
      <c r="W215" s="42" t="n">
        <v>1.42000000000002</v>
      </c>
      <c r="X215" s="42" t="n">
        <v>3.64</v>
      </c>
      <c r="Y215" s="26" t="n">
        <f aca="false">Z215-X215</f>
        <v>3.345</v>
      </c>
      <c r="Z215" s="42" t="n">
        <v>6.985</v>
      </c>
      <c r="AA215" s="42" t="n">
        <v>-6.09000000000001</v>
      </c>
      <c r="AB215" s="26" t="n">
        <f aca="false">AC215-AA215</f>
        <v>-7.615</v>
      </c>
      <c r="AC215" s="42" t="n">
        <v>-13.705</v>
      </c>
      <c r="AD215" s="42" t="n">
        <v>-12.261</v>
      </c>
      <c r="AE215" s="26" t="n">
        <f aca="false">AF215-AD215</f>
        <v>25.294</v>
      </c>
      <c r="AF215" s="42" t="n">
        <v>13.033</v>
      </c>
      <c r="AG215" s="42" t="n">
        <v>5.705</v>
      </c>
      <c r="AH215" s="26" t="n">
        <f aca="false">AI215-AG215</f>
        <v>48.136</v>
      </c>
      <c r="AI215" s="42" t="n">
        <v>53.841</v>
      </c>
      <c r="AJ215" s="42" t="n">
        <v>44.905</v>
      </c>
      <c r="AK215" s="26" t="n">
        <f aca="false">AL215-AJ215</f>
        <v>35.88</v>
      </c>
      <c r="AL215" s="42" t="n">
        <v>80.785</v>
      </c>
      <c r="AM215" s="42" t="n">
        <v>-58.35</v>
      </c>
      <c r="AN215" s="26" t="n">
        <f aca="false">AO215-AM215</f>
        <v>4.29799999999999</v>
      </c>
      <c r="AO215" s="42" t="n">
        <v>-54.052</v>
      </c>
      <c r="AP215" s="42" t="n">
        <v>9.34200000000001</v>
      </c>
      <c r="AQ215" s="26" t="n">
        <f aca="false">AR215-AP215</f>
        <v>-50.027</v>
      </c>
      <c r="AR215" s="42" t="n">
        <v>-40.685</v>
      </c>
      <c r="AS215" s="42" t="n">
        <v>-24.663</v>
      </c>
      <c r="AT215" s="26" t="n">
        <f aca="false">AU215-AS215</f>
        <v>-6.37600000000002</v>
      </c>
      <c r="AU215" s="42" t="n">
        <v>-31.039</v>
      </c>
      <c r="AV215" s="42" t="n">
        <v>3.62300000000002</v>
      </c>
      <c r="AW215" s="50" t="n">
        <v>0</v>
      </c>
      <c r="AX215" s="27" t="n">
        <f aca="false">AV215+AW215</f>
        <v>3.62300000000002</v>
      </c>
      <c r="AY215" s="50" t="n">
        <v>0</v>
      </c>
      <c r="AZ215" s="50" t="n">
        <v>0</v>
      </c>
      <c r="BA215" s="50" t="n">
        <v>0</v>
      </c>
      <c r="BB215" s="50" t="n">
        <v>0</v>
      </c>
      <c r="BC215" s="18" t="s">
        <v>325</v>
      </c>
    </row>
    <row r="216" customFormat="false" ht="15" hidden="false" customHeight="true" outlineLevel="0" collapsed="false">
      <c r="B216" s="20" t="s">
        <v>326</v>
      </c>
      <c r="C216" s="42" t="n">
        <v>-10.342</v>
      </c>
      <c r="D216" s="26" t="n">
        <f aca="false">E216-C216</f>
        <v>9.526</v>
      </c>
      <c r="E216" s="42" t="n">
        <v>-0.816</v>
      </c>
      <c r="F216" s="42" t="n">
        <v>-12.809</v>
      </c>
      <c r="G216" s="26" t="n">
        <f aca="false">H216-F216</f>
        <v>12.623</v>
      </c>
      <c r="H216" s="42" t="n">
        <v>-0.186</v>
      </c>
      <c r="I216" s="42" t="n">
        <v>-12.894</v>
      </c>
      <c r="J216" s="26" t="n">
        <f aca="false">K216-I216</f>
        <v>15.666</v>
      </c>
      <c r="K216" s="42" t="n">
        <v>2.772</v>
      </c>
      <c r="L216" s="42" t="n">
        <v>-17.313</v>
      </c>
      <c r="M216" s="26" t="n">
        <f aca="false">N216-L216</f>
        <v>15.2</v>
      </c>
      <c r="N216" s="42" t="n">
        <v>-2.113</v>
      </c>
      <c r="O216" s="42" t="n">
        <v>-19.719</v>
      </c>
      <c r="P216" s="26" t="n">
        <f aca="false">Q216-O216</f>
        <v>19.116</v>
      </c>
      <c r="Q216" s="42" t="n">
        <v>-0.603</v>
      </c>
      <c r="R216" s="42" t="n">
        <v>-17.775</v>
      </c>
      <c r="S216" s="26" t="n">
        <f aca="false">T216-R216</f>
        <v>16.365</v>
      </c>
      <c r="T216" s="42" t="n">
        <v>-1.41</v>
      </c>
      <c r="U216" s="42" t="n">
        <v>-5.97</v>
      </c>
      <c r="V216" s="26" t="n">
        <f aca="false">W216-U216</f>
        <v>6.852</v>
      </c>
      <c r="W216" s="42" t="n">
        <v>0.882</v>
      </c>
      <c r="X216" s="42" t="n">
        <v>-18.797</v>
      </c>
      <c r="Y216" s="26" t="n">
        <f aca="false">Z216-X216</f>
        <v>2.183</v>
      </c>
      <c r="Z216" s="42" t="n">
        <v>-16.614</v>
      </c>
      <c r="AA216" s="42" t="n">
        <v>-18.549</v>
      </c>
      <c r="AB216" s="26" t="n">
        <f aca="false">AC216-AA216</f>
        <v>21.122</v>
      </c>
      <c r="AC216" s="42" t="n">
        <v>2.573</v>
      </c>
      <c r="AD216" s="42" t="n">
        <v>-14.764</v>
      </c>
      <c r="AE216" s="26" t="n">
        <f aca="false">AF216-AD216</f>
        <v>-8.152</v>
      </c>
      <c r="AF216" s="42" t="n">
        <v>-22.916</v>
      </c>
      <c r="AG216" s="42" t="n">
        <v>3.474</v>
      </c>
      <c r="AH216" s="26" t="n">
        <f aca="false">AI216-AG216</f>
        <v>3.129</v>
      </c>
      <c r="AI216" s="42" t="n">
        <v>6.603</v>
      </c>
      <c r="AJ216" s="42" t="n">
        <v>-1.764</v>
      </c>
      <c r="AK216" s="26" t="n">
        <f aca="false">AL216-AJ216</f>
        <v>-2.832</v>
      </c>
      <c r="AL216" s="42" t="n">
        <v>-4.596</v>
      </c>
      <c r="AM216" s="42" t="n">
        <v>-0.749</v>
      </c>
      <c r="AN216" s="26" t="n">
        <f aca="false">AO216-AM216</f>
        <v>-4.147</v>
      </c>
      <c r="AO216" s="42" t="n">
        <v>-4.896</v>
      </c>
      <c r="AP216" s="42" t="n">
        <v>-5.044</v>
      </c>
      <c r="AQ216" s="26" t="n">
        <f aca="false">AR216-AP216</f>
        <v>1.01</v>
      </c>
      <c r="AR216" s="42" t="n">
        <v>-4.034</v>
      </c>
      <c r="AS216" s="42" t="n">
        <v>-26.933</v>
      </c>
      <c r="AT216" s="26" t="n">
        <f aca="false">AU216-AS216</f>
        <v>-4.865</v>
      </c>
      <c r="AU216" s="42" t="n">
        <v>-31.798</v>
      </c>
      <c r="AV216" s="42" t="n">
        <v>-9.726</v>
      </c>
      <c r="AW216" s="27" t="n">
        <f aca="false">-(AX269-AV269)</f>
        <v>1.72857698630138</v>
      </c>
      <c r="AX216" s="27" t="n">
        <f aca="false">AV216+AW216</f>
        <v>-7.99742301369862</v>
      </c>
      <c r="AY216" s="27" t="n">
        <f aca="false">-(AY269-AX269)</f>
        <v>-11.1721658525214</v>
      </c>
      <c r="AZ216" s="27" t="n">
        <f aca="false">-(AZ269-AY269)</f>
        <v>-9.94622899909737</v>
      </c>
      <c r="BA216" s="27" t="n">
        <f aca="false">-(BA269-AZ269)</f>
        <v>-10.0447233801829</v>
      </c>
      <c r="BB216" s="27" t="n">
        <f aca="false">-(BB269-BA269)</f>
        <v>-10.0426999574581</v>
      </c>
    </row>
    <row r="217" customFormat="false" ht="15" hidden="false" customHeight="true" outlineLevel="0" collapsed="false">
      <c r="B217" s="20" t="s">
        <v>327</v>
      </c>
      <c r="C217" s="42" t="n">
        <v>-10.234</v>
      </c>
      <c r="D217" s="26" t="n">
        <f aca="false">E217-C217</f>
        <v>-5.731</v>
      </c>
      <c r="E217" s="42" t="n">
        <v>-15.965</v>
      </c>
      <c r="F217" s="42" t="n">
        <v>-11.849</v>
      </c>
      <c r="G217" s="26" t="n">
        <f aca="false">H217-F217</f>
        <v>-3.852</v>
      </c>
      <c r="H217" s="42" t="n">
        <v>-15.701</v>
      </c>
      <c r="I217" s="42" t="n">
        <v>-8.775</v>
      </c>
      <c r="J217" s="26" t="n">
        <f aca="false">K217-I217</f>
        <v>-5.354</v>
      </c>
      <c r="K217" s="42" t="n">
        <v>-14.129</v>
      </c>
      <c r="L217" s="42" t="n">
        <v>-11.668</v>
      </c>
      <c r="M217" s="26" t="n">
        <f aca="false">N217-L217</f>
        <v>-14.277</v>
      </c>
      <c r="N217" s="42" t="n">
        <v>-25.945</v>
      </c>
      <c r="O217" s="42" t="n">
        <v>-12.957</v>
      </c>
      <c r="P217" s="26" t="n">
        <f aca="false">Q217-O217</f>
        <v>-1.126</v>
      </c>
      <c r="Q217" s="42" t="n">
        <v>-14.083</v>
      </c>
      <c r="R217" s="42" t="n">
        <v>-10.258</v>
      </c>
      <c r="S217" s="26" t="n">
        <f aca="false">T217-R217</f>
        <v>1.355</v>
      </c>
      <c r="T217" s="42" t="n">
        <v>-8.903</v>
      </c>
      <c r="U217" s="42" t="n">
        <v>-7.218</v>
      </c>
      <c r="V217" s="26" t="n">
        <f aca="false">W217-U217</f>
        <v>4.22</v>
      </c>
      <c r="W217" s="42" t="n">
        <v>-2.998</v>
      </c>
      <c r="X217" s="42" t="n">
        <v>-7.361</v>
      </c>
      <c r="Y217" s="26" t="n">
        <f aca="false">Z217-X217</f>
        <v>0.077</v>
      </c>
      <c r="Z217" s="42" t="n">
        <v>-7.284</v>
      </c>
      <c r="AA217" s="42" t="n">
        <v>-16.614</v>
      </c>
      <c r="AB217" s="26" t="n">
        <f aca="false">AC217-AA217</f>
        <v>-23.746</v>
      </c>
      <c r="AC217" s="42" t="n">
        <v>-40.36</v>
      </c>
      <c r="AD217" s="42" t="n">
        <v>-45.13</v>
      </c>
      <c r="AE217" s="26" t="n">
        <f aca="false">AF217-AD217</f>
        <v>0.653000000000006</v>
      </c>
      <c r="AF217" s="42" t="n">
        <v>-44.477</v>
      </c>
      <c r="AG217" s="42" t="n">
        <v>3.936</v>
      </c>
      <c r="AH217" s="26" t="n">
        <f aca="false">AI217-AG217</f>
        <v>14.298</v>
      </c>
      <c r="AI217" s="42" t="n">
        <v>18.234</v>
      </c>
      <c r="AJ217" s="42" t="n">
        <v>-32.038</v>
      </c>
      <c r="AK217" s="26" t="n">
        <f aca="false">AL217-AJ217</f>
        <v>-9.862</v>
      </c>
      <c r="AL217" s="42" t="n">
        <v>-41.9</v>
      </c>
      <c r="AM217" s="42" t="n">
        <v>-27.399</v>
      </c>
      <c r="AN217" s="26" t="n">
        <f aca="false">AO217-AM217</f>
        <v>-26.647</v>
      </c>
      <c r="AO217" s="42" t="n">
        <v>-54.046</v>
      </c>
      <c r="AP217" s="42" t="n">
        <v>-50.385</v>
      </c>
      <c r="AQ217" s="26" t="n">
        <f aca="false">AR217-AP217</f>
        <v>-22.189</v>
      </c>
      <c r="AR217" s="42" t="n">
        <v>-72.574</v>
      </c>
      <c r="AS217" s="42" t="n">
        <v>-37.118</v>
      </c>
      <c r="AT217" s="26" t="n">
        <f aca="false">AU217-AS217</f>
        <v>-21.992</v>
      </c>
      <c r="AU217" s="42" t="n">
        <v>-59.11</v>
      </c>
      <c r="AV217" s="42" t="n">
        <v>-22.639</v>
      </c>
      <c r="AW217" s="27" t="n">
        <f aca="false">-(AX268-AV268)</f>
        <v>-7.44013200000001</v>
      </c>
      <c r="AX217" s="27" t="n">
        <f aca="false">AV217+AW217</f>
        <v>-30.079132</v>
      </c>
      <c r="AY217" s="27" t="n">
        <f aca="false">-(AY268-AX268)</f>
        <v>-43.915205774142</v>
      </c>
      <c r="AZ217" s="27" t="n">
        <f aca="false">-(AZ268-AY268)</f>
        <v>-39.0963309118366</v>
      </c>
      <c r="BA217" s="27" t="n">
        <f aca="false">-(BA268-AZ268)</f>
        <v>-39.4834895944111</v>
      </c>
      <c r="BB217" s="27" t="n">
        <f aca="false">-(BB268-BA268)</f>
        <v>-39.4755359866236</v>
      </c>
    </row>
    <row r="218" customFormat="false" ht="15" hidden="false" customHeight="true" outlineLevel="0" collapsed="false">
      <c r="B218" s="20" t="s">
        <v>328</v>
      </c>
      <c r="C218" s="42" t="n">
        <v>9.325</v>
      </c>
      <c r="D218" s="26" t="n">
        <f aca="false">E218-C218</f>
        <v>1.211</v>
      </c>
      <c r="E218" s="42" t="n">
        <v>10.536</v>
      </c>
      <c r="F218" s="42" t="n">
        <v>-0.774</v>
      </c>
      <c r="G218" s="26" t="n">
        <f aca="false">H218-F218</f>
        <v>7.863</v>
      </c>
      <c r="H218" s="42" t="n">
        <v>7.089</v>
      </c>
      <c r="I218" s="42" t="n">
        <v>-3.794</v>
      </c>
      <c r="J218" s="26" t="n">
        <f aca="false">K218-I218</f>
        <v>3.331</v>
      </c>
      <c r="K218" s="42" t="n">
        <v>-0.463</v>
      </c>
      <c r="L218" s="42" t="n">
        <v>-1.96</v>
      </c>
      <c r="M218" s="26" t="n">
        <f aca="false">N218-L218</f>
        <v>-4.704</v>
      </c>
      <c r="N218" s="42" t="n">
        <v>-6.664</v>
      </c>
      <c r="O218" s="42" t="n">
        <v>-6.978</v>
      </c>
      <c r="P218" s="26" t="n">
        <f aca="false">Q218-O218</f>
        <v>8.527</v>
      </c>
      <c r="Q218" s="42" t="n">
        <v>1.549</v>
      </c>
      <c r="R218" s="42" t="n">
        <v>-6.268</v>
      </c>
      <c r="S218" s="26" t="n">
        <f aca="false">T218-R218</f>
        <v>-0.648000000000001</v>
      </c>
      <c r="T218" s="42" t="n">
        <v>-6.916</v>
      </c>
      <c r="U218" s="42" t="n">
        <v>3.394</v>
      </c>
      <c r="V218" s="26" t="n">
        <f aca="false">W218-U218</f>
        <v>5.646</v>
      </c>
      <c r="W218" s="42" t="n">
        <v>9.04</v>
      </c>
      <c r="X218" s="42" t="n">
        <v>2.094</v>
      </c>
      <c r="Y218" s="26" t="n">
        <f aca="false">Z218-X218</f>
        <v>5.742</v>
      </c>
      <c r="Z218" s="42" t="n">
        <v>7.836</v>
      </c>
      <c r="AA218" s="42" t="n">
        <v>1.901</v>
      </c>
      <c r="AB218" s="26" t="n">
        <f aca="false">AC218-AA218</f>
        <v>7.71</v>
      </c>
      <c r="AC218" s="42" t="n">
        <v>9.611</v>
      </c>
      <c r="AD218" s="42" t="n">
        <v>-15.045</v>
      </c>
      <c r="AE218" s="26" t="n">
        <f aca="false">AF218-AD218</f>
        <v>24.437</v>
      </c>
      <c r="AF218" s="42" t="n">
        <v>9.392</v>
      </c>
      <c r="AG218" s="42" t="n">
        <v>-18.332</v>
      </c>
      <c r="AH218" s="26" t="n">
        <f aca="false">AI218-AG218</f>
        <v>23.854</v>
      </c>
      <c r="AI218" s="42" t="n">
        <v>5.522</v>
      </c>
      <c r="AJ218" s="42" t="n">
        <v>0.381</v>
      </c>
      <c r="AK218" s="26" t="n">
        <f aca="false">AL218-AJ218</f>
        <v>33.651</v>
      </c>
      <c r="AL218" s="42" t="n">
        <v>34.032</v>
      </c>
      <c r="AM218" s="42" t="n">
        <v>9.96</v>
      </c>
      <c r="AN218" s="26" t="n">
        <f aca="false">AO218-AM218</f>
        <v>26.435</v>
      </c>
      <c r="AO218" s="42" t="n">
        <v>36.395</v>
      </c>
      <c r="AP218" s="42" t="n">
        <v>-7.474</v>
      </c>
      <c r="AQ218" s="26" t="n">
        <f aca="false">AR218-AP218</f>
        <v>3.173</v>
      </c>
      <c r="AR218" s="42" t="n">
        <v>-4.301</v>
      </c>
      <c r="AS218" s="42" t="n">
        <v>23.333</v>
      </c>
      <c r="AT218" s="26" t="n">
        <f aca="false">AU218-AS218</f>
        <v>6.121</v>
      </c>
      <c r="AU218" s="42" t="n">
        <v>29.454</v>
      </c>
      <c r="AV218" s="42" t="n">
        <v>-12.423</v>
      </c>
      <c r="AW218" s="27" t="n">
        <f aca="false">(AX287-AV287)</f>
        <v>16.5376214702864</v>
      </c>
      <c r="AX218" s="27" t="n">
        <f aca="false">AV218+AW218</f>
        <v>4.11462147028641</v>
      </c>
      <c r="AY218" s="27" t="n">
        <f aca="false">(AY287-AX287)</f>
        <v>19.7958207981714</v>
      </c>
      <c r="AZ218" s="27" t="n">
        <f aca="false">(AZ287-AY287)</f>
        <v>16.3138668362932</v>
      </c>
      <c r="BA218" s="27" t="n">
        <f aca="false">(BA287-AZ287)</f>
        <v>16.3452570952156</v>
      </c>
      <c r="BB218" s="27" t="n">
        <f aca="false">(BB287-BA287)</f>
        <v>16.7226297843331</v>
      </c>
    </row>
    <row r="219" customFormat="false" ht="15" hidden="false" customHeight="true" outlineLevel="0" collapsed="false">
      <c r="B219" s="20" t="s">
        <v>329</v>
      </c>
      <c r="C219" s="42" t="n">
        <v>5.627</v>
      </c>
      <c r="D219" s="26" t="n">
        <f aca="false">E219-C219</f>
        <v>-6.582</v>
      </c>
      <c r="E219" s="42" t="n">
        <v>-0.955</v>
      </c>
      <c r="F219" s="42" t="n">
        <v>5.452</v>
      </c>
      <c r="G219" s="26" t="n">
        <f aca="false">H219-F219</f>
        <v>-4.53</v>
      </c>
      <c r="H219" s="42" t="n">
        <v>0.922</v>
      </c>
      <c r="I219" s="42" t="n">
        <v>3.204</v>
      </c>
      <c r="J219" s="26" t="n">
        <f aca="false">K219-I219</f>
        <v>-7.903</v>
      </c>
      <c r="K219" s="42" t="n">
        <v>-4.699</v>
      </c>
      <c r="L219" s="42" t="n">
        <v>1.533</v>
      </c>
      <c r="M219" s="26" t="n">
        <f aca="false">N219-L219</f>
        <v>-3.291</v>
      </c>
      <c r="N219" s="42" t="n">
        <v>-1.758</v>
      </c>
      <c r="O219" s="42" t="n">
        <v>12.36</v>
      </c>
      <c r="P219" s="26" t="n">
        <f aca="false">Q219-O219</f>
        <v>-11.866</v>
      </c>
      <c r="Q219" s="42" t="n">
        <v>0.494</v>
      </c>
      <c r="R219" s="42" t="n">
        <v>13.683</v>
      </c>
      <c r="S219" s="26" t="n">
        <f aca="false">T219-R219</f>
        <v>-12.799</v>
      </c>
      <c r="T219" s="42" t="n">
        <v>0.884</v>
      </c>
      <c r="U219" s="42" t="n">
        <v>7.577</v>
      </c>
      <c r="V219" s="26" t="n">
        <f aca="false">W219-U219</f>
        <v>-5.42</v>
      </c>
      <c r="W219" s="42" t="n">
        <v>2.157</v>
      </c>
      <c r="X219" s="42" t="n">
        <v>3.826</v>
      </c>
      <c r="Y219" s="26" t="n">
        <f aca="false">Z219-X219</f>
        <v>-1.294</v>
      </c>
      <c r="Z219" s="42" t="n">
        <v>2.532</v>
      </c>
      <c r="AA219" s="42" t="n">
        <v>5.977</v>
      </c>
      <c r="AB219" s="26" t="n">
        <f aca="false">AC219-AA219</f>
        <v>11.667</v>
      </c>
      <c r="AC219" s="42" t="n">
        <v>17.644</v>
      </c>
      <c r="AD219" s="42" t="n">
        <v>31.179</v>
      </c>
      <c r="AE219" s="26" t="n">
        <f aca="false">AF219-AD219</f>
        <v>-21.964</v>
      </c>
      <c r="AF219" s="42" t="n">
        <v>9.215</v>
      </c>
      <c r="AG219" s="42" t="n">
        <v>13.649</v>
      </c>
      <c r="AH219" s="26" t="n">
        <f aca="false">AI219-AG219</f>
        <v>-5.948</v>
      </c>
      <c r="AI219" s="42" t="n">
        <v>7.701</v>
      </c>
      <c r="AJ219" s="42" t="n">
        <v>4.824</v>
      </c>
      <c r="AK219" s="26" t="n">
        <f aca="false">AL219-AJ219</f>
        <v>10.847</v>
      </c>
      <c r="AL219" s="42" t="n">
        <v>15.671</v>
      </c>
      <c r="AM219" s="42" t="n">
        <v>22.333</v>
      </c>
      <c r="AN219" s="26" t="n">
        <f aca="false">AO219-AM219</f>
        <v>0.66</v>
      </c>
      <c r="AO219" s="42" t="n">
        <v>22.993</v>
      </c>
      <c r="AP219" s="42" t="n">
        <v>16.485</v>
      </c>
      <c r="AQ219" s="26" t="n">
        <f aca="false">AR219-AP219</f>
        <v>12.522</v>
      </c>
      <c r="AR219" s="42" t="n">
        <v>29.007</v>
      </c>
      <c r="AS219" s="42" t="n">
        <v>5.498</v>
      </c>
      <c r="AT219" s="26" t="n">
        <f aca="false">AU219-AS219</f>
        <v>7.001</v>
      </c>
      <c r="AU219" s="42" t="n">
        <v>12.499</v>
      </c>
      <c r="AV219" s="42" t="n">
        <v>16.434</v>
      </c>
      <c r="AW219" s="50" t="n">
        <v>0</v>
      </c>
      <c r="AX219" s="27" t="n">
        <f aca="false">AV219+AW219</f>
        <v>16.434</v>
      </c>
      <c r="AY219" s="50" t="n">
        <v>0</v>
      </c>
      <c r="AZ219" s="50" t="n">
        <v>0</v>
      </c>
      <c r="BA219" s="50" t="n">
        <v>0</v>
      </c>
      <c r="BB219" s="50" t="n">
        <v>0</v>
      </c>
    </row>
    <row r="220" customFormat="false" ht="15" hidden="false" customHeight="true" outlineLevel="0" collapsed="false">
      <c r="B220" s="46" t="s">
        <v>330</v>
      </c>
      <c r="C220" s="47" t="n">
        <f aca="false">SUM(C212:C219)</f>
        <v>2.908</v>
      </c>
      <c r="D220" s="47" t="n">
        <f aca="false">SUM(D212:D219)</f>
        <v>17.434</v>
      </c>
      <c r="E220" s="47" t="n">
        <f aca="false">SUM(E212:E219)</f>
        <v>20.342</v>
      </c>
      <c r="F220" s="47" t="n">
        <f aca="false">SUM(F212:F219)</f>
        <v>-13.555</v>
      </c>
      <c r="G220" s="47" t="n">
        <f aca="false">SUM(G212:G219)</f>
        <v>30.56</v>
      </c>
      <c r="H220" s="47" t="n">
        <f aca="false">SUM(H212:H219)</f>
        <v>17.005</v>
      </c>
      <c r="I220" s="47" t="n">
        <f aca="false">SUM(I212:I219)</f>
        <v>-5.393</v>
      </c>
      <c r="J220" s="47" t="n">
        <f aca="false">SUM(J212:J219)</f>
        <v>28.947</v>
      </c>
      <c r="K220" s="47" t="n">
        <f aca="false">SUM(K212:K219)</f>
        <v>23.554</v>
      </c>
      <c r="L220" s="47" t="n">
        <f aca="false">SUM(L212:L219)</f>
        <v>-7.639</v>
      </c>
      <c r="M220" s="47" t="n">
        <f aca="false">SUM(M212:M219)</f>
        <v>21.41</v>
      </c>
      <c r="N220" s="47" t="n">
        <f aca="false">SUM(N212:N219)</f>
        <v>13.771</v>
      </c>
      <c r="O220" s="47" t="n">
        <f aca="false">SUM(O212:O219)</f>
        <v>-7.043</v>
      </c>
      <c r="P220" s="47" t="n">
        <f aca="false">SUM(P212:P219)</f>
        <v>42.92</v>
      </c>
      <c r="Q220" s="47" t="n">
        <f aca="false">SUM(Q212:Q219)</f>
        <v>35.877</v>
      </c>
      <c r="R220" s="47" t="n">
        <f aca="false">SUM(R212:R219)</f>
        <v>4.339</v>
      </c>
      <c r="S220" s="47" t="n">
        <f aca="false">SUM(S212:S219)</f>
        <v>40.2</v>
      </c>
      <c r="T220" s="47" t="n">
        <f aca="false">SUM(T212:T219)</f>
        <v>44.539</v>
      </c>
      <c r="U220" s="47" t="n">
        <f aca="false">SUM(U212:U219)</f>
        <v>26.519</v>
      </c>
      <c r="V220" s="47" t="n">
        <f aca="false">SUM(V212:V219)</f>
        <v>59.222</v>
      </c>
      <c r="W220" s="47" t="n">
        <f aca="false">SUM(W212:W219)</f>
        <v>85.741</v>
      </c>
      <c r="X220" s="47" t="n">
        <f aca="false">SUM(X212:X219)</f>
        <v>20.975</v>
      </c>
      <c r="Y220" s="47" t="n">
        <f aca="false">SUM(Y212:Y219)</f>
        <v>49.127</v>
      </c>
      <c r="Z220" s="47" t="n">
        <f aca="false">SUM(Z212:Z219)</f>
        <v>70.102</v>
      </c>
      <c r="AA220" s="47" t="n">
        <f aca="false">SUM(AA212:AA219)</f>
        <v>31.722</v>
      </c>
      <c r="AB220" s="47" t="n">
        <f aca="false">SUM(AB212:AB219)</f>
        <v>83.374</v>
      </c>
      <c r="AC220" s="47" t="n">
        <f aca="false">SUM(AC212:AC219)</f>
        <v>115.096</v>
      </c>
      <c r="AD220" s="47" t="n">
        <f aca="false">SUM(AD212:AD219)</f>
        <v>-53.827</v>
      </c>
      <c r="AE220" s="47" t="n">
        <f aca="false">SUM(AE212:AE219)</f>
        <v>90.289</v>
      </c>
      <c r="AF220" s="47" t="n">
        <f aca="false">SUM(AF212:AF219)</f>
        <v>36.462</v>
      </c>
      <c r="AG220" s="47" t="n">
        <f aca="false">SUM(AG212:AG219)</f>
        <v>63.693</v>
      </c>
      <c r="AH220" s="47" t="n">
        <f aca="false">SUM(AH212:AH219)</f>
        <v>144.483</v>
      </c>
      <c r="AI220" s="47" t="n">
        <f aca="false">SUM(AI212:AI219)</f>
        <v>208.176</v>
      </c>
      <c r="AJ220" s="47" t="n">
        <f aca="false">SUM(AJ212:AJ219)</f>
        <v>78.506</v>
      </c>
      <c r="AK220" s="47" t="n">
        <f aca="false">SUM(AK212:AK219)</f>
        <v>137.431</v>
      </c>
      <c r="AL220" s="47" t="n">
        <f aca="false">SUM(AL212:AL219)</f>
        <v>215.937</v>
      </c>
      <c r="AM220" s="47" t="n">
        <f aca="false">SUM(AM212:AM219)</f>
        <v>79.597</v>
      </c>
      <c r="AN220" s="47" t="n">
        <f aca="false">SUM(AN212:AN219)</f>
        <v>129.451</v>
      </c>
      <c r="AO220" s="47" t="n">
        <f aca="false">SUM(AO212:AO219)</f>
        <v>209.048</v>
      </c>
      <c r="AP220" s="47" t="n">
        <f aca="false">SUM(AP212:AP219)</f>
        <v>102.168</v>
      </c>
      <c r="AQ220" s="47" t="n">
        <f aca="false">SUM(AQ212:AQ219)</f>
        <v>86.762</v>
      </c>
      <c r="AR220" s="47" t="n">
        <f aca="false">SUM(AR212:AR219)</f>
        <v>188.93</v>
      </c>
      <c r="AS220" s="47" t="n">
        <f aca="false">SUM(AS212:AS219)</f>
        <v>103.545</v>
      </c>
      <c r="AT220" s="47" t="n">
        <f aca="false">SUM(AT212:AT219)</f>
        <v>139.062</v>
      </c>
      <c r="AU220" s="47" t="n">
        <f aca="false">SUM(AU212:AU219)</f>
        <v>242.607</v>
      </c>
      <c r="AV220" s="47" t="n">
        <f aca="false">SUM(AV212:AV219)</f>
        <v>151.781</v>
      </c>
      <c r="AW220" s="47" t="n">
        <f aca="false">SUM(AW212:AW219)</f>
        <v>195.477741678081</v>
      </c>
      <c r="AX220" s="47" t="n">
        <f aca="false">SUM(AX212:AX219)</f>
        <v>347.258741678081</v>
      </c>
      <c r="AY220" s="47" t="n">
        <f aca="false">SUM(AY212:AY219)</f>
        <v>365.903859543105</v>
      </c>
      <c r="AZ220" s="47" t="n">
        <f aca="false">SUM(AZ212:AZ219)</f>
        <v>405.826402629275</v>
      </c>
      <c r="BA220" s="47" t="n">
        <f aca="false">SUM(BA212:BA219)</f>
        <v>442.043125012722</v>
      </c>
      <c r="BB220" s="47" t="n">
        <f aca="false">SUM(BB212:BB219)</f>
        <v>480.463033615451</v>
      </c>
      <c r="BE220" s="37" t="n">
        <f aca="false">IFERROR(IF(AND(BB220&gt;0,AU220&gt;0),(BB220/AU220)^(1/5)-1,"n/m"),"n/m")</f>
        <v>0.146439999615206</v>
      </c>
      <c r="BF220" s="37" t="n">
        <f aca="false">IFERROR(IF(AND(AU220&gt;0,AF220&gt;0),(AU220/AF220)^(1/5)-1,"n/m"),"n/m")</f>
        <v>0.460873355475612</v>
      </c>
      <c r="BG220" s="37" t="n">
        <f aca="false">IFERROR(IF(AND(AU220&gt;0,Q220&gt;0),(AU220/Q220)^(1/10)-1,"n/m"),"n/m")</f>
        <v>0.21062244276664</v>
      </c>
      <c r="BH220" s="37" t="n">
        <f aca="false">IFERROR(IF(AND(AU220&gt;0,E220&gt;0),(AU220/E220)^(1/14)-1,"n/m"),"n/m")</f>
        <v>0.19369547727598</v>
      </c>
    </row>
    <row r="221" customFormat="false" ht="15" hidden="false" customHeight="true" outlineLevel="0" collapsed="false">
      <c r="B221" s="14" t="s">
        <v>331</v>
      </c>
      <c r="C221" s="34" t="n">
        <v>-4.53</v>
      </c>
      <c r="D221" s="35" t="n">
        <f aca="false">E221-C221</f>
        <v>-5.502</v>
      </c>
      <c r="E221" s="34" t="n">
        <v>-10.032</v>
      </c>
      <c r="F221" s="34" t="n">
        <v>-5.72</v>
      </c>
      <c r="G221" s="35" t="n">
        <f aca="false">H221-F221</f>
        <v>-12.914</v>
      </c>
      <c r="H221" s="34" t="n">
        <v>-18.634</v>
      </c>
      <c r="I221" s="34" t="n">
        <v>-12.061</v>
      </c>
      <c r="J221" s="35" t="n">
        <f aca="false">K221-I221</f>
        <v>-12.482</v>
      </c>
      <c r="K221" s="34" t="n">
        <v>-24.543</v>
      </c>
      <c r="L221" s="34" t="n">
        <v>-14.913</v>
      </c>
      <c r="M221" s="35" t="n">
        <f aca="false">N221-L221</f>
        <v>-14.688</v>
      </c>
      <c r="N221" s="34" t="n">
        <v>-29.601</v>
      </c>
      <c r="O221" s="34" t="n">
        <v>-14.97</v>
      </c>
      <c r="P221" s="35" t="n">
        <f aca="false">Q221-O221</f>
        <v>-17.37</v>
      </c>
      <c r="Q221" s="34" t="n">
        <v>-32.34</v>
      </c>
      <c r="R221" s="34" t="n">
        <v>-15.868</v>
      </c>
      <c r="S221" s="35" t="n">
        <f aca="false">T221-R221</f>
        <v>-9.525</v>
      </c>
      <c r="T221" s="34" t="n">
        <v>-25.393</v>
      </c>
      <c r="U221" s="34" t="n">
        <v>-12.106</v>
      </c>
      <c r="V221" s="35" t="n">
        <f aca="false">W221-U221</f>
        <v>-11.637</v>
      </c>
      <c r="W221" s="34" t="n">
        <v>-23.743</v>
      </c>
      <c r="X221" s="34" t="n">
        <v>-14.006</v>
      </c>
      <c r="Y221" s="35" t="n">
        <f aca="false">Z221-X221</f>
        <v>-13.999</v>
      </c>
      <c r="Z221" s="34" t="n">
        <v>-28.005</v>
      </c>
      <c r="AA221" s="34" t="n">
        <v>-16.388</v>
      </c>
      <c r="AB221" s="35" t="n">
        <f aca="false">AC221-AA221</f>
        <v>-24.136</v>
      </c>
      <c r="AC221" s="34" t="n">
        <v>-40.524</v>
      </c>
      <c r="AD221" s="34" t="n">
        <v>-15.864</v>
      </c>
      <c r="AE221" s="35" t="n">
        <f aca="false">AF221-AD221</f>
        <v>-25.322</v>
      </c>
      <c r="AF221" s="34" t="n">
        <v>-41.186</v>
      </c>
      <c r="AG221" s="34" t="n">
        <v>-20.208</v>
      </c>
      <c r="AH221" s="35" t="n">
        <f aca="false">AI221-AG221</f>
        <v>-25.05</v>
      </c>
      <c r="AI221" s="34" t="n">
        <v>-45.258</v>
      </c>
      <c r="AJ221" s="34" t="n">
        <v>-25.388</v>
      </c>
      <c r="AK221" s="35" t="n">
        <f aca="false">AL221-AJ221</f>
        <v>-30.562</v>
      </c>
      <c r="AL221" s="34" t="n">
        <v>-55.95</v>
      </c>
      <c r="AM221" s="34" t="n">
        <v>-30.621</v>
      </c>
      <c r="AN221" s="35" t="n">
        <f aca="false">AO221-AM221</f>
        <v>-38.79</v>
      </c>
      <c r="AO221" s="34" t="n">
        <v>-69.411</v>
      </c>
      <c r="AP221" s="34" t="n">
        <v>-36.302</v>
      </c>
      <c r="AQ221" s="35" t="n">
        <f aca="false">AR221-AP221</f>
        <v>-54.325</v>
      </c>
      <c r="AR221" s="34" t="n">
        <v>-90.627</v>
      </c>
      <c r="AS221" s="34" t="n">
        <v>-54.069</v>
      </c>
      <c r="AT221" s="35" t="n">
        <f aca="false">AU221-AS221</f>
        <v>-74.231</v>
      </c>
      <c r="AU221" s="34" t="n">
        <v>-128.3</v>
      </c>
      <c r="AV221" s="34" t="n">
        <v>-48.654</v>
      </c>
      <c r="AW221" s="36" t="n">
        <f aca="false">-AW320*(1-AW322)</f>
        <v>-35.9722319316643</v>
      </c>
      <c r="AX221" s="36" t="n">
        <f aca="false">AV221+AW221</f>
        <v>-84.6262319316643</v>
      </c>
      <c r="AY221" s="36" t="n">
        <f aca="false">-AY320*(1-AY322)</f>
        <v>-98.7415297075701</v>
      </c>
      <c r="AZ221" s="36" t="n">
        <f aca="false">-AZ320*(1-AZ322)</f>
        <v>-106.914603393694</v>
      </c>
      <c r="BA221" s="36" t="n">
        <f aca="false">-BA320*(1-BA322)</f>
        <v>-115.16861246089</v>
      </c>
      <c r="BB221" s="36" t="n">
        <f aca="false">-BB320*(1-BB322)</f>
        <v>-123.420958829286</v>
      </c>
    </row>
    <row r="222" customFormat="false" ht="15" hidden="false" customHeight="true" outlineLevel="0" collapsed="false">
      <c r="B222" s="14" t="s">
        <v>332</v>
      </c>
      <c r="C222" s="34" t="n">
        <v>-4.2</v>
      </c>
      <c r="D222" s="35" t="n">
        <f aca="false">E222-C222</f>
        <v>-3.378</v>
      </c>
      <c r="E222" s="34" t="n">
        <v>-7.578</v>
      </c>
      <c r="F222" s="34" t="n">
        <v>-2.234</v>
      </c>
      <c r="G222" s="35" t="n">
        <f aca="false">H222-F222</f>
        <v>-4.92</v>
      </c>
      <c r="H222" s="34" t="n">
        <v>-7.154</v>
      </c>
      <c r="I222" s="34" t="n">
        <v>-5.978</v>
      </c>
      <c r="J222" s="35" t="n">
        <f aca="false">K222-I222</f>
        <v>-0.966</v>
      </c>
      <c r="K222" s="34" t="n">
        <v>-6.944</v>
      </c>
      <c r="L222" s="34" t="n">
        <v>-2.804</v>
      </c>
      <c r="M222" s="35" t="n">
        <f aca="false">N222-L222</f>
        <v>-1.547</v>
      </c>
      <c r="N222" s="34" t="n">
        <v>-4.351</v>
      </c>
      <c r="O222" s="34" t="n">
        <v>-4.602</v>
      </c>
      <c r="P222" s="35" t="n">
        <f aca="false">Q222-O222</f>
        <v>-3.195</v>
      </c>
      <c r="Q222" s="34" t="n">
        <v>-7.797</v>
      </c>
      <c r="R222" s="34" t="n">
        <v>-2.11</v>
      </c>
      <c r="S222" s="35" t="n">
        <f aca="false">T222-R222</f>
        <v>-2.11</v>
      </c>
      <c r="T222" s="34" t="n">
        <v>-4.22</v>
      </c>
      <c r="U222" s="34" t="n">
        <v>-1.404</v>
      </c>
      <c r="V222" s="35" t="n">
        <f aca="false">W222-U222</f>
        <v>-2.324</v>
      </c>
      <c r="W222" s="34" t="n">
        <v>-3.728</v>
      </c>
      <c r="X222" s="34" t="n">
        <v>-10.502</v>
      </c>
      <c r="Y222" s="35" t="n">
        <f aca="false">Z222-X222</f>
        <v>-5.279</v>
      </c>
      <c r="Z222" s="34" t="n">
        <v>-15.781</v>
      </c>
      <c r="AA222" s="34" t="n">
        <v>-2.224</v>
      </c>
      <c r="AB222" s="35" t="n">
        <f aca="false">AC222-AA222</f>
        <v>-9.218</v>
      </c>
      <c r="AC222" s="34" t="n">
        <v>-11.442</v>
      </c>
      <c r="AD222" s="34" t="n">
        <v>-4.615</v>
      </c>
      <c r="AE222" s="35" t="n">
        <f aca="false">AF222-AD222</f>
        <v>-2.819</v>
      </c>
      <c r="AF222" s="34" t="n">
        <v>-7.434</v>
      </c>
      <c r="AG222" s="34" t="n">
        <v>-7.274</v>
      </c>
      <c r="AH222" s="35" t="n">
        <f aca="false">AI222-AG222</f>
        <v>-3.431</v>
      </c>
      <c r="AI222" s="34" t="n">
        <v>-10.705</v>
      </c>
      <c r="AJ222" s="34" t="n">
        <v>-4.116</v>
      </c>
      <c r="AK222" s="35" t="n">
        <f aca="false">AL222-AJ222</f>
        <v>-3.385</v>
      </c>
      <c r="AL222" s="34" t="n">
        <v>-7.501</v>
      </c>
      <c r="AM222" s="34" t="n">
        <v>-3.422</v>
      </c>
      <c r="AN222" s="35" t="n">
        <f aca="false">AO222-AM222</f>
        <v>-3.694</v>
      </c>
      <c r="AO222" s="34" t="n">
        <v>-7.116</v>
      </c>
      <c r="AP222" s="34" t="n">
        <v>-4.153</v>
      </c>
      <c r="AQ222" s="35" t="n">
        <f aca="false">AR222-AP222</f>
        <v>-5.031</v>
      </c>
      <c r="AR222" s="34" t="n">
        <v>-9.184</v>
      </c>
      <c r="AS222" s="34" t="n">
        <v>-6.475</v>
      </c>
      <c r="AT222" s="35" t="n">
        <f aca="false">AU222-AS222</f>
        <v>-7.698</v>
      </c>
      <c r="AU222" s="34" t="n">
        <v>-14.173</v>
      </c>
      <c r="AV222" s="34" t="n">
        <v>-6.4</v>
      </c>
      <c r="AW222" s="36" t="n">
        <f aca="false">-AW320*AW322</f>
        <v>-3.97376806833575</v>
      </c>
      <c r="AX222" s="36" t="n">
        <f aca="false">AV222+AW222</f>
        <v>-10.3737680683358</v>
      </c>
      <c r="AY222" s="36" t="n">
        <f aca="false">-AY320*AY322</f>
        <v>-10.9077451328557</v>
      </c>
      <c r="AZ222" s="36" t="n">
        <f aca="false">-AZ320*AZ322</f>
        <v>-11.8106054084086</v>
      </c>
      <c r="BA222" s="36" t="n">
        <f aca="false">-BA320*BA322</f>
        <v>-12.722406425629</v>
      </c>
      <c r="BB222" s="36" t="n">
        <f aca="false">-BB320*BB322</f>
        <v>-13.6340237684136</v>
      </c>
    </row>
    <row r="223" customFormat="false" ht="15" hidden="false" customHeight="true" outlineLevel="0" collapsed="false">
      <c r="B223" s="20" t="s">
        <v>333</v>
      </c>
      <c r="C223" s="42" t="n">
        <v>-0.799</v>
      </c>
      <c r="D223" s="26" t="n">
        <f aca="false">E223-C223</f>
        <v>0</v>
      </c>
      <c r="E223" s="42" t="n">
        <v>-0.799</v>
      </c>
      <c r="F223" s="42" t="n">
        <v>0</v>
      </c>
      <c r="G223" s="26" t="n">
        <f aca="false">H223-F223</f>
        <v>0</v>
      </c>
      <c r="H223" s="42" t="n">
        <v>0</v>
      </c>
      <c r="I223" s="42" t="n">
        <v>-3.197</v>
      </c>
      <c r="J223" s="26" t="n">
        <f aca="false">K223-I223</f>
        <v>-0.0819999999999999</v>
      </c>
      <c r="K223" s="42" t="n">
        <v>-3.279</v>
      </c>
      <c r="L223" s="42" t="n">
        <v>-1.076</v>
      </c>
      <c r="M223" s="26" t="n">
        <f aca="false">N223-L223</f>
        <v>0</v>
      </c>
      <c r="N223" s="42" t="n">
        <v>-1.076</v>
      </c>
      <c r="O223" s="42" t="n">
        <v>0</v>
      </c>
      <c r="P223" s="26" t="n">
        <f aca="false">Q223-O223</f>
        <v>0</v>
      </c>
      <c r="Q223" s="42" t="n">
        <v>0</v>
      </c>
      <c r="R223" s="42" t="n">
        <v>0</v>
      </c>
      <c r="S223" s="26" t="n">
        <f aca="false">T223-R223</f>
        <v>0</v>
      </c>
      <c r="T223" s="42" t="n">
        <v>0</v>
      </c>
      <c r="U223" s="42" t="n">
        <v>-8.334</v>
      </c>
      <c r="V223" s="26" t="n">
        <f aca="false">W223-U223</f>
        <v>0</v>
      </c>
      <c r="W223" s="42" t="n">
        <v>-8.334</v>
      </c>
      <c r="X223" s="42" t="n">
        <v>0</v>
      </c>
      <c r="Y223" s="26" t="n">
        <f aca="false">Z223-X223</f>
        <v>0</v>
      </c>
      <c r="Z223" s="42" t="n">
        <v>0</v>
      </c>
      <c r="AA223" s="42" t="n">
        <v>0</v>
      </c>
      <c r="AB223" s="26" t="n">
        <f aca="false">AC223-AA223</f>
        <v>0</v>
      </c>
      <c r="AC223" s="42" t="n">
        <v>0</v>
      </c>
      <c r="AD223" s="42" t="n">
        <v>0</v>
      </c>
      <c r="AE223" s="26" t="n">
        <f aca="false">AF223-AD223</f>
        <v>0</v>
      </c>
      <c r="AF223" s="42" t="n">
        <v>0</v>
      </c>
      <c r="AG223" s="42" t="n">
        <v>-1.669</v>
      </c>
      <c r="AH223" s="26" t="n">
        <f aca="false">AI223-AG223</f>
        <v>0</v>
      </c>
      <c r="AI223" s="42" t="n">
        <v>-1.669</v>
      </c>
      <c r="AJ223" s="42" t="n">
        <v>0</v>
      </c>
      <c r="AK223" s="26" t="n">
        <f aca="false">AL223-AJ223</f>
        <v>0</v>
      </c>
      <c r="AL223" s="42" t="n">
        <v>0</v>
      </c>
      <c r="AM223" s="42" t="n">
        <v>0</v>
      </c>
      <c r="AN223" s="26" t="n">
        <f aca="false">AO223-AM223</f>
        <v>0</v>
      </c>
      <c r="AO223" s="42" t="n">
        <v>0</v>
      </c>
      <c r="AP223" s="42" t="n">
        <v>-2.457</v>
      </c>
      <c r="AQ223" s="26" t="n">
        <f aca="false">AR223-AP223</f>
        <v>-1.494</v>
      </c>
      <c r="AR223" s="42" t="n">
        <v>-3.951</v>
      </c>
      <c r="AS223" s="42" t="n">
        <v>0</v>
      </c>
      <c r="AT223" s="26" t="n">
        <f aca="false">AU223-AS223</f>
        <v>0</v>
      </c>
      <c r="AU223" s="42" t="n">
        <v>0</v>
      </c>
      <c r="AV223" s="42" t="n">
        <v>0</v>
      </c>
      <c r="AW223" s="50" t="n">
        <v>0</v>
      </c>
      <c r="AX223" s="27" t="n">
        <f aca="false">AV223+AW223</f>
        <v>0</v>
      </c>
      <c r="AY223" s="50" t="n">
        <v>0</v>
      </c>
      <c r="AZ223" s="50" t="n">
        <v>0</v>
      </c>
      <c r="BA223" s="50" t="n">
        <v>0</v>
      </c>
      <c r="BB223" s="50" t="n">
        <v>0</v>
      </c>
    </row>
    <row r="224" customFormat="false" ht="15" hidden="false" customHeight="true" outlineLevel="0" collapsed="false">
      <c r="B224" s="20" t="s">
        <v>334</v>
      </c>
      <c r="C224" s="42" t="n">
        <v>-0.746</v>
      </c>
      <c r="D224" s="26" t="n">
        <f aca="false">E224-C224</f>
        <v>4.657</v>
      </c>
      <c r="E224" s="42" t="n">
        <v>3.911</v>
      </c>
      <c r="F224" s="42" t="n">
        <v>-0.660000000000001</v>
      </c>
      <c r="G224" s="26" t="n">
        <f aca="false">H224-F224</f>
        <v>-0.536000000000001</v>
      </c>
      <c r="H224" s="42" t="n">
        <v>-1.196</v>
      </c>
      <c r="I224" s="42" t="n">
        <v>0.427</v>
      </c>
      <c r="J224" s="26" t="n">
        <f aca="false">K224-I224</f>
        <v>0.601999999999996</v>
      </c>
      <c r="K224" s="42" t="n">
        <v>1.029</v>
      </c>
      <c r="L224" s="42" t="n">
        <v>1.532</v>
      </c>
      <c r="M224" s="26" t="n">
        <f aca="false">N224-L224</f>
        <v>-0.437000000000001</v>
      </c>
      <c r="N224" s="42" t="n">
        <v>1.095</v>
      </c>
      <c r="O224" s="42" t="n">
        <v>-0.631999999999998</v>
      </c>
      <c r="P224" s="26" t="n">
        <f aca="false">Q224-O224</f>
        <v>0.195999999999998</v>
      </c>
      <c r="Q224" s="42" t="n">
        <v>-0.436</v>
      </c>
      <c r="R224" s="42" t="n">
        <v>1.129</v>
      </c>
      <c r="S224" s="26" t="n">
        <f aca="false">T224-R224</f>
        <v>-2.133</v>
      </c>
      <c r="T224" s="42" t="n">
        <v>-1.004</v>
      </c>
      <c r="U224" s="42" t="n">
        <v>-0.904999999999998</v>
      </c>
      <c r="V224" s="26" t="n">
        <f aca="false">W224-U224</f>
        <v>2.50999999999999</v>
      </c>
      <c r="W224" s="42" t="n">
        <v>1.605</v>
      </c>
      <c r="X224" s="42" t="n">
        <v>-0.266999999999996</v>
      </c>
      <c r="Y224" s="26" t="n">
        <f aca="false">Z224-X224</f>
        <v>-9.356</v>
      </c>
      <c r="Z224" s="42" t="n">
        <v>-9.623</v>
      </c>
      <c r="AA224" s="42" t="n">
        <v>0.0240000000000009</v>
      </c>
      <c r="AB224" s="26" t="n">
        <f aca="false">AC224-AA224</f>
        <v>-0.0649999999999977</v>
      </c>
      <c r="AC224" s="42" t="n">
        <v>-0.0409999999999968</v>
      </c>
      <c r="AD224" s="42" t="n">
        <v>7.573</v>
      </c>
      <c r="AE224" s="26" t="n">
        <f aca="false">AF224-AD224</f>
        <v>-0.0130000000000035</v>
      </c>
      <c r="AF224" s="42" t="n">
        <v>7.56</v>
      </c>
      <c r="AG224" s="42" t="n">
        <v>-0.510000000000002</v>
      </c>
      <c r="AH224" s="26" t="n">
        <f aca="false">AI224-AG224</f>
        <v>-0.211000000000002</v>
      </c>
      <c r="AI224" s="42" t="n">
        <v>-0.721000000000004</v>
      </c>
      <c r="AJ224" s="42" t="n">
        <v>-16.77</v>
      </c>
      <c r="AK224" s="26" t="n">
        <f aca="false">AL224-AJ224</f>
        <v>-1.32</v>
      </c>
      <c r="AL224" s="42" t="n">
        <v>-18.09</v>
      </c>
      <c r="AM224" s="42" t="n">
        <v>24.893</v>
      </c>
      <c r="AN224" s="26" t="n">
        <f aca="false">AO224-AM224</f>
        <v>-1.208</v>
      </c>
      <c r="AO224" s="42" t="n">
        <v>23.685</v>
      </c>
      <c r="AP224" s="42" t="n">
        <v>-2.819</v>
      </c>
      <c r="AQ224" s="26" t="n">
        <f aca="false">AR224-AP224</f>
        <v>-2.36500000000001</v>
      </c>
      <c r="AR224" s="42" t="n">
        <v>-5.18400000000001</v>
      </c>
      <c r="AS224" s="42" t="n">
        <v>-2.319</v>
      </c>
      <c r="AT224" s="26" t="n">
        <f aca="false">AU224-AS224</f>
        <v>-0.503999999999983</v>
      </c>
      <c r="AU224" s="42" t="n">
        <v>-2.82299999999998</v>
      </c>
      <c r="AV224" s="42" t="n">
        <v>8.099</v>
      </c>
      <c r="AW224" s="50" t="n">
        <v>0</v>
      </c>
      <c r="AX224" s="27" t="n">
        <f aca="false">AV224+AW224</f>
        <v>8.099</v>
      </c>
      <c r="AY224" s="50" t="n">
        <v>0</v>
      </c>
      <c r="AZ224" s="50" t="n">
        <v>0</v>
      </c>
      <c r="BA224" s="50" t="n">
        <v>0</v>
      </c>
      <c r="BB224" s="50" t="n">
        <v>0</v>
      </c>
    </row>
    <row r="225" customFormat="false" ht="15" hidden="false" customHeight="true" outlineLevel="0" collapsed="false">
      <c r="B225" s="46" t="s">
        <v>335</v>
      </c>
      <c r="C225" s="47" t="n">
        <f aca="false">SUM(C221:C224)</f>
        <v>-10.275</v>
      </c>
      <c r="D225" s="47" t="n">
        <f aca="false">SUM(D221:D224)</f>
        <v>-4.223</v>
      </c>
      <c r="E225" s="47" t="n">
        <f aca="false">SUM(E221:E224)</f>
        <v>-14.498</v>
      </c>
      <c r="F225" s="47" t="n">
        <f aca="false">SUM(F221:F224)</f>
        <v>-8.614</v>
      </c>
      <c r="G225" s="47" t="n">
        <f aca="false">SUM(G221:G224)</f>
        <v>-18.37</v>
      </c>
      <c r="H225" s="47" t="n">
        <f aca="false">SUM(H221:H224)</f>
        <v>-26.984</v>
      </c>
      <c r="I225" s="47" t="n">
        <f aca="false">SUM(I221:I224)</f>
        <v>-20.809</v>
      </c>
      <c r="J225" s="47" t="n">
        <f aca="false">SUM(J221:J224)</f>
        <v>-12.928</v>
      </c>
      <c r="K225" s="47" t="n">
        <f aca="false">SUM(K221:K224)</f>
        <v>-33.737</v>
      </c>
      <c r="L225" s="47" t="n">
        <f aca="false">SUM(L221:L224)</f>
        <v>-17.261</v>
      </c>
      <c r="M225" s="47" t="n">
        <f aca="false">SUM(M221:M224)</f>
        <v>-16.672</v>
      </c>
      <c r="N225" s="47" t="n">
        <f aca="false">SUM(N221:N224)</f>
        <v>-33.933</v>
      </c>
      <c r="O225" s="47" t="n">
        <f aca="false">SUM(O221:O224)</f>
        <v>-20.204</v>
      </c>
      <c r="P225" s="47" t="n">
        <f aca="false">SUM(P221:P224)</f>
        <v>-20.369</v>
      </c>
      <c r="Q225" s="47" t="n">
        <f aca="false">SUM(Q221:Q224)</f>
        <v>-40.573</v>
      </c>
      <c r="R225" s="47" t="n">
        <f aca="false">SUM(R221:R224)</f>
        <v>-16.849</v>
      </c>
      <c r="S225" s="47" t="n">
        <f aca="false">SUM(S221:S224)</f>
        <v>-13.768</v>
      </c>
      <c r="T225" s="47" t="n">
        <f aca="false">SUM(T221:T224)</f>
        <v>-30.617</v>
      </c>
      <c r="U225" s="47" t="n">
        <f aca="false">SUM(U221:U224)</f>
        <v>-22.749</v>
      </c>
      <c r="V225" s="47" t="n">
        <f aca="false">SUM(V221:V224)</f>
        <v>-11.451</v>
      </c>
      <c r="W225" s="47" t="n">
        <f aca="false">SUM(W221:W224)</f>
        <v>-34.2</v>
      </c>
      <c r="X225" s="47" t="n">
        <f aca="false">SUM(X221:X224)</f>
        <v>-24.775</v>
      </c>
      <c r="Y225" s="47" t="n">
        <f aca="false">SUM(Y221:Y224)</f>
        <v>-28.634</v>
      </c>
      <c r="Z225" s="47" t="n">
        <f aca="false">SUM(Z221:Z224)</f>
        <v>-53.409</v>
      </c>
      <c r="AA225" s="47" t="n">
        <f aca="false">SUM(AA221:AA224)</f>
        <v>-18.588</v>
      </c>
      <c r="AB225" s="47" t="n">
        <f aca="false">SUM(AB221:AB224)</f>
        <v>-33.419</v>
      </c>
      <c r="AC225" s="47" t="n">
        <f aca="false">SUM(AC221:AC224)</f>
        <v>-52.007</v>
      </c>
      <c r="AD225" s="47" t="n">
        <f aca="false">SUM(AD221:AD224)</f>
        <v>-12.906</v>
      </c>
      <c r="AE225" s="47" t="n">
        <f aca="false">SUM(AE221:AE224)</f>
        <v>-28.154</v>
      </c>
      <c r="AF225" s="47" t="n">
        <f aca="false">SUM(AF221:AF224)</f>
        <v>-41.06</v>
      </c>
      <c r="AG225" s="47" t="n">
        <f aca="false">SUM(AG221:AG224)</f>
        <v>-29.661</v>
      </c>
      <c r="AH225" s="47" t="n">
        <f aca="false">SUM(AH221:AH224)</f>
        <v>-28.692</v>
      </c>
      <c r="AI225" s="47" t="n">
        <f aca="false">SUM(AI221:AI224)</f>
        <v>-58.353</v>
      </c>
      <c r="AJ225" s="47" t="n">
        <f aca="false">SUM(AJ221:AJ224)</f>
        <v>-46.274</v>
      </c>
      <c r="AK225" s="47" t="n">
        <f aca="false">SUM(AK221:AK224)</f>
        <v>-35.267</v>
      </c>
      <c r="AL225" s="47" t="n">
        <f aca="false">SUM(AL221:AL224)</f>
        <v>-81.541</v>
      </c>
      <c r="AM225" s="47" t="n">
        <f aca="false">SUM(AM221:AM224)</f>
        <v>-9.15</v>
      </c>
      <c r="AN225" s="47" t="n">
        <f aca="false">SUM(AN221:AN224)</f>
        <v>-43.692</v>
      </c>
      <c r="AO225" s="47" t="n">
        <f aca="false">SUM(AO221:AO224)</f>
        <v>-52.842</v>
      </c>
      <c r="AP225" s="47" t="n">
        <f aca="false">SUM(AP221:AP224)</f>
        <v>-45.731</v>
      </c>
      <c r="AQ225" s="47" t="n">
        <f aca="false">SUM(AQ221:AQ224)</f>
        <v>-63.215</v>
      </c>
      <c r="AR225" s="47" t="n">
        <f aca="false">SUM(AR221:AR224)</f>
        <v>-108.946</v>
      </c>
      <c r="AS225" s="47" t="n">
        <f aca="false">SUM(AS221:AS224)</f>
        <v>-62.863</v>
      </c>
      <c r="AT225" s="47" t="n">
        <f aca="false">SUM(AT221:AT224)</f>
        <v>-82.433</v>
      </c>
      <c r="AU225" s="47" t="n">
        <f aca="false">SUM(AU221:AU224)</f>
        <v>-145.296</v>
      </c>
      <c r="AV225" s="47" t="n">
        <f aca="false">SUM(AV221:AV224)</f>
        <v>-46.955</v>
      </c>
      <c r="AW225" s="47" t="n">
        <f aca="false">SUM(AW221:AW224)</f>
        <v>-39.946</v>
      </c>
      <c r="AX225" s="47" t="n">
        <f aca="false">SUM(AX221:AX224)</f>
        <v>-86.901</v>
      </c>
      <c r="AY225" s="47" t="n">
        <f aca="false">SUM(AY221:AY224)</f>
        <v>-109.649274840426</v>
      </c>
      <c r="AZ225" s="47" t="n">
        <f aca="false">SUM(AZ221:AZ224)</f>
        <v>-118.725208802102</v>
      </c>
      <c r="BA225" s="47" t="n">
        <f aca="false">SUM(BA221:BA224)</f>
        <v>-127.891018886519</v>
      </c>
      <c r="BB225" s="47" t="n">
        <f aca="false">SUM(BB221:BB224)</f>
        <v>-137.0549825977</v>
      </c>
    </row>
    <row r="226" customFormat="false" ht="15" hidden="false" customHeight="true" outlineLevel="0" collapsed="false">
      <c r="B226" s="14" t="s">
        <v>336</v>
      </c>
      <c r="C226" s="34" t="n">
        <v>8.356</v>
      </c>
      <c r="D226" s="35" t="n">
        <f aca="false">E226-C226</f>
        <v>-7.499</v>
      </c>
      <c r="E226" s="34" t="n">
        <v>0.857</v>
      </c>
      <c r="F226" s="34" t="n">
        <v>-9.154</v>
      </c>
      <c r="G226" s="35" t="n">
        <f aca="false">H226-F226</f>
        <v>-6.761</v>
      </c>
      <c r="H226" s="34" t="n">
        <v>-15.915</v>
      </c>
      <c r="I226" s="34" t="n">
        <v>22.551</v>
      </c>
      <c r="J226" s="35" t="n">
        <f aca="false">K226-I226</f>
        <v>-10.31</v>
      </c>
      <c r="K226" s="34" t="n">
        <v>12.241</v>
      </c>
      <c r="L226" s="34" t="n">
        <v>34.397</v>
      </c>
      <c r="M226" s="35" t="n">
        <f aca="false">N226-L226</f>
        <v>3.953</v>
      </c>
      <c r="N226" s="34" t="n">
        <v>38.35</v>
      </c>
      <c r="O226" s="34" t="n">
        <v>37.971</v>
      </c>
      <c r="P226" s="35" t="n">
        <f aca="false">Q226-O226</f>
        <v>-31.882</v>
      </c>
      <c r="Q226" s="34" t="n">
        <v>6.089</v>
      </c>
      <c r="R226" s="34" t="n">
        <v>16.203</v>
      </c>
      <c r="S226" s="35" t="n">
        <f aca="false">T226-R226</f>
        <v>-22.596</v>
      </c>
      <c r="T226" s="34" t="n">
        <v>-6.393</v>
      </c>
      <c r="U226" s="34" t="n">
        <v>12.218</v>
      </c>
      <c r="V226" s="35" t="n">
        <f aca="false">W226-U226</f>
        <v>-31.413</v>
      </c>
      <c r="W226" s="34" t="n">
        <v>-19.195</v>
      </c>
      <c r="X226" s="34" t="n">
        <v>16.647</v>
      </c>
      <c r="Y226" s="35" t="n">
        <f aca="false">Z226-X226</f>
        <v>-15.196</v>
      </c>
      <c r="Z226" s="34" t="n">
        <v>1.451</v>
      </c>
      <c r="AA226" s="34" t="n">
        <v>33.233</v>
      </c>
      <c r="AB226" s="35" t="n">
        <f aca="false">AC226-AA226</f>
        <v>-5.301</v>
      </c>
      <c r="AC226" s="34" t="n">
        <v>27.932</v>
      </c>
      <c r="AD226" s="34" t="n">
        <v>144.663</v>
      </c>
      <c r="AE226" s="35" t="n">
        <f aca="false">AF226-AD226</f>
        <v>-81.966</v>
      </c>
      <c r="AF226" s="34" t="n">
        <v>62.697</v>
      </c>
      <c r="AG226" s="34" t="n">
        <v>-6.823</v>
      </c>
      <c r="AH226" s="35" t="n">
        <f aca="false">AI226-AG226</f>
        <v>-38.488</v>
      </c>
      <c r="AI226" s="34" t="n">
        <v>-45.311</v>
      </c>
      <c r="AJ226" s="34" t="n">
        <v>48.584</v>
      </c>
      <c r="AK226" s="35" t="n">
        <f aca="false">AL226-AJ226</f>
        <v>-45.15</v>
      </c>
      <c r="AL226" s="34" t="n">
        <v>3.434</v>
      </c>
      <c r="AM226" s="34" t="n">
        <v>3.036</v>
      </c>
      <c r="AN226" s="35" t="n">
        <f aca="false">AO226-AM226</f>
        <v>-17.379</v>
      </c>
      <c r="AO226" s="34" t="n">
        <v>-14.343</v>
      </c>
      <c r="AP226" s="34" t="n">
        <v>41.684</v>
      </c>
      <c r="AQ226" s="35" t="n">
        <f aca="false">AR226-AP226</f>
        <v>129.116</v>
      </c>
      <c r="AR226" s="34" t="n">
        <v>170.8</v>
      </c>
      <c r="AS226" s="34" t="n">
        <v>154.053</v>
      </c>
      <c r="AT226" s="35" t="n">
        <f aca="false">AU226-AS226</f>
        <v>-37.17</v>
      </c>
      <c r="AU226" s="34" t="n">
        <v>116.883</v>
      </c>
      <c r="AV226" s="34" t="n">
        <v>4.117</v>
      </c>
      <c r="AW226" s="36" t="n">
        <f aca="false">(AX299-AV299)</f>
        <v>-114.969364478081</v>
      </c>
      <c r="AX226" s="36" t="n">
        <f aca="false">AV226+AW226</f>
        <v>-110.852364478081</v>
      </c>
      <c r="AY226" s="36" t="n">
        <f aca="false">(AY299-AX299)</f>
        <v>-12.343547351234</v>
      </c>
      <c r="AZ226" s="36" t="n">
        <f aca="false">(AZ299-AY299)</f>
        <v>-27.7963706041119</v>
      </c>
      <c r="BA226" s="36" t="n">
        <f aca="false">(BA299-AZ299)</f>
        <v>-36.2562569179095</v>
      </c>
      <c r="BB226" s="36" t="n">
        <f aca="false">(BB299-BA299)</f>
        <v>-43.9621051142199</v>
      </c>
    </row>
    <row r="227" customFormat="false" ht="15" hidden="false" customHeight="true" outlineLevel="0" collapsed="false">
      <c r="B227" s="14" t="s">
        <v>337</v>
      </c>
      <c r="C227" s="34" t="n">
        <v>0</v>
      </c>
      <c r="D227" s="35" t="n">
        <f aca="false">E227-C227</f>
        <v>0</v>
      </c>
      <c r="E227" s="34" t="n">
        <v>0</v>
      </c>
      <c r="F227" s="34" t="n">
        <v>0</v>
      </c>
      <c r="G227" s="35" t="n">
        <f aca="false">H227-F227</f>
        <v>0</v>
      </c>
      <c r="H227" s="34" t="n">
        <v>0</v>
      </c>
      <c r="I227" s="34" t="n">
        <v>0</v>
      </c>
      <c r="J227" s="35" t="n">
        <f aca="false">K227-I227</f>
        <v>0</v>
      </c>
      <c r="K227" s="34" t="n">
        <v>0</v>
      </c>
      <c r="L227" s="34" t="n">
        <v>0</v>
      </c>
      <c r="M227" s="35" t="n">
        <f aca="false">N227-L227</f>
        <v>0</v>
      </c>
      <c r="N227" s="34" t="n">
        <v>0</v>
      </c>
      <c r="O227" s="34" t="n">
        <v>0</v>
      </c>
      <c r="P227" s="35" t="n">
        <f aca="false">Q227-O227</f>
        <v>0</v>
      </c>
      <c r="Q227" s="34" t="n">
        <v>0</v>
      </c>
      <c r="R227" s="34" t="n">
        <v>0</v>
      </c>
      <c r="S227" s="35" t="n">
        <f aca="false">T227-R227</f>
        <v>0</v>
      </c>
      <c r="T227" s="34" t="n">
        <v>0</v>
      </c>
      <c r="U227" s="34" t="n">
        <v>0</v>
      </c>
      <c r="V227" s="35" t="n">
        <f aca="false">W227-U227</f>
        <v>0</v>
      </c>
      <c r="W227" s="34" t="n">
        <v>0</v>
      </c>
      <c r="X227" s="34" t="n">
        <v>0</v>
      </c>
      <c r="Y227" s="35" t="n">
        <f aca="false">Z227-X227</f>
        <v>0</v>
      </c>
      <c r="Z227" s="34" t="n">
        <v>0</v>
      </c>
      <c r="AA227" s="34" t="n">
        <v>-24.949</v>
      </c>
      <c r="AB227" s="35" t="n">
        <f aca="false">AC227-AA227</f>
        <v>-28.323</v>
      </c>
      <c r="AC227" s="34" t="n">
        <v>-53.272</v>
      </c>
      <c r="AD227" s="34" t="n">
        <v>-33.811</v>
      </c>
      <c r="AE227" s="35" t="n">
        <f aca="false">AF227-AD227</f>
        <v>-16.819</v>
      </c>
      <c r="AF227" s="34" t="n">
        <v>-50.63</v>
      </c>
      <c r="AG227" s="34" t="n">
        <v>-38.501</v>
      </c>
      <c r="AH227" s="35" t="n">
        <f aca="false">AI227-AG227</f>
        <v>-45.488</v>
      </c>
      <c r="AI227" s="34" t="n">
        <v>-83.989</v>
      </c>
      <c r="AJ227" s="34" t="n">
        <v>-47.885</v>
      </c>
      <c r="AK227" s="35" t="n">
        <f aca="false">AL227-AJ227</f>
        <v>-47.593</v>
      </c>
      <c r="AL227" s="34" t="n">
        <v>-95.478</v>
      </c>
      <c r="AM227" s="34" t="n">
        <v>-47.067</v>
      </c>
      <c r="AN227" s="35" t="n">
        <f aca="false">AO227-AM227</f>
        <v>-48.37</v>
      </c>
      <c r="AO227" s="34" t="n">
        <v>-95.437</v>
      </c>
      <c r="AP227" s="34" t="n">
        <v>-49.538</v>
      </c>
      <c r="AQ227" s="35" t="n">
        <f aca="false">AR227-AP227</f>
        <v>-52.993</v>
      </c>
      <c r="AR227" s="34" t="n">
        <v>-102.531</v>
      </c>
      <c r="AS227" s="34" t="n">
        <v>-55.159</v>
      </c>
      <c r="AT227" s="35" t="n">
        <f aca="false">AU227-AS227</f>
        <v>-57.957</v>
      </c>
      <c r="AU227" s="34" t="n">
        <v>-113.116</v>
      </c>
      <c r="AV227" s="34" t="n">
        <v>-61.063</v>
      </c>
      <c r="AW227" s="36" t="n">
        <f aca="false">-(AW334-AW332)</f>
        <v>-70.3323772</v>
      </c>
      <c r="AX227" s="36" t="n">
        <f aca="false">AV227+AW227</f>
        <v>-131.3953772</v>
      </c>
      <c r="AY227" s="36" t="n">
        <f aca="false">-(AY334-AY332)</f>
        <v>-155.391037351445</v>
      </c>
      <c r="AZ227" s="36" t="n">
        <f aca="false">-(AZ334-AZ332)</f>
        <v>-163.304823223061</v>
      </c>
      <c r="BA227" s="36" t="n">
        <f aca="false">-(BA334-BA332)</f>
        <v>-171.015849208294</v>
      </c>
      <c r="BB227" s="36" t="n">
        <f aca="false">-(BB334-BB332)</f>
        <v>-180.325945903532</v>
      </c>
    </row>
    <row r="228" customFormat="false" ht="15" hidden="false" customHeight="true" outlineLevel="0" collapsed="false">
      <c r="B228" s="14" t="s">
        <v>338</v>
      </c>
      <c r="C228" s="34" t="n">
        <v>-2.457</v>
      </c>
      <c r="D228" s="35" t="n">
        <f aca="false">E228-C228</f>
        <v>-2.609</v>
      </c>
      <c r="E228" s="34" t="n">
        <v>-5.066</v>
      </c>
      <c r="F228" s="34" t="n">
        <v>-2.529</v>
      </c>
      <c r="G228" s="35" t="n">
        <f aca="false">H228-F228</f>
        <v>-0.288</v>
      </c>
      <c r="H228" s="34" t="n">
        <v>-2.817</v>
      </c>
      <c r="I228" s="34" t="n">
        <v>-5.755</v>
      </c>
      <c r="J228" s="35" t="n">
        <f aca="false">K228-I228</f>
        <v>-0.0389999999999997</v>
      </c>
      <c r="K228" s="34" t="n">
        <v>-5.794</v>
      </c>
      <c r="L228" s="34" t="n">
        <v>-7.955</v>
      </c>
      <c r="M228" s="35" t="n">
        <f aca="false">N228-L228</f>
        <v>0</v>
      </c>
      <c r="N228" s="34" t="n">
        <v>-7.955</v>
      </c>
      <c r="O228" s="34" t="n">
        <v>-8.209</v>
      </c>
      <c r="P228" s="35" t="n">
        <f aca="false">Q228-O228</f>
        <v>-0.226000000000001</v>
      </c>
      <c r="Q228" s="34" t="n">
        <v>-8.435</v>
      </c>
      <c r="R228" s="34" t="n">
        <v>-8.889</v>
      </c>
      <c r="S228" s="35" t="n">
        <f aca="false">T228-R228</f>
        <v>0</v>
      </c>
      <c r="T228" s="34" t="n">
        <v>-8.889</v>
      </c>
      <c r="U228" s="34" t="n">
        <v>-10.905</v>
      </c>
      <c r="V228" s="35" t="n">
        <f aca="false">W228-U228</f>
        <v>-0.143000000000001</v>
      </c>
      <c r="W228" s="34" t="n">
        <v>-11.048</v>
      </c>
      <c r="X228" s="34" t="n">
        <v>-18.471</v>
      </c>
      <c r="Y228" s="35" t="n">
        <f aca="false">Z228-X228</f>
        <v>0</v>
      </c>
      <c r="Z228" s="34" t="n">
        <v>-18.471</v>
      </c>
      <c r="AA228" s="34" t="n">
        <v>-20.483</v>
      </c>
      <c r="AB228" s="35" t="n">
        <f aca="false">AC228-AA228</f>
        <v>0</v>
      </c>
      <c r="AC228" s="34" t="n">
        <v>-20.483</v>
      </c>
      <c r="AD228" s="34" t="n">
        <v>-1.076</v>
      </c>
      <c r="AE228" s="35" t="n">
        <f aca="false">AF228-AD228</f>
        <v>0</v>
      </c>
      <c r="AF228" s="34" t="n">
        <v>-1.076</v>
      </c>
      <c r="AG228" s="34" t="n">
        <v>0</v>
      </c>
      <c r="AH228" s="35" t="n">
        <f aca="false">AI228-AG228</f>
        <v>0</v>
      </c>
      <c r="AI228" s="34" t="n">
        <v>0</v>
      </c>
      <c r="AJ228" s="34" t="n">
        <v>-32.294</v>
      </c>
      <c r="AK228" s="35" t="n">
        <f aca="false">AL228-AJ228</f>
        <v>0</v>
      </c>
      <c r="AL228" s="34" t="n">
        <v>-32.294</v>
      </c>
      <c r="AM228" s="34" t="n">
        <v>-48.139</v>
      </c>
      <c r="AN228" s="35" t="n">
        <f aca="false">AO228-AM228</f>
        <v>-4.979</v>
      </c>
      <c r="AO228" s="34" t="n">
        <v>-53.118</v>
      </c>
      <c r="AP228" s="34" t="n">
        <v>-66.102</v>
      </c>
      <c r="AQ228" s="35" t="n">
        <f aca="false">AR228-AP228</f>
        <v>0</v>
      </c>
      <c r="AR228" s="34" t="n">
        <v>-66.102</v>
      </c>
      <c r="AS228" s="34" t="n">
        <v>-68.781</v>
      </c>
      <c r="AT228" s="35" t="n">
        <f aca="false">AU228-AS228</f>
        <v>0</v>
      </c>
      <c r="AU228" s="34" t="n">
        <v>-68.781</v>
      </c>
      <c r="AV228" s="34" t="n">
        <v>-73.705</v>
      </c>
      <c r="AW228" s="36" t="n">
        <f aca="false">-AW257</f>
        <v>-0</v>
      </c>
      <c r="AX228" s="36" t="n">
        <f aca="false">AV228+AW228</f>
        <v>-73.705</v>
      </c>
      <c r="AY228" s="36" t="n">
        <f aca="false">-(AX142*AX256+AY257)</f>
        <v>-80.52</v>
      </c>
      <c r="AZ228" s="36" t="n">
        <f aca="false">-(AY142*AY256+AZ257)</f>
        <v>-88</v>
      </c>
      <c r="BA228" s="36" t="n">
        <f aca="false">-(AZ142*AZ256+BA257)</f>
        <v>-98.88</v>
      </c>
      <c r="BB228" s="36" t="n">
        <f aca="false">-(BA142*BA256+BB257)</f>
        <v>-111.12</v>
      </c>
    </row>
    <row r="229" customFormat="false" ht="15" hidden="false" customHeight="true" outlineLevel="0" collapsed="false">
      <c r="B229" s="20" t="s">
        <v>339</v>
      </c>
      <c r="C229" s="42" t="n">
        <v>0</v>
      </c>
      <c r="D229" s="26" t="n">
        <f aca="false">E229-C229</f>
        <v>0</v>
      </c>
      <c r="E229" s="42" t="n">
        <v>0</v>
      </c>
      <c r="F229" s="42" t="n">
        <v>0</v>
      </c>
      <c r="G229" s="26" t="n">
        <f aca="false">H229-F229</f>
        <v>0</v>
      </c>
      <c r="H229" s="42" t="n">
        <v>0</v>
      </c>
      <c r="I229" s="42" t="n">
        <v>0</v>
      </c>
      <c r="J229" s="26" t="n">
        <f aca="false">K229-I229</f>
        <v>0</v>
      </c>
      <c r="K229" s="42" t="n">
        <v>0</v>
      </c>
      <c r="L229" s="42" t="n">
        <v>0</v>
      </c>
      <c r="M229" s="26" t="n">
        <f aca="false">N229-L229</f>
        <v>0</v>
      </c>
      <c r="N229" s="42" t="n">
        <v>0</v>
      </c>
      <c r="O229" s="42" t="n">
        <v>0</v>
      </c>
      <c r="P229" s="26" t="n">
        <f aca="false">Q229-O229</f>
        <v>0</v>
      </c>
      <c r="Q229" s="42" t="n">
        <v>0</v>
      </c>
      <c r="R229" s="42" t="n">
        <v>0</v>
      </c>
      <c r="S229" s="26" t="n">
        <f aca="false">T229-R229</f>
        <v>0</v>
      </c>
      <c r="T229" s="42" t="n">
        <v>0</v>
      </c>
      <c r="U229" s="42" t="n">
        <v>0</v>
      </c>
      <c r="V229" s="26" t="n">
        <f aca="false">W229-U229</f>
        <v>0</v>
      </c>
      <c r="W229" s="42" t="n">
        <v>0</v>
      </c>
      <c r="X229" s="42" t="n">
        <v>0</v>
      </c>
      <c r="Y229" s="26" t="n">
        <f aca="false">Z229-X229</f>
        <v>0</v>
      </c>
      <c r="Z229" s="42" t="n">
        <v>0</v>
      </c>
      <c r="AA229" s="42" t="n">
        <v>0</v>
      </c>
      <c r="AB229" s="26" t="n">
        <f aca="false">AC229-AA229</f>
        <v>0</v>
      </c>
      <c r="AC229" s="42" t="n">
        <v>0</v>
      </c>
      <c r="AD229" s="42" t="n">
        <v>0</v>
      </c>
      <c r="AE229" s="26" t="n">
        <f aca="false">AF229-AD229</f>
        <v>0</v>
      </c>
      <c r="AF229" s="42" t="n">
        <v>0</v>
      </c>
      <c r="AG229" s="42" t="n">
        <v>0</v>
      </c>
      <c r="AH229" s="26" t="n">
        <f aca="false">AI229-AG229</f>
        <v>0</v>
      </c>
      <c r="AI229" s="42" t="n">
        <v>0</v>
      </c>
      <c r="AJ229" s="42" t="n">
        <v>0</v>
      </c>
      <c r="AK229" s="26" t="n">
        <f aca="false">AL229-AJ229</f>
        <v>0</v>
      </c>
      <c r="AL229" s="42" t="n">
        <v>0</v>
      </c>
      <c r="AM229" s="42" t="n">
        <v>-3.332</v>
      </c>
      <c r="AN229" s="26" t="n">
        <f aca="false">AO229-AM229</f>
        <v>0</v>
      </c>
      <c r="AO229" s="42" t="n">
        <v>-3.332</v>
      </c>
      <c r="AP229" s="42" t="n">
        <v>-4.962</v>
      </c>
      <c r="AQ229" s="26" t="n">
        <f aca="false">AR229-AP229</f>
        <v>-6.695</v>
      </c>
      <c r="AR229" s="42" t="n">
        <v>-11.657</v>
      </c>
      <c r="AS229" s="42" t="n">
        <v>-7.973</v>
      </c>
      <c r="AT229" s="26" t="n">
        <f aca="false">AU229-AS229</f>
        <v>0</v>
      </c>
      <c r="AU229" s="42" t="n">
        <v>-7.973</v>
      </c>
      <c r="AV229" s="42" t="n">
        <v>0</v>
      </c>
      <c r="AW229" s="27" t="n">
        <f aca="false">-AW252</f>
        <v>-0</v>
      </c>
      <c r="AX229" s="27" t="n">
        <f aca="false">AV229+AW229</f>
        <v>0</v>
      </c>
      <c r="AY229" s="27" t="n">
        <f aca="false">-AY252</f>
        <v>-8</v>
      </c>
      <c r="AZ229" s="27" t="n">
        <f aca="false">-AZ252</f>
        <v>-8</v>
      </c>
      <c r="BA229" s="27" t="n">
        <f aca="false">-BA252</f>
        <v>-8</v>
      </c>
      <c r="BB229" s="27" t="n">
        <f aca="false">-BB252</f>
        <v>-8</v>
      </c>
    </row>
    <row r="230" customFormat="false" ht="15" hidden="false" customHeight="true" outlineLevel="0" collapsed="false">
      <c r="B230" s="20" t="s">
        <v>340</v>
      </c>
      <c r="C230" s="42" t="n">
        <v>0</v>
      </c>
      <c r="D230" s="26" t="n">
        <f aca="false">E230-C230</f>
        <v>0</v>
      </c>
      <c r="E230" s="42" t="n">
        <v>0</v>
      </c>
      <c r="F230" s="42" t="n">
        <v>58.639</v>
      </c>
      <c r="G230" s="26" t="n">
        <f aca="false">H230-F230</f>
        <v>1.59399999999999</v>
      </c>
      <c r="H230" s="42" t="n">
        <v>60.233</v>
      </c>
      <c r="I230" s="42" t="n">
        <v>2.424</v>
      </c>
      <c r="J230" s="26" t="n">
        <f aca="false">K230-I230</f>
        <v>0.320000000000002</v>
      </c>
      <c r="K230" s="42" t="n">
        <v>2.744</v>
      </c>
      <c r="L230" s="42" t="n">
        <v>3.335</v>
      </c>
      <c r="M230" s="26" t="n">
        <f aca="false">N230-L230</f>
        <v>0.182999999999993</v>
      </c>
      <c r="N230" s="42" t="n">
        <v>3.51799999999999</v>
      </c>
      <c r="O230" s="42" t="n">
        <v>0.0470000000000042</v>
      </c>
      <c r="P230" s="26" t="n">
        <f aca="false">Q230-O230</f>
        <v>0.396999999999996</v>
      </c>
      <c r="Q230" s="42" t="n">
        <v>0.444</v>
      </c>
      <c r="R230" s="42" t="n">
        <v>-0.784</v>
      </c>
      <c r="S230" s="26" t="n">
        <f aca="false">T230-R230</f>
        <v>0.0529999999999982</v>
      </c>
      <c r="T230" s="42" t="n">
        <v>-0.731000000000002</v>
      </c>
      <c r="U230" s="42" t="n">
        <v>-6.66133814775094E-016</v>
      </c>
      <c r="V230" s="26" t="n">
        <f aca="false">W230-U230</f>
        <v>-2.936</v>
      </c>
      <c r="W230" s="42" t="n">
        <v>-2.936</v>
      </c>
      <c r="X230" s="42" t="n">
        <v>-6.478</v>
      </c>
      <c r="Y230" s="26" t="n">
        <f aca="false">Z230-X230</f>
        <v>-0.184000000000001</v>
      </c>
      <c r="Z230" s="42" t="n">
        <v>-6.662</v>
      </c>
      <c r="AA230" s="42" t="n">
        <v>0.190000000000005</v>
      </c>
      <c r="AB230" s="26" t="n">
        <f aca="false">AC230-AA230</f>
        <v>-5.962</v>
      </c>
      <c r="AC230" s="42" t="n">
        <v>-5.772</v>
      </c>
      <c r="AD230" s="42" t="n">
        <v>0.159999999999997</v>
      </c>
      <c r="AE230" s="26" t="n">
        <f aca="false">AF230-AD230</f>
        <v>0.117000000000004</v>
      </c>
      <c r="AF230" s="42" t="n">
        <v>0.277000000000001</v>
      </c>
      <c r="AG230" s="42" t="n">
        <v>0.591999999999999</v>
      </c>
      <c r="AH230" s="26" t="n">
        <f aca="false">AI230-AG230</f>
        <v>1.32600000000001</v>
      </c>
      <c r="AI230" s="42" t="n">
        <v>1.91800000000001</v>
      </c>
      <c r="AJ230" s="42" t="n">
        <v>1.33099999999999</v>
      </c>
      <c r="AK230" s="26" t="n">
        <f aca="false">AL230-AJ230</f>
        <v>7.355</v>
      </c>
      <c r="AL230" s="42" t="n">
        <v>8.68599999999999</v>
      </c>
      <c r="AM230" s="42" t="n">
        <v>1.42099999999999</v>
      </c>
      <c r="AN230" s="26" t="n">
        <f aca="false">AO230-AM230</f>
        <v>1.191</v>
      </c>
      <c r="AO230" s="42" t="n">
        <v>2.612</v>
      </c>
      <c r="AP230" s="42" t="n">
        <v>1.018</v>
      </c>
      <c r="AQ230" s="26" t="n">
        <f aca="false">AR230-AP230</f>
        <v>1.962</v>
      </c>
      <c r="AR230" s="42" t="n">
        <v>2.98</v>
      </c>
      <c r="AS230" s="42" t="n">
        <v>0.584</v>
      </c>
      <c r="AT230" s="26" t="n">
        <f aca="false">AU230-AS230</f>
        <v>0.588000000000011</v>
      </c>
      <c r="AU230" s="42" t="n">
        <v>1.17200000000001</v>
      </c>
      <c r="AV230" s="42" t="n">
        <v>0.596000000000004</v>
      </c>
      <c r="AW230" s="50" t="n">
        <v>0</v>
      </c>
      <c r="AX230" s="27" t="n">
        <f aca="false">AV230+AW230</f>
        <v>0.596000000000004</v>
      </c>
      <c r="AY230" s="50" t="n">
        <v>0</v>
      </c>
      <c r="AZ230" s="50" t="n">
        <v>0</v>
      </c>
      <c r="BA230" s="50" t="n">
        <v>0</v>
      </c>
      <c r="BB230" s="50" t="n">
        <v>0</v>
      </c>
    </row>
    <row r="231" customFormat="false" ht="15" hidden="false" customHeight="true" outlineLevel="0" collapsed="false">
      <c r="B231" s="46" t="s">
        <v>341</v>
      </c>
      <c r="C231" s="47" t="n">
        <f aca="false">SUM(C226:C230)</f>
        <v>5.899</v>
      </c>
      <c r="D231" s="47" t="n">
        <f aca="false">SUM(D226:D230)</f>
        <v>-10.108</v>
      </c>
      <c r="E231" s="47" t="n">
        <f aca="false">SUM(E226:E230)</f>
        <v>-4.209</v>
      </c>
      <c r="F231" s="47" t="n">
        <f aca="false">SUM(F226:F230)</f>
        <v>46.956</v>
      </c>
      <c r="G231" s="47" t="n">
        <f aca="false">SUM(G226:G230)</f>
        <v>-5.45500000000001</v>
      </c>
      <c r="H231" s="47" t="n">
        <f aca="false">SUM(H226:H230)</f>
        <v>41.501</v>
      </c>
      <c r="I231" s="47" t="n">
        <f aca="false">SUM(I226:I230)</f>
        <v>19.22</v>
      </c>
      <c r="J231" s="47" t="n">
        <f aca="false">SUM(J226:J230)</f>
        <v>-10.029</v>
      </c>
      <c r="K231" s="47" t="n">
        <f aca="false">SUM(K226:K230)</f>
        <v>9.191</v>
      </c>
      <c r="L231" s="47" t="n">
        <f aca="false">SUM(L226:L230)</f>
        <v>29.777</v>
      </c>
      <c r="M231" s="47" t="n">
        <f aca="false">SUM(M226:M230)</f>
        <v>4.136</v>
      </c>
      <c r="N231" s="47" t="n">
        <f aca="false">SUM(N226:N230)</f>
        <v>33.913</v>
      </c>
      <c r="O231" s="47" t="n">
        <f aca="false">SUM(O226:O230)</f>
        <v>29.809</v>
      </c>
      <c r="P231" s="47" t="n">
        <f aca="false">SUM(P226:P230)</f>
        <v>-31.711</v>
      </c>
      <c r="Q231" s="47" t="n">
        <f aca="false">SUM(Q226:Q230)</f>
        <v>-1.902</v>
      </c>
      <c r="R231" s="47" t="n">
        <f aca="false">SUM(R226:R230)</f>
        <v>6.53</v>
      </c>
      <c r="S231" s="47" t="n">
        <f aca="false">SUM(S226:S230)</f>
        <v>-22.543</v>
      </c>
      <c r="T231" s="47" t="n">
        <f aca="false">SUM(T226:T230)</f>
        <v>-16.013</v>
      </c>
      <c r="U231" s="47" t="n">
        <f aca="false">SUM(U226:U230)</f>
        <v>1.313</v>
      </c>
      <c r="V231" s="47" t="n">
        <f aca="false">SUM(V226:V230)</f>
        <v>-34.492</v>
      </c>
      <c r="W231" s="47" t="n">
        <f aca="false">SUM(W226:W230)</f>
        <v>-33.179</v>
      </c>
      <c r="X231" s="47" t="n">
        <f aca="false">SUM(X226:X230)</f>
        <v>-8.302</v>
      </c>
      <c r="Y231" s="47" t="n">
        <f aca="false">SUM(Y226:Y230)</f>
        <v>-15.38</v>
      </c>
      <c r="Z231" s="47" t="n">
        <f aca="false">SUM(Z226:Z230)</f>
        <v>-23.682</v>
      </c>
      <c r="AA231" s="47" t="n">
        <f aca="false">SUM(AA226:AA230)</f>
        <v>-12.009</v>
      </c>
      <c r="AB231" s="47" t="n">
        <f aca="false">SUM(AB226:AB230)</f>
        <v>-39.586</v>
      </c>
      <c r="AC231" s="47" t="n">
        <f aca="false">SUM(AC226:AC230)</f>
        <v>-51.595</v>
      </c>
      <c r="AD231" s="47" t="n">
        <f aca="false">SUM(AD226:AD230)</f>
        <v>109.936</v>
      </c>
      <c r="AE231" s="47" t="n">
        <f aca="false">SUM(AE226:AE230)</f>
        <v>-98.668</v>
      </c>
      <c r="AF231" s="47" t="n">
        <f aca="false">SUM(AF226:AF230)</f>
        <v>11.268</v>
      </c>
      <c r="AG231" s="47" t="n">
        <f aca="false">SUM(AG226:AG230)</f>
        <v>-44.732</v>
      </c>
      <c r="AH231" s="47" t="n">
        <f aca="false">SUM(AH226:AH230)</f>
        <v>-82.65</v>
      </c>
      <c r="AI231" s="47" t="n">
        <f aca="false">SUM(AI226:AI230)</f>
        <v>-127.382</v>
      </c>
      <c r="AJ231" s="47" t="n">
        <f aca="false">SUM(AJ226:AJ230)</f>
        <v>-30.264</v>
      </c>
      <c r="AK231" s="47" t="n">
        <f aca="false">SUM(AK226:AK230)</f>
        <v>-85.388</v>
      </c>
      <c r="AL231" s="47" t="n">
        <f aca="false">SUM(AL226:AL230)</f>
        <v>-115.652</v>
      </c>
      <c r="AM231" s="47" t="n">
        <f aca="false">SUM(AM226:AM230)</f>
        <v>-94.081</v>
      </c>
      <c r="AN231" s="47" t="n">
        <f aca="false">SUM(AN226:AN230)</f>
        <v>-69.537</v>
      </c>
      <c r="AO231" s="47" t="n">
        <f aca="false">SUM(AO226:AO230)</f>
        <v>-163.618</v>
      </c>
      <c r="AP231" s="47" t="n">
        <f aca="false">SUM(AP226:AP230)</f>
        <v>-77.9</v>
      </c>
      <c r="AQ231" s="47" t="n">
        <f aca="false">SUM(AQ226:AQ230)</f>
        <v>71.39</v>
      </c>
      <c r="AR231" s="47" t="n">
        <f aca="false">SUM(AR226:AR230)</f>
        <v>-6.51</v>
      </c>
      <c r="AS231" s="47" t="n">
        <f aca="false">SUM(AS226:AS230)</f>
        <v>22.724</v>
      </c>
      <c r="AT231" s="47" t="n">
        <f aca="false">SUM(AT226:AT230)</f>
        <v>-94.539</v>
      </c>
      <c r="AU231" s="47" t="n">
        <f aca="false">SUM(AU226:AU230)</f>
        <v>-71.815</v>
      </c>
      <c r="AV231" s="47" t="n">
        <f aca="false">SUM(AV226:AV230)</f>
        <v>-130.055</v>
      </c>
      <c r="AW231" s="47" t="n">
        <f aca="false">SUM(AW226:AW230)</f>
        <v>-185.301741678081</v>
      </c>
      <c r="AX231" s="47" t="n">
        <f aca="false">SUM(AX226:AX230)</f>
        <v>-315.356741678081</v>
      </c>
      <c r="AY231" s="47" t="n">
        <f aca="false">SUM(AY226:AY230)</f>
        <v>-256.254584702679</v>
      </c>
      <c r="AZ231" s="47" t="n">
        <f aca="false">SUM(AZ226:AZ230)</f>
        <v>-287.101193827173</v>
      </c>
      <c r="BA231" s="47" t="n">
        <f aca="false">SUM(BA226:BA230)</f>
        <v>-314.152106126203</v>
      </c>
      <c r="BB231" s="47" t="n">
        <f aca="false">SUM(BB226:BB230)</f>
        <v>-343.408051017752</v>
      </c>
    </row>
    <row r="232" customFormat="false" ht="15" hidden="false" customHeight="true" outlineLevel="0" collapsed="false">
      <c r="B232" s="14" t="s">
        <v>342</v>
      </c>
      <c r="C232" s="35" t="n">
        <f aca="false">C220+C225+C231</f>
        <v>-1.468</v>
      </c>
      <c r="D232" s="35" t="n">
        <f aca="false">D220+D225+D231</f>
        <v>3.10299999999999</v>
      </c>
      <c r="E232" s="35" t="n">
        <f aca="false">E220+E225+E231</f>
        <v>1.63499999999999</v>
      </c>
      <c r="F232" s="35" t="n">
        <f aca="false">F220+F225+F231</f>
        <v>24.787</v>
      </c>
      <c r="G232" s="35" t="n">
        <f aca="false">G220+G225+G231</f>
        <v>6.73499999999999</v>
      </c>
      <c r="H232" s="35" t="n">
        <f aca="false">H220+H225+H231</f>
        <v>31.522</v>
      </c>
      <c r="I232" s="35" t="n">
        <f aca="false">I220+I225+I231</f>
        <v>-6.98200000000001</v>
      </c>
      <c r="J232" s="35" t="n">
        <f aca="false">J220+J225+J231</f>
        <v>5.99</v>
      </c>
      <c r="K232" s="35" t="n">
        <f aca="false">K220+K225+K231</f>
        <v>-0.992000000000003</v>
      </c>
      <c r="L232" s="35" t="n">
        <f aca="false">L220+L225+L231</f>
        <v>4.877</v>
      </c>
      <c r="M232" s="35" t="n">
        <f aca="false">M220+M225+M231</f>
        <v>8.874</v>
      </c>
      <c r="N232" s="35" t="n">
        <f aca="false">N220+N225+N231</f>
        <v>13.751</v>
      </c>
      <c r="O232" s="35" t="n">
        <f aca="false">O220+O225+O231</f>
        <v>2.562</v>
      </c>
      <c r="P232" s="35" t="n">
        <f aca="false">P220+P225+P231</f>
        <v>-9.16000000000001</v>
      </c>
      <c r="Q232" s="35" t="n">
        <f aca="false">Q220+Q225+Q231</f>
        <v>-6.598</v>
      </c>
      <c r="R232" s="35" t="n">
        <f aca="false">R220+R225+R231</f>
        <v>-5.98</v>
      </c>
      <c r="S232" s="35" t="n">
        <f aca="false">S220+S225+S231</f>
        <v>3.889</v>
      </c>
      <c r="T232" s="35" t="n">
        <f aca="false">T220+T225+T231</f>
        <v>-2.091</v>
      </c>
      <c r="U232" s="35" t="n">
        <f aca="false">U220+U225+U231</f>
        <v>5.08300000000001</v>
      </c>
      <c r="V232" s="35" t="n">
        <f aca="false">V220+V225+V231</f>
        <v>13.279</v>
      </c>
      <c r="W232" s="35" t="n">
        <f aca="false">W220+W225+W231</f>
        <v>18.362</v>
      </c>
      <c r="X232" s="35" t="n">
        <f aca="false">X220+X225+X231</f>
        <v>-12.102</v>
      </c>
      <c r="Y232" s="35" t="n">
        <f aca="false">Y220+Y225+Y231</f>
        <v>5.113</v>
      </c>
      <c r="Z232" s="35" t="n">
        <f aca="false">Z220+Z225+Z231</f>
        <v>-6.98899999999999</v>
      </c>
      <c r="AA232" s="35" t="n">
        <f aca="false">AA220+AA225+AA231</f>
        <v>1.12499999999999</v>
      </c>
      <c r="AB232" s="35" t="n">
        <f aca="false">AB220+AB225+AB231</f>
        <v>10.369</v>
      </c>
      <c r="AC232" s="35" t="n">
        <f aca="false">AC220+AC225+AC231</f>
        <v>11.494</v>
      </c>
      <c r="AD232" s="35" t="n">
        <f aca="false">AD220+AD225+AD231</f>
        <v>43.203</v>
      </c>
      <c r="AE232" s="35" t="n">
        <f aca="false">AE220+AE225+AE231</f>
        <v>-36.533</v>
      </c>
      <c r="AF232" s="35" t="n">
        <f aca="false">AF220+AF225+AF231</f>
        <v>6.67</v>
      </c>
      <c r="AG232" s="35" t="n">
        <f aca="false">AG220+AG225+AG231</f>
        <v>-10.7</v>
      </c>
      <c r="AH232" s="35" t="n">
        <f aca="false">AH220+AH225+AH231</f>
        <v>33.141</v>
      </c>
      <c r="AI232" s="35" t="n">
        <f aca="false">AI220+AI225+AI231</f>
        <v>22.441</v>
      </c>
      <c r="AJ232" s="35" t="n">
        <f aca="false">AJ220+AJ225+AJ231</f>
        <v>1.968</v>
      </c>
      <c r="AK232" s="35" t="n">
        <f aca="false">AK220+AK225+AK231</f>
        <v>16.776</v>
      </c>
      <c r="AL232" s="35" t="n">
        <f aca="false">AL220+AL225+AL231</f>
        <v>18.744</v>
      </c>
      <c r="AM232" s="35" t="n">
        <f aca="false">AM220+AM225+AM231</f>
        <v>-23.634</v>
      </c>
      <c r="AN232" s="35" t="n">
        <f aca="false">AN220+AN225+AN231</f>
        <v>16.222</v>
      </c>
      <c r="AO232" s="35" t="n">
        <f aca="false">AO220+AO225+AO231</f>
        <v>-7.41200000000004</v>
      </c>
      <c r="AP232" s="35" t="n">
        <f aca="false">AP220+AP225+AP231</f>
        <v>-21.463</v>
      </c>
      <c r="AQ232" s="35" t="n">
        <f aca="false">AQ220+AQ225+AQ231</f>
        <v>94.937</v>
      </c>
      <c r="AR232" s="35" t="n">
        <f aca="false">AR220+AR225+AR231</f>
        <v>73.474</v>
      </c>
      <c r="AS232" s="35" t="n">
        <f aca="false">AS220+AS225+AS231</f>
        <v>63.406</v>
      </c>
      <c r="AT232" s="35" t="n">
        <f aca="false">AT220+AT225+AT231</f>
        <v>-37.91</v>
      </c>
      <c r="AU232" s="35" t="n">
        <f aca="false">AU220+AU225+AU231</f>
        <v>25.496</v>
      </c>
      <c r="AV232" s="35" t="n">
        <f aca="false">AV220+AV225+AV231</f>
        <v>-25.229</v>
      </c>
      <c r="AW232" s="36" t="n">
        <f aca="false">AW220+AW225+AW231</f>
        <v>-29.77</v>
      </c>
      <c r="AX232" s="36" t="n">
        <f aca="false">AX220+AX225+AX231</f>
        <v>-54.999</v>
      </c>
      <c r="AY232" s="36" t="n">
        <f aca="false">AY220+AY225+AY231</f>
        <v>0</v>
      </c>
      <c r="AZ232" s="36" t="n">
        <f aca="false">AZ220+AZ225+AZ231</f>
        <v>0</v>
      </c>
      <c r="BA232" s="36" t="n">
        <f aca="false">BA220+BA225+BA231</f>
        <v>0</v>
      </c>
      <c r="BB232" s="36" t="n">
        <f aca="false">BB220+BB225+BB231</f>
        <v>0</v>
      </c>
    </row>
    <row r="233" customFormat="false" ht="15" hidden="false" customHeight="true" outlineLevel="0" collapsed="false">
      <c r="B233" s="20" t="s">
        <v>343</v>
      </c>
      <c r="C233" s="42" t="n">
        <v>-0.258</v>
      </c>
      <c r="D233" s="26" t="n">
        <f aca="false">E233-C233</f>
        <v>0.346</v>
      </c>
      <c r="E233" s="42" t="n">
        <v>0.088</v>
      </c>
      <c r="F233" s="42" t="n">
        <v>0.061</v>
      </c>
      <c r="G233" s="26" t="n">
        <f aca="false">H233-F233</f>
        <v>-0.221</v>
      </c>
      <c r="H233" s="42" t="n">
        <v>-0.16</v>
      </c>
      <c r="I233" s="42" t="n">
        <v>0.038</v>
      </c>
      <c r="J233" s="26" t="n">
        <f aca="false">K233-I233</f>
        <v>-0.415</v>
      </c>
      <c r="K233" s="42" t="n">
        <v>-0.377</v>
      </c>
      <c r="L233" s="42" t="n">
        <v>0.073</v>
      </c>
      <c r="M233" s="26" t="n">
        <f aca="false">N233-L233</f>
        <v>1.135</v>
      </c>
      <c r="N233" s="42" t="n">
        <v>1.208</v>
      </c>
      <c r="O233" s="42" t="n">
        <v>0.983</v>
      </c>
      <c r="P233" s="26" t="n">
        <f aca="false">Q233-O233</f>
        <v>0.0550000000000001</v>
      </c>
      <c r="Q233" s="42" t="n">
        <v>1.038</v>
      </c>
      <c r="R233" s="42" t="n">
        <v>0.127</v>
      </c>
      <c r="S233" s="26" t="n">
        <f aca="false">T233-R233</f>
        <v>0.317</v>
      </c>
      <c r="T233" s="42" t="n">
        <v>0.444</v>
      </c>
      <c r="U233" s="42" t="n">
        <v>-1.506</v>
      </c>
      <c r="V233" s="26" t="n">
        <f aca="false">W233-U233</f>
        <v>-0.331</v>
      </c>
      <c r="W233" s="42" t="n">
        <v>-1.837</v>
      </c>
      <c r="X233" s="42" t="n">
        <v>0.417</v>
      </c>
      <c r="Y233" s="26" t="n">
        <f aca="false">Z233-X233</f>
        <v>0.225</v>
      </c>
      <c r="Z233" s="42" t="n">
        <v>0.642</v>
      </c>
      <c r="AA233" s="42" t="n">
        <v>0.344</v>
      </c>
      <c r="AB233" s="26" t="n">
        <f aca="false">AC233-AA233</f>
        <v>0.488</v>
      </c>
      <c r="AC233" s="42" t="n">
        <v>0.832</v>
      </c>
      <c r="AD233" s="42" t="n">
        <v>-0.353</v>
      </c>
      <c r="AE233" s="26" t="n">
        <f aca="false">AF233-AD233</f>
        <v>-2.415</v>
      </c>
      <c r="AF233" s="42" t="n">
        <v>-2.768</v>
      </c>
      <c r="AG233" s="42" t="n">
        <v>1.053</v>
      </c>
      <c r="AH233" s="26" t="n">
        <f aca="false">AI233-AG233</f>
        <v>1.675</v>
      </c>
      <c r="AI233" s="42" t="n">
        <v>2.728</v>
      </c>
      <c r="AJ233" s="42" t="n">
        <v>5.513</v>
      </c>
      <c r="AK233" s="26" t="n">
        <f aca="false">AL233-AJ233</f>
        <v>-4.86</v>
      </c>
      <c r="AL233" s="42" t="n">
        <v>0.653</v>
      </c>
      <c r="AM233" s="42" t="n">
        <v>-2.505</v>
      </c>
      <c r="AN233" s="26" t="n">
        <f aca="false">AO233-AM233</f>
        <v>-0.539</v>
      </c>
      <c r="AO233" s="42" t="n">
        <v>-3.044</v>
      </c>
      <c r="AP233" s="42" t="n">
        <v>1.116</v>
      </c>
      <c r="AQ233" s="26" t="n">
        <f aca="false">AR233-AP233</f>
        <v>0.516</v>
      </c>
      <c r="AR233" s="42" t="n">
        <v>1.632</v>
      </c>
      <c r="AS233" s="42" t="n">
        <v>-2.799</v>
      </c>
      <c r="AT233" s="26" t="n">
        <f aca="false">AU233-AS233</f>
        <v>-1.899</v>
      </c>
      <c r="AU233" s="42" t="n">
        <v>-4.698</v>
      </c>
      <c r="AV233" s="42" t="n">
        <v>2.151</v>
      </c>
      <c r="AW233" s="50" t="n">
        <v>0</v>
      </c>
      <c r="AX233" s="27" t="n">
        <f aca="false">AV233+AW233</f>
        <v>2.151</v>
      </c>
      <c r="AY233" s="50" t="n">
        <v>0</v>
      </c>
      <c r="AZ233" s="50" t="n">
        <v>0</v>
      </c>
      <c r="BA233" s="50" t="n">
        <v>0</v>
      </c>
      <c r="BB233" s="50" t="n">
        <v>0</v>
      </c>
    </row>
    <row r="234" customFormat="false" ht="15" hidden="false" customHeight="true" outlineLevel="0" collapsed="false">
      <c r="B234" s="20" t="s">
        <v>344</v>
      </c>
      <c r="C234" s="42" t="n">
        <v>6.96</v>
      </c>
      <c r="D234" s="26" t="n">
        <f aca="false">C235</f>
        <v>5.234</v>
      </c>
      <c r="E234" s="42" t="n">
        <v>6.96</v>
      </c>
      <c r="F234" s="42" t="n">
        <v>8.683</v>
      </c>
      <c r="G234" s="26" t="n">
        <f aca="false">F235</f>
        <v>33.531</v>
      </c>
      <c r="H234" s="42" t="n">
        <v>8.683</v>
      </c>
      <c r="I234" s="42" t="n">
        <v>40.045</v>
      </c>
      <c r="J234" s="26" t="n">
        <f aca="false">I235</f>
        <v>33.101</v>
      </c>
      <c r="K234" s="42" t="n">
        <v>40.045</v>
      </c>
      <c r="L234" s="42" t="n">
        <v>38.676</v>
      </c>
      <c r="M234" s="26" t="n">
        <f aca="false">L235</f>
        <v>43.626</v>
      </c>
      <c r="N234" s="42" t="n">
        <v>38.676</v>
      </c>
      <c r="O234" s="42" t="n">
        <v>53.635</v>
      </c>
      <c r="P234" s="26" t="n">
        <f aca="false">O235</f>
        <v>57.18</v>
      </c>
      <c r="Q234" s="42" t="n">
        <v>53.635</v>
      </c>
      <c r="R234" s="42" t="n">
        <v>48.075</v>
      </c>
      <c r="S234" s="26" t="n">
        <f aca="false">R235</f>
        <v>42.222</v>
      </c>
      <c r="T234" s="42" t="n">
        <v>48.075</v>
      </c>
      <c r="U234" s="42" t="n">
        <v>46.428</v>
      </c>
      <c r="V234" s="26" t="n">
        <f aca="false">U235</f>
        <v>50.005</v>
      </c>
      <c r="W234" s="42" t="n">
        <v>46.428</v>
      </c>
      <c r="X234" s="42" t="n">
        <v>62.953</v>
      </c>
      <c r="Y234" s="26" t="n">
        <f aca="false">X235</f>
        <v>51.268</v>
      </c>
      <c r="Z234" s="42" t="n">
        <v>62.953</v>
      </c>
      <c r="AA234" s="42" t="n">
        <v>56.606</v>
      </c>
      <c r="AB234" s="26" t="n">
        <f aca="false">AA235</f>
        <v>58.075</v>
      </c>
      <c r="AC234" s="42" t="n">
        <v>56.606</v>
      </c>
      <c r="AD234" s="42" t="n">
        <v>68.932</v>
      </c>
      <c r="AE234" s="26" t="n">
        <f aca="false">AD235</f>
        <v>111.782</v>
      </c>
      <c r="AF234" s="42" t="n">
        <v>68.932</v>
      </c>
      <c r="AG234" s="42" t="n">
        <v>72.834</v>
      </c>
      <c r="AH234" s="26" t="n">
        <f aca="false">AG235</f>
        <v>63.187</v>
      </c>
      <c r="AI234" s="42" t="n">
        <v>72.834</v>
      </c>
      <c r="AJ234" s="42" t="n">
        <v>98.003</v>
      </c>
      <c r="AK234" s="26" t="n">
        <f aca="false">AJ235</f>
        <v>105.484</v>
      </c>
      <c r="AL234" s="42" t="n">
        <v>98.003</v>
      </c>
      <c r="AM234" s="42" t="n">
        <v>117.4</v>
      </c>
      <c r="AN234" s="26" t="n">
        <f aca="false">AM235</f>
        <v>91.261</v>
      </c>
      <c r="AO234" s="42" t="n">
        <v>117.4</v>
      </c>
      <c r="AP234" s="42" t="n">
        <v>106.944</v>
      </c>
      <c r="AQ234" s="26" t="n">
        <f aca="false">AP235</f>
        <v>86.597</v>
      </c>
      <c r="AR234" s="42" t="n">
        <v>106.944</v>
      </c>
      <c r="AS234" s="42" t="n">
        <v>182.05</v>
      </c>
      <c r="AT234" s="26" t="n">
        <f aca="false">AS235</f>
        <v>242.657</v>
      </c>
      <c r="AU234" s="42" t="n">
        <v>182.05</v>
      </c>
      <c r="AV234" s="42" t="n">
        <v>202.848</v>
      </c>
      <c r="AW234" s="27" t="n">
        <f aca="false">AV235</f>
        <v>179.77</v>
      </c>
      <c r="AX234" s="27" t="n">
        <f aca="false">AU235</f>
        <v>202.848</v>
      </c>
      <c r="AY234" s="27" t="n">
        <f aca="false">AX235</f>
        <v>150</v>
      </c>
      <c r="AZ234" s="27" t="n">
        <f aca="false">AY235</f>
        <v>150</v>
      </c>
      <c r="BA234" s="27" t="n">
        <f aca="false">AZ235</f>
        <v>150</v>
      </c>
      <c r="BB234" s="27" t="n">
        <f aca="false">BA235</f>
        <v>150</v>
      </c>
    </row>
    <row r="235" customFormat="false" ht="15" hidden="false" customHeight="true" outlineLevel="0" collapsed="false">
      <c r="B235" s="14" t="s">
        <v>345</v>
      </c>
      <c r="C235" s="34" t="n">
        <v>5.234</v>
      </c>
      <c r="D235" s="35" t="n">
        <f aca="false">D234+D232+D233</f>
        <v>8.683</v>
      </c>
      <c r="E235" s="34" t="n">
        <v>8.683</v>
      </c>
      <c r="F235" s="34" t="n">
        <v>33.531</v>
      </c>
      <c r="G235" s="35" t="n">
        <f aca="false">G234+G232+G233</f>
        <v>40.045</v>
      </c>
      <c r="H235" s="34" t="n">
        <v>40.045</v>
      </c>
      <c r="I235" s="34" t="n">
        <v>33.101</v>
      </c>
      <c r="J235" s="35" t="n">
        <f aca="false">J234+J232+J233</f>
        <v>38.676</v>
      </c>
      <c r="K235" s="34" t="n">
        <v>38.676</v>
      </c>
      <c r="L235" s="34" t="n">
        <v>43.626</v>
      </c>
      <c r="M235" s="35" t="n">
        <f aca="false">M234+M232+M233</f>
        <v>53.635</v>
      </c>
      <c r="N235" s="34" t="n">
        <v>53.635</v>
      </c>
      <c r="O235" s="34" t="n">
        <v>57.18</v>
      </c>
      <c r="P235" s="35" t="n">
        <f aca="false">P234+P232+P233</f>
        <v>48.075</v>
      </c>
      <c r="Q235" s="34" t="n">
        <v>48.075</v>
      </c>
      <c r="R235" s="34" t="n">
        <v>42.222</v>
      </c>
      <c r="S235" s="35" t="n">
        <f aca="false">S234+S232+S233</f>
        <v>46.428</v>
      </c>
      <c r="T235" s="34" t="n">
        <v>46.428</v>
      </c>
      <c r="U235" s="34" t="n">
        <v>50.005</v>
      </c>
      <c r="V235" s="35" t="n">
        <f aca="false">V234+V232+V233</f>
        <v>62.953</v>
      </c>
      <c r="W235" s="34" t="n">
        <v>62.953</v>
      </c>
      <c r="X235" s="34" t="n">
        <v>51.268</v>
      </c>
      <c r="Y235" s="35" t="n">
        <f aca="false">Y234+Y232+Y233</f>
        <v>56.606</v>
      </c>
      <c r="Z235" s="34" t="n">
        <v>56.606</v>
      </c>
      <c r="AA235" s="34" t="n">
        <v>58.075</v>
      </c>
      <c r="AB235" s="35" t="n">
        <f aca="false">AB234+AB232+AB233</f>
        <v>68.932</v>
      </c>
      <c r="AC235" s="34" t="n">
        <v>68.932</v>
      </c>
      <c r="AD235" s="34" t="n">
        <v>111.782</v>
      </c>
      <c r="AE235" s="35" t="n">
        <f aca="false">AE234+AE232+AE233</f>
        <v>72.834</v>
      </c>
      <c r="AF235" s="34" t="n">
        <v>72.834</v>
      </c>
      <c r="AG235" s="34" t="n">
        <v>63.187</v>
      </c>
      <c r="AH235" s="35" t="n">
        <f aca="false">AH234+AH232+AH233</f>
        <v>98.003</v>
      </c>
      <c r="AI235" s="34" t="n">
        <v>98.003</v>
      </c>
      <c r="AJ235" s="34" t="n">
        <v>105.484</v>
      </c>
      <c r="AK235" s="35" t="n">
        <f aca="false">AK234+AK232+AK233</f>
        <v>117.4</v>
      </c>
      <c r="AL235" s="34" t="n">
        <v>117.4</v>
      </c>
      <c r="AM235" s="34" t="n">
        <v>91.261</v>
      </c>
      <c r="AN235" s="35" t="n">
        <f aca="false">AN234+AN232+AN233</f>
        <v>106.944</v>
      </c>
      <c r="AO235" s="34" t="n">
        <v>106.944</v>
      </c>
      <c r="AP235" s="34" t="n">
        <v>86.597</v>
      </c>
      <c r="AQ235" s="35" t="n">
        <f aca="false">AQ234+AQ232+AQ233</f>
        <v>182.05</v>
      </c>
      <c r="AR235" s="34" t="n">
        <v>182.05</v>
      </c>
      <c r="AS235" s="34" t="n">
        <v>242.657</v>
      </c>
      <c r="AT235" s="35" t="n">
        <f aca="false">AT234+AT232+AT233</f>
        <v>202.848</v>
      </c>
      <c r="AU235" s="34" t="n">
        <v>202.848</v>
      </c>
      <c r="AV235" s="34" t="n">
        <v>179.77</v>
      </c>
      <c r="AW235" s="36" t="n">
        <f aca="false">AW234+AW232+AW233</f>
        <v>150</v>
      </c>
      <c r="AX235" s="36" t="n">
        <f aca="false">AX234+AX232+AX233</f>
        <v>150</v>
      </c>
      <c r="AY235" s="36" t="n">
        <f aca="false">AY234+AY232+AY233</f>
        <v>150</v>
      </c>
      <c r="AZ235" s="36" t="n">
        <f aca="false">AZ234+AZ232+AZ233</f>
        <v>150</v>
      </c>
      <c r="BA235" s="36" t="n">
        <f aca="false">BA234+BA232+BA233</f>
        <v>150</v>
      </c>
      <c r="BB235" s="36" t="n">
        <f aca="false">BB234+BB232+BB233</f>
        <v>150</v>
      </c>
    </row>
    <row r="236" customFormat="false" ht="15" hidden="false" customHeight="true" outlineLevel="0" collapsed="false">
      <c r="B236" s="45" t="s">
        <v>346</v>
      </c>
      <c r="C236" s="26" t="n">
        <f aca="false">IF(ISNUMBER(C220),ROUND(C232+C233-(C235-C234),1),"")</f>
        <v>0</v>
      </c>
      <c r="D236" s="26" t="n">
        <f aca="false">IF(ISNUMBER(D220),ROUND(D232+D233-(D235-D234),1),"")</f>
        <v>0</v>
      </c>
      <c r="E236" s="26" t="n">
        <f aca="false">IF(ISNUMBER(E220),ROUND(E232+E233-(E235-E234),1),"")</f>
        <v>0</v>
      </c>
      <c r="F236" s="26" t="n">
        <f aca="false">IF(ISNUMBER(F220),ROUND(F232+F233-(F235-F234),1),"")</f>
        <v>0</v>
      </c>
      <c r="G236" s="26" t="n">
        <f aca="false">IF(ISNUMBER(G220),ROUND(G232+G233-(G235-G234),1),"")</f>
        <v>0</v>
      </c>
      <c r="H236" s="26" t="n">
        <f aca="false">IF(ISNUMBER(H220),ROUND(H232+H233-(H235-H234),1),"")</f>
        <v>0</v>
      </c>
      <c r="I236" s="26" t="n">
        <f aca="false">IF(ISNUMBER(I220),ROUND(I232+I233-(I235-I234),1),"")</f>
        <v>0</v>
      </c>
      <c r="J236" s="26" t="n">
        <f aca="false">IF(ISNUMBER(J220),ROUND(J232+J233-(J235-J234),1),"")</f>
        <v>0</v>
      </c>
      <c r="K236" s="26" t="n">
        <f aca="false">IF(ISNUMBER(K220),ROUND(K232+K233-(K235-K234),1),"")</f>
        <v>0</v>
      </c>
      <c r="L236" s="26" t="n">
        <f aca="false">IF(ISNUMBER(L220),ROUND(L232+L233-(L235-L234),1),"")</f>
        <v>0</v>
      </c>
      <c r="M236" s="26" t="n">
        <f aca="false">IF(ISNUMBER(M220),ROUND(M232+M233-(M235-M234),1),"")</f>
        <v>0</v>
      </c>
      <c r="N236" s="26" t="n">
        <f aca="false">IF(ISNUMBER(N220),ROUND(N232+N233-(N235-N234),1),"")</f>
        <v>0</v>
      </c>
      <c r="O236" s="26" t="n">
        <f aca="false">IF(ISNUMBER(O220),ROUND(O232+O233-(O235-O234),1),"")</f>
        <v>0</v>
      </c>
      <c r="P236" s="26" t="n">
        <f aca="false">IF(ISNUMBER(P220),ROUND(P232+P233-(P235-P234),1),"")</f>
        <v>0</v>
      </c>
      <c r="Q236" s="26" t="n">
        <f aca="false">IF(ISNUMBER(Q220),ROUND(Q232+Q233-(Q235-Q234),1),"")</f>
        <v>0</v>
      </c>
      <c r="R236" s="26" t="n">
        <f aca="false">IF(ISNUMBER(R220),ROUND(R232+R233-(R235-R234),1),"")</f>
        <v>0</v>
      </c>
      <c r="S236" s="26" t="n">
        <f aca="false">IF(ISNUMBER(S220),ROUND(S232+S233-(S235-S234),1),"")</f>
        <v>0</v>
      </c>
      <c r="T236" s="26" t="n">
        <f aca="false">IF(ISNUMBER(T220),ROUND(T232+T233-(T235-T234),1),"")</f>
        <v>0</v>
      </c>
      <c r="U236" s="26" t="n">
        <f aca="false">IF(ISNUMBER(U220),ROUND(U232+U233-(U235-U234),1),"")</f>
        <v>0</v>
      </c>
      <c r="V236" s="26" t="n">
        <f aca="false">IF(ISNUMBER(V220),ROUND(V232+V233-(V235-V234),1),"")</f>
        <v>0</v>
      </c>
      <c r="W236" s="26" t="n">
        <f aca="false">IF(ISNUMBER(W220),ROUND(W232+W233-(W235-W234),1),"")</f>
        <v>0</v>
      </c>
      <c r="X236" s="26" t="n">
        <f aca="false">IF(ISNUMBER(X220),ROUND(X232+X233-(X235-X234),1),"")</f>
        <v>0</v>
      </c>
      <c r="Y236" s="26" t="n">
        <f aca="false">IF(ISNUMBER(Y220),ROUND(Y232+Y233-(Y235-Y234),1),"")</f>
        <v>0</v>
      </c>
      <c r="Z236" s="26" t="n">
        <f aca="false">IF(ISNUMBER(Z220),ROUND(Z232+Z233-(Z235-Z234),1),"")</f>
        <v>0</v>
      </c>
      <c r="AA236" s="26" t="n">
        <f aca="false">IF(ISNUMBER(AA220),ROUND(AA232+AA233-(AA235-AA234),1),"")</f>
        <v>-0</v>
      </c>
      <c r="AB236" s="26" t="n">
        <f aca="false">IF(ISNUMBER(AB220),ROUND(AB232+AB233-(AB235-AB234),1),"")</f>
        <v>0</v>
      </c>
      <c r="AC236" s="26" t="n">
        <f aca="false">IF(ISNUMBER(AC220),ROUND(AC232+AC233-(AC235-AC234),1),"")</f>
        <v>0</v>
      </c>
      <c r="AD236" s="26" t="n">
        <f aca="false">IF(ISNUMBER(AD220),ROUND(AD232+AD233-(AD235-AD234),1),"")</f>
        <v>0</v>
      </c>
      <c r="AE236" s="26" t="n">
        <f aca="false">IF(ISNUMBER(AE220),ROUND(AE232+AE233-(AE235-AE234),1),"")</f>
        <v>0</v>
      </c>
      <c r="AF236" s="26" t="n">
        <f aca="false">IF(ISNUMBER(AF220),ROUND(AF232+AF233-(AF235-AF234),1),"")</f>
        <v>0</v>
      </c>
      <c r="AG236" s="26" t="n">
        <f aca="false">IF(ISNUMBER(AG220),ROUND(AG232+AG233-(AG235-AG234),1),"")</f>
        <v>0</v>
      </c>
      <c r="AH236" s="26" t="n">
        <f aca="false">IF(ISNUMBER(AH220),ROUND(AH232+AH233-(AH235-AH234),1),"")</f>
        <v>0</v>
      </c>
      <c r="AI236" s="26" t="n">
        <f aca="false">IF(ISNUMBER(AI220),ROUND(AI232+AI233-(AI235-AI234),1),"")</f>
        <v>0</v>
      </c>
      <c r="AJ236" s="26" t="n">
        <f aca="false">IF(ISNUMBER(AJ220),ROUND(AJ232+AJ233-(AJ235-AJ234),1),"")</f>
        <v>0</v>
      </c>
      <c r="AK236" s="26" t="n">
        <f aca="false">IF(ISNUMBER(AK220),ROUND(AK232+AK233-(AK235-AK234),1),"")</f>
        <v>0</v>
      </c>
      <c r="AL236" s="26" t="n">
        <f aca="false">IF(ISNUMBER(AL220),ROUND(AL232+AL233-(AL235-AL234),1),"")</f>
        <v>0</v>
      </c>
      <c r="AM236" s="26" t="n">
        <f aca="false">IF(ISNUMBER(AM220),ROUND(AM232+AM233-(AM235-AM234),1),"")</f>
        <v>0</v>
      </c>
      <c r="AN236" s="26" t="n">
        <f aca="false">IF(ISNUMBER(AN220),ROUND(AN232+AN233-(AN235-AN234),1),"")</f>
        <v>0</v>
      </c>
      <c r="AO236" s="26" t="n">
        <f aca="false">IF(ISNUMBER(AO220),ROUND(AO232+AO233-(AO235-AO234),1),"")</f>
        <v>0</v>
      </c>
      <c r="AP236" s="26" t="n">
        <f aca="false">IF(ISNUMBER(AP220),ROUND(AP232+AP233-(AP235-AP234),1),"")</f>
        <v>0</v>
      </c>
      <c r="AQ236" s="26" t="n">
        <f aca="false">IF(ISNUMBER(AQ220),ROUND(AQ232+AQ233-(AQ235-AQ234),1),"")</f>
        <v>0</v>
      </c>
      <c r="AR236" s="26" t="n">
        <f aca="false">IF(ISNUMBER(AR220),ROUND(AR232+AR233-(AR235-AR234),1),"")</f>
        <v>0</v>
      </c>
      <c r="AS236" s="26" t="n">
        <f aca="false">IF(ISNUMBER(AS220),ROUND(AS232+AS233-(AS235-AS234),1),"")</f>
        <v>0</v>
      </c>
      <c r="AT236" s="26" t="n">
        <f aca="false">IF(ISNUMBER(AT220),ROUND(AT232+AT233-(AT235-AT234),1),"")</f>
        <v>0</v>
      </c>
      <c r="AU236" s="26" t="n">
        <f aca="false">IF(ISNUMBER(AU220),ROUND(AU232+AU233-(AU235-AU234),1),"")</f>
        <v>0</v>
      </c>
      <c r="AV236" s="26" t="n">
        <f aca="false">IF(ISNUMBER(AV220),ROUND(AV232+AV233-(AV235-AV234),1),"")</f>
        <v>0</v>
      </c>
      <c r="AW236" s="27" t="n">
        <f aca="false">IF(ISNUMBER(AW220),ROUND(AW232+AW233-(AW235-AW234),1),"")</f>
        <v>0</v>
      </c>
      <c r="AX236" s="27" t="n">
        <f aca="false">IF(ISNUMBER(AX220),ROUND(AX232+AX233-(AX235-AX234),1),"")</f>
        <v>0</v>
      </c>
      <c r="AY236" s="27" t="n">
        <f aca="false">IF(ISNUMBER(AY220),ROUND(AY232+AY233-(AY235-AY234),1),"")</f>
        <v>0</v>
      </c>
      <c r="AZ236" s="27" t="n">
        <f aca="false">IF(ISNUMBER(AZ220),ROUND(AZ232+AZ233-(AZ235-AZ234),1),"")</f>
        <v>0</v>
      </c>
      <c r="BA236" s="27" t="n">
        <f aca="false">IF(ISNUMBER(BA220),ROUND(BA232+BA233-(BA235-BA234),1),"")</f>
        <v>0</v>
      </c>
      <c r="BB236" s="27" t="n">
        <f aca="false">IF(ISNUMBER(BB220),ROUND(BB232+BB233-(BB235-BB234),1),"")</f>
        <v>0</v>
      </c>
    </row>
    <row r="237" customFormat="false" ht="15" hidden="false" customHeight="true" outlineLevel="0" collapsed="false">
      <c r="B237" s="45" t="s">
        <v>347</v>
      </c>
      <c r="C237" s="26" t="n">
        <f aca="false">IF(ISNUMBER(C271),ROUND(C235-C271,1),"")</f>
        <v>0</v>
      </c>
      <c r="D237" s="26" t="n">
        <f aca="false">IF(ISNUMBER(D271),ROUND(D235-D271,1),"")</f>
        <v>0</v>
      </c>
      <c r="E237" s="26" t="n">
        <f aca="false">IF(ISNUMBER(E271),ROUND(E235-E271,1),"")</f>
        <v>0</v>
      </c>
      <c r="F237" s="26" t="n">
        <f aca="false">IF(ISNUMBER(F271),ROUND(F235-F271,1),"")</f>
        <v>0</v>
      </c>
      <c r="G237" s="26" t="n">
        <f aca="false">IF(ISNUMBER(G271),ROUND(G235-G271,1),"")</f>
        <v>0</v>
      </c>
      <c r="H237" s="26" t="n">
        <f aca="false">IF(ISNUMBER(H271),ROUND(H235-H271,1),"")</f>
        <v>0</v>
      </c>
      <c r="I237" s="26" t="n">
        <f aca="false">IF(ISNUMBER(I271),ROUND(I235-I271,1),"")</f>
        <v>0</v>
      </c>
      <c r="J237" s="26" t="n">
        <f aca="false">IF(ISNUMBER(J271),ROUND(J235-J271,1),"")</f>
        <v>0</v>
      </c>
      <c r="K237" s="26" t="n">
        <f aca="false">IF(ISNUMBER(K271),ROUND(K235-K271,1),"")</f>
        <v>0</v>
      </c>
      <c r="L237" s="26" t="n">
        <f aca="false">IF(ISNUMBER(L271),ROUND(L235-L271,1),"")</f>
        <v>0</v>
      </c>
      <c r="M237" s="26" t="n">
        <f aca="false">IF(ISNUMBER(M271),ROUND(M235-M271,1),"")</f>
        <v>0</v>
      </c>
      <c r="N237" s="26" t="n">
        <f aca="false">IF(ISNUMBER(N271),ROUND(N235-N271,1),"")</f>
        <v>0</v>
      </c>
      <c r="O237" s="26" t="n">
        <f aca="false">IF(ISNUMBER(O271),ROUND(O235-O271,1),"")</f>
        <v>0</v>
      </c>
      <c r="P237" s="26" t="n">
        <f aca="false">IF(ISNUMBER(P271),ROUND(P235-P271,1),"")</f>
        <v>0</v>
      </c>
      <c r="Q237" s="26" t="n">
        <f aca="false">IF(ISNUMBER(Q271),ROUND(Q235-Q271,1),"")</f>
        <v>0</v>
      </c>
      <c r="R237" s="26" t="n">
        <f aca="false">IF(ISNUMBER(R271),ROUND(R235-R271,1),"")</f>
        <v>0</v>
      </c>
      <c r="S237" s="26" t="n">
        <f aca="false">IF(ISNUMBER(S271),ROUND(S235-S271,1),"")</f>
        <v>0</v>
      </c>
      <c r="T237" s="26" t="n">
        <f aca="false">IF(ISNUMBER(T271),ROUND(T235-T271,1),"")</f>
        <v>0</v>
      </c>
      <c r="U237" s="26" t="n">
        <f aca="false">IF(ISNUMBER(U271),ROUND(U235-U271,1),"")</f>
        <v>0</v>
      </c>
      <c r="V237" s="26" t="n">
        <f aca="false">IF(ISNUMBER(V271),ROUND(V235-V271,1),"")</f>
        <v>0</v>
      </c>
      <c r="W237" s="26" t="n">
        <f aca="false">IF(ISNUMBER(W271),ROUND(W235-W271,1),"")</f>
        <v>0</v>
      </c>
      <c r="X237" s="26" t="n">
        <f aca="false">IF(ISNUMBER(X271),ROUND(X235-X271,1),"")</f>
        <v>0</v>
      </c>
      <c r="Y237" s="26" t="n">
        <f aca="false">IF(ISNUMBER(Y271),ROUND(Y235-Y271,1),"")</f>
        <v>0</v>
      </c>
      <c r="Z237" s="26" t="n">
        <f aca="false">IF(ISNUMBER(Z271),ROUND(Z235-Z271,1),"")</f>
        <v>0</v>
      </c>
      <c r="AA237" s="26" t="n">
        <f aca="false">IF(ISNUMBER(AA271),ROUND(AA235-AA271,1),"")</f>
        <v>0</v>
      </c>
      <c r="AB237" s="26" t="n">
        <f aca="false">IF(ISNUMBER(AB271),ROUND(AB235-AB271,1),"")</f>
        <v>0</v>
      </c>
      <c r="AC237" s="26" t="n">
        <f aca="false">IF(ISNUMBER(AC271),ROUND(AC235-AC271,1),"")</f>
        <v>0</v>
      </c>
      <c r="AD237" s="26" t="n">
        <f aca="false">IF(ISNUMBER(AD271),ROUND(AD235-AD271,1),"")</f>
        <v>0</v>
      </c>
      <c r="AE237" s="26" t="n">
        <f aca="false">IF(ISNUMBER(AE271),ROUND(AE235-AE271,1),"")</f>
        <v>0</v>
      </c>
      <c r="AF237" s="26" t="n">
        <f aca="false">IF(ISNUMBER(AF271),ROUND(AF235-AF271,1),"")</f>
        <v>0</v>
      </c>
      <c r="AG237" s="26" t="n">
        <f aca="false">IF(ISNUMBER(AG271),ROUND(AG235-AG271,1),"")</f>
        <v>0</v>
      </c>
      <c r="AH237" s="26" t="n">
        <f aca="false">IF(ISNUMBER(AH271),ROUND(AH235-AH271,1),"")</f>
        <v>0</v>
      </c>
      <c r="AI237" s="26" t="n">
        <f aca="false">IF(ISNUMBER(AI271),ROUND(AI235-AI271,1),"")</f>
        <v>0</v>
      </c>
      <c r="AJ237" s="26" t="n">
        <f aca="false">IF(ISNUMBER(AJ271),ROUND(AJ235-AJ271,1),"")</f>
        <v>0</v>
      </c>
      <c r="AK237" s="26" t="n">
        <f aca="false">IF(ISNUMBER(AK271),ROUND(AK235-AK271,1),"")</f>
        <v>0</v>
      </c>
      <c r="AL237" s="26" t="n">
        <f aca="false">IF(ISNUMBER(AL271),ROUND(AL235-AL271,1),"")</f>
        <v>0</v>
      </c>
      <c r="AM237" s="26" t="n">
        <f aca="false">IF(ISNUMBER(AM271),ROUND(AM235-AM271,1),"")</f>
        <v>0</v>
      </c>
      <c r="AN237" s="26" t="n">
        <f aca="false">IF(ISNUMBER(AN271),ROUND(AN235-AN271,1),"")</f>
        <v>0</v>
      </c>
      <c r="AO237" s="26" t="n">
        <f aca="false">IF(ISNUMBER(AO271),ROUND(AO235-AO271,1),"")</f>
        <v>0</v>
      </c>
      <c r="AP237" s="26" t="n">
        <f aca="false">IF(ISNUMBER(AP271),ROUND(AP235-AP271,1),"")</f>
        <v>0</v>
      </c>
      <c r="AQ237" s="26" t="n">
        <f aca="false">IF(ISNUMBER(AQ271),ROUND(AQ235-AQ271,1),"")</f>
        <v>0</v>
      </c>
      <c r="AR237" s="26" t="n">
        <f aca="false">IF(ISNUMBER(AR271),ROUND(AR235-AR271,1),"")</f>
        <v>0</v>
      </c>
      <c r="AS237" s="26" t="n">
        <f aca="false">IF(ISNUMBER(AS271),ROUND(AS235-AS271,1),"")</f>
        <v>0</v>
      </c>
      <c r="AT237" s="26" t="n">
        <f aca="false">IF(ISNUMBER(AT271),ROUND(AT235-AT271,1),"")</f>
        <v>0</v>
      </c>
      <c r="AU237" s="26" t="n">
        <f aca="false">IF(ISNUMBER(AU271),ROUND(AU235-AU271,1),"")</f>
        <v>0</v>
      </c>
      <c r="AV237" s="26" t="n">
        <f aca="false">IF(ISNUMBER(AV271),ROUND(AV235-AV271,1),"")</f>
        <v>0</v>
      </c>
      <c r="AW237" s="27" t="n">
        <f aca="false">IF(ISNUMBER(AW271),ROUND(AW235-AW271,1),"")</f>
        <v>0</v>
      </c>
      <c r="AX237" s="27" t="n">
        <f aca="false">IF(ISNUMBER(AX271),ROUND(AX235-AX271,1),"")</f>
        <v>0</v>
      </c>
      <c r="AY237" s="27" t="n">
        <f aca="false">IF(ISNUMBER(AY271),ROUND(AY235-AY271,1),"")</f>
        <v>0</v>
      </c>
      <c r="AZ237" s="27" t="n">
        <f aca="false">IF(ISNUMBER(AZ271),ROUND(AZ235-AZ271,1),"")</f>
        <v>0</v>
      </c>
      <c r="BA237" s="27" t="n">
        <f aca="false">IF(ISNUMBER(BA271),ROUND(BA235-BA271,1),"")</f>
        <v>0</v>
      </c>
      <c r="BB237" s="27" t="n">
        <f aca="false">IF(ISNUMBER(BB271),ROUND(BB235-BB271,1),"")</f>
        <v>0</v>
      </c>
    </row>
    <row r="238" customFormat="false" ht="15" hidden="false" customHeight="true" outlineLevel="0" collapsed="false">
      <c r="B238" s="20" t="s">
        <v>348</v>
      </c>
    </row>
    <row r="239" customFormat="false" ht="15" hidden="false" customHeight="true" outlineLevel="0" collapsed="false">
      <c r="B239" s="46" t="s">
        <v>349</v>
      </c>
      <c r="C239" s="47" t="n">
        <f aca="false">C220+C221+C222</f>
        <v>-5.822</v>
      </c>
      <c r="D239" s="47" t="n">
        <f aca="false">D220+D221+D222</f>
        <v>8.554</v>
      </c>
      <c r="E239" s="47" t="n">
        <f aca="false">E220+E221+E222</f>
        <v>2.732</v>
      </c>
      <c r="F239" s="47" t="n">
        <f aca="false">F220+F221+F222</f>
        <v>-21.509</v>
      </c>
      <c r="G239" s="47" t="n">
        <f aca="false">G220+G221+G222</f>
        <v>12.726</v>
      </c>
      <c r="H239" s="47" t="n">
        <f aca="false">H220+H221+H222</f>
        <v>-8.78300000000001</v>
      </c>
      <c r="I239" s="47" t="n">
        <f aca="false">I220+I221+I222</f>
        <v>-23.432</v>
      </c>
      <c r="J239" s="47" t="n">
        <f aca="false">J220+J221+J222</f>
        <v>15.499</v>
      </c>
      <c r="K239" s="47" t="n">
        <f aca="false">K220+K221+K222</f>
        <v>-7.933</v>
      </c>
      <c r="L239" s="47" t="n">
        <f aca="false">L220+L221+L222</f>
        <v>-25.356</v>
      </c>
      <c r="M239" s="47" t="n">
        <f aca="false">M220+M221+M222</f>
        <v>5.175</v>
      </c>
      <c r="N239" s="47" t="n">
        <f aca="false">N220+N221+N222</f>
        <v>-20.181</v>
      </c>
      <c r="O239" s="47" t="n">
        <f aca="false">O220+O221+O222</f>
        <v>-26.615</v>
      </c>
      <c r="P239" s="47" t="n">
        <f aca="false">P220+P221+P222</f>
        <v>22.355</v>
      </c>
      <c r="Q239" s="47" t="n">
        <f aca="false">Q220+Q221+Q222</f>
        <v>-4.26</v>
      </c>
      <c r="R239" s="47" t="n">
        <f aca="false">R220+R221+R222</f>
        <v>-13.639</v>
      </c>
      <c r="S239" s="47" t="n">
        <f aca="false">S220+S221+S222</f>
        <v>28.565</v>
      </c>
      <c r="T239" s="47" t="n">
        <f aca="false">T220+T221+T222</f>
        <v>14.926</v>
      </c>
      <c r="U239" s="47" t="n">
        <f aca="false">U220+U221+U222</f>
        <v>13.009</v>
      </c>
      <c r="V239" s="47" t="n">
        <f aca="false">V220+V221+V222</f>
        <v>45.261</v>
      </c>
      <c r="W239" s="47" t="n">
        <f aca="false">W220+W221+W222</f>
        <v>58.27</v>
      </c>
      <c r="X239" s="47" t="n">
        <f aca="false">X220+X221+X222</f>
        <v>-3.533</v>
      </c>
      <c r="Y239" s="47" t="n">
        <f aca="false">Y220+Y221+Y222</f>
        <v>29.849</v>
      </c>
      <c r="Z239" s="47" t="n">
        <f aca="false">Z220+Z221+Z222</f>
        <v>26.316</v>
      </c>
      <c r="AA239" s="47" t="n">
        <f aca="false">AA220+AA221+AA222</f>
        <v>13.11</v>
      </c>
      <c r="AB239" s="47" t="n">
        <f aca="false">AB220+AB221+AB222</f>
        <v>50.02</v>
      </c>
      <c r="AC239" s="47" t="n">
        <f aca="false">AC220+AC221+AC222</f>
        <v>63.13</v>
      </c>
      <c r="AD239" s="47" t="n">
        <f aca="false">AD220+AD221+AD222</f>
        <v>-74.306</v>
      </c>
      <c r="AE239" s="47" t="n">
        <f aca="false">AE220+AE221+AE222</f>
        <v>62.148</v>
      </c>
      <c r="AF239" s="47" t="n">
        <f aca="false">AF220+AF221+AF222</f>
        <v>-12.158</v>
      </c>
      <c r="AG239" s="47" t="n">
        <f aca="false">AG220+AG221+AG222</f>
        <v>36.211</v>
      </c>
      <c r="AH239" s="47" t="n">
        <f aca="false">AH220+AH221+AH222</f>
        <v>116.002</v>
      </c>
      <c r="AI239" s="47" t="n">
        <f aca="false">AI220+AI221+AI222</f>
        <v>152.213</v>
      </c>
      <c r="AJ239" s="47" t="n">
        <f aca="false">AJ220+AJ221+AJ222</f>
        <v>49.002</v>
      </c>
      <c r="AK239" s="47" t="n">
        <f aca="false">AK220+AK221+AK222</f>
        <v>103.484</v>
      </c>
      <c r="AL239" s="47" t="n">
        <f aca="false">AL220+AL221+AL222</f>
        <v>152.486</v>
      </c>
      <c r="AM239" s="47" t="n">
        <f aca="false">AM220+AM221+AM222</f>
        <v>45.554</v>
      </c>
      <c r="AN239" s="47" t="n">
        <f aca="false">AN220+AN221+AN222</f>
        <v>86.967</v>
      </c>
      <c r="AO239" s="47" t="n">
        <f aca="false">AO220+AO221+AO222</f>
        <v>132.521</v>
      </c>
      <c r="AP239" s="47" t="n">
        <f aca="false">AP220+AP221+AP222</f>
        <v>61.713</v>
      </c>
      <c r="AQ239" s="47" t="n">
        <f aca="false">AQ220+AQ221+AQ222</f>
        <v>27.406</v>
      </c>
      <c r="AR239" s="47" t="n">
        <f aca="false">AR220+AR221+AR222</f>
        <v>89.119</v>
      </c>
      <c r="AS239" s="47" t="n">
        <f aca="false">AS220+AS221+AS222</f>
        <v>43.001</v>
      </c>
      <c r="AT239" s="47" t="n">
        <f aca="false">AT220+AT221+AT222</f>
        <v>57.133</v>
      </c>
      <c r="AU239" s="47" t="n">
        <f aca="false">AU220+AU221+AU222</f>
        <v>100.134</v>
      </c>
      <c r="AV239" s="47" t="n">
        <f aca="false">AV220+AV221+AV222</f>
        <v>96.727</v>
      </c>
      <c r="AW239" s="47" t="n">
        <f aca="false">AW220+AW221+AW222</f>
        <v>155.531741678081</v>
      </c>
      <c r="AX239" s="47" t="n">
        <f aca="false">AX220+AX221+AX222</f>
        <v>252.258741678081</v>
      </c>
      <c r="AY239" s="47" t="n">
        <f aca="false">AY220+AY221+AY222</f>
        <v>256.254584702679</v>
      </c>
      <c r="AZ239" s="47" t="n">
        <f aca="false">AZ220+AZ221+AZ222</f>
        <v>287.101193827173</v>
      </c>
      <c r="BA239" s="47" t="n">
        <f aca="false">BA220+BA221+BA222</f>
        <v>314.152106126203</v>
      </c>
      <c r="BB239" s="47" t="n">
        <f aca="false">BB220+BB221+BB222</f>
        <v>343.408051017752</v>
      </c>
      <c r="BE239" s="37" t="n">
        <f aca="false">IFERROR(IF(AND(BB239&gt;0,AU239&gt;0),(BB239/AU239)^(1/5)-1,"n/m"),"n/m")</f>
        <v>0.279516178388049</v>
      </c>
      <c r="BF239" s="37" t="str">
        <f aca="false">IFERROR(IF(AND(AU239&gt;0,AF239&gt;0),(AU239/AF239)^(1/5)-1,"n/m"),"n/m")</f>
        <v>n/m</v>
      </c>
      <c r="BG239" s="37" t="str">
        <f aca="false">IFERROR(IF(AND(AU239&gt;0,Q239&gt;0),(AU239/Q239)^(1/10)-1,"n/m"),"n/m")</f>
        <v>n/m</v>
      </c>
      <c r="BH239" s="37" t="n">
        <f aca="false">IFERROR(IF(AND(AU239&gt;0,E239&gt;0),(AU239/E239)^(1/14)-1,"n/m"),"n/m")</f>
        <v>0.293366150950597</v>
      </c>
    </row>
    <row r="240" customFormat="false" ht="15" hidden="false" customHeight="true" outlineLevel="0" collapsed="false">
      <c r="B240" s="46" t="s">
        <v>350</v>
      </c>
      <c r="C240" s="47" t="n">
        <f aca="false">C239+N(C227)</f>
        <v>-5.822</v>
      </c>
      <c r="D240" s="47" t="n">
        <f aca="false">D239+N(D227)</f>
        <v>8.554</v>
      </c>
      <c r="E240" s="47" t="n">
        <f aca="false">E239+N(E227)</f>
        <v>2.732</v>
      </c>
      <c r="F240" s="47" t="n">
        <f aca="false">F239+N(F227)</f>
        <v>-21.509</v>
      </c>
      <c r="G240" s="47" t="n">
        <f aca="false">G239+N(G227)</f>
        <v>12.726</v>
      </c>
      <c r="H240" s="47" t="n">
        <f aca="false">H239+N(H227)</f>
        <v>-8.78300000000001</v>
      </c>
      <c r="I240" s="47" t="n">
        <f aca="false">I239+N(I227)</f>
        <v>-23.432</v>
      </c>
      <c r="J240" s="47" t="n">
        <f aca="false">J239+N(J227)</f>
        <v>15.499</v>
      </c>
      <c r="K240" s="47" t="n">
        <f aca="false">K239+N(K227)</f>
        <v>-7.933</v>
      </c>
      <c r="L240" s="47" t="n">
        <f aca="false">L239+N(L227)</f>
        <v>-25.356</v>
      </c>
      <c r="M240" s="47" t="n">
        <f aca="false">M239+N(M227)</f>
        <v>5.175</v>
      </c>
      <c r="N240" s="47" t="n">
        <f aca="false">N239+N(N227)</f>
        <v>-20.181</v>
      </c>
      <c r="O240" s="47" t="n">
        <f aca="false">O239+N(O227)</f>
        <v>-26.615</v>
      </c>
      <c r="P240" s="47" t="n">
        <f aca="false">P239+N(P227)</f>
        <v>22.355</v>
      </c>
      <c r="Q240" s="47" t="n">
        <f aca="false">Q239+N(Q227)</f>
        <v>-4.26</v>
      </c>
      <c r="R240" s="47" t="n">
        <f aca="false">R239+N(R227)</f>
        <v>-13.639</v>
      </c>
      <c r="S240" s="47" t="n">
        <f aca="false">S239+N(S227)</f>
        <v>28.565</v>
      </c>
      <c r="T240" s="47" t="n">
        <f aca="false">T239+N(T227)</f>
        <v>14.926</v>
      </c>
      <c r="U240" s="47" t="n">
        <f aca="false">U239+N(U227)</f>
        <v>13.009</v>
      </c>
      <c r="V240" s="47" t="n">
        <f aca="false">V239+N(V227)</f>
        <v>45.261</v>
      </c>
      <c r="W240" s="47" t="n">
        <f aca="false">W239+N(W227)</f>
        <v>58.27</v>
      </c>
      <c r="X240" s="47" t="n">
        <f aca="false">X239+N(X227)</f>
        <v>-3.533</v>
      </c>
      <c r="Y240" s="47" t="n">
        <f aca="false">Y239+N(Y227)</f>
        <v>29.849</v>
      </c>
      <c r="Z240" s="47" t="n">
        <f aca="false">Z239+N(Z227)</f>
        <v>26.316</v>
      </c>
      <c r="AA240" s="47" t="n">
        <f aca="false">AA239+N(AA227)</f>
        <v>-11.839</v>
      </c>
      <c r="AB240" s="47" t="n">
        <f aca="false">AB239+N(AB227)</f>
        <v>21.697</v>
      </c>
      <c r="AC240" s="47" t="n">
        <f aca="false">AC239+N(AC227)</f>
        <v>9.85799999999999</v>
      </c>
      <c r="AD240" s="47" t="n">
        <f aca="false">AD239+N(AD227)</f>
        <v>-108.117</v>
      </c>
      <c r="AE240" s="47" t="n">
        <f aca="false">AE239+N(AE227)</f>
        <v>45.329</v>
      </c>
      <c r="AF240" s="47" t="n">
        <f aca="false">AF239+N(AF227)</f>
        <v>-62.788</v>
      </c>
      <c r="AG240" s="47" t="n">
        <f aca="false">AG239+N(AG227)</f>
        <v>-2.29</v>
      </c>
      <c r="AH240" s="47" t="n">
        <f aca="false">AH239+N(AH227)</f>
        <v>70.514</v>
      </c>
      <c r="AI240" s="47" t="n">
        <f aca="false">AI239+N(AI227)</f>
        <v>68.224</v>
      </c>
      <c r="AJ240" s="47" t="n">
        <f aca="false">AJ239+N(AJ227)</f>
        <v>1.117</v>
      </c>
      <c r="AK240" s="47" t="n">
        <f aca="false">AK239+N(AK227)</f>
        <v>55.891</v>
      </c>
      <c r="AL240" s="47" t="n">
        <f aca="false">AL239+N(AL227)</f>
        <v>57.008</v>
      </c>
      <c r="AM240" s="47" t="n">
        <f aca="false">AM239+N(AM227)</f>
        <v>-1.51300000000001</v>
      </c>
      <c r="AN240" s="47" t="n">
        <f aca="false">AN239+N(AN227)</f>
        <v>38.597</v>
      </c>
      <c r="AO240" s="47" t="n">
        <f aca="false">AO239+N(AO227)</f>
        <v>37.084</v>
      </c>
      <c r="AP240" s="47" t="n">
        <f aca="false">AP239+N(AP227)</f>
        <v>12.175</v>
      </c>
      <c r="AQ240" s="47" t="n">
        <f aca="false">AQ239+N(AQ227)</f>
        <v>-25.587</v>
      </c>
      <c r="AR240" s="47" t="n">
        <f aca="false">AR239+N(AR227)</f>
        <v>-13.412</v>
      </c>
      <c r="AS240" s="47" t="n">
        <f aca="false">AS239+N(AS227)</f>
        <v>-12.158</v>
      </c>
      <c r="AT240" s="47" t="n">
        <f aca="false">AT239+N(AT227)</f>
        <v>-0.824000000000027</v>
      </c>
      <c r="AU240" s="47" t="n">
        <f aca="false">AU239+N(AU227)</f>
        <v>-12.982</v>
      </c>
      <c r="AV240" s="47" t="n">
        <f aca="false">AV239+N(AV227)</f>
        <v>35.664</v>
      </c>
      <c r="AW240" s="47" t="n">
        <f aca="false">AW239+N(AW227)</f>
        <v>85.1993644780806</v>
      </c>
      <c r="AX240" s="47" t="n">
        <f aca="false">AX239+N(AX227)</f>
        <v>120.863364478081</v>
      </c>
      <c r="AY240" s="47" t="n">
        <f aca="false">AY239+N(AY227)</f>
        <v>100.863547351234</v>
      </c>
      <c r="AZ240" s="47" t="n">
        <f aca="false">AZ239+N(AZ227)</f>
        <v>123.796370604112</v>
      </c>
      <c r="BA240" s="47" t="n">
        <f aca="false">BA239+N(BA227)</f>
        <v>143.13625691791</v>
      </c>
      <c r="BB240" s="47" t="n">
        <f aca="false">BB239+N(BB227)</f>
        <v>163.08210511422</v>
      </c>
      <c r="BE240" s="37" t="str">
        <f aca="false">IFERROR(IF(AND(BB240&gt;0,AU240&gt;0),(BB240/AU240)^(1/5)-1,"n/m"),"n/m")</f>
        <v>n/m</v>
      </c>
      <c r="BF240" s="37" t="str">
        <f aca="false">IFERROR(IF(AND(AU240&gt;0,AF240&gt;0),(AU240/AF240)^(1/5)-1,"n/m"),"n/m")</f>
        <v>n/m</v>
      </c>
      <c r="BG240" s="37" t="str">
        <f aca="false">IFERROR(IF(AND(AU240&gt;0,Q240&gt;0),(AU240/Q240)^(1/10)-1,"n/m"),"n/m")</f>
        <v>n/m</v>
      </c>
      <c r="BH240" s="37" t="str">
        <f aca="false">IFERROR(IF(AND(AU240&gt;0,E240&gt;0),(AU240/E240)^(1/14)-1,"n/m"),"n/m")</f>
        <v>n/m</v>
      </c>
    </row>
    <row r="241" customFormat="false" ht="15" hidden="false" customHeight="true" outlineLevel="0" collapsed="false">
      <c r="B241" s="31" t="s">
        <v>351</v>
      </c>
      <c r="F241" s="32" t="n">
        <f aca="false">IF(AND(ISNUMBER(F240),ISNUMBER(C240)),IFERROR(F240/C240-1,""),"")</f>
        <v>2.6944349020955</v>
      </c>
      <c r="G241" s="32" t="n">
        <f aca="false">IF(AND(ISNUMBER(G240),ISNUMBER(D240)),IFERROR(G240/D240-1,""),"")</f>
        <v>0.48772504091653</v>
      </c>
      <c r="H241" s="32" t="n">
        <f aca="false">IF(AND(ISNUMBER(H240),ISNUMBER(E240)),IFERROR(H240/E240-1,""),"")</f>
        <v>-4.21486090775989</v>
      </c>
      <c r="I241" s="32" t="n">
        <f aca="false">IF(AND(ISNUMBER(I240),ISNUMBER(F240)),IFERROR(I240/F240-1,""),"")</f>
        <v>0.0894044353526431</v>
      </c>
      <c r="J241" s="32" t="n">
        <f aca="false">IF(AND(ISNUMBER(J240),ISNUMBER(G240)),IFERROR(J240/G240-1,""),"")</f>
        <v>0.217900361464719</v>
      </c>
      <c r="K241" s="32" t="n">
        <f aca="false">IF(AND(ISNUMBER(K240),ISNUMBER(H240)),IFERROR(K240/H240-1,""),"")</f>
        <v>-0.0967778663326886</v>
      </c>
      <c r="L241" s="32" t="n">
        <f aca="false">IF(AND(ISNUMBER(L240),ISNUMBER(I240)),IFERROR(L240/I240-1,""),"")</f>
        <v>0.0821099351314441</v>
      </c>
      <c r="M241" s="32" t="n">
        <f aca="false">IF(AND(ISNUMBER(M240),ISNUMBER(J240)),IFERROR(M240/J240-1,""),"")</f>
        <v>-0.666107490805858</v>
      </c>
      <c r="N241" s="32" t="n">
        <f aca="false">IF(AND(ISNUMBER(N240),ISNUMBER(K240)),IFERROR(N240/K240-1,""),"")</f>
        <v>1.54393041724442</v>
      </c>
      <c r="O241" s="32" t="n">
        <f aca="false">IF(AND(ISNUMBER(O240),ISNUMBER(L240)),IFERROR(O240/L240-1,""),"")</f>
        <v>0.0496529421044329</v>
      </c>
      <c r="P241" s="32" t="n">
        <f aca="false">IF(AND(ISNUMBER(P240),ISNUMBER(M240)),IFERROR(P240/M240-1,""),"")</f>
        <v>3.31980676328502</v>
      </c>
      <c r="Q241" s="32" t="n">
        <f aca="false">IF(AND(ISNUMBER(Q240),ISNUMBER(N240)),IFERROR(Q240/N240-1,""),"")</f>
        <v>-0.788910361230861</v>
      </c>
      <c r="R241" s="32" t="n">
        <f aca="false">IF(AND(ISNUMBER(R240),ISNUMBER(O240)),IFERROR(R240/O240-1,""),"")</f>
        <v>-0.487544617696788</v>
      </c>
      <c r="S241" s="32" t="n">
        <f aca="false">IF(AND(ISNUMBER(S240),ISNUMBER(P240)),IFERROR(S240/P240-1,""),"")</f>
        <v>0.277790203533886</v>
      </c>
      <c r="T241" s="32" t="n">
        <f aca="false">IF(AND(ISNUMBER(T240),ISNUMBER(Q240)),IFERROR(T240/Q240-1,""),"")</f>
        <v>-4.5037558685446</v>
      </c>
      <c r="U241" s="32" t="n">
        <f aca="false">IF(AND(ISNUMBER(U240),ISNUMBER(R240)),IFERROR(U240/R240-1,""),"")</f>
        <v>-1.95380893027348</v>
      </c>
      <c r="V241" s="32" t="n">
        <f aca="false">IF(AND(ISNUMBER(V240),ISNUMBER(S240)),IFERROR(V240/S240-1,""),"")</f>
        <v>0.584491510589883</v>
      </c>
      <c r="W241" s="32" t="n">
        <f aca="false">IF(AND(ISNUMBER(W240),ISNUMBER(T240)),IFERROR(W240/T240-1,""),"")</f>
        <v>2.90392603510653</v>
      </c>
      <c r="X241" s="32" t="n">
        <f aca="false">IF(AND(ISNUMBER(X240),ISNUMBER(U240)),IFERROR(X240/U240-1,""),"")</f>
        <v>-1.27158121300638</v>
      </c>
      <c r="Y241" s="32" t="n">
        <f aca="false">IF(AND(ISNUMBER(Y240),ISNUMBER(V240)),IFERROR(Y240/V240-1,""),"")</f>
        <v>-0.340513908221206</v>
      </c>
      <c r="Z241" s="32" t="n">
        <f aca="false">IF(AND(ISNUMBER(Z240),ISNUMBER(W240)),IFERROR(Z240/W240-1,""),"")</f>
        <v>-0.548378239231165</v>
      </c>
      <c r="AA241" s="32" t="n">
        <f aca="false">IF(AND(ISNUMBER(AA240),ISNUMBER(X240)),IFERROR(AA240/X240-1,""),"")</f>
        <v>2.35097650721767</v>
      </c>
      <c r="AB241" s="32" t="n">
        <f aca="false">IF(AND(ISNUMBER(AB240),ISNUMBER(Y240)),IFERROR(AB240/Y240-1,""),"")</f>
        <v>-0.273107976816644</v>
      </c>
      <c r="AC241" s="32" t="n">
        <f aca="false">IF(AND(ISNUMBER(AC240),ISNUMBER(Z240)),IFERROR(AC240/Z240-1,""),"")</f>
        <v>-0.625398996808026</v>
      </c>
      <c r="AD241" s="32" t="n">
        <f aca="false">IF(AND(ISNUMBER(AD240),ISNUMBER(AA240)),IFERROR(AD240/AA240-1,""),"")</f>
        <v>8.13227468536193</v>
      </c>
      <c r="AE241" s="32" t="n">
        <f aca="false">IF(AND(ISNUMBER(AE240),ISNUMBER(AB240)),IFERROR(AE240/AB240-1,""),"")</f>
        <v>1.08918283633682</v>
      </c>
      <c r="AF241" s="32" t="n">
        <f aca="false">IF(AND(ISNUMBER(AF240),ISNUMBER(AC240)),IFERROR(AF240/AC240-1,""),"")</f>
        <v>-7.36924325420979</v>
      </c>
      <c r="AG241" s="32" t="n">
        <f aca="false">IF(AND(ISNUMBER(AG240),ISNUMBER(AD240)),IFERROR(AG240/AD240-1,""),"")</f>
        <v>-0.978819242117336</v>
      </c>
      <c r="AH241" s="32" t="n">
        <f aca="false">IF(AND(ISNUMBER(AH240),ISNUMBER(AE240)),IFERROR(AH240/AE240-1,""),"")</f>
        <v>0.555604579849545</v>
      </c>
      <c r="AI241" s="32" t="n">
        <f aca="false">IF(AND(ISNUMBER(AI240),ISNUMBER(AF240)),IFERROR(AI240/AF240-1,""),"")</f>
        <v>-2.08657705294005</v>
      </c>
      <c r="AJ241" s="32" t="n">
        <f aca="false">IF(AND(ISNUMBER(AJ240),ISNUMBER(AG240)),IFERROR(AJ240/AG240-1,""),"")</f>
        <v>-1.48777292576419</v>
      </c>
      <c r="AK241" s="32" t="n">
        <f aca="false">IF(AND(ISNUMBER(AK240),ISNUMBER(AH240)),IFERROR(AK240/AH240-1,""),"")</f>
        <v>-0.207377258416768</v>
      </c>
      <c r="AL241" s="32" t="n">
        <f aca="false">IF(AND(ISNUMBER(AL240),ISNUMBER(AI240)),IFERROR(AL240/AI240-1,""),"")</f>
        <v>-0.164399624765478</v>
      </c>
      <c r="AM241" s="32" t="n">
        <f aca="false">IF(AND(ISNUMBER(AM240),ISNUMBER(AJ240)),IFERROR(AM240/AJ240-1,""),"")</f>
        <v>-2.35452103849599</v>
      </c>
      <c r="AN241" s="32" t="n">
        <f aca="false">IF(AND(ISNUMBER(AN240),ISNUMBER(AK240)),IFERROR(AN240/AK240-1,""),"")</f>
        <v>-0.309423699701205</v>
      </c>
      <c r="AO241" s="32" t="n">
        <f aca="false">IF(AND(ISNUMBER(AO240),ISNUMBER(AL240)),IFERROR(AO240/AL240-1,""),"")</f>
        <v>-0.349494807746282</v>
      </c>
      <c r="AP241" s="32" t="n">
        <f aca="false">IF(AND(ISNUMBER(AP240),ISNUMBER(AM240)),IFERROR(AP240/AM240-1,""),"")</f>
        <v>-9.04692663582282</v>
      </c>
      <c r="AQ241" s="32" t="n">
        <f aca="false">IF(AND(ISNUMBER(AQ240),ISNUMBER(AN240)),IFERROR(AQ240/AN240-1,""),"")</f>
        <v>-1.66292717050548</v>
      </c>
      <c r="AR241" s="32" t="n">
        <f aca="false">IF(AND(ISNUMBER(AR240),ISNUMBER(AO240)),IFERROR(AR240/AO240-1,""),"")</f>
        <v>-1.36166540826232</v>
      </c>
      <c r="AS241" s="32" t="n">
        <f aca="false">IF(AND(ISNUMBER(AS240),ISNUMBER(AP240)),IFERROR(AS240/AP240-1,""),"")</f>
        <v>-1.99860369609856</v>
      </c>
      <c r="AT241" s="32" t="n">
        <f aca="false">IF(AND(ISNUMBER(AT240),ISNUMBER(AQ240)),IFERROR(AT240/AQ240-1,""),"")</f>
        <v>-0.967796146480634</v>
      </c>
      <c r="AU241" s="32" t="n">
        <f aca="false">IF(AND(ISNUMBER(AU240),ISNUMBER(AR240)),IFERROR(AU240/AR240-1,""),"")</f>
        <v>-0.0320608410378728</v>
      </c>
      <c r="AV241" s="32" t="n">
        <f aca="false">IF(AND(ISNUMBER(AV240),ISNUMBER(AS240)),IFERROR(AV240/AS240-1,""),"")</f>
        <v>-3.9333772001974</v>
      </c>
      <c r="AW241" s="33" t="n">
        <f aca="false">IF(AND(ISNUMBER(AW240),ISNUMBER(AT240)),IFERROR(AW240/AT240-1,""),"")</f>
        <v>-104.397286987959</v>
      </c>
      <c r="AX241" s="33" t="n">
        <f aca="false">IF(AND(ISNUMBER(AX240),ISNUMBER(AU240)),IFERROR(AX240/AU240-1,""),"")</f>
        <v>-10.3100727528948</v>
      </c>
      <c r="AY241" s="33" t="n">
        <f aca="false">IF(AND(ISNUMBER(AY240),ISNUMBER(AX240)),IFERROR(AY240/AX240-1,""),"")</f>
        <v>-0.16547460194585</v>
      </c>
      <c r="AZ241" s="33" t="n">
        <f aca="false">IF(AND(ISNUMBER(AZ240),ISNUMBER(AY240)),IFERROR(AZ240/AY240-1,""),"")</f>
        <v>0.227364829565429</v>
      </c>
      <c r="BA241" s="33" t="n">
        <f aca="false">IF(AND(ISNUMBER(BA240),ISNUMBER(AZ240)),IFERROR(BA240/AZ240-1,""),"")</f>
        <v>0.156223370842144</v>
      </c>
      <c r="BB241" s="33" t="n">
        <f aca="false">IF(AND(ISNUMBER(BB240),ISNUMBER(BA240)),IFERROR(BB240/BA240-1,""),"")</f>
        <v>0.139348678146233</v>
      </c>
    </row>
    <row r="242" customFormat="false" ht="15" hidden="false" customHeight="true" outlineLevel="0" collapsed="false">
      <c r="B242" s="31" t="s">
        <v>352</v>
      </c>
      <c r="C242" s="32" t="n">
        <f aca="false">IF(AND(ISNUMBER(C240),ISNUMBER(C111)),IFERROR(C240/C111,""),"")</f>
        <v>-0.0499927011686717</v>
      </c>
      <c r="D242" s="32" t="n">
        <f aca="false">IF(AND(ISNUMBER(D240),ISNUMBER(D111)),IFERROR(D240/D111,""),"")</f>
        <v>0.0677931176591799</v>
      </c>
      <c r="E242" s="32" t="n">
        <f aca="false">IF(AND(ISNUMBER(E240),ISNUMBER(E111)),IFERROR(E240/E111,""),"")</f>
        <v>0.0112597110886723</v>
      </c>
      <c r="F242" s="32" t="n">
        <f aca="false">IF(AND(ISNUMBER(F240),ISNUMBER(F111)),IFERROR(F240/F111,""),"")</f>
        <v>-0.159086706655917</v>
      </c>
      <c r="G242" s="32" t="n">
        <f aca="false">IF(AND(ISNUMBER(G240),ISNUMBER(G111)),IFERROR(G240/G111,""),"")</f>
        <v>0.0883026408914916</v>
      </c>
      <c r="H242" s="32" t="n">
        <f aca="false">IF(AND(ISNUMBER(H240),ISNUMBER(H111)),IFERROR(H240/H111,""),"")</f>
        <v>-0.0314441091074427</v>
      </c>
      <c r="I242" s="32" t="n">
        <f aca="false">IF(AND(ISNUMBER(I240),ISNUMBER(I111)),IFERROR(I240/I111,""),"")</f>
        <v>-0.14870473555282</v>
      </c>
      <c r="J242" s="32" t="n">
        <f aca="false">IF(AND(ISNUMBER(J240),ISNUMBER(J111)),IFERROR(J240/J111,""),"")</f>
        <v>0.0939868773725638</v>
      </c>
      <c r="K242" s="32" t="n">
        <f aca="false">IF(AND(ISNUMBER(K240),ISNUMBER(K111)),IFERROR(K240/K111,""),"")</f>
        <v>-0.02459997519226</v>
      </c>
      <c r="L242" s="32" t="n">
        <f aca="false">IF(AND(ISNUMBER(L240),ISNUMBER(L111)),IFERROR(L240/L111,""),"")</f>
        <v>-0.144223057715388</v>
      </c>
      <c r="M242" s="32" t="n">
        <f aca="false">IF(AND(ISNUMBER(M240),ISNUMBER(M111)),IFERROR(M240/M111,""),"")</f>
        <v>0.0287343557396529</v>
      </c>
      <c r="N242" s="32" t="n">
        <f aca="false">IF(AND(ISNUMBER(N240),ISNUMBER(N111)),IFERROR(N240/N111,""),"")</f>
        <v>-0.0567026964757845</v>
      </c>
      <c r="O242" s="32" t="n">
        <f aca="false">IF(AND(ISNUMBER(O240),ISNUMBER(O111)),IFERROR(O240/O111,""),"")</f>
        <v>-0.132854461593754</v>
      </c>
      <c r="P242" s="32" t="n">
        <f aca="false">IF(AND(ISNUMBER(P240),ISNUMBER(P111)),IFERROR(P240/P111,""),"")</f>
        <v>0.104551045510455</v>
      </c>
      <c r="Q242" s="32" t="n">
        <f aca="false">IF(AND(ISNUMBER(Q240),ISNUMBER(Q111)),IFERROR(Q240/Q111,""),"")</f>
        <v>-0.0102861033777535</v>
      </c>
      <c r="R242" s="32" t="n">
        <f aca="false">IF(AND(ISNUMBER(R240),ISNUMBER(R111)),IFERROR(R240/R111,""),"")</f>
        <v>-0.0620405749636099</v>
      </c>
      <c r="S242" s="32" t="n">
        <f aca="false">IF(AND(ISNUMBER(S240),ISNUMBER(S111)),IFERROR(S240/S111,""),"")</f>
        <v>0.120970986443965</v>
      </c>
      <c r="T242" s="32" t="n">
        <f aca="false">IF(AND(ISNUMBER(T240),ISNUMBER(T111)),IFERROR(T240/T111,""),"")</f>
        <v>0.032734537942106</v>
      </c>
      <c r="U242" s="32" t="n">
        <f aca="false">IF(AND(ISNUMBER(U240),ISNUMBER(U111)),IFERROR(U240/U111,""),"")</f>
        <v>0.053463035339276</v>
      </c>
      <c r="V242" s="32" t="n">
        <f aca="false">IF(AND(ISNUMBER(V240),ISNUMBER(V111)),IFERROR(V240/V111,""),"")</f>
        <v>0.1739175542952</v>
      </c>
      <c r="W242" s="32" t="n">
        <f aca="false">IF(AND(ISNUMBER(W240),ISNUMBER(W111)),IFERROR(W240/W111,""),"")</f>
        <v>0.115713573656942</v>
      </c>
      <c r="X242" s="32" t="n">
        <f aca="false">IF(AND(ISNUMBER(X240),ISNUMBER(X111)),IFERROR(X240/X111,""),"")</f>
        <v>-0.0131101430129951</v>
      </c>
      <c r="Y242" s="32" t="n">
        <f aca="false">IF(AND(ISNUMBER(Y240),ISNUMBER(Y111)),IFERROR(Y240/Y111,""),"")</f>
        <v>0.10528376424112</v>
      </c>
      <c r="Z242" s="32" t="n">
        <f aca="false">IF(AND(ISNUMBER(Z240),ISNUMBER(Z111)),IFERROR(Z240/Z111,""),"")</f>
        <v>0.0475880476531476</v>
      </c>
      <c r="AA242" s="32" t="n">
        <f aca="false">IF(AND(ISNUMBER(AA240),ISNUMBER(AA111)),IFERROR(AA240/AA111,""),"")</f>
        <v>-0.0406261903209535</v>
      </c>
      <c r="AB242" s="32" t="n">
        <f aca="false">IF(AND(ISNUMBER(AB240),ISNUMBER(AB111)),IFERROR(AB240/AB111,""),"")</f>
        <v>0.0685858611402633</v>
      </c>
      <c r="AC242" s="32" t="n">
        <f aca="false">IF(AND(ISNUMBER(AC240),ISNUMBER(AC111)),IFERROR(AC240/AC111,""),"")</f>
        <v>0.0162201918188235</v>
      </c>
      <c r="AD242" s="32" t="n">
        <f aca="false">IF(AND(ISNUMBER(AD240),ISNUMBER(AD111)),IFERROR(AD240/AD111,""),"")</f>
        <v>-0.527032362790834</v>
      </c>
      <c r="AE242" s="32" t="n">
        <f aca="false">IF(AND(ISNUMBER(AE240),ISNUMBER(AE111)),IFERROR(AE240/AE111,""),"")</f>
        <v>0.133765160681087</v>
      </c>
      <c r="AF242" s="32" t="n">
        <f aca="false">IF(AND(ISNUMBER(AF240),ISNUMBER(AF111)),IFERROR(AF240/AF111,""),"")</f>
        <v>-0.115416359535526</v>
      </c>
      <c r="AG242" s="32" t="n">
        <f aca="false">IF(AND(ISNUMBER(AG240),ISNUMBER(AG111)),IFERROR(AG240/AG111,""),"")</f>
        <v>-0.00729847911168904</v>
      </c>
      <c r="AH242" s="32" t="n">
        <f aca="false">IF(AND(ISNUMBER(AH240),ISNUMBER(AH111)),IFERROR(AH240/AH111,""),"")</f>
        <v>0.176986308246426</v>
      </c>
      <c r="AI242" s="32" t="n">
        <f aca="false">IF(AND(ISNUMBER(AI240),ISNUMBER(AI111)),IFERROR(AI240/AI111,""),"")</f>
        <v>0.0957961411386744</v>
      </c>
      <c r="AJ242" s="32" t="n">
        <f aca="false">IF(AND(ISNUMBER(AJ240),ISNUMBER(AJ111)),IFERROR(AJ240/AJ111,""),"")</f>
        <v>0.00268925285958825</v>
      </c>
      <c r="AK242" s="32" t="n">
        <f aca="false">IF(AND(ISNUMBER(AK240),ISNUMBER(AK111)),IFERROR(AK240/AK111,""),"")</f>
        <v>0.110817664681938</v>
      </c>
      <c r="AL242" s="32" t="n">
        <f aca="false">IF(AND(ISNUMBER(AL240),ISNUMBER(AL111)),IFERROR(AL240/AL111,""),"")</f>
        <v>0.0619848908566632</v>
      </c>
      <c r="AM242" s="32" t="n">
        <f aca="false">IF(AND(ISNUMBER(AM240),ISNUMBER(AM111)),IFERROR(AM240/AM111,""),"")</f>
        <v>-0.00278154656194964</v>
      </c>
      <c r="AN242" s="32" t="n">
        <f aca="false">IF(AND(ISNUMBER(AN240),ISNUMBER(AN111)),IFERROR(AN240/AN111,""),"")</f>
        <v>0.0648168362223289</v>
      </c>
      <c r="AO242" s="32" t="n">
        <f aca="false">IF(AND(ISNUMBER(AO240),ISNUMBER(AO111)),IFERROR(AO240/AO111,""),"")</f>
        <v>0.0325463832476172</v>
      </c>
      <c r="AP242" s="32" t="n">
        <f aca="false">IF(AND(ISNUMBER(AP240),ISNUMBER(AP111)),IFERROR(AP240/AP111,""),"")</f>
        <v>0.0196161517863185</v>
      </c>
      <c r="AQ242" s="32" t="n">
        <f aca="false">IF(AND(ISNUMBER(AQ240),ISNUMBER(AQ111)),IFERROR(AQ240/AQ111,""),"")</f>
        <v>-0.0388932294437571</v>
      </c>
      <c r="AR242" s="32" t="n">
        <f aca="false">IF(AND(ISNUMBER(AR240),ISNUMBER(AR111)),IFERROR(AR240/AR111,""),"")</f>
        <v>-0.0104900902592019</v>
      </c>
      <c r="AS242" s="32" t="n">
        <f aca="false">IF(AND(ISNUMBER(AS240),ISNUMBER(AS111)),IFERROR(AS240/AS111,""),"")</f>
        <v>-0.0177713462986106</v>
      </c>
      <c r="AT242" s="32" t="n">
        <f aca="false">IF(AND(ISNUMBER(AT240),ISNUMBER(AT111)),IFERROR(AT240/AT111,""),"")</f>
        <v>-0.00113841086685018</v>
      </c>
      <c r="AU242" s="32" t="n">
        <f aca="false">IF(AND(ISNUMBER(AU240),ISNUMBER(AU111)),IFERROR(AU240/AU111,""),"")</f>
        <v>-0.00922049133812188</v>
      </c>
      <c r="AV242" s="32" t="n">
        <f aca="false">IF(AND(ISNUMBER(AV240),ISNUMBER(AV111)),IFERROR(AV240/AV111,""),"")</f>
        <v>0.0475893735213388</v>
      </c>
      <c r="AW242" s="33" t="n">
        <f aca="false">IF(AND(ISNUMBER(AW240),ISNUMBER(AW111)),IFERROR(AW240/AW111,""),"")</f>
        <v>0.109137481431542</v>
      </c>
      <c r="AX242" s="33" t="n">
        <f aca="false">IF(AND(ISNUMBER(AX240),ISNUMBER(AX111)),IFERROR(AX240/AX111,""),"")</f>
        <v>0.0789919509521615</v>
      </c>
      <c r="AY242" s="33" t="n">
        <f aca="false">IF(AND(ISNUMBER(AY240),ISNUMBER(AY111)),IFERROR(AY240/AY111,""),"")</f>
        <v>0.0597918279657703</v>
      </c>
      <c r="AZ242" s="33" t="n">
        <f aca="false">IF(AND(ISNUMBER(AZ240),ISNUMBER(AZ111)),IFERROR(AZ240/AZ111,""),"")</f>
        <v>0.067776373446351</v>
      </c>
      <c r="BA242" s="33" t="n">
        <f aca="false">IF(AND(ISNUMBER(BA240),ISNUMBER(BA111)),IFERROR(BA240/BA111,""),"")</f>
        <v>0.0727483194728449</v>
      </c>
      <c r="BB242" s="33" t="n">
        <f aca="false">IF(AND(ISNUMBER(BB240),ISNUMBER(BB111)),IFERROR(BB240/BB111,""),"")</f>
        <v>0.0773436808462461</v>
      </c>
    </row>
    <row r="243" customFormat="false" ht="15" hidden="false" customHeight="true" outlineLevel="0" collapsed="false">
      <c r="B243" s="31" t="s">
        <v>353</v>
      </c>
      <c r="C243" s="32" t="n">
        <f aca="false">IF(AND(ISNUMBER(C240),ISNUMBER(C184)),IFERROR(C240/C184,""),"")</f>
        <v>-0.678950437317786</v>
      </c>
      <c r="D243" s="32" t="n">
        <f aca="false">IF(AND(ISNUMBER(D240),ISNUMBER(D184)),IFERROR(D240/D184,""),"")</f>
        <v>0.731548789874283</v>
      </c>
      <c r="E243" s="32" t="n">
        <f aca="false">IF(AND(ISNUMBER(E240),ISNUMBER(E184)),IFERROR(E240/E184,""),"")</f>
        <v>0.134793763568186</v>
      </c>
      <c r="F243" s="32" t="n">
        <f aca="false">IF(AND(ISNUMBER(F240),ISNUMBER(F184)),IFERROR(F240/F184,""),"")</f>
        <v>-1.80449929318395</v>
      </c>
      <c r="G243" s="32" t="n">
        <f aca="false">IF(AND(ISNUMBER(G240),ISNUMBER(G184)),IFERROR(G240/G184,""),"")</f>
        <v>0.867113803885265</v>
      </c>
      <c r="H243" s="32" t="n">
        <f aca="false">IF(AND(ISNUMBER(H240),ISNUMBER(H184)),IFERROR(H240/H184,""),"")</f>
        <v>-0.330238570177526</v>
      </c>
      <c r="I243" s="32" t="n">
        <f aca="false">IF(AND(ISNUMBER(I240),ISNUMBER(I184)),IFERROR(I240/I184,""),"")</f>
        <v>-1.66811418808286</v>
      </c>
      <c r="J243" s="32" t="n">
        <f aca="false">IF(AND(ISNUMBER(J240),ISNUMBER(J184)),IFERROR(J240/J184,""),"")</f>
        <v>0.943392781057885</v>
      </c>
      <c r="K243" s="32" t="n">
        <f aca="false">IF(AND(ISNUMBER(K240),ISNUMBER(K184)),IFERROR(K240/K184,""),"")</f>
        <v>-0.260303189394934</v>
      </c>
      <c r="L243" s="32" t="n">
        <f aca="false">IF(AND(ISNUMBER(L240),ISNUMBER(L184)),IFERROR(L240/L184,""),"")</f>
        <v>-1.52581538091226</v>
      </c>
      <c r="M243" s="32" t="n">
        <f aca="false">IF(AND(ISNUMBER(M240),ISNUMBER(M184)),IFERROR(M240/M184,""),"")</f>
        <v>0.314742732027735</v>
      </c>
      <c r="N243" s="32" t="n">
        <f aca="false">IF(AND(ISNUMBER(N240),ISNUMBER(N184)),IFERROR(N240/N184,""),"")</f>
        <v>-0.61043557168784</v>
      </c>
      <c r="O243" s="32" t="n">
        <f aca="false">IF(AND(ISNUMBER(O240),ISNUMBER(O184)),IFERROR(O240/O184,""),"")</f>
        <v>-1.52530230958794</v>
      </c>
      <c r="P243" s="32" t="n">
        <f aca="false">IF(AND(ISNUMBER(P240),ISNUMBER(P184)),IFERROR(P240/P184,""),"")</f>
        <v>1.40694820315942</v>
      </c>
      <c r="Q243" s="32" t="n">
        <f aca="false">IF(AND(ISNUMBER(Q240),ISNUMBER(Q184)),IFERROR(Q240/Q184,""),"")</f>
        <v>-0.127782110504529</v>
      </c>
      <c r="R243" s="32" t="n">
        <f aca="false">IF(AND(ISNUMBER(R240),ISNUMBER(R184)),IFERROR(R240/R184,""),"")</f>
        <v>-0.752081610146126</v>
      </c>
      <c r="S243" s="32" t="n">
        <f aca="false">IF(AND(ISNUMBER(S240),ISNUMBER(S184)),IFERROR(S240/S184,""),"")</f>
        <v>1.40804456055602</v>
      </c>
      <c r="T243" s="32" t="n">
        <f aca="false">IF(AND(ISNUMBER(T240),ISNUMBER(T184)),IFERROR(T240/T184,""),"")</f>
        <v>0.388475352662537</v>
      </c>
      <c r="U243" s="32" t="n">
        <f aca="false">IF(AND(ISNUMBER(U240),ISNUMBER(U184)),IFERROR(U240/U184,""),"")</f>
        <v>0.664402451481103</v>
      </c>
      <c r="V243" s="32" t="n">
        <f aca="false">IF(AND(ISNUMBER(V240),ISNUMBER(V184)),IFERROR(V240/V184,""),"")</f>
        <v>2.14141748675246</v>
      </c>
      <c r="W243" s="32" t="n">
        <f aca="false">IF(AND(ISNUMBER(W240),ISNUMBER(W184)),IFERROR(W240/W184,""),"")</f>
        <v>1.43113272423617</v>
      </c>
      <c r="X243" s="32" t="n">
        <f aca="false">IF(AND(ISNUMBER(X240),ISNUMBER(X184)),IFERROR(X240/X184,""),"")</f>
        <v>-0.146755836171804</v>
      </c>
      <c r="Y243" s="32" t="n">
        <f aca="false">IF(AND(ISNUMBER(Y240),ISNUMBER(Y184)),IFERROR(Y240/Y184,""),"")</f>
        <v>1.38221810604307</v>
      </c>
      <c r="Z243" s="32" t="n">
        <f aca="false">IF(AND(ISNUMBER(Z240),ISNUMBER(Z184)),IFERROR(Z240/Z184,""),"")</f>
        <v>0.576233331143664</v>
      </c>
      <c r="AA243" s="32" t="n">
        <f aca="false">IF(AND(ISNUMBER(AA240),ISNUMBER(AA184)),IFERROR(AA240/AA184,""),"")</f>
        <v>-0.519163304683388</v>
      </c>
      <c r="AB243" s="32" t="n">
        <f aca="false">IF(AND(ISNUMBER(AB240),ISNUMBER(AB184)),IFERROR(AB240/AB184,""),"")</f>
        <v>0.900290456431537</v>
      </c>
      <c r="AC243" s="32" t="n">
        <f aca="false">IF(AND(ISNUMBER(AC240),ISNUMBER(AC184)),IFERROR(AC240/AC184,""),"")</f>
        <v>0.210173972369094</v>
      </c>
      <c r="AD243" s="32" t="n">
        <f aca="false">IF(AND(ISNUMBER(AD240),ISNUMBER(AD184)),IFERROR(AD240/AD184,""),"")</f>
        <v>6.17106164383562</v>
      </c>
      <c r="AE243" s="32" t="n">
        <f aca="false">IF(AND(ISNUMBER(AE240),ISNUMBER(AE184)),IFERROR(AE240/AE184,""),"")</f>
        <v>2.82758405589171</v>
      </c>
      <c r="AF243" s="32" t="n">
        <f aca="false">IF(AND(ISNUMBER(AF240),ISNUMBER(AF184)),IFERROR(AF240/AF184,""),"")</f>
        <v>42.1678979180668</v>
      </c>
      <c r="AG243" s="32" t="n">
        <f aca="false">IF(AND(ISNUMBER(AG240),ISNUMBER(AG184)),IFERROR(AG240/AG184,""),"")</f>
        <v>-0.205436440297838</v>
      </c>
      <c r="AH243" s="32" t="n">
        <f aca="false">IF(AND(ISNUMBER(AH240),ISNUMBER(AH184)),IFERROR(AH240/AH184,""),"")</f>
        <v>2.11423602782442</v>
      </c>
      <c r="AI243" s="32" t="n">
        <f aca="false">IF(AND(ISNUMBER(AI240),ISNUMBER(AI184)),IFERROR(AI240/AI184,""),"")</f>
        <v>1.53315804849547</v>
      </c>
      <c r="AJ243" s="32" t="n">
        <f aca="false">IF(AND(ISNUMBER(AJ240),ISNUMBER(AJ184)),IFERROR(AJ240/AJ184,""),"")</f>
        <v>0.0239771605203279</v>
      </c>
      <c r="AK243" s="32" t="n">
        <f aca="false">IF(AND(ISNUMBER(AK240),ISNUMBER(AK184)),IFERROR(AK240/AK184,""),"")</f>
        <v>1.64322464939876</v>
      </c>
      <c r="AL243" s="32" t="n">
        <f aca="false">IF(AND(ISNUMBER(AL240),ISNUMBER(AL184)),IFERROR(AL240/AL184,""),"")</f>
        <v>0.707304060844428</v>
      </c>
      <c r="AM243" s="32" t="n">
        <f aca="false">IF(AND(ISNUMBER(AM240),ISNUMBER(AM184)),IFERROR(AM240/AM184,""),"")</f>
        <v>-0.0244893334628211</v>
      </c>
      <c r="AN243" s="32" t="n">
        <f aca="false">IF(AND(ISNUMBER(AN240),ISNUMBER(AN184)),IFERROR(AN240/AN184,""),"")</f>
        <v>0.730519541970284</v>
      </c>
      <c r="AO243" s="32" t="n">
        <f aca="false">IF(AND(ISNUMBER(AO240),ISNUMBER(AO184)),IFERROR(AO240/AO184,""),"")</f>
        <v>0.323547117792299</v>
      </c>
      <c r="AP243" s="32" t="n">
        <f aca="false">IF(AND(ISNUMBER(AP240),ISNUMBER(AP184)),IFERROR(AP240/AP184,""),"")</f>
        <v>0.199789953888315</v>
      </c>
      <c r="AQ243" s="32" t="n">
        <f aca="false">IF(AND(ISNUMBER(AQ240),ISNUMBER(AQ184)),IFERROR(AQ240/AQ184,""),"")</f>
        <v>-0.437093219904679</v>
      </c>
      <c r="AR243" s="32" t="n">
        <f aca="false">IF(AND(ISNUMBER(AR240),ISNUMBER(AR184)),IFERROR(AR240/AR184,""),"")</f>
        <v>-0.112254975811446</v>
      </c>
      <c r="AS243" s="32" t="n">
        <f aca="false">IF(AND(ISNUMBER(AS240),ISNUMBER(AS184)),IFERROR(AS240/AS184,""),"")</f>
        <v>-0.165950070294692</v>
      </c>
      <c r="AT243" s="32" t="n">
        <f aca="false">IF(AND(ISNUMBER(AT240),ISNUMBER(AT184)),IFERROR(AT240/AT184,""),"")</f>
        <v>-0.0122009522471086</v>
      </c>
      <c r="AU243" s="32" t="n">
        <f aca="false">IF(AND(ISNUMBER(AU240),ISNUMBER(AU184)),IFERROR(AU240/AU184,""),"")</f>
        <v>-0.0922025478328405</v>
      </c>
      <c r="AV243" s="32" t="n">
        <f aca="false">IF(AND(ISNUMBER(AV240),ISNUMBER(AV184)),IFERROR(AV240/AV184,""),"")</f>
        <v>0.468511074328053</v>
      </c>
      <c r="AW243" s="33" t="n">
        <f aca="false">IF(AND(ISNUMBER(AW240),ISNUMBER(AW184)),IFERROR(AW240/AW184,""),"")</f>
        <v>1.07446307562148</v>
      </c>
      <c r="AX243" s="33" t="n">
        <f aca="false">IF(AND(ISNUMBER(AX240),ISNUMBER(AX184)),IFERROR(AX240/AX184,""),"")</f>
        <v>0.777672316746059</v>
      </c>
      <c r="AY243" s="33" t="n">
        <f aca="false">IF(AND(ISNUMBER(AY240),ISNUMBER(AY184)),IFERROR(AY240/AY184,""),"")</f>
        <v>0.594800779609402</v>
      </c>
      <c r="AZ243" s="33" t="n">
        <f aca="false">IF(AND(ISNUMBER(AZ240),ISNUMBER(AZ184)),IFERROR(AZ240/AZ184,""),"")</f>
        <v>0.643607628278254</v>
      </c>
      <c r="BA243" s="33" t="n">
        <f aca="false">IF(AND(ISNUMBER(BA240),ISNUMBER(BA184)),IFERROR(BA240/BA184,""),"")</f>
        <v>0.661174875583169</v>
      </c>
      <c r="BB243" s="33" t="n">
        <f aca="false">IF(AND(ISNUMBER(BB240),ISNUMBER(BB184)),IFERROR(BB240/BB184,""),"")</f>
        <v>0.683359732685876</v>
      </c>
    </row>
    <row r="244" customFormat="false" ht="15" hidden="false" customHeight="true" outlineLevel="0" collapsed="false">
      <c r="B244" s="20" t="s">
        <v>354</v>
      </c>
      <c r="C244" s="60" t="str">
        <f aca="false">IFERROR(C240/C138,"")</f>
        <v/>
      </c>
      <c r="D244" s="60" t="str">
        <f aca="false">IFERROR(D240/D138,"")</f>
        <v/>
      </c>
      <c r="E244" s="60" t="n">
        <f aca="false">IFERROR(E240/E138,"")</f>
        <v>0.0455333333333332</v>
      </c>
      <c r="F244" s="60" t="str">
        <f aca="false">IFERROR(F240/F138,"")</f>
        <v/>
      </c>
      <c r="G244" s="60" t="str">
        <f aca="false">IFERROR(G240/G138,"")</f>
        <v/>
      </c>
      <c r="H244" s="60" t="n">
        <f aca="false">IFERROR(H240/H138,"")</f>
        <v>-0.134223539669895</v>
      </c>
      <c r="I244" s="60" t="n">
        <f aca="false">IFERROR(I240/I138,"")</f>
        <v>-0.344588235294118</v>
      </c>
      <c r="J244" s="60" t="n">
        <f aca="false">IFERROR(J240/J138,"")</f>
        <v>0.227926470588235</v>
      </c>
      <c r="K244" s="60" t="n">
        <f aca="false">IFERROR(K240/K138,"")</f>
        <v>-0.116661764705882</v>
      </c>
      <c r="L244" s="60" t="n">
        <f aca="false">IFERROR(L240/L138,"")</f>
        <v>-0.372882352941176</v>
      </c>
      <c r="M244" s="60" t="n">
        <f aca="false">IFERROR(M240/M138,"")</f>
        <v>0.0761029411764707</v>
      </c>
      <c r="N244" s="60" t="n">
        <f aca="false">IFERROR(N240/N138,"")</f>
        <v>-0.296779411764706</v>
      </c>
      <c r="O244" s="60" t="n">
        <f aca="false">IFERROR(O240/O138,"")</f>
        <v>-0.391397058823529</v>
      </c>
      <c r="P244" s="60" t="n">
        <f aca="false">IFERROR(P240/P138,"")</f>
        <v>0.32875</v>
      </c>
      <c r="Q244" s="60" t="n">
        <f aca="false">IFERROR(Q240/Q138,"")</f>
        <v>-0.0626470588235294</v>
      </c>
      <c r="R244" s="60" t="n">
        <f aca="false">IFERROR(R240/R138,"")</f>
        <v>-0.200573529411765</v>
      </c>
      <c r="S244" s="60" t="n">
        <f aca="false">IFERROR(S240/S138,"")</f>
        <v>0.420073529411765</v>
      </c>
      <c r="T244" s="60" t="n">
        <f aca="false">IFERROR(T240/T138,"")</f>
        <v>0.2195</v>
      </c>
      <c r="U244" s="60" t="n">
        <f aca="false">IFERROR(U240/U138,"")</f>
        <v>0.191308823529412</v>
      </c>
      <c r="V244" s="60" t="n">
        <f aca="false">IFERROR(V240/V138,"")</f>
        <v>0.665602941176471</v>
      </c>
      <c r="W244" s="60" t="n">
        <f aca="false">IFERROR(W240/W138,"")</f>
        <v>0.856911764705883</v>
      </c>
      <c r="X244" s="60" t="n">
        <f aca="false">IFERROR(X240/X138,"")</f>
        <v>-0.0519558823529411</v>
      </c>
      <c r="Y244" s="60" t="n">
        <f aca="false">IFERROR(Y240/Y138,"")</f>
        <v>0.438955882352941</v>
      </c>
      <c r="Z244" s="60" t="n">
        <f aca="false">IFERROR(Z240/Z138,"")</f>
        <v>0.387</v>
      </c>
      <c r="AA244" s="60" t="n">
        <f aca="false">IFERROR(AA240/AA138,"")</f>
        <v>-0.174102941176471</v>
      </c>
      <c r="AB244" s="60" t="n">
        <f aca="false">IFERROR(AB240/AB138,"")</f>
        <v>0.319073529411765</v>
      </c>
      <c r="AC244" s="60" t="n">
        <f aca="false">IFERROR(AC240/AC138,"")</f>
        <v>0.144970588235294</v>
      </c>
      <c r="AD244" s="60" t="n">
        <f aca="false">IFERROR(AD240/AD138,"")</f>
        <v>-1.58995588235294</v>
      </c>
      <c r="AE244" s="60" t="n">
        <f aca="false">IFERROR(AE240/AE138,"")</f>
        <v>0.66660294117647</v>
      </c>
      <c r="AF244" s="60" t="n">
        <f aca="false">IFERROR(AF240/AF138,"")</f>
        <v>-0.923352941176471</v>
      </c>
      <c r="AG244" s="60" t="n">
        <f aca="false">IFERROR(AG240/AG138,"")</f>
        <v>-0.0336764705882353</v>
      </c>
      <c r="AH244" s="60" t="n">
        <f aca="false">IFERROR(AH240/AH138,"")</f>
        <v>1.03697058823529</v>
      </c>
      <c r="AI244" s="60" t="n">
        <f aca="false">IFERROR(AI240/AI138,"")</f>
        <v>1.00329411764706</v>
      </c>
      <c r="AJ244" s="60" t="n">
        <f aca="false">IFERROR(AJ240/AJ138,"")</f>
        <v>0.0164264705882353</v>
      </c>
      <c r="AK244" s="60" t="n">
        <f aca="false">IFERROR(AK240/AK138,"")</f>
        <v>0.821926470588235</v>
      </c>
      <c r="AL244" s="60" t="n">
        <f aca="false">IFERROR(AL240/AL138,"")</f>
        <v>0.838352941176471</v>
      </c>
      <c r="AM244" s="60" t="n">
        <f aca="false">IFERROR(AM240/AM138,"")</f>
        <v>-0.0222558683488163</v>
      </c>
      <c r="AN244" s="60" t="n">
        <f aca="false">IFERROR(AN240/AN138,"")</f>
        <v>0.567601705808052</v>
      </c>
      <c r="AO244" s="60" t="n">
        <f aca="false">IFERROR(AO240/AO138,"")</f>
        <v>0.545424255397863</v>
      </c>
      <c r="AP244" s="60" t="n">
        <f aca="false">IFERROR(AP240/AP138,"")</f>
        <v>0.179060770298697</v>
      </c>
      <c r="AQ244" s="60" t="n">
        <f aca="false">IFERROR(AQ240/AQ138,"")</f>
        <v>-0.376287236325767</v>
      </c>
      <c r="AR244" s="60" t="n">
        <f aca="false">IFERROR(AR240/AR138,"")</f>
        <v>-0.19724651686432</v>
      </c>
      <c r="AS244" s="60" t="n">
        <f aca="false">IFERROR(AS240/AS138,"")</f>
        <v>-0.17892173357353</v>
      </c>
      <c r="AT244" s="60" t="n">
        <f aca="false">IFERROR(AT240/AT138,"")</f>
        <v>-0.012117575957165</v>
      </c>
      <c r="AU244" s="60" t="n">
        <f aca="false">IFERROR(AU240/AU138,"")</f>
        <v>-0.190979312403569</v>
      </c>
      <c r="AV244" s="60" t="n">
        <f aca="false">IFERROR(AV240/AV138,"")</f>
        <v>0.524470588235294</v>
      </c>
      <c r="AW244" s="57" t="n">
        <f aca="false">IFERROR(AW240/AW138,"")</f>
        <v>1.25293183056001</v>
      </c>
      <c r="AX244" s="57" t="n">
        <f aca="false">IFERROR(AX240/AX138,"")</f>
        <v>1.7774024187953</v>
      </c>
      <c r="AY244" s="57" t="n">
        <f aca="false">IFERROR(AY240/AY138,"")</f>
        <v>1.48328746104756</v>
      </c>
      <c r="AZ244" s="57" t="n">
        <f aca="false">IFERROR(AZ240/AZ138,"")</f>
        <v>1.82053486182518</v>
      </c>
      <c r="BA244" s="57" t="n">
        <f aca="false">IFERROR(BA240/BA138,"")</f>
        <v>2.10494495467514</v>
      </c>
      <c r="BB244" s="57" t="n">
        <f aca="false">IFERROR(BB240/BB138,"")</f>
        <v>2.3982662516797</v>
      </c>
    </row>
    <row r="245" customFormat="false" ht="15" hidden="false" customHeight="true" outlineLevel="0" collapsed="false">
      <c r="B245" s="20" t="s">
        <v>355</v>
      </c>
    </row>
    <row r="246" customFormat="false" ht="15" hidden="false" customHeight="true" outlineLevel="0" collapsed="false">
      <c r="B246" s="31" t="s">
        <v>356</v>
      </c>
      <c r="C246" s="32" t="n">
        <f aca="false">IFERROR(-(C221+C222)/C111,"")</f>
        <v>0.0749632911718488</v>
      </c>
      <c r="D246" s="32" t="n">
        <f aca="false">IFERROR(-(D221+D222)/D111,"")</f>
        <v>0.070376769325873</v>
      </c>
      <c r="E246" s="32" t="n">
        <f aca="false">IFERROR(-(E221+E222)/E111,"")</f>
        <v>0.0725781523687844</v>
      </c>
      <c r="F246" s="32" t="n">
        <f aca="false">IFERROR(-(F221+F222)/F111,"")</f>
        <v>0.0588300555461047</v>
      </c>
      <c r="G246" s="32" t="n">
        <f aca="false">IFERROR(-(G221+G222)/G111,"")</f>
        <v>0.123745819397993</v>
      </c>
      <c r="H246" s="32" t="n">
        <f aca="false">IFERROR(-(H221+H222)/H111,"")</f>
        <v>0.0923238854221487</v>
      </c>
      <c r="I246" s="32" t="n">
        <f aca="false">IFERROR(-(I221+I222)/I111,"")</f>
        <v>0.114479546118014</v>
      </c>
      <c r="J246" s="32" t="n">
        <f aca="false">IFERROR(-(J221+J222)/J111,"")</f>
        <v>0.0815494887996798</v>
      </c>
      <c r="K246" s="32" t="n">
        <f aca="false">IFERROR(-(K221+K222)/K111,"")</f>
        <v>0.0976401637310841</v>
      </c>
      <c r="L246" s="32" t="n">
        <f aca="false">IFERROR(-(L221+L222)/L111,"")</f>
        <v>0.100772989175876</v>
      </c>
      <c r="M246" s="32" t="n">
        <f aca="false">IFERROR(-(M221+M222)/M111,"")</f>
        <v>0.0901453653011139</v>
      </c>
      <c r="N246" s="32" t="n">
        <f aca="false">IFERROR(-(N221+N222)/N111,"")</f>
        <v>0.0953951712375916</v>
      </c>
      <c r="O246" s="32" t="n">
        <f aca="false">IFERROR(-(O221+O222)/O111,"")</f>
        <v>0.0976978216161173</v>
      </c>
      <c r="P246" s="32" t="n">
        <f aca="false">IFERROR(-(P221+P222)/P111,"")</f>
        <v>0.0961794789050552</v>
      </c>
      <c r="Q246" s="32" t="n">
        <f aca="false">IFERROR(-(Q221+Q222)/Q111,"")</f>
        <v>0.0969139275288482</v>
      </c>
      <c r="R246" s="32" t="n">
        <f aca="false">IFERROR(-(R221+R222)/R111,"")</f>
        <v>0.0817776564774382</v>
      </c>
      <c r="S246" s="32" t="n">
        <f aca="false">IFERROR(-(S221+S222)/S111,"")</f>
        <v>0.0492734964913544</v>
      </c>
      <c r="T246" s="32" t="n">
        <f aca="false">IFERROR(-(T221+T222)/T111,"")</f>
        <v>0.0649449197427029</v>
      </c>
      <c r="U246" s="32" t="n">
        <f aca="false">IFERROR(-(U221+U222)/U111,"")</f>
        <v>0.055521993038175</v>
      </c>
      <c r="V246" s="32" t="n">
        <f aca="false">IFERROR(-(V221+V222)/V111,"")</f>
        <v>0.0536458093174098</v>
      </c>
      <c r="W246" s="32" t="n">
        <f aca="false">IFERROR(-(W221+W222)/W111,"")</f>
        <v>0.0545523868530952</v>
      </c>
      <c r="X246" s="32" t="n">
        <f aca="false">IFERROR(-(X221+X222)/X111,"")</f>
        <v>0.0909434998478585</v>
      </c>
      <c r="Y246" s="32" t="n">
        <f aca="false">IFERROR(-(Y221+Y222)/Y111,"")</f>
        <v>0.0679976014955381</v>
      </c>
      <c r="Z246" s="32" t="n">
        <f aca="false">IFERROR(-(Z221+Z222)/Z111,"")</f>
        <v>0.0791795962357775</v>
      </c>
      <c r="AA246" s="32" t="n">
        <f aca="false">IFERROR(-(AA221+AA222)/AA111,"")</f>
        <v>0.0638681184435835</v>
      </c>
      <c r="AB246" s="32" t="n">
        <f aca="false">IFERROR(-(AB221+AB222)/AB111,"")</f>
        <v>0.105434521476349</v>
      </c>
      <c r="AC246" s="32" t="n">
        <f aca="false">IFERROR(-(AC221+AC222)/AC111,"")</f>
        <v>0.0855040056864458</v>
      </c>
      <c r="AD246" s="32" t="n">
        <f aca="false">IFERROR(-(AD221+AD222)/AD111,"")</f>
        <v>0.0998279249109158</v>
      </c>
      <c r="AE246" s="32" t="n">
        <f aca="false">IFERROR(-(AE221+AE222)/AE111,"")</f>
        <v>0.083043645055626</v>
      </c>
      <c r="AF246" s="32" t="n">
        <f aca="false">IFERROR(-(AF221+AF222)/AF111,"")</f>
        <v>0.0893728642514057</v>
      </c>
      <c r="AG246" s="32" t="n">
        <f aca="false">IFERROR(-(AG221+AG222)/AG111,"")</f>
        <v>0.0875881235578333</v>
      </c>
      <c r="AH246" s="32" t="n">
        <f aca="false">IFERROR(-(AH221+AH222)/AH111,"")</f>
        <v>0.0714857623332455</v>
      </c>
      <c r="AI246" s="32" t="n">
        <f aca="false">IFERROR(-(AI221+AI222)/AI111,"")</f>
        <v>0.0785799637450697</v>
      </c>
      <c r="AJ246" s="32" t="n">
        <f aca="false">IFERROR(-(AJ221+AJ222)/AJ111,"")</f>
        <v>0.0710328705186141</v>
      </c>
      <c r="AK246" s="32" t="n">
        <f aca="false">IFERROR(-(AK221+AK222)/AK111,"")</f>
        <v>0.0673082833185619</v>
      </c>
      <c r="AL246" s="32" t="n">
        <f aca="false">IFERROR(-(AL221+AL222)/AL111,"")</f>
        <v>0.0689903752060437</v>
      </c>
      <c r="AM246" s="32" t="n">
        <f aca="false">IFERROR(-(AM221+AM222)/AM111,"")</f>
        <v>0.0625857168595181</v>
      </c>
      <c r="AN246" s="32" t="n">
        <f aca="false">IFERROR(-(AN221+AN222)/AN111,"")</f>
        <v>0.0713443653669825</v>
      </c>
      <c r="AO246" s="32" t="n">
        <f aca="false">IFERROR(-(AO221+AO222)/AO111,"")</f>
        <v>0.0671631180776184</v>
      </c>
      <c r="AP246" s="32" t="n">
        <f aca="false">IFERROR(-(AP221+AP222)/AP111,"")</f>
        <v>0.0651804041491182</v>
      </c>
      <c r="AQ246" s="32" t="n">
        <f aca="false">IFERROR(-(AQ221+AQ222)/AQ111,"")</f>
        <v>0.0902234152836848</v>
      </c>
      <c r="AR246" s="32" t="n">
        <f aca="false">IFERROR(-(AR221+AR222)/AR111,"")</f>
        <v>0.0780663882240681</v>
      </c>
      <c r="AS246" s="32" t="n">
        <f aca="false">IFERROR(-(AS221+AS222)/AS111,"")</f>
        <v>0.0884971533396187</v>
      </c>
      <c r="AT246" s="32" t="n">
        <f aca="false">IFERROR(-(AT221+AT222)/AT111,"")</f>
        <v>0.113190368823016</v>
      </c>
      <c r="AU246" s="32" t="n">
        <f aca="false">IFERROR(-(AU221+AU222)/AU111,"")</f>
        <v>0.10119173181453</v>
      </c>
      <c r="AV246" s="32" t="n">
        <f aca="false">IFERROR(-(AV221+AV222)/AV111,"")</f>
        <v>0.0734630262966517</v>
      </c>
      <c r="AW246" s="33" t="n">
        <f aca="false">IFERROR(-(AW221+AW222)/AW111,"")</f>
        <v>0.0511694642321653</v>
      </c>
      <c r="AX246" s="33" t="n">
        <f aca="false">IFERROR(-(AX221+AX222)/AX111,"")</f>
        <v>0.0620885855102626</v>
      </c>
      <c r="AY246" s="33" t="n">
        <f aca="false">IFERROR(-(AY221+AY222)/AY111,"")</f>
        <v>0.065</v>
      </c>
      <c r="AZ246" s="33" t="n">
        <f aca="false">IFERROR(-(AZ221+AZ222)/AZ111,"")</f>
        <v>0.065</v>
      </c>
      <c r="BA246" s="33" t="n">
        <f aca="false">IFERROR(-(BA221+BA222)/BA111,"")</f>
        <v>0.065</v>
      </c>
      <c r="BB246" s="33" t="n">
        <f aca="false">IFERROR(-(BB221+BB222)/BB111,"")</f>
        <v>0.065</v>
      </c>
    </row>
    <row r="247" customFormat="false" ht="15" hidden="false" customHeight="true" outlineLevel="0" collapsed="false">
      <c r="B247" s="20" t="s">
        <v>357</v>
      </c>
      <c r="C247" s="61" t="n">
        <f aca="false">IFERROR((C221+C222)/C106,"")</f>
        <v>3.65424863959816</v>
      </c>
      <c r="D247" s="61" t="n">
        <f aca="false">IFERROR((D221+D222)/D106,"")</f>
        <v>3.10055865921788</v>
      </c>
      <c r="E247" s="61" t="n">
        <f aca="false">IFERROR((E221+E222)/E106,"")</f>
        <v>3.35237007424329</v>
      </c>
      <c r="F247" s="61" t="n">
        <f aca="false">IFERROR((F221+F222)/F106,"")</f>
        <v>2.68444144448194</v>
      </c>
      <c r="G247" s="61" t="n">
        <f aca="false">IFERROR((G221+G222)/G106,"")</f>
        <v>4.28495915425276</v>
      </c>
      <c r="H247" s="61" t="n">
        <f aca="false">IFERROR((H221+H222)/H106,"")</f>
        <v>3.61936842105263</v>
      </c>
      <c r="I247" s="61" t="n">
        <f aca="false">IFERROR((I221+I222)/I106,"")</f>
        <v>3.38760563380282</v>
      </c>
      <c r="J247" s="61" t="n">
        <f aca="false">IFERROR((J221+J222)/J106,"")</f>
        <v>2.27932203389831</v>
      </c>
      <c r="K247" s="61" t="n">
        <f aca="false">IFERROR((K221+K222)/K106,"")</f>
        <v>2.80507795100223</v>
      </c>
      <c r="L247" s="61" t="n">
        <f aca="false">IFERROR((L221+L222)/L106,"")</f>
        <v>2.80243593799431</v>
      </c>
      <c r="M247" s="61" t="n">
        <f aca="false">IFERROR((M221+M222)/M106,"")</f>
        <v>2.19688768606225</v>
      </c>
      <c r="N247" s="61" t="n">
        <f aca="false">IFERROR((N221+N222)/N106,"")</f>
        <v>2.47607934655776</v>
      </c>
      <c r="O247" s="61" t="n">
        <f aca="false">IFERROR((O221+O222)/O106,"")</f>
        <v>2.29395218002813</v>
      </c>
      <c r="P247" s="61" t="n">
        <f aca="false">IFERROR((P221+P222)/P106,"")</f>
        <v>2.13840074867422</v>
      </c>
      <c r="Q247" s="61" t="n">
        <f aca="false">IFERROR((Q221+Q222)/Q106,"")</f>
        <v>2.21152680588462</v>
      </c>
      <c r="R247" s="61" t="n">
        <f aca="false">IFERROR((R221+R222)/R106,"")</f>
        <v>1.88093743460975</v>
      </c>
      <c r="S247" s="61" t="n">
        <f aca="false">IFERROR((S221+S222)/S106,"")</f>
        <v>1.10925731718944</v>
      </c>
      <c r="T247" s="61" t="n">
        <f aca="false">IFERROR((T221+T222)/T106,"")</f>
        <v>1.47717863021899</v>
      </c>
      <c r="U247" s="61" t="n">
        <f aca="false">IFERROR((U221+U222)/U106,"")</f>
        <v>1.2785085643986</v>
      </c>
      <c r="V247" s="61" t="n">
        <f aca="false">IFERROR((V221+V222)/V106,"")</f>
        <v>1.14547095503774</v>
      </c>
      <c r="W247" s="61" t="n">
        <f aca="false">IFERROR((W221+W222)/W106,"")</f>
        <v>1.20725115359262</v>
      </c>
      <c r="X247" s="61" t="n">
        <f aca="false">IFERROR((X221+X222)/X106,"")</f>
        <v>2.07818197235648</v>
      </c>
      <c r="Y247" s="61" t="n">
        <f aca="false">IFERROR((Y221+Y222)/Y106,"")</f>
        <v>1.39574283231972</v>
      </c>
      <c r="Z247" s="61" t="n">
        <f aca="false">IFERROR((Z221+Z222)/Z106,"")</f>
        <v>1.71005662956454</v>
      </c>
      <c r="AA247" s="61" t="n">
        <f aca="false">IFERROR((AA221+AA222)/AA106,"")</f>
        <v>1.33534222987516</v>
      </c>
      <c r="AB247" s="61" t="n">
        <f aca="false">IFERROR((AB221+AB222)/AB106,"")</f>
        <v>2.17900307049063</v>
      </c>
      <c r="AC247" s="61" t="n">
        <f aca="false">IFERROR((AC221+AC222)/AC106,"")</f>
        <v>1.77691913147547</v>
      </c>
      <c r="AD247" s="61" t="n">
        <f aca="false">IFERROR((AD221+AD222)/AD106,"")</f>
        <v>1.30232114467409</v>
      </c>
      <c r="AE247" s="61" t="n">
        <f aca="false">IFERROR((AE221+AE222)/AE106,"")</f>
        <v>1.47281101167111</v>
      </c>
      <c r="AF247" s="61" t="n">
        <f aca="false">IFERROR((AF221+AF222)/AF106,"")</f>
        <v>1.39584290307763</v>
      </c>
      <c r="AG247" s="61" t="n">
        <f aca="false">IFERROR((AG221+AG222)/AG106,"")</f>
        <v>1.70452149103765</v>
      </c>
      <c r="AH247" s="61" t="n">
        <f aca="false">IFERROR((AH221+AH222)/AH106,"")</f>
        <v>1.51237255734919</v>
      </c>
      <c r="AI247" s="61" t="n">
        <f aca="false">IFERROR((AI221+AI222)/AI106,"")</f>
        <v>1.60100128736947</v>
      </c>
      <c r="AJ247" s="61" t="n">
        <f aca="false">IFERROR((AJ221+AJ222)/AJ106,"")</f>
        <v>1.58802949566715</v>
      </c>
      <c r="AK247" s="61" t="n">
        <f aca="false">IFERROR((AK221+AK222)/AK106,"")</f>
        <v>1.51793060275443</v>
      </c>
      <c r="AL247" s="61" t="n">
        <f aca="false">IFERROR((AL221+AL222)/AL106,"")</f>
        <v>1.54973988227536</v>
      </c>
      <c r="AM247" s="61" t="n">
        <f aca="false">IFERROR((AM221+AM222)/AM106,"")</f>
        <v>1.49777816885917</v>
      </c>
      <c r="AN247" s="61" t="n">
        <f aca="false">IFERROR((AN221+AN222)/AN106,"")</f>
        <v>1.72069663831511</v>
      </c>
      <c r="AO247" s="61" t="n">
        <f aca="false">IFERROR((AO221+AO222)/AO106,"")</f>
        <v>1.61384677028195</v>
      </c>
      <c r="AP247" s="61" t="n">
        <f aca="false">IFERROR((AP221+AP222)/AP106,"")</f>
        <v>1.73447950608815</v>
      </c>
      <c r="AQ247" s="61" t="n">
        <f aca="false">IFERROR((AQ221+AQ222)/AQ106,"")</f>
        <v>2.3100214049426</v>
      </c>
      <c r="AR247" s="61" t="n">
        <f aca="false">IFERROR((AR221+AR222)/AR106,"")</f>
        <v>2.03616964850364</v>
      </c>
      <c r="AS247" s="61" t="n">
        <f aca="false">IFERROR((AS221+AS222)/AS106,"")</f>
        <v>2.31587805531117</v>
      </c>
      <c r="AT247" s="61" t="n">
        <f aca="false">IFERROR((AT221+AT222)/AT106,"")</f>
        <v>2.77744253847719</v>
      </c>
      <c r="AU247" s="61" t="n">
        <f aca="false">IFERROR((AU221+AU222)/AU106,"")</f>
        <v>2.56057583436674</v>
      </c>
      <c r="AV247" s="61" t="n">
        <f aca="false">IFERROR((AV221+AV222)/AV106,"")</f>
        <v>1.78202887292031</v>
      </c>
      <c r="AW247" s="62" t="n">
        <f aca="false">IFERROR((AW221+AW222)/AW106,"")</f>
        <v>1.24124293907203</v>
      </c>
      <c r="AX247" s="62" t="n">
        <f aca="false">IFERROR((AX221+AX222)/AX106,"")</f>
        <v>1.50611345102063</v>
      </c>
      <c r="AY247" s="62" t="n">
        <f aca="false">IFERROR((AY221+AY222)/AY106,"")</f>
        <v>1.58536585365854</v>
      </c>
      <c r="AZ247" s="62" t="n">
        <f aca="false">IFERROR((AZ221+AZ222)/AZ106,"")</f>
        <v>1.58536585365854</v>
      </c>
      <c r="BA247" s="62" t="n">
        <f aca="false">IFERROR((BA221+BA222)/BA106,"")</f>
        <v>1.625</v>
      </c>
      <c r="BB247" s="62" t="n">
        <f aca="false">IFERROR((BB221+BB222)/BB106,"")</f>
        <v>1.625</v>
      </c>
    </row>
    <row r="248" customFormat="false" ht="15" hidden="false" customHeight="true" outlineLevel="0" collapsed="false">
      <c r="B248" s="20" t="s">
        <v>358</v>
      </c>
      <c r="C248" s="42" t="n">
        <v>9.387</v>
      </c>
      <c r="F248" s="42" t="n">
        <v>8.797</v>
      </c>
      <c r="G248" s="26" t="n">
        <f aca="false">H248-F248</f>
        <v>18.482</v>
      </c>
      <c r="H248" s="42" t="n">
        <v>27.279</v>
      </c>
      <c r="I248" s="42" t="n">
        <v>27.022</v>
      </c>
      <c r="J248" s="26" t="n">
        <f aca="false">K248-I248</f>
        <v>13.181</v>
      </c>
      <c r="K248" s="42" t="n">
        <v>40.203</v>
      </c>
      <c r="L248" s="42" t="n">
        <v>22.433</v>
      </c>
      <c r="M248" s="26" t="n">
        <f aca="false">N248-L248</f>
        <v>17.228</v>
      </c>
      <c r="N248" s="42" t="n">
        <v>39.661</v>
      </c>
      <c r="O248" s="42" t="n">
        <v>20.683</v>
      </c>
      <c r="P248" s="26" t="n">
        <f aca="false">Q248-O248</f>
        <v>20.15</v>
      </c>
      <c r="Q248" s="42" t="n">
        <v>40.833</v>
      </c>
      <c r="R248" s="42" t="n">
        <v>17.859</v>
      </c>
      <c r="S248" s="26" t="n">
        <f aca="false">T248-R248</f>
        <v>11.919</v>
      </c>
      <c r="T248" s="42" t="n">
        <v>29.778</v>
      </c>
      <c r="U248" s="42" t="n">
        <v>22.151</v>
      </c>
      <c r="V248" s="26" t="n">
        <f aca="false">W248-U248</f>
        <v>13.531</v>
      </c>
      <c r="W248" s="42" t="n">
        <v>35.682</v>
      </c>
      <c r="X248" s="42" t="n">
        <v>25.207</v>
      </c>
      <c r="Y248" s="26" t="n">
        <f aca="false">Z248-X248</f>
        <v>19.814</v>
      </c>
      <c r="Z248" s="42" t="n">
        <v>45.021</v>
      </c>
      <c r="AA248" s="42" t="n">
        <v>18.807</v>
      </c>
      <c r="AB248" s="26" t="n">
        <f aca="false">AC248-AA248</f>
        <v>33.784</v>
      </c>
      <c r="AC248" s="42" t="n">
        <v>52.591</v>
      </c>
      <c r="AD248" s="42" t="n">
        <v>22.379</v>
      </c>
      <c r="AE248" s="26" t="n">
        <f aca="false">AF248-AD248</f>
        <v>29.223</v>
      </c>
      <c r="AF248" s="42" t="n">
        <v>51.602</v>
      </c>
      <c r="AG248" s="42" t="n">
        <v>29.9</v>
      </c>
      <c r="AH248" s="26" t="n">
        <f aca="false">AI248-AG248</f>
        <v>31.702</v>
      </c>
      <c r="AI248" s="42" t="n">
        <v>61.602</v>
      </c>
      <c r="AJ248" s="42" t="n">
        <v>36.632</v>
      </c>
      <c r="AK248" s="26" t="n">
        <f aca="false">AL248-AJ248</f>
        <v>35.855</v>
      </c>
      <c r="AL248" s="42" t="n">
        <v>72.487</v>
      </c>
      <c r="AM248" s="42" t="n">
        <v>34.862</v>
      </c>
      <c r="AN248" s="26" t="n">
        <f aca="false">AO248-AM248</f>
        <v>44.214</v>
      </c>
      <c r="AO248" s="42" t="n">
        <v>79.076</v>
      </c>
      <c r="AP248" s="42" t="n">
        <v>44.75</v>
      </c>
      <c r="AQ248" s="26" t="n">
        <f aca="false">AR248-AP248</f>
        <v>64.795</v>
      </c>
      <c r="AR248" s="42" t="n">
        <v>109.545</v>
      </c>
      <c r="AS248" s="42" t="n">
        <v>63.543</v>
      </c>
      <c r="AT248" s="26" t="n">
        <f aca="false">AU248-AS248</f>
        <v>82.65</v>
      </c>
      <c r="AU248" s="42" t="n">
        <v>146.193</v>
      </c>
      <c r="AV248" s="42" t="n">
        <v>57.224</v>
      </c>
    </row>
    <row r="249" customFormat="false" ht="15" hidden="false" customHeight="true" outlineLevel="0" collapsed="false"/>
    <row r="250" customFormat="false" ht="15" hidden="false" customHeight="true" outlineLevel="0" collapsed="false">
      <c r="B250" s="9" t="s">
        <v>359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 t="s">
        <v>360</v>
      </c>
    </row>
    <row r="251" customFormat="false" ht="15" hidden="false" customHeight="true" outlineLevel="0" collapsed="false">
      <c r="B251" s="20" t="s">
        <v>361</v>
      </c>
      <c r="AW251" s="57" t="n">
        <f aca="false">AX384</f>
        <v>80.18</v>
      </c>
      <c r="AX251" s="57" t="n">
        <f aca="false">AX384</f>
        <v>80.18</v>
      </c>
      <c r="AY251" s="57" t="n">
        <f aca="false">AX251*(1+AY350)</f>
        <v>86.5944</v>
      </c>
      <c r="AZ251" s="57" t="n">
        <f aca="false">AY251*(1+AZ350)</f>
        <v>93.521952</v>
      </c>
      <c r="BA251" s="57" t="n">
        <f aca="false">AZ251*(1+BA350)</f>
        <v>101.00370816</v>
      </c>
      <c r="BB251" s="57" t="n">
        <f aca="false">BA251*(1+BB350)</f>
        <v>109.0840048128</v>
      </c>
      <c r="BC251" s="18" t="s">
        <v>362</v>
      </c>
    </row>
    <row r="252" customFormat="false" ht="15" hidden="false" customHeight="true" outlineLevel="0" collapsed="false">
      <c r="B252" s="20" t="s">
        <v>363</v>
      </c>
      <c r="C252" s="26" t="n">
        <f aca="false">-C229</f>
        <v>-0</v>
      </c>
      <c r="D252" s="26" t="n">
        <f aca="false">-D229</f>
        <v>-0</v>
      </c>
      <c r="E252" s="26" t="n">
        <f aca="false">-E229</f>
        <v>-0</v>
      </c>
      <c r="F252" s="26" t="n">
        <f aca="false">-F229</f>
        <v>-0</v>
      </c>
      <c r="G252" s="26" t="n">
        <f aca="false">-G229</f>
        <v>-0</v>
      </c>
      <c r="H252" s="26" t="n">
        <f aca="false">-H229</f>
        <v>-0</v>
      </c>
      <c r="I252" s="26" t="n">
        <f aca="false">-I229</f>
        <v>-0</v>
      </c>
      <c r="J252" s="26" t="n">
        <f aca="false">-J229</f>
        <v>-0</v>
      </c>
      <c r="K252" s="26" t="n">
        <f aca="false">-K229</f>
        <v>-0</v>
      </c>
      <c r="L252" s="26" t="n">
        <f aca="false">-L229</f>
        <v>-0</v>
      </c>
      <c r="M252" s="26" t="n">
        <f aca="false">-M229</f>
        <v>-0</v>
      </c>
      <c r="N252" s="26" t="n">
        <f aca="false">-N229</f>
        <v>-0</v>
      </c>
      <c r="O252" s="26" t="n">
        <f aca="false">-O229</f>
        <v>-0</v>
      </c>
      <c r="P252" s="26" t="n">
        <f aca="false">-P229</f>
        <v>-0</v>
      </c>
      <c r="Q252" s="26" t="n">
        <f aca="false">-Q229</f>
        <v>-0</v>
      </c>
      <c r="R252" s="26" t="n">
        <f aca="false">-R229</f>
        <v>-0</v>
      </c>
      <c r="S252" s="26" t="n">
        <f aca="false">-S229</f>
        <v>-0</v>
      </c>
      <c r="T252" s="26" t="n">
        <f aca="false">-T229</f>
        <v>-0</v>
      </c>
      <c r="U252" s="26" t="n">
        <f aca="false">-U229</f>
        <v>-0</v>
      </c>
      <c r="V252" s="26" t="n">
        <f aca="false">-V229</f>
        <v>-0</v>
      </c>
      <c r="W252" s="26" t="n">
        <f aca="false">-W229</f>
        <v>-0</v>
      </c>
      <c r="X252" s="26" t="n">
        <f aca="false">-X229</f>
        <v>-0</v>
      </c>
      <c r="Y252" s="26" t="n">
        <f aca="false">-Y229</f>
        <v>-0</v>
      </c>
      <c r="Z252" s="26" t="n">
        <f aca="false">-Z229</f>
        <v>-0</v>
      </c>
      <c r="AA252" s="26" t="n">
        <f aca="false">-AA229</f>
        <v>-0</v>
      </c>
      <c r="AB252" s="26" t="n">
        <f aca="false">-AB229</f>
        <v>-0</v>
      </c>
      <c r="AC252" s="26" t="n">
        <f aca="false">-AC229</f>
        <v>-0</v>
      </c>
      <c r="AD252" s="26" t="n">
        <f aca="false">-AD229</f>
        <v>-0</v>
      </c>
      <c r="AE252" s="26" t="n">
        <f aca="false">-AE229</f>
        <v>-0</v>
      </c>
      <c r="AF252" s="26" t="n">
        <f aca="false">-AF229</f>
        <v>-0</v>
      </c>
      <c r="AG252" s="26" t="n">
        <f aca="false">-AG229</f>
        <v>-0</v>
      </c>
      <c r="AH252" s="26" t="n">
        <f aca="false">-AH229</f>
        <v>-0</v>
      </c>
      <c r="AI252" s="26" t="n">
        <f aca="false">-AI229</f>
        <v>-0</v>
      </c>
      <c r="AJ252" s="26" t="n">
        <f aca="false">-AJ229</f>
        <v>-0</v>
      </c>
      <c r="AK252" s="26" t="n">
        <f aca="false">-AK229</f>
        <v>-0</v>
      </c>
      <c r="AL252" s="26" t="n">
        <f aca="false">-AL229</f>
        <v>-0</v>
      </c>
      <c r="AM252" s="26" t="n">
        <f aca="false">-AM229</f>
        <v>3.332</v>
      </c>
      <c r="AN252" s="26" t="n">
        <f aca="false">-AN229</f>
        <v>-0</v>
      </c>
      <c r="AO252" s="26" t="n">
        <f aca="false">-AO229</f>
        <v>3.332</v>
      </c>
      <c r="AP252" s="26" t="n">
        <f aca="false">-AP229</f>
        <v>4.962</v>
      </c>
      <c r="AQ252" s="26" t="n">
        <f aca="false">-AQ229</f>
        <v>6.695</v>
      </c>
      <c r="AR252" s="26" t="n">
        <f aca="false">-AR229</f>
        <v>11.657</v>
      </c>
      <c r="AS252" s="26" t="n">
        <f aca="false">-AS229</f>
        <v>7.973</v>
      </c>
      <c r="AT252" s="26" t="n">
        <f aca="false">-AT229</f>
        <v>-0</v>
      </c>
      <c r="AU252" s="26" t="n">
        <f aca="false">-AU229</f>
        <v>7.973</v>
      </c>
      <c r="AV252" s="26" t="n">
        <f aca="false">-AV229</f>
        <v>-0</v>
      </c>
      <c r="AW252" s="50" t="n">
        <v>0</v>
      </c>
      <c r="AX252" s="27" t="n">
        <f aca="false">-AX229</f>
        <v>-0</v>
      </c>
      <c r="AY252" s="50" t="n">
        <v>8</v>
      </c>
      <c r="AZ252" s="50" t="n">
        <v>8</v>
      </c>
      <c r="BA252" s="50" t="n">
        <v>8</v>
      </c>
      <c r="BB252" s="50" t="n">
        <v>8</v>
      </c>
      <c r="BC252" s="18" t="s">
        <v>364</v>
      </c>
    </row>
    <row r="253" customFormat="false" ht="15" hidden="false" customHeight="true" outlineLevel="0" collapsed="false">
      <c r="B253" s="20" t="s">
        <v>365</v>
      </c>
      <c r="AW253" s="53" t="n">
        <f aca="false">IFERROR(AW252/AW251,0)</f>
        <v>0</v>
      </c>
      <c r="AY253" s="53" t="n">
        <f aca="false">IFERROR(AY252/AY251,0)</f>
        <v>0.0923847269569395</v>
      </c>
      <c r="AZ253" s="53" t="n">
        <f aca="false">IFERROR(AZ252/AZ251,0)</f>
        <v>0.085541413849018</v>
      </c>
      <c r="BA253" s="53" t="n">
        <f aca="false">IFERROR(BA252/BA251,0)</f>
        <v>0.0792050128231648</v>
      </c>
      <c r="BB253" s="53" t="n">
        <f aca="false">IFERROR(BB252/BB251,0)</f>
        <v>0.0733379748362637</v>
      </c>
    </row>
    <row r="254" customFormat="false" ht="15" hidden="false" customHeight="true" outlineLevel="0" collapsed="false">
      <c r="B254" s="20" t="s">
        <v>366</v>
      </c>
      <c r="AW254" s="53" t="n">
        <f aca="false">AW253</f>
        <v>0</v>
      </c>
      <c r="AY254" s="53" t="n">
        <f aca="false">AY253</f>
        <v>0.0923847269569395</v>
      </c>
      <c r="AZ254" s="53" t="n">
        <f aca="false">AZ253</f>
        <v>0.085541413849018</v>
      </c>
      <c r="BA254" s="53" t="n">
        <f aca="false">BA253</f>
        <v>0.0792050128231648</v>
      </c>
      <c r="BB254" s="53" t="n">
        <f aca="false">BB253</f>
        <v>0.0733379748362637</v>
      </c>
      <c r="BC254" s="18" t="s">
        <v>367</v>
      </c>
    </row>
    <row r="255" customFormat="false" ht="15" hidden="false" customHeight="true" outlineLevel="0" collapsed="false">
      <c r="B255" s="20" t="s">
        <v>368</v>
      </c>
      <c r="G255" s="51" t="n">
        <v>68</v>
      </c>
      <c r="H255" s="51" t="n">
        <v>68</v>
      </c>
      <c r="I255" s="51" t="n">
        <v>68</v>
      </c>
      <c r="J255" s="51" t="n">
        <v>68</v>
      </c>
      <c r="K255" s="51" t="n">
        <v>68</v>
      </c>
      <c r="L255" s="51" t="n">
        <v>68</v>
      </c>
      <c r="M255" s="51" t="n">
        <v>68</v>
      </c>
      <c r="N255" s="51" t="n">
        <v>68</v>
      </c>
      <c r="O255" s="51" t="n">
        <v>68</v>
      </c>
      <c r="P255" s="51" t="n">
        <v>68</v>
      </c>
      <c r="Q255" s="51" t="n">
        <v>68</v>
      </c>
      <c r="R255" s="51" t="n">
        <v>68</v>
      </c>
      <c r="S255" s="51" t="n">
        <v>68</v>
      </c>
      <c r="T255" s="51" t="n">
        <v>68</v>
      </c>
      <c r="U255" s="51" t="n">
        <v>68</v>
      </c>
      <c r="V255" s="51" t="n">
        <v>68</v>
      </c>
      <c r="W255" s="51" t="n">
        <v>68</v>
      </c>
      <c r="X255" s="51" t="n">
        <v>68</v>
      </c>
      <c r="Y255" s="51" t="n">
        <v>68</v>
      </c>
      <c r="Z255" s="51" t="n">
        <v>68</v>
      </c>
      <c r="AA255" s="51" t="n">
        <v>68</v>
      </c>
      <c r="AB255" s="51" t="n">
        <v>68</v>
      </c>
      <c r="AC255" s="51" t="n">
        <v>68</v>
      </c>
      <c r="AD255" s="51" t="n">
        <v>68</v>
      </c>
      <c r="AE255" s="51" t="n">
        <v>68</v>
      </c>
      <c r="AF255" s="51" t="n">
        <v>68</v>
      </c>
      <c r="AG255" s="51" t="n">
        <v>68</v>
      </c>
      <c r="AH255" s="51" t="n">
        <v>68</v>
      </c>
      <c r="AI255" s="51" t="n">
        <v>68</v>
      </c>
      <c r="AJ255" s="51" t="n">
        <v>68</v>
      </c>
      <c r="AK255" s="51" t="n">
        <v>68</v>
      </c>
      <c r="AL255" s="51" t="n">
        <v>68</v>
      </c>
      <c r="AM255" s="51" t="n">
        <v>68</v>
      </c>
      <c r="AN255" s="51" t="n">
        <v>68</v>
      </c>
      <c r="AO255" s="51" t="n">
        <v>68</v>
      </c>
      <c r="AP255" s="51" t="n">
        <v>68</v>
      </c>
      <c r="AQ255" s="51" t="n">
        <v>68</v>
      </c>
      <c r="AR255" s="51" t="n">
        <v>68</v>
      </c>
      <c r="AS255" s="51" t="n">
        <v>68</v>
      </c>
      <c r="AT255" s="51" t="n">
        <v>68</v>
      </c>
      <c r="AU255" s="51" t="n">
        <v>68</v>
      </c>
      <c r="AV255" s="51" t="n">
        <v>68</v>
      </c>
      <c r="AW255" s="63" t="n">
        <v>68</v>
      </c>
      <c r="AX255" s="63" t="n">
        <v>68</v>
      </c>
      <c r="AY255" s="63" t="n">
        <v>68</v>
      </c>
      <c r="AZ255" s="63" t="n">
        <v>68</v>
      </c>
      <c r="BA255" s="63" t="n">
        <v>68</v>
      </c>
      <c r="BB255" s="63" t="n">
        <v>68</v>
      </c>
    </row>
    <row r="256" customFormat="false" ht="15" hidden="false" customHeight="true" outlineLevel="0" collapsed="false">
      <c r="B256" s="14" t="s">
        <v>369</v>
      </c>
      <c r="D256" s="64" t="n">
        <f aca="false">E256</f>
        <v>60</v>
      </c>
      <c r="E256" s="65" t="n">
        <v>60</v>
      </c>
      <c r="F256" s="65" t="n">
        <v>68</v>
      </c>
      <c r="G256" s="64" t="n">
        <f aca="false">H256</f>
        <v>68</v>
      </c>
      <c r="H256" s="65" t="n">
        <v>68</v>
      </c>
      <c r="I256" s="65" t="n">
        <v>68</v>
      </c>
      <c r="J256" s="64" t="n">
        <f aca="false">K256</f>
        <v>68</v>
      </c>
      <c r="K256" s="65" t="n">
        <v>68</v>
      </c>
      <c r="L256" s="65" t="n">
        <v>68</v>
      </c>
      <c r="M256" s="64" t="n">
        <f aca="false">N256</f>
        <v>68</v>
      </c>
      <c r="N256" s="65" t="n">
        <v>68</v>
      </c>
      <c r="O256" s="65" t="n">
        <v>68</v>
      </c>
      <c r="P256" s="64" t="n">
        <f aca="false">Q256</f>
        <v>68</v>
      </c>
      <c r="Q256" s="65" t="n">
        <v>68</v>
      </c>
      <c r="R256" s="65" t="n">
        <v>68</v>
      </c>
      <c r="S256" s="64" t="n">
        <f aca="false">T256</f>
        <v>68</v>
      </c>
      <c r="T256" s="65" t="n">
        <v>68</v>
      </c>
      <c r="U256" s="65" t="n">
        <v>68</v>
      </c>
      <c r="V256" s="64" t="n">
        <f aca="false">W256</f>
        <v>68</v>
      </c>
      <c r="W256" s="65" t="n">
        <v>68</v>
      </c>
      <c r="X256" s="65" t="n">
        <v>68</v>
      </c>
      <c r="Y256" s="64" t="n">
        <f aca="false">Z256</f>
        <v>68</v>
      </c>
      <c r="Z256" s="65" t="n">
        <v>68</v>
      </c>
      <c r="AA256" s="65" t="n">
        <v>68</v>
      </c>
      <c r="AB256" s="64" t="n">
        <f aca="false">AC256</f>
        <v>68</v>
      </c>
      <c r="AC256" s="65" t="n">
        <v>68</v>
      </c>
      <c r="AD256" s="65" t="n">
        <v>68</v>
      </c>
      <c r="AE256" s="64" t="n">
        <f aca="false">AF256</f>
        <v>68</v>
      </c>
      <c r="AF256" s="65" t="n">
        <v>68</v>
      </c>
      <c r="AG256" s="65" t="n">
        <v>68</v>
      </c>
      <c r="AH256" s="64" t="n">
        <f aca="false">AI256</f>
        <v>68</v>
      </c>
      <c r="AI256" s="65" t="n">
        <v>68</v>
      </c>
      <c r="AJ256" s="65" t="n">
        <v>68</v>
      </c>
      <c r="AK256" s="64" t="n">
        <f aca="false">AL256</f>
        <v>68</v>
      </c>
      <c r="AL256" s="65" t="n">
        <v>68</v>
      </c>
      <c r="AM256" s="65" t="n">
        <v>68</v>
      </c>
      <c r="AN256" s="64" t="n">
        <f aca="false">AO256</f>
        <v>68</v>
      </c>
      <c r="AO256" s="65" t="n">
        <v>68</v>
      </c>
      <c r="AP256" s="65" t="n">
        <v>68</v>
      </c>
      <c r="AQ256" s="64" t="n">
        <f aca="false">AR256</f>
        <v>67.95</v>
      </c>
      <c r="AR256" s="65" t="n">
        <v>67.95</v>
      </c>
      <c r="AS256" s="65" t="n">
        <v>68</v>
      </c>
      <c r="AT256" s="64" t="n">
        <f aca="false">AU256</f>
        <v>68</v>
      </c>
      <c r="AU256" s="65" t="n">
        <v>68</v>
      </c>
      <c r="AV256" s="65" t="n">
        <v>68</v>
      </c>
      <c r="AW256" s="66" t="n">
        <f aca="false">AV256-AW253+AW254</f>
        <v>68</v>
      </c>
      <c r="AX256" s="66" t="n">
        <f aca="false">AW256</f>
        <v>68</v>
      </c>
      <c r="AY256" s="66" t="n">
        <f aca="false">AX256-AY253+AY254</f>
        <v>68</v>
      </c>
      <c r="AZ256" s="66" t="n">
        <f aca="false">AY256-AZ253+AZ254</f>
        <v>68</v>
      </c>
      <c r="BA256" s="66" t="n">
        <f aca="false">AZ256-BA253+BA254</f>
        <v>68</v>
      </c>
      <c r="BB256" s="66" t="n">
        <f aca="false">BA256-BB253+BB254</f>
        <v>68</v>
      </c>
    </row>
    <row r="257" customFormat="false" ht="15" hidden="false" customHeight="true" outlineLevel="0" collapsed="false">
      <c r="B257" s="20" t="s">
        <v>370</v>
      </c>
      <c r="AW257" s="50" t="n">
        <v>0</v>
      </c>
      <c r="AY257" s="50" t="n">
        <v>3</v>
      </c>
      <c r="AZ257" s="50" t="n">
        <v>3</v>
      </c>
      <c r="BA257" s="50" t="n">
        <v>3</v>
      </c>
      <c r="BB257" s="50" t="n">
        <v>3</v>
      </c>
      <c r="BC257" s="18" t="s">
        <v>371</v>
      </c>
    </row>
    <row r="258" customFormat="false" ht="15" hidden="false" customHeight="true" outlineLevel="0" collapsed="false">
      <c r="B258" s="20" t="s">
        <v>372</v>
      </c>
      <c r="K258" s="26" t="n">
        <f aca="false">H142*H256</f>
        <v>5.44</v>
      </c>
      <c r="N258" s="26" t="n">
        <f aca="false">K142*K256</f>
        <v>7.48</v>
      </c>
      <c r="Q258" s="26" t="n">
        <f aca="false">N142*N256</f>
        <v>8.16</v>
      </c>
      <c r="T258" s="26" t="n">
        <f aca="false">Q142*Q256</f>
        <v>8.84</v>
      </c>
      <c r="W258" s="26" t="n">
        <f aca="false">T142*T256</f>
        <v>10.88</v>
      </c>
      <c r="Z258" s="26" t="n">
        <f aca="false">W142*W256</f>
        <v>18.36</v>
      </c>
      <c r="AC258" s="26" t="n">
        <f aca="false">Z142*Z256</f>
        <v>20.4</v>
      </c>
      <c r="AF258" s="26" t="n">
        <f aca="false">AC142*AC256</f>
        <v>0</v>
      </c>
      <c r="AI258" s="26" t="n">
        <f aca="false">AF142*AF256</f>
        <v>0</v>
      </c>
      <c r="AL258" s="26" t="n">
        <f aca="false">AI142*AI256</f>
        <v>28.56</v>
      </c>
      <c r="AO258" s="26" t="n">
        <f aca="false">AL142*AL256</f>
        <v>44.2</v>
      </c>
      <c r="AR258" s="26" t="n">
        <f aca="false">AO142*AO256</f>
        <v>61.88</v>
      </c>
      <c r="AU258" s="26" t="n">
        <f aca="false">AR142*AR256</f>
        <v>63.873</v>
      </c>
      <c r="AX258" s="27" t="n">
        <f aca="false">AU142*AU256</f>
        <v>70.72</v>
      </c>
      <c r="AY258" s="27" t="n">
        <f aca="false">AX142*AX256</f>
        <v>77.52</v>
      </c>
      <c r="AZ258" s="27" t="n">
        <f aca="false">AY142*AY256</f>
        <v>85</v>
      </c>
      <c r="BA258" s="27" t="n">
        <f aca="false">AZ142*AZ256</f>
        <v>95.88</v>
      </c>
      <c r="BB258" s="27" t="n">
        <f aca="false">BA142*BA256</f>
        <v>108.12</v>
      </c>
    </row>
    <row r="259" customFormat="false" ht="15" hidden="false" customHeight="true" outlineLevel="0" collapsed="false"/>
    <row r="260" customFormat="false" ht="15" hidden="false" customHeight="true" outlineLevel="0" collapsed="false">
      <c r="B260" s="9" t="s">
        <v>373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 t="s">
        <v>374</v>
      </c>
    </row>
    <row r="261" customFormat="false" ht="15" hidden="false" customHeight="true" outlineLevel="0" collapsed="false">
      <c r="B261" s="40" t="s">
        <v>375</v>
      </c>
    </row>
    <row r="262" customFormat="false" ht="15" hidden="false" customHeight="true" outlineLevel="0" collapsed="false">
      <c r="B262" s="20" t="s">
        <v>376</v>
      </c>
      <c r="C262" s="42" t="n">
        <v>0</v>
      </c>
      <c r="D262" s="26" t="n">
        <f aca="false">E262</f>
        <v>0</v>
      </c>
      <c r="E262" s="42" t="n">
        <v>0</v>
      </c>
      <c r="F262" s="42" t="n">
        <v>0</v>
      </c>
      <c r="G262" s="26" t="n">
        <f aca="false">H262</f>
        <v>0</v>
      </c>
      <c r="H262" s="42" t="n">
        <v>0</v>
      </c>
      <c r="I262" s="42" t="n">
        <v>0</v>
      </c>
      <c r="J262" s="26" t="n">
        <f aca="false">K262</f>
        <v>0</v>
      </c>
      <c r="K262" s="42" t="n">
        <v>0</v>
      </c>
      <c r="L262" s="42" t="n">
        <v>0</v>
      </c>
      <c r="M262" s="26" t="n">
        <f aca="false">N262</f>
        <v>0</v>
      </c>
      <c r="N262" s="42" t="n">
        <v>0</v>
      </c>
      <c r="O262" s="42" t="n">
        <v>0</v>
      </c>
      <c r="P262" s="26" t="n">
        <f aca="false">Q262</f>
        <v>0</v>
      </c>
      <c r="Q262" s="42" t="n">
        <v>0</v>
      </c>
      <c r="R262" s="42" t="n">
        <v>0</v>
      </c>
      <c r="S262" s="26" t="n">
        <f aca="false">T262</f>
        <v>0</v>
      </c>
      <c r="T262" s="42" t="n">
        <v>0</v>
      </c>
      <c r="U262" s="42" t="n">
        <v>0</v>
      </c>
      <c r="V262" s="26" t="n">
        <f aca="false">W262</f>
        <v>0</v>
      </c>
      <c r="W262" s="42" t="n">
        <v>0</v>
      </c>
      <c r="X262" s="42" t="n">
        <v>0</v>
      </c>
      <c r="Y262" s="26" t="n">
        <f aca="false">Z262</f>
        <v>0</v>
      </c>
      <c r="Z262" s="42" t="n">
        <v>0</v>
      </c>
      <c r="AA262" s="42" t="n">
        <v>371.878</v>
      </c>
      <c r="AB262" s="26" t="n">
        <f aca="false">AC262</f>
        <v>433.621</v>
      </c>
      <c r="AC262" s="42" t="n">
        <v>433.621</v>
      </c>
      <c r="AD262" s="42" t="n">
        <v>461.607</v>
      </c>
      <c r="AE262" s="26" t="n">
        <f aca="false">AF262</f>
        <v>470.197</v>
      </c>
      <c r="AF262" s="42" t="n">
        <v>470.197</v>
      </c>
      <c r="AG262" s="42" t="n">
        <v>500.259</v>
      </c>
      <c r="AH262" s="26" t="n">
        <f aca="false">AI262</f>
        <v>504.968</v>
      </c>
      <c r="AI262" s="42" t="n">
        <v>504.968</v>
      </c>
      <c r="AJ262" s="42" t="n">
        <v>566.845</v>
      </c>
      <c r="AK262" s="26" t="n">
        <f aca="false">AL262</f>
        <v>520.066</v>
      </c>
      <c r="AL262" s="42" t="n">
        <v>520.066</v>
      </c>
      <c r="AM262" s="42" t="n">
        <v>494.947</v>
      </c>
      <c r="AN262" s="26" t="n">
        <f aca="false">AO262</f>
        <v>501.051</v>
      </c>
      <c r="AO262" s="42" t="n">
        <v>501.051</v>
      </c>
      <c r="AP262" s="42" t="n">
        <v>582.482</v>
      </c>
      <c r="AQ262" s="26" t="n">
        <f aca="false">AR262</f>
        <v>611.641</v>
      </c>
      <c r="AR262" s="42" t="n">
        <v>611.641</v>
      </c>
      <c r="AS262" s="42" t="n">
        <v>728.52</v>
      </c>
      <c r="AT262" s="26" t="n">
        <f aca="false">AU262</f>
        <v>716.286</v>
      </c>
      <c r="AU262" s="42" t="n">
        <v>716.286</v>
      </c>
      <c r="AV262" s="42" t="n">
        <v>742.003</v>
      </c>
      <c r="AW262" s="27" t="n">
        <f aca="false">AX262</f>
        <v>758.005060250953</v>
      </c>
      <c r="AX262" s="27" t="n">
        <f aca="false">AW329</f>
        <v>758.005060250953</v>
      </c>
      <c r="AY262" s="27" t="n">
        <f aca="false">AY329</f>
        <v>796.60889377103</v>
      </c>
      <c r="AZ262" s="27" t="n">
        <f aca="false">AZ329</f>
        <v>834.223654674603</v>
      </c>
      <c r="BA262" s="27" t="n">
        <f aca="false">BA329</f>
        <v>879.638760505034</v>
      </c>
      <c r="BB262" s="27" t="n">
        <f aca="false">BB329</f>
        <v>920.709324951632</v>
      </c>
      <c r="BC262" s="18" t="s">
        <v>377</v>
      </c>
    </row>
    <row r="263" customFormat="false" ht="15" hidden="false" customHeight="true" outlineLevel="0" collapsed="false">
      <c r="B263" s="20" t="s">
        <v>378</v>
      </c>
      <c r="C263" s="42" t="n">
        <v>12.559</v>
      </c>
      <c r="D263" s="26" t="n">
        <f aca="false">E263</f>
        <v>11.807</v>
      </c>
      <c r="E263" s="42" t="n">
        <v>11.807</v>
      </c>
      <c r="F263" s="42" t="n">
        <v>13.094</v>
      </c>
      <c r="G263" s="26" t="n">
        <f aca="false">H263</f>
        <v>16.548</v>
      </c>
      <c r="H263" s="42" t="n">
        <v>16.548</v>
      </c>
      <c r="I263" s="42" t="n">
        <v>27.715</v>
      </c>
      <c r="J263" s="26" t="n">
        <f aca="false">K263</f>
        <v>26.552</v>
      </c>
      <c r="K263" s="42" t="n">
        <v>26.552</v>
      </c>
      <c r="L263" s="42" t="n">
        <v>30.233</v>
      </c>
      <c r="M263" s="26" t="n">
        <f aca="false">N263</f>
        <v>29.649</v>
      </c>
      <c r="N263" s="42" t="n">
        <v>29.649</v>
      </c>
      <c r="O263" s="42" t="n">
        <v>32.579</v>
      </c>
      <c r="P263" s="26" t="n">
        <f aca="false">Q263</f>
        <v>31.479</v>
      </c>
      <c r="Q263" s="42" t="n">
        <v>31.479</v>
      </c>
      <c r="R263" s="42" t="n">
        <v>30.51</v>
      </c>
      <c r="S263" s="26" t="n">
        <f aca="false">T263</f>
        <v>28.823</v>
      </c>
      <c r="T263" s="42" t="n">
        <v>28.823</v>
      </c>
      <c r="U263" s="42" t="n">
        <v>33.585</v>
      </c>
      <c r="V263" s="26" t="n">
        <f aca="false">W263</f>
        <v>30.995</v>
      </c>
      <c r="W263" s="42" t="n">
        <v>30.995</v>
      </c>
      <c r="X263" s="42" t="n">
        <v>37.829</v>
      </c>
      <c r="Y263" s="26" t="n">
        <f aca="false">Z263</f>
        <v>38.583</v>
      </c>
      <c r="Z263" s="42" t="n">
        <v>38.583</v>
      </c>
      <c r="AA263" s="42" t="n">
        <v>18.165</v>
      </c>
      <c r="AB263" s="26" t="n">
        <f aca="false">AC263</f>
        <v>18.508</v>
      </c>
      <c r="AC263" s="42" t="n">
        <v>18.508</v>
      </c>
      <c r="AD263" s="42" t="n">
        <v>19.035</v>
      </c>
      <c r="AE263" s="26" t="n">
        <f aca="false">AF263</f>
        <v>19.181</v>
      </c>
      <c r="AF263" s="42" t="n">
        <v>19.181</v>
      </c>
      <c r="AG263" s="42" t="n">
        <v>20.004</v>
      </c>
      <c r="AH263" s="26" t="n">
        <f aca="false">AI263</f>
        <v>20.115</v>
      </c>
      <c r="AI263" s="42" t="n">
        <v>20.115</v>
      </c>
      <c r="AJ263" s="42" t="n">
        <v>14.255</v>
      </c>
      <c r="AK263" s="26" t="n">
        <f aca="false">AL263</f>
        <v>13.97</v>
      </c>
      <c r="AL263" s="42" t="n">
        <v>13.97</v>
      </c>
      <c r="AM263" s="42" t="n">
        <v>14.186</v>
      </c>
      <c r="AN263" s="26" t="n">
        <f aca="false">AO263</f>
        <v>13.824</v>
      </c>
      <c r="AO263" s="42" t="n">
        <v>13.824</v>
      </c>
      <c r="AP263" s="42" t="n">
        <v>15.242</v>
      </c>
      <c r="AQ263" s="26" t="n">
        <f aca="false">AR263</f>
        <v>16.432</v>
      </c>
      <c r="AR263" s="42" t="n">
        <v>16.432</v>
      </c>
      <c r="AS263" s="42" t="n">
        <v>18.31</v>
      </c>
      <c r="AT263" s="26" t="n">
        <f aca="false">AU263</f>
        <v>21.925</v>
      </c>
      <c r="AU263" s="42" t="n">
        <v>21.925</v>
      </c>
      <c r="AV263" s="42" t="n">
        <v>25.237</v>
      </c>
      <c r="AW263" s="27" t="n">
        <f aca="false">AX263</f>
        <v>24.3834294294714</v>
      </c>
      <c r="AX263" s="27" t="n">
        <f aca="false">AV263-AW222+AW106*AX323</f>
        <v>24.3834294294714</v>
      </c>
      <c r="AY263" s="27" t="n">
        <f aca="false">AX263-AY222+AY106*AY323</f>
        <v>24.9166662505022</v>
      </c>
      <c r="AZ263" s="27" t="n">
        <f aca="false">AY263-AZ222+AZ106*AZ323</f>
        <v>25.494040364558</v>
      </c>
      <c r="BA263" s="27" t="n">
        <f aca="false">AZ263-BA222+BA106*BA323</f>
        <v>26.4111219698929</v>
      </c>
      <c r="BB263" s="27" t="n">
        <f aca="false">BA263-BB222+BB106*BB323</f>
        <v>27.393916575442</v>
      </c>
      <c r="BC263" s="18" t="s">
        <v>379</v>
      </c>
    </row>
    <row r="264" customFormat="false" ht="15" hidden="false" customHeight="true" outlineLevel="0" collapsed="false">
      <c r="B264" s="20" t="s">
        <v>380</v>
      </c>
      <c r="C264" s="42" t="n">
        <v>24.72</v>
      </c>
      <c r="D264" s="26" t="n">
        <f aca="false">E264</f>
        <v>28.568</v>
      </c>
      <c r="E264" s="42" t="n">
        <v>28.568</v>
      </c>
      <c r="F264" s="42" t="n">
        <v>32.23</v>
      </c>
      <c r="G264" s="26" t="n">
        <f aca="false">H264</f>
        <v>41.931</v>
      </c>
      <c r="H264" s="42" t="n">
        <v>41.931</v>
      </c>
      <c r="I264" s="42" t="n">
        <v>51.142</v>
      </c>
      <c r="J264" s="26" t="n">
        <f aca="false">K264</f>
        <v>59.18</v>
      </c>
      <c r="K264" s="42" t="n">
        <v>59.18</v>
      </c>
      <c r="L264" s="42" t="n">
        <v>69.823</v>
      </c>
      <c r="M264" s="26" t="n">
        <f aca="false">N264</f>
        <v>80.157</v>
      </c>
      <c r="N264" s="42" t="n">
        <v>80.157</v>
      </c>
      <c r="O264" s="42" t="n">
        <v>90.376</v>
      </c>
      <c r="P264" s="26" t="n">
        <f aca="false">Q264</f>
        <v>101.045</v>
      </c>
      <c r="Q264" s="42" t="n">
        <v>101.045</v>
      </c>
      <c r="R264" s="42" t="n">
        <v>109.633</v>
      </c>
      <c r="S264" s="26" t="n">
        <f aca="false">T264</f>
        <v>111.348</v>
      </c>
      <c r="T264" s="42" t="n">
        <v>111.348</v>
      </c>
      <c r="U264" s="42" t="n">
        <v>113.229</v>
      </c>
      <c r="V264" s="26" t="n">
        <f aca="false">W264</f>
        <v>115.676</v>
      </c>
      <c r="W264" s="42" t="n">
        <v>115.676</v>
      </c>
      <c r="X264" s="42" t="n">
        <v>121.757</v>
      </c>
      <c r="Y264" s="26" t="n">
        <f aca="false">Z264</f>
        <v>126.571</v>
      </c>
      <c r="Z264" s="42" t="n">
        <v>126.571</v>
      </c>
      <c r="AA264" s="42" t="n">
        <v>132.944</v>
      </c>
      <c r="AB264" s="26" t="n">
        <f aca="false">AC264</f>
        <v>145.519</v>
      </c>
      <c r="AC264" s="42" t="n">
        <v>145.519</v>
      </c>
      <c r="AD264" s="42" t="n">
        <v>144.223</v>
      </c>
      <c r="AE264" s="26" t="n">
        <f aca="false">AF264</f>
        <v>150.254</v>
      </c>
      <c r="AF264" s="42" t="n">
        <v>150.254</v>
      </c>
      <c r="AG264" s="42" t="n">
        <v>156.389</v>
      </c>
      <c r="AH264" s="26" t="n">
        <f aca="false">AI264</f>
        <v>166.033</v>
      </c>
      <c r="AI264" s="42" t="n">
        <v>166.033</v>
      </c>
      <c r="AJ264" s="42" t="n">
        <v>181.922</v>
      </c>
      <c r="AK264" s="26" t="n">
        <f aca="false">AL264</f>
        <v>195.915</v>
      </c>
      <c r="AL264" s="42" t="n">
        <v>195.915</v>
      </c>
      <c r="AM264" s="42" t="n">
        <v>204.825</v>
      </c>
      <c r="AN264" s="26" t="n">
        <f aca="false">AO264</f>
        <v>223.108</v>
      </c>
      <c r="AO264" s="42" t="n">
        <v>223.108</v>
      </c>
      <c r="AP264" s="42" t="n">
        <v>242.614</v>
      </c>
      <c r="AQ264" s="26" t="n">
        <f aca="false">AR264</f>
        <v>278.606</v>
      </c>
      <c r="AR264" s="42" t="n">
        <v>278.606</v>
      </c>
      <c r="AS264" s="42" t="n">
        <v>303.163</v>
      </c>
      <c r="AT264" s="26" t="n">
        <f aca="false">AU264</f>
        <v>352.456</v>
      </c>
      <c r="AU264" s="42" t="n">
        <v>352.456</v>
      </c>
      <c r="AV264" s="42" t="n">
        <v>367.761</v>
      </c>
      <c r="AW264" s="27" t="n">
        <f aca="false">AX264</f>
        <v>376.378312978099</v>
      </c>
      <c r="AX264" s="27" t="n">
        <f aca="false">AV264-AW221+AW106*(1-AX323)</f>
        <v>376.378312978099</v>
      </c>
      <c r="AY264" s="27" t="n">
        <f aca="false">AX264-AY221+AY106*(1-AY323)</f>
        <v>416.330962251995</v>
      </c>
      <c r="AZ264" s="27" t="n">
        <f aca="false">AY264-AZ221+AZ106*(1-AZ323)</f>
        <v>459.590588311023</v>
      </c>
      <c r="BA264" s="27" t="n">
        <f aca="false">AZ264-BA221+BA106*(1-BA323)</f>
        <v>507.86236012358</v>
      </c>
      <c r="BB264" s="27" t="n">
        <f aca="false">BA264-BB221+BB106*(1-BB323)</f>
        <v>559.5930203633</v>
      </c>
      <c r="BC264" s="18" t="s">
        <v>381</v>
      </c>
    </row>
    <row r="265" customFormat="false" ht="15" hidden="false" customHeight="true" outlineLevel="0" collapsed="false">
      <c r="B265" s="20" t="s">
        <v>382</v>
      </c>
      <c r="C265" s="42" t="n">
        <v>1.582</v>
      </c>
      <c r="D265" s="26" t="n">
        <f aca="false">E265</f>
        <v>1.783</v>
      </c>
      <c r="E265" s="42" t="n">
        <v>1.783</v>
      </c>
      <c r="F265" s="42" t="n">
        <v>2.749</v>
      </c>
      <c r="G265" s="26" t="n">
        <f aca="false">H265</f>
        <v>3.162</v>
      </c>
      <c r="H265" s="42" t="n">
        <v>3.162</v>
      </c>
      <c r="I265" s="42" t="n">
        <v>3.895</v>
      </c>
      <c r="J265" s="26" t="n">
        <f aca="false">K265</f>
        <v>3.426</v>
      </c>
      <c r="K265" s="42" t="n">
        <v>3.426</v>
      </c>
      <c r="L265" s="42" t="n">
        <v>3.972</v>
      </c>
      <c r="M265" s="26" t="n">
        <f aca="false">N265</f>
        <v>4.786</v>
      </c>
      <c r="N265" s="42" t="n">
        <v>4.786</v>
      </c>
      <c r="O265" s="42" t="n">
        <v>5.785</v>
      </c>
      <c r="P265" s="26" t="n">
        <f aca="false">Q265</f>
        <v>5.429</v>
      </c>
      <c r="Q265" s="42" t="n">
        <v>5.429</v>
      </c>
      <c r="R265" s="42" t="n">
        <v>5.476</v>
      </c>
      <c r="S265" s="26" t="n">
        <f aca="false">T265</f>
        <v>5.74</v>
      </c>
      <c r="T265" s="42" t="n">
        <v>5.74</v>
      </c>
      <c r="U265" s="42" t="n">
        <v>7.142</v>
      </c>
      <c r="V265" s="26" t="n">
        <f aca="false">W265</f>
        <v>6.298</v>
      </c>
      <c r="W265" s="42" t="n">
        <v>6.298</v>
      </c>
      <c r="X265" s="42" t="n">
        <v>7.089</v>
      </c>
      <c r="Y265" s="26" t="n">
        <f aca="false">Z265</f>
        <v>7.675</v>
      </c>
      <c r="Z265" s="42" t="n">
        <v>7.675</v>
      </c>
      <c r="AA265" s="42" t="n">
        <v>9.094</v>
      </c>
      <c r="AB265" s="26" t="n">
        <f aca="false">AC265</f>
        <v>9.443</v>
      </c>
      <c r="AC265" s="42" t="n">
        <v>9.443</v>
      </c>
      <c r="AD265" s="42" t="n">
        <v>14.964</v>
      </c>
      <c r="AE265" s="26" t="n">
        <f aca="false">AF265</f>
        <v>15.62</v>
      </c>
      <c r="AF265" s="42" t="n">
        <v>15.62</v>
      </c>
      <c r="AG265" s="42" t="n">
        <v>23.715</v>
      </c>
      <c r="AH265" s="26" t="n">
        <f aca="false">AI265</f>
        <v>24.142</v>
      </c>
      <c r="AI265" s="42" t="n">
        <v>24.142</v>
      </c>
      <c r="AJ265" s="42" t="n">
        <v>50.942</v>
      </c>
      <c r="AK265" s="26" t="n">
        <f aca="false">AL265</f>
        <v>45.357</v>
      </c>
      <c r="AL265" s="42" t="n">
        <v>45.357</v>
      </c>
      <c r="AM265" s="42" t="n">
        <v>35.634</v>
      </c>
      <c r="AN265" s="26" t="n">
        <f aca="false">AO265</f>
        <v>36.044</v>
      </c>
      <c r="AO265" s="42" t="n">
        <v>36.044</v>
      </c>
      <c r="AP265" s="42" t="n">
        <v>38.74</v>
      </c>
      <c r="AQ265" s="26" t="n">
        <f aca="false">AR265</f>
        <v>47.062</v>
      </c>
      <c r="AR265" s="42" t="n">
        <v>47.062</v>
      </c>
      <c r="AS265" s="42" t="n">
        <v>49.641</v>
      </c>
      <c r="AT265" s="26" t="n">
        <f aca="false">AU265</f>
        <v>50.29</v>
      </c>
      <c r="AU265" s="42" t="n">
        <v>50.29</v>
      </c>
      <c r="AV265" s="42" t="n">
        <v>53.686</v>
      </c>
      <c r="AW265" s="27" t="n">
        <f aca="false">AX265</f>
        <v>53.686</v>
      </c>
      <c r="AX265" s="27" t="n">
        <f aca="false">AV265</f>
        <v>53.686</v>
      </c>
      <c r="AY265" s="27" t="n">
        <f aca="false">AX265</f>
        <v>53.686</v>
      </c>
      <c r="AZ265" s="27" t="n">
        <f aca="false">AY265</f>
        <v>53.686</v>
      </c>
      <c r="BA265" s="27" t="n">
        <f aca="false">AZ265</f>
        <v>53.686</v>
      </c>
      <c r="BB265" s="27" t="n">
        <f aca="false">BA265</f>
        <v>53.686</v>
      </c>
      <c r="BC265" s="18" t="s">
        <v>383</v>
      </c>
    </row>
    <row r="266" customFormat="false" ht="15" hidden="false" customHeight="true" outlineLevel="0" collapsed="false">
      <c r="B266" s="20" t="s">
        <v>384</v>
      </c>
      <c r="C266" s="42" t="n">
        <v>3.799</v>
      </c>
      <c r="D266" s="26" t="n">
        <f aca="false">E266</f>
        <v>3.701</v>
      </c>
      <c r="E266" s="42" t="n">
        <v>3.701</v>
      </c>
      <c r="F266" s="42" t="n">
        <v>7.1</v>
      </c>
      <c r="G266" s="26" t="n">
        <f aca="false">H266</f>
        <v>7.489</v>
      </c>
      <c r="H266" s="42" t="n">
        <v>7.489</v>
      </c>
      <c r="I266" s="42" t="n">
        <v>9.557</v>
      </c>
      <c r="J266" s="26" t="n">
        <f aca="false">K266</f>
        <v>10.082</v>
      </c>
      <c r="K266" s="42" t="n">
        <v>10.082</v>
      </c>
      <c r="L266" s="42" t="n">
        <v>12.89</v>
      </c>
      <c r="M266" s="26" t="n">
        <f aca="false">N266</f>
        <v>13.307</v>
      </c>
      <c r="N266" s="42" t="n">
        <v>13.307</v>
      </c>
      <c r="O266" s="42" t="n">
        <v>18.475</v>
      </c>
      <c r="P266" s="26" t="n">
        <f aca="false">Q266</f>
        <v>15.678</v>
      </c>
      <c r="Q266" s="42" t="n">
        <v>15.678</v>
      </c>
      <c r="R266" s="42" t="n">
        <v>16.614</v>
      </c>
      <c r="S266" s="26" t="n">
        <f aca="false">T266</f>
        <v>15.709</v>
      </c>
      <c r="T266" s="42" t="n">
        <v>15.709</v>
      </c>
      <c r="U266" s="42" t="n">
        <v>17.653</v>
      </c>
      <c r="V266" s="26" t="n">
        <f aca="false">W266</f>
        <v>15.693</v>
      </c>
      <c r="W266" s="42" t="n">
        <v>15.693</v>
      </c>
      <c r="X266" s="42" t="n">
        <v>17.898</v>
      </c>
      <c r="Y266" s="26" t="n">
        <f aca="false">Z266</f>
        <v>16.777</v>
      </c>
      <c r="Z266" s="42" t="n">
        <v>16.777</v>
      </c>
      <c r="AA266" s="42" t="n">
        <v>24.632</v>
      </c>
      <c r="AB266" s="26" t="n">
        <f aca="false">AC266</f>
        <v>25.436</v>
      </c>
      <c r="AC266" s="42" t="n">
        <v>25.436</v>
      </c>
      <c r="AD266" s="42" t="n">
        <v>46.431</v>
      </c>
      <c r="AE266" s="26" t="n">
        <f aca="false">AF266</f>
        <v>35.368</v>
      </c>
      <c r="AF266" s="42" t="n">
        <v>35.368</v>
      </c>
      <c r="AG266" s="42" t="n">
        <v>50.317</v>
      </c>
      <c r="AH266" s="26" t="n">
        <f aca="false">AI266</f>
        <v>49.546</v>
      </c>
      <c r="AI266" s="42" t="n">
        <v>49.546</v>
      </c>
      <c r="AJ266" s="42" t="n">
        <v>58.67</v>
      </c>
      <c r="AK266" s="26" t="n">
        <f aca="false">AL266</f>
        <v>65.337</v>
      </c>
      <c r="AL266" s="42" t="n">
        <v>65.337</v>
      </c>
      <c r="AM266" s="42" t="n">
        <v>77.58</v>
      </c>
      <c r="AN266" s="26" t="n">
        <f aca="false">AO266</f>
        <v>79.503</v>
      </c>
      <c r="AO266" s="42" t="n">
        <v>79.503</v>
      </c>
      <c r="AP266" s="42" t="n">
        <v>92.585</v>
      </c>
      <c r="AQ266" s="26" t="n">
        <f aca="false">AR266</f>
        <v>103.273</v>
      </c>
      <c r="AR266" s="42" t="n">
        <v>103.273</v>
      </c>
      <c r="AS266" s="42" t="n">
        <v>111.533</v>
      </c>
      <c r="AT266" s="26" t="n">
        <f aca="false">AU266</f>
        <v>111.357</v>
      </c>
      <c r="AU266" s="42" t="n">
        <v>111.357</v>
      </c>
      <c r="AV266" s="42" t="n">
        <v>121.113</v>
      </c>
      <c r="AW266" s="27" t="n">
        <f aca="false">AX266</f>
        <v>121.113</v>
      </c>
      <c r="AX266" s="27" t="n">
        <f aca="false">AV266</f>
        <v>121.113</v>
      </c>
      <c r="AY266" s="27" t="n">
        <f aca="false">AX266</f>
        <v>121.113</v>
      </c>
      <c r="AZ266" s="27" t="n">
        <f aca="false">AY266</f>
        <v>121.113</v>
      </c>
      <c r="BA266" s="27" t="n">
        <f aca="false">AZ266</f>
        <v>121.113</v>
      </c>
      <c r="BB266" s="27" t="n">
        <f aca="false">BA266</f>
        <v>121.113</v>
      </c>
      <c r="BC266" s="18" t="s">
        <v>385</v>
      </c>
    </row>
    <row r="267" customFormat="false" ht="15" hidden="false" customHeight="true" outlineLevel="0" collapsed="false">
      <c r="B267" s="14" t="s">
        <v>386</v>
      </c>
      <c r="C267" s="35" t="n">
        <f aca="false">IF(ISNUMBER(C264),N(C262)+SUM(C263:C266),"")</f>
        <v>42.66</v>
      </c>
      <c r="D267" s="35" t="n">
        <f aca="false">IF(ISNUMBER(D264),N(D262)+SUM(D263:D266),"")</f>
        <v>45.859</v>
      </c>
      <c r="E267" s="35" t="n">
        <f aca="false">IF(ISNUMBER(E264),N(E262)+SUM(E263:E266),"")</f>
        <v>45.859</v>
      </c>
      <c r="F267" s="35" t="n">
        <f aca="false">IF(ISNUMBER(F264),N(F262)+SUM(F263:F266),"")</f>
        <v>55.173</v>
      </c>
      <c r="G267" s="35" t="n">
        <f aca="false">IF(ISNUMBER(G264),N(G262)+SUM(G263:G266),"")</f>
        <v>69.13</v>
      </c>
      <c r="H267" s="35" t="n">
        <f aca="false">IF(ISNUMBER(H264),N(H262)+SUM(H263:H266),"")</f>
        <v>69.13</v>
      </c>
      <c r="I267" s="35" t="n">
        <f aca="false">IF(ISNUMBER(I264),N(I262)+SUM(I263:I266),"")</f>
        <v>92.309</v>
      </c>
      <c r="J267" s="35" t="n">
        <f aca="false">IF(ISNUMBER(J264),N(J262)+SUM(J263:J266),"")</f>
        <v>99.24</v>
      </c>
      <c r="K267" s="35" t="n">
        <f aca="false">IF(ISNUMBER(K264),N(K262)+SUM(K263:K266),"")</f>
        <v>99.24</v>
      </c>
      <c r="L267" s="35" t="n">
        <f aca="false">IF(ISNUMBER(L264),N(L262)+SUM(L263:L266),"")</f>
        <v>116.918</v>
      </c>
      <c r="M267" s="35" t="n">
        <f aca="false">IF(ISNUMBER(M264),N(M262)+SUM(M263:M266),"")</f>
        <v>127.899</v>
      </c>
      <c r="N267" s="35" t="n">
        <f aca="false">IF(ISNUMBER(N264),N(N262)+SUM(N263:N266),"")</f>
        <v>127.899</v>
      </c>
      <c r="O267" s="35" t="n">
        <f aca="false">IF(ISNUMBER(O264),N(O262)+SUM(O263:O266),"")</f>
        <v>147.215</v>
      </c>
      <c r="P267" s="35" t="n">
        <f aca="false">IF(ISNUMBER(P264),N(P262)+SUM(P263:P266),"")</f>
        <v>153.631</v>
      </c>
      <c r="Q267" s="35" t="n">
        <f aca="false">IF(ISNUMBER(Q264),N(Q262)+SUM(Q263:Q266),"")</f>
        <v>153.631</v>
      </c>
      <c r="R267" s="35" t="n">
        <f aca="false">IF(ISNUMBER(R264),N(R262)+SUM(R263:R266),"")</f>
        <v>162.233</v>
      </c>
      <c r="S267" s="35" t="n">
        <f aca="false">IF(ISNUMBER(S264),N(S262)+SUM(S263:S266),"")</f>
        <v>161.62</v>
      </c>
      <c r="T267" s="35" t="n">
        <f aca="false">IF(ISNUMBER(T264),N(T262)+SUM(T263:T266),"")</f>
        <v>161.62</v>
      </c>
      <c r="U267" s="35" t="n">
        <f aca="false">IF(ISNUMBER(U264),N(U262)+SUM(U263:U266),"")</f>
        <v>171.609</v>
      </c>
      <c r="V267" s="35" t="n">
        <f aca="false">IF(ISNUMBER(V264),N(V262)+SUM(V263:V266),"")</f>
        <v>168.662</v>
      </c>
      <c r="W267" s="35" t="n">
        <f aca="false">IF(ISNUMBER(W264),N(W262)+SUM(W263:W266),"")</f>
        <v>168.662</v>
      </c>
      <c r="X267" s="35" t="n">
        <f aca="false">IF(ISNUMBER(X264),N(X262)+SUM(X263:X266),"")</f>
        <v>184.573</v>
      </c>
      <c r="Y267" s="35" t="n">
        <f aca="false">IF(ISNUMBER(Y264),N(Y262)+SUM(Y263:Y266),"")</f>
        <v>189.606</v>
      </c>
      <c r="Z267" s="35" t="n">
        <f aca="false">IF(ISNUMBER(Z264),N(Z262)+SUM(Z263:Z266),"")</f>
        <v>189.606</v>
      </c>
      <c r="AA267" s="35" t="n">
        <f aca="false">IF(ISNUMBER(AA264),N(AA262)+SUM(AA263:AA266),"")</f>
        <v>556.713</v>
      </c>
      <c r="AB267" s="35" t="n">
        <f aca="false">IF(ISNUMBER(AB264),N(AB262)+SUM(AB263:AB266),"")</f>
        <v>632.527</v>
      </c>
      <c r="AC267" s="35" t="n">
        <f aca="false">IF(ISNUMBER(AC264),N(AC262)+SUM(AC263:AC266),"")</f>
        <v>632.527</v>
      </c>
      <c r="AD267" s="35" t="n">
        <f aca="false">IF(ISNUMBER(AD264),N(AD262)+SUM(AD263:AD266),"")</f>
        <v>686.26</v>
      </c>
      <c r="AE267" s="35" t="n">
        <f aca="false">IF(ISNUMBER(AE264),N(AE262)+SUM(AE263:AE266),"")</f>
        <v>690.62</v>
      </c>
      <c r="AF267" s="35" t="n">
        <f aca="false">IF(ISNUMBER(AF264),N(AF262)+SUM(AF263:AF266),"")</f>
        <v>690.62</v>
      </c>
      <c r="AG267" s="35" t="n">
        <f aca="false">IF(ISNUMBER(AG264),N(AG262)+SUM(AG263:AG266),"")</f>
        <v>750.684</v>
      </c>
      <c r="AH267" s="35" t="n">
        <f aca="false">IF(ISNUMBER(AH264),N(AH262)+SUM(AH263:AH266),"")</f>
        <v>764.804</v>
      </c>
      <c r="AI267" s="35" t="n">
        <f aca="false">IF(ISNUMBER(AI264),N(AI262)+SUM(AI263:AI266),"")</f>
        <v>764.804</v>
      </c>
      <c r="AJ267" s="35" t="n">
        <f aca="false">IF(ISNUMBER(AJ264),N(AJ262)+SUM(AJ263:AJ266),"")</f>
        <v>872.634</v>
      </c>
      <c r="AK267" s="35" t="n">
        <f aca="false">IF(ISNUMBER(AK264),N(AK262)+SUM(AK263:AK266),"")</f>
        <v>840.645</v>
      </c>
      <c r="AL267" s="35" t="n">
        <f aca="false">IF(ISNUMBER(AL264),N(AL262)+SUM(AL263:AL266),"")</f>
        <v>840.645</v>
      </c>
      <c r="AM267" s="35" t="n">
        <f aca="false">IF(ISNUMBER(AM264),N(AM262)+SUM(AM263:AM266),"")</f>
        <v>827.172</v>
      </c>
      <c r="AN267" s="35" t="n">
        <f aca="false">IF(ISNUMBER(AN264),N(AN262)+SUM(AN263:AN266),"")</f>
        <v>853.53</v>
      </c>
      <c r="AO267" s="35" t="n">
        <f aca="false">IF(ISNUMBER(AO264),N(AO262)+SUM(AO263:AO266),"")</f>
        <v>853.53</v>
      </c>
      <c r="AP267" s="35" t="n">
        <f aca="false">IF(ISNUMBER(AP264),N(AP262)+SUM(AP263:AP266),"")</f>
        <v>971.663</v>
      </c>
      <c r="AQ267" s="35" t="n">
        <f aca="false">IF(ISNUMBER(AQ264),N(AQ262)+SUM(AQ263:AQ266),"")</f>
        <v>1057.014</v>
      </c>
      <c r="AR267" s="35" t="n">
        <f aca="false">IF(ISNUMBER(AR264),N(AR262)+SUM(AR263:AR266),"")</f>
        <v>1057.014</v>
      </c>
      <c r="AS267" s="35" t="n">
        <f aca="false">IF(ISNUMBER(AS264),N(AS262)+SUM(AS263:AS266),"")</f>
        <v>1211.167</v>
      </c>
      <c r="AT267" s="35" t="n">
        <f aca="false">IF(ISNUMBER(AT264),N(AT262)+SUM(AT263:AT266),"")</f>
        <v>1252.314</v>
      </c>
      <c r="AU267" s="35" t="n">
        <f aca="false">IF(ISNUMBER(AU264),N(AU262)+SUM(AU263:AU266),"")</f>
        <v>1252.314</v>
      </c>
      <c r="AV267" s="35" t="n">
        <f aca="false">IF(ISNUMBER(AV264),N(AV262)+SUM(AV263:AV266),"")</f>
        <v>1309.8</v>
      </c>
      <c r="AW267" s="36" t="n">
        <f aca="false">IF(ISNUMBER(AW264),N(AW262)+SUM(AW263:AW266),"")</f>
        <v>1333.56580265852</v>
      </c>
      <c r="AX267" s="36" t="n">
        <f aca="false">IF(ISNUMBER(AX264),N(AX262)+SUM(AX263:AX266),"")</f>
        <v>1333.56580265852</v>
      </c>
      <c r="AY267" s="36" t="n">
        <f aca="false">IF(ISNUMBER(AY264),N(AY262)+SUM(AY263:AY266),"")</f>
        <v>1412.65552227353</v>
      </c>
      <c r="AZ267" s="36" t="n">
        <f aca="false">IF(ISNUMBER(AZ264),N(AZ262)+SUM(AZ263:AZ266),"")</f>
        <v>1494.10728335018</v>
      </c>
      <c r="BA267" s="36" t="n">
        <f aca="false">IF(ISNUMBER(BA264),N(BA262)+SUM(BA263:BA266),"")</f>
        <v>1588.71124259851</v>
      </c>
      <c r="BB267" s="36" t="n">
        <f aca="false">IF(ISNUMBER(BB264),N(BB262)+SUM(BB263:BB266),"")</f>
        <v>1682.49526189037</v>
      </c>
    </row>
    <row r="268" customFormat="false" ht="15" hidden="false" customHeight="true" outlineLevel="0" collapsed="false">
      <c r="B268" s="20" t="s">
        <v>387</v>
      </c>
      <c r="C268" s="42" t="n">
        <v>58.013</v>
      </c>
      <c r="D268" s="26" t="n">
        <f aca="false">E268</f>
        <v>64.708</v>
      </c>
      <c r="E268" s="42" t="n">
        <v>64.708</v>
      </c>
      <c r="F268" s="42" t="n">
        <v>77.019</v>
      </c>
      <c r="G268" s="26" t="n">
        <f aca="false">H268</f>
        <v>80.089</v>
      </c>
      <c r="H268" s="42" t="n">
        <v>80.089</v>
      </c>
      <c r="I268" s="42" t="n">
        <v>90.144</v>
      </c>
      <c r="J268" s="26" t="n">
        <f aca="false">K268</f>
        <v>94.464</v>
      </c>
      <c r="K268" s="42" t="n">
        <v>94.464</v>
      </c>
      <c r="L268" s="42" t="n">
        <v>107.278</v>
      </c>
      <c r="M268" s="26" t="n">
        <f aca="false">N268</f>
        <v>125.114</v>
      </c>
      <c r="N268" s="42" t="n">
        <v>125.114</v>
      </c>
      <c r="O268" s="42" t="n">
        <v>141.852</v>
      </c>
      <c r="P268" s="26" t="n">
        <f aca="false">Q268</f>
        <v>143.957</v>
      </c>
      <c r="Q268" s="42" t="n">
        <v>143.957</v>
      </c>
      <c r="R268" s="42" t="n">
        <v>154.701</v>
      </c>
      <c r="S268" s="26" t="n">
        <f aca="false">T268</f>
        <v>154.814</v>
      </c>
      <c r="T268" s="42" t="n">
        <v>154.814</v>
      </c>
      <c r="U268" s="42" t="n">
        <v>158.556</v>
      </c>
      <c r="V268" s="26" t="n">
        <f aca="false">W268</f>
        <v>152.647</v>
      </c>
      <c r="W268" s="42" t="n">
        <v>152.647</v>
      </c>
      <c r="X268" s="42" t="n">
        <v>161.499</v>
      </c>
      <c r="Y268" s="26" t="n">
        <f aca="false">Z268</f>
        <v>161.764</v>
      </c>
      <c r="Z268" s="42" t="n">
        <v>161.764</v>
      </c>
      <c r="AA268" s="42" t="n">
        <v>179.848</v>
      </c>
      <c r="AB268" s="26" t="n">
        <f aca="false">AC268</f>
        <v>204.868</v>
      </c>
      <c r="AC268" s="42" t="n">
        <v>204.868</v>
      </c>
      <c r="AD268" s="42" t="n">
        <v>218.131</v>
      </c>
      <c r="AE268" s="26" t="n">
        <f aca="false">AF268</f>
        <v>208.347</v>
      </c>
      <c r="AF268" s="42" t="n">
        <v>208.347</v>
      </c>
      <c r="AG268" s="42" t="n">
        <v>208.841</v>
      </c>
      <c r="AH268" s="26" t="n">
        <f aca="false">AI268</f>
        <v>199.266</v>
      </c>
      <c r="AI268" s="42" t="n">
        <v>199.266</v>
      </c>
      <c r="AJ268" s="42" t="n">
        <v>243.138</v>
      </c>
      <c r="AK268" s="26" t="n">
        <f aca="false">AL268</f>
        <v>242.844</v>
      </c>
      <c r="AL268" s="42" t="n">
        <v>242.844</v>
      </c>
      <c r="AM268" s="42" t="n">
        <v>262.758</v>
      </c>
      <c r="AN268" s="26" t="n">
        <f aca="false">AO268</f>
        <v>287.291</v>
      </c>
      <c r="AO268" s="42" t="n">
        <v>287.291</v>
      </c>
      <c r="AP268" s="42" t="n">
        <v>341.427</v>
      </c>
      <c r="AQ268" s="26" t="n">
        <f aca="false">AR268</f>
        <v>369.953</v>
      </c>
      <c r="AR268" s="42" t="n">
        <v>369.953</v>
      </c>
      <c r="AS268" s="42" t="n">
        <v>378.63</v>
      </c>
      <c r="AT268" s="26" t="n">
        <f aca="false">AU268</f>
        <v>398.341</v>
      </c>
      <c r="AU268" s="42" t="n">
        <v>398.341</v>
      </c>
      <c r="AV268" s="42" t="n">
        <v>420.98</v>
      </c>
      <c r="AW268" s="27" t="n">
        <f aca="false">AX268</f>
        <v>428.420132</v>
      </c>
      <c r="AX268" s="27" t="n">
        <f aca="false">AX308*AX309</f>
        <v>428.420132</v>
      </c>
      <c r="AY268" s="27" t="n">
        <f aca="false">AY308*AY309</f>
        <v>472.335337774142</v>
      </c>
      <c r="AZ268" s="27" t="n">
        <f aca="false">AZ308*AZ309</f>
        <v>511.431668685979</v>
      </c>
      <c r="BA268" s="27" t="n">
        <f aca="false">BA308*BA309</f>
        <v>550.91515828039</v>
      </c>
      <c r="BB268" s="27" t="n">
        <f aca="false">BB308*BB309</f>
        <v>590.390694267013</v>
      </c>
      <c r="BC268" s="18" t="s">
        <v>388</v>
      </c>
    </row>
    <row r="269" customFormat="false" ht="15" hidden="false" customHeight="true" outlineLevel="0" collapsed="false">
      <c r="B269" s="20" t="s">
        <v>389</v>
      </c>
      <c r="C269" s="42" t="n">
        <v>57.837</v>
      </c>
      <c r="D269" s="26" t="n">
        <f aca="false">E269</f>
        <v>48.832</v>
      </c>
      <c r="E269" s="42" t="n">
        <v>48.832</v>
      </c>
      <c r="F269" s="42" t="n">
        <v>61.327</v>
      </c>
      <c r="G269" s="26" t="n">
        <f aca="false">H269</f>
        <v>47.826</v>
      </c>
      <c r="H269" s="42" t="n">
        <v>47.826</v>
      </c>
      <c r="I269" s="42" t="n">
        <v>60.144</v>
      </c>
      <c r="J269" s="26" t="n">
        <f aca="false">K269</f>
        <v>43.361</v>
      </c>
      <c r="K269" s="42" t="n">
        <v>43.361</v>
      </c>
      <c r="L269" s="42" t="n">
        <v>60.112</v>
      </c>
      <c r="M269" s="26" t="n">
        <f aca="false">N269</f>
        <v>45.051</v>
      </c>
      <c r="N269" s="42" t="n">
        <v>45.051</v>
      </c>
      <c r="O269" s="42" t="n">
        <v>64.913</v>
      </c>
      <c r="P269" s="26" t="n">
        <f aca="false">Q269</f>
        <v>45.628</v>
      </c>
      <c r="Q269" s="42" t="n">
        <v>45.628</v>
      </c>
      <c r="R269" s="42" t="n">
        <v>63.06</v>
      </c>
      <c r="S269" s="26" t="n">
        <f aca="false">T269</f>
        <v>47.231</v>
      </c>
      <c r="T269" s="42" t="n">
        <v>47.231</v>
      </c>
      <c r="U269" s="42" t="n">
        <v>54.396</v>
      </c>
      <c r="V269" s="26" t="n">
        <f aca="false">W269</f>
        <v>45.178</v>
      </c>
      <c r="W269" s="42" t="n">
        <v>45.178</v>
      </c>
      <c r="X269" s="42" t="n">
        <v>64.007</v>
      </c>
      <c r="Y269" s="26" t="n">
        <f aca="false">Z269</f>
        <v>61.444</v>
      </c>
      <c r="Z269" s="42" t="n">
        <v>61.444</v>
      </c>
      <c r="AA269" s="42" t="n">
        <v>79.948</v>
      </c>
      <c r="AB269" s="26" t="n">
        <f aca="false">AC269</f>
        <v>58.622</v>
      </c>
      <c r="AC269" s="42" t="n">
        <v>58.622</v>
      </c>
      <c r="AD269" s="42" t="n">
        <v>72.398</v>
      </c>
      <c r="AE269" s="26" t="n">
        <f aca="false">AF269</f>
        <v>78.871</v>
      </c>
      <c r="AF269" s="42" t="n">
        <v>78.871</v>
      </c>
      <c r="AG269" s="42" t="n">
        <v>75.673</v>
      </c>
      <c r="AH269" s="26" t="n">
        <f aca="false">AI269</f>
        <v>72.809</v>
      </c>
      <c r="AI269" s="42" t="n">
        <v>72.809</v>
      </c>
      <c r="AJ269" s="42" t="n">
        <v>75.188</v>
      </c>
      <c r="AK269" s="26" t="n">
        <f aca="false">AL269</f>
        <v>76.608</v>
      </c>
      <c r="AL269" s="42" t="n">
        <v>76.608</v>
      </c>
      <c r="AM269" s="42" t="n">
        <v>75.195</v>
      </c>
      <c r="AN269" s="26" t="n">
        <f aca="false">AO269</f>
        <v>78.17</v>
      </c>
      <c r="AO269" s="42" t="n">
        <v>78.17</v>
      </c>
      <c r="AP269" s="42" t="n">
        <v>83.342</v>
      </c>
      <c r="AQ269" s="26" t="n">
        <f aca="false">AR269</f>
        <v>82.092</v>
      </c>
      <c r="AR269" s="42" t="n">
        <v>82.092</v>
      </c>
      <c r="AS269" s="42" t="n">
        <v>103.606</v>
      </c>
      <c r="AT269" s="26" t="n">
        <f aca="false">AU269</f>
        <v>101.622</v>
      </c>
      <c r="AU269" s="42" t="n">
        <v>101.622</v>
      </c>
      <c r="AV269" s="42" t="n">
        <v>110.72</v>
      </c>
      <c r="AW269" s="27" t="n">
        <f aca="false">AX269</f>
        <v>108.991423013699</v>
      </c>
      <c r="AX269" s="27" t="n">
        <f aca="false">AX308*AX310/365</f>
        <v>108.991423013699</v>
      </c>
      <c r="AY269" s="27" t="n">
        <f aca="false">AY308*AY310/365</f>
        <v>120.16358886622</v>
      </c>
      <c r="AZ269" s="27" t="n">
        <f aca="false">AZ308*AZ310/365</f>
        <v>130.109817865317</v>
      </c>
      <c r="BA269" s="27" t="n">
        <f aca="false">BA308*BA310/365</f>
        <v>140.1545412455</v>
      </c>
      <c r="BB269" s="27" t="n">
        <f aca="false">BB308*BB310/365</f>
        <v>150.197241202958</v>
      </c>
      <c r="BC269" s="18" t="s">
        <v>390</v>
      </c>
    </row>
    <row r="270" customFormat="false" ht="15" hidden="false" customHeight="true" outlineLevel="0" collapsed="false">
      <c r="B270" s="20" t="s">
        <v>391</v>
      </c>
      <c r="C270" s="42" t="n">
        <v>10.588</v>
      </c>
      <c r="D270" s="26" t="n">
        <f aca="false">E270</f>
        <v>17.297</v>
      </c>
      <c r="E270" s="42" t="n">
        <v>17.297</v>
      </c>
      <c r="F270" s="42" t="n">
        <v>5.188</v>
      </c>
      <c r="G270" s="26" t="n">
        <f aca="false">H270</f>
        <v>12.981</v>
      </c>
      <c r="H270" s="42" t="n">
        <v>12.981</v>
      </c>
      <c r="I270" s="42" t="n">
        <v>10.392</v>
      </c>
      <c r="J270" s="26" t="n">
        <f aca="false">K270</f>
        <v>16.938</v>
      </c>
      <c r="K270" s="42" t="n">
        <v>16.938</v>
      </c>
      <c r="L270" s="42" t="n">
        <v>15.386</v>
      </c>
      <c r="M270" s="26" t="n">
        <f aca="false">N270</f>
        <v>16.435</v>
      </c>
      <c r="N270" s="42" t="n">
        <v>16.435</v>
      </c>
      <c r="O270" s="42" t="n">
        <v>16.224</v>
      </c>
      <c r="P270" s="26" t="n">
        <f aca="false">Q270</f>
        <v>19.812</v>
      </c>
      <c r="Q270" s="42" t="n">
        <v>19.812</v>
      </c>
      <c r="R270" s="42" t="n">
        <v>14.468</v>
      </c>
      <c r="S270" s="26" t="n">
        <f aca="false">T270</f>
        <v>19.801</v>
      </c>
      <c r="T270" s="42" t="n">
        <v>19.801</v>
      </c>
      <c r="U270" s="42" t="n">
        <v>22.624</v>
      </c>
      <c r="V270" s="26" t="n">
        <f aca="false">W270</f>
        <v>20.584</v>
      </c>
      <c r="W270" s="42" t="n">
        <v>20.584</v>
      </c>
      <c r="X270" s="42" t="n">
        <v>15.673</v>
      </c>
      <c r="Y270" s="26" t="n">
        <f aca="false">Z270</f>
        <v>26.335</v>
      </c>
      <c r="Z270" s="42" t="n">
        <v>26.335</v>
      </c>
      <c r="AA270" s="42" t="n">
        <v>28.649</v>
      </c>
      <c r="AB270" s="26" t="n">
        <f aca="false">AC270</f>
        <v>31.978</v>
      </c>
      <c r="AC270" s="42" t="n">
        <v>31.978</v>
      </c>
      <c r="AD270" s="42" t="n">
        <v>21.173</v>
      </c>
      <c r="AE270" s="26" t="n">
        <f aca="false">AF270</f>
        <v>29.058</v>
      </c>
      <c r="AF270" s="42" t="n">
        <v>29.058</v>
      </c>
      <c r="AG270" s="42" t="n">
        <v>21.926</v>
      </c>
      <c r="AH270" s="26" t="n">
        <f aca="false">AI270</f>
        <v>33.619</v>
      </c>
      <c r="AI270" s="42" t="n">
        <v>33.619</v>
      </c>
      <c r="AJ270" s="42" t="n">
        <v>33.26</v>
      </c>
      <c r="AK270" s="26" t="n">
        <f aca="false">AL270</f>
        <v>45.491</v>
      </c>
      <c r="AL270" s="42" t="n">
        <v>45.491</v>
      </c>
      <c r="AM270" s="42" t="n">
        <v>46.231</v>
      </c>
      <c r="AN270" s="26" t="n">
        <f aca="false">AO270</f>
        <v>53.945</v>
      </c>
      <c r="AO270" s="42" t="n">
        <v>53.945</v>
      </c>
      <c r="AP270" s="42" t="n">
        <v>52.835</v>
      </c>
      <c r="AQ270" s="26" t="n">
        <f aca="false">AR270</f>
        <v>53.784</v>
      </c>
      <c r="AR270" s="42" t="n">
        <v>53.784</v>
      </c>
      <c r="AS270" s="42" t="n">
        <v>68.193</v>
      </c>
      <c r="AT270" s="26" t="n">
        <f aca="false">AU270</f>
        <v>67.135</v>
      </c>
      <c r="AU270" s="42" t="n">
        <v>67.135</v>
      </c>
      <c r="AV270" s="42" t="n">
        <v>55.874</v>
      </c>
      <c r="AW270" s="27" t="n">
        <f aca="false">AX270</f>
        <v>55.874</v>
      </c>
      <c r="AX270" s="27" t="n">
        <f aca="false">AV270</f>
        <v>55.874</v>
      </c>
      <c r="AY270" s="27" t="n">
        <f aca="false">AX270</f>
        <v>55.874</v>
      </c>
      <c r="AZ270" s="27" t="n">
        <f aca="false">AY270</f>
        <v>55.874</v>
      </c>
      <c r="BA270" s="27" t="n">
        <f aca="false">AZ270</f>
        <v>55.874</v>
      </c>
      <c r="BB270" s="27" t="n">
        <f aca="false">BA270</f>
        <v>55.874</v>
      </c>
      <c r="BC270" s="18" t="s">
        <v>383</v>
      </c>
    </row>
    <row r="271" customFormat="false" ht="15" hidden="false" customHeight="true" outlineLevel="0" collapsed="false">
      <c r="B271" s="20" t="s">
        <v>392</v>
      </c>
      <c r="C271" s="42" t="n">
        <v>5.234</v>
      </c>
      <c r="D271" s="26" t="n">
        <f aca="false">E271</f>
        <v>8.683</v>
      </c>
      <c r="E271" s="42" t="n">
        <v>8.683</v>
      </c>
      <c r="F271" s="42" t="n">
        <v>33.531</v>
      </c>
      <c r="G271" s="26" t="n">
        <f aca="false">H271</f>
        <v>40.045</v>
      </c>
      <c r="H271" s="42" t="n">
        <v>40.045</v>
      </c>
      <c r="I271" s="42" t="n">
        <v>33.101</v>
      </c>
      <c r="J271" s="26" t="n">
        <f aca="false">K271</f>
        <v>38.676</v>
      </c>
      <c r="K271" s="42" t="n">
        <v>38.676</v>
      </c>
      <c r="L271" s="42" t="n">
        <v>43.626</v>
      </c>
      <c r="M271" s="26" t="n">
        <f aca="false">N271</f>
        <v>53.635</v>
      </c>
      <c r="N271" s="42" t="n">
        <v>53.635</v>
      </c>
      <c r="O271" s="42" t="n">
        <v>57.18</v>
      </c>
      <c r="P271" s="26" t="n">
        <f aca="false">Q271</f>
        <v>48.075</v>
      </c>
      <c r="Q271" s="42" t="n">
        <v>48.075</v>
      </c>
      <c r="R271" s="42" t="n">
        <v>42.222</v>
      </c>
      <c r="S271" s="26" t="n">
        <f aca="false">T271</f>
        <v>46.428</v>
      </c>
      <c r="T271" s="42" t="n">
        <v>46.428</v>
      </c>
      <c r="U271" s="42" t="n">
        <v>50.005</v>
      </c>
      <c r="V271" s="26" t="n">
        <f aca="false">W271</f>
        <v>62.953</v>
      </c>
      <c r="W271" s="42" t="n">
        <v>62.953</v>
      </c>
      <c r="X271" s="42" t="n">
        <v>51.268</v>
      </c>
      <c r="Y271" s="26" t="n">
        <f aca="false">Z271</f>
        <v>56.606</v>
      </c>
      <c r="Z271" s="42" t="n">
        <v>56.606</v>
      </c>
      <c r="AA271" s="42" t="n">
        <v>58.075</v>
      </c>
      <c r="AB271" s="26" t="n">
        <f aca="false">AC271</f>
        <v>68.932</v>
      </c>
      <c r="AC271" s="42" t="n">
        <v>68.932</v>
      </c>
      <c r="AD271" s="42" t="n">
        <v>111.782</v>
      </c>
      <c r="AE271" s="26" t="n">
        <f aca="false">AF271</f>
        <v>72.834</v>
      </c>
      <c r="AF271" s="42" t="n">
        <v>72.834</v>
      </c>
      <c r="AG271" s="42" t="n">
        <v>63.187</v>
      </c>
      <c r="AH271" s="26" t="n">
        <f aca="false">AI271</f>
        <v>98.003</v>
      </c>
      <c r="AI271" s="42" t="n">
        <v>98.003</v>
      </c>
      <c r="AJ271" s="42" t="n">
        <v>105.484</v>
      </c>
      <c r="AK271" s="26" t="n">
        <f aca="false">AL271</f>
        <v>117.4</v>
      </c>
      <c r="AL271" s="42" t="n">
        <v>117.4</v>
      </c>
      <c r="AM271" s="42" t="n">
        <v>91.261</v>
      </c>
      <c r="AN271" s="26" t="n">
        <f aca="false">AO271</f>
        <v>106.944</v>
      </c>
      <c r="AO271" s="42" t="n">
        <v>106.944</v>
      </c>
      <c r="AP271" s="42" t="n">
        <v>86.597</v>
      </c>
      <c r="AQ271" s="26" t="n">
        <f aca="false">AR271</f>
        <v>182.05</v>
      </c>
      <c r="AR271" s="42" t="n">
        <v>182.05</v>
      </c>
      <c r="AS271" s="42" t="n">
        <v>242.657</v>
      </c>
      <c r="AT271" s="26" t="n">
        <f aca="false">AU271</f>
        <v>202.848</v>
      </c>
      <c r="AU271" s="42" t="n">
        <v>202.848</v>
      </c>
      <c r="AV271" s="42" t="n">
        <v>179.77</v>
      </c>
      <c r="AW271" s="27" t="n">
        <f aca="false">AX271</f>
        <v>150</v>
      </c>
      <c r="AX271" s="27" t="n">
        <f aca="false">AX235</f>
        <v>150</v>
      </c>
      <c r="AY271" s="27" t="n">
        <f aca="false">AY235</f>
        <v>150</v>
      </c>
      <c r="AZ271" s="27" t="n">
        <f aca="false">AZ235</f>
        <v>150</v>
      </c>
      <c r="BA271" s="27" t="n">
        <f aca="false">BA235</f>
        <v>150</v>
      </c>
      <c r="BB271" s="27" t="n">
        <f aca="false">BB235</f>
        <v>150</v>
      </c>
      <c r="BC271" s="18" t="s">
        <v>393</v>
      </c>
    </row>
    <row r="272" customFormat="false" ht="15" hidden="false" customHeight="true" outlineLevel="0" collapsed="false">
      <c r="B272" s="14" t="s">
        <v>394</v>
      </c>
      <c r="C272" s="35" t="n">
        <f aca="false">IF(ISNUMBER(C268),SUM(C268:C271),"")</f>
        <v>131.672</v>
      </c>
      <c r="D272" s="35" t="n">
        <f aca="false">IF(ISNUMBER(D268),SUM(D268:D271),"")</f>
        <v>139.52</v>
      </c>
      <c r="E272" s="35" t="n">
        <f aca="false">IF(ISNUMBER(E268),SUM(E268:E271),"")</f>
        <v>139.52</v>
      </c>
      <c r="F272" s="35" t="n">
        <f aca="false">IF(ISNUMBER(F268),SUM(F268:F271),"")</f>
        <v>177.065</v>
      </c>
      <c r="G272" s="35" t="n">
        <f aca="false">IF(ISNUMBER(G268),SUM(G268:G271),"")</f>
        <v>180.941</v>
      </c>
      <c r="H272" s="35" t="n">
        <f aca="false">IF(ISNUMBER(H268),SUM(H268:H271),"")</f>
        <v>180.941</v>
      </c>
      <c r="I272" s="35" t="n">
        <f aca="false">IF(ISNUMBER(I268),SUM(I268:I271),"")</f>
        <v>193.781</v>
      </c>
      <c r="J272" s="35" t="n">
        <f aca="false">IF(ISNUMBER(J268),SUM(J268:J271),"")</f>
        <v>193.439</v>
      </c>
      <c r="K272" s="35" t="n">
        <f aca="false">IF(ISNUMBER(K268),SUM(K268:K271),"")</f>
        <v>193.439</v>
      </c>
      <c r="L272" s="35" t="n">
        <f aca="false">IF(ISNUMBER(L268),SUM(L268:L271),"")</f>
        <v>226.402</v>
      </c>
      <c r="M272" s="35" t="n">
        <f aca="false">IF(ISNUMBER(M268),SUM(M268:M271),"")</f>
        <v>240.235</v>
      </c>
      <c r="N272" s="35" t="n">
        <f aca="false">IF(ISNUMBER(N268),SUM(N268:N271),"")</f>
        <v>240.235</v>
      </c>
      <c r="O272" s="35" t="n">
        <f aca="false">IF(ISNUMBER(O268),SUM(O268:O271),"")</f>
        <v>280.169</v>
      </c>
      <c r="P272" s="35" t="n">
        <f aca="false">IF(ISNUMBER(P268),SUM(P268:P271),"")</f>
        <v>257.472</v>
      </c>
      <c r="Q272" s="35" t="n">
        <f aca="false">IF(ISNUMBER(Q268),SUM(Q268:Q271),"")</f>
        <v>257.472</v>
      </c>
      <c r="R272" s="35" t="n">
        <f aca="false">IF(ISNUMBER(R268),SUM(R268:R271),"")</f>
        <v>274.451</v>
      </c>
      <c r="S272" s="35" t="n">
        <f aca="false">IF(ISNUMBER(S268),SUM(S268:S271),"")</f>
        <v>268.274</v>
      </c>
      <c r="T272" s="35" t="n">
        <f aca="false">IF(ISNUMBER(T268),SUM(T268:T271),"")</f>
        <v>268.274</v>
      </c>
      <c r="U272" s="35" t="n">
        <f aca="false">IF(ISNUMBER(U268),SUM(U268:U271),"")</f>
        <v>285.581</v>
      </c>
      <c r="V272" s="35" t="n">
        <f aca="false">IF(ISNUMBER(V268),SUM(V268:V271),"")</f>
        <v>281.362</v>
      </c>
      <c r="W272" s="35" t="n">
        <f aca="false">IF(ISNUMBER(W268),SUM(W268:W271),"")</f>
        <v>281.362</v>
      </c>
      <c r="X272" s="35" t="n">
        <f aca="false">IF(ISNUMBER(X268),SUM(X268:X271),"")</f>
        <v>292.447</v>
      </c>
      <c r="Y272" s="35" t="n">
        <f aca="false">IF(ISNUMBER(Y268),SUM(Y268:Y271),"")</f>
        <v>306.149</v>
      </c>
      <c r="Z272" s="35" t="n">
        <f aca="false">IF(ISNUMBER(Z268),SUM(Z268:Z271),"")</f>
        <v>306.149</v>
      </c>
      <c r="AA272" s="35" t="n">
        <f aca="false">IF(ISNUMBER(AA268),SUM(AA268:AA271),"")</f>
        <v>346.52</v>
      </c>
      <c r="AB272" s="35" t="n">
        <f aca="false">IF(ISNUMBER(AB268),SUM(AB268:AB271),"")</f>
        <v>364.4</v>
      </c>
      <c r="AC272" s="35" t="n">
        <f aca="false">IF(ISNUMBER(AC268),SUM(AC268:AC271),"")</f>
        <v>364.4</v>
      </c>
      <c r="AD272" s="35" t="n">
        <f aca="false">IF(ISNUMBER(AD268),SUM(AD268:AD271),"")</f>
        <v>423.484</v>
      </c>
      <c r="AE272" s="35" t="n">
        <f aca="false">IF(ISNUMBER(AE268),SUM(AE268:AE271),"")</f>
        <v>389.11</v>
      </c>
      <c r="AF272" s="35" t="n">
        <f aca="false">IF(ISNUMBER(AF268),SUM(AF268:AF271),"")</f>
        <v>389.11</v>
      </c>
      <c r="AG272" s="35" t="n">
        <f aca="false">IF(ISNUMBER(AG268),SUM(AG268:AG271),"")</f>
        <v>369.627</v>
      </c>
      <c r="AH272" s="35" t="n">
        <f aca="false">IF(ISNUMBER(AH268),SUM(AH268:AH271),"")</f>
        <v>403.697</v>
      </c>
      <c r="AI272" s="35" t="n">
        <f aca="false">IF(ISNUMBER(AI268),SUM(AI268:AI271),"")</f>
        <v>403.697</v>
      </c>
      <c r="AJ272" s="35" t="n">
        <f aca="false">IF(ISNUMBER(AJ268),SUM(AJ268:AJ271),"")</f>
        <v>457.07</v>
      </c>
      <c r="AK272" s="35" t="n">
        <f aca="false">IF(ISNUMBER(AK268),SUM(AK268:AK271),"")</f>
        <v>482.343</v>
      </c>
      <c r="AL272" s="35" t="n">
        <f aca="false">IF(ISNUMBER(AL268),SUM(AL268:AL271),"")</f>
        <v>482.343</v>
      </c>
      <c r="AM272" s="35" t="n">
        <f aca="false">IF(ISNUMBER(AM268),SUM(AM268:AM271),"")</f>
        <v>475.445</v>
      </c>
      <c r="AN272" s="35" t="n">
        <f aca="false">IF(ISNUMBER(AN268),SUM(AN268:AN271),"")</f>
        <v>526.35</v>
      </c>
      <c r="AO272" s="35" t="n">
        <f aca="false">IF(ISNUMBER(AO268),SUM(AO268:AO271),"")</f>
        <v>526.35</v>
      </c>
      <c r="AP272" s="35" t="n">
        <f aca="false">IF(ISNUMBER(AP268),SUM(AP268:AP271),"")</f>
        <v>564.201</v>
      </c>
      <c r="AQ272" s="35" t="n">
        <f aca="false">IF(ISNUMBER(AQ268),SUM(AQ268:AQ271),"")</f>
        <v>687.879</v>
      </c>
      <c r="AR272" s="35" t="n">
        <f aca="false">IF(ISNUMBER(AR268),SUM(AR268:AR271),"")</f>
        <v>687.879</v>
      </c>
      <c r="AS272" s="35" t="n">
        <f aca="false">IF(ISNUMBER(AS268),SUM(AS268:AS271),"")</f>
        <v>793.086</v>
      </c>
      <c r="AT272" s="35" t="n">
        <f aca="false">IF(ISNUMBER(AT268),SUM(AT268:AT271),"")</f>
        <v>769.946</v>
      </c>
      <c r="AU272" s="35" t="n">
        <f aca="false">IF(ISNUMBER(AU268),SUM(AU268:AU271),"")</f>
        <v>769.946</v>
      </c>
      <c r="AV272" s="35" t="n">
        <f aca="false">IF(ISNUMBER(AV268),SUM(AV268:AV271),"")</f>
        <v>767.344</v>
      </c>
      <c r="AW272" s="36" t="n">
        <f aca="false">IF(ISNUMBER(AW268),SUM(AW268:AW271),"")</f>
        <v>743.285555013699</v>
      </c>
      <c r="AX272" s="36" t="n">
        <f aca="false">IF(ISNUMBER(AX268),SUM(AX268:AX271),"")</f>
        <v>743.285555013699</v>
      </c>
      <c r="AY272" s="36" t="n">
        <f aca="false">IF(ISNUMBER(AY268),SUM(AY268:AY271),"")</f>
        <v>798.372926640362</v>
      </c>
      <c r="AZ272" s="36" t="n">
        <f aca="false">IF(ISNUMBER(AZ268),SUM(AZ268:AZ271),"")</f>
        <v>847.415486551296</v>
      </c>
      <c r="BA272" s="36" t="n">
        <f aca="false">IF(ISNUMBER(BA268),SUM(BA268:BA271),"")</f>
        <v>896.94369952589</v>
      </c>
      <c r="BB272" s="36" t="n">
        <f aca="false">IF(ISNUMBER(BB268),SUM(BB268:BB271),"")</f>
        <v>946.461935469972</v>
      </c>
    </row>
    <row r="273" customFormat="false" ht="15" hidden="false" customHeight="true" outlineLevel="0" collapsed="false">
      <c r="B273" s="46" t="s">
        <v>395</v>
      </c>
      <c r="C273" s="47" t="n">
        <f aca="false">IF(ISNUMBER(C267),C267+C272,"")</f>
        <v>174.332</v>
      </c>
      <c r="D273" s="47" t="n">
        <f aca="false">IF(ISNUMBER(D267),D267+D272,"")</f>
        <v>185.379</v>
      </c>
      <c r="E273" s="47" t="n">
        <f aca="false">IF(ISNUMBER(E267),E267+E272,"")</f>
        <v>185.379</v>
      </c>
      <c r="F273" s="47" t="n">
        <f aca="false">IF(ISNUMBER(F267),F267+F272,"")</f>
        <v>232.238</v>
      </c>
      <c r="G273" s="47" t="n">
        <f aca="false">IF(ISNUMBER(G267),G267+G272,"")</f>
        <v>250.071</v>
      </c>
      <c r="H273" s="47" t="n">
        <f aca="false">IF(ISNUMBER(H267),H267+H272,"")</f>
        <v>250.071</v>
      </c>
      <c r="I273" s="47" t="n">
        <f aca="false">IF(ISNUMBER(I267),I267+I272,"")</f>
        <v>286.09</v>
      </c>
      <c r="J273" s="47" t="n">
        <f aca="false">IF(ISNUMBER(J267),J267+J272,"")</f>
        <v>292.679</v>
      </c>
      <c r="K273" s="47" t="n">
        <f aca="false">IF(ISNUMBER(K267),K267+K272,"")</f>
        <v>292.679</v>
      </c>
      <c r="L273" s="47" t="n">
        <f aca="false">IF(ISNUMBER(L267),L267+L272,"")</f>
        <v>343.32</v>
      </c>
      <c r="M273" s="47" t="n">
        <f aca="false">IF(ISNUMBER(M267),M267+M272,"")</f>
        <v>368.134</v>
      </c>
      <c r="N273" s="47" t="n">
        <f aca="false">IF(ISNUMBER(N267),N267+N272,"")</f>
        <v>368.134</v>
      </c>
      <c r="O273" s="47" t="n">
        <f aca="false">IF(ISNUMBER(O267),O267+O272,"")</f>
        <v>427.384</v>
      </c>
      <c r="P273" s="47" t="n">
        <f aca="false">IF(ISNUMBER(P267),P267+P272,"")</f>
        <v>411.103</v>
      </c>
      <c r="Q273" s="47" t="n">
        <f aca="false">IF(ISNUMBER(Q267),Q267+Q272,"")</f>
        <v>411.103</v>
      </c>
      <c r="R273" s="47" t="n">
        <f aca="false">IF(ISNUMBER(R267),R267+R272,"")</f>
        <v>436.684</v>
      </c>
      <c r="S273" s="47" t="n">
        <f aca="false">IF(ISNUMBER(S267),S267+S272,"")</f>
        <v>429.894</v>
      </c>
      <c r="T273" s="47" t="n">
        <f aca="false">IF(ISNUMBER(T267),T267+T272,"")</f>
        <v>429.894</v>
      </c>
      <c r="U273" s="47" t="n">
        <f aca="false">IF(ISNUMBER(U267),U267+U272,"")</f>
        <v>457.19</v>
      </c>
      <c r="V273" s="47" t="n">
        <f aca="false">IF(ISNUMBER(V267),V267+V272,"")</f>
        <v>450.024</v>
      </c>
      <c r="W273" s="47" t="n">
        <f aca="false">IF(ISNUMBER(W267),W267+W272,"")</f>
        <v>450.024</v>
      </c>
      <c r="X273" s="47" t="n">
        <f aca="false">IF(ISNUMBER(X267),X267+X272,"")</f>
        <v>477.02</v>
      </c>
      <c r="Y273" s="47" t="n">
        <f aca="false">IF(ISNUMBER(Y267),Y267+Y272,"")</f>
        <v>495.755</v>
      </c>
      <c r="Z273" s="47" t="n">
        <f aca="false">IF(ISNUMBER(Z267),Z267+Z272,"")</f>
        <v>495.755</v>
      </c>
      <c r="AA273" s="47" t="n">
        <f aca="false">IF(ISNUMBER(AA267),AA267+AA272,"")</f>
        <v>903.233</v>
      </c>
      <c r="AB273" s="47" t="n">
        <f aca="false">IF(ISNUMBER(AB267),AB267+AB272,"")</f>
        <v>996.927</v>
      </c>
      <c r="AC273" s="47" t="n">
        <f aca="false">IF(ISNUMBER(AC267),AC267+AC272,"")</f>
        <v>996.927</v>
      </c>
      <c r="AD273" s="47" t="n">
        <f aca="false">IF(ISNUMBER(AD267),AD267+AD272,"")</f>
        <v>1109.744</v>
      </c>
      <c r="AE273" s="47" t="n">
        <f aca="false">IF(ISNUMBER(AE267),AE267+AE272,"")</f>
        <v>1079.73</v>
      </c>
      <c r="AF273" s="47" t="n">
        <f aca="false">IF(ISNUMBER(AF267),AF267+AF272,"")</f>
        <v>1079.73</v>
      </c>
      <c r="AG273" s="47" t="n">
        <f aca="false">IF(ISNUMBER(AG267),AG267+AG272,"")</f>
        <v>1120.311</v>
      </c>
      <c r="AH273" s="47" t="n">
        <f aca="false">IF(ISNUMBER(AH267),AH267+AH272,"")</f>
        <v>1168.501</v>
      </c>
      <c r="AI273" s="47" t="n">
        <f aca="false">IF(ISNUMBER(AI267),AI267+AI272,"")</f>
        <v>1168.501</v>
      </c>
      <c r="AJ273" s="47" t="n">
        <f aca="false">IF(ISNUMBER(AJ267),AJ267+AJ272,"")</f>
        <v>1329.704</v>
      </c>
      <c r="AK273" s="47" t="n">
        <f aca="false">IF(ISNUMBER(AK267),AK267+AK272,"")</f>
        <v>1322.988</v>
      </c>
      <c r="AL273" s="47" t="n">
        <f aca="false">IF(ISNUMBER(AL267),AL267+AL272,"")</f>
        <v>1322.988</v>
      </c>
      <c r="AM273" s="47" t="n">
        <f aca="false">IF(ISNUMBER(AM267),AM267+AM272,"")</f>
        <v>1302.617</v>
      </c>
      <c r="AN273" s="47" t="n">
        <f aca="false">IF(ISNUMBER(AN267),AN267+AN272,"")</f>
        <v>1379.88</v>
      </c>
      <c r="AO273" s="47" t="n">
        <f aca="false">IF(ISNUMBER(AO267),AO267+AO272,"")</f>
        <v>1379.88</v>
      </c>
      <c r="AP273" s="47" t="n">
        <f aca="false">IF(ISNUMBER(AP267),AP267+AP272,"")</f>
        <v>1535.864</v>
      </c>
      <c r="AQ273" s="47" t="n">
        <f aca="false">IF(ISNUMBER(AQ267),AQ267+AQ272,"")</f>
        <v>1744.893</v>
      </c>
      <c r="AR273" s="47" t="n">
        <f aca="false">IF(ISNUMBER(AR267),AR267+AR272,"")</f>
        <v>1744.893</v>
      </c>
      <c r="AS273" s="47" t="n">
        <f aca="false">IF(ISNUMBER(AS267),AS267+AS272,"")</f>
        <v>2004.253</v>
      </c>
      <c r="AT273" s="47" t="n">
        <f aca="false">IF(ISNUMBER(AT267),AT267+AT272,"")</f>
        <v>2022.26</v>
      </c>
      <c r="AU273" s="47" t="n">
        <f aca="false">IF(ISNUMBER(AU267),AU267+AU272,"")</f>
        <v>2022.26</v>
      </c>
      <c r="AV273" s="47" t="n">
        <f aca="false">IF(ISNUMBER(AV267),AV267+AV272,"")</f>
        <v>2077.144</v>
      </c>
      <c r="AW273" s="47" t="n">
        <f aca="false">IF(ISNUMBER(AW267),AW267+AW272,"")</f>
        <v>2076.85135767222</v>
      </c>
      <c r="AX273" s="47" t="n">
        <f aca="false">IF(ISNUMBER(AX267),AX267+AX272,"")</f>
        <v>2076.85135767222</v>
      </c>
      <c r="AY273" s="47" t="n">
        <f aca="false">IF(ISNUMBER(AY267),AY267+AY272,"")</f>
        <v>2211.02844891389</v>
      </c>
      <c r="AZ273" s="47" t="n">
        <f aca="false">IF(ISNUMBER(AZ267),AZ267+AZ272,"")</f>
        <v>2341.52276990148</v>
      </c>
      <c r="BA273" s="47" t="n">
        <f aca="false">IF(ISNUMBER(BA267),BA267+BA272,"")</f>
        <v>2485.6549421244</v>
      </c>
      <c r="BB273" s="47" t="n">
        <f aca="false">IF(ISNUMBER(BB267),BB267+BB272,"")</f>
        <v>2628.95719736035</v>
      </c>
      <c r="BE273" s="37" t="n">
        <f aca="false">IFERROR(IF(AND(BB273&gt;0,AU273&gt;0),(BB273/AU273)^(1/5)-1,"n/m"),"n/m")</f>
        <v>0.0538754912033626</v>
      </c>
      <c r="BF273" s="37" t="n">
        <f aca="false">IFERROR(IF(AND(AU273&gt;0,AF273&gt;0),(AU273/AF273)^(1/5)-1,"n/m"),"n/m")</f>
        <v>0.133716231934589</v>
      </c>
      <c r="BG273" s="37" t="n">
        <f aca="false">IFERROR(IF(AND(AU273&gt;0,Q273&gt;0),(AU273/Q273)^(1/10)-1,"n/m"),"n/m")</f>
        <v>0.17270461583278</v>
      </c>
      <c r="BH273" s="37" t="n">
        <f aca="false">IFERROR(IF(AND(AU273&gt;0,E273&gt;0),(AU273/E273)^(1/14)-1,"n/m"),"n/m")</f>
        <v>0.186115250126452</v>
      </c>
    </row>
    <row r="274" customFormat="false" ht="15" hidden="false" customHeight="true" outlineLevel="0" collapsed="false">
      <c r="B274" s="40" t="s">
        <v>396</v>
      </c>
    </row>
    <row r="275" customFormat="false" ht="15" hidden="false" customHeight="true" outlineLevel="0" collapsed="false">
      <c r="B275" s="20" t="s">
        <v>397</v>
      </c>
      <c r="C275" s="42" t="n">
        <v>12</v>
      </c>
      <c r="D275" s="26" t="n">
        <f aca="false">E275</f>
        <v>12</v>
      </c>
      <c r="E275" s="42" t="n">
        <v>12</v>
      </c>
      <c r="F275" s="42" t="n">
        <v>70.639</v>
      </c>
      <c r="G275" s="26" t="n">
        <f aca="false">H275</f>
        <v>71.515</v>
      </c>
      <c r="H275" s="42" t="n">
        <v>71.515</v>
      </c>
      <c r="I275" s="42" t="n">
        <v>71.515</v>
      </c>
      <c r="J275" s="26" t="n">
        <f aca="false">K275</f>
        <v>71.515</v>
      </c>
      <c r="K275" s="42" t="n">
        <v>71.515</v>
      </c>
      <c r="L275" s="42" t="n">
        <v>71.515</v>
      </c>
      <c r="M275" s="26" t="n">
        <f aca="false">N275</f>
        <v>71.515</v>
      </c>
      <c r="N275" s="42" t="n">
        <v>71.515</v>
      </c>
      <c r="O275" s="42" t="n">
        <v>71.515</v>
      </c>
      <c r="P275" s="26" t="n">
        <f aca="false">Q275</f>
        <v>71.515</v>
      </c>
      <c r="Q275" s="42" t="n">
        <v>71.515</v>
      </c>
      <c r="R275" s="42" t="n">
        <v>71.515</v>
      </c>
      <c r="S275" s="26" t="n">
        <f aca="false">T275</f>
        <v>71.515</v>
      </c>
      <c r="T275" s="42" t="n">
        <v>71.515</v>
      </c>
      <c r="U275" s="42" t="n">
        <v>71.515</v>
      </c>
      <c r="V275" s="26" t="n">
        <f aca="false">W275</f>
        <v>71.515</v>
      </c>
      <c r="W275" s="42" t="n">
        <v>71.515</v>
      </c>
      <c r="X275" s="42" t="n">
        <v>71.515</v>
      </c>
      <c r="Y275" s="26" t="n">
        <f aca="false">Z275</f>
        <v>71.515</v>
      </c>
      <c r="Z275" s="42" t="n">
        <v>71.515</v>
      </c>
      <c r="AA275" s="42" t="n">
        <v>71.515</v>
      </c>
      <c r="AB275" s="26" t="n">
        <f aca="false">AC275</f>
        <v>71.515</v>
      </c>
      <c r="AC275" s="42" t="n">
        <v>71.515</v>
      </c>
      <c r="AD275" s="42" t="n">
        <v>71.515</v>
      </c>
      <c r="AE275" s="26" t="n">
        <f aca="false">AF275</f>
        <v>71.515</v>
      </c>
      <c r="AF275" s="42" t="n">
        <v>71.515</v>
      </c>
      <c r="AG275" s="42" t="n">
        <v>71.515</v>
      </c>
      <c r="AH275" s="26" t="n">
        <f aca="false">AI275</f>
        <v>71.515</v>
      </c>
      <c r="AI275" s="42" t="n">
        <v>71.515</v>
      </c>
      <c r="AJ275" s="42" t="n">
        <v>71.515</v>
      </c>
      <c r="AK275" s="26" t="n">
        <f aca="false">AL275</f>
        <v>71.515</v>
      </c>
      <c r="AL275" s="42" t="n">
        <v>71.515</v>
      </c>
      <c r="AM275" s="42" t="n">
        <v>71.515</v>
      </c>
      <c r="AN275" s="26" t="n">
        <f aca="false">AO275</f>
        <v>71.515</v>
      </c>
      <c r="AO275" s="42" t="n">
        <v>71.515</v>
      </c>
      <c r="AP275" s="42" t="n">
        <v>71.515</v>
      </c>
      <c r="AQ275" s="26" t="n">
        <f aca="false">AR275</f>
        <v>71.515</v>
      </c>
      <c r="AR275" s="42" t="n">
        <v>71.515</v>
      </c>
      <c r="AS275" s="42" t="n">
        <v>71.515</v>
      </c>
      <c r="AT275" s="26" t="n">
        <f aca="false">AU275</f>
        <v>71.515</v>
      </c>
      <c r="AU275" s="42" t="n">
        <v>71.515</v>
      </c>
      <c r="AV275" s="42" t="n">
        <v>257.915</v>
      </c>
      <c r="AW275" s="27" t="n">
        <f aca="false">AX275</f>
        <v>257.915</v>
      </c>
      <c r="AX275" s="27" t="n">
        <f aca="false">AV275</f>
        <v>257.915</v>
      </c>
      <c r="AY275" s="27" t="n">
        <f aca="false">AX275</f>
        <v>257.915</v>
      </c>
      <c r="AZ275" s="27" t="n">
        <f aca="false">AY275</f>
        <v>257.915</v>
      </c>
      <c r="BA275" s="27" t="n">
        <f aca="false">AZ275</f>
        <v>257.915</v>
      </c>
      <c r="BB275" s="27" t="n">
        <f aca="false">BA275</f>
        <v>257.915</v>
      </c>
      <c r="BC275" s="18" t="s">
        <v>398</v>
      </c>
    </row>
    <row r="276" customFormat="false" ht="15" hidden="false" customHeight="true" outlineLevel="0" collapsed="false">
      <c r="B276" s="20" t="s">
        <v>399</v>
      </c>
      <c r="C276" s="42" t="n">
        <v>16.408</v>
      </c>
      <c r="D276" s="26" t="n">
        <f aca="false">E276</f>
        <v>24.294</v>
      </c>
      <c r="E276" s="42" t="n">
        <v>24.294</v>
      </c>
      <c r="F276" s="42" t="n">
        <v>30.107</v>
      </c>
      <c r="G276" s="26" t="n">
        <f aca="false">H276</f>
        <v>46.308</v>
      </c>
      <c r="H276" s="42" t="n">
        <v>46.308</v>
      </c>
      <c r="I276" s="42" t="n">
        <v>54.356</v>
      </c>
      <c r="J276" s="26" t="n">
        <f aca="false">K276</f>
        <v>70.539</v>
      </c>
      <c r="K276" s="42" t="n">
        <v>70.539</v>
      </c>
      <c r="L276" s="42" t="n">
        <v>78.879</v>
      </c>
      <c r="M276" s="26" t="n">
        <f aca="false">N276</f>
        <v>93.242</v>
      </c>
      <c r="N276" s="42" t="n">
        <v>93.242</v>
      </c>
      <c r="O276" s="42" t="n">
        <v>101.55</v>
      </c>
      <c r="P276" s="26" t="n">
        <f aca="false">Q276</f>
        <v>118.718</v>
      </c>
      <c r="Q276" s="42" t="n">
        <v>118.718</v>
      </c>
      <c r="R276" s="42" t="n">
        <v>126.955</v>
      </c>
      <c r="S276" s="26" t="n">
        <f aca="false">T276</f>
        <v>147.428</v>
      </c>
      <c r="T276" s="42" t="n">
        <v>147.428</v>
      </c>
      <c r="U276" s="42" t="n">
        <v>157.896</v>
      </c>
      <c r="V276" s="26" t="n">
        <f aca="false">W276</f>
        <v>187.486</v>
      </c>
      <c r="W276" s="42" t="n">
        <v>187.486</v>
      </c>
      <c r="X276" s="42" t="n">
        <v>187.865</v>
      </c>
      <c r="Y276" s="26" t="n">
        <f aca="false">Z276</f>
        <v>213.158</v>
      </c>
      <c r="Z276" s="42" t="n">
        <v>213.158</v>
      </c>
      <c r="AA276" s="42" t="n">
        <v>205.497</v>
      </c>
      <c r="AB276" s="26" t="n">
        <f aca="false">AC276</f>
        <v>226.134</v>
      </c>
      <c r="AC276" s="42" t="n">
        <v>226.134</v>
      </c>
      <c r="AD276" s="42" t="n">
        <v>179.793</v>
      </c>
      <c r="AE276" s="26" t="n">
        <f aca="false">AF276</f>
        <v>187.454</v>
      </c>
      <c r="AF276" s="42" t="n">
        <v>187.454</v>
      </c>
      <c r="AG276" s="42" t="n">
        <v>208.432</v>
      </c>
      <c r="AH276" s="26" t="n">
        <f aca="false">AI276</f>
        <v>244.626</v>
      </c>
      <c r="AI276" s="42" t="n">
        <v>244.626</v>
      </c>
      <c r="AJ276" s="42" t="n">
        <v>274.949</v>
      </c>
      <c r="AK276" s="26" t="n">
        <f aca="false">AL276</f>
        <v>311.028</v>
      </c>
      <c r="AL276" s="42" t="n">
        <v>311.028</v>
      </c>
      <c r="AM276" s="42" t="n">
        <v>319.237</v>
      </c>
      <c r="AN276" s="26" t="n">
        <f aca="false">AO276</f>
        <v>370.276</v>
      </c>
      <c r="AO276" s="42" t="n">
        <v>370.276</v>
      </c>
      <c r="AP276" s="42" t="n">
        <v>364.463</v>
      </c>
      <c r="AQ276" s="26" t="n">
        <f aca="false">AR276</f>
        <v>418.423</v>
      </c>
      <c r="AR276" s="42" t="n">
        <v>418.423</v>
      </c>
      <c r="AS276" s="42" t="n">
        <v>420.295</v>
      </c>
      <c r="AT276" s="26" t="n">
        <f aca="false">AU276</f>
        <v>474.505</v>
      </c>
      <c r="AU276" s="42" t="n">
        <v>474.505</v>
      </c>
      <c r="AV276" s="42" t="n">
        <v>290.039</v>
      </c>
      <c r="AW276" s="27" t="n">
        <f aca="false">AX276</f>
        <v>369.333827724816</v>
      </c>
      <c r="AX276" s="27" t="n">
        <f aca="false">AV276+AW133+AW228+N(AW257)-AW252</f>
        <v>369.333827724816</v>
      </c>
      <c r="AY276" s="27" t="n">
        <f aca="false">AX276+AY133+AY228+N(AY257)-AY252</f>
        <v>453.389172628482</v>
      </c>
      <c r="AZ276" s="27" t="n">
        <f aca="false">AY276+AZ133+AZ228+N(AZ257)-AZ252</f>
        <v>552.736753926245</v>
      </c>
      <c r="BA276" s="27" t="n">
        <f aca="false">AZ276+BA133+BA228+N(BA257)-BA252</f>
        <v>665.344497492818</v>
      </c>
      <c r="BB276" s="27" t="n">
        <f aca="false">BA276+BB133+BB228+N(BB257)-BB252</f>
        <v>787.872016967286</v>
      </c>
      <c r="BC276" s="18" t="s">
        <v>400</v>
      </c>
    </row>
    <row r="277" customFormat="false" ht="15" hidden="false" customHeight="true" outlineLevel="0" collapsed="false">
      <c r="B277" s="14" t="s">
        <v>401</v>
      </c>
      <c r="C277" s="35" t="n">
        <f aca="false">IF(ISNUMBER(C275),C275+C276,"")</f>
        <v>28.408</v>
      </c>
      <c r="D277" s="35" t="n">
        <f aca="false">IF(ISNUMBER(D275),D275+D276,"")</f>
        <v>36.294</v>
      </c>
      <c r="E277" s="35" t="n">
        <f aca="false">IF(ISNUMBER(E275),E275+E276,"")</f>
        <v>36.294</v>
      </c>
      <c r="F277" s="35" t="n">
        <f aca="false">IF(ISNUMBER(F275),F275+F276,"")</f>
        <v>100.746</v>
      </c>
      <c r="G277" s="35" t="n">
        <f aca="false">IF(ISNUMBER(G275),G275+G276,"")</f>
        <v>117.823</v>
      </c>
      <c r="H277" s="35" t="n">
        <f aca="false">IF(ISNUMBER(H275),H275+H276,"")</f>
        <v>117.823</v>
      </c>
      <c r="I277" s="35" t="n">
        <f aca="false">IF(ISNUMBER(I275),I275+I276,"")</f>
        <v>125.871</v>
      </c>
      <c r="J277" s="35" t="n">
        <f aca="false">IF(ISNUMBER(J275),J275+J276,"")</f>
        <v>142.054</v>
      </c>
      <c r="K277" s="35" t="n">
        <f aca="false">IF(ISNUMBER(K275),K275+K276,"")</f>
        <v>142.054</v>
      </c>
      <c r="L277" s="35" t="n">
        <f aca="false">IF(ISNUMBER(L275),L275+L276,"")</f>
        <v>150.394</v>
      </c>
      <c r="M277" s="35" t="n">
        <f aca="false">IF(ISNUMBER(M275),M275+M276,"")</f>
        <v>164.757</v>
      </c>
      <c r="N277" s="35" t="n">
        <f aca="false">IF(ISNUMBER(N275),N275+N276,"")</f>
        <v>164.757</v>
      </c>
      <c r="O277" s="35" t="n">
        <f aca="false">IF(ISNUMBER(O275),O275+O276,"")</f>
        <v>173.065</v>
      </c>
      <c r="P277" s="35" t="n">
        <f aca="false">IF(ISNUMBER(P275),P275+P276,"")</f>
        <v>190.233</v>
      </c>
      <c r="Q277" s="35" t="n">
        <f aca="false">IF(ISNUMBER(Q275),Q275+Q276,"")</f>
        <v>190.233</v>
      </c>
      <c r="R277" s="35" t="n">
        <f aca="false">IF(ISNUMBER(R275),R275+R276,"")</f>
        <v>198.47</v>
      </c>
      <c r="S277" s="35" t="n">
        <f aca="false">IF(ISNUMBER(S275),S275+S276,"")</f>
        <v>218.943</v>
      </c>
      <c r="T277" s="35" t="n">
        <f aca="false">IF(ISNUMBER(T275),T275+T276,"")</f>
        <v>218.943</v>
      </c>
      <c r="U277" s="35" t="n">
        <f aca="false">IF(ISNUMBER(U275),U275+U276,"")</f>
        <v>229.411</v>
      </c>
      <c r="V277" s="35" t="n">
        <f aca="false">IF(ISNUMBER(V275),V275+V276,"")</f>
        <v>259.001</v>
      </c>
      <c r="W277" s="35" t="n">
        <f aca="false">IF(ISNUMBER(W275),W275+W276,"")</f>
        <v>259.001</v>
      </c>
      <c r="X277" s="35" t="n">
        <f aca="false">IF(ISNUMBER(X275),X275+X276,"")</f>
        <v>259.38</v>
      </c>
      <c r="Y277" s="35" t="n">
        <f aca="false">IF(ISNUMBER(Y275),Y275+Y276,"")</f>
        <v>284.673</v>
      </c>
      <c r="Z277" s="35" t="n">
        <f aca="false">IF(ISNUMBER(Z275),Z275+Z276,"")</f>
        <v>284.673</v>
      </c>
      <c r="AA277" s="35" t="n">
        <f aca="false">IF(ISNUMBER(AA275),AA275+AA276,"")</f>
        <v>277.012</v>
      </c>
      <c r="AB277" s="35" t="n">
        <f aca="false">IF(ISNUMBER(AB275),AB275+AB276,"")</f>
        <v>297.649</v>
      </c>
      <c r="AC277" s="35" t="n">
        <f aca="false">IF(ISNUMBER(AC275),AC275+AC276,"")</f>
        <v>297.649</v>
      </c>
      <c r="AD277" s="35" t="n">
        <f aca="false">IF(ISNUMBER(AD275),AD275+AD276,"")</f>
        <v>251.308</v>
      </c>
      <c r="AE277" s="35" t="n">
        <f aca="false">IF(ISNUMBER(AE275),AE275+AE276,"")</f>
        <v>258.969</v>
      </c>
      <c r="AF277" s="35" t="n">
        <f aca="false">IF(ISNUMBER(AF275),AF275+AF276,"")</f>
        <v>258.969</v>
      </c>
      <c r="AG277" s="35" t="n">
        <f aca="false">IF(ISNUMBER(AG275),AG275+AG276,"")</f>
        <v>279.947</v>
      </c>
      <c r="AH277" s="35" t="n">
        <f aca="false">IF(ISNUMBER(AH275),AH275+AH276,"")</f>
        <v>316.141</v>
      </c>
      <c r="AI277" s="35" t="n">
        <f aca="false">IF(ISNUMBER(AI275),AI275+AI276,"")</f>
        <v>316.141</v>
      </c>
      <c r="AJ277" s="35" t="n">
        <f aca="false">IF(ISNUMBER(AJ275),AJ275+AJ276,"")</f>
        <v>346.464</v>
      </c>
      <c r="AK277" s="35" t="n">
        <f aca="false">IF(ISNUMBER(AK275),AK275+AK276,"")</f>
        <v>382.543</v>
      </c>
      <c r="AL277" s="35" t="n">
        <f aca="false">IF(ISNUMBER(AL275),AL275+AL276,"")</f>
        <v>382.543</v>
      </c>
      <c r="AM277" s="35" t="n">
        <f aca="false">IF(ISNUMBER(AM275),AM275+AM276,"")</f>
        <v>390.752</v>
      </c>
      <c r="AN277" s="35" t="n">
        <f aca="false">IF(ISNUMBER(AN275),AN275+AN276,"")</f>
        <v>441.791</v>
      </c>
      <c r="AO277" s="35" t="n">
        <f aca="false">IF(ISNUMBER(AO275),AO275+AO276,"")</f>
        <v>441.791</v>
      </c>
      <c r="AP277" s="35" t="n">
        <f aca="false">IF(ISNUMBER(AP275),AP275+AP276,"")</f>
        <v>435.978</v>
      </c>
      <c r="AQ277" s="35" t="n">
        <f aca="false">IF(ISNUMBER(AQ275),AQ275+AQ276,"")</f>
        <v>489.938</v>
      </c>
      <c r="AR277" s="35" t="n">
        <f aca="false">IF(ISNUMBER(AR275),AR275+AR276,"")</f>
        <v>489.938</v>
      </c>
      <c r="AS277" s="35" t="n">
        <f aca="false">IF(ISNUMBER(AS275),AS275+AS276,"")</f>
        <v>491.81</v>
      </c>
      <c r="AT277" s="35" t="n">
        <f aca="false">IF(ISNUMBER(AT275),AT275+AT276,"")</f>
        <v>546.02</v>
      </c>
      <c r="AU277" s="35" t="n">
        <f aca="false">IF(ISNUMBER(AU275),AU275+AU276,"")</f>
        <v>546.02</v>
      </c>
      <c r="AV277" s="35" t="n">
        <f aca="false">IF(ISNUMBER(AV275),AV275+AV276,"")</f>
        <v>547.954</v>
      </c>
      <c r="AW277" s="36" t="n">
        <f aca="false">IF(ISNUMBER(AW275),AW275+AW276,"")</f>
        <v>627.248827724816</v>
      </c>
      <c r="AX277" s="36" t="n">
        <f aca="false">IF(ISNUMBER(AX275),AX275+AX276,"")</f>
        <v>627.248827724816</v>
      </c>
      <c r="AY277" s="36" t="n">
        <f aca="false">IF(ISNUMBER(AY275),AY275+AY276,"")</f>
        <v>711.304172628482</v>
      </c>
      <c r="AZ277" s="36" t="n">
        <f aca="false">IF(ISNUMBER(AZ275),AZ275+AZ276,"")</f>
        <v>810.651753926245</v>
      </c>
      <c r="BA277" s="36" t="n">
        <f aca="false">IF(ISNUMBER(BA275),BA275+BA276,"")</f>
        <v>923.259497492818</v>
      </c>
      <c r="BB277" s="36" t="n">
        <f aca="false">IF(ISNUMBER(BB275),BB275+BB276,"")</f>
        <v>1045.78701696729</v>
      </c>
    </row>
    <row r="278" customFormat="false" ht="15" hidden="false" customHeight="true" outlineLevel="0" collapsed="false">
      <c r="B278" s="20" t="s">
        <v>402</v>
      </c>
      <c r="C278" s="42" t="n">
        <v>1.13</v>
      </c>
      <c r="D278" s="26" t="n">
        <f aca="false">E278</f>
        <v>1.69</v>
      </c>
      <c r="E278" s="42" t="n">
        <v>1.69</v>
      </c>
      <c r="F278" s="42" t="n">
        <v>1.553</v>
      </c>
      <c r="G278" s="26" t="n">
        <f aca="false">H278</f>
        <v>1.794</v>
      </c>
      <c r="H278" s="42" t="n">
        <v>1.794</v>
      </c>
      <c r="I278" s="42" t="n">
        <v>3.134</v>
      </c>
      <c r="J278" s="26" t="n">
        <f aca="false">K278</f>
        <v>3.16</v>
      </c>
      <c r="K278" s="42" t="n">
        <v>3.16</v>
      </c>
      <c r="L278" s="42" t="n">
        <v>5.434</v>
      </c>
      <c r="M278" s="26" t="n">
        <f aca="false">N278</f>
        <v>5.568</v>
      </c>
      <c r="N278" s="42" t="n">
        <v>5.568</v>
      </c>
      <c r="O278" s="42" t="n">
        <v>5.795</v>
      </c>
      <c r="P278" s="26" t="n">
        <f aca="false">Q278</f>
        <v>6.545</v>
      </c>
      <c r="Q278" s="42" t="n">
        <v>6.545</v>
      </c>
      <c r="R278" s="42" t="n">
        <v>5.775</v>
      </c>
      <c r="S278" s="26" t="n">
        <f aca="false">T278</f>
        <v>6.939</v>
      </c>
      <c r="T278" s="42" t="n">
        <v>6.939</v>
      </c>
      <c r="U278" s="42" t="n">
        <v>7.908</v>
      </c>
      <c r="V278" s="26" t="n">
        <f aca="false">W278</f>
        <v>4.19</v>
      </c>
      <c r="W278" s="42" t="n">
        <v>4.19</v>
      </c>
      <c r="X278" s="42" t="n">
        <v>2.074</v>
      </c>
      <c r="Y278" s="26" t="n">
        <f aca="false">Z278</f>
        <v>2.709</v>
      </c>
      <c r="Z278" s="42" t="n">
        <v>2.709</v>
      </c>
      <c r="AA278" s="42" t="n">
        <v>-0.182</v>
      </c>
      <c r="AB278" s="26" t="n">
        <f aca="false">AC278</f>
        <v>1.69</v>
      </c>
      <c r="AC278" s="42" t="n">
        <v>1.69</v>
      </c>
      <c r="AD278" s="42" t="n">
        <v>0.872</v>
      </c>
      <c r="AE278" s="26" t="n">
        <f aca="false">AF278</f>
        <v>2.135</v>
      </c>
      <c r="AF278" s="42" t="n">
        <v>2.135</v>
      </c>
      <c r="AG278" s="42" t="n">
        <v>3.701</v>
      </c>
      <c r="AH278" s="26" t="n">
        <f aca="false">AI278</f>
        <v>6.259</v>
      </c>
      <c r="AI278" s="42" t="n">
        <v>6.259</v>
      </c>
      <c r="AJ278" s="42" t="n">
        <v>7.279</v>
      </c>
      <c r="AK278" s="26" t="n">
        <f aca="false">AL278</f>
        <v>10.433</v>
      </c>
      <c r="AL278" s="42" t="n">
        <v>10.433</v>
      </c>
      <c r="AM278" s="42" t="n">
        <v>12.633</v>
      </c>
      <c r="AN278" s="26" t="n">
        <f aca="false">AO278</f>
        <v>11.822</v>
      </c>
      <c r="AO278" s="42" t="n">
        <v>11.822</v>
      </c>
      <c r="AP278" s="42" t="n">
        <v>13.224</v>
      </c>
      <c r="AQ278" s="26" t="n">
        <f aca="false">AR278</f>
        <v>16.655</v>
      </c>
      <c r="AR278" s="42" t="n">
        <v>16.655</v>
      </c>
      <c r="AS278" s="42" t="n">
        <v>14.194</v>
      </c>
      <c r="AT278" s="26" t="n">
        <f aca="false">AU278</f>
        <v>17.985</v>
      </c>
      <c r="AU278" s="42" t="n">
        <v>17.985</v>
      </c>
      <c r="AV278" s="42" t="n">
        <v>17.338</v>
      </c>
      <c r="AW278" s="27" t="n">
        <f aca="false">AX278</f>
        <v>20.6419511552007</v>
      </c>
      <c r="AX278" s="27" t="n">
        <f aca="false">AV278+AW131-AW257</f>
        <v>20.6419511552007</v>
      </c>
      <c r="AY278" s="27" t="n">
        <f aca="false">AX278+AY131-AY257</f>
        <v>24.7075905261868</v>
      </c>
      <c r="AZ278" s="27" t="n">
        <f aca="false">AY278+AZ131-AZ257</f>
        <v>29.7220730802602</v>
      </c>
      <c r="BA278" s="27" t="n">
        <f aca="false">AZ278+BA131-BA257</f>
        <v>35.7423957288674</v>
      </c>
      <c r="BB278" s="27" t="n">
        <f aca="false">BA278+BB131-BB257</f>
        <v>42.6860423736369</v>
      </c>
    </row>
    <row r="279" customFormat="false" ht="15" hidden="false" customHeight="true" outlineLevel="0" collapsed="false">
      <c r="B279" s="46" t="s">
        <v>403</v>
      </c>
      <c r="C279" s="47" t="n">
        <f aca="false">IF(ISNUMBER(C277),C277+N(C278),"")</f>
        <v>29.538</v>
      </c>
      <c r="D279" s="47" t="n">
        <f aca="false">IF(ISNUMBER(D277),D277+N(D278),"")</f>
        <v>37.984</v>
      </c>
      <c r="E279" s="47" t="n">
        <f aca="false">IF(ISNUMBER(E277),E277+N(E278),"")</f>
        <v>37.984</v>
      </c>
      <c r="F279" s="47" t="n">
        <f aca="false">IF(ISNUMBER(F277),F277+N(F278),"")</f>
        <v>102.299</v>
      </c>
      <c r="G279" s="47" t="n">
        <f aca="false">IF(ISNUMBER(G277),G277+N(G278),"")</f>
        <v>119.617</v>
      </c>
      <c r="H279" s="47" t="n">
        <f aca="false">IF(ISNUMBER(H277),H277+N(H278),"")</f>
        <v>119.617</v>
      </c>
      <c r="I279" s="47" t="n">
        <f aca="false">IF(ISNUMBER(I277),I277+N(I278),"")</f>
        <v>129.005</v>
      </c>
      <c r="J279" s="47" t="n">
        <f aca="false">IF(ISNUMBER(J277),J277+N(J278),"")</f>
        <v>145.214</v>
      </c>
      <c r="K279" s="47" t="n">
        <f aca="false">IF(ISNUMBER(K277),K277+N(K278),"")</f>
        <v>145.214</v>
      </c>
      <c r="L279" s="47" t="n">
        <f aca="false">IF(ISNUMBER(L277),L277+N(L278),"")</f>
        <v>155.828</v>
      </c>
      <c r="M279" s="47" t="n">
        <f aca="false">IF(ISNUMBER(M277),M277+N(M278),"")</f>
        <v>170.325</v>
      </c>
      <c r="N279" s="47" t="n">
        <f aca="false">IF(ISNUMBER(N277),N277+N(N278),"")</f>
        <v>170.325</v>
      </c>
      <c r="O279" s="47" t="n">
        <f aca="false">IF(ISNUMBER(O277),O277+N(O278),"")</f>
        <v>178.86</v>
      </c>
      <c r="P279" s="47" t="n">
        <f aca="false">IF(ISNUMBER(P277),P277+N(P278),"")</f>
        <v>196.778</v>
      </c>
      <c r="Q279" s="47" t="n">
        <f aca="false">IF(ISNUMBER(Q277),Q277+N(Q278),"")</f>
        <v>196.778</v>
      </c>
      <c r="R279" s="47" t="n">
        <f aca="false">IF(ISNUMBER(R277),R277+N(R278),"")</f>
        <v>204.245</v>
      </c>
      <c r="S279" s="47" t="n">
        <f aca="false">IF(ISNUMBER(S277),S277+N(S278),"")</f>
        <v>225.882</v>
      </c>
      <c r="T279" s="47" t="n">
        <f aca="false">IF(ISNUMBER(T277),T277+N(T278),"")</f>
        <v>225.882</v>
      </c>
      <c r="U279" s="47" t="n">
        <f aca="false">IF(ISNUMBER(U277),U277+N(U278),"")</f>
        <v>237.319</v>
      </c>
      <c r="V279" s="47" t="n">
        <f aca="false">IF(ISNUMBER(V277),V277+N(V278),"")</f>
        <v>263.191</v>
      </c>
      <c r="W279" s="47" t="n">
        <f aca="false">IF(ISNUMBER(W277),W277+N(W278),"")</f>
        <v>263.191</v>
      </c>
      <c r="X279" s="47" t="n">
        <f aca="false">IF(ISNUMBER(X277),X277+N(X278),"")</f>
        <v>261.454</v>
      </c>
      <c r="Y279" s="47" t="n">
        <f aca="false">IF(ISNUMBER(Y277),Y277+N(Y278),"")</f>
        <v>287.382</v>
      </c>
      <c r="Z279" s="47" t="n">
        <f aca="false">IF(ISNUMBER(Z277),Z277+N(Z278),"")</f>
        <v>287.382</v>
      </c>
      <c r="AA279" s="47" t="n">
        <f aca="false">IF(ISNUMBER(AA277),AA277+N(AA278),"")</f>
        <v>276.83</v>
      </c>
      <c r="AB279" s="47" t="n">
        <f aca="false">IF(ISNUMBER(AB277),AB277+N(AB278),"")</f>
        <v>299.339</v>
      </c>
      <c r="AC279" s="47" t="n">
        <f aca="false">IF(ISNUMBER(AC277),AC277+N(AC278),"")</f>
        <v>299.339</v>
      </c>
      <c r="AD279" s="47" t="n">
        <f aca="false">IF(ISNUMBER(AD277),AD277+N(AD278),"")</f>
        <v>252.18</v>
      </c>
      <c r="AE279" s="47" t="n">
        <f aca="false">IF(ISNUMBER(AE277),AE277+N(AE278),"")</f>
        <v>261.104</v>
      </c>
      <c r="AF279" s="47" t="n">
        <f aca="false">IF(ISNUMBER(AF277),AF277+N(AF278),"")</f>
        <v>261.104</v>
      </c>
      <c r="AG279" s="47" t="n">
        <f aca="false">IF(ISNUMBER(AG277),AG277+N(AG278),"")</f>
        <v>283.648</v>
      </c>
      <c r="AH279" s="47" t="n">
        <f aca="false">IF(ISNUMBER(AH277),AH277+N(AH278),"")</f>
        <v>322.4</v>
      </c>
      <c r="AI279" s="47" t="n">
        <f aca="false">IF(ISNUMBER(AI277),AI277+N(AI278),"")</f>
        <v>322.4</v>
      </c>
      <c r="AJ279" s="47" t="n">
        <f aca="false">IF(ISNUMBER(AJ277),AJ277+N(AJ278),"")</f>
        <v>353.743</v>
      </c>
      <c r="AK279" s="47" t="n">
        <f aca="false">IF(ISNUMBER(AK277),AK277+N(AK278),"")</f>
        <v>392.976</v>
      </c>
      <c r="AL279" s="47" t="n">
        <f aca="false">IF(ISNUMBER(AL277),AL277+N(AL278),"")</f>
        <v>392.976</v>
      </c>
      <c r="AM279" s="47" t="n">
        <f aca="false">IF(ISNUMBER(AM277),AM277+N(AM278),"")</f>
        <v>403.385</v>
      </c>
      <c r="AN279" s="47" t="n">
        <f aca="false">IF(ISNUMBER(AN277),AN277+N(AN278),"")</f>
        <v>453.613</v>
      </c>
      <c r="AO279" s="47" t="n">
        <f aca="false">IF(ISNUMBER(AO277),AO277+N(AO278),"")</f>
        <v>453.613</v>
      </c>
      <c r="AP279" s="47" t="n">
        <f aca="false">IF(ISNUMBER(AP277),AP277+N(AP278),"")</f>
        <v>449.202</v>
      </c>
      <c r="AQ279" s="47" t="n">
        <f aca="false">IF(ISNUMBER(AQ277),AQ277+N(AQ278),"")</f>
        <v>506.593</v>
      </c>
      <c r="AR279" s="47" t="n">
        <f aca="false">IF(ISNUMBER(AR277),AR277+N(AR278),"")</f>
        <v>506.593</v>
      </c>
      <c r="AS279" s="47" t="n">
        <f aca="false">IF(ISNUMBER(AS277),AS277+N(AS278),"")</f>
        <v>506.004</v>
      </c>
      <c r="AT279" s="47" t="n">
        <f aca="false">IF(ISNUMBER(AT277),AT277+N(AT278),"")</f>
        <v>564.005</v>
      </c>
      <c r="AU279" s="47" t="n">
        <f aca="false">IF(ISNUMBER(AU277),AU277+N(AU278),"")</f>
        <v>564.005</v>
      </c>
      <c r="AV279" s="47" t="n">
        <f aca="false">IF(ISNUMBER(AV277),AV277+N(AV278),"")</f>
        <v>565.292</v>
      </c>
      <c r="AW279" s="47" t="n">
        <f aca="false">IF(ISNUMBER(AW277),AW277+N(AW278),"")</f>
        <v>647.890778880017</v>
      </c>
      <c r="AX279" s="47" t="n">
        <f aca="false">IF(ISNUMBER(AX277),AX277+N(AX278),"")</f>
        <v>647.890778880017</v>
      </c>
      <c r="AY279" s="47" t="n">
        <f aca="false">IF(ISNUMBER(AY277),AY277+N(AY278),"")</f>
        <v>736.011763154669</v>
      </c>
      <c r="AZ279" s="47" t="n">
        <f aca="false">IF(ISNUMBER(AZ277),AZ277+N(AZ278),"")</f>
        <v>840.373827006505</v>
      </c>
      <c r="BA279" s="47" t="n">
        <f aca="false">IF(ISNUMBER(BA277),BA277+N(BA278),"")</f>
        <v>959.001893221685</v>
      </c>
      <c r="BB279" s="47" t="n">
        <f aca="false">IF(ISNUMBER(BB277),BB277+N(BB278),"")</f>
        <v>1088.47305934092</v>
      </c>
    </row>
    <row r="280" customFormat="false" ht="15" hidden="false" customHeight="true" outlineLevel="0" collapsed="false">
      <c r="B280" s="20" t="s">
        <v>404</v>
      </c>
      <c r="C280" s="42" t="n">
        <v>3.489</v>
      </c>
      <c r="D280" s="26" t="n">
        <f aca="false">E280</f>
        <v>3.588</v>
      </c>
      <c r="E280" s="42" t="n">
        <v>3.588</v>
      </c>
      <c r="F280" s="42" t="n">
        <v>3.644</v>
      </c>
      <c r="G280" s="26" t="n">
        <f aca="false">H280</f>
        <v>3.904</v>
      </c>
      <c r="H280" s="42" t="n">
        <v>3.904</v>
      </c>
      <c r="I280" s="42" t="n">
        <v>3.921</v>
      </c>
      <c r="J280" s="26" t="n">
        <f aca="false">K280</f>
        <v>3.685</v>
      </c>
      <c r="K280" s="42" t="n">
        <v>3.685</v>
      </c>
      <c r="L280" s="42" t="n">
        <v>4.099</v>
      </c>
      <c r="M280" s="26" t="n">
        <f aca="false">N280</f>
        <v>4.257</v>
      </c>
      <c r="N280" s="42" t="n">
        <v>4.257</v>
      </c>
      <c r="O280" s="42" t="n">
        <v>3.808</v>
      </c>
      <c r="P280" s="26" t="n">
        <f aca="false">Q280</f>
        <v>3.681</v>
      </c>
      <c r="Q280" s="42" t="n">
        <v>3.681</v>
      </c>
      <c r="R280" s="42" t="n">
        <v>3.816</v>
      </c>
      <c r="S280" s="26" t="n">
        <f aca="false">T280</f>
        <v>3.724</v>
      </c>
      <c r="T280" s="42" t="n">
        <v>3.724</v>
      </c>
      <c r="U280" s="42" t="n">
        <v>3.884</v>
      </c>
      <c r="V280" s="26" t="n">
        <f aca="false">W280</f>
        <v>4.075</v>
      </c>
      <c r="W280" s="42" t="n">
        <v>4.075</v>
      </c>
      <c r="X280" s="42" t="n">
        <v>4.033</v>
      </c>
      <c r="Y280" s="26" t="n">
        <f aca="false">Z280</f>
        <v>3.968</v>
      </c>
      <c r="Z280" s="42" t="n">
        <v>3.968</v>
      </c>
      <c r="AA280" s="42" t="n">
        <v>4.063</v>
      </c>
      <c r="AB280" s="26" t="n">
        <f aca="false">AC280</f>
        <v>4.309</v>
      </c>
      <c r="AC280" s="42" t="n">
        <v>4.309</v>
      </c>
      <c r="AD280" s="42" t="n">
        <v>4.142</v>
      </c>
      <c r="AE280" s="26" t="n">
        <f aca="false">AF280</f>
        <v>4.045</v>
      </c>
      <c r="AF280" s="42" t="n">
        <v>4.045</v>
      </c>
      <c r="AG280" s="42" t="n">
        <v>5.291</v>
      </c>
      <c r="AH280" s="26" t="n">
        <f aca="false">AI280</f>
        <v>5.444</v>
      </c>
      <c r="AI280" s="42" t="n">
        <v>5.444</v>
      </c>
      <c r="AJ280" s="42" t="n">
        <v>5.517</v>
      </c>
      <c r="AK280" s="26" t="n">
        <f aca="false">AL280</f>
        <v>6.075</v>
      </c>
      <c r="AL280" s="42" t="n">
        <v>6.075</v>
      </c>
      <c r="AM280" s="42" t="n">
        <v>5.729</v>
      </c>
      <c r="AN280" s="26" t="n">
        <f aca="false">AO280</f>
        <v>6.695</v>
      </c>
      <c r="AO280" s="42" t="n">
        <v>6.695</v>
      </c>
      <c r="AP280" s="42" t="n">
        <v>6.515</v>
      </c>
      <c r="AQ280" s="26" t="n">
        <f aca="false">AR280</f>
        <v>7.208</v>
      </c>
      <c r="AR280" s="42" t="n">
        <v>7.208</v>
      </c>
      <c r="AS280" s="42" t="n">
        <v>6.637</v>
      </c>
      <c r="AT280" s="26" t="n">
        <f aca="false">AU280</f>
        <v>7.346</v>
      </c>
      <c r="AU280" s="42" t="n">
        <v>7.346</v>
      </c>
      <c r="AV280" s="42" t="n">
        <v>7.385</v>
      </c>
      <c r="AW280" s="27" t="n">
        <f aca="false">AX280</f>
        <v>7.385</v>
      </c>
      <c r="AX280" s="27" t="n">
        <f aca="false">AV280</f>
        <v>7.385</v>
      </c>
      <c r="AY280" s="27" t="n">
        <f aca="false">AX280</f>
        <v>7.385</v>
      </c>
      <c r="AZ280" s="27" t="n">
        <f aca="false">AY280</f>
        <v>7.385</v>
      </c>
      <c r="BA280" s="27" t="n">
        <f aca="false">AZ280</f>
        <v>7.385</v>
      </c>
      <c r="BB280" s="27" t="n">
        <f aca="false">BA280</f>
        <v>7.385</v>
      </c>
    </row>
    <row r="281" customFormat="false" ht="15" hidden="false" customHeight="true" outlineLevel="0" collapsed="false">
      <c r="B281" s="20" t="s">
        <v>405</v>
      </c>
      <c r="C281" s="42" t="n">
        <v>21.111</v>
      </c>
      <c r="D281" s="26" t="n">
        <f aca="false">E281</f>
        <v>17.611</v>
      </c>
      <c r="E281" s="42" t="n">
        <v>17.611</v>
      </c>
      <c r="F281" s="42" t="n">
        <v>14.203</v>
      </c>
      <c r="G281" s="26" t="n">
        <f aca="false">H281</f>
        <v>11.559</v>
      </c>
      <c r="H281" s="42" t="n">
        <v>11.559</v>
      </c>
      <c r="I281" s="42" t="n">
        <v>9.805</v>
      </c>
      <c r="J281" s="26" t="n">
        <f aca="false">K281</f>
        <v>18.281</v>
      </c>
      <c r="K281" s="42" t="n">
        <v>18.281</v>
      </c>
      <c r="L281" s="42" t="n">
        <v>30.767</v>
      </c>
      <c r="M281" s="26" t="n">
        <f aca="false">N281</f>
        <v>42.45</v>
      </c>
      <c r="N281" s="42" t="n">
        <v>42.45</v>
      </c>
      <c r="O281" s="42" t="n">
        <v>54.897</v>
      </c>
      <c r="P281" s="26" t="n">
        <f aca="false">Q281</f>
        <v>52.742</v>
      </c>
      <c r="Q281" s="42" t="n">
        <v>52.742</v>
      </c>
      <c r="R281" s="42" t="n">
        <v>45.125</v>
      </c>
      <c r="S281" s="26" t="n">
        <f aca="false">T281</f>
        <v>37.567</v>
      </c>
      <c r="T281" s="42" t="n">
        <v>37.567</v>
      </c>
      <c r="U281" s="42" t="n">
        <v>55.063</v>
      </c>
      <c r="V281" s="26" t="n">
        <f aca="false">W281</f>
        <v>37.339</v>
      </c>
      <c r="W281" s="42" t="n">
        <v>37.339</v>
      </c>
      <c r="X281" s="42" t="n">
        <v>35.806</v>
      </c>
      <c r="Y281" s="26" t="n">
        <f aca="false">Z281</f>
        <v>25.934</v>
      </c>
      <c r="Z281" s="42" t="n">
        <v>25.934</v>
      </c>
      <c r="AA281" s="42" t="n">
        <v>38.968</v>
      </c>
      <c r="AB281" s="26" t="n">
        <f aca="false">AC281</f>
        <v>30.474</v>
      </c>
      <c r="AC281" s="42" t="n">
        <v>30.474</v>
      </c>
      <c r="AD281" s="42" t="n">
        <v>134.799</v>
      </c>
      <c r="AE281" s="26" t="n">
        <f aca="false">AF281</f>
        <v>60.133</v>
      </c>
      <c r="AF281" s="42" t="n">
        <v>60.133</v>
      </c>
      <c r="AG281" s="42" t="n">
        <v>47.169</v>
      </c>
      <c r="AH281" s="26" t="n">
        <f aca="false">AI281</f>
        <v>73.676</v>
      </c>
      <c r="AI281" s="42" t="n">
        <v>73.676</v>
      </c>
      <c r="AJ281" s="42" t="n">
        <v>60.093</v>
      </c>
      <c r="AK281" s="26" t="n">
        <f aca="false">AL281</f>
        <v>46.386</v>
      </c>
      <c r="AL281" s="42" t="n">
        <v>46.386</v>
      </c>
      <c r="AM281" s="42" t="n">
        <v>33.951</v>
      </c>
      <c r="AN281" s="26" t="n">
        <f aca="false">AO281</f>
        <v>22.16</v>
      </c>
      <c r="AO281" s="42" t="n">
        <v>22.16</v>
      </c>
      <c r="AP281" s="42" t="n">
        <v>79.703</v>
      </c>
      <c r="AQ281" s="26" t="n">
        <f aca="false">AR281</f>
        <v>155.192</v>
      </c>
      <c r="AR281" s="42" t="n">
        <v>155.192</v>
      </c>
      <c r="AS281" s="42" t="n">
        <v>252.315</v>
      </c>
      <c r="AT281" s="26" t="n">
        <f aca="false">AU281</f>
        <v>220.604</v>
      </c>
      <c r="AU281" s="42" t="n">
        <v>220.604</v>
      </c>
      <c r="AV281" s="42" t="n">
        <v>230.987</v>
      </c>
      <c r="AW281" s="27" t="n">
        <f aca="false">AX281</f>
        <v>158.671655352332</v>
      </c>
      <c r="AX281" s="27" t="n">
        <f aca="false">AX299*AX342</f>
        <v>158.671655352332</v>
      </c>
      <c r="AY281" s="27" t="n">
        <f aca="false">AY299*AY342</f>
        <v>151.793530381073</v>
      </c>
      <c r="AZ281" s="27" t="n">
        <f aca="false">AZ299*AZ342</f>
        <v>136.304716240184</v>
      </c>
      <c r="BA281" s="27" t="n">
        <f aca="false">BA299*BA342</f>
        <v>116.101847569167</v>
      </c>
      <c r="BB281" s="27" t="n">
        <f aca="false">BB299*BB342</f>
        <v>91.6050927570246</v>
      </c>
    </row>
    <row r="282" customFormat="false" ht="15" hidden="false" customHeight="true" outlineLevel="0" collapsed="false">
      <c r="B282" s="20" t="s">
        <v>406</v>
      </c>
      <c r="C282" s="42" t="n">
        <v>0</v>
      </c>
      <c r="D282" s="26" t="n">
        <f aca="false">E282</f>
        <v>0</v>
      </c>
      <c r="E282" s="42" t="n">
        <v>0</v>
      </c>
      <c r="F282" s="42" t="n">
        <v>0</v>
      </c>
      <c r="G282" s="26" t="n">
        <f aca="false">H282</f>
        <v>0</v>
      </c>
      <c r="H282" s="42" t="n">
        <v>0</v>
      </c>
      <c r="I282" s="42" t="n">
        <v>0</v>
      </c>
      <c r="J282" s="26" t="n">
        <f aca="false">K282</f>
        <v>0</v>
      </c>
      <c r="K282" s="42" t="n">
        <v>0</v>
      </c>
      <c r="L282" s="42" t="n">
        <v>0</v>
      </c>
      <c r="M282" s="26" t="n">
        <f aca="false">N282</f>
        <v>0</v>
      </c>
      <c r="N282" s="42" t="n">
        <v>0</v>
      </c>
      <c r="O282" s="42" t="n">
        <v>0</v>
      </c>
      <c r="P282" s="26" t="n">
        <f aca="false">Q282</f>
        <v>0</v>
      </c>
      <c r="Q282" s="42" t="n">
        <v>0</v>
      </c>
      <c r="R282" s="42" t="n">
        <v>0</v>
      </c>
      <c r="S282" s="26" t="n">
        <f aca="false">T282</f>
        <v>0</v>
      </c>
      <c r="T282" s="42" t="n">
        <v>0</v>
      </c>
      <c r="U282" s="42" t="n">
        <v>0</v>
      </c>
      <c r="V282" s="26" t="n">
        <f aca="false">W282</f>
        <v>0</v>
      </c>
      <c r="W282" s="42" t="n">
        <v>0</v>
      </c>
      <c r="X282" s="42" t="n">
        <v>0</v>
      </c>
      <c r="Y282" s="26" t="n">
        <f aca="false">Z282</f>
        <v>0</v>
      </c>
      <c r="Z282" s="42" t="n">
        <v>0</v>
      </c>
      <c r="AA282" s="42" t="n">
        <v>337.957</v>
      </c>
      <c r="AB282" s="26" t="n">
        <f aca="false">AC282</f>
        <v>388.816</v>
      </c>
      <c r="AC282" s="42" t="n">
        <v>388.816</v>
      </c>
      <c r="AD282" s="42" t="n">
        <v>413.936</v>
      </c>
      <c r="AE282" s="26" t="n">
        <f aca="false">AF282</f>
        <v>436.956</v>
      </c>
      <c r="AF282" s="42" t="n">
        <v>436.956</v>
      </c>
      <c r="AG282" s="42" t="n">
        <v>465.637</v>
      </c>
      <c r="AH282" s="26" t="n">
        <f aca="false">AI282</f>
        <v>469.753</v>
      </c>
      <c r="AI282" s="42" t="n">
        <v>469.753</v>
      </c>
      <c r="AJ282" s="42" t="n">
        <v>511.354</v>
      </c>
      <c r="AK282" s="26" t="n">
        <f aca="false">AL282</f>
        <v>474.931</v>
      </c>
      <c r="AL282" s="42" t="n">
        <v>474.931</v>
      </c>
      <c r="AM282" s="42" t="n">
        <v>447.744</v>
      </c>
      <c r="AN282" s="26" t="n">
        <f aca="false">AO282</f>
        <v>460.397</v>
      </c>
      <c r="AO282" s="42" t="n">
        <v>460.397</v>
      </c>
      <c r="AP282" s="42" t="n">
        <v>541.102</v>
      </c>
      <c r="AQ282" s="26" t="n">
        <f aca="false">AR282</f>
        <v>572.715</v>
      </c>
      <c r="AR282" s="42" t="n">
        <v>572.715</v>
      </c>
      <c r="AS282" s="42" t="n">
        <v>681.638</v>
      </c>
      <c r="AT282" s="26" t="n">
        <f aca="false">AU282</f>
        <v>671.78</v>
      </c>
      <c r="AU282" s="42" t="n">
        <v>671.78</v>
      </c>
      <c r="AV282" s="42" t="n">
        <v>693.202</v>
      </c>
      <c r="AW282" s="27" t="n">
        <f aca="false">AX282</f>
        <v>714.720567260306</v>
      </c>
      <c r="AX282" s="27" t="n">
        <f aca="false">AW336*AX337</f>
        <v>714.720567260306</v>
      </c>
      <c r="AY282" s="27" t="n">
        <f aca="false">AY336*AY337</f>
        <v>747.664898366866</v>
      </c>
      <c r="AZ282" s="27" t="n">
        <f aca="false">AZ336*AZ337</f>
        <v>779.765159525047</v>
      </c>
      <c r="BA282" s="27" t="n">
        <f aca="false">BA336*BA337</f>
        <v>818.522198587995</v>
      </c>
      <c r="BB282" s="27" t="n">
        <f aca="false">BB336*BB337</f>
        <v>853.571626338696</v>
      </c>
    </row>
    <row r="283" customFormat="false" ht="15" hidden="false" customHeight="true" outlineLevel="0" collapsed="false">
      <c r="B283" s="20" t="s">
        <v>407</v>
      </c>
      <c r="C283" s="42" t="n">
        <v>0</v>
      </c>
      <c r="D283" s="26" t="n">
        <f aca="false">E283</f>
        <v>0</v>
      </c>
      <c r="E283" s="42" t="n">
        <v>0</v>
      </c>
      <c r="F283" s="42" t="n">
        <v>0.025</v>
      </c>
      <c r="G283" s="26" t="n">
        <f aca="false">H283</f>
        <v>0.642</v>
      </c>
      <c r="H283" s="42" t="n">
        <v>0.642</v>
      </c>
      <c r="I283" s="42" t="n">
        <v>1.993</v>
      </c>
      <c r="J283" s="26" t="n">
        <f aca="false">K283</f>
        <v>3.707</v>
      </c>
      <c r="K283" s="42" t="n">
        <v>3.707</v>
      </c>
      <c r="L283" s="42" t="n">
        <v>3.858</v>
      </c>
      <c r="M283" s="26" t="n">
        <f aca="false">N283</f>
        <v>3.13</v>
      </c>
      <c r="N283" s="42" t="n">
        <v>3.13</v>
      </c>
      <c r="O283" s="42" t="n">
        <v>3.134</v>
      </c>
      <c r="P283" s="26" t="n">
        <f aca="false">Q283</f>
        <v>2.211</v>
      </c>
      <c r="Q283" s="42" t="n">
        <v>2.211</v>
      </c>
      <c r="R283" s="42" t="n">
        <v>2.279</v>
      </c>
      <c r="S283" s="26" t="n">
        <f aca="false">T283</f>
        <v>2.173</v>
      </c>
      <c r="T283" s="42" t="n">
        <v>2.173</v>
      </c>
      <c r="U283" s="42" t="n">
        <v>1.79</v>
      </c>
      <c r="V283" s="26" t="n">
        <f aca="false">W283</f>
        <v>0.01</v>
      </c>
      <c r="W283" s="42" t="n">
        <v>0.01</v>
      </c>
      <c r="X283" s="42" t="n">
        <v>0.034</v>
      </c>
      <c r="Y283" s="26" t="n">
        <f aca="false">Z283</f>
        <v>0.092</v>
      </c>
      <c r="Z283" s="42" t="n">
        <v>0.092</v>
      </c>
      <c r="AA283" s="42" t="n">
        <v>0.318</v>
      </c>
      <c r="AB283" s="26" t="n">
        <f aca="false">AC283</f>
        <v>0.15</v>
      </c>
      <c r="AC283" s="42" t="n">
        <v>0.15</v>
      </c>
      <c r="AD283" s="42" t="n">
        <v>0.257</v>
      </c>
      <c r="AE283" s="26" t="n">
        <f aca="false">AF283</f>
        <v>0.217</v>
      </c>
      <c r="AF283" s="42" t="n">
        <v>0.217</v>
      </c>
      <c r="AG283" s="42" t="n">
        <v>1.227</v>
      </c>
      <c r="AH283" s="26" t="n">
        <f aca="false">AI283</f>
        <v>1.178</v>
      </c>
      <c r="AI283" s="42" t="n">
        <v>1.178</v>
      </c>
      <c r="AJ283" s="42" t="n">
        <v>1.285</v>
      </c>
      <c r="AK283" s="26" t="n">
        <f aca="false">AL283</f>
        <v>1.251</v>
      </c>
      <c r="AL283" s="42" t="n">
        <v>1.251</v>
      </c>
      <c r="AM283" s="42" t="n">
        <v>3.443</v>
      </c>
      <c r="AN283" s="26" t="n">
        <f aca="false">AO283</f>
        <v>2.772</v>
      </c>
      <c r="AO283" s="42" t="n">
        <v>2.772</v>
      </c>
      <c r="AP283" s="42" t="n">
        <v>3.331</v>
      </c>
      <c r="AQ283" s="26" t="n">
        <f aca="false">AR283</f>
        <v>4.566</v>
      </c>
      <c r="AR283" s="42" t="n">
        <v>4.566</v>
      </c>
      <c r="AS283" s="42" t="n">
        <v>5.347</v>
      </c>
      <c r="AT283" s="26" t="n">
        <f aca="false">AU283</f>
        <v>4.684</v>
      </c>
      <c r="AU283" s="42" t="n">
        <v>4.684</v>
      </c>
      <c r="AV283" s="42" t="n">
        <v>4.724</v>
      </c>
      <c r="AW283" s="27" t="n">
        <f aca="false">AX283</f>
        <v>4.724</v>
      </c>
      <c r="AX283" s="27" t="n">
        <f aca="false">AV283</f>
        <v>4.724</v>
      </c>
      <c r="AY283" s="27" t="n">
        <f aca="false">AX283</f>
        <v>4.724</v>
      </c>
      <c r="AZ283" s="27" t="n">
        <f aca="false">AY283</f>
        <v>4.724</v>
      </c>
      <c r="BA283" s="27" t="n">
        <f aca="false">AZ283</f>
        <v>4.724</v>
      </c>
      <c r="BB283" s="27" t="n">
        <f aca="false">BA283</f>
        <v>4.724</v>
      </c>
    </row>
    <row r="284" customFormat="false" ht="15" hidden="false" customHeight="true" outlineLevel="0" collapsed="false">
      <c r="B284" s="20" t="s">
        <v>408</v>
      </c>
      <c r="C284" s="42" t="n">
        <v>0</v>
      </c>
      <c r="D284" s="26" t="n">
        <f aca="false">E284</f>
        <v>0.723</v>
      </c>
      <c r="E284" s="42" t="n">
        <v>0.723</v>
      </c>
      <c r="F284" s="42" t="n">
        <v>0.979</v>
      </c>
      <c r="G284" s="26" t="n">
        <f aca="false">H284</f>
        <v>1.216</v>
      </c>
      <c r="H284" s="42" t="n">
        <v>1.216</v>
      </c>
      <c r="I284" s="42" t="n">
        <v>1.371</v>
      </c>
      <c r="J284" s="26" t="n">
        <f aca="false">K284</f>
        <v>2.006</v>
      </c>
      <c r="K284" s="42" t="n">
        <v>2.006</v>
      </c>
      <c r="L284" s="42" t="n">
        <v>3.823</v>
      </c>
      <c r="M284" s="26" t="n">
        <f aca="false">N284</f>
        <v>4.908</v>
      </c>
      <c r="N284" s="42" t="n">
        <v>4.908</v>
      </c>
      <c r="O284" s="42" t="n">
        <v>6.677</v>
      </c>
      <c r="P284" s="26" t="n">
        <f aca="false">Q284</f>
        <v>7.486</v>
      </c>
      <c r="Q284" s="42" t="n">
        <v>7.486</v>
      </c>
      <c r="R284" s="42" t="n">
        <v>7.78</v>
      </c>
      <c r="S284" s="26" t="n">
        <f aca="false">T284</f>
        <v>8.017</v>
      </c>
      <c r="T284" s="42" t="n">
        <v>8.017</v>
      </c>
      <c r="U284" s="42" t="n">
        <v>9.445</v>
      </c>
      <c r="V284" s="26" t="n">
        <f aca="false">W284</f>
        <v>10.571</v>
      </c>
      <c r="W284" s="42" t="n">
        <v>10.571</v>
      </c>
      <c r="X284" s="42" t="n">
        <v>11.518</v>
      </c>
      <c r="Y284" s="26" t="n">
        <f aca="false">Z284</f>
        <v>11.921</v>
      </c>
      <c r="Z284" s="42" t="n">
        <v>11.921</v>
      </c>
      <c r="AA284" s="42" t="n">
        <v>0.135</v>
      </c>
      <c r="AB284" s="26" t="n">
        <f aca="false">AC284</f>
        <v>0.247</v>
      </c>
      <c r="AC284" s="42" t="n">
        <v>0.247</v>
      </c>
      <c r="AD284" s="42" t="n">
        <v>0</v>
      </c>
      <c r="AE284" s="26" t="n">
        <f aca="false">AF284</f>
        <v>0.06</v>
      </c>
      <c r="AF284" s="42" t="n">
        <v>0.06</v>
      </c>
      <c r="AG284" s="42" t="n">
        <v>0.949</v>
      </c>
      <c r="AH284" s="26" t="n">
        <f aca="false">AI284</f>
        <v>0.788</v>
      </c>
      <c r="AI284" s="42" t="n">
        <v>0.788</v>
      </c>
      <c r="AJ284" s="42" t="n">
        <v>0.639</v>
      </c>
      <c r="AK284" s="26" t="n">
        <f aca="false">AL284</f>
        <v>0.386</v>
      </c>
      <c r="AL284" s="42" t="n">
        <v>0.386</v>
      </c>
      <c r="AM284" s="42" t="n">
        <v>0.137</v>
      </c>
      <c r="AN284" s="26" t="n">
        <f aca="false">AO284</f>
        <v>0.209</v>
      </c>
      <c r="AO284" s="42" t="n">
        <v>0.209</v>
      </c>
      <c r="AP284" s="42" t="n">
        <v>0.173</v>
      </c>
      <c r="AQ284" s="26" t="n">
        <f aca="false">AR284</f>
        <v>0.136</v>
      </c>
      <c r="AR284" s="42" t="n">
        <v>0.136</v>
      </c>
      <c r="AS284" s="42" t="n">
        <v>0.111</v>
      </c>
      <c r="AT284" s="26" t="n">
        <f aca="false">AU284</f>
        <v>0.12</v>
      </c>
      <c r="AU284" s="42" t="n">
        <v>0.12</v>
      </c>
      <c r="AV284" s="42" t="n">
        <v>0.098</v>
      </c>
      <c r="AW284" s="27" t="n">
        <f aca="false">AX284</f>
        <v>0.098</v>
      </c>
      <c r="AX284" s="27" t="n">
        <f aca="false">AV284</f>
        <v>0.098</v>
      </c>
      <c r="AY284" s="27" t="n">
        <f aca="false">AX284</f>
        <v>0.098</v>
      </c>
      <c r="AZ284" s="27" t="n">
        <f aca="false">AY284</f>
        <v>0.098</v>
      </c>
      <c r="BA284" s="27" t="n">
        <f aca="false">AZ284</f>
        <v>0.098</v>
      </c>
      <c r="BB284" s="27" t="n">
        <f aca="false">BA284</f>
        <v>0.098</v>
      </c>
    </row>
    <row r="285" customFormat="false" ht="15" hidden="false" customHeight="true" outlineLevel="0" collapsed="false">
      <c r="B285" s="20" t="s">
        <v>409</v>
      </c>
      <c r="C285" s="42" t="n">
        <v>0.82</v>
      </c>
      <c r="D285" s="26" t="n">
        <f aca="false">E285</f>
        <v>0.692</v>
      </c>
      <c r="E285" s="42" t="n">
        <v>0.692</v>
      </c>
      <c r="F285" s="42" t="n">
        <v>0.431</v>
      </c>
      <c r="G285" s="26" t="n">
        <f aca="false">H285</f>
        <v>0.806</v>
      </c>
      <c r="H285" s="42" t="n">
        <v>0.806</v>
      </c>
      <c r="I285" s="42" t="n">
        <v>2.316</v>
      </c>
      <c r="J285" s="26" t="n">
        <f aca="false">K285</f>
        <v>3.308</v>
      </c>
      <c r="K285" s="42" t="n">
        <v>3.308</v>
      </c>
      <c r="L285" s="42" t="n">
        <v>3.786</v>
      </c>
      <c r="M285" s="26" t="n">
        <f aca="false">N285</f>
        <v>3.28</v>
      </c>
      <c r="N285" s="42" t="n">
        <v>3.28</v>
      </c>
      <c r="O285" s="42" t="n">
        <v>2.112</v>
      </c>
      <c r="P285" s="26" t="n">
        <f aca="false">Q285</f>
        <v>2.37</v>
      </c>
      <c r="Q285" s="42" t="n">
        <v>2.37</v>
      </c>
      <c r="R285" s="42" t="n">
        <v>2.512</v>
      </c>
      <c r="S285" s="26" t="n">
        <f aca="false">T285</f>
        <v>2.519</v>
      </c>
      <c r="T285" s="42" t="n">
        <v>2.519</v>
      </c>
      <c r="U285" s="42" t="n">
        <v>3.079</v>
      </c>
      <c r="V285" s="26" t="n">
        <f aca="false">W285</f>
        <v>2.115</v>
      </c>
      <c r="W285" s="42" t="n">
        <v>2.115</v>
      </c>
      <c r="X285" s="42" t="n">
        <v>1.466</v>
      </c>
      <c r="Y285" s="26" t="n">
        <f aca="false">Z285</f>
        <v>1.256</v>
      </c>
      <c r="Z285" s="42" t="n">
        <v>1.256</v>
      </c>
      <c r="AA285" s="42" t="n">
        <v>1.743</v>
      </c>
      <c r="AB285" s="26" t="n">
        <f aca="false">AC285</f>
        <v>2.504</v>
      </c>
      <c r="AC285" s="42" t="n">
        <v>2.504</v>
      </c>
      <c r="AD285" s="42" t="n">
        <v>3.067</v>
      </c>
      <c r="AE285" s="26" t="n">
        <f aca="false">AF285</f>
        <v>6.402</v>
      </c>
      <c r="AF285" s="42" t="n">
        <v>6.402</v>
      </c>
      <c r="AG285" s="42" t="n">
        <v>7.024</v>
      </c>
      <c r="AH285" s="26" t="n">
        <f aca="false">AI285</f>
        <v>8.575</v>
      </c>
      <c r="AI285" s="42" t="n">
        <v>8.575</v>
      </c>
      <c r="AJ285" s="42" t="n">
        <v>15.052</v>
      </c>
      <c r="AK285" s="26" t="n">
        <f aca="false">AL285</f>
        <v>12.478</v>
      </c>
      <c r="AL285" s="42" t="n">
        <v>12.478</v>
      </c>
      <c r="AM285" s="42" t="n">
        <v>12.756</v>
      </c>
      <c r="AN285" s="26" t="n">
        <f aca="false">AO285</f>
        <v>10.256</v>
      </c>
      <c r="AO285" s="42" t="n">
        <v>10.256</v>
      </c>
      <c r="AP285" s="42" t="n">
        <v>8.9</v>
      </c>
      <c r="AQ285" s="26" t="n">
        <f aca="false">AR285</f>
        <v>7.924</v>
      </c>
      <c r="AR285" s="42" t="n">
        <v>7.924</v>
      </c>
      <c r="AS285" s="42" t="n">
        <v>13.072</v>
      </c>
      <c r="AT285" s="26" t="n">
        <f aca="false">AU285</f>
        <v>9.674</v>
      </c>
      <c r="AU285" s="42" t="n">
        <v>9.674</v>
      </c>
      <c r="AV285" s="42" t="n">
        <v>8.866</v>
      </c>
      <c r="AW285" s="27" t="n">
        <f aca="false">AX285</f>
        <v>8.866</v>
      </c>
      <c r="AX285" s="27" t="n">
        <f aca="false">AV285</f>
        <v>8.866</v>
      </c>
      <c r="AY285" s="27" t="n">
        <f aca="false">AX285</f>
        <v>8.866</v>
      </c>
      <c r="AZ285" s="27" t="n">
        <f aca="false">AY285</f>
        <v>8.866</v>
      </c>
      <c r="BA285" s="27" t="n">
        <f aca="false">AZ285</f>
        <v>8.866</v>
      </c>
      <c r="BB285" s="27" t="n">
        <f aca="false">BA285</f>
        <v>8.866</v>
      </c>
    </row>
    <row r="286" customFormat="false" ht="15" hidden="false" customHeight="true" outlineLevel="0" collapsed="false">
      <c r="B286" s="14" t="s">
        <v>410</v>
      </c>
      <c r="C286" s="35" t="n">
        <f aca="false">IF(ISNUMBER(C281),SUM(C280:C285),"")</f>
        <v>25.42</v>
      </c>
      <c r="D286" s="35" t="n">
        <f aca="false">IF(ISNUMBER(D281),SUM(D280:D285),"")</f>
        <v>22.614</v>
      </c>
      <c r="E286" s="35" t="n">
        <f aca="false">IF(ISNUMBER(E281),SUM(E280:E285),"")</f>
        <v>22.614</v>
      </c>
      <c r="F286" s="35" t="n">
        <f aca="false">IF(ISNUMBER(F281),SUM(F280:F285),"")</f>
        <v>19.282</v>
      </c>
      <c r="G286" s="35" t="n">
        <f aca="false">IF(ISNUMBER(G281),SUM(G280:G285),"")</f>
        <v>18.127</v>
      </c>
      <c r="H286" s="35" t="n">
        <f aca="false">IF(ISNUMBER(H281),SUM(H280:H285),"")</f>
        <v>18.127</v>
      </c>
      <c r="I286" s="35" t="n">
        <f aca="false">IF(ISNUMBER(I281),SUM(I280:I285),"")</f>
        <v>19.406</v>
      </c>
      <c r="J286" s="35" t="n">
        <f aca="false">IF(ISNUMBER(J281),SUM(J280:J285),"")</f>
        <v>30.987</v>
      </c>
      <c r="K286" s="35" t="n">
        <f aca="false">IF(ISNUMBER(K281),SUM(K280:K285),"")</f>
        <v>30.987</v>
      </c>
      <c r="L286" s="35" t="n">
        <f aca="false">IF(ISNUMBER(L281),SUM(L280:L285),"")</f>
        <v>46.333</v>
      </c>
      <c r="M286" s="35" t="n">
        <f aca="false">IF(ISNUMBER(M281),SUM(M280:M285),"")</f>
        <v>58.025</v>
      </c>
      <c r="N286" s="35" t="n">
        <f aca="false">IF(ISNUMBER(N281),SUM(N280:N285),"")</f>
        <v>58.025</v>
      </c>
      <c r="O286" s="35" t="n">
        <f aca="false">IF(ISNUMBER(O281),SUM(O280:O285),"")</f>
        <v>70.628</v>
      </c>
      <c r="P286" s="35" t="n">
        <f aca="false">IF(ISNUMBER(P281),SUM(P280:P285),"")</f>
        <v>68.49</v>
      </c>
      <c r="Q286" s="35" t="n">
        <f aca="false">IF(ISNUMBER(Q281),SUM(Q280:Q285),"")</f>
        <v>68.49</v>
      </c>
      <c r="R286" s="35" t="n">
        <f aca="false">IF(ISNUMBER(R281),SUM(R280:R285),"")</f>
        <v>61.512</v>
      </c>
      <c r="S286" s="35" t="n">
        <f aca="false">IF(ISNUMBER(S281),SUM(S280:S285),"")</f>
        <v>54</v>
      </c>
      <c r="T286" s="35" t="n">
        <f aca="false">IF(ISNUMBER(T281),SUM(T280:T285),"")</f>
        <v>54</v>
      </c>
      <c r="U286" s="35" t="n">
        <f aca="false">IF(ISNUMBER(U281),SUM(U280:U285),"")</f>
        <v>73.261</v>
      </c>
      <c r="V286" s="35" t="n">
        <f aca="false">IF(ISNUMBER(V281),SUM(V280:V285),"")</f>
        <v>54.11</v>
      </c>
      <c r="W286" s="35" t="n">
        <f aca="false">IF(ISNUMBER(W281),SUM(W280:W285),"")</f>
        <v>54.11</v>
      </c>
      <c r="X286" s="35" t="n">
        <f aca="false">IF(ISNUMBER(X281),SUM(X280:X285),"")</f>
        <v>52.857</v>
      </c>
      <c r="Y286" s="35" t="n">
        <f aca="false">IF(ISNUMBER(Y281),SUM(Y280:Y285),"")</f>
        <v>43.171</v>
      </c>
      <c r="Z286" s="35" t="n">
        <f aca="false">IF(ISNUMBER(Z281),SUM(Z280:Z285),"")</f>
        <v>43.171</v>
      </c>
      <c r="AA286" s="35" t="n">
        <f aca="false">IF(ISNUMBER(AA281),SUM(AA280:AA285),"")</f>
        <v>383.184</v>
      </c>
      <c r="AB286" s="35" t="n">
        <f aca="false">IF(ISNUMBER(AB281),SUM(AB280:AB285),"")</f>
        <v>426.5</v>
      </c>
      <c r="AC286" s="35" t="n">
        <f aca="false">IF(ISNUMBER(AC281),SUM(AC280:AC285),"")</f>
        <v>426.5</v>
      </c>
      <c r="AD286" s="35" t="n">
        <f aca="false">IF(ISNUMBER(AD281),SUM(AD280:AD285),"")</f>
        <v>556.201</v>
      </c>
      <c r="AE286" s="35" t="n">
        <f aca="false">IF(ISNUMBER(AE281),SUM(AE280:AE285),"")</f>
        <v>507.813</v>
      </c>
      <c r="AF286" s="35" t="n">
        <f aca="false">IF(ISNUMBER(AF281),SUM(AF280:AF285),"")</f>
        <v>507.813</v>
      </c>
      <c r="AG286" s="35" t="n">
        <f aca="false">IF(ISNUMBER(AG281),SUM(AG280:AG285),"")</f>
        <v>527.297</v>
      </c>
      <c r="AH286" s="35" t="n">
        <f aca="false">IF(ISNUMBER(AH281),SUM(AH280:AH285),"")</f>
        <v>559.414</v>
      </c>
      <c r="AI286" s="35" t="n">
        <f aca="false">IF(ISNUMBER(AI281),SUM(AI280:AI285),"")</f>
        <v>559.414</v>
      </c>
      <c r="AJ286" s="35" t="n">
        <f aca="false">IF(ISNUMBER(AJ281),SUM(AJ280:AJ285),"")</f>
        <v>593.94</v>
      </c>
      <c r="AK286" s="35" t="n">
        <f aca="false">IF(ISNUMBER(AK281),SUM(AK280:AK285),"")</f>
        <v>541.507</v>
      </c>
      <c r="AL286" s="35" t="n">
        <f aca="false">IF(ISNUMBER(AL281),SUM(AL280:AL285),"")</f>
        <v>541.507</v>
      </c>
      <c r="AM286" s="35" t="n">
        <f aca="false">IF(ISNUMBER(AM281),SUM(AM280:AM285),"")</f>
        <v>503.76</v>
      </c>
      <c r="AN286" s="35" t="n">
        <f aca="false">IF(ISNUMBER(AN281),SUM(AN280:AN285),"")</f>
        <v>502.489</v>
      </c>
      <c r="AO286" s="35" t="n">
        <f aca="false">IF(ISNUMBER(AO281),SUM(AO280:AO285),"")</f>
        <v>502.489</v>
      </c>
      <c r="AP286" s="35" t="n">
        <f aca="false">IF(ISNUMBER(AP281),SUM(AP280:AP285),"")</f>
        <v>639.724</v>
      </c>
      <c r="AQ286" s="35" t="n">
        <f aca="false">IF(ISNUMBER(AQ281),SUM(AQ280:AQ285),"")</f>
        <v>747.741</v>
      </c>
      <c r="AR286" s="35" t="n">
        <f aca="false">IF(ISNUMBER(AR281),SUM(AR280:AR285),"")</f>
        <v>747.741</v>
      </c>
      <c r="AS286" s="35" t="n">
        <f aca="false">IF(ISNUMBER(AS281),SUM(AS280:AS285),"")</f>
        <v>959.12</v>
      </c>
      <c r="AT286" s="35" t="n">
        <f aca="false">IF(ISNUMBER(AT281),SUM(AT280:AT285),"")</f>
        <v>914.208</v>
      </c>
      <c r="AU286" s="35" t="n">
        <f aca="false">IF(ISNUMBER(AU281),SUM(AU280:AU285),"")</f>
        <v>914.208</v>
      </c>
      <c r="AV286" s="35" t="n">
        <f aca="false">IF(ISNUMBER(AV281),SUM(AV280:AV285),"")</f>
        <v>945.262</v>
      </c>
      <c r="AW286" s="36" t="n">
        <f aca="false">IF(ISNUMBER(AW281),SUM(AW280:AW285),"")</f>
        <v>894.465222612638</v>
      </c>
      <c r="AX286" s="36" t="n">
        <f aca="false">IF(ISNUMBER(AX281),SUM(AX280:AX285),"")</f>
        <v>894.465222612638</v>
      </c>
      <c r="AY286" s="36" t="n">
        <f aca="false">IF(ISNUMBER(AY281),SUM(AY280:AY285),"")</f>
        <v>920.531428747939</v>
      </c>
      <c r="AZ286" s="36" t="n">
        <f aca="false">IF(ISNUMBER(AZ281),SUM(AZ280:AZ285),"")</f>
        <v>937.142875765231</v>
      </c>
      <c r="BA286" s="36" t="n">
        <f aca="false">IF(ISNUMBER(BA281),SUM(BA280:BA285),"")</f>
        <v>955.697046157161</v>
      </c>
      <c r="BB286" s="36" t="n">
        <f aca="false">IF(ISNUMBER(BB281),SUM(BB280:BB285),"")</f>
        <v>966.249719095721</v>
      </c>
    </row>
    <row r="287" customFormat="false" ht="15" hidden="false" customHeight="true" outlineLevel="0" collapsed="false">
      <c r="B287" s="20" t="s">
        <v>411</v>
      </c>
      <c r="C287" s="42" t="n">
        <v>52.605</v>
      </c>
      <c r="D287" s="26" t="n">
        <f aca="false">E287</f>
        <v>56.129</v>
      </c>
      <c r="E287" s="42" t="n">
        <v>56.129</v>
      </c>
      <c r="F287" s="42" t="n">
        <v>56.02</v>
      </c>
      <c r="G287" s="26" t="n">
        <f aca="false">H287</f>
        <v>62.718</v>
      </c>
      <c r="H287" s="42" t="n">
        <v>62.718</v>
      </c>
      <c r="I287" s="42" t="n">
        <v>60.841</v>
      </c>
      <c r="J287" s="26" t="n">
        <f aca="false">K287</f>
        <v>62.607</v>
      </c>
      <c r="K287" s="42" t="n">
        <v>62.607</v>
      </c>
      <c r="L287" s="42" t="n">
        <v>62.501</v>
      </c>
      <c r="M287" s="26" t="n">
        <f aca="false">N287</f>
        <v>62.185</v>
      </c>
      <c r="N287" s="42" t="n">
        <v>62.185</v>
      </c>
      <c r="O287" s="42" t="n">
        <v>59.823</v>
      </c>
      <c r="P287" s="26" t="n">
        <f aca="false">Q287</f>
        <v>68.826</v>
      </c>
      <c r="Q287" s="42" t="n">
        <v>68.826</v>
      </c>
      <c r="R287" s="42" t="n">
        <v>62.525</v>
      </c>
      <c r="S287" s="26" t="n">
        <f aca="false">T287</f>
        <v>63.356</v>
      </c>
      <c r="T287" s="42" t="n">
        <v>63.356</v>
      </c>
      <c r="U287" s="42" t="n">
        <v>61.932</v>
      </c>
      <c r="V287" s="26" t="n">
        <f aca="false">W287</f>
        <v>65.261</v>
      </c>
      <c r="W287" s="42" t="n">
        <v>65.261</v>
      </c>
      <c r="X287" s="42" t="n">
        <v>69.752</v>
      </c>
      <c r="Y287" s="26" t="n">
        <f aca="false">Z287</f>
        <v>76.585</v>
      </c>
      <c r="Z287" s="42" t="n">
        <v>76.585</v>
      </c>
      <c r="AA287" s="42" t="n">
        <v>79.725</v>
      </c>
      <c r="AB287" s="26" t="n">
        <f aca="false">AC287</f>
        <v>89.453</v>
      </c>
      <c r="AC287" s="42" t="n">
        <v>89.453</v>
      </c>
      <c r="AD287" s="42" t="n">
        <v>74.055</v>
      </c>
      <c r="AE287" s="26" t="n">
        <f aca="false">AF287</f>
        <v>91.412</v>
      </c>
      <c r="AF287" s="42" t="n">
        <v>91.412</v>
      </c>
      <c r="AG287" s="42" t="n">
        <v>76.306</v>
      </c>
      <c r="AH287" s="26" t="n">
        <f aca="false">AI287</f>
        <v>102.654</v>
      </c>
      <c r="AI287" s="42" t="n">
        <v>102.654</v>
      </c>
      <c r="AJ287" s="42" t="n">
        <v>112.863</v>
      </c>
      <c r="AK287" s="26" t="n">
        <f aca="false">AL287</f>
        <v>137.04</v>
      </c>
      <c r="AL287" s="42" t="n">
        <v>137.04</v>
      </c>
      <c r="AM287" s="42" t="n">
        <v>141.507</v>
      </c>
      <c r="AN287" s="26" t="n">
        <f aca="false">AO287</f>
        <v>166.244</v>
      </c>
      <c r="AO287" s="42" t="n">
        <v>166.244</v>
      </c>
      <c r="AP287" s="42" t="n">
        <v>162.017</v>
      </c>
      <c r="AQ287" s="26" t="n">
        <f aca="false">AR287</f>
        <v>169.217</v>
      </c>
      <c r="AR287" s="42" t="n">
        <v>169.217</v>
      </c>
      <c r="AS287" s="42" t="n">
        <v>173.932</v>
      </c>
      <c r="AT287" s="26" t="n">
        <f aca="false">AU287</f>
        <v>177.107</v>
      </c>
      <c r="AU287" s="42" t="n">
        <v>177.107</v>
      </c>
      <c r="AV287" s="42" t="n">
        <v>171.642</v>
      </c>
      <c r="AW287" s="27" t="n">
        <f aca="false">AX287</f>
        <v>188.179621470286</v>
      </c>
      <c r="AX287" s="27" t="n">
        <f aca="false">AX311*AX312/365</f>
        <v>188.179621470286</v>
      </c>
      <c r="AY287" s="27" t="n">
        <f aca="false">AY311*AY312/365</f>
        <v>207.975442268458</v>
      </c>
      <c r="AZ287" s="27" t="n">
        <f aca="false">AZ311*AZ312/365</f>
        <v>224.289309104751</v>
      </c>
      <c r="BA287" s="27" t="n">
        <f aca="false">BA311*BA312/365</f>
        <v>240.634566199967</v>
      </c>
      <c r="BB287" s="27" t="n">
        <f aca="false">BB311*BB312/365</f>
        <v>257.3571959843</v>
      </c>
    </row>
    <row r="288" customFormat="false" ht="15" hidden="false" customHeight="true" outlineLevel="0" collapsed="false">
      <c r="B288" s="20" t="s">
        <v>412</v>
      </c>
      <c r="C288" s="42" t="n">
        <v>41.534</v>
      </c>
      <c r="D288" s="26" t="n">
        <f aca="false">E288</f>
        <v>38.539</v>
      </c>
      <c r="E288" s="42" t="n">
        <v>38.539</v>
      </c>
      <c r="F288" s="42" t="n">
        <v>32.808</v>
      </c>
      <c r="G288" s="26" t="n">
        <f aca="false">H288</f>
        <v>28.423</v>
      </c>
      <c r="H288" s="42" t="n">
        <v>28.423</v>
      </c>
      <c r="I288" s="42" t="n">
        <v>53.245</v>
      </c>
      <c r="J288" s="26" t="n">
        <f aca="false">K288</f>
        <v>29.639</v>
      </c>
      <c r="K288" s="42" t="n">
        <v>29.639</v>
      </c>
      <c r="L288" s="42" t="n">
        <v>54.726</v>
      </c>
      <c r="M288" s="26" t="n">
        <f aca="false">N288</f>
        <v>48.709</v>
      </c>
      <c r="N288" s="42" t="n">
        <v>48.709</v>
      </c>
      <c r="O288" s="42" t="n">
        <v>75.561</v>
      </c>
      <c r="P288" s="26" t="n">
        <f aca="false">Q288</f>
        <v>47.782</v>
      </c>
      <c r="Q288" s="42" t="n">
        <v>47.782</v>
      </c>
      <c r="R288" s="42" t="n">
        <v>72.91</v>
      </c>
      <c r="S288" s="26" t="n">
        <f aca="false">T288</f>
        <v>58.452</v>
      </c>
      <c r="T288" s="42" t="n">
        <v>58.452</v>
      </c>
      <c r="U288" s="42" t="n">
        <v>53.489</v>
      </c>
      <c r="V288" s="26" t="n">
        <f aca="false">W288</f>
        <v>37.685</v>
      </c>
      <c r="W288" s="42" t="n">
        <v>37.685</v>
      </c>
      <c r="X288" s="42" t="n">
        <v>53.252</v>
      </c>
      <c r="Y288" s="26" t="n">
        <f aca="false">Z288</f>
        <v>51.081</v>
      </c>
      <c r="Z288" s="42" t="n">
        <v>51.081</v>
      </c>
      <c r="AA288" s="42" t="n">
        <v>73.673</v>
      </c>
      <c r="AB288" s="26" t="n">
        <f aca="false">AC288</f>
        <v>71.987</v>
      </c>
      <c r="AC288" s="42" t="n">
        <v>71.987</v>
      </c>
      <c r="AD288" s="42" t="n">
        <v>112.221</v>
      </c>
      <c r="AE288" s="26" t="n">
        <f aca="false">AF288</f>
        <v>105.007</v>
      </c>
      <c r="AF288" s="42" t="n">
        <v>105.007</v>
      </c>
      <c r="AG288" s="42" t="n">
        <v>110.14</v>
      </c>
      <c r="AH288" s="26" t="n">
        <f aca="false">AI288</f>
        <v>43.375</v>
      </c>
      <c r="AI288" s="42" t="n">
        <v>43.375</v>
      </c>
      <c r="AJ288" s="42" t="n">
        <v>105.567</v>
      </c>
      <c r="AK288" s="26" t="n">
        <f aca="false">AL288</f>
        <v>75.006</v>
      </c>
      <c r="AL288" s="42" t="n">
        <v>75.006</v>
      </c>
      <c r="AM288" s="42" t="n">
        <v>90.295</v>
      </c>
      <c r="AN288" s="26" t="n">
        <f aca="false">AO288</f>
        <v>86.943</v>
      </c>
      <c r="AO288" s="42" t="n">
        <v>86.943</v>
      </c>
      <c r="AP288" s="42" t="n">
        <v>72.092</v>
      </c>
      <c r="AQ288" s="26" t="n">
        <f aca="false">AR288</f>
        <v>124.676</v>
      </c>
      <c r="AR288" s="42" t="n">
        <v>124.676</v>
      </c>
      <c r="AS288" s="42" t="n">
        <v>178.814</v>
      </c>
      <c r="AT288" s="26" t="n">
        <f aca="false">AU288</f>
        <v>175.294</v>
      </c>
      <c r="AU288" s="42" t="n">
        <v>175.294</v>
      </c>
      <c r="AV288" s="42" t="n">
        <v>168.736</v>
      </c>
      <c r="AW288" s="27" t="n">
        <f aca="false">AX288</f>
        <v>126.081980169587</v>
      </c>
      <c r="AX288" s="27" t="n">
        <f aca="false">AX299*(1-AX342)</f>
        <v>126.081980169587</v>
      </c>
      <c r="AY288" s="27" t="n">
        <f aca="false">AY299*(1-AY342)</f>
        <v>120.616557789613</v>
      </c>
      <c r="AZ288" s="27" t="n">
        <f aca="false">AZ299*(1-AZ342)</f>
        <v>108.309001326389</v>
      </c>
      <c r="BA288" s="27" t="n">
        <f aca="false">BA299*(1-BA342)</f>
        <v>92.2556130794976</v>
      </c>
      <c r="BB288" s="27" t="n">
        <f aca="false">BB299*(1-BB342)</f>
        <v>72.7902627774196</v>
      </c>
    </row>
    <row r="289" customFormat="false" ht="15" hidden="false" customHeight="true" outlineLevel="0" collapsed="false">
      <c r="B289" s="20" t="s">
        <v>413</v>
      </c>
      <c r="C289" s="42" t="n">
        <v>0</v>
      </c>
      <c r="D289" s="26" t="n">
        <f aca="false">E289</f>
        <v>0</v>
      </c>
      <c r="E289" s="42" t="n">
        <v>0</v>
      </c>
      <c r="F289" s="42" t="n">
        <v>0</v>
      </c>
      <c r="G289" s="26" t="n">
        <f aca="false">H289</f>
        <v>0</v>
      </c>
      <c r="H289" s="42" t="n">
        <v>0</v>
      </c>
      <c r="I289" s="42" t="n">
        <v>0</v>
      </c>
      <c r="J289" s="26" t="n">
        <f aca="false">K289</f>
        <v>0</v>
      </c>
      <c r="K289" s="42" t="n">
        <v>0</v>
      </c>
      <c r="L289" s="42" t="n">
        <v>0</v>
      </c>
      <c r="M289" s="26" t="n">
        <f aca="false">N289</f>
        <v>0</v>
      </c>
      <c r="N289" s="42" t="n">
        <v>0</v>
      </c>
      <c r="O289" s="42" t="n">
        <v>0</v>
      </c>
      <c r="P289" s="26" t="n">
        <f aca="false">Q289</f>
        <v>0</v>
      </c>
      <c r="Q289" s="42" t="n">
        <v>0</v>
      </c>
      <c r="R289" s="42" t="n">
        <v>0</v>
      </c>
      <c r="S289" s="26" t="n">
        <f aca="false">T289</f>
        <v>0</v>
      </c>
      <c r="T289" s="42" t="n">
        <v>0</v>
      </c>
      <c r="U289" s="42" t="n">
        <v>0</v>
      </c>
      <c r="V289" s="26" t="n">
        <f aca="false">W289</f>
        <v>0</v>
      </c>
      <c r="W289" s="42" t="n">
        <v>0</v>
      </c>
      <c r="X289" s="42" t="n">
        <v>0</v>
      </c>
      <c r="Y289" s="26" t="n">
        <f aca="false">Z289</f>
        <v>0</v>
      </c>
      <c r="Z289" s="42" t="n">
        <v>0</v>
      </c>
      <c r="AA289" s="42" t="n">
        <v>52.166</v>
      </c>
      <c r="AB289" s="26" t="n">
        <f aca="false">AC289</f>
        <v>62.661</v>
      </c>
      <c r="AC289" s="42" t="n">
        <v>62.661</v>
      </c>
      <c r="AD289" s="42" t="n">
        <v>71.675</v>
      </c>
      <c r="AE289" s="26" t="n">
        <f aca="false">AF289</f>
        <v>75.412</v>
      </c>
      <c r="AF289" s="42" t="n">
        <v>75.412</v>
      </c>
      <c r="AG289" s="42" t="n">
        <v>80.587</v>
      </c>
      <c r="AH289" s="26" t="n">
        <f aca="false">AI289</f>
        <v>79.61</v>
      </c>
      <c r="AI289" s="42" t="n">
        <v>79.61</v>
      </c>
      <c r="AJ289" s="42" t="n">
        <v>89.694</v>
      </c>
      <c r="AK289" s="26" t="n">
        <f aca="false">AL289</f>
        <v>90.066</v>
      </c>
      <c r="AL289" s="42" t="n">
        <v>90.066</v>
      </c>
      <c r="AM289" s="42" t="n">
        <v>96.511</v>
      </c>
      <c r="AN289" s="26" t="n">
        <f aca="false">AO289</f>
        <v>97.498</v>
      </c>
      <c r="AO289" s="42" t="n">
        <v>97.498</v>
      </c>
      <c r="AP289" s="42" t="n">
        <v>100.117</v>
      </c>
      <c r="AQ289" s="26" t="n">
        <f aca="false">AR289</f>
        <v>106.134</v>
      </c>
      <c r="AR289" s="42" t="n">
        <v>106.134</v>
      </c>
      <c r="AS289" s="42" t="n">
        <v>110.776</v>
      </c>
      <c r="AT289" s="26" t="n">
        <f aca="false">AU289</f>
        <v>115.405</v>
      </c>
      <c r="AU289" s="42" t="n">
        <v>115.405</v>
      </c>
      <c r="AV289" s="42" t="n">
        <v>128.76</v>
      </c>
      <c r="AW289" s="27" t="n">
        <f aca="false">AX289</f>
        <v>122.781754539694</v>
      </c>
      <c r="AX289" s="27" t="n">
        <f aca="false">AW336*(1-AX337)</f>
        <v>122.781754539694</v>
      </c>
      <c r="AY289" s="27" t="n">
        <f aca="false">AY336*(1-AY337)</f>
        <v>128.441256953211</v>
      </c>
      <c r="AZ289" s="27" t="n">
        <f aca="false">AZ336*(1-AZ337)</f>
        <v>133.955756698604</v>
      </c>
      <c r="BA289" s="27" t="n">
        <f aca="false">BA336*(1-BA337)</f>
        <v>140.613823466086</v>
      </c>
      <c r="BB289" s="27" t="n">
        <f aca="false">BB336*(1-BB337)</f>
        <v>146.634960161983</v>
      </c>
    </row>
    <row r="290" customFormat="false" ht="15" hidden="false" customHeight="true" outlineLevel="0" collapsed="false">
      <c r="B290" s="20" t="s">
        <v>414</v>
      </c>
      <c r="C290" s="42" t="n">
        <v>1.066</v>
      </c>
      <c r="D290" s="26" t="n">
        <f aca="false">E290</f>
        <v>2.913</v>
      </c>
      <c r="E290" s="42" t="n">
        <v>2.913</v>
      </c>
      <c r="F290" s="42" t="n">
        <v>2.49</v>
      </c>
      <c r="G290" s="26" t="n">
        <f aca="false">H290</f>
        <v>0.286</v>
      </c>
      <c r="H290" s="42" t="n">
        <v>0.286</v>
      </c>
      <c r="I290" s="42" t="n">
        <v>0.293</v>
      </c>
      <c r="J290" s="26" t="n">
        <f aca="false">K290</f>
        <v>3.266</v>
      </c>
      <c r="K290" s="42" t="n">
        <v>3.266</v>
      </c>
      <c r="L290" s="42" t="n">
        <v>0.63</v>
      </c>
      <c r="M290" s="26" t="n">
        <f aca="false">N290</f>
        <v>7.926</v>
      </c>
      <c r="N290" s="42" t="n">
        <v>7.926</v>
      </c>
      <c r="O290" s="42" t="n">
        <v>9.102</v>
      </c>
      <c r="P290" s="26" t="n">
        <f aca="false">Q290</f>
        <v>5.587</v>
      </c>
      <c r="Q290" s="42" t="n">
        <v>5.587</v>
      </c>
      <c r="R290" s="42" t="n">
        <v>3.325</v>
      </c>
      <c r="S290" s="26" t="n">
        <f aca="false">T290</f>
        <v>5.03</v>
      </c>
      <c r="T290" s="42" t="n">
        <v>5.03</v>
      </c>
      <c r="U290" s="42" t="n">
        <v>1.115</v>
      </c>
      <c r="V290" s="26" t="n">
        <f aca="false">W290</f>
        <v>3.676</v>
      </c>
      <c r="W290" s="42" t="n">
        <v>3.676</v>
      </c>
      <c r="X290" s="42" t="n">
        <v>10.55</v>
      </c>
      <c r="Y290" s="26" t="n">
        <f aca="false">Z290</f>
        <v>8.243</v>
      </c>
      <c r="Z290" s="42" t="n">
        <v>8.243</v>
      </c>
      <c r="AA290" s="42" t="n">
        <v>5.41</v>
      </c>
      <c r="AB290" s="26" t="n">
        <f aca="false">AC290</f>
        <v>9.2</v>
      </c>
      <c r="AC290" s="42" t="n">
        <v>9.2</v>
      </c>
      <c r="AD290" s="42" t="n">
        <v>1.283</v>
      </c>
      <c r="AE290" s="26" t="n">
        <f aca="false">AF290</f>
        <v>1.29</v>
      </c>
      <c r="AF290" s="42" t="n">
        <v>1.29</v>
      </c>
      <c r="AG290" s="42" t="n">
        <v>3.098</v>
      </c>
      <c r="AH290" s="26" t="n">
        <f aca="false">AI290</f>
        <v>9.603</v>
      </c>
      <c r="AI290" s="42" t="n">
        <v>9.603</v>
      </c>
      <c r="AJ290" s="42" t="n">
        <v>20.778</v>
      </c>
      <c r="AK290" s="26" t="n">
        <f aca="false">AL290</f>
        <v>5.99</v>
      </c>
      <c r="AL290" s="42" t="n">
        <v>5.99</v>
      </c>
      <c r="AM290" s="42" t="n">
        <v>3.496</v>
      </c>
      <c r="AN290" s="26" t="n">
        <f aca="false">AO290</f>
        <v>3.085</v>
      </c>
      <c r="AO290" s="42" t="n">
        <v>3.085</v>
      </c>
      <c r="AP290" s="42" t="n">
        <v>6.517</v>
      </c>
      <c r="AQ290" s="26" t="n">
        <f aca="false">AR290</f>
        <v>18.115</v>
      </c>
      <c r="AR290" s="42" t="n">
        <v>18.115</v>
      </c>
      <c r="AS290" s="42" t="n">
        <v>4.756</v>
      </c>
      <c r="AT290" s="26" t="n">
        <f aca="false">AU290</f>
        <v>2.332</v>
      </c>
      <c r="AU290" s="42" t="n">
        <v>2.332</v>
      </c>
      <c r="AV290" s="42" t="n">
        <v>10.046</v>
      </c>
      <c r="AW290" s="27" t="n">
        <f aca="false">AX290</f>
        <v>10.046</v>
      </c>
      <c r="AX290" s="27" t="n">
        <f aca="false">AV290</f>
        <v>10.046</v>
      </c>
      <c r="AY290" s="27" t="n">
        <f aca="false">AX290</f>
        <v>10.046</v>
      </c>
      <c r="AZ290" s="27" t="n">
        <f aca="false">AY290</f>
        <v>10.046</v>
      </c>
      <c r="BA290" s="27" t="n">
        <f aca="false">AZ290</f>
        <v>10.046</v>
      </c>
      <c r="BB290" s="27" t="n">
        <f aca="false">BA290</f>
        <v>10.046</v>
      </c>
    </row>
    <row r="291" customFormat="false" ht="15" hidden="false" customHeight="true" outlineLevel="0" collapsed="false">
      <c r="B291" s="20" t="s">
        <v>415</v>
      </c>
      <c r="C291" s="42" t="n">
        <v>24.169</v>
      </c>
      <c r="D291" s="26" t="n">
        <f aca="false">E291</f>
        <v>27.2</v>
      </c>
      <c r="E291" s="42" t="n">
        <v>27.2</v>
      </c>
      <c r="F291" s="42" t="n">
        <v>19.339</v>
      </c>
      <c r="G291" s="26" t="n">
        <f aca="false">H291</f>
        <v>20.9</v>
      </c>
      <c r="H291" s="42" t="n">
        <v>20.9</v>
      </c>
      <c r="I291" s="42" t="n">
        <v>23.3</v>
      </c>
      <c r="J291" s="26" t="n">
        <f aca="false">K291</f>
        <v>20.966</v>
      </c>
      <c r="K291" s="42" t="n">
        <v>20.966</v>
      </c>
      <c r="L291" s="42" t="n">
        <v>23.302</v>
      </c>
      <c r="M291" s="26" t="n">
        <f aca="false">N291</f>
        <v>20.964</v>
      </c>
      <c r="N291" s="42" t="n">
        <v>20.964</v>
      </c>
      <c r="O291" s="42" t="n">
        <v>33.41</v>
      </c>
      <c r="P291" s="26" t="n">
        <f aca="false">Q291</f>
        <v>23.64</v>
      </c>
      <c r="Q291" s="42" t="n">
        <v>23.64</v>
      </c>
      <c r="R291" s="42" t="n">
        <v>32.167</v>
      </c>
      <c r="S291" s="26" t="n">
        <f aca="false">T291</f>
        <v>23.174</v>
      </c>
      <c r="T291" s="42" t="n">
        <v>23.174</v>
      </c>
      <c r="U291" s="42" t="n">
        <v>30.074</v>
      </c>
      <c r="V291" s="26" t="n">
        <f aca="false">W291</f>
        <v>26.101</v>
      </c>
      <c r="W291" s="42" t="n">
        <v>26.101</v>
      </c>
      <c r="X291" s="42" t="n">
        <v>29.155</v>
      </c>
      <c r="Y291" s="26" t="n">
        <f aca="false">Z291</f>
        <v>29.293</v>
      </c>
      <c r="Z291" s="42" t="n">
        <v>29.293</v>
      </c>
      <c r="AA291" s="42" t="n">
        <v>32.245</v>
      </c>
      <c r="AB291" s="26" t="n">
        <f aca="false">AC291</f>
        <v>37.787</v>
      </c>
      <c r="AC291" s="42" t="n">
        <v>37.787</v>
      </c>
      <c r="AD291" s="42" t="n">
        <v>42.129</v>
      </c>
      <c r="AE291" s="26" t="n">
        <f aca="false">AF291</f>
        <v>37.692</v>
      </c>
      <c r="AF291" s="42" t="n">
        <v>37.692</v>
      </c>
      <c r="AG291" s="42" t="n">
        <v>39.235</v>
      </c>
      <c r="AH291" s="26" t="n">
        <f aca="false">AI291</f>
        <v>51.445</v>
      </c>
      <c r="AI291" s="42" t="n">
        <v>51.445</v>
      </c>
      <c r="AJ291" s="42" t="n">
        <v>53.119</v>
      </c>
      <c r="AK291" s="26" t="n">
        <f aca="false">AL291</f>
        <v>80.403</v>
      </c>
      <c r="AL291" s="42" t="n">
        <v>80.403</v>
      </c>
      <c r="AM291" s="42" t="n">
        <v>63.663</v>
      </c>
      <c r="AN291" s="26" t="n">
        <f aca="false">AO291</f>
        <v>70.008</v>
      </c>
      <c r="AO291" s="42" t="n">
        <v>70.008</v>
      </c>
      <c r="AP291" s="42" t="n">
        <v>106.195</v>
      </c>
      <c r="AQ291" s="26" t="n">
        <f aca="false">AR291</f>
        <v>72.417</v>
      </c>
      <c r="AR291" s="42" t="n">
        <v>72.417</v>
      </c>
      <c r="AS291" s="42" t="n">
        <v>70.851</v>
      </c>
      <c r="AT291" s="26" t="n">
        <f aca="false">AU291</f>
        <v>73.909</v>
      </c>
      <c r="AU291" s="42" t="n">
        <v>73.909</v>
      </c>
      <c r="AV291" s="42" t="n">
        <v>87.406</v>
      </c>
      <c r="AW291" s="27" t="n">
        <f aca="false">AX291</f>
        <v>87.406</v>
      </c>
      <c r="AX291" s="27" t="n">
        <f aca="false">AV291</f>
        <v>87.406</v>
      </c>
      <c r="AY291" s="27" t="n">
        <f aca="false">AX291</f>
        <v>87.406</v>
      </c>
      <c r="AZ291" s="27" t="n">
        <f aca="false">AY291</f>
        <v>87.406</v>
      </c>
      <c r="BA291" s="27" t="n">
        <f aca="false">AZ291</f>
        <v>87.406</v>
      </c>
      <c r="BB291" s="27" t="n">
        <f aca="false">BA291</f>
        <v>87.406</v>
      </c>
    </row>
    <row r="292" customFormat="false" ht="15" hidden="false" customHeight="true" outlineLevel="0" collapsed="false">
      <c r="B292" s="14" t="s">
        <v>416</v>
      </c>
      <c r="C292" s="35" t="n">
        <f aca="false">IF(ISNUMBER(C287),SUM(C287:C291),"")</f>
        <v>119.374</v>
      </c>
      <c r="D292" s="35" t="n">
        <f aca="false">IF(ISNUMBER(D287),SUM(D287:D291),"")</f>
        <v>124.781</v>
      </c>
      <c r="E292" s="35" t="n">
        <f aca="false">IF(ISNUMBER(E287),SUM(E287:E291),"")</f>
        <v>124.781</v>
      </c>
      <c r="F292" s="35" t="n">
        <f aca="false">IF(ISNUMBER(F287),SUM(F287:F291),"")</f>
        <v>110.657</v>
      </c>
      <c r="G292" s="35" t="n">
        <f aca="false">IF(ISNUMBER(G287),SUM(G287:G291),"")</f>
        <v>112.327</v>
      </c>
      <c r="H292" s="35" t="n">
        <f aca="false">IF(ISNUMBER(H287),SUM(H287:H291),"")</f>
        <v>112.327</v>
      </c>
      <c r="I292" s="35" t="n">
        <f aca="false">IF(ISNUMBER(I287),SUM(I287:I291),"")</f>
        <v>137.679</v>
      </c>
      <c r="J292" s="35" t="n">
        <f aca="false">IF(ISNUMBER(J287),SUM(J287:J291),"")</f>
        <v>116.478</v>
      </c>
      <c r="K292" s="35" t="n">
        <f aca="false">IF(ISNUMBER(K287),SUM(K287:K291),"")</f>
        <v>116.478</v>
      </c>
      <c r="L292" s="35" t="n">
        <f aca="false">IF(ISNUMBER(L287),SUM(L287:L291),"")</f>
        <v>141.159</v>
      </c>
      <c r="M292" s="35" t="n">
        <f aca="false">IF(ISNUMBER(M287),SUM(M287:M291),"")</f>
        <v>139.784</v>
      </c>
      <c r="N292" s="35" t="n">
        <f aca="false">IF(ISNUMBER(N287),SUM(N287:N291),"")</f>
        <v>139.784</v>
      </c>
      <c r="O292" s="35" t="n">
        <f aca="false">IF(ISNUMBER(O287),SUM(O287:O291),"")</f>
        <v>177.896</v>
      </c>
      <c r="P292" s="35" t="n">
        <f aca="false">IF(ISNUMBER(P287),SUM(P287:P291),"")</f>
        <v>145.835</v>
      </c>
      <c r="Q292" s="35" t="n">
        <f aca="false">IF(ISNUMBER(Q287),SUM(Q287:Q291),"")</f>
        <v>145.835</v>
      </c>
      <c r="R292" s="35" t="n">
        <f aca="false">IF(ISNUMBER(R287),SUM(R287:R291),"")</f>
        <v>170.927</v>
      </c>
      <c r="S292" s="35" t="n">
        <f aca="false">IF(ISNUMBER(S287),SUM(S287:S291),"")</f>
        <v>150.012</v>
      </c>
      <c r="T292" s="35" t="n">
        <f aca="false">IF(ISNUMBER(T287),SUM(T287:T291),"")</f>
        <v>150.012</v>
      </c>
      <c r="U292" s="35" t="n">
        <f aca="false">IF(ISNUMBER(U287),SUM(U287:U291),"")</f>
        <v>146.61</v>
      </c>
      <c r="V292" s="35" t="n">
        <f aca="false">IF(ISNUMBER(V287),SUM(V287:V291),"")</f>
        <v>132.723</v>
      </c>
      <c r="W292" s="35" t="n">
        <f aca="false">IF(ISNUMBER(W287),SUM(W287:W291),"")</f>
        <v>132.723</v>
      </c>
      <c r="X292" s="35" t="n">
        <f aca="false">IF(ISNUMBER(X287),SUM(X287:X291),"")</f>
        <v>162.709</v>
      </c>
      <c r="Y292" s="35" t="n">
        <f aca="false">IF(ISNUMBER(Y287),SUM(Y287:Y291),"")</f>
        <v>165.202</v>
      </c>
      <c r="Z292" s="35" t="n">
        <f aca="false">IF(ISNUMBER(Z287),SUM(Z287:Z291),"")</f>
        <v>165.202</v>
      </c>
      <c r="AA292" s="35" t="n">
        <f aca="false">IF(ISNUMBER(AA287),SUM(AA287:AA291),"")</f>
        <v>243.219</v>
      </c>
      <c r="AB292" s="35" t="n">
        <f aca="false">IF(ISNUMBER(AB287),SUM(AB287:AB291),"")</f>
        <v>271.088</v>
      </c>
      <c r="AC292" s="35" t="n">
        <f aca="false">IF(ISNUMBER(AC287),SUM(AC287:AC291),"")</f>
        <v>271.088</v>
      </c>
      <c r="AD292" s="35" t="n">
        <f aca="false">IF(ISNUMBER(AD287),SUM(AD287:AD291),"")</f>
        <v>301.363</v>
      </c>
      <c r="AE292" s="35" t="n">
        <f aca="false">IF(ISNUMBER(AE287),SUM(AE287:AE291),"")</f>
        <v>310.813</v>
      </c>
      <c r="AF292" s="35" t="n">
        <f aca="false">IF(ISNUMBER(AF287),SUM(AF287:AF291),"")</f>
        <v>310.813</v>
      </c>
      <c r="AG292" s="35" t="n">
        <f aca="false">IF(ISNUMBER(AG287),SUM(AG287:AG291),"")</f>
        <v>309.366</v>
      </c>
      <c r="AH292" s="35" t="n">
        <f aca="false">IF(ISNUMBER(AH287),SUM(AH287:AH291),"")</f>
        <v>286.687</v>
      </c>
      <c r="AI292" s="35" t="n">
        <f aca="false">IF(ISNUMBER(AI287),SUM(AI287:AI291),"")</f>
        <v>286.687</v>
      </c>
      <c r="AJ292" s="35" t="n">
        <f aca="false">IF(ISNUMBER(AJ287),SUM(AJ287:AJ291),"")</f>
        <v>382.021</v>
      </c>
      <c r="AK292" s="35" t="n">
        <f aca="false">IF(ISNUMBER(AK287),SUM(AK287:AK291),"")</f>
        <v>388.505</v>
      </c>
      <c r="AL292" s="35" t="n">
        <f aca="false">IF(ISNUMBER(AL287),SUM(AL287:AL291),"")</f>
        <v>388.505</v>
      </c>
      <c r="AM292" s="35" t="n">
        <f aca="false">IF(ISNUMBER(AM287),SUM(AM287:AM291),"")</f>
        <v>395.472</v>
      </c>
      <c r="AN292" s="35" t="n">
        <f aca="false">IF(ISNUMBER(AN287),SUM(AN287:AN291),"")</f>
        <v>423.778</v>
      </c>
      <c r="AO292" s="35" t="n">
        <f aca="false">IF(ISNUMBER(AO287),SUM(AO287:AO291),"")</f>
        <v>423.778</v>
      </c>
      <c r="AP292" s="35" t="n">
        <f aca="false">IF(ISNUMBER(AP287),SUM(AP287:AP291),"")</f>
        <v>446.938</v>
      </c>
      <c r="AQ292" s="35" t="n">
        <f aca="false">IF(ISNUMBER(AQ287),SUM(AQ287:AQ291),"")</f>
        <v>490.559</v>
      </c>
      <c r="AR292" s="35" t="n">
        <f aca="false">IF(ISNUMBER(AR287),SUM(AR287:AR291),"")</f>
        <v>490.559</v>
      </c>
      <c r="AS292" s="35" t="n">
        <f aca="false">IF(ISNUMBER(AS287),SUM(AS287:AS291),"")</f>
        <v>539.129</v>
      </c>
      <c r="AT292" s="35" t="n">
        <f aca="false">IF(ISNUMBER(AT287),SUM(AT287:AT291),"")</f>
        <v>544.047</v>
      </c>
      <c r="AU292" s="35" t="n">
        <f aca="false">IF(ISNUMBER(AU287),SUM(AU287:AU291),"")</f>
        <v>544.047</v>
      </c>
      <c r="AV292" s="35" t="n">
        <f aca="false">IF(ISNUMBER(AV287),SUM(AV287:AV291),"")</f>
        <v>566.59</v>
      </c>
      <c r="AW292" s="36" t="n">
        <f aca="false">IF(ISNUMBER(AW287),SUM(AW287:AW291),"")</f>
        <v>534.495356179568</v>
      </c>
      <c r="AX292" s="36" t="n">
        <f aca="false">IF(ISNUMBER(AX287),SUM(AX287:AX291),"")</f>
        <v>534.495356179568</v>
      </c>
      <c r="AY292" s="36" t="n">
        <f aca="false">IF(ISNUMBER(AY287),SUM(AY287:AY291),"")</f>
        <v>554.485257011282</v>
      </c>
      <c r="AZ292" s="36" t="n">
        <f aca="false">IF(ISNUMBER(AZ287),SUM(AZ287:AZ291),"")</f>
        <v>564.006067129744</v>
      </c>
      <c r="BA292" s="36" t="n">
        <f aca="false">IF(ISNUMBER(BA287),SUM(BA287:BA291),"")</f>
        <v>570.956002745551</v>
      </c>
      <c r="BB292" s="36" t="n">
        <f aca="false">IF(ISNUMBER(BB287),SUM(BB287:BB291),"")</f>
        <v>574.234418923703</v>
      </c>
    </row>
    <row r="293" customFormat="false" ht="15" hidden="false" customHeight="true" outlineLevel="0" collapsed="false">
      <c r="B293" s="14" t="s">
        <v>417</v>
      </c>
      <c r="C293" s="35" t="n">
        <f aca="false">IF(ISNUMBER(C286),C286+C292,"")</f>
        <v>144.794</v>
      </c>
      <c r="D293" s="35" t="n">
        <f aca="false">IF(ISNUMBER(D286),D286+D292,"")</f>
        <v>147.395</v>
      </c>
      <c r="E293" s="35" t="n">
        <f aca="false">IF(ISNUMBER(E286),E286+E292,"")</f>
        <v>147.395</v>
      </c>
      <c r="F293" s="35" t="n">
        <f aca="false">IF(ISNUMBER(F286),F286+F292,"")</f>
        <v>129.939</v>
      </c>
      <c r="G293" s="35" t="n">
        <f aca="false">IF(ISNUMBER(G286),G286+G292,"")</f>
        <v>130.454</v>
      </c>
      <c r="H293" s="35" t="n">
        <f aca="false">IF(ISNUMBER(H286),H286+H292,"")</f>
        <v>130.454</v>
      </c>
      <c r="I293" s="35" t="n">
        <f aca="false">IF(ISNUMBER(I286),I286+I292,"")</f>
        <v>157.085</v>
      </c>
      <c r="J293" s="35" t="n">
        <f aca="false">IF(ISNUMBER(J286),J286+J292,"")</f>
        <v>147.465</v>
      </c>
      <c r="K293" s="35" t="n">
        <f aca="false">IF(ISNUMBER(K286),K286+K292,"")</f>
        <v>147.465</v>
      </c>
      <c r="L293" s="35" t="n">
        <f aca="false">IF(ISNUMBER(L286),L286+L292,"")</f>
        <v>187.492</v>
      </c>
      <c r="M293" s="35" t="n">
        <f aca="false">IF(ISNUMBER(M286),M286+M292,"")</f>
        <v>197.809</v>
      </c>
      <c r="N293" s="35" t="n">
        <f aca="false">IF(ISNUMBER(N286),N286+N292,"")</f>
        <v>197.809</v>
      </c>
      <c r="O293" s="35" t="n">
        <f aca="false">IF(ISNUMBER(O286),O286+O292,"")</f>
        <v>248.524</v>
      </c>
      <c r="P293" s="35" t="n">
        <f aca="false">IF(ISNUMBER(P286),P286+P292,"")</f>
        <v>214.325</v>
      </c>
      <c r="Q293" s="35" t="n">
        <f aca="false">IF(ISNUMBER(Q286),Q286+Q292,"")</f>
        <v>214.325</v>
      </c>
      <c r="R293" s="35" t="n">
        <f aca="false">IF(ISNUMBER(R286),R286+R292,"")</f>
        <v>232.439</v>
      </c>
      <c r="S293" s="35" t="n">
        <f aca="false">IF(ISNUMBER(S286),S286+S292,"")</f>
        <v>204.012</v>
      </c>
      <c r="T293" s="35" t="n">
        <f aca="false">IF(ISNUMBER(T286),T286+T292,"")</f>
        <v>204.012</v>
      </c>
      <c r="U293" s="35" t="n">
        <f aca="false">IF(ISNUMBER(U286),U286+U292,"")</f>
        <v>219.871</v>
      </c>
      <c r="V293" s="35" t="n">
        <f aca="false">IF(ISNUMBER(V286),V286+V292,"")</f>
        <v>186.833</v>
      </c>
      <c r="W293" s="35" t="n">
        <f aca="false">IF(ISNUMBER(W286),W286+W292,"")</f>
        <v>186.833</v>
      </c>
      <c r="X293" s="35" t="n">
        <f aca="false">IF(ISNUMBER(X286),X286+X292,"")</f>
        <v>215.566</v>
      </c>
      <c r="Y293" s="35" t="n">
        <f aca="false">IF(ISNUMBER(Y286),Y286+Y292,"")</f>
        <v>208.373</v>
      </c>
      <c r="Z293" s="35" t="n">
        <f aca="false">IF(ISNUMBER(Z286),Z286+Z292,"")</f>
        <v>208.373</v>
      </c>
      <c r="AA293" s="35" t="n">
        <f aca="false">IF(ISNUMBER(AA286),AA286+AA292,"")</f>
        <v>626.403</v>
      </c>
      <c r="AB293" s="35" t="n">
        <f aca="false">IF(ISNUMBER(AB286),AB286+AB292,"")</f>
        <v>697.588</v>
      </c>
      <c r="AC293" s="35" t="n">
        <f aca="false">IF(ISNUMBER(AC286),AC286+AC292,"")</f>
        <v>697.588</v>
      </c>
      <c r="AD293" s="35" t="n">
        <f aca="false">IF(ISNUMBER(AD286),AD286+AD292,"")</f>
        <v>857.564</v>
      </c>
      <c r="AE293" s="35" t="n">
        <f aca="false">IF(ISNUMBER(AE286),AE286+AE292,"")</f>
        <v>818.626</v>
      </c>
      <c r="AF293" s="35" t="n">
        <f aca="false">IF(ISNUMBER(AF286),AF286+AF292,"")</f>
        <v>818.626</v>
      </c>
      <c r="AG293" s="35" t="n">
        <f aca="false">IF(ISNUMBER(AG286),AG286+AG292,"")</f>
        <v>836.663</v>
      </c>
      <c r="AH293" s="35" t="n">
        <f aca="false">IF(ISNUMBER(AH286),AH286+AH292,"")</f>
        <v>846.101</v>
      </c>
      <c r="AI293" s="35" t="n">
        <f aca="false">IF(ISNUMBER(AI286),AI286+AI292,"")</f>
        <v>846.101</v>
      </c>
      <c r="AJ293" s="35" t="n">
        <f aca="false">IF(ISNUMBER(AJ286),AJ286+AJ292,"")</f>
        <v>975.961</v>
      </c>
      <c r="AK293" s="35" t="n">
        <f aca="false">IF(ISNUMBER(AK286),AK286+AK292,"")</f>
        <v>930.012</v>
      </c>
      <c r="AL293" s="35" t="n">
        <f aca="false">IF(ISNUMBER(AL286),AL286+AL292,"")</f>
        <v>930.012</v>
      </c>
      <c r="AM293" s="35" t="n">
        <f aca="false">IF(ISNUMBER(AM286),AM286+AM292,"")</f>
        <v>899.232</v>
      </c>
      <c r="AN293" s="35" t="n">
        <f aca="false">IF(ISNUMBER(AN286),AN286+AN292,"")</f>
        <v>926.267</v>
      </c>
      <c r="AO293" s="35" t="n">
        <f aca="false">IF(ISNUMBER(AO286),AO286+AO292,"")</f>
        <v>926.267</v>
      </c>
      <c r="AP293" s="35" t="n">
        <f aca="false">IF(ISNUMBER(AP286),AP286+AP292,"")</f>
        <v>1086.662</v>
      </c>
      <c r="AQ293" s="35" t="n">
        <f aca="false">IF(ISNUMBER(AQ286),AQ286+AQ292,"")</f>
        <v>1238.3</v>
      </c>
      <c r="AR293" s="35" t="n">
        <f aca="false">IF(ISNUMBER(AR286),AR286+AR292,"")</f>
        <v>1238.3</v>
      </c>
      <c r="AS293" s="35" t="n">
        <f aca="false">IF(ISNUMBER(AS286),AS286+AS292,"")</f>
        <v>1498.249</v>
      </c>
      <c r="AT293" s="35" t="n">
        <f aca="false">IF(ISNUMBER(AT286),AT286+AT292,"")</f>
        <v>1458.255</v>
      </c>
      <c r="AU293" s="35" t="n">
        <f aca="false">IF(ISNUMBER(AU286),AU286+AU292,"")</f>
        <v>1458.255</v>
      </c>
      <c r="AV293" s="35" t="n">
        <f aca="false">IF(ISNUMBER(AV286),AV286+AV292,"")</f>
        <v>1511.852</v>
      </c>
      <c r="AW293" s="36" t="n">
        <f aca="false">IF(ISNUMBER(AW286),AW286+AW292,"")</f>
        <v>1428.96057879221</v>
      </c>
      <c r="AX293" s="36" t="n">
        <f aca="false">IF(ISNUMBER(AX286),AX286+AX292,"")</f>
        <v>1428.96057879221</v>
      </c>
      <c r="AY293" s="36" t="n">
        <f aca="false">IF(ISNUMBER(AY286),AY286+AY292,"")</f>
        <v>1475.01668575922</v>
      </c>
      <c r="AZ293" s="36" t="n">
        <f aca="false">IF(ISNUMBER(AZ286),AZ286+AZ292,"")</f>
        <v>1501.14894289497</v>
      </c>
      <c r="BA293" s="36" t="n">
        <f aca="false">IF(ISNUMBER(BA286),BA286+BA292,"")</f>
        <v>1526.65304890271</v>
      </c>
      <c r="BB293" s="36" t="n">
        <f aca="false">IF(ISNUMBER(BB286),BB286+BB292,"")</f>
        <v>1540.48413801942</v>
      </c>
    </row>
    <row r="294" customFormat="false" ht="15" hidden="false" customHeight="true" outlineLevel="0" collapsed="false">
      <c r="B294" s="46" t="s">
        <v>418</v>
      </c>
      <c r="C294" s="47" t="n">
        <f aca="false">IF(ISNUMBER(C293),C279+C293,"")</f>
        <v>174.332</v>
      </c>
      <c r="D294" s="47" t="n">
        <f aca="false">IF(ISNUMBER(D293),D279+D293,"")</f>
        <v>185.379</v>
      </c>
      <c r="E294" s="47" t="n">
        <f aca="false">IF(ISNUMBER(E293),E279+E293,"")</f>
        <v>185.379</v>
      </c>
      <c r="F294" s="47" t="n">
        <f aca="false">IF(ISNUMBER(F293),F279+F293,"")</f>
        <v>232.238</v>
      </c>
      <c r="G294" s="47" t="n">
        <f aca="false">IF(ISNUMBER(G293),G279+G293,"")</f>
        <v>250.071</v>
      </c>
      <c r="H294" s="47" t="n">
        <f aca="false">IF(ISNUMBER(H293),H279+H293,"")</f>
        <v>250.071</v>
      </c>
      <c r="I294" s="47" t="n">
        <f aca="false">IF(ISNUMBER(I293),I279+I293,"")</f>
        <v>286.09</v>
      </c>
      <c r="J294" s="47" t="n">
        <f aca="false">IF(ISNUMBER(J293),J279+J293,"")</f>
        <v>292.679</v>
      </c>
      <c r="K294" s="47" t="n">
        <f aca="false">IF(ISNUMBER(K293),K279+K293,"")</f>
        <v>292.679</v>
      </c>
      <c r="L294" s="47" t="n">
        <f aca="false">IF(ISNUMBER(L293),L279+L293,"")</f>
        <v>343.32</v>
      </c>
      <c r="M294" s="47" t="n">
        <f aca="false">IF(ISNUMBER(M293),M279+M293,"")</f>
        <v>368.134</v>
      </c>
      <c r="N294" s="47" t="n">
        <f aca="false">IF(ISNUMBER(N293),N279+N293,"")</f>
        <v>368.134</v>
      </c>
      <c r="O294" s="47" t="n">
        <f aca="false">IF(ISNUMBER(O293),O279+O293,"")</f>
        <v>427.384</v>
      </c>
      <c r="P294" s="47" t="n">
        <f aca="false">IF(ISNUMBER(P293),P279+P293,"")</f>
        <v>411.103</v>
      </c>
      <c r="Q294" s="47" t="n">
        <f aca="false">IF(ISNUMBER(Q293),Q279+Q293,"")</f>
        <v>411.103</v>
      </c>
      <c r="R294" s="47" t="n">
        <f aca="false">IF(ISNUMBER(R293),R279+R293,"")</f>
        <v>436.684</v>
      </c>
      <c r="S294" s="47" t="n">
        <f aca="false">IF(ISNUMBER(S293),S279+S293,"")</f>
        <v>429.894</v>
      </c>
      <c r="T294" s="47" t="n">
        <f aca="false">IF(ISNUMBER(T293),T279+T293,"")</f>
        <v>429.894</v>
      </c>
      <c r="U294" s="47" t="n">
        <f aca="false">IF(ISNUMBER(U293),U279+U293,"")</f>
        <v>457.19</v>
      </c>
      <c r="V294" s="47" t="n">
        <f aca="false">IF(ISNUMBER(V293),V279+V293,"")</f>
        <v>450.024</v>
      </c>
      <c r="W294" s="47" t="n">
        <f aca="false">IF(ISNUMBER(W293),W279+W293,"")</f>
        <v>450.024</v>
      </c>
      <c r="X294" s="47" t="n">
        <f aca="false">IF(ISNUMBER(X293),X279+X293,"")</f>
        <v>477.02</v>
      </c>
      <c r="Y294" s="47" t="n">
        <f aca="false">IF(ISNUMBER(Y293),Y279+Y293,"")</f>
        <v>495.755</v>
      </c>
      <c r="Z294" s="47" t="n">
        <f aca="false">IF(ISNUMBER(Z293),Z279+Z293,"")</f>
        <v>495.755</v>
      </c>
      <c r="AA294" s="47" t="n">
        <f aca="false">IF(ISNUMBER(AA293),AA279+AA293,"")</f>
        <v>903.233</v>
      </c>
      <c r="AB294" s="47" t="n">
        <f aca="false">IF(ISNUMBER(AB293),AB279+AB293,"")</f>
        <v>996.927</v>
      </c>
      <c r="AC294" s="47" t="n">
        <f aca="false">IF(ISNUMBER(AC293),AC279+AC293,"")</f>
        <v>996.927</v>
      </c>
      <c r="AD294" s="47" t="n">
        <f aca="false">IF(ISNUMBER(AD293),AD279+AD293,"")</f>
        <v>1109.744</v>
      </c>
      <c r="AE294" s="47" t="n">
        <f aca="false">IF(ISNUMBER(AE293),AE279+AE293,"")</f>
        <v>1079.73</v>
      </c>
      <c r="AF294" s="47" t="n">
        <f aca="false">IF(ISNUMBER(AF293),AF279+AF293,"")</f>
        <v>1079.73</v>
      </c>
      <c r="AG294" s="47" t="n">
        <f aca="false">IF(ISNUMBER(AG293),AG279+AG293,"")</f>
        <v>1120.311</v>
      </c>
      <c r="AH294" s="47" t="n">
        <f aca="false">IF(ISNUMBER(AH293),AH279+AH293,"")</f>
        <v>1168.501</v>
      </c>
      <c r="AI294" s="47" t="n">
        <f aca="false">IF(ISNUMBER(AI293),AI279+AI293,"")</f>
        <v>1168.501</v>
      </c>
      <c r="AJ294" s="47" t="n">
        <f aca="false">IF(ISNUMBER(AJ293),AJ279+AJ293,"")</f>
        <v>1329.704</v>
      </c>
      <c r="AK294" s="47" t="n">
        <f aca="false">IF(ISNUMBER(AK293),AK279+AK293,"")</f>
        <v>1322.988</v>
      </c>
      <c r="AL294" s="47" t="n">
        <f aca="false">IF(ISNUMBER(AL293),AL279+AL293,"")</f>
        <v>1322.988</v>
      </c>
      <c r="AM294" s="47" t="n">
        <f aca="false">IF(ISNUMBER(AM293),AM279+AM293,"")</f>
        <v>1302.617</v>
      </c>
      <c r="AN294" s="47" t="n">
        <f aca="false">IF(ISNUMBER(AN293),AN279+AN293,"")</f>
        <v>1379.88</v>
      </c>
      <c r="AO294" s="47" t="n">
        <f aca="false">IF(ISNUMBER(AO293),AO279+AO293,"")</f>
        <v>1379.88</v>
      </c>
      <c r="AP294" s="47" t="n">
        <f aca="false">IF(ISNUMBER(AP293),AP279+AP293,"")</f>
        <v>1535.864</v>
      </c>
      <c r="AQ294" s="47" t="n">
        <f aca="false">IF(ISNUMBER(AQ293),AQ279+AQ293,"")</f>
        <v>1744.893</v>
      </c>
      <c r="AR294" s="47" t="n">
        <f aca="false">IF(ISNUMBER(AR293),AR279+AR293,"")</f>
        <v>1744.893</v>
      </c>
      <c r="AS294" s="47" t="n">
        <f aca="false">IF(ISNUMBER(AS293),AS279+AS293,"")</f>
        <v>2004.253</v>
      </c>
      <c r="AT294" s="47" t="n">
        <f aca="false">IF(ISNUMBER(AT293),AT279+AT293,"")</f>
        <v>2022.26</v>
      </c>
      <c r="AU294" s="47" t="n">
        <f aca="false">IF(ISNUMBER(AU293),AU279+AU293,"")</f>
        <v>2022.26</v>
      </c>
      <c r="AV294" s="47" t="n">
        <f aca="false">IF(ISNUMBER(AV293),AV279+AV293,"")</f>
        <v>2077.144</v>
      </c>
      <c r="AW294" s="47" t="n">
        <f aca="false">IF(ISNUMBER(AW293),AW279+AW293,"")</f>
        <v>2076.85135767222</v>
      </c>
      <c r="AX294" s="47" t="n">
        <f aca="false">IF(ISNUMBER(AX293),AX279+AX293,"")</f>
        <v>2076.85135767222</v>
      </c>
      <c r="AY294" s="47" t="n">
        <f aca="false">IF(ISNUMBER(AY293),AY279+AY293,"")</f>
        <v>2211.02844891389</v>
      </c>
      <c r="AZ294" s="47" t="n">
        <f aca="false">IF(ISNUMBER(AZ293),AZ279+AZ293,"")</f>
        <v>2341.52276990148</v>
      </c>
      <c r="BA294" s="47" t="n">
        <f aca="false">IF(ISNUMBER(BA293),BA279+BA293,"")</f>
        <v>2485.6549421244</v>
      </c>
      <c r="BB294" s="47" t="n">
        <f aca="false">IF(ISNUMBER(BB293),BB279+BB293,"")</f>
        <v>2628.95719736035</v>
      </c>
    </row>
    <row r="295" customFormat="false" ht="15" hidden="false" customHeight="true" outlineLevel="0" collapsed="false">
      <c r="B295" s="45" t="s">
        <v>419</v>
      </c>
      <c r="C295" s="26" t="n">
        <f aca="false">IF(ISNUMBER(C273),ROUND(C273-C294,1),"")</f>
        <v>0</v>
      </c>
      <c r="D295" s="26" t="n">
        <f aca="false">IF(ISNUMBER(D273),ROUND(D273-D294,1),"")</f>
        <v>0</v>
      </c>
      <c r="E295" s="26" t="n">
        <f aca="false">IF(ISNUMBER(E273),ROUND(E273-E294,1),"")</f>
        <v>0</v>
      </c>
      <c r="F295" s="26" t="n">
        <f aca="false">IF(ISNUMBER(F273),ROUND(F273-F294,1),"")</f>
        <v>0</v>
      </c>
      <c r="G295" s="26" t="n">
        <f aca="false">IF(ISNUMBER(G273),ROUND(G273-G294,1),"")</f>
        <v>0</v>
      </c>
      <c r="H295" s="26" t="n">
        <f aca="false">IF(ISNUMBER(H273),ROUND(H273-H294,1),"")</f>
        <v>0</v>
      </c>
      <c r="I295" s="26" t="n">
        <f aca="false">IF(ISNUMBER(I273),ROUND(I273-I294,1),"")</f>
        <v>0</v>
      </c>
      <c r="J295" s="26" t="n">
        <f aca="false">IF(ISNUMBER(J273),ROUND(J273-J294,1),"")</f>
        <v>0</v>
      </c>
      <c r="K295" s="26" t="n">
        <f aca="false">IF(ISNUMBER(K273),ROUND(K273-K294,1),"")</f>
        <v>0</v>
      </c>
      <c r="L295" s="26" t="n">
        <f aca="false">IF(ISNUMBER(L273),ROUND(L273-L294,1),"")</f>
        <v>0</v>
      </c>
      <c r="M295" s="26" t="n">
        <f aca="false">IF(ISNUMBER(M273),ROUND(M273-M294,1),"")</f>
        <v>0</v>
      </c>
      <c r="N295" s="26" t="n">
        <f aca="false">IF(ISNUMBER(N273),ROUND(N273-N294,1),"")</f>
        <v>0</v>
      </c>
      <c r="O295" s="26" t="n">
        <f aca="false">IF(ISNUMBER(O273),ROUND(O273-O294,1),"")</f>
        <v>0</v>
      </c>
      <c r="P295" s="26" t="n">
        <f aca="false">IF(ISNUMBER(P273),ROUND(P273-P294,1),"")</f>
        <v>0</v>
      </c>
      <c r="Q295" s="26" t="n">
        <f aca="false">IF(ISNUMBER(Q273),ROUND(Q273-Q294,1),"")</f>
        <v>0</v>
      </c>
      <c r="R295" s="26" t="n">
        <f aca="false">IF(ISNUMBER(R273),ROUND(R273-R294,1),"")</f>
        <v>0</v>
      </c>
      <c r="S295" s="26" t="n">
        <f aca="false">IF(ISNUMBER(S273),ROUND(S273-S294,1),"")</f>
        <v>0</v>
      </c>
      <c r="T295" s="26" t="n">
        <f aca="false">IF(ISNUMBER(T273),ROUND(T273-T294,1),"")</f>
        <v>0</v>
      </c>
      <c r="U295" s="26" t="n">
        <f aca="false">IF(ISNUMBER(U273),ROUND(U273-U294,1),"")</f>
        <v>0</v>
      </c>
      <c r="V295" s="26" t="n">
        <f aca="false">IF(ISNUMBER(V273),ROUND(V273-V294,1),"")</f>
        <v>0</v>
      </c>
      <c r="W295" s="26" t="n">
        <f aca="false">IF(ISNUMBER(W273),ROUND(W273-W294,1),"")</f>
        <v>0</v>
      </c>
      <c r="X295" s="26" t="n">
        <f aca="false">IF(ISNUMBER(X273),ROUND(X273-X294,1),"")</f>
        <v>0</v>
      </c>
      <c r="Y295" s="26" t="n">
        <f aca="false">IF(ISNUMBER(Y273),ROUND(Y273-Y294,1),"")</f>
        <v>0</v>
      </c>
      <c r="Z295" s="26" t="n">
        <f aca="false">IF(ISNUMBER(Z273),ROUND(Z273-Z294,1),"")</f>
        <v>0</v>
      </c>
      <c r="AA295" s="26" t="n">
        <f aca="false">IF(ISNUMBER(AA273),ROUND(AA273-AA294,1),"")</f>
        <v>0</v>
      </c>
      <c r="AB295" s="26" t="n">
        <f aca="false">IF(ISNUMBER(AB273),ROUND(AB273-AB294,1),"")</f>
        <v>0</v>
      </c>
      <c r="AC295" s="26" t="n">
        <f aca="false">IF(ISNUMBER(AC273),ROUND(AC273-AC294,1),"")</f>
        <v>0</v>
      </c>
      <c r="AD295" s="26" t="n">
        <f aca="false">IF(ISNUMBER(AD273),ROUND(AD273-AD294,1),"")</f>
        <v>0</v>
      </c>
      <c r="AE295" s="26" t="n">
        <f aca="false">IF(ISNUMBER(AE273),ROUND(AE273-AE294,1),"")</f>
        <v>0</v>
      </c>
      <c r="AF295" s="26" t="n">
        <f aca="false">IF(ISNUMBER(AF273),ROUND(AF273-AF294,1),"")</f>
        <v>0</v>
      </c>
      <c r="AG295" s="26" t="n">
        <f aca="false">IF(ISNUMBER(AG273),ROUND(AG273-AG294,1),"")</f>
        <v>0</v>
      </c>
      <c r="AH295" s="26" t="n">
        <f aca="false">IF(ISNUMBER(AH273),ROUND(AH273-AH294,1),"")</f>
        <v>0</v>
      </c>
      <c r="AI295" s="26" t="n">
        <f aca="false">IF(ISNUMBER(AI273),ROUND(AI273-AI294,1),"")</f>
        <v>0</v>
      </c>
      <c r="AJ295" s="26" t="n">
        <f aca="false">IF(ISNUMBER(AJ273),ROUND(AJ273-AJ294,1),"")</f>
        <v>0</v>
      </c>
      <c r="AK295" s="26" t="n">
        <f aca="false">IF(ISNUMBER(AK273),ROUND(AK273-AK294,1),"")</f>
        <v>0</v>
      </c>
      <c r="AL295" s="26" t="n">
        <f aca="false">IF(ISNUMBER(AL273),ROUND(AL273-AL294,1),"")</f>
        <v>0</v>
      </c>
      <c r="AM295" s="26" t="n">
        <f aca="false">IF(ISNUMBER(AM273),ROUND(AM273-AM294,1),"")</f>
        <v>0</v>
      </c>
      <c r="AN295" s="26" t="n">
        <f aca="false">IF(ISNUMBER(AN273),ROUND(AN273-AN294,1),"")</f>
        <v>0</v>
      </c>
      <c r="AO295" s="26" t="n">
        <f aca="false">IF(ISNUMBER(AO273),ROUND(AO273-AO294,1),"")</f>
        <v>0</v>
      </c>
      <c r="AP295" s="26" t="n">
        <f aca="false">IF(ISNUMBER(AP273),ROUND(AP273-AP294,1),"")</f>
        <v>0</v>
      </c>
      <c r="AQ295" s="26" t="n">
        <f aca="false">IF(ISNUMBER(AQ273),ROUND(AQ273-AQ294,1),"")</f>
        <v>0</v>
      </c>
      <c r="AR295" s="26" t="n">
        <f aca="false">IF(ISNUMBER(AR273),ROUND(AR273-AR294,1),"")</f>
        <v>0</v>
      </c>
      <c r="AS295" s="26" t="n">
        <f aca="false">IF(ISNUMBER(AS273),ROUND(AS273-AS294,1),"")</f>
        <v>0</v>
      </c>
      <c r="AT295" s="26" t="n">
        <f aca="false">IF(ISNUMBER(AT273),ROUND(AT273-AT294,1),"")</f>
        <v>0</v>
      </c>
      <c r="AU295" s="26" t="n">
        <f aca="false">IF(ISNUMBER(AU273),ROUND(AU273-AU294,1),"")</f>
        <v>0</v>
      </c>
      <c r="AV295" s="26" t="n">
        <f aca="false">IF(ISNUMBER(AV273),ROUND(AV273-AV294,1),"")</f>
        <v>0</v>
      </c>
      <c r="AW295" s="27" t="n">
        <f aca="false">IF(ISNUMBER(AW273),ROUND(AW273-AW294,1),"")</f>
        <v>0</v>
      </c>
      <c r="AX295" s="27" t="n">
        <f aca="false">IF(ISNUMBER(AX273),ROUND(AX273-AX294,1),"")</f>
        <v>0</v>
      </c>
      <c r="AY295" s="27" t="n">
        <f aca="false">IF(ISNUMBER(AY273),ROUND(AY273-AY294,1),"")</f>
        <v>0</v>
      </c>
      <c r="AZ295" s="27" t="n">
        <f aca="false">IF(ISNUMBER(AZ273),ROUND(AZ273-AZ294,1),"")</f>
        <v>0</v>
      </c>
      <c r="BA295" s="27" t="n">
        <f aca="false">IF(ISNUMBER(BA273),ROUND(BA273-BA294,1),"")</f>
        <v>0</v>
      </c>
      <c r="BB295" s="27" t="n">
        <f aca="false">IF(ISNUMBER(BB273),ROUND(BB273-BB294,1),"")</f>
        <v>0</v>
      </c>
    </row>
    <row r="296" customFormat="false" ht="15" hidden="false" customHeight="true" outlineLevel="0" collapsed="false">
      <c r="B296" s="45" t="s">
        <v>420</v>
      </c>
      <c r="C296" s="26" t="n">
        <f aca="false">IF(ISNUMBER(C297),ROUND(C273-C297,1),"")</f>
        <v>0</v>
      </c>
      <c r="D296" s="26" t="n">
        <f aca="false">IF(ISNUMBER(D297),ROUND(D273-D297,1),"")</f>
        <v>0</v>
      </c>
      <c r="E296" s="26" t="n">
        <f aca="false">IF(ISNUMBER(E297),ROUND(E273-E297,1),"")</f>
        <v>0</v>
      </c>
      <c r="F296" s="26" t="n">
        <f aca="false">IF(ISNUMBER(F297),ROUND(F273-F297,1),"")</f>
        <v>0</v>
      </c>
      <c r="G296" s="26" t="n">
        <f aca="false">IF(ISNUMBER(G297),ROUND(G273-G297,1),"")</f>
        <v>0</v>
      </c>
      <c r="H296" s="26" t="n">
        <f aca="false">IF(ISNUMBER(H297),ROUND(H273-H297,1),"")</f>
        <v>0</v>
      </c>
      <c r="I296" s="26" t="n">
        <f aca="false">IF(ISNUMBER(I297),ROUND(I273-I297,1),"")</f>
        <v>0</v>
      </c>
      <c r="J296" s="26" t="n">
        <f aca="false">IF(ISNUMBER(J297),ROUND(J273-J297,1),"")</f>
        <v>0</v>
      </c>
      <c r="K296" s="26" t="n">
        <f aca="false">IF(ISNUMBER(K297),ROUND(K273-K297,1),"")</f>
        <v>0</v>
      </c>
      <c r="L296" s="26" t="n">
        <f aca="false">IF(ISNUMBER(L297),ROUND(L273-L297,1),"")</f>
        <v>0</v>
      </c>
      <c r="M296" s="26" t="n">
        <f aca="false">IF(ISNUMBER(M297),ROUND(M273-M297,1),"")</f>
        <v>0</v>
      </c>
      <c r="N296" s="26" t="n">
        <f aca="false">IF(ISNUMBER(N297),ROUND(N273-N297,1),"")</f>
        <v>0</v>
      </c>
      <c r="O296" s="26" t="n">
        <f aca="false">IF(ISNUMBER(O297),ROUND(O273-O297,1),"")</f>
        <v>0</v>
      </c>
      <c r="P296" s="26" t="n">
        <f aca="false">IF(ISNUMBER(P297),ROUND(P273-P297,1),"")</f>
        <v>0</v>
      </c>
      <c r="Q296" s="26" t="n">
        <f aca="false">IF(ISNUMBER(Q297),ROUND(Q273-Q297,1),"")</f>
        <v>0</v>
      </c>
      <c r="R296" s="26" t="n">
        <f aca="false">IF(ISNUMBER(R297),ROUND(R273-R297,1),"")</f>
        <v>0</v>
      </c>
      <c r="S296" s="26" t="n">
        <f aca="false">IF(ISNUMBER(S297),ROUND(S273-S297,1),"")</f>
        <v>0</v>
      </c>
      <c r="T296" s="26" t="n">
        <f aca="false">IF(ISNUMBER(T297),ROUND(T273-T297,1),"")</f>
        <v>0</v>
      </c>
      <c r="U296" s="26" t="n">
        <f aca="false">IF(ISNUMBER(U297),ROUND(U273-U297,1),"")</f>
        <v>0</v>
      </c>
      <c r="V296" s="26" t="n">
        <f aca="false">IF(ISNUMBER(V297),ROUND(V273-V297,1),"")</f>
        <v>0</v>
      </c>
      <c r="W296" s="26" t="n">
        <f aca="false">IF(ISNUMBER(W297),ROUND(W273-W297,1),"")</f>
        <v>0</v>
      </c>
      <c r="X296" s="26" t="n">
        <f aca="false">IF(ISNUMBER(X297),ROUND(X273-X297,1),"")</f>
        <v>0</v>
      </c>
      <c r="Y296" s="26" t="n">
        <f aca="false">IF(ISNUMBER(Y297),ROUND(Y273-Y297,1),"")</f>
        <v>0</v>
      </c>
      <c r="Z296" s="26" t="n">
        <f aca="false">IF(ISNUMBER(Z297),ROUND(Z273-Z297,1),"")</f>
        <v>0</v>
      </c>
      <c r="AA296" s="26" t="n">
        <f aca="false">IF(ISNUMBER(AA297),ROUND(AA273-AA297,1),"")</f>
        <v>0</v>
      </c>
      <c r="AB296" s="26" t="n">
        <f aca="false">IF(ISNUMBER(AB297),ROUND(AB273-AB297,1),"")</f>
        <v>0</v>
      </c>
      <c r="AC296" s="26" t="n">
        <f aca="false">IF(ISNUMBER(AC297),ROUND(AC273-AC297,1),"")</f>
        <v>0</v>
      </c>
      <c r="AD296" s="26" t="n">
        <f aca="false">IF(ISNUMBER(AD297),ROUND(AD273-AD297,1),"")</f>
        <v>0</v>
      </c>
      <c r="AE296" s="26" t="n">
        <f aca="false">IF(ISNUMBER(AE297),ROUND(AE273-AE297,1),"")</f>
        <v>0</v>
      </c>
      <c r="AF296" s="26" t="n">
        <f aca="false">IF(ISNUMBER(AF297),ROUND(AF273-AF297,1),"")</f>
        <v>0</v>
      </c>
      <c r="AG296" s="26" t="n">
        <f aca="false">IF(ISNUMBER(AG297),ROUND(AG273-AG297,1),"")</f>
        <v>0</v>
      </c>
      <c r="AH296" s="26" t="n">
        <f aca="false">IF(ISNUMBER(AH297),ROUND(AH273-AH297,1),"")</f>
        <v>0</v>
      </c>
      <c r="AI296" s="26" t="n">
        <f aca="false">IF(ISNUMBER(AI297),ROUND(AI273-AI297,1),"")</f>
        <v>0</v>
      </c>
      <c r="AJ296" s="26" t="n">
        <f aca="false">IF(ISNUMBER(AJ297),ROUND(AJ273-AJ297,1),"")</f>
        <v>0</v>
      </c>
      <c r="AK296" s="26" t="n">
        <f aca="false">IF(ISNUMBER(AK297),ROUND(AK273-AK297,1),"")</f>
        <v>0</v>
      </c>
      <c r="AL296" s="26" t="n">
        <f aca="false">IF(ISNUMBER(AL297),ROUND(AL273-AL297,1),"")</f>
        <v>0</v>
      </c>
      <c r="AM296" s="26" t="n">
        <f aca="false">IF(ISNUMBER(AM297),ROUND(AM273-AM297,1),"")</f>
        <v>0</v>
      </c>
      <c r="AN296" s="26" t="n">
        <f aca="false">IF(ISNUMBER(AN297),ROUND(AN273-AN297,1),"")</f>
        <v>0</v>
      </c>
      <c r="AO296" s="26" t="n">
        <f aca="false">IF(ISNUMBER(AO297),ROUND(AO273-AO297,1),"")</f>
        <v>0</v>
      </c>
      <c r="AP296" s="26" t="n">
        <f aca="false">IF(ISNUMBER(AP297),ROUND(AP273-AP297,1),"")</f>
        <v>0</v>
      </c>
      <c r="AQ296" s="26" t="n">
        <f aca="false">IF(ISNUMBER(AQ297),ROUND(AQ273-AQ297,1),"")</f>
        <v>0</v>
      </c>
      <c r="AR296" s="26" t="n">
        <f aca="false">IF(ISNUMBER(AR297),ROUND(AR273-AR297,1),"")</f>
        <v>0</v>
      </c>
      <c r="AS296" s="26" t="n">
        <f aca="false">IF(ISNUMBER(AS297),ROUND(AS273-AS297,1),"")</f>
        <v>0</v>
      </c>
      <c r="AT296" s="26" t="n">
        <f aca="false">IF(ISNUMBER(AT297),ROUND(AT273-AT297,1),"")</f>
        <v>0</v>
      </c>
      <c r="AU296" s="26" t="n">
        <f aca="false">IF(ISNUMBER(AU297),ROUND(AU273-AU297,1),"")</f>
        <v>0</v>
      </c>
      <c r="AV296" s="26" t="n">
        <f aca="false">IF(ISNUMBER(AV297),ROUND(AV273-AV297,1),"")</f>
        <v>0</v>
      </c>
      <c r="AW296" s="27" t="str">
        <f aca="false">IF(ISNUMBER(AW297),ROUND(AW273-AW297,1),"")</f>
        <v/>
      </c>
      <c r="AX296" s="27" t="str">
        <f aca="false">IF(ISNUMBER(AX297),ROUND(AX273-AX297,1),"")</f>
        <v/>
      </c>
      <c r="AY296" s="27" t="str">
        <f aca="false">IF(ISNUMBER(AY297),ROUND(AY273-AY297,1),"")</f>
        <v/>
      </c>
      <c r="AZ296" s="27" t="str">
        <f aca="false">IF(ISNUMBER(AZ297),ROUND(AZ273-AZ297,1),"")</f>
        <v/>
      </c>
      <c r="BA296" s="27" t="str">
        <f aca="false">IF(ISNUMBER(BA297),ROUND(BA273-BA297,1),"")</f>
        <v/>
      </c>
      <c r="BB296" s="27" t="str">
        <f aca="false">IF(ISNUMBER(BB297),ROUND(BB273-BB297,1),"")</f>
        <v/>
      </c>
    </row>
    <row r="297" customFormat="false" ht="15" hidden="false" customHeight="true" outlineLevel="0" collapsed="false">
      <c r="B297" s="20" t="s">
        <v>421</v>
      </c>
      <c r="C297" s="42" t="n">
        <v>174.332</v>
      </c>
      <c r="D297" s="26" t="n">
        <f aca="false">E297</f>
        <v>185.379</v>
      </c>
      <c r="E297" s="42" t="n">
        <v>185.379</v>
      </c>
      <c r="F297" s="42" t="n">
        <v>232.238</v>
      </c>
      <c r="G297" s="26" t="n">
        <f aca="false">H297</f>
        <v>250.071</v>
      </c>
      <c r="H297" s="42" t="n">
        <v>250.071</v>
      </c>
      <c r="I297" s="42" t="n">
        <v>286.09</v>
      </c>
      <c r="J297" s="26" t="n">
        <f aca="false">K297</f>
        <v>292.679</v>
      </c>
      <c r="K297" s="42" t="n">
        <v>292.679</v>
      </c>
      <c r="L297" s="42" t="n">
        <v>343.32</v>
      </c>
      <c r="M297" s="26" t="n">
        <f aca="false">N297</f>
        <v>368.134</v>
      </c>
      <c r="N297" s="42" t="n">
        <v>368.134</v>
      </c>
      <c r="O297" s="42" t="n">
        <v>427.384</v>
      </c>
      <c r="P297" s="26" t="n">
        <f aca="false">Q297</f>
        <v>411.103</v>
      </c>
      <c r="Q297" s="42" t="n">
        <v>411.103</v>
      </c>
      <c r="R297" s="42" t="n">
        <v>436.684</v>
      </c>
      <c r="S297" s="26" t="n">
        <f aca="false">T297</f>
        <v>429.894</v>
      </c>
      <c r="T297" s="42" t="n">
        <v>429.894</v>
      </c>
      <c r="U297" s="42" t="n">
        <v>457.19</v>
      </c>
      <c r="V297" s="26" t="n">
        <f aca="false">W297</f>
        <v>450.024</v>
      </c>
      <c r="W297" s="42" t="n">
        <v>450.024</v>
      </c>
      <c r="X297" s="42" t="n">
        <v>477.02</v>
      </c>
      <c r="Y297" s="26" t="n">
        <f aca="false">Z297</f>
        <v>495.755</v>
      </c>
      <c r="Z297" s="42" t="n">
        <v>495.755</v>
      </c>
      <c r="AA297" s="42" t="n">
        <v>903.233</v>
      </c>
      <c r="AB297" s="26" t="n">
        <f aca="false">AC297</f>
        <v>996.927</v>
      </c>
      <c r="AC297" s="42" t="n">
        <v>996.927</v>
      </c>
      <c r="AD297" s="42" t="n">
        <v>1109.744</v>
      </c>
      <c r="AE297" s="26" t="n">
        <f aca="false">AF297</f>
        <v>1079.73</v>
      </c>
      <c r="AF297" s="42" t="n">
        <v>1079.73</v>
      </c>
      <c r="AG297" s="42" t="n">
        <v>1120.311</v>
      </c>
      <c r="AH297" s="26" t="n">
        <f aca="false">AI297</f>
        <v>1168.501</v>
      </c>
      <c r="AI297" s="42" t="n">
        <v>1168.501</v>
      </c>
      <c r="AJ297" s="42" t="n">
        <v>1329.704</v>
      </c>
      <c r="AK297" s="26" t="n">
        <f aca="false">AL297</f>
        <v>1322.988</v>
      </c>
      <c r="AL297" s="42" t="n">
        <v>1322.988</v>
      </c>
      <c r="AM297" s="42" t="n">
        <v>1302.617</v>
      </c>
      <c r="AN297" s="26" t="n">
        <f aca="false">AO297</f>
        <v>1379.88</v>
      </c>
      <c r="AO297" s="42" t="n">
        <v>1379.88</v>
      </c>
      <c r="AP297" s="42" t="n">
        <v>1535.864</v>
      </c>
      <c r="AQ297" s="26" t="n">
        <f aca="false">AR297</f>
        <v>1744.893</v>
      </c>
      <c r="AR297" s="42" t="n">
        <v>1744.893</v>
      </c>
      <c r="AS297" s="42" t="n">
        <v>2004.253</v>
      </c>
      <c r="AT297" s="26" t="n">
        <f aca="false">AU297</f>
        <v>2022.26</v>
      </c>
      <c r="AU297" s="42" t="n">
        <v>2022.26</v>
      </c>
      <c r="AV297" s="42" t="n">
        <v>2077.144</v>
      </c>
    </row>
    <row r="298" customFormat="false" ht="15" hidden="false" customHeight="true" outlineLevel="0" collapsed="false">
      <c r="B298" s="40" t="s">
        <v>422</v>
      </c>
    </row>
    <row r="299" customFormat="false" ht="15" hidden="false" customHeight="true" outlineLevel="0" collapsed="false">
      <c r="B299" s="20" t="s">
        <v>423</v>
      </c>
      <c r="C299" s="26" t="n">
        <f aca="false">IF(ISNUMBER(C281),C281+C288,"")</f>
        <v>62.645</v>
      </c>
      <c r="D299" s="26" t="n">
        <f aca="false">IF(ISNUMBER(D281),D281+D288,"")</f>
        <v>56.15</v>
      </c>
      <c r="E299" s="26" t="n">
        <f aca="false">IF(ISNUMBER(E281),E281+E288,"")</f>
        <v>56.15</v>
      </c>
      <c r="F299" s="26" t="n">
        <f aca="false">IF(ISNUMBER(F281),F281+F288,"")</f>
        <v>47.011</v>
      </c>
      <c r="G299" s="26" t="n">
        <f aca="false">IF(ISNUMBER(G281),G281+G288,"")</f>
        <v>39.982</v>
      </c>
      <c r="H299" s="26" t="n">
        <f aca="false">IF(ISNUMBER(H281),H281+H288,"")</f>
        <v>39.982</v>
      </c>
      <c r="I299" s="26" t="n">
        <f aca="false">IF(ISNUMBER(I281),I281+I288,"")</f>
        <v>63.05</v>
      </c>
      <c r="J299" s="26" t="n">
        <f aca="false">IF(ISNUMBER(J281),J281+J288,"")</f>
        <v>47.92</v>
      </c>
      <c r="K299" s="26" t="n">
        <f aca="false">IF(ISNUMBER(K281),K281+K288,"")</f>
        <v>47.92</v>
      </c>
      <c r="L299" s="26" t="n">
        <f aca="false">IF(ISNUMBER(L281),L281+L288,"")</f>
        <v>85.493</v>
      </c>
      <c r="M299" s="26" t="n">
        <f aca="false">IF(ISNUMBER(M281),M281+M288,"")</f>
        <v>91.159</v>
      </c>
      <c r="N299" s="26" t="n">
        <f aca="false">IF(ISNUMBER(N281),N281+N288,"")</f>
        <v>91.159</v>
      </c>
      <c r="O299" s="26" t="n">
        <f aca="false">IF(ISNUMBER(O281),O281+O288,"")</f>
        <v>130.458</v>
      </c>
      <c r="P299" s="26" t="n">
        <f aca="false">IF(ISNUMBER(P281),P281+P288,"")</f>
        <v>100.524</v>
      </c>
      <c r="Q299" s="26" t="n">
        <f aca="false">IF(ISNUMBER(Q281),Q281+Q288,"")</f>
        <v>100.524</v>
      </c>
      <c r="R299" s="26" t="n">
        <f aca="false">IF(ISNUMBER(R281),R281+R288,"")</f>
        <v>118.035</v>
      </c>
      <c r="S299" s="26" t="n">
        <f aca="false">IF(ISNUMBER(S281),S281+S288,"")</f>
        <v>96.019</v>
      </c>
      <c r="T299" s="26" t="n">
        <f aca="false">IF(ISNUMBER(T281),T281+T288,"")</f>
        <v>96.019</v>
      </c>
      <c r="U299" s="26" t="n">
        <f aca="false">IF(ISNUMBER(U281),U281+U288,"")</f>
        <v>108.552</v>
      </c>
      <c r="V299" s="26" t="n">
        <f aca="false">IF(ISNUMBER(V281),V281+V288,"")</f>
        <v>75.024</v>
      </c>
      <c r="W299" s="26" t="n">
        <f aca="false">IF(ISNUMBER(W281),W281+W288,"")</f>
        <v>75.024</v>
      </c>
      <c r="X299" s="26" t="n">
        <f aca="false">IF(ISNUMBER(X281),X281+X288,"")</f>
        <v>89.058</v>
      </c>
      <c r="Y299" s="26" t="n">
        <f aca="false">IF(ISNUMBER(Y281),Y281+Y288,"")</f>
        <v>77.015</v>
      </c>
      <c r="Z299" s="26" t="n">
        <f aca="false">IF(ISNUMBER(Z281),Z281+Z288,"")</f>
        <v>77.015</v>
      </c>
      <c r="AA299" s="26" t="n">
        <f aca="false">IF(ISNUMBER(AA281),AA281+AA288,"")</f>
        <v>112.641</v>
      </c>
      <c r="AB299" s="26" t="n">
        <f aca="false">IF(ISNUMBER(AB281),AB281+AB288,"")</f>
        <v>102.461</v>
      </c>
      <c r="AC299" s="26" t="n">
        <f aca="false">IF(ISNUMBER(AC281),AC281+AC288,"")</f>
        <v>102.461</v>
      </c>
      <c r="AD299" s="26" t="n">
        <f aca="false">IF(ISNUMBER(AD281),AD281+AD288,"")</f>
        <v>247.02</v>
      </c>
      <c r="AE299" s="26" t="n">
        <f aca="false">IF(ISNUMBER(AE281),AE281+AE288,"")</f>
        <v>165.14</v>
      </c>
      <c r="AF299" s="26" t="n">
        <f aca="false">IF(ISNUMBER(AF281),AF281+AF288,"")</f>
        <v>165.14</v>
      </c>
      <c r="AG299" s="26" t="n">
        <f aca="false">IF(ISNUMBER(AG281),AG281+AG288,"")</f>
        <v>157.309</v>
      </c>
      <c r="AH299" s="26" t="n">
        <f aca="false">IF(ISNUMBER(AH281),AH281+AH288,"")</f>
        <v>117.051</v>
      </c>
      <c r="AI299" s="26" t="n">
        <f aca="false">IF(ISNUMBER(AI281),AI281+AI288,"")</f>
        <v>117.051</v>
      </c>
      <c r="AJ299" s="26" t="n">
        <f aca="false">IF(ISNUMBER(AJ281),AJ281+AJ288,"")</f>
        <v>165.66</v>
      </c>
      <c r="AK299" s="26" t="n">
        <f aca="false">IF(ISNUMBER(AK281),AK281+AK288,"")</f>
        <v>121.392</v>
      </c>
      <c r="AL299" s="26" t="n">
        <f aca="false">IF(ISNUMBER(AL281),AL281+AL288,"")</f>
        <v>121.392</v>
      </c>
      <c r="AM299" s="26" t="n">
        <f aca="false">IF(ISNUMBER(AM281),AM281+AM288,"")</f>
        <v>124.246</v>
      </c>
      <c r="AN299" s="26" t="n">
        <f aca="false">IF(ISNUMBER(AN281),AN281+AN288,"")</f>
        <v>109.103</v>
      </c>
      <c r="AO299" s="26" t="n">
        <f aca="false">IF(ISNUMBER(AO281),AO281+AO288,"")</f>
        <v>109.103</v>
      </c>
      <c r="AP299" s="26" t="n">
        <f aca="false">IF(ISNUMBER(AP281),AP281+AP288,"")</f>
        <v>151.795</v>
      </c>
      <c r="AQ299" s="26" t="n">
        <f aca="false">IF(ISNUMBER(AQ281),AQ281+AQ288,"")</f>
        <v>279.868</v>
      </c>
      <c r="AR299" s="26" t="n">
        <f aca="false">IF(ISNUMBER(AR281),AR281+AR288,"")</f>
        <v>279.868</v>
      </c>
      <c r="AS299" s="26" t="n">
        <f aca="false">IF(ISNUMBER(AS281),AS281+AS288,"")</f>
        <v>431.129</v>
      </c>
      <c r="AT299" s="26" t="n">
        <f aca="false">IF(ISNUMBER(AT281),AT281+AT288,"")</f>
        <v>395.898</v>
      </c>
      <c r="AU299" s="26" t="n">
        <f aca="false">IF(ISNUMBER(AU281),AU281+AU288,"")</f>
        <v>395.898</v>
      </c>
      <c r="AV299" s="26" t="n">
        <f aca="false">IF(ISNUMBER(AV281),AV281+AV288,"")</f>
        <v>399.723</v>
      </c>
      <c r="AW299" s="27" t="n">
        <f aca="false">IF(ISNUMBER(AW281),AW281+AW288,"")</f>
        <v>284.753635521919</v>
      </c>
      <c r="AX299" s="27" t="n">
        <f aca="false">AW341</f>
        <v>284.753635521919</v>
      </c>
      <c r="AY299" s="27" t="n">
        <f aca="false">AY341</f>
        <v>272.410088170685</v>
      </c>
      <c r="AZ299" s="27" t="n">
        <f aca="false">AZ341</f>
        <v>244.613717566574</v>
      </c>
      <c r="BA299" s="27" t="n">
        <f aca="false">BA341</f>
        <v>208.357460648664</v>
      </c>
      <c r="BB299" s="27" t="n">
        <f aca="false">BB341</f>
        <v>164.395355534444</v>
      </c>
    </row>
    <row r="300" customFormat="false" ht="15" hidden="false" customHeight="true" outlineLevel="0" collapsed="false">
      <c r="B300" s="14" t="s">
        <v>424</v>
      </c>
      <c r="C300" s="35" t="n">
        <f aca="false">IF(ISNUMBER(C299),C299+N(C283)+N(C290)-C271-N(C301),"")</f>
        <v>58.477</v>
      </c>
      <c r="D300" s="35" t="n">
        <f aca="false">IF(ISNUMBER(D299),D299+N(D283)+N(D290)-D271-N(D301),"")</f>
        <v>47.994</v>
      </c>
      <c r="E300" s="35" t="n">
        <f aca="false">IF(ISNUMBER(E299),E299+N(E283)+N(E290)-E271-N(E301),"")</f>
        <v>47.994</v>
      </c>
      <c r="F300" s="35" t="n">
        <f aca="false">IF(ISNUMBER(F299),F299+N(F283)+N(F290)-F271-N(F301),"")</f>
        <v>14.164</v>
      </c>
      <c r="G300" s="35" t="n">
        <f aca="false">IF(ISNUMBER(G299),G299+N(G283)+N(G290)-G271-N(G301),"")</f>
        <v>0.851</v>
      </c>
      <c r="H300" s="35" t="n">
        <f aca="false">IF(ISNUMBER(H299),H299+N(H283)+N(H290)-H271-N(H301),"")</f>
        <v>0.851</v>
      </c>
      <c r="I300" s="35" t="n">
        <f aca="false">IF(ISNUMBER(I299),I299+N(I283)+N(I290)-I271-N(I301),"")</f>
        <v>32.176</v>
      </c>
      <c r="J300" s="35" t="n">
        <f aca="false">IF(ISNUMBER(J299),J299+N(J283)+N(J290)-J271-N(J301),"")</f>
        <v>16.101</v>
      </c>
      <c r="K300" s="35" t="n">
        <f aca="false">IF(ISNUMBER(K299),K299+N(K283)+N(K290)-K271-N(K301),"")</f>
        <v>16.101</v>
      </c>
      <c r="L300" s="35" t="n">
        <f aca="false">IF(ISNUMBER(L299),L299+N(L283)+N(L290)-L271-N(L301),"")</f>
        <v>46.108</v>
      </c>
      <c r="M300" s="35" t="n">
        <f aca="false">IF(ISNUMBER(M299),M299+N(M283)+N(M290)-M271-N(M301),"")</f>
        <v>42.636</v>
      </c>
      <c r="N300" s="35" t="n">
        <f aca="false">IF(ISNUMBER(N299),N299+N(N283)+N(N290)-N271-N(N301),"")</f>
        <v>42.636</v>
      </c>
      <c r="O300" s="35" t="n">
        <f aca="false">IF(ISNUMBER(O299),O299+N(O283)+N(O290)-O271-N(O301),"")</f>
        <v>78.281</v>
      </c>
      <c r="P300" s="35" t="n">
        <f aca="false">IF(ISNUMBER(P299),P299+N(P283)+N(P290)-P271-N(P301),"")</f>
        <v>56.412</v>
      </c>
      <c r="Q300" s="35" t="n">
        <f aca="false">IF(ISNUMBER(Q299),Q299+N(Q283)+N(Q290)-Q271-N(Q301),"")</f>
        <v>56.412</v>
      </c>
      <c r="R300" s="35" t="n">
        <f aca="false">IF(ISNUMBER(R299),R299+N(R283)+N(R290)-R271-N(R301),"")</f>
        <v>79.714</v>
      </c>
      <c r="S300" s="35" t="n">
        <f aca="false">IF(ISNUMBER(S299),S299+N(S283)+N(S290)-S271-N(S301),"")</f>
        <v>50.956</v>
      </c>
      <c r="T300" s="35" t="n">
        <f aca="false">IF(ISNUMBER(T299),T299+N(T283)+N(T290)-T271-N(T301),"")</f>
        <v>50.956</v>
      </c>
      <c r="U300" s="35" t="n">
        <f aca="false">IF(ISNUMBER(U299),U299+N(U283)+N(U290)-U271-N(U301),"")</f>
        <v>59.433</v>
      </c>
      <c r="V300" s="35" t="n">
        <f aca="false">IF(ISNUMBER(V299),V299+N(V283)+N(V290)-V271-N(V301),"")</f>
        <v>15.703</v>
      </c>
      <c r="W300" s="35" t="n">
        <f aca="false">IF(ISNUMBER(W299),W299+N(W283)+N(W290)-W271-N(W301),"")</f>
        <v>15.703</v>
      </c>
      <c r="X300" s="35" t="n">
        <f aca="false">IF(ISNUMBER(X299),X299+N(X283)+N(X290)-X271-N(X301),"")</f>
        <v>44.038</v>
      </c>
      <c r="Y300" s="35" t="n">
        <f aca="false">IF(ISNUMBER(Y299),Y299+N(Y283)+N(Y290)-Y271-N(Y301),"")</f>
        <v>14.536</v>
      </c>
      <c r="Z300" s="35" t="n">
        <f aca="false">IF(ISNUMBER(Z299),Z299+N(Z283)+N(Z290)-Z271-N(Z301),"")</f>
        <v>14.536</v>
      </c>
      <c r="AA300" s="35" t="n">
        <f aca="false">IF(ISNUMBER(AA299),AA299+N(AA283)+N(AA290)-AA271-N(AA301),"")</f>
        <v>46.564</v>
      </c>
      <c r="AB300" s="35" t="n">
        <f aca="false">IF(ISNUMBER(AB299),AB299+N(AB283)+N(AB290)-AB271-N(AB301),"")</f>
        <v>30.07</v>
      </c>
      <c r="AC300" s="35" t="n">
        <f aca="false">IF(ISNUMBER(AC299),AC299+N(AC283)+N(AC290)-AC271-N(AC301),"")</f>
        <v>30.07</v>
      </c>
      <c r="AD300" s="35" t="n">
        <f aca="false">IF(ISNUMBER(AD299),AD299+N(AD283)+N(AD290)-AD271-N(AD301),"")</f>
        <v>136.542</v>
      </c>
      <c r="AE300" s="35" t="n">
        <f aca="false">IF(ISNUMBER(AE299),AE299+N(AE283)+N(AE290)-AE271-N(AE301),"")</f>
        <v>93.549</v>
      </c>
      <c r="AF300" s="35" t="n">
        <f aca="false">IF(ISNUMBER(AF299),AF299+N(AF283)+N(AF290)-AF271-N(AF301),"")</f>
        <v>93.549</v>
      </c>
      <c r="AG300" s="35" t="n">
        <f aca="false">IF(ISNUMBER(AG299),AG299+N(AG283)+N(AG290)-AG271-N(AG301),"")</f>
        <v>96.271</v>
      </c>
      <c r="AH300" s="35" t="n">
        <f aca="false">IF(ISNUMBER(AH299),AH299+N(AH283)+N(AH290)-AH271-N(AH301),"")</f>
        <v>23.029</v>
      </c>
      <c r="AI300" s="35" t="n">
        <f aca="false">IF(ISNUMBER(AI299),AI299+N(AI283)+N(AI290)-AI271-N(AI301),"")</f>
        <v>23.029</v>
      </c>
      <c r="AJ300" s="35" t="n">
        <f aca="false">IF(ISNUMBER(AJ299),AJ299+N(AJ283)+N(AJ290)-AJ271-N(AJ301),"")</f>
        <v>63.834</v>
      </c>
      <c r="AK300" s="35" t="n">
        <f aca="false">IF(ISNUMBER(AK299),AK299+N(AK283)+N(AK290)-AK271-N(AK301),"")</f>
        <v>7.147</v>
      </c>
      <c r="AL300" s="35" t="n">
        <f aca="false">IF(ISNUMBER(AL299),AL299+N(AL283)+N(AL290)-AL271-N(AL301),"")</f>
        <v>7.147</v>
      </c>
      <c r="AM300" s="35" t="n">
        <f aca="false">IF(ISNUMBER(AM299),AM299+N(AM283)+N(AM290)-AM271-N(AM301),"")</f>
        <v>38.572</v>
      </c>
      <c r="AN300" s="35" t="n">
        <f aca="false">IF(ISNUMBER(AN299),AN299+N(AN283)+N(AN290)-AN271-N(AN301),"")</f>
        <v>6.146</v>
      </c>
      <c r="AO300" s="35" t="n">
        <f aca="false">IF(ISNUMBER(AO299),AO299+N(AO283)+N(AO290)-AO271-N(AO301),"")</f>
        <v>6.146</v>
      </c>
      <c r="AP300" s="35" t="n">
        <f aca="false">IF(ISNUMBER(AP299),AP299+N(AP283)+N(AP290)-AP271-N(AP301),"")</f>
        <v>68.676</v>
      </c>
      <c r="AQ300" s="35" t="n">
        <f aca="false">IF(ISNUMBER(AQ299),AQ299+N(AQ283)+N(AQ290)-AQ271-N(AQ301),"")</f>
        <v>103.581</v>
      </c>
      <c r="AR300" s="35" t="n">
        <f aca="false">IF(ISNUMBER(AR299),AR299+N(AR283)+N(AR290)-AR271-N(AR301),"")</f>
        <v>103.581</v>
      </c>
      <c r="AS300" s="35" t="n">
        <f aca="false">IF(ISNUMBER(AS299),AS299+N(AS283)+N(AS290)-AS271-N(AS301),"")</f>
        <v>197.183</v>
      </c>
      <c r="AT300" s="35" t="n">
        <f aca="false">IF(ISNUMBER(AT299),AT299+N(AT283)+N(AT290)-AT271-N(AT301),"")</f>
        <v>198.365</v>
      </c>
      <c r="AU300" s="35" t="n">
        <f aca="false">IF(ISNUMBER(AU299),AU299+N(AU283)+N(AU290)-AU271-N(AU301),"")</f>
        <v>198.365</v>
      </c>
      <c r="AV300" s="35" t="n">
        <f aca="false">IF(ISNUMBER(AV299),AV299+N(AV283)+N(AV290)-AV271-N(AV301),"")</f>
        <v>225.051</v>
      </c>
      <c r="AW300" s="36" t="n">
        <f aca="false">IF(ISNUMBER(AW299),AW299+N(AW283)+N(AW290)-AW271-N(AW301),"")</f>
        <v>139.851635521919</v>
      </c>
      <c r="AX300" s="36" t="n">
        <f aca="false">IF(ISNUMBER(AX299),AX299+N(AX283)+N(AX290)-AX271-N(AX301),"")</f>
        <v>139.851635521919</v>
      </c>
      <c r="AY300" s="36" t="n">
        <f aca="false">IF(ISNUMBER(AY299),AY299+N(AY283)+N(AY290)-AY271-N(AY301),"")</f>
        <v>127.508088170685</v>
      </c>
      <c r="AZ300" s="36" t="n">
        <f aca="false">IF(ISNUMBER(AZ299),AZ299+N(AZ283)+N(AZ290)-AZ271-N(AZ301),"")</f>
        <v>99.7117175665736</v>
      </c>
      <c r="BA300" s="36" t="n">
        <f aca="false">IF(ISNUMBER(BA299),BA299+N(BA283)+N(BA290)-BA271-N(BA301),"")</f>
        <v>63.4554606486641</v>
      </c>
      <c r="BB300" s="36" t="n">
        <f aca="false">IF(ISNUMBER(BB299),BB299+N(BB283)+N(BB290)-BB271-N(BB301),"")</f>
        <v>19.4933555344442</v>
      </c>
    </row>
    <row r="301" customFormat="false" ht="15" hidden="false" customHeight="true" outlineLevel="0" collapsed="false">
      <c r="B301" s="20" t="s">
        <v>425</v>
      </c>
      <c r="D301" s="26" t="n">
        <f aca="false">E301</f>
        <v>2.386</v>
      </c>
      <c r="E301" s="42" t="n">
        <v>2.386</v>
      </c>
      <c r="F301" s="42" t="n">
        <v>1.831</v>
      </c>
      <c r="G301" s="26" t="n">
        <f aca="false">H301</f>
        <v>0.014000000000002</v>
      </c>
      <c r="H301" s="42" t="n">
        <v>0.014000000000002</v>
      </c>
      <c r="I301" s="42" t="n">
        <v>0.0589999999999975</v>
      </c>
      <c r="J301" s="26" t="n">
        <f aca="false">K301</f>
        <v>0.116</v>
      </c>
      <c r="K301" s="42" t="n">
        <v>0.116</v>
      </c>
      <c r="L301" s="42" t="n">
        <v>0.247</v>
      </c>
      <c r="M301" s="26" t="n">
        <f aca="false">N301</f>
        <v>5.944</v>
      </c>
      <c r="N301" s="42" t="n">
        <v>5.944</v>
      </c>
      <c r="O301" s="42" t="n">
        <v>7.23299999999998</v>
      </c>
      <c r="P301" s="26" t="n">
        <f aca="false">Q301</f>
        <v>3.835</v>
      </c>
      <c r="Q301" s="42" t="n">
        <v>3.835</v>
      </c>
      <c r="R301" s="42" t="n">
        <v>1.703</v>
      </c>
      <c r="S301" s="26" t="n">
        <f aca="false">T301</f>
        <v>5.83800000000001</v>
      </c>
      <c r="T301" s="42" t="n">
        <v>5.83800000000001</v>
      </c>
      <c r="U301" s="42" t="n">
        <v>2.01899999999999</v>
      </c>
      <c r="V301" s="26" t="n">
        <f aca="false">W301</f>
        <v>0.0540000000000056</v>
      </c>
      <c r="W301" s="42" t="n">
        <v>0.0540000000000056</v>
      </c>
      <c r="X301" s="42" t="n">
        <v>4.336</v>
      </c>
      <c r="Y301" s="26" t="n">
        <f aca="false">Z301</f>
        <v>14.208</v>
      </c>
      <c r="Z301" s="42" t="n">
        <v>14.208</v>
      </c>
      <c r="AA301" s="42" t="n">
        <v>13.73</v>
      </c>
      <c r="AB301" s="26" t="n">
        <f aca="false">AC301</f>
        <v>12.809</v>
      </c>
      <c r="AC301" s="42" t="n">
        <v>12.809</v>
      </c>
      <c r="AD301" s="42" t="n">
        <v>0.236000000000018</v>
      </c>
      <c r="AE301" s="26" t="n">
        <f aca="false">AF301</f>
        <v>0.26400000000001</v>
      </c>
      <c r="AF301" s="42" t="n">
        <v>0.26400000000001</v>
      </c>
      <c r="AG301" s="42" t="n">
        <v>2.17600000000002</v>
      </c>
      <c r="AH301" s="26" t="n">
        <f aca="false">AI301</f>
        <v>6.79999999999999</v>
      </c>
      <c r="AI301" s="42" t="n">
        <v>6.79999999999999</v>
      </c>
      <c r="AJ301" s="42" t="n">
        <v>18.405</v>
      </c>
      <c r="AK301" s="26" t="n">
        <f aca="false">AL301</f>
        <v>4.086</v>
      </c>
      <c r="AL301" s="42" t="n">
        <v>4.086</v>
      </c>
      <c r="AM301" s="42" t="n">
        <v>1.352</v>
      </c>
      <c r="AN301" s="26" t="n">
        <f aca="false">AO301</f>
        <v>1.86999999999999</v>
      </c>
      <c r="AO301" s="42" t="n">
        <v>1.86999999999999</v>
      </c>
      <c r="AP301" s="42" t="n">
        <v>6.37000000000001</v>
      </c>
      <c r="AQ301" s="26" t="n">
        <f aca="false">AR301</f>
        <v>16.918</v>
      </c>
      <c r="AR301" s="42" t="n">
        <v>16.918</v>
      </c>
      <c r="AS301" s="42" t="n">
        <v>1.39199999999997</v>
      </c>
      <c r="AT301" s="26" t="n">
        <f aca="false">AU301</f>
        <v>1.70100000000002</v>
      </c>
      <c r="AU301" s="42" t="n">
        <v>1.70100000000002</v>
      </c>
      <c r="AV301" s="42" t="n">
        <v>9.67199999999994</v>
      </c>
      <c r="AW301" s="27" t="n">
        <f aca="false">AX301</f>
        <v>9.67199999999994</v>
      </c>
      <c r="AX301" s="27" t="n">
        <f aca="false">AV301</f>
        <v>9.67199999999994</v>
      </c>
      <c r="AY301" s="27" t="n">
        <f aca="false">AX301</f>
        <v>9.67199999999994</v>
      </c>
      <c r="AZ301" s="27" t="n">
        <f aca="false">AY301</f>
        <v>9.67199999999994</v>
      </c>
      <c r="BA301" s="27" t="n">
        <f aca="false">AZ301</f>
        <v>9.67199999999994</v>
      </c>
      <c r="BB301" s="27" t="n">
        <f aca="false">BA301</f>
        <v>9.67199999999994</v>
      </c>
    </row>
    <row r="302" customFormat="false" ht="15" hidden="false" customHeight="true" outlineLevel="0" collapsed="false">
      <c r="B302" s="20" t="s">
        <v>426</v>
      </c>
      <c r="D302" s="26" t="n">
        <f aca="false">E302</f>
        <v>47.994</v>
      </c>
      <c r="E302" s="42" t="n">
        <v>47.994</v>
      </c>
      <c r="F302" s="42" t="n">
        <v>14.164</v>
      </c>
      <c r="G302" s="26" t="n">
        <f aca="false">H302</f>
        <v>0.851</v>
      </c>
      <c r="H302" s="42" t="n">
        <v>0.851</v>
      </c>
      <c r="I302" s="42" t="n">
        <v>32.176</v>
      </c>
      <c r="J302" s="26" t="n">
        <f aca="false">K302</f>
        <v>16.101</v>
      </c>
      <c r="K302" s="42" t="n">
        <v>16.101</v>
      </c>
      <c r="L302" s="42" t="n">
        <v>46.108</v>
      </c>
      <c r="M302" s="26" t="n">
        <f aca="false">N302</f>
        <v>42.636</v>
      </c>
      <c r="N302" s="42" t="n">
        <v>42.636</v>
      </c>
      <c r="O302" s="42" t="n">
        <v>78.281</v>
      </c>
      <c r="P302" s="26" t="n">
        <f aca="false">Q302</f>
        <v>56.412</v>
      </c>
      <c r="Q302" s="42" t="n">
        <v>56.412</v>
      </c>
      <c r="R302" s="42" t="n">
        <v>79.714</v>
      </c>
      <c r="S302" s="26" t="n">
        <f aca="false">T302</f>
        <v>50.956</v>
      </c>
      <c r="T302" s="42" t="n">
        <v>50.956</v>
      </c>
      <c r="U302" s="42" t="n">
        <v>59.433</v>
      </c>
      <c r="V302" s="26" t="n">
        <f aca="false">W302</f>
        <v>15.703</v>
      </c>
      <c r="W302" s="42" t="n">
        <v>15.703</v>
      </c>
      <c r="X302" s="42" t="n">
        <v>44.038</v>
      </c>
      <c r="Y302" s="26" t="n">
        <f aca="false">Z302</f>
        <v>14.536</v>
      </c>
      <c r="Z302" s="42" t="n">
        <v>14.536</v>
      </c>
      <c r="AA302" s="42" t="n">
        <v>46.564</v>
      </c>
      <c r="AB302" s="26" t="n">
        <f aca="false">AC302</f>
        <v>30.07</v>
      </c>
      <c r="AC302" s="42" t="n">
        <v>30.07</v>
      </c>
      <c r="AD302" s="42" t="n">
        <v>136.542</v>
      </c>
      <c r="AE302" s="26" t="n">
        <f aca="false">AF302</f>
        <v>93.549</v>
      </c>
      <c r="AF302" s="42" t="n">
        <v>93.549</v>
      </c>
      <c r="AG302" s="42" t="n">
        <v>96.271</v>
      </c>
      <c r="AH302" s="26" t="n">
        <f aca="false">AI302</f>
        <v>23.029</v>
      </c>
      <c r="AI302" s="42" t="n">
        <v>23.029</v>
      </c>
      <c r="AJ302" s="42" t="n">
        <v>63.834</v>
      </c>
      <c r="AK302" s="26" t="n">
        <f aca="false">AL302</f>
        <v>7.147</v>
      </c>
      <c r="AL302" s="42" t="n">
        <v>7.147</v>
      </c>
      <c r="AM302" s="42" t="n">
        <v>38.572</v>
      </c>
      <c r="AN302" s="26" t="n">
        <f aca="false">AO302</f>
        <v>6.146</v>
      </c>
      <c r="AO302" s="42" t="n">
        <v>6.146</v>
      </c>
      <c r="AP302" s="42" t="n">
        <v>68.676</v>
      </c>
      <c r="AQ302" s="26" t="n">
        <f aca="false">AR302</f>
        <v>103.581</v>
      </c>
      <c r="AR302" s="42" t="n">
        <v>103.581</v>
      </c>
      <c r="AS302" s="42" t="n">
        <v>197.183</v>
      </c>
      <c r="AT302" s="26" t="n">
        <f aca="false">AU302</f>
        <v>198.365</v>
      </c>
      <c r="AU302" s="42" t="n">
        <v>198.365</v>
      </c>
      <c r="AV302" s="42" t="n">
        <v>225.051</v>
      </c>
    </row>
    <row r="303" customFormat="false" ht="15" hidden="false" customHeight="true" outlineLevel="0" collapsed="false">
      <c r="B303" s="45" t="s">
        <v>427</v>
      </c>
      <c r="C303" s="26" t="str">
        <f aca="false">IF(ISNUMBER(C302),ROUND(C300-C302,1),"")</f>
        <v/>
      </c>
      <c r="D303" s="26" t="n">
        <f aca="false">IF(ISNUMBER(D302),ROUND(D300-D302,1),"")</f>
        <v>0</v>
      </c>
      <c r="E303" s="26" t="n">
        <f aca="false">IF(ISNUMBER(E302),ROUND(E300-E302,1),"")</f>
        <v>0</v>
      </c>
      <c r="F303" s="26" t="n">
        <f aca="false">IF(ISNUMBER(F302),ROUND(F300-F302,1),"")</f>
        <v>0</v>
      </c>
      <c r="G303" s="26" t="n">
        <f aca="false">IF(ISNUMBER(G302),ROUND(G300-G302,1),"")</f>
        <v>0</v>
      </c>
      <c r="H303" s="26" t="n">
        <f aca="false">IF(ISNUMBER(H302),ROUND(H300-H302,1),"")</f>
        <v>0</v>
      </c>
      <c r="I303" s="26" t="n">
        <f aca="false">IF(ISNUMBER(I302),ROUND(I300-I302,1),"")</f>
        <v>0</v>
      </c>
      <c r="J303" s="26" t="n">
        <f aca="false">IF(ISNUMBER(J302),ROUND(J300-J302,1),"")</f>
        <v>0</v>
      </c>
      <c r="K303" s="26" t="n">
        <f aca="false">IF(ISNUMBER(K302),ROUND(K300-K302,1),"")</f>
        <v>0</v>
      </c>
      <c r="L303" s="26" t="n">
        <f aca="false">IF(ISNUMBER(L302),ROUND(L300-L302,1),"")</f>
        <v>0</v>
      </c>
      <c r="M303" s="26" t="n">
        <f aca="false">IF(ISNUMBER(M302),ROUND(M300-M302,1),"")</f>
        <v>0</v>
      </c>
      <c r="N303" s="26" t="n">
        <f aca="false">IF(ISNUMBER(N302),ROUND(N300-N302,1),"")</f>
        <v>0</v>
      </c>
      <c r="O303" s="26" t="n">
        <f aca="false">IF(ISNUMBER(O302),ROUND(O300-O302,1),"")</f>
        <v>0</v>
      </c>
      <c r="P303" s="26" t="n">
        <f aca="false">IF(ISNUMBER(P302),ROUND(P300-P302,1),"")</f>
        <v>0</v>
      </c>
      <c r="Q303" s="26" t="n">
        <f aca="false">IF(ISNUMBER(Q302),ROUND(Q300-Q302,1),"")</f>
        <v>0</v>
      </c>
      <c r="R303" s="26" t="n">
        <f aca="false">IF(ISNUMBER(R302),ROUND(R300-R302,1),"")</f>
        <v>0</v>
      </c>
      <c r="S303" s="26" t="n">
        <f aca="false">IF(ISNUMBER(S302),ROUND(S300-S302,1),"")</f>
        <v>0</v>
      </c>
      <c r="T303" s="26" t="n">
        <f aca="false">IF(ISNUMBER(T302),ROUND(T300-T302,1),"")</f>
        <v>0</v>
      </c>
      <c r="U303" s="26" t="n">
        <f aca="false">IF(ISNUMBER(U302),ROUND(U300-U302,1),"")</f>
        <v>0</v>
      </c>
      <c r="V303" s="26" t="n">
        <f aca="false">IF(ISNUMBER(V302),ROUND(V300-V302,1),"")</f>
        <v>0</v>
      </c>
      <c r="W303" s="26" t="n">
        <f aca="false">IF(ISNUMBER(W302),ROUND(W300-W302,1),"")</f>
        <v>0</v>
      </c>
      <c r="X303" s="26" t="n">
        <f aca="false">IF(ISNUMBER(X302),ROUND(X300-X302,1),"")</f>
        <v>0</v>
      </c>
      <c r="Y303" s="26" t="n">
        <f aca="false">IF(ISNUMBER(Y302),ROUND(Y300-Y302,1),"")</f>
        <v>0</v>
      </c>
      <c r="Z303" s="26" t="n">
        <f aca="false">IF(ISNUMBER(Z302),ROUND(Z300-Z302,1),"")</f>
        <v>0</v>
      </c>
      <c r="AA303" s="26" t="n">
        <f aca="false">IF(ISNUMBER(AA302),ROUND(AA300-AA302,1),"")</f>
        <v>0</v>
      </c>
      <c r="AB303" s="26" t="n">
        <f aca="false">IF(ISNUMBER(AB302),ROUND(AB300-AB302,1),"")</f>
        <v>0</v>
      </c>
      <c r="AC303" s="26" t="n">
        <f aca="false">IF(ISNUMBER(AC302),ROUND(AC300-AC302,1),"")</f>
        <v>0</v>
      </c>
      <c r="AD303" s="26" t="n">
        <f aca="false">IF(ISNUMBER(AD302),ROUND(AD300-AD302,1),"")</f>
        <v>0</v>
      </c>
      <c r="AE303" s="26" t="n">
        <f aca="false">IF(ISNUMBER(AE302),ROUND(AE300-AE302,1),"")</f>
        <v>0</v>
      </c>
      <c r="AF303" s="26" t="n">
        <f aca="false">IF(ISNUMBER(AF302),ROUND(AF300-AF302,1),"")</f>
        <v>0</v>
      </c>
      <c r="AG303" s="26" t="n">
        <f aca="false">IF(ISNUMBER(AG302),ROUND(AG300-AG302,1),"")</f>
        <v>0</v>
      </c>
      <c r="AH303" s="26" t="n">
        <f aca="false">IF(ISNUMBER(AH302),ROUND(AH300-AH302,1),"")</f>
        <v>0</v>
      </c>
      <c r="AI303" s="26" t="n">
        <f aca="false">IF(ISNUMBER(AI302),ROUND(AI300-AI302,1),"")</f>
        <v>0</v>
      </c>
      <c r="AJ303" s="26" t="n">
        <f aca="false">IF(ISNUMBER(AJ302),ROUND(AJ300-AJ302,1),"")</f>
        <v>0</v>
      </c>
      <c r="AK303" s="26" t="n">
        <f aca="false">IF(ISNUMBER(AK302),ROUND(AK300-AK302,1),"")</f>
        <v>0</v>
      </c>
      <c r="AL303" s="26" t="n">
        <f aca="false">IF(ISNUMBER(AL302),ROUND(AL300-AL302,1),"")</f>
        <v>0</v>
      </c>
      <c r="AM303" s="26" t="n">
        <f aca="false">IF(ISNUMBER(AM302),ROUND(AM300-AM302,1),"")</f>
        <v>0</v>
      </c>
      <c r="AN303" s="26" t="n">
        <f aca="false">IF(ISNUMBER(AN302),ROUND(AN300-AN302,1),"")</f>
        <v>0</v>
      </c>
      <c r="AO303" s="26" t="n">
        <f aca="false">IF(ISNUMBER(AO302),ROUND(AO300-AO302,1),"")</f>
        <v>0</v>
      </c>
      <c r="AP303" s="26" t="n">
        <f aca="false">IF(ISNUMBER(AP302),ROUND(AP300-AP302,1),"")</f>
        <v>0</v>
      </c>
      <c r="AQ303" s="26" t="n">
        <f aca="false">IF(ISNUMBER(AQ302),ROUND(AQ300-AQ302,1),"")</f>
        <v>0</v>
      </c>
      <c r="AR303" s="26" t="n">
        <f aca="false">IF(ISNUMBER(AR302),ROUND(AR300-AR302,1),"")</f>
        <v>0</v>
      </c>
      <c r="AS303" s="26" t="n">
        <f aca="false">IF(ISNUMBER(AS302),ROUND(AS300-AS302,1),"")</f>
        <v>0</v>
      </c>
      <c r="AT303" s="26" t="n">
        <f aca="false">IF(ISNUMBER(AT302),ROUND(AT300-AT302,1),"")</f>
        <v>0</v>
      </c>
      <c r="AU303" s="26" t="n">
        <f aca="false">IF(ISNUMBER(AU302),ROUND(AU300-AU302,1),"")</f>
        <v>0</v>
      </c>
      <c r="AV303" s="26" t="n">
        <f aca="false">IF(ISNUMBER(AV302),ROUND(AV300-AV302,1),"")</f>
        <v>0</v>
      </c>
      <c r="AW303" s="27" t="str">
        <f aca="false">IF(ISNUMBER(AW302),ROUND(AW300-AW302,1),"")</f>
        <v/>
      </c>
      <c r="AX303" s="27" t="str">
        <f aca="false">IF(ISNUMBER(AX302),ROUND(AX300-AX302,1),"")</f>
        <v/>
      </c>
      <c r="AY303" s="27" t="str">
        <f aca="false">IF(ISNUMBER(AY302),ROUND(AY300-AY302,1),"")</f>
        <v/>
      </c>
      <c r="AZ303" s="27" t="str">
        <f aca="false">IF(ISNUMBER(AZ302),ROUND(AZ300-AZ302,1),"")</f>
        <v/>
      </c>
      <c r="BA303" s="27" t="str">
        <f aca="false">IF(ISNUMBER(BA302),ROUND(BA300-BA302,1),"")</f>
        <v/>
      </c>
      <c r="BB303" s="27" t="str">
        <f aca="false">IF(ISNUMBER(BB302),ROUND(BB300-BB302,1),"")</f>
        <v/>
      </c>
    </row>
    <row r="304" customFormat="false" ht="15" hidden="false" customHeight="true" outlineLevel="0" collapsed="false">
      <c r="B304" s="20" t="s">
        <v>428</v>
      </c>
      <c r="C304" s="26" t="n">
        <f aca="false">N(C282)+N(C289)</f>
        <v>0</v>
      </c>
      <c r="D304" s="26" t="n">
        <f aca="false">N(D282)+N(D289)</f>
        <v>0</v>
      </c>
      <c r="E304" s="26" t="n">
        <f aca="false">N(E282)+N(E289)</f>
        <v>0</v>
      </c>
      <c r="F304" s="26" t="n">
        <f aca="false">N(F282)+N(F289)</f>
        <v>0</v>
      </c>
      <c r="G304" s="26" t="n">
        <f aca="false">N(G282)+N(G289)</f>
        <v>0</v>
      </c>
      <c r="H304" s="26" t="n">
        <f aca="false">N(H282)+N(H289)</f>
        <v>0</v>
      </c>
      <c r="I304" s="26" t="n">
        <f aca="false">N(I282)+N(I289)</f>
        <v>0</v>
      </c>
      <c r="J304" s="26" t="n">
        <f aca="false">N(J282)+N(J289)</f>
        <v>0</v>
      </c>
      <c r="K304" s="26" t="n">
        <f aca="false">N(K282)+N(K289)</f>
        <v>0</v>
      </c>
      <c r="L304" s="26" t="n">
        <f aca="false">N(L282)+N(L289)</f>
        <v>0</v>
      </c>
      <c r="M304" s="26" t="n">
        <f aca="false">N(M282)+N(M289)</f>
        <v>0</v>
      </c>
      <c r="N304" s="26" t="n">
        <f aca="false">N(N282)+N(N289)</f>
        <v>0</v>
      </c>
      <c r="O304" s="26" t="n">
        <f aca="false">N(O282)+N(O289)</f>
        <v>0</v>
      </c>
      <c r="P304" s="26" t="n">
        <f aca="false">N(P282)+N(P289)</f>
        <v>0</v>
      </c>
      <c r="Q304" s="26" t="n">
        <f aca="false">N(Q282)+N(Q289)</f>
        <v>0</v>
      </c>
      <c r="R304" s="26" t="n">
        <f aca="false">N(R282)+N(R289)</f>
        <v>0</v>
      </c>
      <c r="S304" s="26" t="n">
        <f aca="false">N(S282)+N(S289)</f>
        <v>0</v>
      </c>
      <c r="T304" s="26" t="n">
        <f aca="false">N(T282)+N(T289)</f>
        <v>0</v>
      </c>
      <c r="U304" s="26" t="n">
        <f aca="false">N(U282)+N(U289)</f>
        <v>0</v>
      </c>
      <c r="V304" s="26" t="n">
        <f aca="false">N(V282)+N(V289)</f>
        <v>0</v>
      </c>
      <c r="W304" s="26" t="n">
        <f aca="false">N(W282)+N(W289)</f>
        <v>0</v>
      </c>
      <c r="X304" s="26" t="n">
        <f aca="false">N(X282)+N(X289)</f>
        <v>0</v>
      </c>
      <c r="Y304" s="26" t="n">
        <f aca="false">N(Y282)+N(Y289)</f>
        <v>0</v>
      </c>
      <c r="Z304" s="26" t="n">
        <f aca="false">N(Z282)+N(Z289)</f>
        <v>0</v>
      </c>
      <c r="AA304" s="26" t="n">
        <f aca="false">N(AA282)+N(AA289)</f>
        <v>390.123</v>
      </c>
      <c r="AB304" s="26" t="n">
        <f aca="false">N(AB282)+N(AB289)</f>
        <v>451.477</v>
      </c>
      <c r="AC304" s="26" t="n">
        <f aca="false">N(AC282)+N(AC289)</f>
        <v>451.477</v>
      </c>
      <c r="AD304" s="26" t="n">
        <f aca="false">N(AD282)+N(AD289)</f>
        <v>485.611</v>
      </c>
      <c r="AE304" s="26" t="n">
        <f aca="false">N(AE282)+N(AE289)</f>
        <v>512.368</v>
      </c>
      <c r="AF304" s="26" t="n">
        <f aca="false">N(AF282)+N(AF289)</f>
        <v>512.368</v>
      </c>
      <c r="AG304" s="26" t="n">
        <f aca="false">N(AG282)+N(AG289)</f>
        <v>546.224</v>
      </c>
      <c r="AH304" s="26" t="n">
        <f aca="false">N(AH282)+N(AH289)</f>
        <v>549.363</v>
      </c>
      <c r="AI304" s="26" t="n">
        <f aca="false">N(AI282)+N(AI289)</f>
        <v>549.363</v>
      </c>
      <c r="AJ304" s="26" t="n">
        <f aca="false">N(AJ282)+N(AJ289)</f>
        <v>601.048</v>
      </c>
      <c r="AK304" s="26" t="n">
        <f aca="false">N(AK282)+N(AK289)</f>
        <v>564.997</v>
      </c>
      <c r="AL304" s="26" t="n">
        <f aca="false">N(AL282)+N(AL289)</f>
        <v>564.997</v>
      </c>
      <c r="AM304" s="26" t="n">
        <f aca="false">N(AM282)+N(AM289)</f>
        <v>544.255</v>
      </c>
      <c r="AN304" s="26" t="n">
        <f aca="false">N(AN282)+N(AN289)</f>
        <v>557.895</v>
      </c>
      <c r="AO304" s="26" t="n">
        <f aca="false">N(AO282)+N(AO289)</f>
        <v>557.895</v>
      </c>
      <c r="AP304" s="26" t="n">
        <f aca="false">N(AP282)+N(AP289)</f>
        <v>641.219</v>
      </c>
      <c r="AQ304" s="26" t="n">
        <f aca="false">N(AQ282)+N(AQ289)</f>
        <v>678.849</v>
      </c>
      <c r="AR304" s="26" t="n">
        <f aca="false">N(AR282)+N(AR289)</f>
        <v>678.849</v>
      </c>
      <c r="AS304" s="26" t="n">
        <f aca="false">N(AS282)+N(AS289)</f>
        <v>792.414</v>
      </c>
      <c r="AT304" s="26" t="n">
        <f aca="false">N(AT282)+N(AT289)</f>
        <v>787.185</v>
      </c>
      <c r="AU304" s="26" t="n">
        <f aca="false">N(AU282)+N(AU289)</f>
        <v>787.185</v>
      </c>
      <c r="AV304" s="26" t="n">
        <f aca="false">N(AV282)+N(AV289)</f>
        <v>821.962</v>
      </c>
      <c r="AW304" s="27" t="n">
        <f aca="false">N(AW282)+N(AW289)</f>
        <v>837.5023218</v>
      </c>
      <c r="AX304" s="27" t="n">
        <f aca="false">N(AX282)+N(AX289)</f>
        <v>837.5023218</v>
      </c>
      <c r="AY304" s="27" t="n">
        <f aca="false">N(AY282)+N(AY289)</f>
        <v>876.106155320077</v>
      </c>
      <c r="AZ304" s="27" t="n">
        <f aca="false">N(AZ282)+N(AZ289)</f>
        <v>913.72091622365</v>
      </c>
      <c r="BA304" s="27" t="n">
        <f aca="false">N(BA282)+N(BA289)</f>
        <v>959.136022054081</v>
      </c>
      <c r="BB304" s="27" t="n">
        <f aca="false">N(BB282)+N(BB289)</f>
        <v>1000.20658650068</v>
      </c>
    </row>
    <row r="305" customFormat="false" ht="15" hidden="false" customHeight="true" outlineLevel="0" collapsed="false">
      <c r="B305" s="14" t="s">
        <v>429</v>
      </c>
      <c r="C305" s="35" t="n">
        <f aca="false">IF(ISNUMBER(C300),C300+C304,"")</f>
        <v>58.477</v>
      </c>
      <c r="D305" s="35" t="n">
        <f aca="false">IF(ISNUMBER(D300),D300+D304,"")</f>
        <v>47.994</v>
      </c>
      <c r="E305" s="35" t="n">
        <f aca="false">IF(ISNUMBER(E300),E300+E304,"")</f>
        <v>47.994</v>
      </c>
      <c r="F305" s="35" t="n">
        <f aca="false">IF(ISNUMBER(F300),F300+F304,"")</f>
        <v>14.164</v>
      </c>
      <c r="G305" s="35" t="n">
        <f aca="false">IF(ISNUMBER(G300),G300+G304,"")</f>
        <v>0.851</v>
      </c>
      <c r="H305" s="35" t="n">
        <f aca="false">IF(ISNUMBER(H300),H300+H304,"")</f>
        <v>0.851</v>
      </c>
      <c r="I305" s="35" t="n">
        <f aca="false">IF(ISNUMBER(I300),I300+I304,"")</f>
        <v>32.176</v>
      </c>
      <c r="J305" s="35" t="n">
        <f aca="false">IF(ISNUMBER(J300),J300+J304,"")</f>
        <v>16.101</v>
      </c>
      <c r="K305" s="35" t="n">
        <f aca="false">IF(ISNUMBER(K300),K300+K304,"")</f>
        <v>16.101</v>
      </c>
      <c r="L305" s="35" t="n">
        <f aca="false">IF(ISNUMBER(L300),L300+L304,"")</f>
        <v>46.108</v>
      </c>
      <c r="M305" s="35" t="n">
        <f aca="false">IF(ISNUMBER(M300),M300+M304,"")</f>
        <v>42.636</v>
      </c>
      <c r="N305" s="35" t="n">
        <f aca="false">IF(ISNUMBER(N300),N300+N304,"")</f>
        <v>42.636</v>
      </c>
      <c r="O305" s="35" t="n">
        <f aca="false">IF(ISNUMBER(O300),O300+O304,"")</f>
        <v>78.281</v>
      </c>
      <c r="P305" s="35" t="n">
        <f aca="false">IF(ISNUMBER(P300),P300+P304,"")</f>
        <v>56.412</v>
      </c>
      <c r="Q305" s="35" t="n">
        <f aca="false">IF(ISNUMBER(Q300),Q300+Q304,"")</f>
        <v>56.412</v>
      </c>
      <c r="R305" s="35" t="n">
        <f aca="false">IF(ISNUMBER(R300),R300+R304,"")</f>
        <v>79.714</v>
      </c>
      <c r="S305" s="35" t="n">
        <f aca="false">IF(ISNUMBER(S300),S300+S304,"")</f>
        <v>50.956</v>
      </c>
      <c r="T305" s="35" t="n">
        <f aca="false">IF(ISNUMBER(T300),T300+T304,"")</f>
        <v>50.956</v>
      </c>
      <c r="U305" s="35" t="n">
        <f aca="false">IF(ISNUMBER(U300),U300+U304,"")</f>
        <v>59.433</v>
      </c>
      <c r="V305" s="35" t="n">
        <f aca="false">IF(ISNUMBER(V300),V300+V304,"")</f>
        <v>15.703</v>
      </c>
      <c r="W305" s="35" t="n">
        <f aca="false">IF(ISNUMBER(W300),W300+W304,"")</f>
        <v>15.703</v>
      </c>
      <c r="X305" s="35" t="n">
        <f aca="false">IF(ISNUMBER(X300),X300+X304,"")</f>
        <v>44.038</v>
      </c>
      <c r="Y305" s="35" t="n">
        <f aca="false">IF(ISNUMBER(Y300),Y300+Y304,"")</f>
        <v>14.536</v>
      </c>
      <c r="Z305" s="35" t="n">
        <f aca="false">IF(ISNUMBER(Z300),Z300+Z304,"")</f>
        <v>14.536</v>
      </c>
      <c r="AA305" s="35" t="n">
        <f aca="false">IF(ISNUMBER(AA300),AA300+AA304,"")</f>
        <v>436.687</v>
      </c>
      <c r="AB305" s="35" t="n">
        <f aca="false">IF(ISNUMBER(AB300),AB300+AB304,"")</f>
        <v>481.547</v>
      </c>
      <c r="AC305" s="35" t="n">
        <f aca="false">IF(ISNUMBER(AC300),AC300+AC304,"")</f>
        <v>481.547</v>
      </c>
      <c r="AD305" s="35" t="n">
        <f aca="false">IF(ISNUMBER(AD300),AD300+AD304,"")</f>
        <v>622.153</v>
      </c>
      <c r="AE305" s="35" t="n">
        <f aca="false">IF(ISNUMBER(AE300),AE300+AE304,"")</f>
        <v>605.917</v>
      </c>
      <c r="AF305" s="35" t="n">
        <f aca="false">IF(ISNUMBER(AF300),AF300+AF304,"")</f>
        <v>605.917</v>
      </c>
      <c r="AG305" s="35" t="n">
        <f aca="false">IF(ISNUMBER(AG300),AG300+AG304,"")</f>
        <v>642.495</v>
      </c>
      <c r="AH305" s="35" t="n">
        <f aca="false">IF(ISNUMBER(AH300),AH300+AH304,"")</f>
        <v>572.392</v>
      </c>
      <c r="AI305" s="35" t="n">
        <f aca="false">IF(ISNUMBER(AI300),AI300+AI304,"")</f>
        <v>572.392</v>
      </c>
      <c r="AJ305" s="35" t="n">
        <f aca="false">IF(ISNUMBER(AJ300),AJ300+AJ304,"")</f>
        <v>664.882</v>
      </c>
      <c r="AK305" s="35" t="n">
        <f aca="false">IF(ISNUMBER(AK300),AK300+AK304,"")</f>
        <v>572.144</v>
      </c>
      <c r="AL305" s="35" t="n">
        <f aca="false">IF(ISNUMBER(AL300),AL300+AL304,"")</f>
        <v>572.144</v>
      </c>
      <c r="AM305" s="35" t="n">
        <f aca="false">IF(ISNUMBER(AM300),AM300+AM304,"")</f>
        <v>582.827</v>
      </c>
      <c r="AN305" s="35" t="n">
        <f aca="false">IF(ISNUMBER(AN300),AN300+AN304,"")</f>
        <v>564.041</v>
      </c>
      <c r="AO305" s="35" t="n">
        <f aca="false">IF(ISNUMBER(AO300),AO300+AO304,"")</f>
        <v>564.041</v>
      </c>
      <c r="AP305" s="35" t="n">
        <f aca="false">IF(ISNUMBER(AP300),AP300+AP304,"")</f>
        <v>709.895</v>
      </c>
      <c r="AQ305" s="35" t="n">
        <f aca="false">IF(ISNUMBER(AQ300),AQ300+AQ304,"")</f>
        <v>782.43</v>
      </c>
      <c r="AR305" s="35" t="n">
        <f aca="false">IF(ISNUMBER(AR300),AR300+AR304,"")</f>
        <v>782.43</v>
      </c>
      <c r="AS305" s="35" t="n">
        <f aca="false">IF(ISNUMBER(AS300),AS300+AS304,"")</f>
        <v>989.597</v>
      </c>
      <c r="AT305" s="35" t="n">
        <f aca="false">IF(ISNUMBER(AT300),AT300+AT304,"")</f>
        <v>985.55</v>
      </c>
      <c r="AU305" s="35" t="n">
        <f aca="false">IF(ISNUMBER(AU300),AU300+AU304,"")</f>
        <v>985.55</v>
      </c>
      <c r="AV305" s="35" t="n">
        <f aca="false">IF(ISNUMBER(AV300),AV300+AV304,"")</f>
        <v>1047.013</v>
      </c>
      <c r="AW305" s="36" t="n">
        <f aca="false">IF(ISNUMBER(AW300),AW300+AW304,"")</f>
        <v>977.353957321919</v>
      </c>
      <c r="AX305" s="36" t="n">
        <f aca="false">IF(ISNUMBER(AX300),AX300+AX304,"")</f>
        <v>977.353957321919</v>
      </c>
      <c r="AY305" s="36" t="n">
        <f aca="false">IF(ISNUMBER(AY300),AY300+AY304,"")</f>
        <v>1003.61424349076</v>
      </c>
      <c r="AZ305" s="36" t="n">
        <f aca="false">IF(ISNUMBER(AZ300),AZ300+AZ304,"")</f>
        <v>1013.43263379022</v>
      </c>
      <c r="BA305" s="36" t="n">
        <f aca="false">IF(ISNUMBER(BA300),BA300+BA304,"")</f>
        <v>1022.59148270275</v>
      </c>
      <c r="BB305" s="36" t="n">
        <f aca="false">IF(ISNUMBER(BB300),BB300+BB304,"")</f>
        <v>1019.69994203512</v>
      </c>
    </row>
    <row r="306" customFormat="false" ht="15" hidden="false" customHeight="true" outlineLevel="0" collapsed="false"/>
    <row r="307" customFormat="false" ht="15" hidden="false" customHeight="true" outlineLevel="0" collapsed="false">
      <c r="B307" s="9" t="s">
        <v>430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 t="s">
        <v>431</v>
      </c>
    </row>
    <row r="308" customFormat="false" ht="15" hidden="false" customHeight="true" outlineLevel="0" collapsed="false">
      <c r="B308" s="20" t="s">
        <v>432</v>
      </c>
      <c r="D308" s="26" t="n">
        <f aca="false">E111</f>
        <v>242.635</v>
      </c>
      <c r="E308" s="26" t="n">
        <f aca="false">E111</f>
        <v>242.635</v>
      </c>
      <c r="F308" s="26" t="n">
        <f aca="false">F111+D111</f>
        <v>261.381</v>
      </c>
      <c r="G308" s="26" t="n">
        <f aca="false">H111</f>
        <v>279.321</v>
      </c>
      <c r="H308" s="26" t="n">
        <f aca="false">H111</f>
        <v>279.321</v>
      </c>
      <c r="I308" s="26" t="n">
        <f aca="false">I111+G111</f>
        <v>301.692</v>
      </c>
      <c r="J308" s="26" t="n">
        <f aca="false">K111</f>
        <v>322.48</v>
      </c>
      <c r="K308" s="26" t="n">
        <f aca="false">K111</f>
        <v>322.48</v>
      </c>
      <c r="L308" s="26" t="n">
        <f aca="false">L111+J111</f>
        <v>340.717</v>
      </c>
      <c r="M308" s="26" t="n">
        <f aca="false">N111</f>
        <v>355.909</v>
      </c>
      <c r="N308" s="26" t="n">
        <f aca="false">N111</f>
        <v>355.909</v>
      </c>
      <c r="O308" s="26" t="n">
        <f aca="false">O111+M111</f>
        <v>380.43</v>
      </c>
      <c r="P308" s="26" t="n">
        <f aca="false">Q111</f>
        <v>414.151</v>
      </c>
      <c r="Q308" s="26" t="n">
        <f aca="false">Q111</f>
        <v>414.151</v>
      </c>
      <c r="R308" s="26" t="n">
        <f aca="false">R111+P111</f>
        <v>433.659</v>
      </c>
      <c r="S308" s="26" t="n">
        <f aca="false">T111</f>
        <v>455.971</v>
      </c>
      <c r="T308" s="26" t="n">
        <f aca="false">T111</f>
        <v>455.971</v>
      </c>
      <c r="U308" s="26" t="n">
        <f aca="false">U111+S111</f>
        <v>479.458</v>
      </c>
      <c r="V308" s="26" t="n">
        <f aca="false">W111</f>
        <v>503.571</v>
      </c>
      <c r="W308" s="26" t="n">
        <f aca="false">W111</f>
        <v>503.571</v>
      </c>
      <c r="X308" s="26" t="n">
        <f aca="false">X111+V111</f>
        <v>529.73</v>
      </c>
      <c r="Y308" s="26" t="n">
        <f aca="false">Z111</f>
        <v>552.996</v>
      </c>
      <c r="Z308" s="26" t="n">
        <f aca="false">Z111</f>
        <v>552.996</v>
      </c>
      <c r="AA308" s="26" t="n">
        <f aca="false">AA111+Y111</f>
        <v>574.923</v>
      </c>
      <c r="AB308" s="26" t="n">
        <f aca="false">AC111</f>
        <v>607.761</v>
      </c>
      <c r="AC308" s="26" t="n">
        <f aca="false">AC111</f>
        <v>607.761</v>
      </c>
      <c r="AD308" s="26" t="n">
        <f aca="false">AD111+AB111</f>
        <v>521.491</v>
      </c>
      <c r="AE308" s="26" t="n">
        <f aca="false">AF111</f>
        <v>544.013</v>
      </c>
      <c r="AF308" s="26" t="n">
        <f aca="false">AF111</f>
        <v>544.013</v>
      </c>
      <c r="AG308" s="26" t="n">
        <f aca="false">AG111+AE111</f>
        <v>652.634</v>
      </c>
      <c r="AH308" s="26" t="n">
        <f aca="false">AI111</f>
        <v>712.179</v>
      </c>
      <c r="AI308" s="26" t="n">
        <f aca="false">AI111</f>
        <v>712.179</v>
      </c>
      <c r="AJ308" s="26" t="n">
        <f aca="false">AJ111+AH111</f>
        <v>813.772</v>
      </c>
      <c r="AK308" s="26" t="n">
        <f aca="false">AL111</f>
        <v>919.708</v>
      </c>
      <c r="AL308" s="26" t="n">
        <f aca="false">AL111</f>
        <v>919.708</v>
      </c>
      <c r="AM308" s="26" t="n">
        <f aca="false">AM111+AK111</f>
        <v>1048.293</v>
      </c>
      <c r="AN308" s="26" t="n">
        <f aca="false">AO111</f>
        <v>1139.42</v>
      </c>
      <c r="AO308" s="26" t="n">
        <f aca="false">AO111</f>
        <v>1139.42</v>
      </c>
      <c r="AP308" s="26" t="n">
        <f aca="false">AP111+AN111</f>
        <v>1216.14</v>
      </c>
      <c r="AQ308" s="26" t="n">
        <f aca="false">AR111</f>
        <v>1278.54</v>
      </c>
      <c r="AR308" s="26" t="n">
        <f aca="false">AR111</f>
        <v>1278.54</v>
      </c>
      <c r="AS308" s="26" t="n">
        <f aca="false">AS111+AQ111</f>
        <v>1342.013</v>
      </c>
      <c r="AT308" s="26" t="n">
        <f aca="false">AU111</f>
        <v>1407.951</v>
      </c>
      <c r="AU308" s="26" t="n">
        <f aca="false">AU111</f>
        <v>1407.951</v>
      </c>
      <c r="AV308" s="26" t="n">
        <f aca="false">AV111+AT111</f>
        <v>1473.227</v>
      </c>
      <c r="AW308" s="27" t="n">
        <f aca="false">AX111</f>
        <v>1530.0719</v>
      </c>
      <c r="AX308" s="27" t="n">
        <f aca="false">AX111</f>
        <v>1530.0719</v>
      </c>
      <c r="AY308" s="27" t="n">
        <f aca="false">AY111</f>
        <v>1686.91192062194</v>
      </c>
      <c r="AZ308" s="27" t="n">
        <f aca="false">AZ111</f>
        <v>1826.54167387849</v>
      </c>
      <c r="BA308" s="27" t="n">
        <f aca="false">BA111</f>
        <v>1967.55413671568</v>
      </c>
      <c r="BB308" s="27" t="n">
        <f aca="false">BB111</f>
        <v>2108.53819381076</v>
      </c>
    </row>
    <row r="309" customFormat="false" ht="15" hidden="false" customHeight="true" outlineLevel="0" collapsed="false">
      <c r="B309" s="31" t="s">
        <v>433</v>
      </c>
      <c r="C309" s="32" t="str">
        <f aca="false">IFERROR(C268/C308,"n/a")</f>
        <v>n/a</v>
      </c>
      <c r="D309" s="32" t="n">
        <f aca="false">IFERROR(D268/D308,"n/a")</f>
        <v>0.26668864755703</v>
      </c>
      <c r="E309" s="32" t="n">
        <f aca="false">IFERROR(E268/E308,"n/a")</f>
        <v>0.26668864755703</v>
      </c>
      <c r="F309" s="32" t="n">
        <f aca="false">IFERROR(F268/F308,"n/a")</f>
        <v>0.294661815510691</v>
      </c>
      <c r="G309" s="32" t="n">
        <f aca="false">IFERROR(G268/G308,"n/a")</f>
        <v>0.286727456940223</v>
      </c>
      <c r="H309" s="32" t="n">
        <f aca="false">IFERROR(H268/H308,"n/a")</f>
        <v>0.286727456940223</v>
      </c>
      <c r="I309" s="32" t="n">
        <f aca="false">IFERROR(I268/I308,"n/a")</f>
        <v>0.298794797342986</v>
      </c>
      <c r="J309" s="32" t="n">
        <f aca="false">IFERROR(J268/J308,"n/a")</f>
        <v>0.292929794095758</v>
      </c>
      <c r="K309" s="32" t="n">
        <f aca="false">IFERROR(K268/K308,"n/a")</f>
        <v>0.292929794095758</v>
      </c>
      <c r="L309" s="32" t="n">
        <f aca="false">IFERROR(L268/L308,"n/a")</f>
        <v>0.314859546192295</v>
      </c>
      <c r="M309" s="32" t="n">
        <f aca="false">IFERROR(M268/M308,"n/a")</f>
        <v>0.351533678552664</v>
      </c>
      <c r="N309" s="32" t="n">
        <f aca="false">IFERROR(N268/N308,"n/a")</f>
        <v>0.351533678552664</v>
      </c>
      <c r="O309" s="32" t="n">
        <f aca="false">IFERROR(O268/O308,"n/a")</f>
        <v>0.372872801829509</v>
      </c>
      <c r="P309" s="32" t="n">
        <f aca="false">IFERROR(P268/P308,"n/a")</f>
        <v>0.347595442242081</v>
      </c>
      <c r="Q309" s="32" t="n">
        <f aca="false">IFERROR(Q268/Q308,"n/a")</f>
        <v>0.347595442242081</v>
      </c>
      <c r="R309" s="32" t="n">
        <f aca="false">IFERROR(R268/R308,"n/a")</f>
        <v>0.356734208214288</v>
      </c>
      <c r="S309" s="32" t="n">
        <f aca="false">IFERROR(S268/S308,"n/a")</f>
        <v>0.339525978625834</v>
      </c>
      <c r="T309" s="32" t="n">
        <f aca="false">IFERROR(T268/T308,"n/a")</f>
        <v>0.339525978625834</v>
      </c>
      <c r="U309" s="32" t="n">
        <f aca="false">IFERROR(U268/U308,"n/a")</f>
        <v>0.330698413625385</v>
      </c>
      <c r="V309" s="32" t="n">
        <f aca="false">IFERROR(V268/V308,"n/a")</f>
        <v>0.303129052308413</v>
      </c>
      <c r="W309" s="32" t="n">
        <f aca="false">IFERROR(W268/W308,"n/a")</f>
        <v>0.303129052308413</v>
      </c>
      <c r="X309" s="32" t="n">
        <f aca="false">IFERROR(X268/X308,"n/a")</f>
        <v>0.304870405678364</v>
      </c>
      <c r="Y309" s="32" t="n">
        <f aca="false">IFERROR(Y268/Y308,"n/a")</f>
        <v>0.292522911558131</v>
      </c>
      <c r="Z309" s="32" t="n">
        <f aca="false">IFERROR(Z268/Z308,"n/a")</f>
        <v>0.292522911558131</v>
      </c>
      <c r="AA309" s="32" t="n">
        <f aca="false">IFERROR(AA268/AA308,"n/a")</f>
        <v>0.312821021249802</v>
      </c>
      <c r="AB309" s="32" t="n">
        <f aca="false">IFERROR(AB268/AB308,"n/a")</f>
        <v>0.337086453392041</v>
      </c>
      <c r="AC309" s="32" t="n">
        <f aca="false">IFERROR(AC268/AC308,"n/a")</f>
        <v>0.337086453392041</v>
      </c>
      <c r="AD309" s="32" t="n">
        <f aca="false">IFERROR(AD268/AD308,"n/a")</f>
        <v>0.418283345254281</v>
      </c>
      <c r="AE309" s="32" t="n">
        <f aca="false">IFERROR(AE268/AE308,"n/a")</f>
        <v>0.382981656688351</v>
      </c>
      <c r="AF309" s="32" t="n">
        <f aca="false">IFERROR(AF268/AF308,"n/a")</f>
        <v>0.382981656688351</v>
      </c>
      <c r="AG309" s="32" t="n">
        <f aca="false">IFERROR(AG268/AG308,"n/a")</f>
        <v>0.319997119365525</v>
      </c>
      <c r="AH309" s="32" t="n">
        <f aca="false">IFERROR(AH268/AH308,"n/a")</f>
        <v>0.279797635145097</v>
      </c>
      <c r="AI309" s="32" t="n">
        <f aca="false">IFERROR(AI268/AI308,"n/a")</f>
        <v>0.279797635145097</v>
      </c>
      <c r="AJ309" s="32" t="n">
        <f aca="false">IFERROR(AJ268/AJ308,"n/a")</f>
        <v>0.298779019184735</v>
      </c>
      <c r="AK309" s="32" t="n">
        <f aca="false">IFERROR(AK268/AK308,"n/a")</f>
        <v>0.264044675049037</v>
      </c>
      <c r="AL309" s="32" t="n">
        <f aca="false">IFERROR(AL268/AL308,"n/a")</f>
        <v>0.264044675049037</v>
      </c>
      <c r="AM309" s="32" t="n">
        <f aca="false">IFERROR(AM268/AM308,"n/a")</f>
        <v>0.250653204781488</v>
      </c>
      <c r="AN309" s="32" t="n">
        <f aca="false">IFERROR(AN268/AN308,"n/a")</f>
        <v>0.252137929823946</v>
      </c>
      <c r="AO309" s="32" t="n">
        <f aca="false">IFERROR(AO268/AO308,"n/a")</f>
        <v>0.252137929823946</v>
      </c>
      <c r="AP309" s="32" t="n">
        <f aca="false">IFERROR(AP268/AP308,"n/a")</f>
        <v>0.2807464601115</v>
      </c>
      <c r="AQ309" s="32" t="n">
        <f aca="false">IFERROR(AQ268/AQ308,"n/a")</f>
        <v>0.289355827741017</v>
      </c>
      <c r="AR309" s="32" t="n">
        <f aca="false">IFERROR(AR268/AR308,"n/a")</f>
        <v>0.289355827741017</v>
      </c>
      <c r="AS309" s="32" t="n">
        <f aca="false">IFERROR(AS268/AS308,"n/a")</f>
        <v>0.282135866046007</v>
      </c>
      <c r="AT309" s="32" t="n">
        <f aca="false">IFERROR(AT268/AT308,"n/a")</f>
        <v>0.282922488069542</v>
      </c>
      <c r="AU309" s="32" t="n">
        <f aca="false">IFERROR(AU268/AU308,"n/a")</f>
        <v>0.282922488069542</v>
      </c>
      <c r="AV309" s="32" t="n">
        <f aca="false">IFERROR(AV268/AV308,"n/a")</f>
        <v>0.285753655071486</v>
      </c>
      <c r="AW309" s="33" t="n">
        <f aca="false">IFERROR(AW268/AW308,"n/a")</f>
        <v>0.28</v>
      </c>
      <c r="AX309" s="43" t="n">
        <v>0.28</v>
      </c>
      <c r="AY309" s="43" t="n">
        <v>0.28</v>
      </c>
      <c r="AZ309" s="43" t="n">
        <v>0.28</v>
      </c>
      <c r="BA309" s="43" t="n">
        <v>0.28</v>
      </c>
      <c r="BB309" s="43" t="n">
        <v>0.28</v>
      </c>
      <c r="BC309" s="18" t="s">
        <v>434</v>
      </c>
    </row>
    <row r="310" customFormat="false" ht="15" hidden="false" customHeight="true" outlineLevel="0" collapsed="false">
      <c r="B310" s="20" t="s">
        <v>435</v>
      </c>
      <c r="C310" s="26" t="str">
        <f aca="false">IFERROR(C269/C308*365,"n/a")</f>
        <v>n/a</v>
      </c>
      <c r="D310" s="26" t="n">
        <f aca="false">IFERROR(D269/D308*365,"n/a")</f>
        <v>73.4588167411956</v>
      </c>
      <c r="E310" s="26" t="n">
        <f aca="false">IFERROR(E269/E308*365,"n/a")</f>
        <v>73.4588167411956</v>
      </c>
      <c r="F310" s="26" t="n">
        <f aca="false">IFERROR(F269/F308*365,"n/a")</f>
        <v>85.6387993006378</v>
      </c>
      <c r="G310" s="26" t="n">
        <f aca="false">IFERROR(G269/G308*365,"n/a")</f>
        <v>62.4961603316614</v>
      </c>
      <c r="H310" s="26" t="n">
        <f aca="false">IFERROR(H269/H308*365,"n/a")</f>
        <v>62.4961603316614</v>
      </c>
      <c r="I310" s="26" t="n">
        <f aca="false">IFERROR(I269/I308*365,"n/a")</f>
        <v>72.7648064913886</v>
      </c>
      <c r="J310" s="26" t="n">
        <f aca="false">IFERROR(J269/J308*365,"n/a")</f>
        <v>49.0782839245845</v>
      </c>
      <c r="K310" s="26" t="n">
        <f aca="false">IFERROR(K269/K308*365,"n/a")</f>
        <v>49.0782839245845</v>
      </c>
      <c r="L310" s="26" t="n">
        <f aca="false">IFERROR(L269/L308*365,"n/a")</f>
        <v>64.396199778702</v>
      </c>
      <c r="M310" s="26" t="n">
        <f aca="false">IFERROR(M269/M308*365,"n/a")</f>
        <v>46.2017397705593</v>
      </c>
      <c r="N310" s="26" t="n">
        <f aca="false">IFERROR(N269/N308*365,"n/a")</f>
        <v>46.2017397705593</v>
      </c>
      <c r="O310" s="26" t="n">
        <f aca="false">IFERROR(O269/O308*365,"n/a")</f>
        <v>62.280169807849</v>
      </c>
      <c r="P310" s="26" t="n">
        <f aca="false">IFERROR(P269/P308*365,"n/a")</f>
        <v>40.212917510763</v>
      </c>
      <c r="Q310" s="26" t="n">
        <f aca="false">IFERROR(Q269/Q308*365,"n/a")</f>
        <v>40.212917510763</v>
      </c>
      <c r="R310" s="26" t="n">
        <f aca="false">IFERROR(R269/R308*365,"n/a")</f>
        <v>53.0760343956888</v>
      </c>
      <c r="S310" s="26" t="n">
        <f aca="false">IFERROR(S269/S308*365,"n/a")</f>
        <v>37.8079198019172</v>
      </c>
      <c r="T310" s="26" t="n">
        <f aca="false">IFERROR(T269/T308*365,"n/a")</f>
        <v>37.8079198019172</v>
      </c>
      <c r="U310" s="26" t="n">
        <f aca="false">IFERROR(U269/U308*365,"n/a")</f>
        <v>41.4103842255213</v>
      </c>
      <c r="V310" s="26" t="n">
        <f aca="false">IFERROR(V269/V308*365,"n/a")</f>
        <v>32.7460675853057</v>
      </c>
      <c r="W310" s="26" t="n">
        <f aca="false">IFERROR(W269/W308*365,"n/a")</f>
        <v>32.7460675853057</v>
      </c>
      <c r="X310" s="26" t="n">
        <f aca="false">IFERROR(X269/X308*365,"n/a")</f>
        <v>44.1027598965511</v>
      </c>
      <c r="Y310" s="26" t="n">
        <f aca="false">IFERROR(Y269/Y308*365,"n/a")</f>
        <v>40.5555555555556</v>
      </c>
      <c r="Z310" s="26" t="n">
        <f aca="false">IFERROR(Z269/Z308*365,"n/a")</f>
        <v>40.5555555555556</v>
      </c>
      <c r="AA310" s="26" t="n">
        <f aca="false">IFERROR(AA269/AA308*365,"n/a")</f>
        <v>50.7563969435907</v>
      </c>
      <c r="AB310" s="26" t="n">
        <f aca="false">IFERROR(AB269/AB308*365,"n/a")</f>
        <v>35.2063228802111</v>
      </c>
      <c r="AC310" s="26" t="n">
        <f aca="false">IFERROR(AC269/AC308*365,"n/a")</f>
        <v>35.2063228802111</v>
      </c>
      <c r="AD310" s="26" t="n">
        <f aca="false">IFERROR(AD269/AD308*365,"n/a")</f>
        <v>50.6725331789043</v>
      </c>
      <c r="AE310" s="26" t="n">
        <f aca="false">IFERROR(AE269/AE308*365,"n/a")</f>
        <v>52.9176968197451</v>
      </c>
      <c r="AF310" s="26" t="n">
        <f aca="false">IFERROR(AF269/AF308*365,"n/a")</f>
        <v>52.9176968197451</v>
      </c>
      <c r="AG310" s="26" t="n">
        <f aca="false">IFERROR(AG269/AG308*365,"n/a")</f>
        <v>42.3217990481648</v>
      </c>
      <c r="AH310" s="26" t="n">
        <f aca="false">IFERROR(AH269/AH308*365,"n/a")</f>
        <v>37.3154572094937</v>
      </c>
      <c r="AI310" s="26" t="n">
        <f aca="false">IFERROR(AI269/AI308*365,"n/a")</f>
        <v>37.3154572094937</v>
      </c>
      <c r="AJ310" s="26" t="n">
        <f aca="false">IFERROR(AJ269/AJ308*365,"n/a")</f>
        <v>33.7239669096504</v>
      </c>
      <c r="AK310" s="26" t="n">
        <f aca="false">IFERROR(AK269/AK308*365,"n/a")</f>
        <v>30.4030409651759</v>
      </c>
      <c r="AL310" s="26" t="n">
        <f aca="false">IFERROR(AL269/AL308*365,"n/a")</f>
        <v>30.4030409651759</v>
      </c>
      <c r="AM310" s="26" t="n">
        <f aca="false">IFERROR(AM269/AM308*365,"n/a")</f>
        <v>26.1817783768469</v>
      </c>
      <c r="AN310" s="26" t="n">
        <f aca="false">IFERROR(AN269/AN308*365,"n/a")</f>
        <v>25.0408541187622</v>
      </c>
      <c r="AO310" s="26" t="n">
        <f aca="false">IFERROR(AO269/AO308*365,"n/a")</f>
        <v>25.0408541187622</v>
      </c>
      <c r="AP310" s="26" t="n">
        <f aca="false">IFERROR(AP269/AP308*365,"n/a")</f>
        <v>25.01342773036</v>
      </c>
      <c r="AQ310" s="26" t="n">
        <f aca="false">IFERROR(AQ269/AQ308*365,"n/a")</f>
        <v>23.4357783096344</v>
      </c>
      <c r="AR310" s="26" t="n">
        <f aca="false">IFERROR(AR269/AR308*365,"n/a")</f>
        <v>23.4357783096344</v>
      </c>
      <c r="AS310" s="26" t="n">
        <f aca="false">IFERROR(AS269/AS308*365,"n/a")</f>
        <v>28.178706167526</v>
      </c>
      <c r="AT310" s="26" t="n">
        <f aca="false">IFERROR(AT269/AT308*365,"n/a")</f>
        <v>26.3446881319023</v>
      </c>
      <c r="AU310" s="26" t="n">
        <f aca="false">IFERROR(AU269/AU308*365,"n/a")</f>
        <v>26.3446881319023</v>
      </c>
      <c r="AV310" s="26" t="n">
        <f aca="false">IFERROR(AV269/AV308*365,"n/a")</f>
        <v>27.4314820458762</v>
      </c>
      <c r="AW310" s="27" t="n">
        <f aca="false">IFERROR(AW269/AW308*365,"n/a")</f>
        <v>26</v>
      </c>
      <c r="AX310" s="50" t="n">
        <v>26</v>
      </c>
      <c r="AY310" s="50" t="n">
        <v>26</v>
      </c>
      <c r="AZ310" s="50" t="n">
        <v>26</v>
      </c>
      <c r="BA310" s="50" t="n">
        <v>26</v>
      </c>
      <c r="BB310" s="50" t="n">
        <v>26</v>
      </c>
      <c r="BC310" s="18" t="s">
        <v>436</v>
      </c>
    </row>
    <row r="311" customFormat="false" ht="15" hidden="false" customHeight="true" outlineLevel="0" collapsed="false">
      <c r="B311" s="20" t="s">
        <v>437</v>
      </c>
      <c r="D311" s="26" t="n">
        <f aca="false">-(E80+E87)</f>
        <v>163.095</v>
      </c>
      <c r="E311" s="26" t="n">
        <f aca="false">-(E80+E87)</f>
        <v>163.095</v>
      </c>
      <c r="F311" s="26" t="n">
        <f aca="false">-(F80+F87+D80+D87)</f>
        <v>180.876</v>
      </c>
      <c r="G311" s="26" t="n">
        <f aca="false">-(H80+H87)</f>
        <v>193.417</v>
      </c>
      <c r="H311" s="26" t="n">
        <f aca="false">-(H80+H87)</f>
        <v>193.417</v>
      </c>
      <c r="I311" s="26" t="n">
        <f aca="false">-(I80+I87+G80+G87)</f>
        <v>200.444</v>
      </c>
      <c r="J311" s="26" t="n">
        <f aca="false">-(K80+K87)</f>
        <v>211.104</v>
      </c>
      <c r="K311" s="26" t="n">
        <f aca="false">-(K80+K87)</f>
        <v>211.104</v>
      </c>
      <c r="L311" s="26" t="n">
        <f aca="false">-(L80+L87+J80+J87)</f>
        <v>220.835</v>
      </c>
      <c r="M311" s="26" t="n">
        <f aca="false">-(N80+N87)</f>
        <v>227.42</v>
      </c>
      <c r="N311" s="26" t="n">
        <f aca="false">-(N80+N87)</f>
        <v>227.42</v>
      </c>
      <c r="O311" s="26" t="n">
        <f aca="false">-(O80+O87+M80+M87)</f>
        <v>241.463</v>
      </c>
      <c r="P311" s="26" t="n">
        <f aca="false">-(Q80+Q87)</f>
        <v>265.594</v>
      </c>
      <c r="Q311" s="26" t="n">
        <f aca="false">-(Q80+Q87)</f>
        <v>265.594</v>
      </c>
      <c r="R311" s="26" t="n">
        <f aca="false">-(R80+R87+P80+P87)</f>
        <v>277.903</v>
      </c>
      <c r="S311" s="26" t="n">
        <f aca="false">-(T80+T87)</f>
        <v>292.772</v>
      </c>
      <c r="T311" s="26" t="n">
        <f aca="false">-(T80+T87)</f>
        <v>292.772</v>
      </c>
      <c r="U311" s="26" t="n">
        <f aca="false">-(U80+U87+S80+S87)</f>
        <v>306.852</v>
      </c>
      <c r="V311" s="26" t="n">
        <f aca="false">-(W80+W87)</f>
        <v>323.229</v>
      </c>
      <c r="W311" s="26" t="n">
        <f aca="false">-(W80+W87)</f>
        <v>323.229</v>
      </c>
      <c r="X311" s="26" t="n">
        <f aca="false">-(X80+X87+V80+V87)</f>
        <v>342.049</v>
      </c>
      <c r="Y311" s="26" t="n">
        <f aca="false">-(Z80+Z87)</f>
        <v>356.384</v>
      </c>
      <c r="Z311" s="26" t="n">
        <f aca="false">-(Z80+Z87)</f>
        <v>356.384</v>
      </c>
      <c r="AA311" s="26" t="n">
        <f aca="false">-(AA80+AA87+Y80+Y87)</f>
        <v>337.804</v>
      </c>
      <c r="AB311" s="26" t="n">
        <f aca="false">-(AC80+AC87)</f>
        <v>320.346</v>
      </c>
      <c r="AC311" s="26" t="n">
        <f aca="false">-(AC80+AC87)</f>
        <v>320.346</v>
      </c>
      <c r="AD311" s="26" t="n">
        <f aca="false">-(AD80+AD87+AB80+AB87)</f>
        <v>282.118</v>
      </c>
      <c r="AE311" s="26" t="n">
        <f aca="false">-(AF80+AF87)</f>
        <v>297.021</v>
      </c>
      <c r="AF311" s="26" t="n">
        <f aca="false">-(AF80+AF87)</f>
        <v>297.021</v>
      </c>
      <c r="AG311" s="26" t="n">
        <f aca="false">-(AG80+AG87+AE80+AE87)</f>
        <v>348.677</v>
      </c>
      <c r="AH311" s="26" t="n">
        <f aca="false">-(AI80+AI87)</f>
        <v>384.694</v>
      </c>
      <c r="AI311" s="26" t="n">
        <f aca="false">-(AI80+AI87)</f>
        <v>384.694</v>
      </c>
      <c r="AJ311" s="26" t="n">
        <f aca="false">-(AJ80+AJ87+AH80+AH87)</f>
        <v>420.987</v>
      </c>
      <c r="AK311" s="26" t="n">
        <f aca="false">-(AL80+AL87)</f>
        <v>467.761</v>
      </c>
      <c r="AL311" s="26" t="n">
        <f aca="false">-(AL80+AL87)</f>
        <v>467.761</v>
      </c>
      <c r="AM311" s="26" t="n">
        <f aca="false">-(AM80+AM87+AK80+AK87)</f>
        <v>543.841</v>
      </c>
      <c r="AN311" s="26" t="n">
        <f aca="false">-(AO80+AO87)</f>
        <v>590.112</v>
      </c>
      <c r="AO311" s="26" t="n">
        <f aca="false">-(AO80+AO87)</f>
        <v>590.112</v>
      </c>
      <c r="AP311" s="26" t="n">
        <f aca="false">-(AP80+AP87+AN80+AN87)</f>
        <v>629.053</v>
      </c>
      <c r="AQ311" s="26" t="n">
        <f aca="false">-(AR80+AR87)</f>
        <v>662.161</v>
      </c>
      <c r="AR311" s="26" t="n">
        <f aca="false">-(AR80+AR87)</f>
        <v>662.161</v>
      </c>
      <c r="AS311" s="26" t="n">
        <f aca="false">-(AS80+AS87+AQ80+AQ87)</f>
        <v>691.201</v>
      </c>
      <c r="AT311" s="26" t="n">
        <f aca="false">-(AU80+AU87)</f>
        <v>716.836</v>
      </c>
      <c r="AU311" s="26" t="n">
        <f aca="false">-(AU80+AU87)</f>
        <v>716.836</v>
      </c>
      <c r="AV311" s="26" t="n">
        <f aca="false">-(AV80+AV87+AT80+AT87)</f>
        <v>738.823</v>
      </c>
      <c r="AW311" s="27" t="n">
        <f aca="false">-(AX80+AX87)</f>
        <v>763.172909296162</v>
      </c>
      <c r="AX311" s="27" t="n">
        <f aca="false">-(AX80+AX87)</f>
        <v>763.172909296162</v>
      </c>
      <c r="AY311" s="27" t="n">
        <f aca="false">-(AY80+AY87)</f>
        <v>843.455960310968</v>
      </c>
      <c r="AZ311" s="27" t="n">
        <f aca="false">-(AZ80+AZ87)</f>
        <v>909.61775359149</v>
      </c>
      <c r="BA311" s="27" t="n">
        <f aca="false">-(BA80+BA87)</f>
        <v>975.906851810976</v>
      </c>
      <c r="BB311" s="27" t="n">
        <f aca="false">-(BB80+BB87)</f>
        <v>1043.72640593633</v>
      </c>
    </row>
    <row r="312" customFormat="false" ht="15" hidden="false" customHeight="true" outlineLevel="0" collapsed="false">
      <c r="B312" s="20" t="s">
        <v>438</v>
      </c>
      <c r="C312" s="26" t="str">
        <f aca="false">IFERROR(C287/C311*365,"n/a")</f>
        <v>n/a</v>
      </c>
      <c r="D312" s="26" t="n">
        <f aca="false">IFERROR(D287/D311*365,"n/a")</f>
        <v>125.614427174346</v>
      </c>
      <c r="E312" s="26" t="n">
        <f aca="false">IFERROR(E287/E311*365,"n/a")</f>
        <v>125.614427174346</v>
      </c>
      <c r="F312" s="26" t="n">
        <f aca="false">IFERROR(F287/F311*365,"n/a")</f>
        <v>113.045954134324</v>
      </c>
      <c r="G312" s="26" t="n">
        <f aca="false">IFERROR(G287/G311*365,"n/a")</f>
        <v>118.356039024491</v>
      </c>
      <c r="H312" s="26" t="n">
        <f aca="false">IFERROR(H287/H311*365,"n/a")</f>
        <v>118.356039024491</v>
      </c>
      <c r="I312" s="26" t="n">
        <f aca="false">IFERROR(I287/I311*365,"n/a")</f>
        <v>110.788873700385</v>
      </c>
      <c r="J312" s="26" t="n">
        <f aca="false">IFERROR(J287/J311*365,"n/a")</f>
        <v>108.247854138245</v>
      </c>
      <c r="K312" s="26" t="n">
        <f aca="false">IFERROR(K287/K311*365,"n/a")</f>
        <v>108.247854138245</v>
      </c>
      <c r="L312" s="26" t="n">
        <f aca="false">IFERROR(L287/L311*365,"n/a")</f>
        <v>103.30275997917</v>
      </c>
      <c r="M312" s="26" t="n">
        <f aca="false">IFERROR(M287/M311*365,"n/a")</f>
        <v>99.8044367250022</v>
      </c>
      <c r="N312" s="26" t="n">
        <f aca="false">IFERROR(N287/N311*365,"n/a")</f>
        <v>99.8044367250022</v>
      </c>
      <c r="O312" s="26" t="n">
        <f aca="false">IFERROR(O287/O311*365,"n/a")</f>
        <v>90.4295689194618</v>
      </c>
      <c r="P312" s="26" t="n">
        <f aca="false">IFERROR(P287/P311*365,"n/a")</f>
        <v>94.5860599260525</v>
      </c>
      <c r="Q312" s="26" t="n">
        <f aca="false">IFERROR(Q287/Q311*365,"n/a")</f>
        <v>94.5860599260525</v>
      </c>
      <c r="R312" s="26" t="n">
        <f aca="false">IFERROR(R287/R311*365,"n/a")</f>
        <v>82.1208299298676</v>
      </c>
      <c r="S312" s="26" t="n">
        <f aca="false">IFERROR(S287/S311*365,"n/a")</f>
        <v>78.9861735411856</v>
      </c>
      <c r="T312" s="26" t="n">
        <f aca="false">IFERROR(T287/T311*365,"n/a")</f>
        <v>78.9861735411856</v>
      </c>
      <c r="U312" s="26" t="n">
        <f aca="false">IFERROR(U287/U311*365,"n/a")</f>
        <v>73.66802236909</v>
      </c>
      <c r="V312" s="26" t="n">
        <f aca="false">IFERROR(V287/V311*365,"n/a")</f>
        <v>73.6947025174103</v>
      </c>
      <c r="W312" s="26" t="n">
        <f aca="false">IFERROR(W287/W311*365,"n/a")</f>
        <v>73.6947025174103</v>
      </c>
      <c r="X312" s="26" t="n">
        <f aca="false">IFERROR(X287/X311*365,"n/a")</f>
        <v>74.4322597054808</v>
      </c>
      <c r="Y312" s="26" t="n">
        <f aca="false">IFERROR(Y287/Y311*365,"n/a")</f>
        <v>78.4365319430726</v>
      </c>
      <c r="Z312" s="26" t="n">
        <f aca="false">IFERROR(Z287/Z311*365,"n/a")</f>
        <v>78.4365319430726</v>
      </c>
      <c r="AA312" s="26" t="n">
        <f aca="false">IFERROR(AA287/AA311*365,"n/a")</f>
        <v>86.1435181347764</v>
      </c>
      <c r="AB312" s="26" t="n">
        <f aca="false">IFERROR(AB287/AB311*365,"n/a")</f>
        <v>101.92212482753</v>
      </c>
      <c r="AC312" s="26" t="n">
        <f aca="false">IFERROR(AC287/AC311*365,"n/a")</f>
        <v>101.92212482753</v>
      </c>
      <c r="AD312" s="26" t="n">
        <f aca="false">IFERROR(AD287/AD311*365,"n/a")</f>
        <v>95.8112385597516</v>
      </c>
      <c r="AE312" s="26" t="n">
        <f aca="false">IFERROR(AE287/AE311*365,"n/a")</f>
        <v>112.333404035405</v>
      </c>
      <c r="AF312" s="26" t="n">
        <f aca="false">IFERROR(AF287/AF311*365,"n/a")</f>
        <v>112.333404035405</v>
      </c>
      <c r="AG312" s="26" t="n">
        <f aca="false">IFERROR(AG287/AG311*365,"n/a")</f>
        <v>79.8781967264833</v>
      </c>
      <c r="AH312" s="26" t="n">
        <f aca="false">IFERROR(AH287/AH311*365,"n/a")</f>
        <v>97.3987376980145</v>
      </c>
      <c r="AI312" s="26" t="n">
        <f aca="false">IFERROR(AI287/AI311*365,"n/a")</f>
        <v>97.3987376980145</v>
      </c>
      <c r="AJ312" s="26" t="n">
        <f aca="false">IFERROR(AJ287/AJ311*365,"n/a")</f>
        <v>97.8533660184281</v>
      </c>
      <c r="AK312" s="26" t="n">
        <f aca="false">IFERROR(AK287/AK311*365,"n/a")</f>
        <v>106.934096686128</v>
      </c>
      <c r="AL312" s="26" t="n">
        <f aca="false">IFERROR(AL287/AL311*365,"n/a")</f>
        <v>106.934096686128</v>
      </c>
      <c r="AM312" s="26" t="n">
        <f aca="false">IFERROR(AM287/AM311*365,"n/a")</f>
        <v>94.9727126126938</v>
      </c>
      <c r="AN312" s="26" t="n">
        <f aca="false">IFERROR(AN287/AN311*365,"n/a")</f>
        <v>102.826344829456</v>
      </c>
      <c r="AO312" s="26" t="n">
        <f aca="false">IFERROR(AO287/AO311*365,"n/a")</f>
        <v>102.826344829456</v>
      </c>
      <c r="AP312" s="26" t="n">
        <f aca="false">IFERROR(AP287/AP311*365,"n/a")</f>
        <v>94.0083029569846</v>
      </c>
      <c r="AQ312" s="26" t="n">
        <f aca="false">IFERROR(AQ287/AQ311*365,"n/a")</f>
        <v>93.2767181999544</v>
      </c>
      <c r="AR312" s="26" t="n">
        <f aca="false">IFERROR(AR287/AR311*365,"n/a")</f>
        <v>93.2767181999544</v>
      </c>
      <c r="AS312" s="26" t="n">
        <f aca="false">IFERROR(AS287/AS311*365,"n/a")</f>
        <v>91.8476391093184</v>
      </c>
      <c r="AT312" s="26" t="n">
        <f aca="false">IFERROR(AT287/AT311*365,"n/a")</f>
        <v>90.1796994012577</v>
      </c>
      <c r="AU312" s="26" t="n">
        <f aca="false">IFERROR(AU287/AU311*365,"n/a")</f>
        <v>90.1796994012577</v>
      </c>
      <c r="AV312" s="26" t="n">
        <f aca="false">IFERROR(AV287/AV311*365,"n/a")</f>
        <v>84.7961284367162</v>
      </c>
      <c r="AW312" s="27" t="n">
        <f aca="false">IFERROR(AW287/AW311*365,"n/a")</f>
        <v>90</v>
      </c>
      <c r="AX312" s="50" t="n">
        <v>90</v>
      </c>
      <c r="AY312" s="50" t="n">
        <v>90</v>
      </c>
      <c r="AZ312" s="50" t="n">
        <v>90</v>
      </c>
      <c r="BA312" s="50" t="n">
        <v>90</v>
      </c>
      <c r="BB312" s="50" t="n">
        <v>90</v>
      </c>
      <c r="BC312" s="18" t="s">
        <v>439</v>
      </c>
    </row>
    <row r="313" customFormat="false" ht="15" hidden="false" customHeight="true" outlineLevel="0" collapsed="false">
      <c r="B313" s="14" t="s">
        <v>440</v>
      </c>
      <c r="C313" s="35" t="n">
        <f aca="false">IF(ISNUMBER(C268),C268+C269-C287,"n/a")</f>
        <v>63.245</v>
      </c>
      <c r="D313" s="35" t="n">
        <f aca="false">IF(ISNUMBER(D268),D268+D269-D287,"n/a")</f>
        <v>57.411</v>
      </c>
      <c r="E313" s="35" t="n">
        <f aca="false">IF(ISNUMBER(E268),E268+E269-E287,"n/a")</f>
        <v>57.411</v>
      </c>
      <c r="F313" s="35" t="n">
        <f aca="false">IF(ISNUMBER(F268),F268+F269-F287,"n/a")</f>
        <v>82.326</v>
      </c>
      <c r="G313" s="35" t="n">
        <f aca="false">IF(ISNUMBER(G268),G268+G269-G287,"n/a")</f>
        <v>65.197</v>
      </c>
      <c r="H313" s="35" t="n">
        <f aca="false">IF(ISNUMBER(H268),H268+H269-H287,"n/a")</f>
        <v>65.197</v>
      </c>
      <c r="I313" s="35" t="n">
        <f aca="false">IF(ISNUMBER(I268),I268+I269-I287,"n/a")</f>
        <v>89.447</v>
      </c>
      <c r="J313" s="35" t="n">
        <f aca="false">IF(ISNUMBER(J268),J268+J269-J287,"n/a")</f>
        <v>75.218</v>
      </c>
      <c r="K313" s="35" t="n">
        <f aca="false">IF(ISNUMBER(K268),K268+K269-K287,"n/a")</f>
        <v>75.218</v>
      </c>
      <c r="L313" s="35" t="n">
        <f aca="false">IF(ISNUMBER(L268),L268+L269-L287,"n/a")</f>
        <v>104.889</v>
      </c>
      <c r="M313" s="35" t="n">
        <f aca="false">IF(ISNUMBER(M268),M268+M269-M287,"n/a")</f>
        <v>107.98</v>
      </c>
      <c r="N313" s="35" t="n">
        <f aca="false">IF(ISNUMBER(N268),N268+N269-N287,"n/a")</f>
        <v>107.98</v>
      </c>
      <c r="O313" s="35" t="n">
        <f aca="false">IF(ISNUMBER(O268),O268+O269-O287,"n/a")</f>
        <v>146.942</v>
      </c>
      <c r="P313" s="35" t="n">
        <f aca="false">IF(ISNUMBER(P268),P268+P269-P287,"n/a")</f>
        <v>120.759</v>
      </c>
      <c r="Q313" s="35" t="n">
        <f aca="false">IF(ISNUMBER(Q268),Q268+Q269-Q287,"n/a")</f>
        <v>120.759</v>
      </c>
      <c r="R313" s="35" t="n">
        <f aca="false">IF(ISNUMBER(R268),R268+R269-R287,"n/a")</f>
        <v>155.236</v>
      </c>
      <c r="S313" s="35" t="n">
        <f aca="false">IF(ISNUMBER(S268),S268+S269-S287,"n/a")</f>
        <v>138.689</v>
      </c>
      <c r="T313" s="35" t="n">
        <f aca="false">IF(ISNUMBER(T268),T268+T269-T287,"n/a")</f>
        <v>138.689</v>
      </c>
      <c r="U313" s="35" t="n">
        <f aca="false">IF(ISNUMBER(U268),U268+U269-U287,"n/a")</f>
        <v>151.02</v>
      </c>
      <c r="V313" s="35" t="n">
        <f aca="false">IF(ISNUMBER(V268),V268+V269-V287,"n/a")</f>
        <v>132.564</v>
      </c>
      <c r="W313" s="35" t="n">
        <f aca="false">IF(ISNUMBER(W268),W268+W269-W287,"n/a")</f>
        <v>132.564</v>
      </c>
      <c r="X313" s="35" t="n">
        <f aca="false">IF(ISNUMBER(X268),X268+X269-X287,"n/a")</f>
        <v>155.754</v>
      </c>
      <c r="Y313" s="35" t="n">
        <f aca="false">IF(ISNUMBER(Y268),Y268+Y269-Y287,"n/a")</f>
        <v>146.623</v>
      </c>
      <c r="Z313" s="35" t="n">
        <f aca="false">IF(ISNUMBER(Z268),Z268+Z269-Z287,"n/a")</f>
        <v>146.623</v>
      </c>
      <c r="AA313" s="35" t="n">
        <f aca="false">IF(ISNUMBER(AA268),AA268+AA269-AA287,"n/a")</f>
        <v>180.071</v>
      </c>
      <c r="AB313" s="35" t="n">
        <f aca="false">IF(ISNUMBER(AB268),AB268+AB269-AB287,"n/a")</f>
        <v>174.037</v>
      </c>
      <c r="AC313" s="35" t="n">
        <f aca="false">IF(ISNUMBER(AC268),AC268+AC269-AC287,"n/a")</f>
        <v>174.037</v>
      </c>
      <c r="AD313" s="35" t="n">
        <f aca="false">IF(ISNUMBER(AD268),AD268+AD269-AD287,"n/a")</f>
        <v>216.474</v>
      </c>
      <c r="AE313" s="35" t="n">
        <f aca="false">IF(ISNUMBER(AE268),AE268+AE269-AE287,"n/a")</f>
        <v>195.806</v>
      </c>
      <c r="AF313" s="35" t="n">
        <f aca="false">IF(ISNUMBER(AF268),AF268+AF269-AF287,"n/a")</f>
        <v>195.806</v>
      </c>
      <c r="AG313" s="35" t="n">
        <f aca="false">IF(ISNUMBER(AG268),AG268+AG269-AG287,"n/a")</f>
        <v>208.208</v>
      </c>
      <c r="AH313" s="35" t="n">
        <f aca="false">IF(ISNUMBER(AH268),AH268+AH269-AH287,"n/a")</f>
        <v>169.421</v>
      </c>
      <c r="AI313" s="35" t="n">
        <f aca="false">IF(ISNUMBER(AI268),AI268+AI269-AI287,"n/a")</f>
        <v>169.421</v>
      </c>
      <c r="AJ313" s="35" t="n">
        <f aca="false">IF(ISNUMBER(AJ268),AJ268+AJ269-AJ287,"n/a")</f>
        <v>205.463</v>
      </c>
      <c r="AK313" s="35" t="n">
        <f aca="false">IF(ISNUMBER(AK268),AK268+AK269-AK287,"n/a")</f>
        <v>182.412</v>
      </c>
      <c r="AL313" s="35" t="n">
        <f aca="false">IF(ISNUMBER(AL268),AL268+AL269-AL287,"n/a")</f>
        <v>182.412</v>
      </c>
      <c r="AM313" s="35" t="n">
        <f aca="false">IF(ISNUMBER(AM268),AM268+AM269-AM287,"n/a")</f>
        <v>196.446</v>
      </c>
      <c r="AN313" s="35" t="n">
        <f aca="false">IF(ISNUMBER(AN268),AN268+AN269-AN287,"n/a")</f>
        <v>199.217</v>
      </c>
      <c r="AO313" s="35" t="n">
        <f aca="false">IF(ISNUMBER(AO268),AO268+AO269-AO287,"n/a")</f>
        <v>199.217</v>
      </c>
      <c r="AP313" s="35" t="n">
        <f aca="false">IF(ISNUMBER(AP268),AP268+AP269-AP287,"n/a")</f>
        <v>262.752</v>
      </c>
      <c r="AQ313" s="35" t="n">
        <f aca="false">IF(ISNUMBER(AQ268),AQ268+AQ269-AQ287,"n/a")</f>
        <v>282.828</v>
      </c>
      <c r="AR313" s="35" t="n">
        <f aca="false">IF(ISNUMBER(AR268),AR268+AR269-AR287,"n/a")</f>
        <v>282.828</v>
      </c>
      <c r="AS313" s="35" t="n">
        <f aca="false">IF(ISNUMBER(AS268),AS268+AS269-AS287,"n/a")</f>
        <v>308.304</v>
      </c>
      <c r="AT313" s="35" t="n">
        <f aca="false">IF(ISNUMBER(AT268),AT268+AT269-AT287,"n/a")</f>
        <v>322.856</v>
      </c>
      <c r="AU313" s="35" t="n">
        <f aca="false">IF(ISNUMBER(AU268),AU268+AU269-AU287,"n/a")</f>
        <v>322.856</v>
      </c>
      <c r="AV313" s="35" t="n">
        <f aca="false">IF(ISNUMBER(AV268),AV268+AV269-AV287,"n/a")</f>
        <v>360.058</v>
      </c>
      <c r="AW313" s="36" t="n">
        <f aca="false">IF(ISNUMBER(AW268),AW268+AW269-AW287,"n/a")</f>
        <v>349.231933543412</v>
      </c>
      <c r="AX313" s="36" t="n">
        <f aca="false">IF(ISNUMBER(AX268),AX268+AX269-AX287,"n/a")</f>
        <v>349.231933543412</v>
      </c>
      <c r="AY313" s="36" t="n">
        <f aca="false">IF(ISNUMBER(AY268),AY268+AY269-AY287,"n/a")</f>
        <v>384.523484371904</v>
      </c>
      <c r="AZ313" s="36" t="n">
        <f aca="false">IF(ISNUMBER(AZ268),AZ268+AZ269-AZ287,"n/a")</f>
        <v>417.252177446545</v>
      </c>
      <c r="BA313" s="36" t="n">
        <f aca="false">IF(ISNUMBER(BA268),BA268+BA269-BA287,"n/a")</f>
        <v>450.435133325923</v>
      </c>
      <c r="BB313" s="36" t="n">
        <f aca="false">IF(ISNUMBER(BB268),BB268+BB269-BB287,"n/a")</f>
        <v>483.230739485672</v>
      </c>
    </row>
    <row r="314" customFormat="false" ht="15" hidden="false" customHeight="true" outlineLevel="0" collapsed="false">
      <c r="B314" s="31" t="s">
        <v>441</v>
      </c>
      <c r="C314" s="32" t="str">
        <f aca="false">IFERROR(C313/C308,"n/a")</f>
        <v>n/a</v>
      </c>
      <c r="D314" s="32" t="n">
        <f aca="false">IFERROR(D313/D308,"n/a")</f>
        <v>0.236614668122901</v>
      </c>
      <c r="E314" s="32" t="n">
        <f aca="false">IFERROR(E313/E308,"n/a")</f>
        <v>0.236614668122901</v>
      </c>
      <c r="F314" s="32" t="n">
        <f aca="false">IFERROR(F313/F308,"n/a")</f>
        <v>0.314965510117415</v>
      </c>
      <c r="G314" s="32" t="n">
        <f aca="false">IFERROR(G313/G308,"n/a")</f>
        <v>0.233412453771825</v>
      </c>
      <c r="H314" s="32" t="n">
        <f aca="false">IFERROR(H313/H308,"n/a")</f>
        <v>0.233412453771825</v>
      </c>
      <c r="I314" s="32" t="n">
        <f aca="false">IFERROR(I313/I308,"n/a")</f>
        <v>0.296484494119831</v>
      </c>
      <c r="J314" s="32" t="n">
        <f aca="false">IFERROR(J313/J308,"n/a")</f>
        <v>0.233248573554949</v>
      </c>
      <c r="K314" s="32" t="n">
        <f aca="false">IFERROR(K313/K308,"n/a")</f>
        <v>0.233248573554949</v>
      </c>
      <c r="L314" s="32" t="n">
        <f aca="false">IFERROR(L313/L308,"n/a")</f>
        <v>0.307847862008647</v>
      </c>
      <c r="M314" s="32" t="n">
        <f aca="false">IFERROR(M313/M308,"n/a")</f>
        <v>0.303392159231714</v>
      </c>
      <c r="N314" s="32" t="n">
        <f aca="false">IFERROR(N313/N308,"n/a")</f>
        <v>0.303392159231714</v>
      </c>
      <c r="O314" s="32" t="n">
        <f aca="false">IFERROR(O313/O308,"n/a")</f>
        <v>0.386252398601582</v>
      </c>
      <c r="P314" s="32" t="n">
        <f aca="false">IFERROR(P313/P308,"n/a")</f>
        <v>0.29158205582022</v>
      </c>
      <c r="Q314" s="32" t="n">
        <f aca="false">IFERROR(Q313/Q308,"n/a")</f>
        <v>0.29158205582022</v>
      </c>
      <c r="R314" s="32" t="n">
        <f aca="false">IFERROR(R313/R308,"n/a")</f>
        <v>0.357967896434756</v>
      </c>
      <c r="S314" s="32" t="n">
        <f aca="false">IFERROR(S313/S308,"n/a")</f>
        <v>0.304161887488459</v>
      </c>
      <c r="T314" s="32" t="n">
        <f aca="false">IFERROR(T313/T308,"n/a")</f>
        <v>0.304161887488459</v>
      </c>
      <c r="U314" s="32" t="n">
        <f aca="false">IFERROR(U313/U308,"n/a")</f>
        <v>0.314980665668317</v>
      </c>
      <c r="V314" s="32" t="n">
        <f aca="false">IFERROR(V313/V308,"n/a")</f>
        <v>0.26324788361522</v>
      </c>
      <c r="W314" s="32" t="n">
        <f aca="false">IFERROR(W313/W308,"n/a")</f>
        <v>0.26324788361522</v>
      </c>
      <c r="X314" s="32" t="n">
        <f aca="false">IFERROR(X313/X308,"n/a")</f>
        <v>0.294025258150379</v>
      </c>
      <c r="Y314" s="32" t="n">
        <f aca="false">IFERROR(Y313/Y308,"n/a")</f>
        <v>0.26514296667607</v>
      </c>
      <c r="Z314" s="32" t="n">
        <f aca="false">IFERROR(Z313/Z308,"n/a")</f>
        <v>0.26514296667607</v>
      </c>
      <c r="AA314" s="32" t="n">
        <f aca="false">IFERROR(AA313/AA308,"n/a")</f>
        <v>0.313208899278686</v>
      </c>
      <c r="AB314" s="32" t="n">
        <f aca="false">IFERROR(AB313/AB308,"n/a")</f>
        <v>0.286357630713389</v>
      </c>
      <c r="AC314" s="32" t="n">
        <f aca="false">IFERROR(AC313/AC308,"n/a")</f>
        <v>0.286357630713389</v>
      </c>
      <c r="AD314" s="32" t="n">
        <f aca="false">IFERROR(AD313/AD308,"n/a")</f>
        <v>0.41510591745591</v>
      </c>
      <c r="AE314" s="32" t="n">
        <f aca="false">IFERROR(AE313/AE308,"n/a")</f>
        <v>0.359928898757934</v>
      </c>
      <c r="AF314" s="32" t="n">
        <f aca="false">IFERROR(AF313/AF308,"n/a")</f>
        <v>0.359928898757934</v>
      </c>
      <c r="AG314" s="32" t="n">
        <f aca="false">IFERROR(AG313/AG308,"n/a")</f>
        <v>0.319027203608761</v>
      </c>
      <c r="AH314" s="32" t="n">
        <f aca="false">IFERROR(AH313/AH308,"n/a")</f>
        <v>0.237891035821051</v>
      </c>
      <c r="AI314" s="32" t="n">
        <f aca="false">IFERROR(AI313/AI308,"n/a")</f>
        <v>0.237891035821051</v>
      </c>
      <c r="AJ314" s="32" t="n">
        <f aca="false">IFERROR(AJ313/AJ308,"n/a")</f>
        <v>0.252482267760503</v>
      </c>
      <c r="AK314" s="32" t="n">
        <f aca="false">IFERROR(AK313/AK308,"n/a")</f>
        <v>0.198336863439266</v>
      </c>
      <c r="AL314" s="32" t="n">
        <f aca="false">IFERROR(AL313/AL308,"n/a")</f>
        <v>0.198336863439266</v>
      </c>
      <c r="AM314" s="32" t="n">
        <f aca="false">IFERROR(AM313/AM308,"n/a")</f>
        <v>0.187396081057491</v>
      </c>
      <c r="AN314" s="32" t="n">
        <f aca="false">IFERROR(AN313/AN308,"n/a")</f>
        <v>0.174840708430605</v>
      </c>
      <c r="AO314" s="32" t="n">
        <f aca="false">IFERROR(AO313/AO308,"n/a")</f>
        <v>0.174840708430605</v>
      </c>
      <c r="AP314" s="32" t="n">
        <f aca="false">IFERROR(AP313/AP308,"n/a")</f>
        <v>0.216054072721891</v>
      </c>
      <c r="AQ314" s="32" t="n">
        <f aca="false">IFERROR(AQ313/AQ308,"n/a")</f>
        <v>0.221211694589141</v>
      </c>
      <c r="AR314" s="32" t="n">
        <f aca="false">IFERROR(AR313/AR308,"n/a")</f>
        <v>0.221211694589141</v>
      </c>
      <c r="AS314" s="32" t="n">
        <f aca="false">IFERROR(AS313/AS308,"n/a")</f>
        <v>0.22973249886551</v>
      </c>
      <c r="AT314" s="32" t="n">
        <f aca="false">IFERROR(AT313/AT308,"n/a")</f>
        <v>0.229309116581472</v>
      </c>
      <c r="AU314" s="32" t="n">
        <f aca="false">IFERROR(AU313/AU308,"n/a")</f>
        <v>0.229309116581472</v>
      </c>
      <c r="AV314" s="32" t="n">
        <f aca="false">IFERROR(AV313/AV308,"n/a")</f>
        <v>0.244400896806806</v>
      </c>
      <c r="AW314" s="33" t="n">
        <f aca="false">IFERROR(AW313/AW308,"n/a")</f>
        <v>0.228245439670784</v>
      </c>
      <c r="AX314" s="33" t="n">
        <f aca="false">IFERROR(AX313/AX308,"n/a")</f>
        <v>0.228245439670784</v>
      </c>
      <c r="AY314" s="33" t="n">
        <f aca="false">IFERROR(AY313/AY308,"n/a")</f>
        <v>0.227945205479452</v>
      </c>
      <c r="AZ314" s="33" t="n">
        <f aca="false">IFERROR(AZ313/AZ308,"n/a")</f>
        <v>0.228438356164384</v>
      </c>
      <c r="BA314" s="33" t="n">
        <f aca="false">IFERROR(BA313/BA308,"n/a")</f>
        <v>0.228931506849315</v>
      </c>
      <c r="BB314" s="33" t="n">
        <f aca="false">IFERROR(BB313/BB308,"n/a")</f>
        <v>0.229178082191781</v>
      </c>
    </row>
    <row r="315" customFormat="false" ht="15" hidden="false" customHeight="true" outlineLevel="0" collapsed="false">
      <c r="B315" s="20" t="s">
        <v>442</v>
      </c>
      <c r="C315" s="42" t="n">
        <v>49.592</v>
      </c>
      <c r="D315" s="26" t="n">
        <f aca="false">E315</f>
        <v>46.218</v>
      </c>
      <c r="E315" s="42" t="n">
        <v>46.218</v>
      </c>
      <c r="F315" s="42" t="n">
        <v>66.344</v>
      </c>
      <c r="G315" s="26" t="n">
        <f aca="false">H315</f>
        <v>57.264</v>
      </c>
      <c r="H315" s="42" t="n">
        <v>57.264</v>
      </c>
      <c r="I315" s="42" t="n">
        <v>76.48</v>
      </c>
      <c r="J315" s="26" t="n">
        <f aca="false">K315</f>
        <v>71.074</v>
      </c>
      <c r="K315" s="42" t="n">
        <v>71.074</v>
      </c>
      <c r="L315" s="42" t="n">
        <v>96.726</v>
      </c>
      <c r="M315" s="26" t="n">
        <f aca="false">N315</f>
        <v>97.507</v>
      </c>
      <c r="N315" s="42" t="n">
        <v>97.507</v>
      </c>
      <c r="O315" s="42" t="n">
        <v>122.523</v>
      </c>
      <c r="P315" s="26" t="n">
        <f aca="false">Q315</f>
        <v>112.331</v>
      </c>
      <c r="Q315" s="42" t="n">
        <v>112.331</v>
      </c>
      <c r="R315" s="42" t="n">
        <v>135.834</v>
      </c>
      <c r="S315" s="26" t="n">
        <f aca="false">T315</f>
        <v>129.268</v>
      </c>
      <c r="T315" s="42" t="n">
        <v>129.268</v>
      </c>
      <c r="U315" s="42" t="n">
        <v>141.551</v>
      </c>
      <c r="V315" s="26" t="n">
        <f aca="false">W315</f>
        <v>126.993</v>
      </c>
      <c r="W315" s="42" t="n">
        <v>126.993</v>
      </c>
      <c r="X315" s="42" t="n">
        <v>137.936</v>
      </c>
      <c r="Y315" s="26" t="n">
        <f aca="false">Z315</f>
        <v>129.457</v>
      </c>
      <c r="Z315" s="42" t="n">
        <v>129.457</v>
      </c>
      <c r="AA315" s="42" t="n">
        <v>162.441</v>
      </c>
      <c r="AB315" s="26" t="n">
        <f aca="false">AC315</f>
        <v>155.104</v>
      </c>
      <c r="AC315" s="42" t="n">
        <v>155.104</v>
      </c>
      <c r="AD315" s="42" t="n">
        <v>195.045</v>
      </c>
      <c r="AE315" s="26" t="n">
        <f aca="false">AF315</f>
        <v>186.735</v>
      </c>
      <c r="AF315" s="42" t="n">
        <v>186.735</v>
      </c>
      <c r="AG315" s="42" t="n">
        <v>186.052</v>
      </c>
      <c r="AH315" s="26" t="n">
        <f aca="false">AI315</f>
        <v>142.162</v>
      </c>
      <c r="AI315" s="42" t="n">
        <v>142.162</v>
      </c>
      <c r="AJ315" s="42" t="n">
        <v>164.593</v>
      </c>
      <c r="AK315" s="26" t="n">
        <f aca="false">AL315</f>
        <v>140.786</v>
      </c>
      <c r="AL315" s="42" t="n">
        <v>140.786</v>
      </c>
      <c r="AM315" s="42" t="n">
        <v>174.808</v>
      </c>
      <c r="AN315" s="26" t="n">
        <f aca="false">AO315</f>
        <v>178.33</v>
      </c>
      <c r="AO315" s="42" t="n">
        <v>178.33</v>
      </c>
      <c r="AP315" s="42" t="n">
        <v>200.588</v>
      </c>
      <c r="AQ315" s="26" t="n">
        <f aca="false">AR315</f>
        <v>246.332</v>
      </c>
      <c r="AR315" s="42" t="n">
        <v>246.332</v>
      </c>
      <c r="AS315" s="42" t="n">
        <v>303.071</v>
      </c>
      <c r="AT315" s="26" t="n">
        <f aca="false">AU315</f>
        <v>313.186</v>
      </c>
      <c r="AU315" s="42" t="n">
        <v>313.186</v>
      </c>
      <c r="AV315" s="42" t="n">
        <v>317.647</v>
      </c>
    </row>
    <row r="316" customFormat="false" ht="15" hidden="false" customHeight="true" outlineLevel="0" collapsed="false">
      <c r="B316" s="20" t="s">
        <v>443</v>
      </c>
      <c r="F316" s="26" t="n">
        <f aca="false">IFERROR(F313-C313,"n/a")</f>
        <v>19.081</v>
      </c>
      <c r="G316" s="26" t="n">
        <f aca="false">IFERROR(G313-D313,"n/a")</f>
        <v>7.78599999999999</v>
      </c>
      <c r="H316" s="26" t="n">
        <f aca="false">IFERROR(H313-E313,"n/a")</f>
        <v>7.78599999999999</v>
      </c>
      <c r="I316" s="26" t="n">
        <f aca="false">IFERROR(I313-F313,"n/a")</f>
        <v>7.12100000000001</v>
      </c>
      <c r="J316" s="26" t="n">
        <f aca="false">IFERROR(J313-G313,"n/a")</f>
        <v>10.021</v>
      </c>
      <c r="K316" s="26" t="n">
        <f aca="false">IFERROR(K313-H313,"n/a")</f>
        <v>10.021</v>
      </c>
      <c r="L316" s="26" t="n">
        <f aca="false">IFERROR(L313-I313,"n/a")</f>
        <v>15.442</v>
      </c>
      <c r="M316" s="26" t="n">
        <f aca="false">IFERROR(M313-J313,"n/a")</f>
        <v>32.762</v>
      </c>
      <c r="N316" s="26" t="n">
        <f aca="false">IFERROR(N313-K313,"n/a")</f>
        <v>32.762</v>
      </c>
      <c r="O316" s="26" t="n">
        <f aca="false">IFERROR(O313-L313,"n/a")</f>
        <v>42.053</v>
      </c>
      <c r="P316" s="26" t="n">
        <f aca="false">IFERROR(P313-M313,"n/a")</f>
        <v>12.779</v>
      </c>
      <c r="Q316" s="26" t="n">
        <f aca="false">IFERROR(Q313-N313,"n/a")</f>
        <v>12.779</v>
      </c>
      <c r="R316" s="26" t="n">
        <f aca="false">IFERROR(R313-O313,"n/a")</f>
        <v>8.29400000000001</v>
      </c>
      <c r="S316" s="26" t="n">
        <f aca="false">IFERROR(S313-P313,"n/a")</f>
        <v>17.93</v>
      </c>
      <c r="T316" s="26" t="n">
        <f aca="false">IFERROR(T313-Q313,"n/a")</f>
        <v>17.93</v>
      </c>
      <c r="U316" s="26" t="n">
        <f aca="false">IFERROR(U313-R313,"n/a")</f>
        <v>-4.21600000000001</v>
      </c>
      <c r="V316" s="26" t="n">
        <f aca="false">IFERROR(V313-S313,"n/a")</f>
        <v>-6.125</v>
      </c>
      <c r="W316" s="26" t="n">
        <f aca="false">IFERROR(W313-T313,"n/a")</f>
        <v>-6.125</v>
      </c>
      <c r="X316" s="26" t="n">
        <f aca="false">IFERROR(X313-U313,"n/a")</f>
        <v>4.73400000000004</v>
      </c>
      <c r="Y316" s="26" t="n">
        <f aca="false">IFERROR(Y313-V313,"n/a")</f>
        <v>14.0590000000001</v>
      </c>
      <c r="Z316" s="26" t="n">
        <f aca="false">IFERROR(Z313-W313,"n/a")</f>
        <v>14.0590000000001</v>
      </c>
      <c r="AA316" s="26" t="n">
        <f aca="false">IFERROR(AA313-X313,"n/a")</f>
        <v>24.317</v>
      </c>
      <c r="AB316" s="26" t="n">
        <f aca="false">IFERROR(AB313-Y313,"n/a")</f>
        <v>27.414</v>
      </c>
      <c r="AC316" s="26" t="n">
        <f aca="false">IFERROR(AC313-Z313,"n/a")</f>
        <v>27.414</v>
      </c>
      <c r="AD316" s="26" t="n">
        <f aca="false">IFERROR(AD313-AA313,"n/a")</f>
        <v>36.403</v>
      </c>
      <c r="AE316" s="26" t="n">
        <f aca="false">IFERROR(AE313-AB313,"n/a")</f>
        <v>21.769</v>
      </c>
      <c r="AF316" s="26" t="n">
        <f aca="false">IFERROR(AF313-AC313,"n/a")</f>
        <v>21.769</v>
      </c>
      <c r="AG316" s="26" t="n">
        <f aca="false">IFERROR(AG313-AD313,"n/a")</f>
        <v>-8.26599999999996</v>
      </c>
      <c r="AH316" s="26" t="n">
        <f aca="false">IFERROR(AH313-AE313,"n/a")</f>
        <v>-26.385</v>
      </c>
      <c r="AI316" s="26" t="n">
        <f aca="false">IFERROR(AI313-AF313,"n/a")</f>
        <v>-26.385</v>
      </c>
      <c r="AJ316" s="26" t="n">
        <f aca="false">IFERROR(AJ313-AG313,"n/a")</f>
        <v>-2.745</v>
      </c>
      <c r="AK316" s="26" t="n">
        <f aca="false">IFERROR(AK313-AH313,"n/a")</f>
        <v>12.991</v>
      </c>
      <c r="AL316" s="26" t="n">
        <f aca="false">IFERROR(AL313-AI313,"n/a")</f>
        <v>12.991</v>
      </c>
      <c r="AM316" s="26" t="n">
        <f aca="false">IFERROR(AM313-AJ313,"n/a")</f>
        <v>-9.01700000000005</v>
      </c>
      <c r="AN316" s="26" t="n">
        <f aca="false">IFERROR(AN313-AK313,"n/a")</f>
        <v>16.805</v>
      </c>
      <c r="AO316" s="26" t="n">
        <f aca="false">IFERROR(AO313-AL313,"n/a")</f>
        <v>16.805</v>
      </c>
      <c r="AP316" s="26" t="n">
        <f aca="false">IFERROR(AP313-AM313,"n/a")</f>
        <v>66.306</v>
      </c>
      <c r="AQ316" s="26" t="n">
        <f aca="false">IFERROR(AQ313-AN313,"n/a")</f>
        <v>83.611</v>
      </c>
      <c r="AR316" s="26" t="n">
        <f aca="false">IFERROR(AR313-AO313,"n/a")</f>
        <v>83.611</v>
      </c>
      <c r="AS316" s="26" t="n">
        <f aca="false">IFERROR(AS313-AP313,"n/a")</f>
        <v>45.552</v>
      </c>
      <c r="AT316" s="26" t="n">
        <f aca="false">IFERROR(AT313-AQ313,"n/a")</f>
        <v>40.028</v>
      </c>
      <c r="AU316" s="26" t="n">
        <f aca="false">IFERROR(AU313-AR313,"n/a")</f>
        <v>40.028</v>
      </c>
      <c r="AV316" s="26" t="n">
        <f aca="false">IFERROR(AV313-AS313,"n/a")</f>
        <v>51.7540000000001</v>
      </c>
      <c r="AW316" s="27" t="n">
        <f aca="false">IFERROR(AW313-AT313,"n/a")</f>
        <v>26.3759335434122</v>
      </c>
      <c r="AX316" s="27" t="n">
        <f aca="false">IFERROR(AX313-AU313,"n/a")</f>
        <v>26.3759335434122</v>
      </c>
      <c r="AY316" s="27" t="n">
        <f aca="false">IFERROR(AY313-AX313,"n/a")</f>
        <v>35.291550828492</v>
      </c>
      <c r="AZ316" s="27" t="n">
        <f aca="false">IFERROR(AZ313-AY313,"n/a")</f>
        <v>32.7286930746407</v>
      </c>
      <c r="BA316" s="27" t="n">
        <f aca="false">IFERROR(BA313-AZ313,"n/a")</f>
        <v>33.1829558793784</v>
      </c>
      <c r="BB316" s="27" t="n">
        <f aca="false">IFERROR(BB313-BA313,"n/a")</f>
        <v>32.7956061597486</v>
      </c>
    </row>
    <row r="317" customFormat="false" ht="15" hidden="false" customHeight="true" outlineLevel="0" collapsed="false"/>
    <row r="318" customFormat="false" ht="15" hidden="false" customHeight="true" outlineLevel="0" collapsed="false">
      <c r="B318" s="9" t="s">
        <v>444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 t="s">
        <v>445</v>
      </c>
    </row>
    <row r="319" customFormat="false" ht="15" hidden="false" customHeight="true" outlineLevel="0" collapsed="false">
      <c r="B319" s="40" t="s">
        <v>446</v>
      </c>
    </row>
    <row r="320" customFormat="false" ht="15" hidden="false" customHeight="true" outlineLevel="0" collapsed="false">
      <c r="B320" s="20" t="s">
        <v>447</v>
      </c>
      <c r="C320" s="26" t="n">
        <f aca="false">-(C221+C222)</f>
        <v>8.73</v>
      </c>
      <c r="D320" s="26" t="n">
        <f aca="false">-(D221+D222)</f>
        <v>8.88</v>
      </c>
      <c r="E320" s="26" t="n">
        <f aca="false">-(E221+E222)</f>
        <v>17.61</v>
      </c>
      <c r="F320" s="26" t="n">
        <f aca="false">-(F221+F222)</f>
        <v>7.954</v>
      </c>
      <c r="G320" s="26" t="n">
        <f aca="false">-(G221+G222)</f>
        <v>17.834</v>
      </c>
      <c r="H320" s="26" t="n">
        <f aca="false">-(H221+H222)</f>
        <v>25.788</v>
      </c>
      <c r="I320" s="26" t="n">
        <f aca="false">-(I221+I222)</f>
        <v>18.039</v>
      </c>
      <c r="J320" s="26" t="n">
        <f aca="false">-(J221+J222)</f>
        <v>13.448</v>
      </c>
      <c r="K320" s="26" t="n">
        <f aca="false">-(K221+K222)</f>
        <v>31.487</v>
      </c>
      <c r="L320" s="26" t="n">
        <f aca="false">-(L221+L222)</f>
        <v>17.717</v>
      </c>
      <c r="M320" s="26" t="n">
        <f aca="false">-(M221+M222)</f>
        <v>16.235</v>
      </c>
      <c r="N320" s="26" t="n">
        <f aca="false">-(N221+N222)</f>
        <v>33.952</v>
      </c>
      <c r="O320" s="26" t="n">
        <f aca="false">-(O221+O222)</f>
        <v>19.572</v>
      </c>
      <c r="P320" s="26" t="n">
        <f aca="false">-(P221+P222)</f>
        <v>20.565</v>
      </c>
      <c r="Q320" s="26" t="n">
        <f aca="false">-(Q221+Q222)</f>
        <v>40.137</v>
      </c>
      <c r="R320" s="26" t="n">
        <f aca="false">-(R221+R222)</f>
        <v>17.978</v>
      </c>
      <c r="S320" s="26" t="n">
        <f aca="false">-(S221+S222)</f>
        <v>11.635</v>
      </c>
      <c r="T320" s="26" t="n">
        <f aca="false">-(T221+T222)</f>
        <v>29.613</v>
      </c>
      <c r="U320" s="26" t="n">
        <f aca="false">-(U221+U222)</f>
        <v>13.51</v>
      </c>
      <c r="V320" s="26" t="n">
        <f aca="false">-(V221+V222)</f>
        <v>13.961</v>
      </c>
      <c r="W320" s="26" t="n">
        <f aca="false">-(W221+W222)</f>
        <v>27.471</v>
      </c>
      <c r="X320" s="26" t="n">
        <f aca="false">-(X221+X222)</f>
        <v>24.508</v>
      </c>
      <c r="Y320" s="26" t="n">
        <f aca="false">-(Y221+Y222)</f>
        <v>19.278</v>
      </c>
      <c r="Z320" s="26" t="n">
        <f aca="false">-(Z221+Z222)</f>
        <v>43.786</v>
      </c>
      <c r="AA320" s="26" t="n">
        <f aca="false">-(AA221+AA222)</f>
        <v>18.612</v>
      </c>
      <c r="AB320" s="26" t="n">
        <f aca="false">-(AB221+AB222)</f>
        <v>33.354</v>
      </c>
      <c r="AC320" s="26" t="n">
        <f aca="false">-(AC221+AC222)</f>
        <v>51.966</v>
      </c>
      <c r="AD320" s="26" t="n">
        <f aca="false">-(AD221+AD222)</f>
        <v>20.479</v>
      </c>
      <c r="AE320" s="26" t="n">
        <f aca="false">-(AE221+AE222)</f>
        <v>28.141</v>
      </c>
      <c r="AF320" s="26" t="n">
        <f aca="false">-(AF221+AF222)</f>
        <v>48.62</v>
      </c>
      <c r="AG320" s="26" t="n">
        <f aca="false">-(AG221+AG222)</f>
        <v>27.482</v>
      </c>
      <c r="AH320" s="26" t="n">
        <f aca="false">-(AH221+AH222)</f>
        <v>28.481</v>
      </c>
      <c r="AI320" s="26" t="n">
        <f aca="false">-(AI221+AI222)</f>
        <v>55.963</v>
      </c>
      <c r="AJ320" s="26" t="n">
        <f aca="false">-(AJ221+AJ222)</f>
        <v>29.504</v>
      </c>
      <c r="AK320" s="26" t="n">
        <f aca="false">-(AK221+AK222)</f>
        <v>33.947</v>
      </c>
      <c r="AL320" s="26" t="n">
        <f aca="false">-(AL221+AL222)</f>
        <v>63.451</v>
      </c>
      <c r="AM320" s="26" t="n">
        <f aca="false">-(AM221+AM222)</f>
        <v>34.043</v>
      </c>
      <c r="AN320" s="26" t="n">
        <f aca="false">-(AN221+AN222)</f>
        <v>42.484</v>
      </c>
      <c r="AO320" s="26" t="n">
        <f aca="false">-(AO221+AO222)</f>
        <v>76.527</v>
      </c>
      <c r="AP320" s="26" t="n">
        <f aca="false">-(AP221+AP222)</f>
        <v>40.455</v>
      </c>
      <c r="AQ320" s="26" t="n">
        <f aca="false">-(AQ221+AQ222)</f>
        <v>59.356</v>
      </c>
      <c r="AR320" s="26" t="n">
        <f aca="false">-(AR221+AR222)</f>
        <v>99.811</v>
      </c>
      <c r="AS320" s="26" t="n">
        <f aca="false">-(AS221+AS222)</f>
        <v>60.544</v>
      </c>
      <c r="AT320" s="26" t="n">
        <f aca="false">-(AT221+AT222)</f>
        <v>81.929</v>
      </c>
      <c r="AU320" s="26" t="n">
        <f aca="false">-(AU221+AU222)</f>
        <v>142.473</v>
      </c>
      <c r="AV320" s="26" t="n">
        <f aca="false">-(AV221+AV222)</f>
        <v>55.054</v>
      </c>
      <c r="AW320" s="27" t="n">
        <f aca="false">AX320-AV320</f>
        <v>39.946</v>
      </c>
      <c r="AX320" s="50" t="n">
        <v>95</v>
      </c>
      <c r="AY320" s="27" t="n">
        <f aca="false">AY111*AY321</f>
        <v>109.649274840426</v>
      </c>
      <c r="AZ320" s="27" t="n">
        <f aca="false">AZ111*AZ321</f>
        <v>118.725208802102</v>
      </c>
      <c r="BA320" s="27" t="n">
        <f aca="false">BA111*BA321</f>
        <v>127.891018886519</v>
      </c>
      <c r="BB320" s="27" t="n">
        <f aca="false">BB111*BB321</f>
        <v>137.0549825977</v>
      </c>
      <c r="BC320" s="18" t="s">
        <v>448</v>
      </c>
    </row>
    <row r="321" customFormat="false" ht="15" hidden="false" customHeight="true" outlineLevel="0" collapsed="false">
      <c r="B321" s="31" t="s">
        <v>449</v>
      </c>
      <c r="AY321" s="33" t="n">
        <f aca="false">CHOOSE(MATCH($BC$2,{"Bull","Base","Bear"},0),$BL$46,$BM$46,$BN$46)</f>
        <v>0.065</v>
      </c>
      <c r="AZ321" s="33" t="n">
        <f aca="false">CHOOSE(MATCH($BC$2,{"Bull","Base","Bear"},0),$BL$47,$BM$47,$BN$47)</f>
        <v>0.065</v>
      </c>
      <c r="BA321" s="33" t="n">
        <f aca="false">CHOOSE(MATCH($BC$2,{"Bull","Base","Bear"},0),$BL$48,$BM$48,$BN$48)</f>
        <v>0.065</v>
      </c>
      <c r="BB321" s="33" t="n">
        <f aca="false">CHOOSE(MATCH($BC$2,{"Bull","Base","Bear"},0),$BL$49,$BM$49,$BN$49)</f>
        <v>0.065</v>
      </c>
      <c r="BC321" s="18" t="s">
        <v>450</v>
      </c>
    </row>
    <row r="322" customFormat="false" ht="15" hidden="false" customHeight="true" outlineLevel="0" collapsed="false">
      <c r="B322" s="31" t="s">
        <v>451</v>
      </c>
      <c r="C322" s="32" t="n">
        <f aca="false">IFERROR(C222/(C221+C222),"")</f>
        <v>0.481099656357388</v>
      </c>
      <c r="D322" s="32" t="n">
        <f aca="false">IFERROR(D222/(D221+D222),"")</f>
        <v>0.380405405405405</v>
      </c>
      <c r="E322" s="32" t="n">
        <f aca="false">IFERROR(E222/(E221+E222),"")</f>
        <v>0.430323679727428</v>
      </c>
      <c r="F322" s="32" t="n">
        <f aca="false">IFERROR(F222/(F221+F222),"")</f>
        <v>0.28086497359819</v>
      </c>
      <c r="G322" s="32" t="n">
        <f aca="false">IFERROR(G222/(G221+G222),"")</f>
        <v>0.275877537288326</v>
      </c>
      <c r="H322" s="32" t="n">
        <f aca="false">IFERROR(H222/(H221+H222),"")</f>
        <v>0.277415852334419</v>
      </c>
      <c r="I322" s="32" t="n">
        <f aca="false">IFERROR(I222/(I221+I222),"")</f>
        <v>0.3313930927435</v>
      </c>
      <c r="J322" s="32" t="n">
        <f aca="false">IFERROR(J222/(J221+J222),"")</f>
        <v>0.071832242712671</v>
      </c>
      <c r="K322" s="32" t="n">
        <f aca="false">IFERROR(K222/(K221+K222),"")</f>
        <v>0.22053545907835</v>
      </c>
      <c r="L322" s="32" t="n">
        <f aca="false">IFERROR(L222/(L221+L222),"")</f>
        <v>0.158266072134108</v>
      </c>
      <c r="M322" s="32" t="n">
        <f aca="false">IFERROR(M222/(M221+M222),"")</f>
        <v>0.0952879581151833</v>
      </c>
      <c r="N322" s="32" t="n">
        <f aca="false">IFERROR(N222/(N221+N222),"")</f>
        <v>0.12815150801131</v>
      </c>
      <c r="O322" s="32" t="n">
        <f aca="false">IFERROR(O222/(O221+O222),"")</f>
        <v>0.235131820968731</v>
      </c>
      <c r="P322" s="32" t="n">
        <f aca="false">IFERROR(P222/(P221+P222),"")</f>
        <v>0.155361050328228</v>
      </c>
      <c r="Q322" s="32" t="n">
        <f aca="false">IFERROR(Q222/(Q221+Q222),"")</f>
        <v>0.194259660662232</v>
      </c>
      <c r="R322" s="32" t="n">
        <f aca="false">IFERROR(R222/(R221+R222),"")</f>
        <v>0.117365669151185</v>
      </c>
      <c r="S322" s="32" t="n">
        <f aca="false">IFERROR(S222/(S221+S222),"")</f>
        <v>0.181349376880103</v>
      </c>
      <c r="T322" s="32" t="n">
        <f aca="false">IFERROR(T222/(T221+T222),"")</f>
        <v>0.142504980920542</v>
      </c>
      <c r="U322" s="32" t="n">
        <f aca="false">IFERROR(U222/(U221+U222),"")</f>
        <v>0.103923019985196</v>
      </c>
      <c r="V322" s="32" t="n">
        <f aca="false">IFERROR(V222/(V221+V222),"")</f>
        <v>0.166463720363871</v>
      </c>
      <c r="W322" s="32" t="n">
        <f aca="false">IFERROR(W222/(W221+W222),"")</f>
        <v>0.135706745295038</v>
      </c>
      <c r="X322" s="32" t="n">
        <f aca="false">IFERROR(X222/(X221+X222),"")</f>
        <v>0.428513138566999</v>
      </c>
      <c r="Y322" s="32" t="n">
        <f aca="false">IFERROR(Y222/(Y221+Y222),"")</f>
        <v>0.27383546010997</v>
      </c>
      <c r="Z322" s="32" t="n">
        <f aca="false">IFERROR(Z222/(Z221+Z222),"")</f>
        <v>0.360412003836843</v>
      </c>
      <c r="AA322" s="32" t="n">
        <f aca="false">IFERROR(AA222/(AA221+AA222),"")</f>
        <v>0.119492800343864</v>
      </c>
      <c r="AB322" s="32" t="n">
        <f aca="false">IFERROR(AB222/(AB221+AB222),"")</f>
        <v>0.27636865143611</v>
      </c>
      <c r="AC322" s="32" t="n">
        <f aca="false">IFERROR(AC222/(AC221+AC222),"")</f>
        <v>0.220182426971481</v>
      </c>
      <c r="AD322" s="32" t="n">
        <f aca="false">IFERROR(AD222/(AD221+AD222),"")</f>
        <v>0.225352800429709</v>
      </c>
      <c r="AE322" s="32" t="n">
        <f aca="false">IFERROR(AE222/(AE221+AE222),"")</f>
        <v>0.100174123165488</v>
      </c>
      <c r="AF322" s="32" t="n">
        <f aca="false">IFERROR(AF222/(AF221+AF222),"")</f>
        <v>0.152900041135335</v>
      </c>
      <c r="AG322" s="32" t="n">
        <f aca="false">IFERROR(AG222/(AG221+AG222),"")</f>
        <v>0.26468233753002</v>
      </c>
      <c r="AH322" s="32" t="n">
        <f aca="false">IFERROR(AH222/(AH221+AH222),"")</f>
        <v>0.120466275762789</v>
      </c>
      <c r="AI322" s="32" t="n">
        <f aca="false">IFERROR(AI222/(AI221+AI222),"")</f>
        <v>0.191287100405625</v>
      </c>
      <c r="AJ322" s="32" t="n">
        <f aca="false">IFERROR(AJ222/(AJ221+AJ222),"")</f>
        <v>0.139506507592191</v>
      </c>
      <c r="AK322" s="32" t="n">
        <f aca="false">IFERROR(AK222/(AK221+AK222),"")</f>
        <v>0.0997142604648423</v>
      </c>
      <c r="AL322" s="32" t="n">
        <f aca="false">IFERROR(AL222/(AL221+AL222),"")</f>
        <v>0.118217206978613</v>
      </c>
      <c r="AM322" s="32" t="n">
        <f aca="false">IFERROR(AM222/(AM221+AM222),"")</f>
        <v>0.10051993067591</v>
      </c>
      <c r="AN322" s="32" t="n">
        <f aca="false">IFERROR(AN222/(AN221+AN222),"")</f>
        <v>0.0869503813200263</v>
      </c>
      <c r="AO322" s="32" t="n">
        <f aca="false">IFERROR(AO222/(AO221+AO222),"")</f>
        <v>0.0929867889764397</v>
      </c>
      <c r="AP322" s="32" t="n">
        <f aca="false">IFERROR(AP222/(AP221+AP222),"")</f>
        <v>0.102657273513781</v>
      </c>
      <c r="AQ322" s="32" t="n">
        <f aca="false">IFERROR(AQ222/(AQ221+AQ222),"")</f>
        <v>0.0847597547004515</v>
      </c>
      <c r="AR322" s="32" t="n">
        <f aca="false">IFERROR(AR222/(AR221+AR222),"")</f>
        <v>0.0920139062828746</v>
      </c>
      <c r="AS322" s="32" t="n">
        <f aca="false">IFERROR(AS222/(AS221+AS222),"")</f>
        <v>0.106947013742072</v>
      </c>
      <c r="AT322" s="32" t="n">
        <f aca="false">IFERROR(AT222/(AT221+AT222),"")</f>
        <v>0.0939594038740861</v>
      </c>
      <c r="AU322" s="32" t="n">
        <f aca="false">IFERROR(AU222/(AU221+AU222),"")</f>
        <v>0.0994784976802622</v>
      </c>
      <c r="AV322" s="32" t="n">
        <f aca="false">IFERROR(AV222/(AV221+AV222),"")</f>
        <v>0.116249500490428</v>
      </c>
      <c r="AW322" s="33" t="n">
        <f aca="false">AU322</f>
        <v>0.0994784976802622</v>
      </c>
      <c r="AX322" s="33" t="n">
        <f aca="false">AU322</f>
        <v>0.0994784976802622</v>
      </c>
      <c r="AY322" s="33" t="n">
        <f aca="false">AX322</f>
        <v>0.0994784976802622</v>
      </c>
      <c r="AZ322" s="33" t="n">
        <f aca="false">AY322</f>
        <v>0.0994784976802622</v>
      </c>
      <c r="BA322" s="33" t="n">
        <f aca="false">AZ322</f>
        <v>0.0994784976802622</v>
      </c>
      <c r="BB322" s="33" t="n">
        <f aca="false">BA322</f>
        <v>0.0994784976802622</v>
      </c>
    </row>
    <row r="323" customFormat="false" ht="15" hidden="false" customHeight="true" outlineLevel="0" collapsed="false">
      <c r="B323" s="31" t="s">
        <v>452</v>
      </c>
      <c r="AX323" s="43" t="n">
        <v>0.15</v>
      </c>
      <c r="AY323" s="43" t="n">
        <v>0.15</v>
      </c>
      <c r="AZ323" s="43" t="n">
        <v>0.15</v>
      </c>
      <c r="BA323" s="43" t="n">
        <v>0.15</v>
      </c>
      <c r="BB323" s="43" t="n">
        <v>0.15</v>
      </c>
      <c r="BC323" s="18" t="s">
        <v>453</v>
      </c>
    </row>
    <row r="324" customFormat="false" ht="15" hidden="false" customHeight="true" outlineLevel="0" collapsed="false">
      <c r="B324" s="40" t="s">
        <v>454</v>
      </c>
    </row>
    <row r="325" customFormat="false" ht="15" hidden="false" customHeight="true" outlineLevel="0" collapsed="false">
      <c r="B325" s="20" t="s">
        <v>455</v>
      </c>
      <c r="AW325" s="27" t="n">
        <f aca="false">AV262</f>
        <v>742.003</v>
      </c>
      <c r="AY325" s="27" t="n">
        <f aca="false">AX262</f>
        <v>758.005060250953</v>
      </c>
      <c r="AZ325" s="27" t="n">
        <f aca="false">AY262</f>
        <v>796.60889377103</v>
      </c>
      <c r="BA325" s="27" t="n">
        <f aca="false">AZ262</f>
        <v>834.223654674603</v>
      </c>
      <c r="BB325" s="27" t="n">
        <f aca="false">BA262</f>
        <v>879.638760505034</v>
      </c>
    </row>
    <row r="326" customFormat="false" ht="15" hidden="false" customHeight="true" outlineLevel="0" collapsed="false">
      <c r="B326" s="20" t="s">
        <v>456</v>
      </c>
      <c r="AD326" s="26" t="n">
        <f aca="false">AD262-AC262-N(AD104)</f>
        <v>62.112</v>
      </c>
      <c r="AF326" s="26" t="n">
        <f aca="false">AF262-AD262-N(AF104)</f>
        <v>78.042</v>
      </c>
      <c r="AG326" s="26" t="n">
        <f aca="false">AG262-AF262-N(AG104)</f>
        <v>69.2</v>
      </c>
      <c r="AI326" s="26" t="n">
        <f aca="false">AI262-AG262-N(AI104)</f>
        <v>86.029</v>
      </c>
      <c r="AJ326" s="26" t="n">
        <f aca="false">AJ262-AI262-N(AJ104)</f>
        <v>105.496</v>
      </c>
      <c r="AL326" s="26" t="n">
        <f aca="false">AL262-AJ262-N(AL104)</f>
        <v>44.223</v>
      </c>
      <c r="AM326" s="26" t="n">
        <f aca="false">AM262-AL262-N(AM104)</f>
        <v>19.267</v>
      </c>
      <c r="AO326" s="26" t="n">
        <f aca="false">AO262-AM262-N(AO104)</f>
        <v>97.53</v>
      </c>
      <c r="AP326" s="26" t="n">
        <f aca="false">AP262-AO262-N(AP104)</f>
        <v>131.274</v>
      </c>
      <c r="AR326" s="26" t="n">
        <f aca="false">AR262-AP262-N(AR104)</f>
        <v>133.144</v>
      </c>
      <c r="AS326" s="26" t="n">
        <f aca="false">AS262-AR262-N(AS104)</f>
        <v>177.514</v>
      </c>
      <c r="AU326" s="26" t="n">
        <f aca="false">AU262-AS262-N(AU104)</f>
        <v>112.737</v>
      </c>
      <c r="AV326" s="26" t="n">
        <f aca="false">AV262-AU262-N(AV104)</f>
        <v>93.1660000000001</v>
      </c>
      <c r="AW326" s="27" t="n">
        <f aca="false">AW111*AW327</f>
        <v>85.872699</v>
      </c>
      <c r="AY326" s="27" t="n">
        <f aca="false">AY111*AY327</f>
        <v>193.994870871523</v>
      </c>
      <c r="AZ326" s="27" t="n">
        <f aca="false">AZ111*AZ327</f>
        <v>200.919584126634</v>
      </c>
      <c r="BA326" s="27" t="n">
        <f aca="false">BA111*BA327</f>
        <v>216.430955038724</v>
      </c>
      <c r="BB326" s="27" t="n">
        <f aca="false">BB111*BB327</f>
        <v>221.39651035013</v>
      </c>
      <c r="BC326" s="18" t="s">
        <v>457</v>
      </c>
    </row>
    <row r="327" customFormat="false" ht="15" hidden="false" customHeight="true" outlineLevel="0" collapsed="false">
      <c r="B327" s="31" t="s">
        <v>458</v>
      </c>
      <c r="AD327" s="32" t="n">
        <f aca="false">IFERROR(AD326/AD111,"")</f>
        <v>0.302774162413536</v>
      </c>
      <c r="AF327" s="32" t="n">
        <f aca="false">IFERROR(AF326/AF111,"")</f>
        <v>0.143456130643937</v>
      </c>
      <c r="AG327" s="32" t="n">
        <f aca="false">IFERROR(AG326/AG111,"")</f>
        <v>0.22054792774187</v>
      </c>
      <c r="AI327" s="32" t="n">
        <f aca="false">IFERROR(AI326/AI111,"")</f>
        <v>0.120796878312896</v>
      </c>
      <c r="AJ327" s="32" t="n">
        <f aca="false">IFERROR(AJ326/AJ111,"")</f>
        <v>0.253988737399394</v>
      </c>
      <c r="AL327" s="32" t="n">
        <f aca="false">IFERROR(AL326/AL111,"")</f>
        <v>0.048083739621706</v>
      </c>
      <c r="AM327" s="32" t="n">
        <f aca="false">IFERROR(AM326/AM111,"")</f>
        <v>0.0354210559214033</v>
      </c>
      <c r="AO327" s="32" t="n">
        <f aca="false">IFERROR(AO326/AO111,"")</f>
        <v>0.0855961805128925</v>
      </c>
      <c r="AP327" s="32" t="n">
        <f aca="false">IFERROR(AP326/AP111,"")</f>
        <v>0.211506423786215</v>
      </c>
      <c r="AR327" s="32" t="n">
        <f aca="false">IFERROR(AR326/AR111,"")</f>
        <v>0.104137531872292</v>
      </c>
      <c r="AS327" s="32" t="n">
        <f aca="false">IFERROR(AS326/AS111,"")</f>
        <v>0.259472180198353</v>
      </c>
      <c r="AU327" s="32" t="n">
        <f aca="false">IFERROR(AU326/AU111,"")</f>
        <v>0.0800716786308614</v>
      </c>
      <c r="AV327" s="32" t="n">
        <f aca="false">IFERROR(AV326/AV111,"")</f>
        <v>0.12431896516064</v>
      </c>
      <c r="AW327" s="43" t="n">
        <v>0.11</v>
      </c>
      <c r="AY327" s="43" t="n">
        <v>0.115</v>
      </c>
      <c r="AZ327" s="43" t="n">
        <v>0.11</v>
      </c>
      <c r="BA327" s="43" t="n">
        <v>0.11</v>
      </c>
      <c r="BB327" s="43" t="n">
        <v>0.105</v>
      </c>
      <c r="BC327" s="18" t="s">
        <v>459</v>
      </c>
    </row>
    <row r="328" customFormat="false" ht="15" hidden="false" customHeight="true" outlineLevel="0" collapsed="false">
      <c r="B328" s="20" t="s">
        <v>460</v>
      </c>
      <c r="AW328" s="27" t="n">
        <f aca="false">AW104</f>
        <v>-69.8706387490472</v>
      </c>
      <c r="AY328" s="27" t="n">
        <f aca="false">AY104</f>
        <v>-155.391037351445</v>
      </c>
      <c r="AZ328" s="27" t="n">
        <f aca="false">AZ104</f>
        <v>-163.304823223061</v>
      </c>
      <c r="BA328" s="27" t="n">
        <f aca="false">BA104</f>
        <v>-171.015849208294</v>
      </c>
      <c r="BB328" s="27" t="n">
        <f aca="false">BB104</f>
        <v>-180.325945903532</v>
      </c>
    </row>
    <row r="329" customFormat="false" ht="15" hidden="false" customHeight="true" outlineLevel="0" collapsed="false">
      <c r="B329" s="14" t="s">
        <v>461</v>
      </c>
      <c r="AW329" s="36" t="n">
        <f aca="false">AW325+AW326+AW328</f>
        <v>758.005060250953</v>
      </c>
      <c r="AY329" s="36" t="n">
        <f aca="false">AY325+AY326+AY328</f>
        <v>796.60889377103</v>
      </c>
      <c r="AZ329" s="36" t="n">
        <f aca="false">AZ325+AZ326+AZ328</f>
        <v>834.223654674603</v>
      </c>
      <c r="BA329" s="36" t="n">
        <f aca="false">BA325+BA326+BA328</f>
        <v>879.638760505034</v>
      </c>
      <c r="BB329" s="36" t="n">
        <f aca="false">BB325+BB326+BB328</f>
        <v>920.709324951632</v>
      </c>
    </row>
    <row r="330" customFormat="false" ht="15" hidden="false" customHeight="true" outlineLevel="0" collapsed="false">
      <c r="B330" s="20" t="s">
        <v>462</v>
      </c>
      <c r="AW330" s="27" t="n">
        <f aca="false">AV304</f>
        <v>821.962</v>
      </c>
      <c r="AY330" s="27" t="n">
        <f aca="false">AX304</f>
        <v>837.5023218</v>
      </c>
      <c r="AZ330" s="27" t="n">
        <f aca="false">AY304</f>
        <v>876.106155320077</v>
      </c>
      <c r="BA330" s="27" t="n">
        <f aca="false">AZ304</f>
        <v>913.72091622365</v>
      </c>
      <c r="BB330" s="27" t="n">
        <f aca="false">BA304</f>
        <v>959.136022054081</v>
      </c>
    </row>
    <row r="331" customFormat="false" ht="15" hidden="false" customHeight="true" outlineLevel="0" collapsed="false">
      <c r="B331" s="20" t="s">
        <v>463</v>
      </c>
      <c r="AW331" s="27" t="n">
        <f aca="false">AW326</f>
        <v>85.872699</v>
      </c>
      <c r="AY331" s="27" t="n">
        <f aca="false">AY326</f>
        <v>193.994870871523</v>
      </c>
      <c r="AZ331" s="27" t="n">
        <f aca="false">AZ326</f>
        <v>200.919584126634</v>
      </c>
      <c r="BA331" s="27" t="n">
        <f aca="false">BA326</f>
        <v>216.430955038724</v>
      </c>
      <c r="BB331" s="27" t="n">
        <f aca="false">BB326</f>
        <v>221.39651035013</v>
      </c>
    </row>
    <row r="332" customFormat="false" ht="15" hidden="false" customHeight="true" outlineLevel="0" collapsed="false">
      <c r="B332" s="20" t="s">
        <v>464</v>
      </c>
      <c r="AA332" s="26" t="n">
        <f aca="false">AA347</f>
        <v>5.045</v>
      </c>
      <c r="AC332" s="26" t="n">
        <f aca="false">AC347</f>
        <v>10.463</v>
      </c>
      <c r="AD332" s="26" t="n">
        <f aca="false">AD347</f>
        <v>5.491</v>
      </c>
      <c r="AF332" s="26" t="n">
        <f aca="false">AF347</f>
        <v>10.705</v>
      </c>
      <c r="AG332" s="26" t="n">
        <f aca="false">AG347</f>
        <v>5.128</v>
      </c>
      <c r="AI332" s="26" t="n">
        <f aca="false">AI347</f>
        <v>10.578</v>
      </c>
      <c r="AJ332" s="26" t="n">
        <f aca="false">AJ347</f>
        <v>5.557</v>
      </c>
      <c r="AL332" s="26" t="n">
        <f aca="false">AL347</f>
        <v>11.753</v>
      </c>
      <c r="AM332" s="26" t="n">
        <f aca="false">AM347</f>
        <v>5.949</v>
      </c>
      <c r="AO332" s="26" t="n">
        <f aca="false">AO347</f>
        <v>12.944</v>
      </c>
      <c r="AP332" s="26" t="n">
        <f aca="false">AP347</f>
        <v>9.157</v>
      </c>
      <c r="AR332" s="26" t="n">
        <f aca="false">AR347</f>
        <v>20.218</v>
      </c>
      <c r="AS332" s="26" t="n">
        <f aca="false">AS347</f>
        <v>13.028</v>
      </c>
      <c r="AU332" s="26" t="n">
        <f aca="false">AU347</f>
        <v>26.99</v>
      </c>
      <c r="AV332" s="26" t="n">
        <f aca="false">AV347</f>
        <v>13.979</v>
      </c>
      <c r="AW332" s="27" t="n">
        <f aca="false">AV347</f>
        <v>13.979</v>
      </c>
      <c r="AX332" s="27" t="n">
        <f aca="false">AV332+AW332</f>
        <v>27.958</v>
      </c>
      <c r="AY332" s="27" t="n">
        <f aca="false">AY330*AY333</f>
        <v>33.500092872</v>
      </c>
      <c r="AZ332" s="27" t="n">
        <f aca="false">AZ330*AZ333</f>
        <v>35.0442462128031</v>
      </c>
      <c r="BA332" s="27" t="n">
        <f aca="false">BA330*BA333</f>
        <v>36.548836648946</v>
      </c>
      <c r="BB332" s="27" t="n">
        <f aca="false">BB330*BB333</f>
        <v>38.3654408821633</v>
      </c>
    </row>
    <row r="333" customFormat="false" ht="15" hidden="false" customHeight="true" outlineLevel="0" collapsed="false">
      <c r="B333" s="31" t="s">
        <v>465</v>
      </c>
      <c r="AF333" s="32" t="n">
        <f aca="false">IFERROR(AF332/AC304,"")</f>
        <v>0.0237110639080175</v>
      </c>
      <c r="AI333" s="32" t="n">
        <f aca="false">IFERROR(AI332/AF304,"")</f>
        <v>0.0206453174280986</v>
      </c>
      <c r="AL333" s="32" t="n">
        <f aca="false">IFERROR(AL332/AI304,"")</f>
        <v>0.0213938688990704</v>
      </c>
      <c r="AO333" s="32" t="n">
        <f aca="false">IFERROR(AO332/AL304,"")</f>
        <v>0.0229098561585283</v>
      </c>
      <c r="AR333" s="32" t="n">
        <f aca="false">IFERROR(AR332/AO304,"")</f>
        <v>0.0362397942265122</v>
      </c>
      <c r="AU333" s="32" t="n">
        <f aca="false">IFERROR(AU332/AR304,"")</f>
        <v>0.0397584735338787</v>
      </c>
      <c r="AY333" s="43" t="n">
        <v>0.04</v>
      </c>
      <c r="AZ333" s="43" t="n">
        <v>0.04</v>
      </c>
      <c r="BA333" s="43" t="n">
        <v>0.04</v>
      </c>
      <c r="BB333" s="43" t="n">
        <v>0.04</v>
      </c>
      <c r="BC333" s="18" t="s">
        <v>466</v>
      </c>
    </row>
    <row r="334" customFormat="false" ht="15" hidden="false" customHeight="true" outlineLevel="0" collapsed="false">
      <c r="B334" s="20" t="s">
        <v>467</v>
      </c>
      <c r="C334" s="26" t="str">
        <f aca="false">IF(ISNUMBER(C160),-C160,"")</f>
        <v/>
      </c>
      <c r="D334" s="26" t="str">
        <f aca="false">IF(ISNUMBER(D160),-D160,"")</f>
        <v/>
      </c>
      <c r="E334" s="26" t="str">
        <f aca="false">IF(ISNUMBER(E160),-E160,"")</f>
        <v/>
      </c>
      <c r="F334" s="26" t="str">
        <f aca="false">IF(ISNUMBER(F160),-F160,"")</f>
        <v/>
      </c>
      <c r="G334" s="26" t="str">
        <f aca="false">IF(ISNUMBER(G160),-G160,"")</f>
        <v/>
      </c>
      <c r="H334" s="26" t="str">
        <f aca="false">IF(ISNUMBER(H160),-H160,"")</f>
        <v/>
      </c>
      <c r="I334" s="26" t="str">
        <f aca="false">IF(ISNUMBER(I160),-I160,"")</f>
        <v/>
      </c>
      <c r="J334" s="26" t="str">
        <f aca="false">IF(ISNUMBER(J160),-J160,"")</f>
        <v/>
      </c>
      <c r="K334" s="26" t="str">
        <f aca="false">IF(ISNUMBER(K160),-K160,"")</f>
        <v/>
      </c>
      <c r="L334" s="26" t="str">
        <f aca="false">IF(ISNUMBER(L160),-L160,"")</f>
        <v/>
      </c>
      <c r="M334" s="26" t="str">
        <f aca="false">IF(ISNUMBER(M160),-M160,"")</f>
        <v/>
      </c>
      <c r="N334" s="26" t="str">
        <f aca="false">IF(ISNUMBER(N160),-N160,"")</f>
        <v/>
      </c>
      <c r="O334" s="26" t="str">
        <f aca="false">IF(ISNUMBER(O160),-O160,"")</f>
        <v/>
      </c>
      <c r="P334" s="26" t="str">
        <f aca="false">IF(ISNUMBER(P160),-P160,"")</f>
        <v/>
      </c>
      <c r="Q334" s="26" t="str">
        <f aca="false">IF(ISNUMBER(Q160),-Q160,"")</f>
        <v/>
      </c>
      <c r="R334" s="26" t="str">
        <f aca="false">IF(ISNUMBER(R160),-R160,"")</f>
        <v/>
      </c>
      <c r="S334" s="26" t="str">
        <f aca="false">IF(ISNUMBER(S160),-S160,"")</f>
        <v/>
      </c>
      <c r="T334" s="26" t="str">
        <f aca="false">IF(ISNUMBER(T160),-T160,"")</f>
        <v/>
      </c>
      <c r="U334" s="26" t="str">
        <f aca="false">IF(ISNUMBER(U160),-U160,"")</f>
        <v/>
      </c>
      <c r="V334" s="26" t="str">
        <f aca="false">IF(ISNUMBER(V160),-V160,"")</f>
        <v/>
      </c>
      <c r="W334" s="26" t="str">
        <f aca="false">IF(ISNUMBER(W160),-W160,"")</f>
        <v/>
      </c>
      <c r="X334" s="26" t="str">
        <f aca="false">IF(ISNUMBER(X160),-X160,"")</f>
        <v/>
      </c>
      <c r="Y334" s="26" t="str">
        <f aca="false">IF(ISNUMBER(Y160),-Y160,"")</f>
        <v/>
      </c>
      <c r="Z334" s="26" t="str">
        <f aca="false">IF(ISNUMBER(Z160),-Z160,"")</f>
        <v/>
      </c>
      <c r="AA334" s="26" t="n">
        <f aca="false">IF(ISNUMBER(AA160),-AA160,"")</f>
        <v>29.362</v>
      </c>
      <c r="AB334" s="26" t="n">
        <f aca="false">IF(ISNUMBER(AB160),-AB160,"")</f>
        <v>34.206</v>
      </c>
      <c r="AC334" s="26" t="n">
        <f aca="false">IF(ISNUMBER(AC160),-AC160,"")</f>
        <v>63.568</v>
      </c>
      <c r="AD334" s="26" t="n">
        <f aca="false">IF(ISNUMBER(AD160),-AD160,"")</f>
        <v>39.982</v>
      </c>
      <c r="AE334" s="26" t="n">
        <f aca="false">IF(ISNUMBER(AE160),-AE160,"")</f>
        <v>38.505</v>
      </c>
      <c r="AF334" s="26" t="n">
        <f aca="false">IF(ISNUMBER(AF160),-AF160,"")</f>
        <v>78.487</v>
      </c>
      <c r="AG334" s="26" t="n">
        <f aca="false">IF(ISNUMBER(AG160),-AG160,"")</f>
        <v>41.491</v>
      </c>
      <c r="AH334" s="26" t="n">
        <f aca="false">IF(ISNUMBER(AH160),-AH160,"")</f>
        <v>43.199</v>
      </c>
      <c r="AI334" s="26" t="n">
        <f aca="false">IF(ISNUMBER(AI160),-AI160,"")</f>
        <v>84.69</v>
      </c>
      <c r="AJ334" s="26" t="n">
        <f aca="false">IF(ISNUMBER(AJ160),-AJ160,"")</f>
        <v>45.197</v>
      </c>
      <c r="AK334" s="26" t="n">
        <f aca="false">IF(ISNUMBER(AK160),-AK160,"")</f>
        <v>49.816</v>
      </c>
      <c r="AL334" s="26" t="n">
        <f aca="false">IF(ISNUMBER(AL160),-AL160,"")</f>
        <v>95.013</v>
      </c>
      <c r="AM334" s="26" t="n">
        <f aca="false">IF(ISNUMBER(AM160),-AM160,"")</f>
        <v>50.62</v>
      </c>
      <c r="AN334" s="26" t="n">
        <f aca="false">IF(ISNUMBER(AN160),-AN160,"")</f>
        <v>53.794</v>
      </c>
      <c r="AO334" s="26" t="n">
        <f aca="false">IF(ISNUMBER(AO160),-AO160,"")</f>
        <v>104.414</v>
      </c>
      <c r="AP334" s="26" t="n">
        <f aca="false">IF(ISNUMBER(AP160),-AP160,"")</f>
        <v>57.995</v>
      </c>
      <c r="AQ334" s="26" t="n">
        <f aca="false">IF(ISNUMBER(AQ160),-AQ160,"")</f>
        <v>63.657</v>
      </c>
      <c r="AR334" s="26" t="n">
        <f aca="false">IF(ISNUMBER(AR160),-AR160,"")</f>
        <v>121.652</v>
      </c>
      <c r="AS334" s="26" t="n">
        <f aca="false">IF(ISNUMBER(AS160),-AS160,"")</f>
        <v>72.862</v>
      </c>
      <c r="AT334" s="26" t="n">
        <f aca="false">IF(ISNUMBER(AT160),-AT160,"")</f>
        <v>77.804</v>
      </c>
      <c r="AU334" s="26" t="n">
        <f aca="false">IF(ISNUMBER(AU160),-AU160,"")</f>
        <v>150.666</v>
      </c>
      <c r="AV334" s="26" t="n">
        <f aca="false">IF(ISNUMBER(AV160),-AV160,"")</f>
        <v>80.947</v>
      </c>
      <c r="AW334" s="27" t="n">
        <f aca="false">AW111*AW335</f>
        <v>84.3113772</v>
      </c>
      <c r="AX334" s="27" t="n">
        <f aca="false">AV334+AW334</f>
        <v>165.2583772</v>
      </c>
      <c r="AY334" s="27" t="n">
        <f aca="false">-AY104+AY332</f>
        <v>188.891130223445</v>
      </c>
      <c r="AZ334" s="27" t="n">
        <f aca="false">-AZ104+AZ332</f>
        <v>198.349069435864</v>
      </c>
      <c r="BA334" s="27" t="n">
        <f aca="false">-BA104+BA332</f>
        <v>207.56468585724</v>
      </c>
      <c r="BB334" s="27" t="n">
        <f aca="false">-BB104+BB332</f>
        <v>218.691386785695</v>
      </c>
      <c r="BC334" s="18" t="s">
        <v>468</v>
      </c>
    </row>
    <row r="335" customFormat="false" ht="15" hidden="false" customHeight="true" outlineLevel="0" collapsed="false">
      <c r="B335" s="31" t="s">
        <v>469</v>
      </c>
      <c r="C335" s="32" t="str">
        <f aca="false">IFERROR(C334/C111,"")</f>
        <v/>
      </c>
      <c r="D335" s="32" t="str">
        <f aca="false">IFERROR(D334/D111,"")</f>
        <v/>
      </c>
      <c r="E335" s="32" t="str">
        <f aca="false">IFERROR(E334/E111,"")</f>
        <v/>
      </c>
      <c r="F335" s="32" t="str">
        <f aca="false">IFERROR(F334/F111,"")</f>
        <v/>
      </c>
      <c r="G335" s="32" t="str">
        <f aca="false">IFERROR(G334/G111,"")</f>
        <v/>
      </c>
      <c r="H335" s="32" t="str">
        <f aca="false">IFERROR(H334/H111,"")</f>
        <v/>
      </c>
      <c r="I335" s="32" t="str">
        <f aca="false">IFERROR(I334/I111,"")</f>
        <v/>
      </c>
      <c r="J335" s="32" t="str">
        <f aca="false">IFERROR(J334/J111,"")</f>
        <v/>
      </c>
      <c r="K335" s="32" t="str">
        <f aca="false">IFERROR(K334/K111,"")</f>
        <v/>
      </c>
      <c r="L335" s="32" t="str">
        <f aca="false">IFERROR(L334/L111,"")</f>
        <v/>
      </c>
      <c r="M335" s="32" t="str">
        <f aca="false">IFERROR(M334/M111,"")</f>
        <v/>
      </c>
      <c r="N335" s="32" t="str">
        <f aca="false">IFERROR(N334/N111,"")</f>
        <v/>
      </c>
      <c r="O335" s="32" t="str">
        <f aca="false">IFERROR(O334/O111,"")</f>
        <v/>
      </c>
      <c r="P335" s="32" t="str">
        <f aca="false">IFERROR(P334/P111,"")</f>
        <v/>
      </c>
      <c r="Q335" s="32" t="str">
        <f aca="false">IFERROR(Q334/Q111,"")</f>
        <v/>
      </c>
      <c r="R335" s="32" t="str">
        <f aca="false">IFERROR(R334/R111,"")</f>
        <v/>
      </c>
      <c r="S335" s="32" t="str">
        <f aca="false">IFERROR(S334/S111,"")</f>
        <v/>
      </c>
      <c r="T335" s="32" t="str">
        <f aca="false">IFERROR(T334/T111,"")</f>
        <v/>
      </c>
      <c r="U335" s="32" t="str">
        <f aca="false">IFERROR(U334/U111,"")</f>
        <v/>
      </c>
      <c r="V335" s="32" t="str">
        <f aca="false">IFERROR(V334/V111,"")</f>
        <v/>
      </c>
      <c r="W335" s="32" t="str">
        <f aca="false">IFERROR(W334/W111,"")</f>
        <v/>
      </c>
      <c r="X335" s="32" t="str">
        <f aca="false">IFERROR(X334/X111,"")</f>
        <v/>
      </c>
      <c r="Y335" s="32" t="str">
        <f aca="false">IFERROR(Y334/Y111,"")</f>
        <v/>
      </c>
      <c r="Z335" s="32" t="str">
        <f aca="false">IFERROR(Z334/Z111,"")</f>
        <v/>
      </c>
      <c r="AA335" s="32" t="n">
        <f aca="false">IFERROR(AA334/AA111,"")</f>
        <v>0.100757344387519</v>
      </c>
      <c r="AB335" s="32" t="n">
        <f aca="false">IFERROR(AB334/AB111,"")</f>
        <v>0.108127758038616</v>
      </c>
      <c r="AC335" s="32" t="n">
        <f aca="false">IFERROR(AC334/AC111,"")</f>
        <v>0.104593746554978</v>
      </c>
      <c r="AD335" s="32" t="n">
        <f aca="false">IFERROR(AD334/AD111,"")</f>
        <v>0.194898192967832</v>
      </c>
      <c r="AE335" s="32" t="n">
        <f aca="false">IFERROR(AE334/AE111,"")</f>
        <v>0.113627644819547</v>
      </c>
      <c r="AF335" s="32" t="n">
        <f aca="false">IFERROR(AF334/AF111,"")</f>
        <v>0.144274125802141</v>
      </c>
      <c r="AG335" s="32" t="n">
        <f aca="false">IFERROR(AG334/AG111,"")</f>
        <v>0.132236330490432</v>
      </c>
      <c r="AH335" s="32" t="n">
        <f aca="false">IFERROR(AH334/AH111,"")</f>
        <v>0.108427142552364</v>
      </c>
      <c r="AI335" s="32" t="n">
        <f aca="false">IFERROR(AI334/AI111,"")</f>
        <v>0.118916733012347</v>
      </c>
      <c r="AJ335" s="32" t="n">
        <f aca="false">IFERROR(AJ334/AJ111,"")</f>
        <v>0.108814826763483</v>
      </c>
      <c r="AK335" s="32" t="n">
        <f aca="false">IFERROR(AK334/AK111,"")</f>
        <v>0.0987724818628297</v>
      </c>
      <c r="AL335" s="32" t="n">
        <f aca="false">IFERROR(AL334/AL111,"")</f>
        <v>0.103307788993898</v>
      </c>
      <c r="AM335" s="32" t="n">
        <f aca="false">IFERROR(AM334/AM111,"")</f>
        <v>0.0930613925749436</v>
      </c>
      <c r="AN335" s="32" t="n">
        <f aca="false">IFERROR(AN334/AN111,"")</f>
        <v>0.0903375103698206</v>
      </c>
      <c r="AO335" s="32" t="n">
        <f aca="false">IFERROR(AO334/AO111,"")</f>
        <v>0.0916378508363904</v>
      </c>
      <c r="AP335" s="32" t="n">
        <f aca="false">IFERROR(AP334/AP111,"")</f>
        <v>0.0934405521846029</v>
      </c>
      <c r="AQ335" s="32" t="n">
        <f aca="false">IFERROR(AQ334/AQ111,"")</f>
        <v>0.0967611016024248</v>
      </c>
      <c r="AR335" s="32" t="n">
        <f aca="false">IFERROR(AR334/AR111,"")</f>
        <v>0.0951491545043565</v>
      </c>
      <c r="AS335" s="32" t="n">
        <f aca="false">IFERROR(AS334/AS111,"")</f>
        <v>0.106502371607943</v>
      </c>
      <c r="AT335" s="32" t="n">
        <f aca="false">IFERROR(AT334/AT111,"")</f>
        <v>0.107491406655835</v>
      </c>
      <c r="AU335" s="32" t="n">
        <f aca="false">IFERROR(AU334/AU111,"")</f>
        <v>0.107010826371088</v>
      </c>
      <c r="AV335" s="32" t="n">
        <f aca="false">IFERROR(AV334/AV111,"")</f>
        <v>0.10801416045401</v>
      </c>
      <c r="AW335" s="43" t="n">
        <v>0.108</v>
      </c>
      <c r="AX335" s="33" t="n">
        <f aca="false">IFERROR(AX334/AX111,"")</f>
        <v>0.108006935621784</v>
      </c>
      <c r="AY335" s="33" t="n">
        <f aca="false">IFERROR(AY334/AY111,"")</f>
        <v>0.111974506738801</v>
      </c>
      <c r="AZ335" s="33" t="n">
        <f aca="false">IFERROR(AZ334/AZ111,"")</f>
        <v>0.108592687630657</v>
      </c>
      <c r="BA335" s="33" t="n">
        <f aca="false">IFERROR(BA334/BA111,"")</f>
        <v>0.10549376100203</v>
      </c>
      <c r="BB335" s="33" t="n">
        <f aca="false">IFERROR(BB334/BB111,"")</f>
        <v>0.103717062099053</v>
      </c>
      <c r="BC335" s="18" t="s">
        <v>470</v>
      </c>
    </row>
    <row r="336" customFormat="false" ht="15" hidden="false" customHeight="true" outlineLevel="0" collapsed="false">
      <c r="B336" s="14" t="s">
        <v>471</v>
      </c>
      <c r="AW336" s="36" t="n">
        <f aca="false">AW330+AW331+AW332-AW334</f>
        <v>837.5023218</v>
      </c>
      <c r="AY336" s="36" t="n">
        <f aca="false">AY330+AY331+AY332-AY334</f>
        <v>876.106155320077</v>
      </c>
      <c r="AZ336" s="36" t="n">
        <f aca="false">AZ330+AZ331+AZ332-AZ334</f>
        <v>913.72091622365</v>
      </c>
      <c r="BA336" s="36" t="n">
        <f aca="false">BA330+BA331+BA332-BA334</f>
        <v>959.136022054081</v>
      </c>
      <c r="BB336" s="36" t="n">
        <f aca="false">BB330+BB331+BB332-BB334</f>
        <v>1000.20658650068</v>
      </c>
    </row>
    <row r="337" customFormat="false" ht="15" hidden="false" customHeight="true" outlineLevel="0" collapsed="false">
      <c r="B337" s="31" t="s">
        <v>472</v>
      </c>
      <c r="AA337" s="32" t="n">
        <f aca="false">IFERROR(AA282/AA304,"")</f>
        <v>0.866283197863238</v>
      </c>
      <c r="AB337" s="32" t="n">
        <f aca="false">IFERROR(AB282/AB304,"")</f>
        <v>0.861208876642664</v>
      </c>
      <c r="AC337" s="32" t="n">
        <f aca="false">IFERROR(AC282/AC304,"")</f>
        <v>0.861208876642664</v>
      </c>
      <c r="AD337" s="32" t="n">
        <f aca="false">IFERROR(AD282/AD304,"")</f>
        <v>0.852402437341823</v>
      </c>
      <c r="AE337" s="32" t="n">
        <f aca="false">IFERROR(AE282/AE304,"")</f>
        <v>0.852816725478562</v>
      </c>
      <c r="AF337" s="32" t="n">
        <f aca="false">IFERROR(AF282/AF304,"")</f>
        <v>0.852816725478562</v>
      </c>
      <c r="AG337" s="32" t="n">
        <f aca="false">IFERROR(AG282/AG304,"")</f>
        <v>0.852465288965699</v>
      </c>
      <c r="AH337" s="32" t="n">
        <f aca="false">IFERROR(AH282/AH304,"")</f>
        <v>0.855086709516294</v>
      </c>
      <c r="AI337" s="32" t="n">
        <f aca="false">IFERROR(AI282/AI304,"")</f>
        <v>0.855086709516294</v>
      </c>
      <c r="AJ337" s="32" t="n">
        <f aca="false">IFERROR(AJ282/AJ304,"")</f>
        <v>0.850770653924479</v>
      </c>
      <c r="AK337" s="32" t="n">
        <f aca="false">IFERROR(AK282/AK304,"")</f>
        <v>0.840590304019314</v>
      </c>
      <c r="AL337" s="32" t="n">
        <f aca="false">IFERROR(AL282/AL304,"")</f>
        <v>0.840590304019314</v>
      </c>
      <c r="AM337" s="32" t="n">
        <f aca="false">IFERROR(AM282/AM304,"")</f>
        <v>0.822673195469036</v>
      </c>
      <c r="AN337" s="32" t="n">
        <f aca="false">IFERROR(AN282/AN304,"")</f>
        <v>0.825239516396455</v>
      </c>
      <c r="AO337" s="32" t="n">
        <f aca="false">IFERROR(AO282/AO304,"")</f>
        <v>0.825239516396455</v>
      </c>
      <c r="AP337" s="32" t="n">
        <f aca="false">IFERROR(AP282/AP304,"")</f>
        <v>0.843864576689088</v>
      </c>
      <c r="AQ337" s="32" t="n">
        <f aca="false">IFERROR(AQ282/AQ304,"")</f>
        <v>0.84365595294388</v>
      </c>
      <c r="AR337" s="32" t="n">
        <f aca="false">IFERROR(AR282/AR304,"")</f>
        <v>0.84365595294388</v>
      </c>
      <c r="AS337" s="32" t="n">
        <f aca="false">IFERROR(AS282/AS304,"")</f>
        <v>0.860204388110256</v>
      </c>
      <c r="AT337" s="32" t="n">
        <f aca="false">IFERROR(AT282/AT304,"")</f>
        <v>0.853395326384522</v>
      </c>
      <c r="AU337" s="32" t="n">
        <f aca="false">IFERROR(AU282/AU304,"")</f>
        <v>0.853395326384522</v>
      </c>
      <c r="AV337" s="32" t="n">
        <f aca="false">IFERROR(AV282/AV304,"")</f>
        <v>0.843350422525616</v>
      </c>
      <c r="AW337" s="33" t="n">
        <f aca="false">AU337</f>
        <v>0.853395326384522</v>
      </c>
      <c r="AX337" s="33" t="n">
        <f aca="false">AU337</f>
        <v>0.853395326384522</v>
      </c>
      <c r="AY337" s="33" t="n">
        <f aca="false">AU337</f>
        <v>0.853395326384522</v>
      </c>
      <c r="AZ337" s="33" t="n">
        <f aca="false">AU337</f>
        <v>0.853395326384522</v>
      </c>
      <c r="BA337" s="33" t="n">
        <f aca="false">AU337</f>
        <v>0.853395326384522</v>
      </c>
      <c r="BB337" s="33" t="n">
        <f aca="false">AU337</f>
        <v>0.853395326384522</v>
      </c>
    </row>
    <row r="338" customFormat="false" ht="15" hidden="false" customHeight="true" outlineLevel="0" collapsed="false">
      <c r="B338" s="40" t="s">
        <v>473</v>
      </c>
    </row>
    <row r="339" customFormat="false" ht="15" hidden="false" customHeight="true" outlineLevel="0" collapsed="false">
      <c r="B339" s="20" t="s">
        <v>474</v>
      </c>
      <c r="AW339" s="27" t="n">
        <f aca="false">AV271+AW220+AW225+AW227+AW228+AW229+AW230+AW233</f>
        <v>264.969364478081</v>
      </c>
      <c r="AY339" s="27" t="n">
        <f aca="false">AX271+AY220+AY225+AY227+AY228+AY229+AY230+AY233</f>
        <v>162.343547351234</v>
      </c>
      <c r="AZ339" s="27" t="n">
        <f aca="false">AY271+AZ220+AZ225+AZ227+AZ228+AZ229+AZ230+AZ233</f>
        <v>177.796370604112</v>
      </c>
      <c r="BA339" s="27" t="n">
        <f aca="false">AZ271+BA220+BA225+BA227+BA228+BA229+BA230+BA233</f>
        <v>186.256256917909</v>
      </c>
      <c r="BB339" s="27" t="n">
        <f aca="false">BA271+BB220+BB225+BB227+BB228+BB229+BB230+BB233</f>
        <v>193.96210511422</v>
      </c>
    </row>
    <row r="340" customFormat="false" ht="15" hidden="false" customHeight="true" outlineLevel="0" collapsed="false">
      <c r="B340" s="20" t="s">
        <v>475</v>
      </c>
      <c r="AW340" s="50" t="n">
        <v>150</v>
      </c>
      <c r="AY340" s="50" t="n">
        <v>150</v>
      </c>
      <c r="AZ340" s="50" t="n">
        <v>150</v>
      </c>
      <c r="BA340" s="50" t="n">
        <v>150</v>
      </c>
      <c r="BB340" s="50" t="n">
        <v>150</v>
      </c>
      <c r="BC340" s="18" t="s">
        <v>476</v>
      </c>
    </row>
    <row r="341" customFormat="false" ht="15" hidden="false" customHeight="true" outlineLevel="0" collapsed="false">
      <c r="B341" s="14" t="s">
        <v>477</v>
      </c>
      <c r="AW341" s="36" t="n">
        <f aca="false">MAX(0,AV299+AW340-AW339)</f>
        <v>284.753635521919</v>
      </c>
      <c r="AY341" s="36" t="n">
        <f aca="false">MAX(0,AX299+AY340-AY339)</f>
        <v>272.410088170685</v>
      </c>
      <c r="AZ341" s="36" t="n">
        <f aca="false">MAX(0,AY299+AZ340-AZ339)</f>
        <v>244.613717566574</v>
      </c>
      <c r="BA341" s="36" t="n">
        <f aca="false">MAX(0,AZ299+BA340-BA339)</f>
        <v>208.357460648664</v>
      </c>
      <c r="BB341" s="36" t="n">
        <f aca="false">MAX(0,BA299+BB340-BB339)</f>
        <v>164.395355534444</v>
      </c>
      <c r="BC341" s="18" t="s">
        <v>478</v>
      </c>
    </row>
    <row r="342" customFormat="false" ht="15" hidden="false" customHeight="true" outlineLevel="0" collapsed="false">
      <c r="B342" s="31" t="s">
        <v>479</v>
      </c>
      <c r="C342" s="32" t="n">
        <f aca="false">IFERROR(C281/C299,"")</f>
        <v>0.33699417351744</v>
      </c>
      <c r="D342" s="32" t="n">
        <f aca="false">IFERROR(D281/D299,"")</f>
        <v>0.313642030276046</v>
      </c>
      <c r="E342" s="32" t="n">
        <f aca="false">IFERROR(E281/E299,"")</f>
        <v>0.313642030276046</v>
      </c>
      <c r="F342" s="32" t="n">
        <f aca="false">IFERROR(F281/F299,"")</f>
        <v>0.302120780242922</v>
      </c>
      <c r="G342" s="32" t="n">
        <f aca="false">IFERROR(G281/G299,"")</f>
        <v>0.289105097293782</v>
      </c>
      <c r="H342" s="32" t="n">
        <f aca="false">IFERROR(H281/H299,"")</f>
        <v>0.289105097293782</v>
      </c>
      <c r="I342" s="32" t="n">
        <f aca="false">IFERROR(I281/I299,"")</f>
        <v>0.155511498810468</v>
      </c>
      <c r="J342" s="32" t="n">
        <f aca="false">IFERROR(J281/J299,"")</f>
        <v>0.381489983305509</v>
      </c>
      <c r="K342" s="32" t="n">
        <f aca="false">IFERROR(K281/K299,"")</f>
        <v>0.381489983305509</v>
      </c>
      <c r="L342" s="32" t="n">
        <f aca="false">IFERROR(L281/L299,"")</f>
        <v>0.359877416864539</v>
      </c>
      <c r="M342" s="32" t="n">
        <f aca="false">IFERROR(M281/M299,"")</f>
        <v>0.4656698735177</v>
      </c>
      <c r="N342" s="32" t="n">
        <f aca="false">IFERROR(N281/N299,"")</f>
        <v>0.4656698735177</v>
      </c>
      <c r="O342" s="32" t="n">
        <f aca="false">IFERROR(O281/O299,"")</f>
        <v>0.420802097226694</v>
      </c>
      <c r="P342" s="32" t="n">
        <f aca="false">IFERROR(P281/P299,"")</f>
        <v>0.52467072539891</v>
      </c>
      <c r="Q342" s="32" t="n">
        <f aca="false">IFERROR(Q281/Q299,"")</f>
        <v>0.52467072539891</v>
      </c>
      <c r="R342" s="32" t="n">
        <f aca="false">IFERROR(R281/R299,"")</f>
        <v>0.38230185961791</v>
      </c>
      <c r="S342" s="32" t="n">
        <f aca="false">IFERROR(S281/S299,"")</f>
        <v>0.391245482664889</v>
      </c>
      <c r="T342" s="32" t="n">
        <f aca="false">IFERROR(T281/T299,"")</f>
        <v>0.391245482664889</v>
      </c>
      <c r="U342" s="32" t="n">
        <f aca="false">IFERROR(U281/U299,"")</f>
        <v>0.507249981575651</v>
      </c>
      <c r="V342" s="32" t="n">
        <f aca="false">IFERROR(V281/V299,"")</f>
        <v>0.49769407123054</v>
      </c>
      <c r="W342" s="32" t="n">
        <f aca="false">IFERROR(W281/W299,"")</f>
        <v>0.49769407123054</v>
      </c>
      <c r="X342" s="32" t="n">
        <f aca="false">IFERROR(X281/X299,"")</f>
        <v>0.40205259493813</v>
      </c>
      <c r="Y342" s="32" t="n">
        <f aca="false">IFERROR(Y281/Y299,"")</f>
        <v>0.336739596182562</v>
      </c>
      <c r="Z342" s="32" t="n">
        <f aca="false">IFERROR(Z281/Z299,"")</f>
        <v>0.336739596182562</v>
      </c>
      <c r="AA342" s="32" t="n">
        <f aca="false">IFERROR(AA281/AA299,"")</f>
        <v>0.345948633268526</v>
      </c>
      <c r="AB342" s="32" t="n">
        <f aca="false">IFERROR(AB281/AB299,"")</f>
        <v>0.29742048193947</v>
      </c>
      <c r="AC342" s="32" t="n">
        <f aca="false">IFERROR(AC281/AC299,"")</f>
        <v>0.29742048193947</v>
      </c>
      <c r="AD342" s="32" t="n">
        <f aca="false">IFERROR(AD281/AD299,"")</f>
        <v>0.545700752975468</v>
      </c>
      <c r="AE342" s="32" t="n">
        <f aca="false">IFERROR(AE281/AE299,"")</f>
        <v>0.364133462516653</v>
      </c>
      <c r="AF342" s="32" t="n">
        <f aca="false">IFERROR(AF281/AF299,"")</f>
        <v>0.364133462516653</v>
      </c>
      <c r="AG342" s="32" t="n">
        <f aca="false">IFERROR(AG281/AG299,"")</f>
        <v>0.299849341105722</v>
      </c>
      <c r="AH342" s="32" t="n">
        <f aca="false">IFERROR(AH281/AH299,"")</f>
        <v>0.629435032592631</v>
      </c>
      <c r="AI342" s="32" t="n">
        <f aca="false">IFERROR(AI281/AI299,"")</f>
        <v>0.629435032592631</v>
      </c>
      <c r="AJ342" s="32" t="n">
        <f aca="false">IFERROR(AJ281/AJ299,"")</f>
        <v>0.362749003984064</v>
      </c>
      <c r="AK342" s="32" t="n">
        <f aca="false">IFERROR(AK281/AK299,"")</f>
        <v>0.38211743772242</v>
      </c>
      <c r="AL342" s="32" t="n">
        <f aca="false">IFERROR(AL281/AL299,"")</f>
        <v>0.38211743772242</v>
      </c>
      <c r="AM342" s="32" t="n">
        <f aca="false">IFERROR(AM281/AM299,"")</f>
        <v>0.273256281892375</v>
      </c>
      <c r="AN342" s="32" t="n">
        <f aca="false">IFERROR(AN281/AN299,"")</f>
        <v>0.203110821883908</v>
      </c>
      <c r="AO342" s="32" t="n">
        <f aca="false">IFERROR(AO281/AO299,"")</f>
        <v>0.203110821883908</v>
      </c>
      <c r="AP342" s="32" t="n">
        <f aca="false">IFERROR(AP281/AP299,"")</f>
        <v>0.525069995717909</v>
      </c>
      <c r="AQ342" s="32" t="n">
        <f aca="false">IFERROR(AQ281/AQ299,"")</f>
        <v>0.554518558749125</v>
      </c>
      <c r="AR342" s="32" t="n">
        <f aca="false">IFERROR(AR281/AR299,"")</f>
        <v>0.554518558749125</v>
      </c>
      <c r="AS342" s="32" t="n">
        <f aca="false">IFERROR(AS281/AS299,"")</f>
        <v>0.58524246803161</v>
      </c>
      <c r="AT342" s="32" t="n">
        <f aca="false">IFERROR(AT281/AT299,"")</f>
        <v>0.55722433556118</v>
      </c>
      <c r="AU342" s="32" t="n">
        <f aca="false">IFERROR(AU281/AU299,"")</f>
        <v>0.55722433556118</v>
      </c>
      <c r="AV342" s="32" t="n">
        <f aca="false">IFERROR(AV281/AV299,"")</f>
        <v>0.577867673363805</v>
      </c>
      <c r="AW342" s="33" t="n">
        <f aca="false">AU342</f>
        <v>0.55722433556118</v>
      </c>
      <c r="AX342" s="33" t="n">
        <f aca="false">AU342</f>
        <v>0.55722433556118</v>
      </c>
      <c r="AY342" s="33" t="n">
        <f aca="false">AU342</f>
        <v>0.55722433556118</v>
      </c>
      <c r="AZ342" s="33" t="n">
        <f aca="false">AU342</f>
        <v>0.55722433556118</v>
      </c>
      <c r="BA342" s="33" t="n">
        <f aca="false">AU342</f>
        <v>0.55722433556118</v>
      </c>
      <c r="BB342" s="33" t="n">
        <f aca="false">AU342</f>
        <v>0.55722433556118</v>
      </c>
    </row>
    <row r="343" customFormat="false" ht="15" hidden="false" customHeight="true" outlineLevel="0" collapsed="false">
      <c r="B343" s="31" t="s">
        <v>480</v>
      </c>
      <c r="AY343" s="43" t="n">
        <v>0.035</v>
      </c>
      <c r="AZ343" s="43" t="n">
        <v>0.035</v>
      </c>
      <c r="BA343" s="43" t="n">
        <v>0.035</v>
      </c>
      <c r="BB343" s="43" t="n">
        <v>0.035</v>
      </c>
      <c r="BC343" s="18" t="s">
        <v>481</v>
      </c>
    </row>
    <row r="344" customFormat="false" ht="15" hidden="false" customHeight="true" outlineLevel="0" collapsed="false">
      <c r="B344" s="31" t="s">
        <v>482</v>
      </c>
      <c r="AY344" s="43" t="n">
        <v>0.015</v>
      </c>
      <c r="AZ344" s="43" t="n">
        <v>0.015</v>
      </c>
      <c r="BA344" s="43" t="n">
        <v>0.015</v>
      </c>
      <c r="BB344" s="43" t="n">
        <v>0.015</v>
      </c>
    </row>
    <row r="345" customFormat="false" ht="15" hidden="false" customHeight="true" outlineLevel="0" collapsed="false">
      <c r="B345" s="20" t="s">
        <v>483</v>
      </c>
      <c r="AW345" s="27" t="n">
        <f aca="false">-AV123-AV347</f>
        <v>26.228</v>
      </c>
      <c r="AY345" s="27" t="n">
        <f aca="false">AX299*AY343</f>
        <v>9.96637724326718</v>
      </c>
      <c r="AZ345" s="27" t="n">
        <f aca="false">AY299*AZ343</f>
        <v>9.53435308597399</v>
      </c>
      <c r="BA345" s="27" t="n">
        <f aca="false">AZ299*BA343</f>
        <v>8.56148011483007</v>
      </c>
      <c r="BB345" s="27" t="n">
        <f aca="false">BA299*BB343</f>
        <v>7.29251112270324</v>
      </c>
      <c r="BC345" s="18" t="s">
        <v>484</v>
      </c>
    </row>
    <row r="346" customFormat="false" ht="15" hidden="false" customHeight="true" outlineLevel="0" collapsed="false">
      <c r="B346" s="20" t="s">
        <v>485</v>
      </c>
      <c r="AW346" s="27" t="n">
        <f aca="false">AW332</f>
        <v>13.979</v>
      </c>
      <c r="AY346" s="27" t="n">
        <f aca="false">AY332</f>
        <v>33.500092872</v>
      </c>
      <c r="AZ346" s="27" t="n">
        <f aca="false">AZ332</f>
        <v>35.0442462128031</v>
      </c>
      <c r="BA346" s="27" t="n">
        <f aca="false">BA332</f>
        <v>36.548836648946</v>
      </c>
      <c r="BB346" s="27" t="n">
        <f aca="false">BB332</f>
        <v>38.3654408821633</v>
      </c>
    </row>
    <row r="347" customFormat="false" ht="15" hidden="false" customHeight="true" outlineLevel="0" collapsed="false">
      <c r="B347" s="20" t="s">
        <v>486</v>
      </c>
      <c r="AA347" s="42" t="n">
        <v>5.045</v>
      </c>
      <c r="AB347" s="26" t="n">
        <f aca="false">AC347-AA347</f>
        <v>5.418</v>
      </c>
      <c r="AC347" s="42" t="n">
        <v>10.463</v>
      </c>
      <c r="AD347" s="42" t="n">
        <v>5.491</v>
      </c>
      <c r="AE347" s="26" t="n">
        <f aca="false">AF347-AD347</f>
        <v>5.214</v>
      </c>
      <c r="AF347" s="42" t="n">
        <v>10.705</v>
      </c>
      <c r="AG347" s="42" t="n">
        <v>5.128</v>
      </c>
      <c r="AH347" s="26" t="n">
        <f aca="false">AI347-AG347</f>
        <v>5.45</v>
      </c>
      <c r="AI347" s="42" t="n">
        <v>10.578</v>
      </c>
      <c r="AJ347" s="42" t="n">
        <v>5.557</v>
      </c>
      <c r="AK347" s="26" t="n">
        <f aca="false">AL347-AJ347</f>
        <v>6.196</v>
      </c>
      <c r="AL347" s="42" t="n">
        <v>11.753</v>
      </c>
      <c r="AM347" s="42" t="n">
        <v>5.949</v>
      </c>
      <c r="AN347" s="26" t="n">
        <f aca="false">AO347-AM347</f>
        <v>6.995</v>
      </c>
      <c r="AO347" s="42" t="n">
        <v>12.944</v>
      </c>
      <c r="AP347" s="42" t="n">
        <v>9.157</v>
      </c>
      <c r="AQ347" s="26" t="n">
        <f aca="false">AR347-AP347</f>
        <v>11.061</v>
      </c>
      <c r="AR347" s="42" t="n">
        <v>20.218</v>
      </c>
      <c r="AS347" s="42" t="n">
        <v>13.028</v>
      </c>
      <c r="AT347" s="26" t="n">
        <f aca="false">AU347-AS347</f>
        <v>13.962</v>
      </c>
      <c r="AU347" s="42" t="n">
        <v>26.99</v>
      </c>
      <c r="AV347" s="42" t="n">
        <v>13.979</v>
      </c>
      <c r="AW347" s="27" t="n">
        <f aca="false">AV347</f>
        <v>13.979</v>
      </c>
      <c r="AX347" s="27" t="n">
        <f aca="false">AV347+AW347</f>
        <v>27.958</v>
      </c>
      <c r="AY347" s="27" t="n">
        <f aca="false">AY332</f>
        <v>33.500092872</v>
      </c>
      <c r="AZ347" s="27" t="n">
        <f aca="false">AZ332</f>
        <v>35.0442462128031</v>
      </c>
      <c r="BA347" s="27" t="n">
        <f aca="false">BA332</f>
        <v>36.548836648946</v>
      </c>
      <c r="BB347" s="27" t="n">
        <f aca="false">BB332</f>
        <v>38.3654408821633</v>
      </c>
    </row>
    <row r="348" customFormat="false" ht="15" hidden="false" customHeight="true" outlineLevel="0" collapsed="false">
      <c r="B348" s="20" t="s">
        <v>487</v>
      </c>
      <c r="AW348" s="27" t="n">
        <f aca="false">AV124</f>
        <v>21.797</v>
      </c>
      <c r="AY348" s="27" t="n">
        <f aca="false">AX271*AY344</f>
        <v>2.25</v>
      </c>
      <c r="AZ348" s="27" t="n">
        <f aca="false">AY271*AZ344</f>
        <v>2.25</v>
      </c>
      <c r="BA348" s="27" t="n">
        <f aca="false">AZ271*BA344</f>
        <v>2.25</v>
      </c>
      <c r="BB348" s="27" t="n">
        <f aca="false">BA271*BB344</f>
        <v>2.25</v>
      </c>
    </row>
    <row r="349" customFormat="false" ht="15" hidden="false" customHeight="true" outlineLevel="0" collapsed="false">
      <c r="B349" s="40" t="s">
        <v>488</v>
      </c>
    </row>
    <row r="350" customFormat="false" ht="15" hidden="false" customHeight="true" outlineLevel="0" collapsed="false">
      <c r="B350" s="31" t="s">
        <v>489</v>
      </c>
      <c r="AY350" s="43" t="n">
        <v>0.08</v>
      </c>
      <c r="AZ350" s="43" t="n">
        <v>0.08</v>
      </c>
      <c r="BA350" s="43" t="n">
        <v>0.08</v>
      </c>
      <c r="BB350" s="43" t="n">
        <v>0.08</v>
      </c>
    </row>
    <row r="351" customFormat="false" ht="15" hidden="false" customHeight="true" outlineLevel="0" collapsed="false">
      <c r="B351" s="40" t="s">
        <v>490</v>
      </c>
    </row>
    <row r="352" customFormat="false" ht="15" hidden="false" customHeight="true" outlineLevel="0" collapsed="false">
      <c r="B352" s="31" t="s">
        <v>211</v>
      </c>
      <c r="C352" s="32" t="n">
        <f aca="false">IF(AND(ISNUMBER(C118),ISNUMBER(C111)),IFERROR(-C118/C111,""),"")</f>
        <v>0.0205140094627201</v>
      </c>
      <c r="D352" s="32" t="n">
        <f aca="false">IF(AND(ISNUMBER(D118),ISNUMBER(D111)),IFERROR(-D118/D111,""),"")</f>
        <v>0.0226980931699662</v>
      </c>
      <c r="E352" s="32" t="n">
        <f aca="false">IF(AND(ISNUMBER(E118),ISNUMBER(E111)),IFERROR(-E118/E111,""),"")</f>
        <v>0.021649803202341</v>
      </c>
      <c r="F352" s="32" t="n">
        <f aca="false">IF(AND(ISNUMBER(F118),ISNUMBER(F111)),IFERROR(-F118/F111,""),"")</f>
        <v>0.021915194189478</v>
      </c>
      <c r="G352" s="32" t="n">
        <f aca="false">IF(AND(ISNUMBER(G118),ISNUMBER(G111)),IFERROR(-G118/G111,""),"")</f>
        <v>0.0288791129491111</v>
      </c>
      <c r="H352" s="32" t="n">
        <f aca="false">IF(AND(ISNUMBER(H118),ISNUMBER(H111)),IFERROR(-H118/H111,""),"")</f>
        <v>0.0255082861653796</v>
      </c>
      <c r="I352" s="32" t="n">
        <f aca="false">IF(AND(ISNUMBER(I118),ISNUMBER(I111)),IFERROR(-I118/I111,""),"")</f>
        <v>0.0337936461598995</v>
      </c>
      <c r="J352" s="32" t="n">
        <f aca="false">IF(AND(ISNUMBER(J118),ISNUMBER(J111)),IFERROR(-J118/J111,""),"")</f>
        <v>0.0357779583520309</v>
      </c>
      <c r="K352" s="32" t="n">
        <f aca="false">IF(AND(ISNUMBER(K118),ISNUMBER(K111)),IFERROR(-K118/K111,""),"")</f>
        <v>0.034808360208385</v>
      </c>
      <c r="L352" s="32" t="n">
        <f aca="false">IF(AND(ISNUMBER(L118),ISNUMBER(L111)),IFERROR(-L118/L111,""),"")</f>
        <v>0.0359590696827844</v>
      </c>
      <c r="M352" s="32" t="n">
        <f aca="false">IF(AND(ISNUMBER(M118),ISNUMBER(M111)),IFERROR(-M118/M111,""),"")</f>
        <v>0.0410332152494753</v>
      </c>
      <c r="N352" s="32" t="n">
        <f aca="false">IF(AND(ISNUMBER(N118),ISNUMBER(N111)),IFERROR(-N118/N111,""),"")</f>
        <v>0.0385267020502432</v>
      </c>
      <c r="O352" s="32" t="n">
        <f aca="false">IF(AND(ISNUMBER(O118),ISNUMBER(O111)),IFERROR(-O118/O111,""),"")</f>
        <v>0.0425893017590799</v>
      </c>
      <c r="P352" s="32" t="n">
        <f aca="false">IF(AND(ISNUMBER(P118),ISNUMBER(P111)),IFERROR(-P118/P111,""),"")</f>
        <v>0.0449772938794027</v>
      </c>
      <c r="Q352" s="32" t="n">
        <f aca="false">IF(AND(ISNUMBER(Q118),ISNUMBER(Q111)),IFERROR(-Q118/Q111,""),"")</f>
        <v>0.0438221807987908</v>
      </c>
      <c r="R352" s="32" t="n">
        <f aca="false">IF(AND(ISNUMBER(R118),ISNUMBER(R111)),IFERROR(-R118/R111,""),"")</f>
        <v>0.0434770742358079</v>
      </c>
      <c r="S352" s="32" t="n">
        <f aca="false">IF(AND(ISNUMBER(S118),ISNUMBER(S111)),IFERROR(-S118/S111,""),"")</f>
        <v>0.0444202582464818</v>
      </c>
      <c r="T352" s="32" t="n">
        <f aca="false">IF(AND(ISNUMBER(T118),ISNUMBER(T111)),IFERROR(-T118/T111,""),"")</f>
        <v>0.043965515350757</v>
      </c>
      <c r="U352" s="32" t="n">
        <f aca="false">IF(AND(ISNUMBER(U118),ISNUMBER(U111)),IFERROR(-U118/U111,""),"")</f>
        <v>0.0434271576931454</v>
      </c>
      <c r="V352" s="32" t="n">
        <f aca="false">IF(AND(ISNUMBER(V118),ISNUMBER(V111)),IFERROR(-V118/V111,""),"")</f>
        <v>0.0468329721338436</v>
      </c>
      <c r="W352" s="32" t="n">
        <f aca="false">IF(AND(ISNUMBER(W118),ISNUMBER(W111)),IFERROR(-W118/W111,""),"")</f>
        <v>0.0451872724998064</v>
      </c>
      <c r="X352" s="32" t="n">
        <f aca="false">IF(AND(ISNUMBER(X118),ISNUMBER(X111)),IFERROR(-X118/X111,""),"")</f>
        <v>0.0437610859191201</v>
      </c>
      <c r="Y352" s="32" t="n">
        <f aca="false">IF(AND(ISNUMBER(Y118),ISNUMBER(Y111)),IFERROR(-Y118/Y111,""),"")</f>
        <v>0.048717858276604</v>
      </c>
      <c r="Z352" s="32" t="n">
        <f aca="false">IF(AND(ISNUMBER(Z118),ISNUMBER(Z111)),IFERROR(-Z118/Z111,""),"")</f>
        <v>0.0463023240674435</v>
      </c>
      <c r="AA352" s="32" t="n">
        <f aca="false">IF(AND(ISNUMBER(AA118),ISNUMBER(AA111)),IFERROR(-AA118/AA111,""),"")</f>
        <v>0.137550486766205</v>
      </c>
      <c r="AB352" s="32" t="n">
        <f aca="false">IF(AND(ISNUMBER(AB118),ISNUMBER(AB111)),IFERROR(-AB118/AB111,""),"")</f>
        <v>0.145934224335226</v>
      </c>
      <c r="AC352" s="32" t="n">
        <f aca="false">IF(AND(ISNUMBER(AC118),ISNUMBER(AC111)),IFERROR(-AC118/AC111,""),"")</f>
        <v>0.141914338037485</v>
      </c>
      <c r="AD352" s="32" t="n">
        <f aca="false">IF(AND(ISNUMBER(AD118),ISNUMBER(AD111)),IFERROR(-AD118/AD111,""),"")</f>
        <v>0.243006098185168</v>
      </c>
      <c r="AE352" s="32" t="n">
        <f aca="false">IF(AND(ISNUMBER(AE118),ISNUMBER(AE111)),IFERROR(-AE118/AE111,""),"")</f>
        <v>0.160630920411957</v>
      </c>
      <c r="AF352" s="32" t="n">
        <f aca="false">IF(AND(ISNUMBER(AF118),ISNUMBER(AF111)),IFERROR(-AF118/AF111,""),"")</f>
        <v>0.191693948490202</v>
      </c>
      <c r="AG352" s="32" t="n">
        <f aca="false">IF(AND(ISNUMBER(AG118),ISNUMBER(AG111)),IFERROR(-AG118/AG111,""),"")</f>
        <v>0.176122818424038</v>
      </c>
      <c r="AH352" s="32" t="n">
        <f aca="false">IF(AND(ISNUMBER(AH118),ISNUMBER(AH111)),IFERROR(-AH118/AH111,""),"")</f>
        <v>0.1531418244795</v>
      </c>
      <c r="AI352" s="32" t="n">
        <f aca="false">IF(AND(ISNUMBER(AI118),ISNUMBER(AI111)),IFERROR(-AI118/AI111,""),"")</f>
        <v>0.163266538328145</v>
      </c>
      <c r="AJ352" s="32" t="n">
        <f aca="false">IF(AND(ISNUMBER(AJ118),ISNUMBER(AJ111)),IFERROR(-AJ118/AJ111,""),"")</f>
        <v>0.149745881253957</v>
      </c>
      <c r="AK352" s="32" t="n">
        <f aca="false">IF(AND(ISNUMBER(AK118),ISNUMBER(AK111)),IFERROR(-AK118/AK111,""),"")</f>
        <v>0.13829059524022</v>
      </c>
      <c r="AL352" s="32" t="n">
        <f aca="false">IF(AND(ISNUMBER(AL118),ISNUMBER(AL111)),IFERROR(-AL118/AL111,""),"")</f>
        <v>0.143464012490921</v>
      </c>
      <c r="AM352" s="32" t="n">
        <f aca="false">IF(AND(ISNUMBER(AM118),ISNUMBER(AM111)),IFERROR(-AM118/AM111,""),"")</f>
        <v>0.123386316923496</v>
      </c>
      <c r="AN352" s="32" t="n">
        <f aca="false">IF(AND(ISNUMBER(AN118),ISNUMBER(AN111)),IFERROR(-AN118/AN111,""),"")</f>
        <v>0.120457850667867</v>
      </c>
      <c r="AO352" s="32" t="n">
        <f aca="false">IF(AND(ISNUMBER(AO118),ISNUMBER(AO111)),IFERROR(-AO118/AO111,""),"")</f>
        <v>0.121855856488389</v>
      </c>
      <c r="AP352" s="32" t="n">
        <f aca="false">IF(AND(ISNUMBER(AP118),ISNUMBER(AP111)),IFERROR(-AP118/AP111,""),"")</f>
        <v>0.117885419117007</v>
      </c>
      <c r="AQ352" s="32" t="n">
        <f aca="false">IF(AND(ISNUMBER(AQ118),ISNUMBER(AQ111)),IFERROR(-AQ118/AQ111,""),"")</f>
        <v>0.121355327279526</v>
      </c>
      <c r="AR352" s="32" t="n">
        <f aca="false">IF(AND(ISNUMBER(AR118),ISNUMBER(AR111)),IFERROR(-AR118/AR111,""),"")</f>
        <v>0.119670874591331</v>
      </c>
      <c r="AS352" s="32" t="n">
        <f aca="false">IF(AND(ISNUMBER(AS118),ISNUMBER(AS111)),IFERROR(-AS118/AS111,""),"")</f>
        <v>0.126843386173782</v>
      </c>
      <c r="AT352" s="32" t="n">
        <f aca="false">IF(AND(ISNUMBER(AT118),ISNUMBER(AT111)),IFERROR(-AT118/AT111,""),"")</f>
        <v>0.129637919029146</v>
      </c>
      <c r="AU352" s="32" t="n">
        <f aca="false">IF(AND(ISNUMBER(AU118),ISNUMBER(AU111)),IFERROR(-AU118/AU111,""),"")</f>
        <v>0.128280032472721</v>
      </c>
      <c r="AV352" s="32" t="n">
        <f aca="false">IF(AND(ISNUMBER(AV118),ISNUMBER(AV111)),IFERROR(-AV118/AV111,""),"")</f>
        <v>0.131227056982083</v>
      </c>
      <c r="AW352" s="33" t="n">
        <f aca="false">IF(AND(ISNUMBER(AW118),ISNUMBER(AW111)),IFERROR(-AW118/AW111,""),"")</f>
        <v>0.130726281207982</v>
      </c>
      <c r="AX352" s="33" t="n">
        <f aca="false">IF(AND(ISNUMBER(AX118),ISNUMBER(AX111)),IFERROR(-AX118/AX111,""),"")</f>
        <v>0.130971555220037</v>
      </c>
      <c r="AY352" s="33" t="n">
        <f aca="false">IF(AND(ISNUMBER(AY118),ISNUMBER(AY111)),IFERROR(-AY118/AY111,""),"")</f>
        <v>0.133115679219432</v>
      </c>
      <c r="AZ352" s="33" t="n">
        <f aca="false">IF(AND(ISNUMBER(AZ118),ISNUMBER(AZ111)),IFERROR(-AZ118/AZ111,""),"")</f>
        <v>0.130406568466789</v>
      </c>
      <c r="BA352" s="33" t="n">
        <f aca="false">IF(AND(ISNUMBER(BA118),ISNUMBER(BA111)),IFERROR(-BA118/BA111,""),"")</f>
        <v>0.126917989201436</v>
      </c>
      <c r="BB352" s="33" t="n">
        <f aca="false">IF(AND(ISNUMBER(BB118),ISNUMBER(BB111)),IFERROR(-BB118/BB111,""),"")</f>
        <v>0.125521783021454</v>
      </c>
    </row>
    <row r="353" customFormat="false" ht="15" hidden="false" customHeight="true" outlineLevel="0" collapsed="false">
      <c r="B353" s="31" t="s">
        <v>356</v>
      </c>
      <c r="C353" s="32" t="n">
        <f aca="false">C246</f>
        <v>0.0749632911718488</v>
      </c>
      <c r="D353" s="32" t="n">
        <f aca="false">D246</f>
        <v>0.070376769325873</v>
      </c>
      <c r="E353" s="32" t="n">
        <f aca="false">E246</f>
        <v>0.0725781523687844</v>
      </c>
      <c r="F353" s="32" t="n">
        <f aca="false">F246</f>
        <v>0.0588300555461047</v>
      </c>
      <c r="G353" s="32" t="n">
        <f aca="false">G246</f>
        <v>0.123745819397993</v>
      </c>
      <c r="H353" s="32" t="n">
        <f aca="false">H246</f>
        <v>0.0923238854221487</v>
      </c>
      <c r="I353" s="32" t="n">
        <f aca="false">I246</f>
        <v>0.114479546118014</v>
      </c>
      <c r="J353" s="32" t="n">
        <f aca="false">J246</f>
        <v>0.0815494887996798</v>
      </c>
      <c r="K353" s="32" t="n">
        <f aca="false">K246</f>
        <v>0.0976401637310841</v>
      </c>
      <c r="L353" s="32" t="n">
        <f aca="false">L246</f>
        <v>0.100772989175876</v>
      </c>
      <c r="M353" s="32" t="n">
        <f aca="false">M246</f>
        <v>0.0901453653011139</v>
      </c>
      <c r="N353" s="32" t="n">
        <f aca="false">N246</f>
        <v>0.0953951712375916</v>
      </c>
      <c r="O353" s="32" t="n">
        <f aca="false">O246</f>
        <v>0.0976978216161173</v>
      </c>
      <c r="P353" s="32" t="n">
        <f aca="false">P246</f>
        <v>0.0961794789050552</v>
      </c>
      <c r="Q353" s="32" t="n">
        <f aca="false">Q246</f>
        <v>0.0969139275288482</v>
      </c>
      <c r="R353" s="32" t="n">
        <f aca="false">R246</f>
        <v>0.0817776564774382</v>
      </c>
      <c r="S353" s="32" t="n">
        <f aca="false">S246</f>
        <v>0.0492734964913544</v>
      </c>
      <c r="T353" s="32" t="n">
        <f aca="false">T246</f>
        <v>0.0649449197427029</v>
      </c>
      <c r="U353" s="32" t="n">
        <f aca="false">U246</f>
        <v>0.055521993038175</v>
      </c>
      <c r="V353" s="32" t="n">
        <f aca="false">V246</f>
        <v>0.0536458093174098</v>
      </c>
      <c r="W353" s="32" t="n">
        <f aca="false">W246</f>
        <v>0.0545523868530952</v>
      </c>
      <c r="X353" s="32" t="n">
        <f aca="false">X246</f>
        <v>0.0909434998478585</v>
      </c>
      <c r="Y353" s="32" t="n">
        <f aca="false">Y246</f>
        <v>0.0679976014955381</v>
      </c>
      <c r="Z353" s="32" t="n">
        <f aca="false">Z246</f>
        <v>0.0791795962357775</v>
      </c>
      <c r="AA353" s="32" t="n">
        <f aca="false">AA246</f>
        <v>0.0638681184435835</v>
      </c>
      <c r="AB353" s="32" t="n">
        <f aca="false">AB246</f>
        <v>0.105434521476349</v>
      </c>
      <c r="AC353" s="32" t="n">
        <f aca="false">AC246</f>
        <v>0.0855040056864458</v>
      </c>
      <c r="AD353" s="32" t="n">
        <f aca="false">AD246</f>
        <v>0.0998279249109158</v>
      </c>
      <c r="AE353" s="32" t="n">
        <f aca="false">AE246</f>
        <v>0.083043645055626</v>
      </c>
      <c r="AF353" s="32" t="n">
        <f aca="false">AF246</f>
        <v>0.0893728642514057</v>
      </c>
      <c r="AG353" s="32" t="n">
        <f aca="false">AG246</f>
        <v>0.0875881235578333</v>
      </c>
      <c r="AH353" s="32" t="n">
        <f aca="false">AH246</f>
        <v>0.0714857623332455</v>
      </c>
      <c r="AI353" s="32" t="n">
        <f aca="false">AI246</f>
        <v>0.0785799637450697</v>
      </c>
      <c r="AJ353" s="32" t="n">
        <f aca="false">AJ246</f>
        <v>0.0710328705186141</v>
      </c>
      <c r="AK353" s="32" t="n">
        <f aca="false">AK246</f>
        <v>0.0673082833185619</v>
      </c>
      <c r="AL353" s="32" t="n">
        <f aca="false">AL246</f>
        <v>0.0689903752060437</v>
      </c>
      <c r="AM353" s="32" t="n">
        <f aca="false">AM246</f>
        <v>0.0625857168595181</v>
      </c>
      <c r="AN353" s="32" t="n">
        <f aca="false">AN246</f>
        <v>0.0713443653669825</v>
      </c>
      <c r="AO353" s="32" t="n">
        <f aca="false">AO246</f>
        <v>0.0671631180776184</v>
      </c>
      <c r="AP353" s="32" t="n">
        <f aca="false">AP246</f>
        <v>0.0651804041491182</v>
      </c>
      <c r="AQ353" s="32" t="n">
        <f aca="false">AQ246</f>
        <v>0.0902234152836848</v>
      </c>
      <c r="AR353" s="32" t="n">
        <f aca="false">AR246</f>
        <v>0.0780663882240681</v>
      </c>
      <c r="AS353" s="32" t="n">
        <f aca="false">AS246</f>
        <v>0.0884971533396187</v>
      </c>
      <c r="AT353" s="32" t="n">
        <f aca="false">AT246</f>
        <v>0.113190368823016</v>
      </c>
      <c r="AU353" s="32" t="n">
        <f aca="false">AU246</f>
        <v>0.10119173181453</v>
      </c>
      <c r="AV353" s="32" t="n">
        <f aca="false">AV246</f>
        <v>0.0734630262966517</v>
      </c>
      <c r="AW353" s="33" t="n">
        <f aca="false">AW246</f>
        <v>0.0511694642321653</v>
      </c>
      <c r="AX353" s="33" t="n">
        <f aca="false">AX246</f>
        <v>0.0620885855102626</v>
      </c>
      <c r="AY353" s="33" t="n">
        <f aca="false">AY246</f>
        <v>0.065</v>
      </c>
      <c r="AZ353" s="33" t="n">
        <f aca="false">AZ246</f>
        <v>0.065</v>
      </c>
      <c r="BA353" s="33" t="n">
        <f aca="false">BA246</f>
        <v>0.065</v>
      </c>
      <c r="BB353" s="33" t="n">
        <f aca="false">BB246</f>
        <v>0.065</v>
      </c>
    </row>
    <row r="354" customFormat="false" ht="15" hidden="false" customHeight="true" outlineLevel="0" collapsed="false"/>
    <row r="355" customFormat="false" ht="15" hidden="false" customHeight="true" outlineLevel="0" collapsed="false">
      <c r="B355" s="9" t="s">
        <v>491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 t="s">
        <v>492</v>
      </c>
    </row>
    <row r="356" customFormat="false" ht="15" hidden="false" customHeight="true" outlineLevel="0" collapsed="false">
      <c r="B356" s="40" t="s">
        <v>493</v>
      </c>
    </row>
    <row r="357" customFormat="false" ht="15" hidden="false" customHeight="true" outlineLevel="0" collapsed="false">
      <c r="B357" s="20" t="s">
        <v>494</v>
      </c>
      <c r="E357" s="26" t="n">
        <f aca="false">E168</f>
        <v>34.907</v>
      </c>
      <c r="H357" s="26" t="n">
        <f aca="false">H168</f>
        <v>41.985</v>
      </c>
      <c r="K357" s="26" t="n">
        <f aca="false">K168</f>
        <v>46.956</v>
      </c>
      <c r="N357" s="26" t="n">
        <f aca="false">N168</f>
        <v>49.329</v>
      </c>
      <c r="Q357" s="26" t="n">
        <f aca="false">Q168</f>
        <v>50.975</v>
      </c>
      <c r="T357" s="26" t="n">
        <f aca="false">T168</f>
        <v>58.168</v>
      </c>
      <c r="W357" s="26" t="n">
        <f aca="false">W168</f>
        <v>64.721</v>
      </c>
      <c r="Z357" s="26" t="n">
        <f aca="false">Z168</f>
        <v>69.538</v>
      </c>
      <c r="AC357" s="26" t="n">
        <f aca="false">AC168</f>
        <v>83.376</v>
      </c>
      <c r="AF357" s="26" t="n">
        <f aca="false">AF168</f>
        <v>16.909</v>
      </c>
      <c r="AI357" s="26" t="n">
        <f aca="false">AI168</f>
        <v>77.0359999999999</v>
      </c>
      <c r="AL357" s="26" t="n">
        <f aca="false">AL168</f>
        <v>134.412</v>
      </c>
      <c r="AO357" s="26" t="n">
        <f aca="false">AO168</f>
        <v>187.406</v>
      </c>
      <c r="AR357" s="26" t="n">
        <f aca="false">AR168</f>
        <v>211.671</v>
      </c>
      <c r="AU357" s="26" t="n">
        <f aca="false">AU168</f>
        <v>235.851</v>
      </c>
      <c r="AX357" s="27" t="n">
        <f aca="false">AX168</f>
        <v>262.619660676971</v>
      </c>
      <c r="AY357" s="27" t="n">
        <f aca="false">AY168</f>
        <v>288.266797772124</v>
      </c>
      <c r="AZ357" s="27" t="n">
        <f aca="false">AZ168</f>
        <v>322.555262028618</v>
      </c>
      <c r="BA357" s="27" t="n">
        <f aca="false">BA168</f>
        <v>358.256213568223</v>
      </c>
      <c r="BB357" s="27" t="n">
        <f aca="false">BB168</f>
        <v>391.087904619185</v>
      </c>
    </row>
    <row r="358" customFormat="false" ht="15" hidden="false" customHeight="true" outlineLevel="0" collapsed="false">
      <c r="B358" s="31" t="s">
        <v>495</v>
      </c>
      <c r="E358" s="32" t="n">
        <f aca="false">E129</f>
        <v>0.350077279752705</v>
      </c>
      <c r="H358" s="32" t="n">
        <f aca="false">H129</f>
        <v>0.34114336492891</v>
      </c>
      <c r="K358" s="32" t="n">
        <f aca="false">K129</f>
        <v>0.345989695053183</v>
      </c>
      <c r="N358" s="32" t="n">
        <f aca="false">N129</f>
        <v>0.315319002283203</v>
      </c>
      <c r="Q358" s="32" t="n">
        <f aca="false">Q129</f>
        <v>0.285937195240882</v>
      </c>
      <c r="T358" s="32" t="n">
        <f aca="false">T129</f>
        <v>0.304887640449438</v>
      </c>
      <c r="W358" s="32" t="n">
        <f aca="false">W129</f>
        <v>0.116622344901875</v>
      </c>
      <c r="Z358" s="32" t="n">
        <f aca="false">Z129</f>
        <v>0.218130571980025</v>
      </c>
      <c r="AC358" s="32" t="n">
        <f aca="false">AC129</f>
        <v>0.232638487336649</v>
      </c>
      <c r="AF358" s="32" t="n">
        <f aca="false">AF129</f>
        <v>0.0507074773548044</v>
      </c>
      <c r="AI358" s="32" t="n">
        <f aca="false">AI129</f>
        <v>0.120747821197639</v>
      </c>
      <c r="AL358" s="32" t="n">
        <f aca="false">AL129</f>
        <v>0.296546661611558</v>
      </c>
      <c r="AO358" s="32" t="n">
        <f aca="false">AO129</f>
        <v>0.285748899567904</v>
      </c>
      <c r="AR358" s="32" t="n">
        <f aca="false">AR129</f>
        <v>0.284994185949471</v>
      </c>
      <c r="AU358" s="32" t="n">
        <f aca="false">AU129</f>
        <v>0.285395780488787</v>
      </c>
      <c r="AX358" s="33" t="n">
        <f aca="false">AX129</f>
        <v>0.288006995236317</v>
      </c>
      <c r="AY358" s="33" t="n">
        <f aca="false">AY129</f>
        <v>0.285</v>
      </c>
      <c r="AZ358" s="33" t="n">
        <f aca="false">AZ129</f>
        <v>0.285</v>
      </c>
      <c r="BA358" s="33" t="n">
        <f aca="false">BA129</f>
        <v>0.285</v>
      </c>
      <c r="BB358" s="33" t="n">
        <f aca="false">BB129</f>
        <v>0.285</v>
      </c>
    </row>
    <row r="359" customFormat="false" ht="15" hidden="false" customHeight="true" outlineLevel="0" collapsed="false">
      <c r="B359" s="20" t="s">
        <v>496</v>
      </c>
      <c r="E359" s="26" t="n">
        <f aca="false">IFERROR(E357*(1-E358),"n/a")</f>
        <v>22.6868523956723</v>
      </c>
      <c r="H359" s="26" t="n">
        <f aca="false">IFERROR(H357*(1-H358),"n/a")</f>
        <v>27.6620958234597</v>
      </c>
      <c r="K359" s="26" t="n">
        <f aca="false">IFERROR(K357*(1-K358),"n/a")</f>
        <v>30.7097078790827</v>
      </c>
      <c r="N359" s="26" t="n">
        <f aca="false">IFERROR(N357*(1-N358),"n/a")</f>
        <v>33.7746289363719</v>
      </c>
      <c r="Q359" s="26" t="n">
        <f aca="false">IFERROR(Q357*(1-Q358),"n/a")</f>
        <v>36.3993514725961</v>
      </c>
      <c r="T359" s="26" t="n">
        <f aca="false">IFERROR(T357*(1-T358),"n/a")</f>
        <v>40.4332957303371</v>
      </c>
      <c r="W359" s="26" t="n">
        <f aca="false">IFERROR(W357*(1-W358),"n/a")</f>
        <v>57.1730852156058</v>
      </c>
      <c r="Z359" s="26" t="n">
        <f aca="false">IFERROR(Z357*(1-Z358),"n/a")</f>
        <v>54.369636285653</v>
      </c>
      <c r="AC359" s="26" t="n">
        <f aca="false">IFERROR(AC357*(1-AC358),"n/a")</f>
        <v>63.9795334798196</v>
      </c>
      <c r="AF359" s="26" t="n">
        <f aca="false">IFERROR(AF357*(1-AF358),"n/a")</f>
        <v>16.0515872654076</v>
      </c>
      <c r="AI359" s="26" t="n">
        <f aca="false">IFERROR(AI357*(1-AI358),"n/a")</f>
        <v>67.7340708462187</v>
      </c>
      <c r="AL359" s="26" t="n">
        <f aca="false">IFERROR(AL357*(1-AL358),"n/a")</f>
        <v>94.5525701194673</v>
      </c>
      <c r="AO359" s="26" t="n">
        <f aca="false">IFERROR(AO357*(1-AO358),"n/a")</f>
        <v>133.854941727577</v>
      </c>
      <c r="AR359" s="26" t="n">
        <f aca="false">IFERROR(AR357*(1-AR358),"n/a")</f>
        <v>151.34599566589</v>
      </c>
      <c r="AU359" s="26" t="n">
        <f aca="false">IFERROR(AU357*(1-AU358),"n/a")</f>
        <v>168.540119775939</v>
      </c>
      <c r="AX359" s="27" t="n">
        <f aca="false">IFERROR(AX357*(1-AX358),"n/a")</f>
        <v>186.983361315415</v>
      </c>
      <c r="AY359" s="27" t="n">
        <f aca="false">IFERROR(AY357*(1-AY358),"n/a")</f>
        <v>206.110760407068</v>
      </c>
      <c r="AZ359" s="27" t="n">
        <f aca="false">IFERROR(AZ357*(1-AZ358),"n/a")</f>
        <v>230.627012350462</v>
      </c>
      <c r="BA359" s="27" t="n">
        <f aca="false">IFERROR(BA357*(1-BA358),"n/a")</f>
        <v>256.15319270128</v>
      </c>
      <c r="BB359" s="27" t="n">
        <f aca="false">IFERROR(BB357*(1-BB358),"n/a")</f>
        <v>279.627851802717</v>
      </c>
    </row>
    <row r="360" customFormat="false" ht="15" hidden="false" customHeight="true" outlineLevel="0" collapsed="false">
      <c r="B360" s="20" t="s">
        <v>497</v>
      </c>
      <c r="E360" s="26" t="n">
        <f aca="false">IFERROR(E279+E305,"n/a")</f>
        <v>85.978</v>
      </c>
      <c r="H360" s="26" t="n">
        <f aca="false">IFERROR(H279+H305,"n/a")</f>
        <v>120.468</v>
      </c>
      <c r="K360" s="26" t="n">
        <f aca="false">IFERROR(K279+K305,"n/a")</f>
        <v>161.315</v>
      </c>
      <c r="N360" s="26" t="n">
        <f aca="false">IFERROR(N279+N305,"n/a")</f>
        <v>212.961</v>
      </c>
      <c r="Q360" s="26" t="n">
        <f aca="false">IFERROR(Q279+Q305,"n/a")</f>
        <v>253.19</v>
      </c>
      <c r="T360" s="26" t="n">
        <f aca="false">IFERROR(T279+T305,"n/a")</f>
        <v>276.838</v>
      </c>
      <c r="W360" s="26" t="n">
        <f aca="false">IFERROR(W279+W305,"n/a")</f>
        <v>278.894</v>
      </c>
      <c r="Z360" s="26" t="n">
        <f aca="false">IFERROR(Z279+Z305,"n/a")</f>
        <v>301.918</v>
      </c>
      <c r="AC360" s="26" t="n">
        <f aca="false">IFERROR(AC279+AC305,"n/a")</f>
        <v>780.886</v>
      </c>
      <c r="AF360" s="26" t="n">
        <f aca="false">IFERROR(AF279+AF305,"n/a")</f>
        <v>867.021</v>
      </c>
      <c r="AI360" s="26" t="n">
        <f aca="false">IFERROR(AI279+AI305,"n/a")</f>
        <v>894.792</v>
      </c>
      <c r="AL360" s="26" t="n">
        <f aca="false">IFERROR(AL279+AL305,"n/a")</f>
        <v>965.12</v>
      </c>
      <c r="AO360" s="26" t="n">
        <f aca="false">IFERROR(AO279+AO305,"n/a")</f>
        <v>1017.654</v>
      </c>
      <c r="AR360" s="26" t="n">
        <f aca="false">IFERROR(AR279+AR305,"n/a")</f>
        <v>1289.023</v>
      </c>
      <c r="AU360" s="26" t="n">
        <f aca="false">IFERROR(AU279+AU305,"n/a")</f>
        <v>1549.555</v>
      </c>
      <c r="AX360" s="27" t="n">
        <f aca="false">IFERROR(AX279+AX305,"n/a")</f>
        <v>1625.24473620194</v>
      </c>
      <c r="AY360" s="27" t="n">
        <f aca="false">IFERROR(AY279+AY305,"n/a")</f>
        <v>1739.62600664543</v>
      </c>
      <c r="AZ360" s="27" t="n">
        <f aca="false">IFERROR(AZ279+AZ305,"n/a")</f>
        <v>1853.80646079673</v>
      </c>
      <c r="BA360" s="27" t="n">
        <f aca="false">IFERROR(BA279+BA305,"n/a")</f>
        <v>1981.59337592443</v>
      </c>
      <c r="BB360" s="27" t="n">
        <f aca="false">IFERROR(BB279+BB305,"n/a")</f>
        <v>2108.17300137605</v>
      </c>
    </row>
    <row r="361" customFormat="false" ht="15" hidden="false" customHeight="true" outlineLevel="0" collapsed="false">
      <c r="B361" s="31" t="s">
        <v>498</v>
      </c>
      <c r="E361" s="32" t="n">
        <f aca="false">IFERROR(E359/E360,"n/a")</f>
        <v>0.263868110396523</v>
      </c>
      <c r="H361" s="32" t="n">
        <f aca="false">IFERROR(H359/H360,"n/a")</f>
        <v>0.229621939630937</v>
      </c>
      <c r="K361" s="32" t="n">
        <f aca="false">IFERROR(K359/K360,"n/a")</f>
        <v>0.190371062077815</v>
      </c>
      <c r="N361" s="32" t="n">
        <f aca="false">IFERROR(N359/N360,"n/a")</f>
        <v>0.15859537162378</v>
      </c>
      <c r="Q361" s="32" t="n">
        <f aca="false">IFERROR(Q359/Q360,"n/a")</f>
        <v>0.143762990136246</v>
      </c>
      <c r="T361" s="32" t="n">
        <f aca="false">IFERROR(T359/T360,"n/a")</f>
        <v>0.146053994503417</v>
      </c>
      <c r="W361" s="32" t="n">
        <f aca="false">IFERROR(W359/W360,"n/a")</f>
        <v>0.204999337438617</v>
      </c>
      <c r="Z361" s="32" t="n">
        <f aca="false">IFERROR(Z359/Z360,"n/a")</f>
        <v>0.180080804343077</v>
      </c>
      <c r="AC361" s="32" t="n">
        <f aca="false">IFERROR(AC359/AC360,"n/a")</f>
        <v>0.0819319766007069</v>
      </c>
      <c r="AF361" s="32" t="n">
        <f aca="false">IFERROR(AF359/AF360,"n/a")</f>
        <v>0.0185134930588851</v>
      </c>
      <c r="AI361" s="32" t="n">
        <f aca="false">IFERROR(AI359/AI360,"n/a")</f>
        <v>0.075698118497057</v>
      </c>
      <c r="AL361" s="32" t="n">
        <f aca="false">IFERROR(AL359/AL360,"n/a")</f>
        <v>0.0979697551801509</v>
      </c>
      <c r="AO361" s="32" t="n">
        <f aca="false">IFERROR(AO359/AO360,"n/a")</f>
        <v>0.131532860606431</v>
      </c>
      <c r="AR361" s="32" t="n">
        <f aca="false">IFERROR(AR359/AR360,"n/a")</f>
        <v>0.117411400468331</v>
      </c>
      <c r="AU361" s="32" t="n">
        <f aca="false">IFERROR(AU359/AU360,"n/a")</f>
        <v>0.108766787739667</v>
      </c>
      <c r="AX361" s="33" t="n">
        <f aca="false">IFERROR(AX359/AX360,"n/a")</f>
        <v>0.115049356660204</v>
      </c>
      <c r="AY361" s="33" t="n">
        <f aca="false">IFERROR(AY359/AY360,"n/a")</f>
        <v>0.118479925926445</v>
      </c>
      <c r="AZ361" s="33" t="n">
        <f aca="false">IFERROR(AZ359/AZ360,"n/a")</f>
        <v>0.124407276178843</v>
      </c>
      <c r="BA361" s="33" t="n">
        <f aca="false">IFERROR(BA359/BA360,"n/a")</f>
        <v>0.129266274208139</v>
      </c>
      <c r="BB361" s="33" t="n">
        <f aca="false">IFERROR(BB359/BB360,"n/a")</f>
        <v>0.132639897968619</v>
      </c>
    </row>
    <row r="362" customFormat="false" ht="15" hidden="false" customHeight="true" outlineLevel="0" collapsed="false">
      <c r="B362" s="31" t="s">
        <v>499</v>
      </c>
      <c r="E362" s="32" t="n">
        <f aca="false">IFERROR(E357/E111,"n/a")</f>
        <v>0.143866301234364</v>
      </c>
      <c r="H362" s="32" t="n">
        <f aca="false">IFERROR(H357/H111,"n/a")</f>
        <v>0.150310932582942</v>
      </c>
      <c r="K362" s="32" t="n">
        <f aca="false">IFERROR(K357/K111,"n/a")</f>
        <v>0.145609030017365</v>
      </c>
      <c r="N362" s="32" t="n">
        <f aca="false">IFERROR(N357/N111,"n/a")</f>
        <v>0.138600035402308</v>
      </c>
      <c r="Q362" s="32" t="n">
        <f aca="false">IFERROR(Q357/Q111,"n/a")</f>
        <v>0.123083126685677</v>
      </c>
      <c r="T362" s="32" t="n">
        <f aca="false">IFERROR(T357/T111,"n/a")</f>
        <v>0.127569516482408</v>
      </c>
      <c r="W362" s="32" t="n">
        <f aca="false">IFERROR(W357/W111,"n/a")</f>
        <v>0.128524081013402</v>
      </c>
      <c r="Z362" s="32" t="n">
        <f aca="false">IFERROR(Z357/Z111,"n/a")</f>
        <v>0.125747745010814</v>
      </c>
      <c r="AC362" s="32" t="n">
        <f aca="false">IFERROR(AC357/AC111,"n/a")</f>
        <v>0.137185505486532</v>
      </c>
      <c r="AF362" s="32" t="n">
        <f aca="false">IFERROR(AF357/AF111,"n/a")</f>
        <v>0.031081977820383</v>
      </c>
      <c r="AI362" s="32" t="n">
        <f aca="false">IFERROR(AI357/AI111,"n/a")</f>
        <v>0.108169434931387</v>
      </c>
      <c r="AL362" s="32" t="n">
        <f aca="false">IFERROR(AL357/AL111,"n/a")</f>
        <v>0.146146385591949</v>
      </c>
      <c r="AO362" s="32" t="n">
        <f aca="false">IFERROR(AO357/AO111,"n/a")</f>
        <v>0.164474908286672</v>
      </c>
      <c r="AR362" s="32" t="n">
        <f aca="false">IFERROR(AR357/AR111,"n/a")</f>
        <v>0.165556806982965</v>
      </c>
      <c r="AU362" s="32" t="n">
        <f aca="false">IFERROR(AU357/AU111,"n/a")</f>
        <v>0.167513642165104</v>
      </c>
      <c r="AX362" s="33" t="n">
        <f aca="false">IFERROR(AX357/AX111,"n/a")</f>
        <v>0.17163877114335</v>
      </c>
      <c r="AY362" s="33" t="n">
        <f aca="false">IFERROR(AY357/AY111,"n/a")</f>
        <v>0.170884320780569</v>
      </c>
      <c r="AZ362" s="33" t="n">
        <f aca="false">IFERROR(AZ357/AZ111,"n/a")</f>
        <v>0.176593431533211</v>
      </c>
      <c r="BA362" s="33" t="n">
        <f aca="false">IFERROR(BA357/BA111,"n/a")</f>
        <v>0.182082010798564</v>
      </c>
      <c r="BB362" s="33" t="n">
        <f aca="false">IFERROR(BB357/BB111,"n/a")</f>
        <v>0.185478216978546</v>
      </c>
    </row>
    <row r="363" customFormat="false" ht="15" hidden="false" customHeight="true" outlineLevel="0" collapsed="false">
      <c r="B363" s="20" t="s">
        <v>500</v>
      </c>
      <c r="E363" s="61" t="n">
        <f aca="false">IFERROR(E111/E360,"n/a")</f>
        <v>2.82205913140571</v>
      </c>
      <c r="H363" s="61" t="n">
        <f aca="false">IFERROR(H111/H360,"n/a")</f>
        <v>2.3186323338978</v>
      </c>
      <c r="K363" s="61" t="n">
        <f aca="false">IFERROR(K111/K360,"n/a")</f>
        <v>1.99907014226823</v>
      </c>
      <c r="N363" s="61" t="n">
        <f aca="false">IFERROR(N111/N360,"n/a")</f>
        <v>1.67124027404079</v>
      </c>
      <c r="Q363" s="61" t="n">
        <f aca="false">IFERROR(Q111/Q360,"n/a")</f>
        <v>1.63573205892808</v>
      </c>
      <c r="T363" s="61" t="n">
        <f aca="false">IFERROR(T111/T360,"n/a")</f>
        <v>1.64706796032337</v>
      </c>
      <c r="W363" s="61" t="n">
        <f aca="false">IFERROR(W111/W360,"n/a")</f>
        <v>1.80559997705221</v>
      </c>
      <c r="Z363" s="61" t="n">
        <f aca="false">IFERROR(Z111/Z360,"n/a")</f>
        <v>1.83160990732583</v>
      </c>
      <c r="AC363" s="61" t="n">
        <f aca="false">IFERROR(AC111/AC360,"n/a")</f>
        <v>0.778296704000328</v>
      </c>
      <c r="AF363" s="61" t="n">
        <f aca="false">IFERROR(AF111/AF360,"n/a")</f>
        <v>0.627450776855463</v>
      </c>
      <c r="AI363" s="61" t="n">
        <f aca="false">IFERROR(AI111/AI360,"n/a")</f>
        <v>0.795915698843977</v>
      </c>
      <c r="AL363" s="61" t="n">
        <f aca="false">IFERROR(AL111/AL360,"n/a")</f>
        <v>0.952946783819629</v>
      </c>
      <c r="AO363" s="61" t="n">
        <f aca="false">IFERROR(AO111/AO360,"n/a")</f>
        <v>1.11965363473243</v>
      </c>
      <c r="AR363" s="61" t="n">
        <f aca="false">IFERROR(AR111/AR360,"n/a")</f>
        <v>0.991867484133332</v>
      </c>
      <c r="AU363" s="61" t="n">
        <f aca="false">IFERROR(AU111/AU360,"n/a")</f>
        <v>0.908616344692509</v>
      </c>
      <c r="AX363" s="62" t="n">
        <f aca="false">IFERROR(AX111/AX360,"n/a")</f>
        <v>0.941440920199903</v>
      </c>
      <c r="AY363" s="62" t="n">
        <f aca="false">IFERROR(AY111/AY360,"n/a")</f>
        <v>0.969698035197148</v>
      </c>
      <c r="AZ363" s="62" t="n">
        <f aca="false">IFERROR(AZ111/AZ360,"n/a")</f>
        <v>0.985292538625355</v>
      </c>
      <c r="BA363" s="62" t="n">
        <f aca="false">IFERROR(BA111/BA360,"n/a")</f>
        <v>0.992915176554724</v>
      </c>
      <c r="BB363" s="62" t="n">
        <f aca="false">IFERROR(BB111/BB360,"n/a")</f>
        <v>1.00017322697638</v>
      </c>
    </row>
    <row r="364" customFormat="false" ht="15" hidden="false" customHeight="true" outlineLevel="0" collapsed="false">
      <c r="B364" s="31" t="s">
        <v>501</v>
      </c>
      <c r="E364" s="32" t="n">
        <f aca="false">IFERROR(1-E358,"n/a")</f>
        <v>0.649922720247295</v>
      </c>
      <c r="H364" s="32" t="n">
        <f aca="false">IFERROR(1-H358,"n/a")</f>
        <v>0.65885663507109</v>
      </c>
      <c r="K364" s="32" t="n">
        <f aca="false">IFERROR(1-K358,"n/a")</f>
        <v>0.654010304946817</v>
      </c>
      <c r="N364" s="32" t="n">
        <f aca="false">IFERROR(1-N358,"n/a")</f>
        <v>0.684680997716797</v>
      </c>
      <c r="Q364" s="32" t="n">
        <f aca="false">IFERROR(1-Q358,"n/a")</f>
        <v>0.714062804759118</v>
      </c>
      <c r="T364" s="32" t="n">
        <f aca="false">IFERROR(1-T358,"n/a")</f>
        <v>0.695112359550562</v>
      </c>
      <c r="W364" s="32" t="n">
        <f aca="false">IFERROR(1-W358,"n/a")</f>
        <v>0.883377655098125</v>
      </c>
      <c r="Z364" s="32" t="n">
        <f aca="false">IFERROR(1-Z358,"n/a")</f>
        <v>0.781869428019975</v>
      </c>
      <c r="AC364" s="32" t="n">
        <f aca="false">IFERROR(1-AC358,"n/a")</f>
        <v>0.767361512663351</v>
      </c>
      <c r="AF364" s="32" t="n">
        <f aca="false">IFERROR(1-AF358,"n/a")</f>
        <v>0.949292522645196</v>
      </c>
      <c r="AI364" s="32" t="n">
        <f aca="false">IFERROR(1-AI358,"n/a")</f>
        <v>0.879252178802361</v>
      </c>
      <c r="AL364" s="32" t="n">
        <f aca="false">IFERROR(1-AL358,"n/a")</f>
        <v>0.703453338388442</v>
      </c>
      <c r="AO364" s="32" t="n">
        <f aca="false">IFERROR(1-AO358,"n/a")</f>
        <v>0.714251100432096</v>
      </c>
      <c r="AR364" s="32" t="n">
        <f aca="false">IFERROR(1-AR358,"n/a")</f>
        <v>0.715005814050529</v>
      </c>
      <c r="AU364" s="32" t="n">
        <f aca="false">IFERROR(1-AU358,"n/a")</f>
        <v>0.714604219511213</v>
      </c>
      <c r="AX364" s="33" t="n">
        <f aca="false">IFERROR(1-AX358,"n/a")</f>
        <v>0.711993004763683</v>
      </c>
      <c r="AY364" s="33" t="n">
        <f aca="false">IFERROR(1-AY358,"n/a")</f>
        <v>0.715</v>
      </c>
      <c r="AZ364" s="33" t="n">
        <f aca="false">IFERROR(1-AZ358,"n/a")</f>
        <v>0.715</v>
      </c>
      <c r="BA364" s="33" t="n">
        <f aca="false">IFERROR(1-BA358,"n/a")</f>
        <v>0.715</v>
      </c>
      <c r="BB364" s="33" t="n">
        <f aca="false">IFERROR(1-BB358,"n/a")</f>
        <v>0.715</v>
      </c>
    </row>
    <row r="365" customFormat="false" ht="15" hidden="false" customHeight="true" outlineLevel="0" collapsed="false">
      <c r="B365" s="31" t="s">
        <v>502</v>
      </c>
      <c r="E365" s="32" t="n">
        <f aca="false">IFERROR(E362*E363*E364,"n/a")</f>
        <v>0.263868110396523</v>
      </c>
      <c r="H365" s="32" t="n">
        <f aca="false">IFERROR(H362*H363*H364,"n/a")</f>
        <v>0.229621939630937</v>
      </c>
      <c r="K365" s="32" t="n">
        <f aca="false">IFERROR(K362*K363*K364,"n/a")</f>
        <v>0.190371062077815</v>
      </c>
      <c r="N365" s="32" t="n">
        <f aca="false">IFERROR(N362*N363*N364,"n/a")</f>
        <v>0.15859537162378</v>
      </c>
      <c r="Q365" s="32" t="n">
        <f aca="false">IFERROR(Q362*Q363*Q364,"n/a")</f>
        <v>0.143762990136246</v>
      </c>
      <c r="T365" s="32" t="n">
        <f aca="false">IFERROR(T362*T363*T364,"n/a")</f>
        <v>0.146053994503417</v>
      </c>
      <c r="W365" s="32" t="n">
        <f aca="false">IFERROR(W362*W363*W364,"n/a")</f>
        <v>0.204999337438617</v>
      </c>
      <c r="Z365" s="32" t="n">
        <f aca="false">IFERROR(Z362*Z363*Z364,"n/a")</f>
        <v>0.180080804343077</v>
      </c>
      <c r="AC365" s="32" t="n">
        <f aca="false">IFERROR(AC362*AC363*AC364,"n/a")</f>
        <v>0.0819319766007069</v>
      </c>
      <c r="AF365" s="32" t="n">
        <f aca="false">IFERROR(AF362*AF363*AF364,"n/a")</f>
        <v>0.0185134930588851</v>
      </c>
      <c r="AI365" s="32" t="n">
        <f aca="false">IFERROR(AI362*AI363*AI364,"n/a")</f>
        <v>0.075698118497057</v>
      </c>
      <c r="AL365" s="32" t="n">
        <f aca="false">IFERROR(AL362*AL363*AL364,"n/a")</f>
        <v>0.0979697551801509</v>
      </c>
      <c r="AO365" s="32" t="n">
        <f aca="false">IFERROR(AO362*AO363*AO364,"n/a")</f>
        <v>0.131532860606431</v>
      </c>
      <c r="AR365" s="32" t="n">
        <f aca="false">IFERROR(AR362*AR363*AR364,"n/a")</f>
        <v>0.117411400468331</v>
      </c>
      <c r="AU365" s="32" t="n">
        <f aca="false">IFERROR(AU362*AU363*AU364,"n/a")</f>
        <v>0.108766787739667</v>
      </c>
      <c r="AX365" s="33" t="n">
        <f aca="false">IFERROR(AX362*AX363*AX364,"n/a")</f>
        <v>0.115049356660204</v>
      </c>
      <c r="AY365" s="33" t="n">
        <f aca="false">IFERROR(AY362*AY363*AY364,"n/a")</f>
        <v>0.118479925926445</v>
      </c>
      <c r="AZ365" s="33" t="n">
        <f aca="false">IFERROR(AZ362*AZ363*AZ364,"n/a")</f>
        <v>0.124407276178843</v>
      </c>
      <c r="BA365" s="33" t="n">
        <f aca="false">IFERROR(BA362*BA363*BA364,"n/a")</f>
        <v>0.129266274208139</v>
      </c>
      <c r="BB365" s="33" t="n">
        <f aca="false">IFERROR(BB362*BB363*BB364,"n/a")</f>
        <v>0.13263989796862</v>
      </c>
    </row>
    <row r="366" customFormat="false" ht="15" hidden="false" customHeight="true" outlineLevel="0" collapsed="false">
      <c r="B366" s="40" t="s">
        <v>503</v>
      </c>
    </row>
    <row r="367" customFormat="false" ht="15" hidden="false" customHeight="true" outlineLevel="0" collapsed="false">
      <c r="B367" s="20" t="s">
        <v>496</v>
      </c>
      <c r="E367" s="26" t="n">
        <f aca="false">E359</f>
        <v>22.6868523956723</v>
      </c>
      <c r="H367" s="26" t="n">
        <f aca="false">H359</f>
        <v>27.6620958234597</v>
      </c>
      <c r="K367" s="26" t="n">
        <f aca="false">K359</f>
        <v>30.7097078790827</v>
      </c>
      <c r="N367" s="26" t="n">
        <f aca="false">N359</f>
        <v>33.7746289363719</v>
      </c>
      <c r="Q367" s="26" t="n">
        <f aca="false">Q359</f>
        <v>36.3993514725961</v>
      </c>
      <c r="T367" s="26" t="n">
        <f aca="false">T359</f>
        <v>40.4332957303371</v>
      </c>
      <c r="W367" s="26" t="n">
        <f aca="false">W359</f>
        <v>57.1730852156058</v>
      </c>
      <c r="Z367" s="26" t="n">
        <f aca="false">Z359</f>
        <v>54.369636285653</v>
      </c>
      <c r="AC367" s="26" t="n">
        <f aca="false">AC359</f>
        <v>63.9795334798196</v>
      </c>
      <c r="AF367" s="26" t="n">
        <f aca="false">AF359</f>
        <v>16.0515872654076</v>
      </c>
      <c r="AI367" s="26" t="n">
        <f aca="false">AI359</f>
        <v>67.7340708462187</v>
      </c>
      <c r="AL367" s="26" t="n">
        <f aca="false">AL359</f>
        <v>94.5525701194673</v>
      </c>
      <c r="AO367" s="26" t="n">
        <f aca="false">AO359</f>
        <v>133.854941727577</v>
      </c>
      <c r="AR367" s="26" t="n">
        <f aca="false">AR359</f>
        <v>151.34599566589</v>
      </c>
      <c r="AU367" s="26" t="n">
        <f aca="false">AU359</f>
        <v>168.540119775939</v>
      </c>
      <c r="AX367" s="27" t="n">
        <f aca="false">AX359</f>
        <v>186.983361315415</v>
      </c>
      <c r="AY367" s="27" t="n">
        <f aca="false">AY359</f>
        <v>206.110760407068</v>
      </c>
      <c r="AZ367" s="27" t="n">
        <f aca="false">AZ359</f>
        <v>230.627012350462</v>
      </c>
      <c r="BA367" s="27" t="n">
        <f aca="false">BA359</f>
        <v>256.15319270128</v>
      </c>
      <c r="BB367" s="27" t="n">
        <f aca="false">BB359</f>
        <v>279.627851802717</v>
      </c>
    </row>
    <row r="368" customFormat="false" ht="15" hidden="false" customHeight="true" outlineLevel="0" collapsed="false">
      <c r="B368" s="20" t="s">
        <v>504</v>
      </c>
      <c r="E368" s="26" t="n">
        <f aca="false">E273</f>
        <v>185.379</v>
      </c>
      <c r="H368" s="26" t="n">
        <f aca="false">H273</f>
        <v>250.071</v>
      </c>
      <c r="K368" s="26" t="n">
        <f aca="false">K273</f>
        <v>292.679</v>
      </c>
      <c r="N368" s="26" t="n">
        <f aca="false">N273</f>
        <v>368.134</v>
      </c>
      <c r="Q368" s="26" t="n">
        <f aca="false">Q273</f>
        <v>411.103</v>
      </c>
      <c r="T368" s="26" t="n">
        <f aca="false">T273</f>
        <v>429.894</v>
      </c>
      <c r="W368" s="26" t="n">
        <f aca="false">W273</f>
        <v>450.024</v>
      </c>
      <c r="Z368" s="26" t="n">
        <f aca="false">Z273</f>
        <v>495.755</v>
      </c>
      <c r="AC368" s="26" t="n">
        <f aca="false">AC273</f>
        <v>996.927</v>
      </c>
      <c r="AF368" s="26" t="n">
        <f aca="false">AF273</f>
        <v>1079.73</v>
      </c>
      <c r="AI368" s="26" t="n">
        <f aca="false">AI273</f>
        <v>1168.501</v>
      </c>
      <c r="AL368" s="26" t="n">
        <f aca="false">AL273</f>
        <v>1322.988</v>
      </c>
      <c r="AO368" s="26" t="n">
        <f aca="false">AO273</f>
        <v>1379.88</v>
      </c>
      <c r="AR368" s="26" t="n">
        <f aca="false">AR273</f>
        <v>1744.893</v>
      </c>
      <c r="AU368" s="26" t="n">
        <f aca="false">AU273</f>
        <v>2022.26</v>
      </c>
      <c r="AX368" s="27" t="n">
        <f aca="false">AX273</f>
        <v>2076.85135767222</v>
      </c>
      <c r="AY368" s="27" t="n">
        <f aca="false">AY273</f>
        <v>2211.02844891389</v>
      </c>
      <c r="AZ368" s="27" t="n">
        <f aca="false">AZ273</f>
        <v>2341.52276990148</v>
      </c>
      <c r="BA368" s="27" t="n">
        <f aca="false">BA273</f>
        <v>2485.6549421244</v>
      </c>
      <c r="BB368" s="27" t="n">
        <f aca="false">BB273</f>
        <v>2628.95719736035</v>
      </c>
    </row>
    <row r="369" customFormat="false" ht="15" hidden="false" customHeight="true" outlineLevel="0" collapsed="false">
      <c r="B369" s="20" t="s">
        <v>505</v>
      </c>
      <c r="E369" s="26" t="n">
        <f aca="false">-E263</f>
        <v>-11.807</v>
      </c>
      <c r="H369" s="26" t="n">
        <f aca="false">-H263</f>
        <v>-16.548</v>
      </c>
      <c r="K369" s="26" t="n">
        <f aca="false">-K263</f>
        <v>-26.552</v>
      </c>
      <c r="N369" s="26" t="n">
        <f aca="false">-N263</f>
        <v>-29.649</v>
      </c>
      <c r="Q369" s="26" t="n">
        <f aca="false">-Q263</f>
        <v>-31.479</v>
      </c>
      <c r="T369" s="26" t="n">
        <f aca="false">-T263</f>
        <v>-28.823</v>
      </c>
      <c r="W369" s="26" t="n">
        <f aca="false">-W263</f>
        <v>-30.995</v>
      </c>
      <c r="Z369" s="26" t="n">
        <f aca="false">-Z263</f>
        <v>-38.583</v>
      </c>
      <c r="AC369" s="26" t="n">
        <f aca="false">-AC263</f>
        <v>-18.508</v>
      </c>
      <c r="AF369" s="26" t="n">
        <f aca="false">-AF263</f>
        <v>-19.181</v>
      </c>
      <c r="AI369" s="26" t="n">
        <f aca="false">-AI263</f>
        <v>-20.115</v>
      </c>
      <c r="AL369" s="26" t="n">
        <f aca="false">-AL263</f>
        <v>-13.97</v>
      </c>
      <c r="AO369" s="26" t="n">
        <f aca="false">-AO263</f>
        <v>-13.824</v>
      </c>
      <c r="AR369" s="26" t="n">
        <f aca="false">-AR263</f>
        <v>-16.432</v>
      </c>
      <c r="AU369" s="26" t="n">
        <f aca="false">-AU263</f>
        <v>-21.925</v>
      </c>
      <c r="AX369" s="27" t="n">
        <f aca="false">-AX263</f>
        <v>-24.3834294294714</v>
      </c>
      <c r="AY369" s="27" t="n">
        <f aca="false">-AY263</f>
        <v>-24.9166662505022</v>
      </c>
      <c r="AZ369" s="27" t="n">
        <f aca="false">-AZ263</f>
        <v>-25.494040364558</v>
      </c>
      <c r="BA369" s="27" t="n">
        <f aca="false">-BA263</f>
        <v>-26.4111219698929</v>
      </c>
      <c r="BB369" s="27" t="n">
        <f aca="false">-BB263</f>
        <v>-27.393916575442</v>
      </c>
    </row>
    <row r="370" customFormat="false" ht="15" hidden="false" customHeight="true" outlineLevel="0" collapsed="false">
      <c r="B370" s="20" t="s">
        <v>506</v>
      </c>
      <c r="E370" s="26" t="n">
        <f aca="false">-(E287+E291)</f>
        <v>-83.329</v>
      </c>
      <c r="H370" s="26" t="n">
        <f aca="false">-(H287+H291)</f>
        <v>-83.618</v>
      </c>
      <c r="K370" s="26" t="n">
        <f aca="false">-(K287+K291)</f>
        <v>-83.573</v>
      </c>
      <c r="N370" s="26" t="n">
        <f aca="false">-(N287+N291)</f>
        <v>-83.149</v>
      </c>
      <c r="Q370" s="26" t="n">
        <f aca="false">-(Q287+Q291)</f>
        <v>-92.466</v>
      </c>
      <c r="T370" s="26" t="n">
        <f aca="false">-(T287+T291)</f>
        <v>-86.53</v>
      </c>
      <c r="W370" s="26" t="n">
        <f aca="false">-(W287+W291)</f>
        <v>-91.362</v>
      </c>
      <c r="Z370" s="26" t="n">
        <f aca="false">-(Z287+Z291)</f>
        <v>-105.878</v>
      </c>
      <c r="AC370" s="26" t="n">
        <f aca="false">-(AC287+AC291)</f>
        <v>-127.24</v>
      </c>
      <c r="AF370" s="26" t="n">
        <f aca="false">-(AF287+AF291)</f>
        <v>-129.104</v>
      </c>
      <c r="AI370" s="26" t="n">
        <f aca="false">-(AI287+AI291)</f>
        <v>-154.099</v>
      </c>
      <c r="AL370" s="26" t="n">
        <f aca="false">-(AL287+AL291)</f>
        <v>-217.443</v>
      </c>
      <c r="AO370" s="26" t="n">
        <f aca="false">-(AO287+AO291)</f>
        <v>-236.252</v>
      </c>
      <c r="AR370" s="26" t="n">
        <f aca="false">-(AR287+AR291)</f>
        <v>-241.634</v>
      </c>
      <c r="AU370" s="26" t="n">
        <f aca="false">-(AU287+AU291)</f>
        <v>-251.016</v>
      </c>
      <c r="AX370" s="27" t="n">
        <f aca="false">-(AX287+AX291)</f>
        <v>-275.585621470286</v>
      </c>
      <c r="AY370" s="27" t="n">
        <f aca="false">-(AY287+AY291)</f>
        <v>-295.381442268458</v>
      </c>
      <c r="AZ370" s="27" t="n">
        <f aca="false">-(AZ287+AZ291)</f>
        <v>-311.695309104751</v>
      </c>
      <c r="BA370" s="27" t="n">
        <f aca="false">-(BA287+BA291)</f>
        <v>-328.040566199967</v>
      </c>
      <c r="BB370" s="27" t="n">
        <f aca="false">-(BB287+BB291)</f>
        <v>-344.7631959843</v>
      </c>
    </row>
    <row r="371" customFormat="false" ht="15" hidden="false" customHeight="true" outlineLevel="0" collapsed="false">
      <c r="B371" s="20" t="s">
        <v>507</v>
      </c>
      <c r="E371" s="26" t="n">
        <f aca="false">SUM(E368:E370)</f>
        <v>90.243</v>
      </c>
      <c r="H371" s="26" t="n">
        <f aca="false">SUM(H368:H370)</f>
        <v>149.905</v>
      </c>
      <c r="K371" s="26" t="n">
        <f aca="false">SUM(K368:K370)</f>
        <v>182.554</v>
      </c>
      <c r="N371" s="26" t="n">
        <f aca="false">SUM(N368:N370)</f>
        <v>255.336</v>
      </c>
      <c r="Q371" s="26" t="n">
        <f aca="false">SUM(Q368:Q370)</f>
        <v>287.158</v>
      </c>
      <c r="T371" s="26" t="n">
        <f aca="false">SUM(T368:T370)</f>
        <v>314.541</v>
      </c>
      <c r="W371" s="26" t="n">
        <f aca="false">SUM(W368:W370)</f>
        <v>327.667</v>
      </c>
      <c r="Z371" s="26" t="n">
        <f aca="false">SUM(Z368:Z370)</f>
        <v>351.294</v>
      </c>
      <c r="AC371" s="26" t="n">
        <f aca="false">SUM(AC368:AC370)</f>
        <v>851.179</v>
      </c>
      <c r="AF371" s="26" t="n">
        <f aca="false">SUM(AF368:AF370)</f>
        <v>931.445</v>
      </c>
      <c r="AI371" s="26" t="n">
        <f aca="false">SUM(AI368:AI370)</f>
        <v>994.287</v>
      </c>
      <c r="AL371" s="26" t="n">
        <f aca="false">SUM(AL368:AL370)</f>
        <v>1091.575</v>
      </c>
      <c r="AO371" s="26" t="n">
        <f aca="false">SUM(AO368:AO370)</f>
        <v>1129.804</v>
      </c>
      <c r="AR371" s="26" t="n">
        <f aca="false">SUM(AR368:AR370)</f>
        <v>1486.827</v>
      </c>
      <c r="AU371" s="26" t="n">
        <f aca="false">SUM(AU368:AU370)</f>
        <v>1749.319</v>
      </c>
      <c r="AX371" s="27" t="n">
        <f aca="false">SUM(AX368:AX370)</f>
        <v>1776.88230677246</v>
      </c>
      <c r="AY371" s="27" t="n">
        <f aca="false">SUM(AY368:AY370)</f>
        <v>1890.73034039493</v>
      </c>
      <c r="AZ371" s="27" t="n">
        <f aca="false">SUM(AZ368:AZ370)</f>
        <v>2004.33342043217</v>
      </c>
      <c r="BA371" s="27" t="n">
        <f aca="false">SUM(BA368:BA370)</f>
        <v>2131.20325395454</v>
      </c>
      <c r="BB371" s="27" t="n">
        <f aca="false">SUM(BB368:BB370)</f>
        <v>2256.8000848006</v>
      </c>
    </row>
    <row r="372" customFormat="false" ht="15" hidden="false" customHeight="true" outlineLevel="0" collapsed="false">
      <c r="B372" s="31" t="s">
        <v>508</v>
      </c>
      <c r="E372" s="32" t="n">
        <f aca="false">IFERROR(E367/E371,"n/a")</f>
        <v>0.251397364844612</v>
      </c>
      <c r="H372" s="32" t="n">
        <f aca="false">IFERROR(H367/H371,"n/a")</f>
        <v>0.184530841689468</v>
      </c>
      <c r="K372" s="32" t="n">
        <f aca="false">IFERROR(K367/K371,"n/a")</f>
        <v>0.168222596486972</v>
      </c>
      <c r="N372" s="32" t="n">
        <f aca="false">IFERROR(N367/N371,"n/a")</f>
        <v>0.132275233168734</v>
      </c>
      <c r="Q372" s="32" t="n">
        <f aca="false">IFERROR(Q367/Q371,"n/a")</f>
        <v>0.126757225891656</v>
      </c>
      <c r="T372" s="32" t="n">
        <f aca="false">IFERROR(T367/T371,"n/a")</f>
        <v>0.128546980299347</v>
      </c>
      <c r="W372" s="32" t="n">
        <f aca="false">IFERROR(W367/W371,"n/a")</f>
        <v>0.174485331802122</v>
      </c>
      <c r="Z372" s="32" t="n">
        <f aca="false">IFERROR(Z367/Z371,"n/a")</f>
        <v>0.154769612591314</v>
      </c>
      <c r="AC372" s="32" t="n">
        <f aca="false">IFERROR(AC367/AC371,"n/a")</f>
        <v>0.0751657800296055</v>
      </c>
      <c r="AF372" s="32" t="n">
        <f aca="false">IFERROR(AF367/AF371,"n/a")</f>
        <v>0.0172329952551226</v>
      </c>
      <c r="AI372" s="32" t="n">
        <f aca="false">IFERROR(AI367/AI371,"n/a")</f>
        <v>0.0681232590250286</v>
      </c>
      <c r="AL372" s="32" t="n">
        <f aca="false">IFERROR(AL367/AL371,"n/a")</f>
        <v>0.0866203147923572</v>
      </c>
      <c r="AO372" s="32" t="n">
        <f aca="false">IFERROR(AO367/AO371,"n/a")</f>
        <v>0.118476250506794</v>
      </c>
      <c r="AR372" s="32" t="n">
        <f aca="false">IFERROR(AR367/AR371,"n/a")</f>
        <v>0.101791261300669</v>
      </c>
      <c r="AU372" s="32" t="n">
        <f aca="false">IFERROR(AU367/AU371,"n/a")</f>
        <v>0.0963461322811559</v>
      </c>
      <c r="AX372" s="33" t="n">
        <f aca="false">IFERROR(AX367/AX371,"n/a")</f>
        <v>0.105231145924939</v>
      </c>
      <c r="AY372" s="33" t="n">
        <f aca="false">IFERROR(AY367/AY371,"n/a")</f>
        <v>0.109011187901082</v>
      </c>
      <c r="AZ372" s="33" t="n">
        <f aca="false">IFERROR(AZ367/AZ371,"n/a")</f>
        <v>0.115064195407536</v>
      </c>
      <c r="BA372" s="33" t="n">
        <f aca="false">IFERROR(BA367/BA371,"n/a")</f>
        <v>0.120191817568773</v>
      </c>
      <c r="BB372" s="33" t="n">
        <f aca="false">IFERROR(BB367/BB371,"n/a")</f>
        <v>0.123904573420566</v>
      </c>
    </row>
    <row r="373" customFormat="false" ht="15" hidden="false" customHeight="true" outlineLevel="0" collapsed="false">
      <c r="B373" s="40" t="s">
        <v>509</v>
      </c>
    </row>
    <row r="374" customFormat="false" ht="15" hidden="false" customHeight="true" outlineLevel="0" collapsed="false">
      <c r="B374" s="20" t="s">
        <v>240</v>
      </c>
      <c r="E374" s="26" t="n">
        <f aca="false">E133</f>
        <v>20.268</v>
      </c>
      <c r="H374" s="26" t="n">
        <f aca="false">H133</f>
        <v>22.484</v>
      </c>
      <c r="K374" s="26" t="n">
        <f aca="false">K133</f>
        <v>30.476</v>
      </c>
      <c r="N374" s="26" t="n">
        <f aca="false">N133</f>
        <v>33.06</v>
      </c>
      <c r="Q374" s="26" t="n">
        <f aca="false">Q133</f>
        <v>33.338</v>
      </c>
      <c r="T374" s="26" t="n">
        <f aca="false">T133</f>
        <v>36.397</v>
      </c>
      <c r="W374" s="26" t="n">
        <f aca="false">W133</f>
        <v>51.117</v>
      </c>
      <c r="Z374" s="26" t="n">
        <f aca="false">Z133</f>
        <v>50.692</v>
      </c>
      <c r="AC374" s="26" t="n">
        <f aca="false">AC133</f>
        <v>52.553</v>
      </c>
      <c r="AF374" s="26" t="n">
        <f aca="false">AF133</f>
        <v>-33.216</v>
      </c>
      <c r="AI374" s="26" t="n">
        <f aca="false">AI133</f>
        <v>53.3219999999999</v>
      </c>
      <c r="AL374" s="26" t="n">
        <f aca="false">AL133</f>
        <v>80.599</v>
      </c>
      <c r="AO374" s="26" t="n">
        <f aca="false">AO133</f>
        <v>114.617</v>
      </c>
      <c r="AR374" s="26" t="n">
        <f aca="false">AR133</f>
        <v>119.478</v>
      </c>
      <c r="AU374" s="26" t="n">
        <f aca="false">AU133</f>
        <v>135.034</v>
      </c>
      <c r="AX374" s="27" t="n">
        <f aca="false">AX133</f>
        <v>155.416827724816</v>
      </c>
      <c r="AY374" s="27" t="n">
        <f aca="false">AY133</f>
        <v>169.575344903666</v>
      </c>
      <c r="AZ374" s="27" t="n">
        <f aca="false">AZ133</f>
        <v>192.347581297763</v>
      </c>
      <c r="BA374" s="27" t="n">
        <f aca="false">BA133</f>
        <v>216.487743566573</v>
      </c>
      <c r="BB374" s="27" t="n">
        <f aca="false">BB133</f>
        <v>238.647519474468</v>
      </c>
    </row>
    <row r="375" customFormat="false" ht="15" hidden="false" customHeight="true" outlineLevel="0" collapsed="false">
      <c r="B375" s="20" t="s">
        <v>401</v>
      </c>
      <c r="E375" s="26" t="n">
        <f aca="false">E277</f>
        <v>36.294</v>
      </c>
      <c r="H375" s="26" t="n">
        <f aca="false">H277</f>
        <v>117.823</v>
      </c>
      <c r="K375" s="26" t="n">
        <f aca="false">K277</f>
        <v>142.054</v>
      </c>
      <c r="N375" s="26" t="n">
        <f aca="false">N277</f>
        <v>164.757</v>
      </c>
      <c r="Q375" s="26" t="n">
        <f aca="false">Q277</f>
        <v>190.233</v>
      </c>
      <c r="T375" s="26" t="n">
        <f aca="false">T277</f>
        <v>218.943</v>
      </c>
      <c r="W375" s="26" t="n">
        <f aca="false">W277</f>
        <v>259.001</v>
      </c>
      <c r="Z375" s="26" t="n">
        <f aca="false">Z277</f>
        <v>284.673</v>
      </c>
      <c r="AC375" s="26" t="n">
        <f aca="false">AC277</f>
        <v>297.649</v>
      </c>
      <c r="AF375" s="26" t="n">
        <f aca="false">AF277</f>
        <v>258.969</v>
      </c>
      <c r="AI375" s="26" t="n">
        <f aca="false">AI277</f>
        <v>316.141</v>
      </c>
      <c r="AL375" s="26" t="n">
        <f aca="false">AL277</f>
        <v>382.543</v>
      </c>
      <c r="AO375" s="26" t="n">
        <f aca="false">AO277</f>
        <v>441.791</v>
      </c>
      <c r="AR375" s="26" t="n">
        <f aca="false">AR277</f>
        <v>489.938</v>
      </c>
      <c r="AU375" s="26" t="n">
        <f aca="false">AU277</f>
        <v>546.02</v>
      </c>
      <c r="AX375" s="27" t="n">
        <f aca="false">AX277</f>
        <v>627.248827724816</v>
      </c>
      <c r="AY375" s="27" t="n">
        <f aca="false">AY277</f>
        <v>711.304172628482</v>
      </c>
      <c r="AZ375" s="27" t="n">
        <f aca="false">AZ277</f>
        <v>810.651753926245</v>
      </c>
      <c r="BA375" s="27" t="n">
        <f aca="false">BA277</f>
        <v>923.259497492818</v>
      </c>
      <c r="BB375" s="27" t="n">
        <f aca="false">BB277</f>
        <v>1045.78701696729</v>
      </c>
    </row>
    <row r="376" customFormat="false" ht="15" hidden="false" customHeight="true" outlineLevel="0" collapsed="false">
      <c r="B376" s="31" t="s">
        <v>510</v>
      </c>
      <c r="E376" s="32" t="n">
        <f aca="false">IFERROR(E374/E375,"n/a")</f>
        <v>0.55843941147297</v>
      </c>
      <c r="H376" s="32" t="n">
        <f aca="false">IFERROR(H374/H375,"n/a")</f>
        <v>0.190828615805064</v>
      </c>
      <c r="K376" s="32" t="n">
        <f aca="false">IFERROR(K374/K375,"n/a")</f>
        <v>0.214538133385895</v>
      </c>
      <c r="N376" s="32" t="n">
        <f aca="false">IFERROR(N374/N375,"n/a")</f>
        <v>0.200659152570149</v>
      </c>
      <c r="Q376" s="32" t="n">
        <f aca="false">IFERROR(Q374/Q375,"n/a")</f>
        <v>0.175248248200891</v>
      </c>
      <c r="T376" s="32" t="n">
        <f aca="false">IFERROR(T374/T375,"n/a")</f>
        <v>0.166239614876931</v>
      </c>
      <c r="W376" s="32" t="n">
        <f aca="false">IFERROR(W374/W375,"n/a")</f>
        <v>0.197362172346825</v>
      </c>
      <c r="Z376" s="32" t="n">
        <f aca="false">IFERROR(Z374/Z375,"n/a")</f>
        <v>0.178070979685464</v>
      </c>
      <c r="AC376" s="32" t="n">
        <f aca="false">IFERROR(AC374/AC375,"n/a")</f>
        <v>0.176560310970304</v>
      </c>
      <c r="AF376" s="32" t="n">
        <f aca="false">IFERROR(AF374/AF375,"n/a")</f>
        <v>-0.128262456124092</v>
      </c>
      <c r="AI376" s="32" t="n">
        <f aca="false">IFERROR(AI374/AI375,"n/a")</f>
        <v>0.168665247468693</v>
      </c>
      <c r="AL376" s="32" t="n">
        <f aca="false">IFERROR(AL374/AL375,"n/a")</f>
        <v>0.21069265415914</v>
      </c>
      <c r="AO376" s="32" t="n">
        <f aca="false">IFERROR(AO374/AO375,"n/a")</f>
        <v>0.259437154672684</v>
      </c>
      <c r="AR376" s="32" t="n">
        <f aca="false">IFERROR(AR374/AR375,"n/a")</f>
        <v>0.243863509260355</v>
      </c>
      <c r="AU376" s="32" t="n">
        <f aca="false">IFERROR(AU374/AU375,"n/a")</f>
        <v>0.247305959488664</v>
      </c>
      <c r="AX376" s="33" t="n">
        <f aca="false">IFERROR(AX374/AX375,"n/a")</f>
        <v>0.247775397665629</v>
      </c>
      <c r="AY376" s="33" t="n">
        <f aca="false">IFERROR(AY374/AY375,"n/a")</f>
        <v>0.238400604732902</v>
      </c>
      <c r="AZ376" s="33" t="n">
        <f aca="false">IFERROR(AZ374/AZ375,"n/a")</f>
        <v>0.23727522991983</v>
      </c>
      <c r="BA376" s="33" t="n">
        <f aca="false">IFERROR(BA374/BA375,"n/a")</f>
        <v>0.234482010912925</v>
      </c>
      <c r="BB376" s="33" t="n">
        <f aca="false">IFERROR(BB374/BB375,"n/a")</f>
        <v>0.228198969391043</v>
      </c>
    </row>
    <row r="377" customFormat="false" ht="15" hidden="false" customHeight="true" outlineLevel="0" collapsed="false">
      <c r="B377" s="40" t="s">
        <v>511</v>
      </c>
    </row>
    <row r="378" customFormat="false" ht="15" hidden="false" customHeight="true" outlineLevel="0" collapsed="false">
      <c r="B378" s="20" t="s">
        <v>512</v>
      </c>
      <c r="E378" s="26" t="n">
        <f aca="false">E300</f>
        <v>47.994</v>
      </c>
      <c r="H378" s="26" t="n">
        <f aca="false">H300</f>
        <v>0.851</v>
      </c>
      <c r="K378" s="26" t="n">
        <f aca="false">K300</f>
        <v>16.101</v>
      </c>
      <c r="N378" s="26" t="n">
        <f aca="false">N300</f>
        <v>42.636</v>
      </c>
      <c r="Q378" s="26" t="n">
        <f aca="false">Q300</f>
        <v>56.412</v>
      </c>
      <c r="T378" s="26" t="n">
        <f aca="false">T300</f>
        <v>50.956</v>
      </c>
      <c r="W378" s="26" t="n">
        <f aca="false">W300</f>
        <v>15.703</v>
      </c>
      <c r="Z378" s="26" t="n">
        <f aca="false">Z300</f>
        <v>14.536</v>
      </c>
      <c r="AC378" s="26" t="n">
        <f aca="false">AC300</f>
        <v>30.07</v>
      </c>
      <c r="AF378" s="26" t="n">
        <f aca="false">AF300</f>
        <v>93.549</v>
      </c>
      <c r="AI378" s="26" t="n">
        <f aca="false">AI300</f>
        <v>23.029</v>
      </c>
      <c r="AL378" s="26" t="n">
        <f aca="false">AL300</f>
        <v>7.147</v>
      </c>
      <c r="AO378" s="26" t="n">
        <f aca="false">AO300</f>
        <v>6.146</v>
      </c>
      <c r="AR378" s="26" t="n">
        <f aca="false">AR300</f>
        <v>103.581</v>
      </c>
      <c r="AU378" s="26" t="n">
        <f aca="false">AU300</f>
        <v>198.365</v>
      </c>
      <c r="AX378" s="27" t="n">
        <f aca="false">AX300</f>
        <v>139.851635521919</v>
      </c>
      <c r="AY378" s="27" t="n">
        <f aca="false">AY300</f>
        <v>127.508088170685</v>
      </c>
      <c r="AZ378" s="27" t="n">
        <f aca="false">AZ300</f>
        <v>99.7117175665736</v>
      </c>
      <c r="BA378" s="27" t="n">
        <f aca="false">BA300</f>
        <v>63.4554606486641</v>
      </c>
      <c r="BB378" s="27" t="n">
        <f aca="false">BB300</f>
        <v>19.4933555344442</v>
      </c>
    </row>
    <row r="379" customFormat="false" ht="15" hidden="false" customHeight="true" outlineLevel="0" collapsed="false">
      <c r="B379" s="20" t="s">
        <v>513</v>
      </c>
      <c r="E379" s="26" t="n">
        <f aca="false">E162</f>
        <v>40.16</v>
      </c>
      <c r="H379" s="26" t="n">
        <f aca="false">H162</f>
        <v>49.11</v>
      </c>
      <c r="K379" s="26" t="n">
        <f aca="false">K162</f>
        <v>58.181</v>
      </c>
      <c r="N379" s="26" t="n">
        <f aca="false">N162</f>
        <v>63.041</v>
      </c>
      <c r="Q379" s="26" t="n">
        <f aca="false">Q162</f>
        <v>69.124</v>
      </c>
      <c r="T379" s="26" t="n">
        <f aca="false">T162</f>
        <v>78.215</v>
      </c>
      <c r="W379" s="26" t="n">
        <f aca="false">W162</f>
        <v>87.476</v>
      </c>
      <c r="Z379" s="26" t="n">
        <f aca="false">Z162</f>
        <v>95.143</v>
      </c>
      <c r="AC379" s="26" t="n">
        <f aca="false">AC162</f>
        <v>106.058</v>
      </c>
      <c r="AF379" s="26" t="n">
        <f aca="false">AF162</f>
        <v>41.759</v>
      </c>
      <c r="AI379" s="26" t="n">
        <f aca="false">AI162</f>
        <v>110.013</v>
      </c>
      <c r="AL379" s="26" t="n">
        <f aca="false">AL162</f>
        <v>172.411</v>
      </c>
      <c r="AO379" s="26" t="n">
        <f aca="false">AO162</f>
        <v>230.279</v>
      </c>
      <c r="AR379" s="26" t="n">
        <f aca="false">AR162</f>
        <v>243.023</v>
      </c>
      <c r="AU379" s="26" t="n">
        <f aca="false">AU162</f>
        <v>265.797</v>
      </c>
      <c r="AX379" s="27" t="n">
        <f aca="false">AX162</f>
        <v>297.757179818447</v>
      </c>
      <c r="AY379" s="27" t="n">
        <f aca="false">AY162</f>
        <v>323.930093645623</v>
      </c>
      <c r="AZ379" s="27" t="n">
        <f aca="false">AZ162</f>
        <v>362.399224444833</v>
      </c>
      <c r="BA379" s="27" t="n">
        <f aca="false">BA162</f>
        <v>400.409542387904</v>
      </c>
      <c r="BB379" s="27" t="n">
        <f aca="false">BB162</f>
        <v>437.063991489452</v>
      </c>
    </row>
    <row r="380" customFormat="false" ht="15" hidden="false" customHeight="true" outlineLevel="0" collapsed="false">
      <c r="B380" s="20" t="s">
        <v>514</v>
      </c>
      <c r="E380" s="61" t="n">
        <f aca="false">IFERROR(E378/E379,"n/a")</f>
        <v>1.19506972111554</v>
      </c>
      <c r="H380" s="61" t="n">
        <f aca="false">IFERROR(H378/H379,"n/a")</f>
        <v>0.0173284463449399</v>
      </c>
      <c r="K380" s="61" t="n">
        <f aca="false">IFERROR(K378/K379,"n/a")</f>
        <v>0.276739829153848</v>
      </c>
      <c r="N380" s="61" t="n">
        <f aca="false">IFERROR(N378/N379,"n/a")</f>
        <v>0.676321758855348</v>
      </c>
      <c r="Q380" s="61" t="n">
        <f aca="false">IFERROR(Q378/Q379,"n/a")</f>
        <v>0.81609860540478</v>
      </c>
      <c r="T380" s="61" t="n">
        <f aca="false">IFERROR(T378/T379,"n/a")</f>
        <v>0.651486287796459</v>
      </c>
      <c r="W380" s="61" t="n">
        <f aca="false">IFERROR(W378/W379,"n/a")</f>
        <v>0.179512094745987</v>
      </c>
      <c r="Z380" s="61" t="n">
        <f aca="false">IFERROR(Z378/Z379,"n/a")</f>
        <v>0.152780551380554</v>
      </c>
      <c r="AC380" s="61" t="n">
        <f aca="false">IFERROR(AC378/AC379,"n/a")</f>
        <v>0.283524109449547</v>
      </c>
      <c r="AF380" s="61" t="n">
        <f aca="false">IFERROR(AF378/AF379,"n/a")</f>
        <v>2.24021169089298</v>
      </c>
      <c r="AI380" s="61" t="n">
        <f aca="false">IFERROR(AI378/AI379,"n/a")</f>
        <v>0.209329806477416</v>
      </c>
      <c r="AL380" s="61" t="n">
        <f aca="false">IFERROR(AL378/AL379,"n/a")</f>
        <v>0.041453271542999</v>
      </c>
      <c r="AO380" s="61" t="n">
        <f aca="false">IFERROR(AO378/AO379,"n/a")</f>
        <v>0.0266893637717725</v>
      </c>
      <c r="AR380" s="61" t="n">
        <f aca="false">IFERROR(AR378/AR379,"n/a")</f>
        <v>0.426218917551014</v>
      </c>
      <c r="AU380" s="61" t="n">
        <f aca="false">IFERROR(AU378/AU379,"n/a")</f>
        <v>0.746302629450294</v>
      </c>
      <c r="AX380" s="62" t="n">
        <f aca="false">IFERROR(AX378/AX379,"n/a")</f>
        <v>0.469683503877864</v>
      </c>
      <c r="AY380" s="62" t="n">
        <f aca="false">IFERROR(AY378/AY379,"n/a")</f>
        <v>0.393628411413292</v>
      </c>
      <c r="AZ380" s="62" t="n">
        <f aca="false">IFERROR(AZ378/AZ379,"n/a")</f>
        <v>0.275143297338243</v>
      </c>
      <c r="BA380" s="62" t="n">
        <f aca="false">IFERROR(BA378/BA379,"n/a")</f>
        <v>0.158476394618963</v>
      </c>
      <c r="BB380" s="62" t="n">
        <f aca="false">IFERROR(BB378/BB379,"n/a")</f>
        <v>0.0446006898624013</v>
      </c>
    </row>
    <row r="381" customFormat="false" ht="15" hidden="false" customHeight="true" outlineLevel="0" collapsed="false">
      <c r="B381" s="20" t="s">
        <v>515</v>
      </c>
      <c r="E381" s="61" t="n">
        <f aca="false">IFERROR(E305/E158,"n/a")</f>
        <v>1.19506972111554</v>
      </c>
      <c r="H381" s="61" t="n">
        <f aca="false">IFERROR(H305/H158,"n/a")</f>
        <v>0.0173284463449399</v>
      </c>
      <c r="K381" s="61" t="n">
        <f aca="false">IFERROR(K305/K158,"n/a")</f>
        <v>0.276739829153848</v>
      </c>
      <c r="N381" s="61" t="n">
        <f aca="false">IFERROR(N305/N158,"n/a")</f>
        <v>0.676321758855348</v>
      </c>
      <c r="Q381" s="61" t="n">
        <f aca="false">IFERROR(Q305/Q158,"n/a")</f>
        <v>0.81609860540478</v>
      </c>
      <c r="T381" s="61" t="n">
        <f aca="false">IFERROR(T305/T158,"n/a")</f>
        <v>0.651486287796459</v>
      </c>
      <c r="W381" s="61" t="n">
        <f aca="false">IFERROR(W305/W158,"n/a")</f>
        <v>0.179512094745987</v>
      </c>
      <c r="Z381" s="61" t="n">
        <f aca="false">IFERROR(Z305/Z158,"n/a")</f>
        <v>0.152780551380554</v>
      </c>
      <c r="AC381" s="61" t="n">
        <f aca="false">IFERROR(AC305/AC158,"n/a")</f>
        <v>2.83887493662528</v>
      </c>
      <c r="AF381" s="61" t="n">
        <f aca="false">IFERROR(AF305/AF158,"n/a")</f>
        <v>4.99960393752114</v>
      </c>
      <c r="AI381" s="61" t="n">
        <f aca="false">IFERROR(AI305/AI158,"n/a")</f>
        <v>2.96099032129574</v>
      </c>
      <c r="AL381" s="61" t="n">
        <f aca="false">IFERROR(AL305/AL158,"n/a")</f>
        <v>2.14803440495275</v>
      </c>
      <c r="AO381" s="61" t="n">
        <f aca="false">IFERROR(AO305/AO158,"n/a")</f>
        <v>1.7288560035065</v>
      </c>
      <c r="AR381" s="61" t="n">
        <f aca="false">IFERROR(AR305/AR158,"n/a")</f>
        <v>2.14555426064304</v>
      </c>
      <c r="AU381" s="61" t="n">
        <f aca="false">IFERROR(AU305/AU158,"n/a")</f>
        <v>2.36647673382749</v>
      </c>
      <c r="AX381" s="62" t="n">
        <f aca="false">IFERROR(AX305/AX158,"n/a")</f>
        <v>2.1108447491819</v>
      </c>
      <c r="AY381" s="62" t="n">
        <f aca="false">IFERROR(AY305/AY158,"n/a")</f>
        <v>1.95704506127656</v>
      </c>
      <c r="AZ381" s="62" t="n">
        <f aca="false">IFERROR(AZ305/AZ158,"n/a")</f>
        <v>1.80728616537857</v>
      </c>
      <c r="BA381" s="62" t="n">
        <f aca="false">IFERROR(BA305/BA158,"n/a")</f>
        <v>1.68196518075174</v>
      </c>
      <c r="BB381" s="62" t="n">
        <f aca="false">IFERROR(BB305/BB158,"n/a")</f>
        <v>1.55500050143282</v>
      </c>
    </row>
    <row r="382" customFormat="false" ht="15" hidden="false" customHeight="true" outlineLevel="0" collapsed="false"/>
    <row r="383" customFormat="false" ht="15" hidden="false" customHeight="true" outlineLevel="0" collapsed="false">
      <c r="B383" s="9" t="s">
        <v>516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 t="s">
        <v>517</v>
      </c>
    </row>
    <row r="384" customFormat="false" ht="15" hidden="false" customHeight="true" outlineLevel="0" collapsed="false">
      <c r="B384" s="20" t="s">
        <v>518</v>
      </c>
      <c r="AX384" s="67" t="n">
        <v>80.18</v>
      </c>
      <c r="AY384" s="57" t="n">
        <f aca="false">AX384</f>
        <v>80.18</v>
      </c>
      <c r="AZ384" s="57" t="n">
        <f aca="false">AY384</f>
        <v>80.18</v>
      </c>
      <c r="BA384" s="57" t="n">
        <f aca="false">AZ384</f>
        <v>80.18</v>
      </c>
      <c r="BB384" s="57" t="n">
        <f aca="false">BA384</f>
        <v>80.18</v>
      </c>
      <c r="BC384" s="18" t="s">
        <v>519</v>
      </c>
    </row>
    <row r="385" customFormat="false" ht="15" hidden="false" customHeight="true" outlineLevel="0" collapsed="false">
      <c r="B385" s="20" t="s">
        <v>520</v>
      </c>
      <c r="AX385" s="53" t="n">
        <f aca="false">AX256</f>
        <v>68</v>
      </c>
      <c r="AY385" s="53" t="n">
        <f aca="false">AY256</f>
        <v>68</v>
      </c>
      <c r="AZ385" s="53" t="n">
        <f aca="false">AZ256</f>
        <v>68</v>
      </c>
      <c r="BA385" s="53" t="n">
        <f aca="false">BA256</f>
        <v>68</v>
      </c>
      <c r="BB385" s="53" t="n">
        <f aca="false">BB256</f>
        <v>68</v>
      </c>
    </row>
    <row r="386" customFormat="false" ht="15" hidden="false" customHeight="true" outlineLevel="0" collapsed="false">
      <c r="B386" s="20" t="s">
        <v>521</v>
      </c>
      <c r="AX386" s="27" t="n">
        <f aca="false">IFERROR(AX384*AX385,"n/a")</f>
        <v>5452.24</v>
      </c>
      <c r="AY386" s="27" t="n">
        <f aca="false">IFERROR(AY384*AY385,"n/a")</f>
        <v>5452.24</v>
      </c>
      <c r="AZ386" s="27" t="n">
        <f aca="false">IFERROR(AZ384*AZ385,"n/a")</f>
        <v>5452.24</v>
      </c>
      <c r="BA386" s="27" t="n">
        <f aca="false">IFERROR(BA384*BA385,"n/a")</f>
        <v>5452.24</v>
      </c>
      <c r="BB386" s="27" t="n">
        <f aca="false">IFERROR(BB384*BB385,"n/a")</f>
        <v>5452.24</v>
      </c>
    </row>
    <row r="387" customFormat="false" ht="15" hidden="false" customHeight="true" outlineLevel="0" collapsed="false">
      <c r="B387" s="20" t="s">
        <v>522</v>
      </c>
      <c r="AX387" s="27" t="n">
        <f aca="false">AX300</f>
        <v>139.851635521919</v>
      </c>
      <c r="AY387" s="27" t="n">
        <f aca="false">AY300</f>
        <v>127.508088170685</v>
      </c>
      <c r="AZ387" s="27" t="n">
        <f aca="false">AZ300</f>
        <v>99.7117175665736</v>
      </c>
      <c r="BA387" s="27" t="n">
        <f aca="false">BA300</f>
        <v>63.4554606486641</v>
      </c>
      <c r="BB387" s="27" t="n">
        <f aca="false">BB300</f>
        <v>19.4933555344442</v>
      </c>
    </row>
    <row r="388" customFormat="false" ht="15" hidden="false" customHeight="true" outlineLevel="0" collapsed="false">
      <c r="B388" s="20" t="s">
        <v>523</v>
      </c>
      <c r="AX388" s="27" t="n">
        <f aca="false">AX304</f>
        <v>837.5023218</v>
      </c>
      <c r="AY388" s="27" t="n">
        <f aca="false">AY304</f>
        <v>876.106155320077</v>
      </c>
      <c r="AZ388" s="27" t="n">
        <f aca="false">AZ304</f>
        <v>913.72091622365</v>
      </c>
      <c r="BA388" s="27" t="n">
        <f aca="false">BA304</f>
        <v>959.136022054081</v>
      </c>
      <c r="BB388" s="27" t="n">
        <f aca="false">BB304</f>
        <v>1000.20658650068</v>
      </c>
    </row>
    <row r="389" customFormat="false" ht="15" hidden="false" customHeight="true" outlineLevel="0" collapsed="false">
      <c r="B389" s="20" t="s">
        <v>524</v>
      </c>
      <c r="AX389" s="27" t="n">
        <f aca="false">AX278</f>
        <v>20.6419511552007</v>
      </c>
      <c r="AY389" s="27" t="n">
        <f aca="false">AY278</f>
        <v>24.7075905261868</v>
      </c>
      <c r="AZ389" s="27" t="n">
        <f aca="false">AZ278</f>
        <v>29.7220730802602</v>
      </c>
      <c r="BA389" s="27" t="n">
        <f aca="false">BA278</f>
        <v>35.7423957288674</v>
      </c>
      <c r="BB389" s="27" t="n">
        <f aca="false">BB278</f>
        <v>42.6860423736369</v>
      </c>
    </row>
    <row r="390" customFormat="false" ht="15" hidden="false" customHeight="true" outlineLevel="0" collapsed="false">
      <c r="B390" s="14" t="s">
        <v>525</v>
      </c>
      <c r="AX390" s="36" t="n">
        <f aca="false">IFERROR(AX386+AX387+AX388+AX389,"n/a")</f>
        <v>6450.23590847712</v>
      </c>
      <c r="AY390" s="36" t="n">
        <f aca="false">IFERROR(AY386+AY387+AY388+AY389,"n/a")</f>
        <v>6480.56183401695</v>
      </c>
      <c r="AZ390" s="36" t="n">
        <f aca="false">IFERROR(AZ386+AZ387+AZ388+AZ389,"n/a")</f>
        <v>6495.39470687049</v>
      </c>
      <c r="BA390" s="36" t="n">
        <f aca="false">IFERROR(BA386+BA387+BA388+BA389,"n/a")</f>
        <v>6510.57387843161</v>
      </c>
      <c r="BB390" s="36" t="n">
        <f aca="false">IFERROR(BB386+BB387+BB388+BB389,"n/a")</f>
        <v>6514.62598440876</v>
      </c>
    </row>
    <row r="391" customFormat="false" ht="15" hidden="false" customHeight="true" outlineLevel="0" collapsed="false">
      <c r="B391" s="14" t="s">
        <v>526</v>
      </c>
      <c r="AX391" s="36" t="n">
        <f aca="false">IFERROR(AX390-AX388,"n/a")</f>
        <v>5612.73358667712</v>
      </c>
      <c r="AY391" s="36" t="n">
        <f aca="false">IFERROR(AY390-AY388,"n/a")</f>
        <v>5604.45567869687</v>
      </c>
      <c r="AZ391" s="36" t="n">
        <f aca="false">IFERROR(AZ390-AZ388,"n/a")</f>
        <v>5581.67379064683</v>
      </c>
      <c r="BA391" s="36" t="n">
        <f aca="false">IFERROR(BA390-BA388,"n/a")</f>
        <v>5551.43785637753</v>
      </c>
      <c r="BB391" s="36" t="n">
        <f aca="false">IFERROR(BB390-BB388,"n/a")</f>
        <v>5514.41939790808</v>
      </c>
    </row>
    <row r="392" customFormat="false" ht="15" hidden="false" customHeight="true" outlineLevel="0" collapsed="false">
      <c r="B392" s="40" t="s">
        <v>527</v>
      </c>
    </row>
    <row r="393" customFormat="false" ht="15" hidden="false" customHeight="true" outlineLevel="0" collapsed="false">
      <c r="B393" s="20" t="s">
        <v>528</v>
      </c>
      <c r="AX393" s="62" t="n">
        <f aca="false">IFERROR(AX390/AX111,"n/a")</f>
        <v>4.21564235541946</v>
      </c>
      <c r="AY393" s="62" t="n">
        <f aca="false">IFERROR(AY390/AY111,"n/a")</f>
        <v>3.84167172855574</v>
      </c>
      <c r="AZ393" s="62" t="n">
        <f aca="false">IFERROR(AZ390/AZ111,"n/a")</f>
        <v>3.55611634804812</v>
      </c>
      <c r="BA393" s="62" t="n">
        <f aca="false">IFERROR(BA390/BA111,"n/a")</f>
        <v>3.30896810254956</v>
      </c>
      <c r="BB393" s="62" t="n">
        <f aca="false">IFERROR(BB390/BB111,"n/a")</f>
        <v>3.08964096715501</v>
      </c>
    </row>
    <row r="394" customFormat="false" ht="15" hidden="false" customHeight="true" outlineLevel="0" collapsed="false">
      <c r="B394" s="20" t="s">
        <v>529</v>
      </c>
      <c r="AX394" s="62" t="n">
        <f aca="false">IFERROR(AX390/AX158,"n/a")</f>
        <v>13.9309269649878</v>
      </c>
      <c r="AY394" s="62" t="n">
        <f aca="false">IFERROR(AY390/AY158,"n/a")</f>
        <v>12.6370780544597</v>
      </c>
      <c r="AZ394" s="62" t="n">
        <f aca="false">IFERROR(AZ390/AZ158,"n/a")</f>
        <v>11.5834408731209</v>
      </c>
      <c r="BA394" s="62" t="n">
        <f aca="false">IFERROR(BA390/BA158,"n/a")</f>
        <v>10.7086346360827</v>
      </c>
      <c r="BB394" s="62" t="n">
        <f aca="false">IFERROR(BB390/BB158,"n/a")</f>
        <v>9.93453687188106</v>
      </c>
    </row>
    <row r="395" customFormat="false" ht="15" hidden="false" customHeight="true" outlineLevel="0" collapsed="false">
      <c r="B395" s="20" t="s">
        <v>530</v>
      </c>
      <c r="AX395" s="62" t="n">
        <f aca="false">IFERROR(AX391/AX162,"n/a")</f>
        <v>18.8500360935021</v>
      </c>
      <c r="AY395" s="62" t="n">
        <f aca="false">IFERROR(AY391/AY162,"n/a")</f>
        <v>17.3014356758965</v>
      </c>
      <c r="AZ395" s="62" t="n">
        <f aca="false">IFERROR(AZ391/AZ162,"n/a")</f>
        <v>15.4020025820903</v>
      </c>
      <c r="BA395" s="62" t="n">
        <f aca="false">IFERROR(BA391/BA162,"n/a")</f>
        <v>13.864399492756</v>
      </c>
      <c r="BB395" s="62" t="n">
        <f aca="false">IFERROR(BB391/BB162,"n/a")</f>
        <v>12.6169611436433</v>
      </c>
    </row>
    <row r="396" customFormat="false" ht="15" hidden="false" customHeight="true" outlineLevel="0" collapsed="false">
      <c r="B396" s="20" t="s">
        <v>531</v>
      </c>
      <c r="AX396" s="62" t="n">
        <f aca="false">IFERROR(AX390/AX168,"n/a")</f>
        <v>24.5611310739263</v>
      </c>
      <c r="AY396" s="62" t="n">
        <f aca="false">IFERROR(AY390/AY168,"n/a")</f>
        <v>22.4811247223132</v>
      </c>
      <c r="AZ396" s="62" t="n">
        <f aca="false">IFERROR(AZ390/AZ168,"n/a")</f>
        <v>20.1373081499882</v>
      </c>
      <c r="BA396" s="62" t="n">
        <f aca="false">IFERROR(BA390/BA168,"n/a")</f>
        <v>18.172954527673</v>
      </c>
      <c r="BB396" s="62" t="n">
        <f aca="false">IFERROR(BB390/BB168,"n/a")</f>
        <v>16.6577025458056</v>
      </c>
    </row>
    <row r="397" customFormat="false" ht="15" hidden="false" customHeight="true" outlineLevel="0" collapsed="false">
      <c r="B397" s="20" t="s">
        <v>532</v>
      </c>
      <c r="AX397" s="62" t="n">
        <f aca="false">IFERROR(AX390/AX360,"n/a")</f>
        <v>3.96877821831978</v>
      </c>
      <c r="AY397" s="62" t="n">
        <f aca="false">IFERROR(AY390/AY360,"n/a")</f>
        <v>3.72526152705293</v>
      </c>
      <c r="AZ397" s="62" t="n">
        <f aca="false">IFERROR(AZ390/AZ360,"n/a")</f>
        <v>3.50381490421546</v>
      </c>
      <c r="BA397" s="62" t="n">
        <f aca="false">IFERROR(BA390/BA360,"n/a")</f>
        <v>3.28552464775695</v>
      </c>
      <c r="BB397" s="62" t="n">
        <f aca="false">IFERROR(BB390/BB360,"n/a")</f>
        <v>3.09017617631785</v>
      </c>
    </row>
    <row r="398" customFormat="false" ht="15" hidden="false" customHeight="true" outlineLevel="0" collapsed="false">
      <c r="B398" s="20" t="s">
        <v>533</v>
      </c>
      <c r="AX398" s="62" t="n">
        <f aca="false">IFERROR(AX384/AX139,"n/a")</f>
        <v>35.0814006424958</v>
      </c>
      <c r="AY398" s="62" t="n">
        <f aca="false">IFERROR(AY384/AY139,"n/a")</f>
        <v>32.1523155568243</v>
      </c>
      <c r="AZ398" s="62" t="n">
        <f aca="false">IFERROR(AZ384/AZ139,"n/a")</f>
        <v>28.345768442805</v>
      </c>
      <c r="BA398" s="62" t="n">
        <f aca="false">IFERROR(BA384/BA139,"n/a")</f>
        <v>25.1849823466952</v>
      </c>
      <c r="BB398" s="62" t="n">
        <f aca="false">IFERROR(BB384/BB139,"n/a")</f>
        <v>22.8464138743471</v>
      </c>
    </row>
    <row r="399" customFormat="false" ht="15" hidden="false" customHeight="true" outlineLevel="0" collapsed="false">
      <c r="B399" s="20" t="s">
        <v>534</v>
      </c>
      <c r="AX399" s="62" t="n">
        <f aca="false">IFERROR(AX384/AX188,"n/a")</f>
        <v>35.0814006424958</v>
      </c>
      <c r="AY399" s="62" t="n">
        <f aca="false">IFERROR(AY384/AY188,"n/a")</f>
        <v>32.1523155568243</v>
      </c>
      <c r="AZ399" s="62" t="n">
        <f aca="false">IFERROR(AZ384/AZ188,"n/a")</f>
        <v>28.345768442805</v>
      </c>
      <c r="BA399" s="62" t="n">
        <f aca="false">IFERROR(BA384/BA188,"n/a")</f>
        <v>25.1849823466952</v>
      </c>
      <c r="BB399" s="62" t="n">
        <f aca="false">IFERROR(BB384/BB188,"n/a")</f>
        <v>22.8464138743471</v>
      </c>
    </row>
    <row r="400" customFormat="false" ht="15" hidden="false" customHeight="true" outlineLevel="0" collapsed="false">
      <c r="B400" s="31" t="s">
        <v>535</v>
      </c>
      <c r="AX400" s="33" t="n">
        <f aca="false">IFERROR(AX240/AX386,"n/a")</f>
        <v>0.0221676530156561</v>
      </c>
      <c r="AY400" s="33" t="n">
        <f aca="false">IFERROR(AY240/AY386,"n/a")</f>
        <v>0.0184994694568166</v>
      </c>
      <c r="AZ400" s="33" t="n">
        <f aca="false">IFERROR(AZ240/AZ386,"n/a")</f>
        <v>0.0227055981769166</v>
      </c>
      <c r="BA400" s="33" t="n">
        <f aca="false">IFERROR(BA240/BA386,"n/a")</f>
        <v>0.0262527432611018</v>
      </c>
      <c r="BB400" s="33" t="n">
        <f aca="false">IFERROR(BB240/BB386,"n/a")</f>
        <v>0.0299110283322487</v>
      </c>
    </row>
    <row r="401" customFormat="false" ht="15" hidden="false" customHeight="true" outlineLevel="0" collapsed="false">
      <c r="B401" s="31" t="s">
        <v>536</v>
      </c>
      <c r="AX401" s="33" t="n">
        <f aca="false">IFERROR(AX142/AX384,"n/a")</f>
        <v>0.014218009478673</v>
      </c>
      <c r="AY401" s="33" t="n">
        <f aca="false">IFERROR(AY142/AY384,"n/a")</f>
        <v>0.0155899226739835</v>
      </c>
      <c r="AZ401" s="33" t="n">
        <f aca="false">IFERROR(AZ142/AZ384,"n/a")</f>
        <v>0.0175854327762534</v>
      </c>
      <c r="BA401" s="33" t="n">
        <f aca="false">IFERROR(BA142/BA384,"n/a")</f>
        <v>0.0198303816413071</v>
      </c>
      <c r="BB401" s="33" t="n">
        <f aca="false">IFERROR(BB142/BB384,"n/a")</f>
        <v>0.021825891743577</v>
      </c>
    </row>
    <row r="402" customFormat="false" ht="15" hidden="false" customHeight="true" outlineLevel="0" collapsed="false"/>
  </sheetData>
  <dataValidations count="1">
    <dataValidation allowBlank="false" errorStyle="stop" operator="between" showDropDown="false" showErrorMessage="false" showInputMessage="false" sqref="BC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2" min="3" style="0" width="11"/>
    <col collapsed="false" customWidth="true" hidden="false" outlineLevel="0" max="13" min="13" style="0" width="3"/>
    <col collapsed="false" customWidth="true" hidden="false" outlineLevel="0" max="14" min="14" style="0" width="52"/>
    <col collapsed="false" customWidth="true" hidden="false" outlineLevel="0" max="24" min="15" style="0" width="11"/>
    <col collapsed="false" customWidth="true" hidden="false" outlineLevel="0" max="25" min="25" style="0" width="3"/>
    <col collapsed="false" customWidth="true" hidden="false" outlineLevel="0" max="26" min="26" style="0" width="52"/>
    <col collapsed="false" customWidth="true" hidden="false" outlineLevel="0" max="36" min="27" style="0" width="11"/>
  </cols>
  <sheetData>
    <row r="2" customFormat="false" ht="19.7" hidden="false" customHeight="false" outlineLevel="0" collapsed="false">
      <c r="B2" s="68" t="s">
        <v>537</v>
      </c>
      <c r="J2" s="10" t="s">
        <v>538</v>
      </c>
      <c r="K2" s="69" t="n">
        <f aca="false">Model!$AX$384</f>
        <v>80.18</v>
      </c>
    </row>
    <row r="3" customFormat="false" ht="15" hidden="false" customHeight="false" outlineLevel="0" collapsed="false">
      <c r="B3" s="4" t="s">
        <v>539</v>
      </c>
      <c r="J3" s="10" t="s">
        <v>540</v>
      </c>
      <c r="K3" s="70" t="n">
        <f aca="true">TODAY()</f>
        <v>46301</v>
      </c>
    </row>
    <row r="5" customFormat="false" ht="15" hidden="false" customHeight="false" outlineLevel="0" collapsed="false">
      <c r="B5" s="71" t="s">
        <v>541</v>
      </c>
      <c r="C5" s="72" t="str">
        <f aca="false">Model!$BC$2</f>
        <v>Base</v>
      </c>
      <c r="N5" s="71" t="s">
        <v>541</v>
      </c>
      <c r="O5" s="73" t="s">
        <v>56</v>
      </c>
      <c r="P5" s="10" t="s">
        <v>542</v>
      </c>
      <c r="Z5" s="71" t="s">
        <v>541</v>
      </c>
      <c r="AA5" s="73" t="s">
        <v>57</v>
      </c>
      <c r="AB5" s="10" t="s">
        <v>543</v>
      </c>
    </row>
    <row r="7" customFormat="false" ht="15" hidden="false" customHeight="false" outlineLevel="0" collapsed="false">
      <c r="B7" s="74" t="s">
        <v>544</v>
      </c>
      <c r="C7" s="75" t="s">
        <v>545</v>
      </c>
      <c r="D7" s="75" t="s">
        <v>40</v>
      </c>
      <c r="E7" s="75" t="s">
        <v>41</v>
      </c>
      <c r="F7" s="75" t="s">
        <v>42</v>
      </c>
      <c r="G7" s="75" t="s">
        <v>43</v>
      </c>
      <c r="H7" s="75" t="s">
        <v>44</v>
      </c>
      <c r="I7" s="75" t="s">
        <v>546</v>
      </c>
      <c r="J7" s="75" t="s">
        <v>547</v>
      </c>
      <c r="K7" s="75" t="s">
        <v>548</v>
      </c>
      <c r="L7" s="75" t="s">
        <v>549</v>
      </c>
      <c r="N7" s="74" t="s">
        <v>544</v>
      </c>
      <c r="O7" s="75" t="s">
        <v>545</v>
      </c>
      <c r="P7" s="75" t="s">
        <v>40</v>
      </c>
      <c r="Q7" s="75" t="s">
        <v>41</v>
      </c>
      <c r="R7" s="75" t="s">
        <v>42</v>
      </c>
      <c r="S7" s="75" t="s">
        <v>43</v>
      </c>
      <c r="T7" s="75" t="s">
        <v>44</v>
      </c>
      <c r="U7" s="75" t="s">
        <v>546</v>
      </c>
      <c r="V7" s="75" t="s">
        <v>547</v>
      </c>
      <c r="W7" s="75" t="s">
        <v>548</v>
      </c>
      <c r="X7" s="75" t="s">
        <v>549</v>
      </c>
      <c r="Z7" s="74" t="s">
        <v>544</v>
      </c>
      <c r="AA7" s="75" t="s">
        <v>545</v>
      </c>
      <c r="AB7" s="75" t="s">
        <v>40</v>
      </c>
      <c r="AC7" s="75" t="s">
        <v>41</v>
      </c>
      <c r="AD7" s="75" t="s">
        <v>42</v>
      </c>
      <c r="AE7" s="75" t="s">
        <v>43</v>
      </c>
      <c r="AF7" s="75" t="s">
        <v>44</v>
      </c>
      <c r="AG7" s="75" t="s">
        <v>546</v>
      </c>
      <c r="AH7" s="75" t="s">
        <v>547</v>
      </c>
      <c r="AI7" s="75" t="s">
        <v>548</v>
      </c>
      <c r="AJ7" s="75" t="s">
        <v>549</v>
      </c>
    </row>
    <row r="9" customFormat="false" ht="15" hidden="false" customHeight="false" outlineLevel="0" collapsed="false">
      <c r="B9" s="76" t="s">
        <v>214</v>
      </c>
      <c r="C9" s="77" t="n">
        <f aca="false">Model!AU111</f>
        <v>1407.951</v>
      </c>
      <c r="D9" s="78" t="n">
        <f aca="false">Model!AX111</f>
        <v>1530.0719</v>
      </c>
      <c r="E9" s="78" t="n">
        <f aca="false">Model!AY111</f>
        <v>1686.91192062194</v>
      </c>
      <c r="F9" s="78" t="n">
        <f aca="false">Model!AZ111</f>
        <v>1826.54167387849</v>
      </c>
      <c r="G9" s="78" t="n">
        <f aca="false">Model!BA111</f>
        <v>1967.55413671568</v>
      </c>
      <c r="H9" s="78" t="n">
        <f aca="false">Model!BB111</f>
        <v>2108.53819381076</v>
      </c>
      <c r="I9" s="79" t="n">
        <f aca="false">IFERROR(IF(AND(H9&gt;0,C9&gt;0),(H9/C9)^(1/5)-1,"n/m"),"n/m")</f>
        <v>0.084123569420731</v>
      </c>
      <c r="N9" s="76" t="s">
        <v>214</v>
      </c>
      <c r="O9" s="77" t="n">
        <v>1407.951</v>
      </c>
      <c r="P9" s="78" t="n">
        <v>1537.111655</v>
      </c>
      <c r="Q9" s="78" t="n">
        <v>1726.46702333468</v>
      </c>
      <c r="R9" s="78" t="n">
        <v>1904.84485494776</v>
      </c>
      <c r="S9" s="78" t="n">
        <v>2091.01349774108</v>
      </c>
      <c r="T9" s="78" t="n">
        <v>2283.74813361584</v>
      </c>
      <c r="U9" s="80" t="n">
        <v>0.10157008388244</v>
      </c>
      <c r="Z9" s="76" t="s">
        <v>214</v>
      </c>
      <c r="AA9" s="77" t="n">
        <v>1407.951</v>
      </c>
      <c r="AB9" s="78" t="n">
        <v>1523.032145</v>
      </c>
      <c r="AC9" s="78" t="n">
        <v>1631.96643429919</v>
      </c>
      <c r="AD9" s="78" t="n">
        <v>1716.80542320012</v>
      </c>
      <c r="AE9" s="78" t="n">
        <v>1796.52665816535</v>
      </c>
      <c r="AF9" s="78" t="n">
        <v>1870.01889839041</v>
      </c>
      <c r="AG9" s="80" t="n">
        <v>0.0584045324636771</v>
      </c>
    </row>
    <row r="10" customFormat="false" ht="15" hidden="false" customHeight="false" outlineLevel="0" collapsed="false">
      <c r="B10" s="81" t="s">
        <v>550</v>
      </c>
      <c r="D10" s="33" t="n">
        <f aca="false">IFERROR(D9/C9-1,"")</f>
        <v>0.0867366122826716</v>
      </c>
      <c r="E10" s="33" t="n">
        <f aca="false">IFERROR(E9/D9-1,"")</f>
        <v>0.10250500033491</v>
      </c>
      <c r="F10" s="33" t="n">
        <f aca="false">IFERROR(F9/E9-1,"")</f>
        <v>0.0827724029628529</v>
      </c>
      <c r="G10" s="33" t="n">
        <f aca="false">IFERROR(G9/F9-1,"")</f>
        <v>0.0772018864139876</v>
      </c>
      <c r="H10" s="33" t="n">
        <f aca="false">IFERROR(H9/G9-1,"")</f>
        <v>0.0716544741840857</v>
      </c>
      <c r="N10" s="81" t="s">
        <v>550</v>
      </c>
      <c r="P10" s="82" t="n">
        <v>0.0917366122826719</v>
      </c>
      <c r="Q10" s="82" t="n">
        <v>0.123189078502354</v>
      </c>
      <c r="R10" s="82" t="n">
        <v>0.103319570662026</v>
      </c>
      <c r="S10" s="82" t="n">
        <v>0.0977342812511743</v>
      </c>
      <c r="T10" s="82" t="n">
        <v>0.092172832018051</v>
      </c>
      <c r="Z10" s="81" t="s">
        <v>550</v>
      </c>
      <c r="AB10" s="82" t="n">
        <v>0.0817366122826719</v>
      </c>
      <c r="AC10" s="82" t="n">
        <v>0.0715246159818863</v>
      </c>
      <c r="AD10" s="82" t="n">
        <v>0.0519857437738032</v>
      </c>
      <c r="AE10" s="82" t="n">
        <v>0.0464358009870642</v>
      </c>
      <c r="AF10" s="82" t="n">
        <v>0.0409079597516828</v>
      </c>
    </row>
    <row r="11" customFormat="false" ht="15" hidden="false" customHeight="false" outlineLevel="0" collapsed="false">
      <c r="B11" s="81" t="s">
        <v>551</v>
      </c>
      <c r="C11" s="83" t="n">
        <f aca="false">Model!AU17</f>
        <v>0.112501365649996</v>
      </c>
      <c r="D11" s="82" t="n">
        <f aca="false">Model!AX17</f>
        <v>0.121468235254364</v>
      </c>
      <c r="E11" s="82" t="n">
        <f aca="false">Model!AY17</f>
        <v>0.121236559139785</v>
      </c>
      <c r="F11" s="82" t="n">
        <f aca="false">Model!AZ17</f>
        <v>0.0964261168384879</v>
      </c>
      <c r="G11" s="82" t="n">
        <f aca="false">Model!BA17</f>
        <v>0.0900498338870432</v>
      </c>
      <c r="H11" s="82" t="n">
        <f aca="false">Model!BB17</f>
        <v>0.0837620578778135</v>
      </c>
      <c r="N11" s="81" t="s">
        <v>551</v>
      </c>
      <c r="O11" s="83" t="n">
        <v>0.112501365649996</v>
      </c>
      <c r="P11" s="82" t="n">
        <v>0.12890190800721</v>
      </c>
      <c r="Q11" s="82" t="n">
        <v>0.142096774193548</v>
      </c>
      <c r="R11" s="82" t="n">
        <v>0.117113402061856</v>
      </c>
      <c r="S11" s="82" t="n">
        <v>0.110714285714286</v>
      </c>
      <c r="T11" s="82" t="n">
        <v>0.104405144694534</v>
      </c>
      <c r="Z11" s="81" t="s">
        <v>551</v>
      </c>
      <c r="AA11" s="83" t="n">
        <v>0.112501365649996</v>
      </c>
      <c r="AB11" s="82" t="n">
        <v>0.114034562501518</v>
      </c>
      <c r="AC11" s="82" t="n">
        <v>0.0899462365591397</v>
      </c>
      <c r="AD11" s="82" t="n">
        <v>0.0653951890034366</v>
      </c>
      <c r="AE11" s="82" t="n">
        <v>0.0590531561461793</v>
      </c>
      <c r="AF11" s="82" t="n">
        <v>0.0527974276527332</v>
      </c>
    </row>
    <row r="12" customFormat="false" ht="15" hidden="false" customHeight="false" outlineLevel="0" collapsed="false">
      <c r="B12" s="76" t="s">
        <v>552</v>
      </c>
      <c r="C12" s="77" t="n">
        <f aca="false">Model!AU158</f>
        <v>416.463</v>
      </c>
      <c r="D12" s="78" t="n">
        <f aca="false">Model!AX158</f>
        <v>463.015557018447</v>
      </c>
      <c r="E12" s="78" t="n">
        <f aca="false">Model!AY158</f>
        <v>512.821223869068</v>
      </c>
      <c r="F12" s="78" t="n">
        <f aca="false">Model!AZ158</f>
        <v>560.748293880698</v>
      </c>
      <c r="G12" s="78" t="n">
        <f aca="false">Model!BA158</f>
        <v>607.974228245144</v>
      </c>
      <c r="H12" s="78" t="n">
        <f aca="false">Model!BB158</f>
        <v>655.755378275147</v>
      </c>
      <c r="I12" s="79" t="n">
        <f aca="false">IFERROR(IF(AND(H12&gt;0,C12&gt;0),(H12/C12)^(1/5)-1,"n/m"),"n/m")</f>
        <v>0.0950478266937405</v>
      </c>
      <c r="N12" s="76" t="s">
        <v>552</v>
      </c>
      <c r="O12" s="77" t="n">
        <v>416.463</v>
      </c>
      <c r="P12" s="78" t="n">
        <v>465.148001342722</v>
      </c>
      <c r="Q12" s="78" t="n">
        <v>550.742980443762</v>
      </c>
      <c r="R12" s="78" t="n">
        <v>613.360043293179</v>
      </c>
      <c r="S12" s="78" t="n">
        <v>677.48837326811</v>
      </c>
      <c r="T12" s="78" t="n">
        <v>744.501891558765</v>
      </c>
      <c r="U12" s="80" t="n">
        <v>0.123202021595011</v>
      </c>
      <c r="Z12" s="76" t="s">
        <v>552</v>
      </c>
      <c r="AA12" s="77" t="n">
        <v>416.463</v>
      </c>
      <c r="AB12" s="78" t="n">
        <v>460.883112694172</v>
      </c>
      <c r="AC12" s="78" t="n">
        <v>458.582568038074</v>
      </c>
      <c r="AD12" s="78" t="n">
        <v>487.572740188834</v>
      </c>
      <c r="AE12" s="78" t="n">
        <v>513.806624235291</v>
      </c>
      <c r="AF12" s="78" t="n">
        <v>538.565442736437</v>
      </c>
      <c r="AG12" s="80" t="n">
        <v>0.0527673609626373</v>
      </c>
    </row>
    <row r="13" customFormat="false" ht="15" hidden="false" customHeight="false" outlineLevel="0" collapsed="false">
      <c r="B13" s="81" t="s">
        <v>553</v>
      </c>
      <c r="C13" s="84" t="n">
        <f aca="false">IFERROR(C12/C9,"")</f>
        <v>0.295793674637825</v>
      </c>
      <c r="D13" s="33" t="n">
        <f aca="false">IFERROR(D12/D9,"")</f>
        <v>0.302610326363387</v>
      </c>
      <c r="E13" s="33" t="n">
        <f aca="false">IFERROR(E12/E9,"")</f>
        <v>0.304</v>
      </c>
      <c r="F13" s="33" t="n">
        <f aca="false">IFERROR(F12/F9,"")</f>
        <v>0.307</v>
      </c>
      <c r="G13" s="33" t="n">
        <f aca="false">IFERROR(G12/G9,"")</f>
        <v>0.309</v>
      </c>
      <c r="H13" s="33" t="n">
        <f aca="false">IFERROR(H12/H9,"")</f>
        <v>0.311</v>
      </c>
      <c r="J13" s="85" t="n">
        <f aca="false">IFERROR(AVERAGE(Model!E159,Model!H159,Model!K159,Model!N159,Model!Q159,Model!T159,Model!W159,Model!Z159,Model!AC159,Model!AF159,Model!AI159,Model!AL159,Model!AO159,Model!AR159,Model!AU159),"")</f>
        <v>0.220890364995774</v>
      </c>
      <c r="K13" s="85" t="n">
        <f aca="false">IFERROR(MIN(Model!E159,Model!H159,Model!K159,Model!N159,Model!Q159,Model!T159,Model!W159,Model!Z159,Model!AC159,Model!AF159,Model!AI159,Model!AL159,Model!AO159,Model!AR159,Model!AU159),"")</f>
        <v>0.165516104436705</v>
      </c>
      <c r="L13" s="85" t="n">
        <f aca="false">IFERROR(MAX(Model!E159,Model!H159,Model!K159,Model!N159,Model!Q159,Model!T159,Model!W159,Model!Z159,Model!AC159,Model!AF159,Model!AI159,Model!AL159,Model!AO159,Model!AR159,Model!AU159),"")</f>
        <v>0.295793674637825</v>
      </c>
      <c r="N13" s="81" t="s">
        <v>553</v>
      </c>
      <c r="O13" s="83" t="n">
        <v>0.295793674637825</v>
      </c>
      <c r="P13" s="82" t="n">
        <v>0.302611719733998</v>
      </c>
      <c r="Q13" s="82" t="n">
        <v>0.319</v>
      </c>
      <c r="R13" s="82" t="n">
        <v>0.322</v>
      </c>
      <c r="S13" s="82" t="n">
        <v>0.324</v>
      </c>
      <c r="T13" s="82" t="n">
        <v>0.326</v>
      </c>
      <c r="V13" s="83" t="n">
        <v>0.220890364995774</v>
      </c>
      <c r="W13" s="83" t="n">
        <v>0.165516104436705</v>
      </c>
      <c r="X13" s="83" t="n">
        <v>0.295793674637825</v>
      </c>
      <c r="Z13" s="81" t="s">
        <v>553</v>
      </c>
      <c r="AA13" s="83" t="n">
        <v>0.295793674637825</v>
      </c>
      <c r="AB13" s="82" t="n">
        <v>0.302608920111908</v>
      </c>
      <c r="AC13" s="82" t="n">
        <v>0.281</v>
      </c>
      <c r="AD13" s="82" t="n">
        <v>0.284</v>
      </c>
      <c r="AE13" s="82" t="n">
        <v>0.286</v>
      </c>
      <c r="AF13" s="82" t="n">
        <v>0.288</v>
      </c>
      <c r="AH13" s="83" t="n">
        <v>0.220890364995774</v>
      </c>
      <c r="AI13" s="83" t="n">
        <v>0.165516104436705</v>
      </c>
      <c r="AJ13" s="83" t="n">
        <v>0.295793674637825</v>
      </c>
    </row>
    <row r="15" customFormat="false" ht="15" hidden="false" customHeight="false" outlineLevel="0" collapsed="false">
      <c r="B15" s="76" t="s">
        <v>554</v>
      </c>
      <c r="C15" s="77" t="n">
        <f aca="false">Model!AU120</f>
        <v>227.784</v>
      </c>
      <c r="D15" s="78" t="n">
        <f aca="false">Model!AX120</f>
        <v>262.619660676971</v>
      </c>
      <c r="E15" s="78" t="n">
        <f aca="false">Model!AY120</f>
        <v>288.266797772124</v>
      </c>
      <c r="F15" s="78" t="n">
        <f aca="false">Model!AZ120</f>
        <v>322.555262028618</v>
      </c>
      <c r="G15" s="78" t="n">
        <f aca="false">Model!BA120</f>
        <v>358.256213568223</v>
      </c>
      <c r="H15" s="78" t="n">
        <f aca="false">Model!BB120</f>
        <v>391.087904619185</v>
      </c>
      <c r="I15" s="79" t="n">
        <f aca="false">IFERROR(IF(AND(H15&gt;0,C15&gt;0),(H15/C15)^(1/5)-1,"n/m"),"n/m")</f>
        <v>0.114166853086707</v>
      </c>
      <c r="N15" s="76" t="s">
        <v>554</v>
      </c>
      <c r="O15" s="77" t="n">
        <v>227.784</v>
      </c>
      <c r="P15" s="78" t="n">
        <v>264.461895502092</v>
      </c>
      <c r="Q15" s="78" t="n">
        <v>324.408048660345</v>
      </c>
      <c r="R15" s="78" t="n">
        <v>370.897866022983</v>
      </c>
      <c r="S15" s="78" t="n">
        <v>420.224568996611</v>
      </c>
      <c r="T15" s="78" t="n">
        <v>467.969116672395</v>
      </c>
      <c r="U15" s="80" t="n">
        <v>0.154885146125846</v>
      </c>
      <c r="Z15" s="76" t="s">
        <v>554</v>
      </c>
      <c r="AA15" s="77" t="n">
        <v>227.784</v>
      </c>
      <c r="AB15" s="78" t="n">
        <v>260.777425851849</v>
      </c>
      <c r="AC15" s="78" t="n">
        <v>236.439653355611</v>
      </c>
      <c r="AD15" s="78" t="n">
        <v>255.30043790245</v>
      </c>
      <c r="AE15" s="78" t="n">
        <v>274.534388067047</v>
      </c>
      <c r="AF15" s="78" t="n">
        <v>290.161130635096</v>
      </c>
      <c r="AG15" s="80" t="n">
        <v>0.0495985062154196</v>
      </c>
    </row>
    <row r="16" customFormat="false" ht="15" hidden="false" customHeight="false" outlineLevel="0" collapsed="false">
      <c r="B16" s="81" t="s">
        <v>555</v>
      </c>
      <c r="D16" s="33" t="n">
        <f aca="false">IFERROR(D15/C15-1,"")</f>
        <v>0.152932869196126</v>
      </c>
      <c r="E16" s="33" t="n">
        <f aca="false">IFERROR(E15/D15-1,"")</f>
        <v>0.0976588615987126</v>
      </c>
      <c r="F16" s="33" t="n">
        <f aca="false">IFERROR(F15/E15-1,"")</f>
        <v>0.118946977319253</v>
      </c>
      <c r="G16" s="33" t="n">
        <f aca="false">IFERROR(G15/F15-1,"")</f>
        <v>0.110681659059208</v>
      </c>
      <c r="H16" s="33" t="n">
        <f aca="false">IFERROR(H15/G15-1,"")</f>
        <v>0.0916430470917962</v>
      </c>
      <c r="N16" s="81" t="s">
        <v>555</v>
      </c>
      <c r="P16" s="82" t="n">
        <v>0.161020508473344</v>
      </c>
      <c r="Q16" s="82" t="n">
        <v>0.226672175378771</v>
      </c>
      <c r="R16" s="82" t="n">
        <v>0.143306608928538</v>
      </c>
      <c r="S16" s="82" t="n">
        <v>0.132992684758589</v>
      </c>
      <c r="T16" s="82" t="n">
        <v>0.113616744946127</v>
      </c>
      <c r="Z16" s="81" t="s">
        <v>555</v>
      </c>
      <c r="AB16" s="82" t="n">
        <v>0.144845229918909</v>
      </c>
      <c r="AC16" s="82" t="n">
        <v>-0.0933277580171544</v>
      </c>
      <c r="AD16" s="82" t="n">
        <v>0.079769972080241</v>
      </c>
      <c r="AE16" s="82" t="n">
        <v>0.0753384926505525</v>
      </c>
      <c r="AF16" s="82" t="n">
        <v>0.0569208931459366</v>
      </c>
    </row>
    <row r="17" customFormat="false" ht="15" hidden="false" customHeight="false" outlineLevel="0" collapsed="false">
      <c r="B17" s="81" t="s">
        <v>556</v>
      </c>
      <c r="C17" s="84" t="n">
        <f aca="false">IFERROR(C15/C9,"")</f>
        <v>0.161784039359324</v>
      </c>
      <c r="D17" s="33" t="n">
        <f aca="false">IFERROR(D15/D9,"")</f>
        <v>0.17163877114335</v>
      </c>
      <c r="E17" s="33" t="n">
        <f aca="false">IFERROR(E15/E9,"")</f>
        <v>0.170884320780569</v>
      </c>
      <c r="F17" s="33" t="n">
        <f aca="false">IFERROR(F15/F9,"")</f>
        <v>0.176593431533211</v>
      </c>
      <c r="G17" s="33" t="n">
        <f aca="false">IFERROR(G15/G9,"")</f>
        <v>0.182082010798564</v>
      </c>
      <c r="H17" s="33" t="n">
        <f aca="false">IFERROR(H15/H9,"")</f>
        <v>0.185478216978546</v>
      </c>
      <c r="J17" s="85" t="n">
        <f aca="false">IFERROR(AVERAGE(Model!E121,Model!H121,Model!K121,Model!N121,Model!Q121,Model!T121,Model!W121,Model!Z121,Model!AC121,Model!AF121,Model!AI121,Model!AL121,Model!AO121,Model!AR121,Model!AU121),"")</f>
        <v>0.127580395737932</v>
      </c>
      <c r="K17" s="85" t="n">
        <f aca="false">IFERROR(MIN(Model!E121,Model!H121,Model!K121,Model!N121,Model!Q121,Model!T121,Model!W121,Model!Z121,Model!AC121,Model!AF121,Model!AI121,Model!AL121,Model!AO121,Model!AR121,Model!AU121),"")</f>
        <v>-0.0272383196725078</v>
      </c>
      <c r="L17" s="85" t="n">
        <f aca="false">IFERROR(MAX(Model!E121,Model!H121,Model!K121,Model!N121,Model!Q121,Model!T121,Model!W121,Model!Z121,Model!AC121,Model!AF121,Model!AI121,Model!AL121,Model!AO121,Model!AR121,Model!AU121),"")</f>
        <v>0.165556806982965</v>
      </c>
      <c r="N17" s="81" t="s">
        <v>556</v>
      </c>
      <c r="O17" s="83" t="n">
        <v>0.161784039359324</v>
      </c>
      <c r="P17" s="82" t="n">
        <v>0.172051193966187</v>
      </c>
      <c r="Q17" s="82" t="n">
        <v>0.187902835255868</v>
      </c>
      <c r="R17" s="82" t="n">
        <v>0.194712900139657</v>
      </c>
      <c r="S17" s="82" t="n">
        <v>0.200966932758004</v>
      </c>
      <c r="T17" s="82" t="n">
        <v>0.204912752761165</v>
      </c>
      <c r="V17" s="83" t="n">
        <v>0.127580395737932</v>
      </c>
      <c r="W17" s="83" t="n">
        <v>-0.0272383196725078</v>
      </c>
      <c r="X17" s="83" t="n">
        <v>0.165556806982965</v>
      </c>
      <c r="Z17" s="81" t="s">
        <v>556</v>
      </c>
      <c r="AA17" s="83" t="n">
        <v>0.161784039359324</v>
      </c>
      <c r="AB17" s="82" t="n">
        <v>0.171222535721233</v>
      </c>
      <c r="AC17" s="82" t="n">
        <v>0.144880218358869</v>
      </c>
      <c r="AD17" s="82" t="n">
        <v>0.14870668187113</v>
      </c>
      <c r="AE17" s="82" t="n">
        <v>0.152813979586257</v>
      </c>
      <c r="AF17" s="82" t="n">
        <v>0.155164811909039</v>
      </c>
      <c r="AH17" s="83" t="n">
        <v>0.127580395737932</v>
      </c>
      <c r="AI17" s="83" t="n">
        <v>-0.0272383196725078</v>
      </c>
      <c r="AJ17" s="83" t="n">
        <v>0.165556806982965</v>
      </c>
    </row>
    <row r="19" customFormat="false" ht="15" hidden="false" customHeight="false" outlineLevel="0" collapsed="false">
      <c r="B19" s="76" t="s">
        <v>557</v>
      </c>
      <c r="C19" s="77" t="n">
        <f aca="false">Model!AU184</f>
        <v>140.798712238797</v>
      </c>
      <c r="D19" s="78" t="n">
        <f aca="false">Model!AX184</f>
        <v>155.416827724816</v>
      </c>
      <c r="E19" s="78" t="n">
        <f aca="false">Model!AY184</f>
        <v>169.575344903666</v>
      </c>
      <c r="F19" s="78" t="n">
        <f aca="false">Model!AZ184</f>
        <v>192.347581297763</v>
      </c>
      <c r="G19" s="78" t="n">
        <f aca="false">Model!BA184</f>
        <v>216.487743566573</v>
      </c>
      <c r="H19" s="78" t="n">
        <f aca="false">Model!BB184</f>
        <v>238.647519474468</v>
      </c>
      <c r="I19" s="79" t="n">
        <f aca="false">IFERROR(IF(AND(H19&gt;0,C19&gt;0),(H19/C19)^(1/5)-1,"n/m"),"n/m")</f>
        <v>0.111300854747941</v>
      </c>
      <c r="N19" s="76" t="s">
        <v>557</v>
      </c>
      <c r="O19" s="77" t="n">
        <v>140.798712238797</v>
      </c>
      <c r="P19" s="78" t="n">
        <v>156.67601970109</v>
      </c>
      <c r="Q19" s="78" t="n">
        <v>194.364035391702</v>
      </c>
      <c r="R19" s="78" t="n">
        <v>225.671100599376</v>
      </c>
      <c r="S19" s="78" t="n">
        <v>259.22548003469</v>
      </c>
      <c r="T19" s="78" t="n">
        <v>291.64460338197</v>
      </c>
      <c r="U19" s="80" t="n">
        <v>0.156780748583086</v>
      </c>
      <c r="Z19" s="76" t="s">
        <v>557</v>
      </c>
      <c r="AA19" s="77" t="n">
        <v>140.798712238797</v>
      </c>
      <c r="AB19" s="78" t="n">
        <v>154.157635748542</v>
      </c>
      <c r="AC19" s="78" t="n">
        <v>134.019857097812</v>
      </c>
      <c r="AD19" s="78" t="n">
        <v>145.966309454163</v>
      </c>
      <c r="AE19" s="78" t="n">
        <v>158.733626381692</v>
      </c>
      <c r="AF19" s="78" t="n">
        <v>169.061236252976</v>
      </c>
      <c r="AG19" s="80" t="n">
        <v>0.037263441847023</v>
      </c>
    </row>
    <row r="21" customFormat="false" ht="15" hidden="false" customHeight="false" outlineLevel="0" collapsed="false">
      <c r="B21" s="76" t="s">
        <v>558</v>
      </c>
      <c r="C21" s="86" t="n">
        <f aca="false">Model!AU138</f>
        <v>67.975949</v>
      </c>
      <c r="D21" s="87" t="n">
        <f aca="false">Model!AX138</f>
        <v>68</v>
      </c>
      <c r="E21" s="87" t="n">
        <f aca="false">Model!AY138</f>
        <v>68</v>
      </c>
      <c r="F21" s="87" t="n">
        <f aca="false">Model!AZ138</f>
        <v>68</v>
      </c>
      <c r="G21" s="87" t="n">
        <f aca="false">Model!BA138</f>
        <v>68</v>
      </c>
      <c r="H21" s="87" t="n">
        <f aca="false">Model!BB138</f>
        <v>68</v>
      </c>
      <c r="I21" s="79" t="n">
        <f aca="false">IFERROR(IF(AND(H21&gt;0,C21&gt;0),(H21/C21)^(1/5)-1,"n/m"),"n/m")</f>
        <v>7.07532508825715E-005</v>
      </c>
      <c r="N21" s="76" t="s">
        <v>558</v>
      </c>
      <c r="O21" s="86" t="n">
        <v>67.975949</v>
      </c>
      <c r="P21" s="87" t="n">
        <v>68</v>
      </c>
      <c r="Q21" s="87" t="n">
        <v>68</v>
      </c>
      <c r="R21" s="87" t="n">
        <v>68</v>
      </c>
      <c r="S21" s="87" t="n">
        <v>68</v>
      </c>
      <c r="T21" s="87" t="n">
        <v>68</v>
      </c>
      <c r="U21" s="80" t="n">
        <v>7.07532508825715E-005</v>
      </c>
      <c r="Z21" s="76" t="s">
        <v>558</v>
      </c>
      <c r="AA21" s="86" t="n">
        <v>67.975949</v>
      </c>
      <c r="AB21" s="87" t="n">
        <v>68</v>
      </c>
      <c r="AC21" s="87" t="n">
        <v>68</v>
      </c>
      <c r="AD21" s="87" t="n">
        <v>68</v>
      </c>
      <c r="AE21" s="87" t="n">
        <v>68</v>
      </c>
      <c r="AF21" s="87" t="n">
        <v>68</v>
      </c>
      <c r="AG21" s="80" t="n">
        <v>7.07532508825715E-005</v>
      </c>
    </row>
    <row r="23" customFormat="false" ht="15" hidden="false" customHeight="false" outlineLevel="0" collapsed="false">
      <c r="B23" s="76" t="s">
        <v>559</v>
      </c>
      <c r="C23" s="88" t="n">
        <f aca="false">Model!AU188</f>
        <v>2.07130189883479</v>
      </c>
      <c r="D23" s="89" t="n">
        <f aca="false">Model!AX188</f>
        <v>2.28554158418847</v>
      </c>
      <c r="E23" s="89" t="n">
        <f aca="false">Model!AY188</f>
        <v>2.49375507211274</v>
      </c>
      <c r="F23" s="89" t="n">
        <f aca="false">Model!AZ188</f>
        <v>2.82864090143769</v>
      </c>
      <c r="G23" s="89" t="n">
        <f aca="false">Model!BA188</f>
        <v>3.18364328774371</v>
      </c>
      <c r="H23" s="89" t="n">
        <f aca="false">Model!BB188</f>
        <v>3.50952234521276</v>
      </c>
      <c r="I23" s="79" t="n">
        <f aca="false">IFERROR(IF(AND(H23&gt;0,C23&gt;0),(H23/C23)^(1/5)-1,"n/m"),"n/m")</f>
        <v>0.111222232162562</v>
      </c>
      <c r="N23" s="76" t="s">
        <v>559</v>
      </c>
      <c r="O23" s="88" t="n">
        <v>2.07130189883479</v>
      </c>
      <c r="P23" s="89" t="n">
        <v>2.30405911325132</v>
      </c>
      <c r="Q23" s="89" t="n">
        <v>2.85829463811326</v>
      </c>
      <c r="R23" s="89" t="n">
        <v>3.31869265587318</v>
      </c>
      <c r="S23" s="89" t="n">
        <v>3.81213941227486</v>
      </c>
      <c r="T23" s="89" t="n">
        <v>4.28889122620544</v>
      </c>
      <c r="U23" s="80" t="n">
        <v>0.156698908375026</v>
      </c>
      <c r="Z23" s="76" t="s">
        <v>559</v>
      </c>
      <c r="AA23" s="88" t="n">
        <v>2.07130189883479</v>
      </c>
      <c r="AB23" s="89" t="n">
        <v>2.26702405512562</v>
      </c>
      <c r="AC23" s="89" t="n">
        <v>1.97088025143841</v>
      </c>
      <c r="AD23" s="89" t="n">
        <v>2.14656337432592</v>
      </c>
      <c r="AE23" s="89" t="n">
        <v>2.33431803502488</v>
      </c>
      <c r="AF23" s="89" t="n">
        <v>2.48619465077906</v>
      </c>
      <c r="AG23" s="80" t="n">
        <v>0.0371900572786874</v>
      </c>
    </row>
    <row r="24" customFormat="false" ht="15" hidden="false" customHeight="false" outlineLevel="0" collapsed="false">
      <c r="B24" s="81" t="s">
        <v>560</v>
      </c>
      <c r="D24" s="33" t="n">
        <f aca="false">IFERROR(D23/C23-1,"")</f>
        <v>0.103432380124882</v>
      </c>
      <c r="E24" s="33" t="n">
        <f aca="false">IFERROR(E23/D23-1,"")</f>
        <v>0.0911002842235336</v>
      </c>
      <c r="F24" s="33" t="n">
        <f aca="false">IFERROR(F23/E23-1,"")</f>
        <v>0.134289783736152</v>
      </c>
      <c r="G24" s="33" t="n">
        <f aca="false">IFERROR(G23/F23-1,"")</f>
        <v>0.125502811659688</v>
      </c>
      <c r="H24" s="33" t="n">
        <f aca="false">IFERROR(H23/G23-1,"")</f>
        <v>0.102360417928607</v>
      </c>
      <c r="N24" s="81" t="s">
        <v>560</v>
      </c>
      <c r="P24" s="82" t="n">
        <v>0.112372423617949</v>
      </c>
      <c r="Q24" s="82" t="n">
        <v>0.240547441545387</v>
      </c>
      <c r="R24" s="82" t="n">
        <v>0.161074373376645</v>
      </c>
      <c r="S24" s="82" t="n">
        <v>0.148687090842358</v>
      </c>
      <c r="T24" s="82" t="n">
        <v>0.125061484476529</v>
      </c>
      <c r="Z24" s="81" t="s">
        <v>560</v>
      </c>
      <c r="AB24" s="82" t="n">
        <v>0.0944923366318178</v>
      </c>
      <c r="AC24" s="82" t="n">
        <v>-0.130631081314571</v>
      </c>
      <c r="AD24" s="82" t="n">
        <v>0.0891394201952598</v>
      </c>
      <c r="AE24" s="82" t="n">
        <v>0.0874675599819756</v>
      </c>
      <c r="AF24" s="82" t="n">
        <v>0.0650625208199434</v>
      </c>
    </row>
    <row r="26" customFormat="false" ht="15" hidden="false" customHeight="false" outlineLevel="0" collapsed="false">
      <c r="B26" s="76" t="s">
        <v>561</v>
      </c>
      <c r="G26" s="90" t="n">
        <v>35</v>
      </c>
      <c r="H26" s="90" t="n">
        <v>35</v>
      </c>
      <c r="N26" s="76" t="s">
        <v>561</v>
      </c>
      <c r="S26" s="90" t="n">
        <v>40</v>
      </c>
      <c r="T26" s="90" t="n">
        <v>40</v>
      </c>
      <c r="Z26" s="76" t="s">
        <v>561</v>
      </c>
      <c r="AE26" s="90" t="n">
        <v>28</v>
      </c>
      <c r="AF26" s="90" t="n">
        <v>28</v>
      </c>
    </row>
    <row r="27" customFormat="false" ht="15" hidden="false" customHeight="false" outlineLevel="0" collapsed="false">
      <c r="B27" s="76" t="s">
        <v>562</v>
      </c>
      <c r="G27" s="91" t="n">
        <f aca="false">G26*G23</f>
        <v>111.42751507103</v>
      </c>
      <c r="H27" s="91" t="n">
        <f aca="false">H26*H23</f>
        <v>122.833282082447</v>
      </c>
      <c r="N27" s="76" t="s">
        <v>562</v>
      </c>
      <c r="S27" s="91" t="n">
        <f aca="false">S26*S23</f>
        <v>152.485576490994</v>
      </c>
      <c r="T27" s="91" t="n">
        <f aca="false">T26*T23</f>
        <v>171.555649048218</v>
      </c>
      <c r="Z27" s="76" t="s">
        <v>562</v>
      </c>
      <c r="AE27" s="91" t="n">
        <f aca="false">AE26*AE23</f>
        <v>65.3609049806967</v>
      </c>
      <c r="AF27" s="91" t="n">
        <f aca="false">AF26*AF23</f>
        <v>69.6134502218137</v>
      </c>
    </row>
    <row r="28" customFormat="false" ht="15" hidden="false" customHeight="false" outlineLevel="0" collapsed="false">
      <c r="B28" s="81" t="s">
        <v>563</v>
      </c>
      <c r="G28" s="79" t="n">
        <f aca="false">IFERROR(G27/$K$2-1,"")</f>
        <v>0.389717074969194</v>
      </c>
      <c r="H28" s="79" t="n">
        <f aca="false">IFERROR(H27/$K$2-1,"")</f>
        <v>0.531969095565562</v>
      </c>
      <c r="N28" s="81" t="s">
        <v>563</v>
      </c>
      <c r="S28" s="79" t="n">
        <f aca="false">IFERROR(S27/$K$2-1,"")</f>
        <v>0.901790677113924</v>
      </c>
      <c r="T28" s="79" t="n">
        <f aca="false">IFERROR(T27/$K$2-1,"")</f>
        <v>1.13963144235742</v>
      </c>
      <c r="Z28" s="81" t="s">
        <v>563</v>
      </c>
      <c r="AE28" s="79" t="n">
        <f aca="false">IFERROR(AE27/$K$2-1,"")</f>
        <v>-0.184822836359483</v>
      </c>
      <c r="AF28" s="79" t="n">
        <f aca="false">IFERROR(AF27/$K$2-1,"")</f>
        <v>-0.131785355178178</v>
      </c>
    </row>
    <row r="29" customFormat="false" ht="15" hidden="false" customHeight="false" outlineLevel="0" collapsed="false">
      <c r="B29" s="76" t="s">
        <v>564</v>
      </c>
      <c r="G29" s="92" t="n">
        <f aca="false">IFERROR((G27/$K$2)^(1/((DATE(2029-1,12,31)-$K$3)/365.25))-1,"")</f>
        <v>0.15850261891066</v>
      </c>
      <c r="H29" s="92" t="n">
        <f aca="false">IFERROR((H27/$K$2)^(1/((DATE(2030-1,12,31)-$K$3)/365.25))-1,"")</f>
        <v>0.140890941877626</v>
      </c>
      <c r="N29" s="76" t="s">
        <v>564</v>
      </c>
      <c r="S29" s="92" t="n">
        <f aca="false">IFERROR((S27/$K$2)^(1/((DATE(2029-1,12,31)-$K$3)/365.25))-1,"")</f>
        <v>0.332917161222873</v>
      </c>
      <c r="T29" s="92" t="n">
        <f aca="false">IFERROR((T27/$K$2)^(1/((DATE(2030-1,12,31)-$K$3)/365.25))-1,"")</f>
        <v>0.264963795723785</v>
      </c>
      <c r="Z29" s="76" t="s">
        <v>564</v>
      </c>
      <c r="AE29" s="92" t="n">
        <f aca="false">IFERROR((AE27/$K$2)^(1/((DATE(2029-1,12,31)-$K$3)/365.25))-1,"")</f>
        <v>-0.0873082892299778</v>
      </c>
      <c r="AF29" s="92" t="n">
        <f aca="false">IFERROR((AF27/$K$2)^(1/((DATE(2030-1,12,31)-$K$3)/365.25))-1,"")</f>
        <v>-0.0427284475626988</v>
      </c>
    </row>
    <row r="31" customFormat="false" ht="15" hidden="false" customHeight="false" outlineLevel="0" collapsed="false">
      <c r="B31" s="76" t="s">
        <v>565</v>
      </c>
      <c r="C31" s="77" t="n">
        <f aca="false">Model!AU240</f>
        <v>-12.982</v>
      </c>
      <c r="D31" s="78" t="n">
        <f aca="false">Model!AX240</f>
        <v>120.863364478081</v>
      </c>
      <c r="E31" s="78" t="n">
        <f aca="false">Model!AY240</f>
        <v>100.863547351234</v>
      </c>
      <c r="F31" s="78" t="n">
        <f aca="false">Model!AZ240</f>
        <v>123.796370604112</v>
      </c>
      <c r="G31" s="78" t="n">
        <f aca="false">Model!BA240</f>
        <v>143.13625691791</v>
      </c>
      <c r="H31" s="78" t="n">
        <f aca="false">Model!BB240</f>
        <v>163.08210511422</v>
      </c>
      <c r="I31" s="79" t="str">
        <f aca="false">IFERROR(IF(AND(H31&gt;0,C31&gt;0),(H31/C31)^(1/5)-1,"n/m"),"n/m")</f>
        <v>n/m</v>
      </c>
      <c r="N31" s="76" t="s">
        <v>565</v>
      </c>
      <c r="O31" s="77" t="n">
        <v>-12.982</v>
      </c>
      <c r="P31" s="78" t="n">
        <v>120.102560506499</v>
      </c>
      <c r="Q31" s="78" t="n">
        <v>113.213309331154</v>
      </c>
      <c r="R31" s="78" t="n">
        <v>147.230236681655</v>
      </c>
      <c r="S31" s="78" t="n">
        <v>173.641105629366</v>
      </c>
      <c r="T31" s="78" t="n">
        <v>201.446328618656</v>
      </c>
      <c r="U31" s="80" t="s">
        <v>566</v>
      </c>
      <c r="Z31" s="76" t="s">
        <v>565</v>
      </c>
      <c r="AA31" s="77" t="n">
        <v>-12.982</v>
      </c>
      <c r="AB31" s="78" t="n">
        <v>121.624168449663</v>
      </c>
      <c r="AC31" s="78" t="n">
        <v>83.310702772939</v>
      </c>
      <c r="AD31" s="78" t="n">
        <v>91.0361699792827</v>
      </c>
      <c r="AE31" s="78" t="n">
        <v>101.690846042611</v>
      </c>
      <c r="AF31" s="78" t="n">
        <v>112.395376861119</v>
      </c>
      <c r="AG31" s="80" t="s">
        <v>566</v>
      </c>
    </row>
    <row r="32" customFormat="false" ht="15" hidden="false" customHeight="false" outlineLevel="0" collapsed="false">
      <c r="B32" s="81" t="s">
        <v>567</v>
      </c>
      <c r="C32" s="84" t="n">
        <f aca="false">IFERROR(C31/C9,"")</f>
        <v>-0.00922049133812188</v>
      </c>
      <c r="D32" s="33" t="n">
        <f aca="false">IFERROR(D31/D9,"")</f>
        <v>0.0789919509521615</v>
      </c>
      <c r="E32" s="33" t="n">
        <f aca="false">IFERROR(E31/E9,"")</f>
        <v>0.0597918279657703</v>
      </c>
      <c r="F32" s="33" t="n">
        <f aca="false">IFERROR(F31/F9,"")</f>
        <v>0.067776373446351</v>
      </c>
      <c r="G32" s="33" t="n">
        <f aca="false">IFERROR(G31/G9,"")</f>
        <v>0.0727483194728449</v>
      </c>
      <c r="H32" s="33" t="n">
        <f aca="false">IFERROR(H31/H9,"")</f>
        <v>0.0773436808462461</v>
      </c>
      <c r="J32" s="85" t="n">
        <f aca="false">IFERROR(AVERAGE(Model!E242,Model!H242,Model!K242,Model!N242,Model!Q242,Model!T242,Model!W242,Model!Z242,Model!AC242,Model!AF242,Model!AI242,Model!AL242,Model!AO242,Model!AR242,Model!AU242),"")</f>
        <v>0.0103789101411037</v>
      </c>
      <c r="K32" s="85" t="n">
        <f aca="false">IFERROR(MIN(Model!E242,Model!H242,Model!K242,Model!N242,Model!Q242,Model!T242,Model!W242,Model!Z242,Model!AC242,Model!AF242,Model!AI242,Model!AL242,Model!AO242,Model!AR242,Model!AU242),"")</f>
        <v>-0.115416359535526</v>
      </c>
      <c r="L32" s="85" t="n">
        <f aca="false">IFERROR(MAX(Model!E242,Model!H242,Model!K242,Model!N242,Model!Q242,Model!T242,Model!W242,Model!Z242,Model!AC242,Model!AF242,Model!AI242,Model!AL242,Model!AO242,Model!AR242,Model!AU242),"")</f>
        <v>0.115713573656942</v>
      </c>
      <c r="N32" s="81" t="s">
        <v>567</v>
      </c>
      <c r="O32" s="83" t="n">
        <v>-0.00922049133812188</v>
      </c>
      <c r="P32" s="82" t="n">
        <v>0.0781352220678455</v>
      </c>
      <c r="Q32" s="82" t="n">
        <v>0.0655751356967606</v>
      </c>
      <c r="R32" s="82" t="n">
        <v>0.077292508258208</v>
      </c>
      <c r="S32" s="82" t="n">
        <v>0.0830415995960574</v>
      </c>
      <c r="T32" s="82" t="n">
        <v>0.0882086451012037</v>
      </c>
      <c r="V32" s="83" t="n">
        <v>0.0103789101411037</v>
      </c>
      <c r="W32" s="83" t="n">
        <v>-0.115416359535526</v>
      </c>
      <c r="X32" s="83" t="n">
        <v>0.115713573656942</v>
      </c>
      <c r="Z32" s="81" t="s">
        <v>567</v>
      </c>
      <c r="AA32" s="83" t="n">
        <v>-0.00922049133812188</v>
      </c>
      <c r="AB32" s="82" t="n">
        <v>0.0798565997762723</v>
      </c>
      <c r="AC32" s="82" t="n">
        <v>0.0510492746799138</v>
      </c>
      <c r="AD32" s="82" t="n">
        <v>0.0530264925477645</v>
      </c>
      <c r="AE32" s="82" t="n">
        <v>0.056604139760698</v>
      </c>
      <c r="AF32" s="82" t="n">
        <v>0.0601038721896672</v>
      </c>
      <c r="AH32" s="83" t="n">
        <v>0.0103789101411037</v>
      </c>
      <c r="AI32" s="83" t="n">
        <v>-0.115416359535526</v>
      </c>
      <c r="AJ32" s="83" t="n">
        <v>0.115713573656942</v>
      </c>
    </row>
    <row r="33" customFormat="false" ht="15" hidden="false" customHeight="false" outlineLevel="0" collapsed="false">
      <c r="B33" s="81" t="s">
        <v>568</v>
      </c>
      <c r="C33" s="93" t="n">
        <f aca="false">IFERROR(C31/C21,"")</f>
        <v>-0.190979312403569</v>
      </c>
      <c r="D33" s="57" t="n">
        <f aca="false">IFERROR(D31/D21,"")</f>
        <v>1.7774024187953</v>
      </c>
      <c r="E33" s="57" t="n">
        <f aca="false">IFERROR(E31/E21,"")</f>
        <v>1.48328746104756</v>
      </c>
      <c r="F33" s="57" t="n">
        <f aca="false">IFERROR(F31/F21,"")</f>
        <v>1.82053486182518</v>
      </c>
      <c r="G33" s="57" t="n">
        <f aca="false">IFERROR(G31/G21,"")</f>
        <v>2.10494495467514</v>
      </c>
      <c r="H33" s="57" t="n">
        <f aca="false">IFERROR(H31/H21,"")</f>
        <v>2.3982662516797</v>
      </c>
      <c r="N33" s="81" t="s">
        <v>568</v>
      </c>
      <c r="O33" s="94" t="n">
        <v>-0.190979312403569</v>
      </c>
      <c r="P33" s="95" t="n">
        <v>1.76621412509557</v>
      </c>
      <c r="Q33" s="95" t="n">
        <v>1.66490160781109</v>
      </c>
      <c r="R33" s="95" t="n">
        <v>2.1651505394361</v>
      </c>
      <c r="S33" s="95" t="n">
        <v>2.55354567102009</v>
      </c>
      <c r="T33" s="95" t="n">
        <v>2.96244600909789</v>
      </c>
      <c r="Z33" s="81" t="s">
        <v>568</v>
      </c>
      <c r="AA33" s="94" t="n">
        <v>-0.190979312403569</v>
      </c>
      <c r="AB33" s="95" t="n">
        <v>1.78859071249504</v>
      </c>
      <c r="AC33" s="95" t="n">
        <v>1.22515739371969</v>
      </c>
      <c r="AD33" s="95" t="n">
        <v>1.33876720557769</v>
      </c>
      <c r="AE33" s="95" t="n">
        <v>1.4954536182737</v>
      </c>
      <c r="AF33" s="95" t="n">
        <v>1.6528731891341</v>
      </c>
    </row>
    <row r="34" customFormat="false" ht="15" hidden="false" customHeight="false" outlineLevel="0" collapsed="false">
      <c r="B34" s="81" t="s">
        <v>569</v>
      </c>
      <c r="G34" s="79" t="n">
        <f aca="false">IFERROR(G33/G$27,"")</f>
        <v>0.0188907107309477</v>
      </c>
      <c r="H34" s="79" t="n">
        <f aca="false">IFERROR(H33/H$27,"")</f>
        <v>0.019524563791025</v>
      </c>
      <c r="N34" s="81" t="s">
        <v>569</v>
      </c>
      <c r="S34" s="79" t="n">
        <f aca="false">IFERROR(S33/S$27,"")</f>
        <v>0.0167461456341144</v>
      </c>
      <c r="T34" s="79" t="n">
        <f aca="false">IFERROR(T33/T$27,"")</f>
        <v>0.0172681344247968</v>
      </c>
      <c r="Z34" s="81" t="s">
        <v>569</v>
      </c>
      <c r="AE34" s="79" t="n">
        <f aca="false">IFERROR(AE33/AE$27,"")</f>
        <v>0.0228799405197244</v>
      </c>
      <c r="AF34" s="79" t="n">
        <f aca="false">IFERROR(AF33/AF$27,"")</f>
        <v>0.0237435895486784</v>
      </c>
    </row>
    <row r="35" customFormat="false" ht="15" hidden="false" customHeight="false" outlineLevel="0" collapsed="false">
      <c r="B35" s="76" t="s">
        <v>570</v>
      </c>
      <c r="C35" s="77" t="n">
        <f aca="false">Model!AU162</f>
        <v>265.797</v>
      </c>
      <c r="D35" s="78" t="n">
        <f aca="false">Model!AX162</f>
        <v>297.757179818447</v>
      </c>
      <c r="E35" s="78" t="n">
        <f aca="false">Model!AY162</f>
        <v>323.930093645623</v>
      </c>
      <c r="F35" s="78" t="n">
        <f aca="false">Model!AZ162</f>
        <v>362.399224444833</v>
      </c>
      <c r="G35" s="78" t="n">
        <f aca="false">Model!BA162</f>
        <v>400.409542387904</v>
      </c>
      <c r="H35" s="78" t="n">
        <f aca="false">Model!BB162</f>
        <v>437.063991489452</v>
      </c>
      <c r="I35" s="79" t="n">
        <f aca="false">IFERROR(IF(AND(H35&gt;0,C35&gt;0),(H35/C35)^(1/5)-1,"n/m"),"n/m")</f>
        <v>0.104584616570702</v>
      </c>
      <c r="N35" s="76" t="s">
        <v>570</v>
      </c>
      <c r="O35" s="77" t="n">
        <v>265.797</v>
      </c>
      <c r="P35" s="78" t="n">
        <v>299.129330602722</v>
      </c>
      <c r="Q35" s="78" t="n">
        <v>361.692540564667</v>
      </c>
      <c r="R35" s="78" t="n">
        <v>413.77609206917</v>
      </c>
      <c r="S35" s="78" t="n">
        <v>466.837920066506</v>
      </c>
      <c r="T35" s="78" t="n">
        <v>520.036324361694</v>
      </c>
      <c r="U35" s="80" t="n">
        <v>0.143659445144164</v>
      </c>
      <c r="Z35" s="76" t="s">
        <v>570</v>
      </c>
      <c r="AA35" s="77" t="n">
        <v>265.797</v>
      </c>
      <c r="AB35" s="78" t="n">
        <v>296.385029034172</v>
      </c>
      <c r="AC35" s="78" t="n">
        <v>269.850747470278</v>
      </c>
      <c r="AD35" s="78" t="n">
        <v>290.892176599327</v>
      </c>
      <c r="AE35" s="78" t="n">
        <v>310.519558074659</v>
      </c>
      <c r="AF35" s="78" t="n">
        <v>327.877719749448</v>
      </c>
      <c r="AG35" s="80" t="n">
        <v>0.0428752633256946</v>
      </c>
    </row>
    <row r="36" customFormat="false" ht="15" hidden="false" customHeight="false" outlineLevel="0" collapsed="false">
      <c r="B36" s="81" t="s">
        <v>571</v>
      </c>
      <c r="C36" s="84" t="n">
        <f aca="false">IFERROR(C35/C9,"")</f>
        <v>0.188782848266737</v>
      </c>
      <c r="D36" s="33" t="n">
        <f aca="false">IFERROR(D35/D9,"")</f>
        <v>0.194603390741603</v>
      </c>
      <c r="E36" s="33" t="n">
        <f aca="false">IFERROR(E35/E9,"")</f>
        <v>0.192025493261199</v>
      </c>
      <c r="F36" s="33" t="n">
        <f aca="false">IFERROR(F35/F9,"")</f>
        <v>0.198407312369343</v>
      </c>
      <c r="G36" s="33" t="n">
        <f aca="false">IFERROR(G35/G9,"")</f>
        <v>0.20350623899797</v>
      </c>
      <c r="H36" s="33" t="n">
        <f aca="false">IFERROR(H35/H9,"")</f>
        <v>0.207282937900947</v>
      </c>
      <c r="J36" s="85" t="n">
        <f aca="false">IFERROR(AVERAGE(Model!E163,Model!H163,Model!K163,Model!N163,Model!Q163,Model!T163,Model!W163,Model!Z163,Model!AC163,Model!AF163,Model!AI163,Model!AL163,Model!AO163,Model!AR163,Model!AU163),"")</f>
        <v>0.170483215328448</v>
      </c>
      <c r="K36" s="85" t="n">
        <f aca="false">IFERROR(MIN(Model!E163,Model!H163,Model!K163,Model!N163,Model!Q163,Model!T163,Model!W163,Model!Z163,Model!AC163,Model!AF163,Model!AI163,Model!AL163,Model!AO163,Model!AR163,Model!AU163),"")</f>
        <v>0.0767610332841312</v>
      </c>
      <c r="L36" s="85" t="n">
        <f aca="false">IFERROR(MAX(Model!E163,Model!H163,Model!K163,Model!N163,Model!Q163,Model!T163,Model!W163,Model!Z163,Model!AC163,Model!AF163,Model!AI163,Model!AL163,Model!AO163,Model!AR163,Model!AU163),"")</f>
        <v>0.202101946604413</v>
      </c>
      <c r="N36" s="81" t="s">
        <v>571</v>
      </c>
      <c r="O36" s="83" t="n">
        <v>0.188782848266737</v>
      </c>
      <c r="P36" s="82" t="n">
        <v>0.194604815876386</v>
      </c>
      <c r="Q36" s="82" t="n">
        <v>0.209498667322389</v>
      </c>
      <c r="R36" s="82" t="n">
        <v>0.217222988525497</v>
      </c>
      <c r="S36" s="82" t="n">
        <v>0.223259161440531</v>
      </c>
      <c r="T36" s="82" t="n">
        <v>0.227711767645026</v>
      </c>
      <c r="V36" s="83" t="n">
        <v>0.170483215328448</v>
      </c>
      <c r="W36" s="83" t="n">
        <v>0.0767610332841312</v>
      </c>
      <c r="X36" s="83" t="n">
        <v>0.202101946604413</v>
      </c>
      <c r="Z36" s="81" t="s">
        <v>571</v>
      </c>
      <c r="AA36" s="83" t="n">
        <v>0.188782848266737</v>
      </c>
      <c r="AB36" s="82" t="n">
        <v>0.194601952432312</v>
      </c>
      <c r="AC36" s="82" t="n">
        <v>0.165353123568475</v>
      </c>
      <c r="AD36" s="82" t="n">
        <v>0.169438057841817</v>
      </c>
      <c r="AE36" s="82" t="n">
        <v>0.172844392073629</v>
      </c>
      <c r="AF36" s="82" t="n">
        <v>0.175333907069958</v>
      </c>
      <c r="AH36" s="83" t="n">
        <v>0.170483215328448</v>
      </c>
      <c r="AI36" s="83" t="n">
        <v>0.0767610332841312</v>
      </c>
      <c r="AJ36" s="83" t="n">
        <v>0.202101946604413</v>
      </c>
    </row>
    <row r="38" customFormat="false" ht="15" hidden="false" customHeight="false" outlineLevel="0" collapsed="false">
      <c r="B38" s="76" t="s">
        <v>572</v>
      </c>
      <c r="C38" s="77" t="n">
        <f aca="false">Model!AU300</f>
        <v>198.365</v>
      </c>
      <c r="D38" s="78" t="n">
        <f aca="false">Model!AX300</f>
        <v>139.851635521919</v>
      </c>
      <c r="E38" s="78" t="n">
        <f aca="false">Model!AY300</f>
        <v>127.508088170685</v>
      </c>
      <c r="F38" s="78" t="n">
        <f aca="false">Model!AZ300</f>
        <v>99.7117175665736</v>
      </c>
      <c r="G38" s="78" t="n">
        <f aca="false">Model!BA300</f>
        <v>63.4554606486641</v>
      </c>
      <c r="H38" s="78" t="n">
        <f aca="false">Model!BB300</f>
        <v>19.4933555344442</v>
      </c>
      <c r="I38" s="79" t="n">
        <f aca="false">IFERROR(IF(AND(H38&gt;0,C38&gt;0),(H38/C38)^(1/5)-1,"n/m"),"n/m")</f>
        <v>-0.371240859728992</v>
      </c>
      <c r="N38" s="76" t="s">
        <v>572</v>
      </c>
      <c r="O38" s="77" t="n">
        <v>198.365</v>
      </c>
      <c r="P38" s="78" t="n">
        <v>140.612439493501</v>
      </c>
      <c r="Q38" s="78" t="n">
        <v>116.599130162348</v>
      </c>
      <c r="R38" s="78" t="n">
        <v>77.6088934806926</v>
      </c>
      <c r="S38" s="78" t="n">
        <v>27.8477878513265</v>
      </c>
      <c r="T38" s="78" t="n">
        <v>-32.7185407673298</v>
      </c>
      <c r="U38" s="80" t="s">
        <v>566</v>
      </c>
      <c r="Z38" s="76" t="s">
        <v>572</v>
      </c>
      <c r="AA38" s="77" t="n">
        <v>198.365</v>
      </c>
      <c r="AB38" s="78" t="n">
        <v>139.090831550337</v>
      </c>
      <c r="AC38" s="78" t="n">
        <v>143.620128777399</v>
      </c>
      <c r="AD38" s="78" t="n">
        <v>130.903958798116</v>
      </c>
      <c r="AE38" s="78" t="n">
        <v>112.973112755504</v>
      </c>
      <c r="AF38" s="78" t="n">
        <v>91.1377358943854</v>
      </c>
      <c r="AG38" s="80" t="n">
        <v>-0.144053465859014</v>
      </c>
    </row>
    <row r="39" customFormat="false" ht="15" hidden="false" customHeight="false" outlineLevel="0" collapsed="false">
      <c r="B39" s="81" t="s">
        <v>573</v>
      </c>
      <c r="C39" s="96" t="n">
        <f aca="false">IFERROR(C38/C35,"")</f>
        <v>0.746302629450294</v>
      </c>
      <c r="D39" s="62" t="n">
        <f aca="false">IFERROR(D38/D35,"")</f>
        <v>0.469683503877864</v>
      </c>
      <c r="E39" s="62" t="n">
        <f aca="false">IFERROR(E38/E35,"")</f>
        <v>0.393628411413292</v>
      </c>
      <c r="F39" s="62" t="n">
        <f aca="false">IFERROR(F38/F35,"")</f>
        <v>0.275143297338243</v>
      </c>
      <c r="G39" s="62" t="n">
        <f aca="false">IFERROR(G38/G35,"")</f>
        <v>0.158476394618963</v>
      </c>
      <c r="H39" s="62" t="n">
        <f aca="false">IFERROR(H38/H35,"")</f>
        <v>0.0446006898624013</v>
      </c>
      <c r="N39" s="81" t="s">
        <v>573</v>
      </c>
      <c r="O39" s="97" t="n">
        <v>0.746302629450294</v>
      </c>
      <c r="P39" s="98" t="n">
        <v>0.470072390461271</v>
      </c>
      <c r="Q39" s="98" t="n">
        <v>0.322370845636782</v>
      </c>
      <c r="R39" s="98" t="n">
        <v>0.18756253676377</v>
      </c>
      <c r="S39" s="98" t="n">
        <v>0.0596519405436459</v>
      </c>
      <c r="T39" s="98" t="n">
        <v>-0.0629158757467363</v>
      </c>
      <c r="Z39" s="81" t="s">
        <v>573</v>
      </c>
      <c r="AA39" s="97" t="n">
        <v>0.746302629450294</v>
      </c>
      <c r="AB39" s="98" t="n">
        <v>0.469291016498343</v>
      </c>
      <c r="AC39" s="98" t="n">
        <v>0.532220607590561</v>
      </c>
      <c r="AD39" s="98" t="n">
        <v>0.450008523187003</v>
      </c>
      <c r="AE39" s="98" t="n">
        <v>0.36381963653427</v>
      </c>
      <c r="AF39" s="98" t="n">
        <v>0.277962576914434</v>
      </c>
    </row>
    <row r="41" customFormat="false" ht="15" hidden="false" customHeight="false" outlineLevel="0" collapsed="false">
      <c r="B41" s="76" t="s">
        <v>574</v>
      </c>
      <c r="C41" s="99" t="n">
        <f aca="false">Model!AU361</f>
        <v>0.108766787739667</v>
      </c>
      <c r="D41" s="100" t="n">
        <f aca="false">Model!AX361</f>
        <v>0.115049356660204</v>
      </c>
      <c r="E41" s="100" t="n">
        <f aca="false">Model!AY361</f>
        <v>0.118479925926445</v>
      </c>
      <c r="F41" s="100" t="n">
        <f aca="false">Model!AZ361</f>
        <v>0.124407276178843</v>
      </c>
      <c r="G41" s="100" t="n">
        <f aca="false">Model!BA361</f>
        <v>0.129266274208139</v>
      </c>
      <c r="H41" s="100" t="n">
        <f aca="false">Model!BB361</f>
        <v>0.132639897968619</v>
      </c>
      <c r="J41" s="85" t="n">
        <f aca="false">IFERROR(AVERAGE(Model!E361,Model!H361,Model!K361,Model!N361,Model!Q361,Model!T361,Model!W361,Model!Z361,Model!AC361,Model!AF361,Model!AI361,Model!AL361,Model!AO361,Model!AR361,Model!AU361),"")</f>
        <v>0.143278533486776</v>
      </c>
      <c r="K41" s="85" t="n">
        <f aca="false">IFERROR(MIN(Model!E361,Model!H361,Model!K361,Model!N361,Model!Q361,Model!T361,Model!W361,Model!Z361,Model!AC361,Model!AF361,Model!AI361,Model!AL361,Model!AO361,Model!AR361,Model!AU361),"")</f>
        <v>0.0185134930588851</v>
      </c>
      <c r="L41" s="85" t="n">
        <f aca="false">IFERROR(MAX(Model!E361,Model!H361,Model!K361,Model!N361,Model!Q361,Model!T361,Model!W361,Model!Z361,Model!AC361,Model!AF361,Model!AI361,Model!AL361,Model!AO361,Model!AR361,Model!AU361),"")</f>
        <v>0.263868110396523</v>
      </c>
      <c r="N41" s="76" t="s">
        <v>574</v>
      </c>
      <c r="O41" s="99" t="n">
        <v>0.108766787739667</v>
      </c>
      <c r="P41" s="100" t="n">
        <v>0.115707859960978</v>
      </c>
      <c r="Q41" s="100" t="n">
        <v>0.131822644679675</v>
      </c>
      <c r="R41" s="100" t="n">
        <v>0.140121369794793</v>
      </c>
      <c r="S41" s="100" t="n">
        <v>0.146898528705039</v>
      </c>
      <c r="T41" s="100" t="n">
        <v>0.151929598061953</v>
      </c>
      <c r="V41" s="83" t="n">
        <v>0.143278533486776</v>
      </c>
      <c r="W41" s="83" t="n">
        <v>0.0185134930588851</v>
      </c>
      <c r="X41" s="83" t="n">
        <v>0.263868110396523</v>
      </c>
      <c r="Z41" s="76" t="s">
        <v>574</v>
      </c>
      <c r="AA41" s="99" t="n">
        <v>0.108766787739667</v>
      </c>
      <c r="AB41" s="100" t="n">
        <v>0.114389160370217</v>
      </c>
      <c r="AC41" s="100" t="n">
        <v>0.0987527370222499</v>
      </c>
      <c r="AD41" s="100" t="n">
        <v>0.101418177308128</v>
      </c>
      <c r="AE41" s="100" t="n">
        <v>0.103653343424885</v>
      </c>
      <c r="AF41" s="100" t="n">
        <v>0.104770106213961</v>
      </c>
      <c r="AH41" s="83" t="n">
        <v>0.143278533486776</v>
      </c>
      <c r="AI41" s="83" t="n">
        <v>0.0185134930588851</v>
      </c>
      <c r="AJ41" s="83" t="n">
        <v>0.263868110396523</v>
      </c>
    </row>
    <row r="42" customFormat="false" ht="15" hidden="false" customHeight="false" outlineLevel="0" collapsed="false">
      <c r="B42" s="76" t="s">
        <v>575</v>
      </c>
      <c r="C42" s="99" t="n">
        <f aca="false">Model!AU372</f>
        <v>0.0963461322811559</v>
      </c>
      <c r="D42" s="100" t="n">
        <f aca="false">Model!AX372</f>
        <v>0.105231145924939</v>
      </c>
      <c r="E42" s="100" t="n">
        <f aca="false">Model!AY372</f>
        <v>0.109011187901082</v>
      </c>
      <c r="F42" s="100" t="n">
        <f aca="false">Model!AZ372</f>
        <v>0.115064195407536</v>
      </c>
      <c r="G42" s="100" t="n">
        <f aca="false">Model!BA372</f>
        <v>0.120191817568773</v>
      </c>
      <c r="H42" s="100" t="n">
        <f aca="false">Model!BB372</f>
        <v>0.123904573420566</v>
      </c>
      <c r="J42" s="85" t="n">
        <f aca="false">IFERROR(AVERAGE(Model!E372,Model!H372,Model!K372,Model!N372,Model!Q372,Model!T372,Model!W372,Model!Z372,Model!AC372,Model!AF372,Model!AI372,Model!AL372,Model!AO372,Model!AR372,Model!AU372),"")</f>
        <v>0.125649411997664</v>
      </c>
      <c r="K42" s="85" t="n">
        <f aca="false">IFERROR(MIN(Model!E372,Model!H372,Model!K372,Model!N372,Model!Q372,Model!T372,Model!W372,Model!Z372,Model!AC372,Model!AF372,Model!AI372,Model!AL372,Model!AO372,Model!AR372,Model!AU372),"")</f>
        <v>0.0172329952551226</v>
      </c>
      <c r="L42" s="85" t="n">
        <f aca="false">IFERROR(MAX(Model!E372,Model!H372,Model!K372,Model!N372,Model!Q372,Model!T372,Model!W372,Model!Z372,Model!AC372,Model!AF372,Model!AI372,Model!AL372,Model!AO372,Model!AR372,Model!AU372),"")</f>
        <v>0.251397364844612</v>
      </c>
      <c r="N42" s="76" t="s">
        <v>575</v>
      </c>
      <c r="O42" s="99" t="n">
        <v>0.0963461322811559</v>
      </c>
      <c r="P42" s="100" t="n">
        <v>0.105842444798137</v>
      </c>
      <c r="Q42" s="100" t="n">
        <v>0.121395596480877</v>
      </c>
      <c r="R42" s="100" t="n">
        <v>0.129797495506756</v>
      </c>
      <c r="S42" s="100" t="n">
        <v>0.136889079380188</v>
      </c>
      <c r="T42" s="100" t="n">
        <v>0.142332652338567</v>
      </c>
      <c r="V42" s="83" t="n">
        <v>0.125649411997664</v>
      </c>
      <c r="W42" s="83" t="n">
        <v>0.0172329952551226</v>
      </c>
      <c r="X42" s="83" t="n">
        <v>0.251397364844612</v>
      </c>
      <c r="Z42" s="76" t="s">
        <v>575</v>
      </c>
      <c r="AA42" s="99" t="n">
        <v>0.0963461322811559</v>
      </c>
      <c r="AB42" s="100" t="n">
        <v>0.104618379679189</v>
      </c>
      <c r="AC42" s="100" t="n">
        <v>0.0907443661952106</v>
      </c>
      <c r="AD42" s="100" t="n">
        <v>0.0935905675630199</v>
      </c>
      <c r="AE42" s="100" t="n">
        <v>0.0960598962054411</v>
      </c>
      <c r="AF42" s="100" t="n">
        <v>0.0974462861602172</v>
      </c>
      <c r="AH42" s="83" t="n">
        <v>0.125649411997664</v>
      </c>
      <c r="AI42" s="83" t="n">
        <v>0.0172329952551226</v>
      </c>
      <c r="AJ42" s="83" t="n">
        <v>0.251397364844612</v>
      </c>
    </row>
    <row r="44" customFormat="false" ht="15" hidden="false" customHeight="false" outlineLevel="0" collapsed="false">
      <c r="B44" s="76" t="s">
        <v>576</v>
      </c>
      <c r="G44" s="101" t="n">
        <f aca="false">G27*G21</f>
        <v>7577.07102483004</v>
      </c>
      <c r="H44" s="101" t="n">
        <f aca="false">H27*H21</f>
        <v>8352.66318160638</v>
      </c>
      <c r="N44" s="76" t="s">
        <v>576</v>
      </c>
      <c r="S44" s="101" t="n">
        <f aca="false">S27*S21</f>
        <v>10369.0192013876</v>
      </c>
      <c r="T44" s="101" t="n">
        <f aca="false">T27*T21</f>
        <v>11665.7841352788</v>
      </c>
      <c r="Z44" s="76" t="s">
        <v>576</v>
      </c>
      <c r="AE44" s="101" t="n">
        <f aca="false">AE27*AE21</f>
        <v>4444.54153868737</v>
      </c>
      <c r="AF44" s="101" t="n">
        <f aca="false">AF27*AF21</f>
        <v>4733.71461508333</v>
      </c>
    </row>
    <row r="45" customFormat="false" ht="15" hidden="false" customHeight="false" outlineLevel="0" collapsed="false">
      <c r="B45" s="81" t="s">
        <v>577</v>
      </c>
      <c r="G45" s="102" t="n">
        <f aca="false">G38+Model!BA304+Model!BA278</f>
        <v>1058.33387843161</v>
      </c>
      <c r="H45" s="102" t="n">
        <f aca="false">H38+Model!BB304+Model!BB278</f>
        <v>1062.38598440876</v>
      </c>
      <c r="N45" s="81" t="s">
        <v>577</v>
      </c>
      <c r="S45" s="102" t="n">
        <v>1049.91267238998</v>
      </c>
      <c r="T45" s="102" t="n">
        <v>1053.1089067335</v>
      </c>
      <c r="Z45" s="81" t="s">
        <v>577</v>
      </c>
      <c r="AE45" s="102" t="n">
        <v>1069.9467594822</v>
      </c>
      <c r="AF45" s="102" t="n">
        <v>1074.90402896356</v>
      </c>
    </row>
    <row r="46" customFormat="false" ht="15" hidden="false" customHeight="false" outlineLevel="0" collapsed="false">
      <c r="B46" s="76" t="s">
        <v>578</v>
      </c>
      <c r="G46" s="101" t="n">
        <f aca="false">G44+G45</f>
        <v>8635.40490326165</v>
      </c>
      <c r="H46" s="101" t="n">
        <f aca="false">H44+H45</f>
        <v>9415.04916601514</v>
      </c>
      <c r="N46" s="76" t="s">
        <v>578</v>
      </c>
      <c r="S46" s="101" t="n">
        <f aca="false">S44+S45</f>
        <v>11418.9318737776</v>
      </c>
      <c r="T46" s="101" t="n">
        <f aca="false">T44+T45</f>
        <v>12718.8930420123</v>
      </c>
      <c r="Z46" s="76" t="s">
        <v>578</v>
      </c>
      <c r="AE46" s="101" t="n">
        <f aca="false">AE44+AE45</f>
        <v>5514.48829816957</v>
      </c>
      <c r="AF46" s="101" t="n">
        <f aca="false">AF44+AF45</f>
        <v>5808.61864404689</v>
      </c>
    </row>
    <row r="47" customFormat="false" ht="15" hidden="false" customHeight="false" outlineLevel="0" collapsed="false">
      <c r="B47" s="76" t="s">
        <v>579</v>
      </c>
      <c r="G47" s="103" t="n">
        <f aca="false">IFERROR(G46/G12,"")</f>
        <v>14.2035706483593</v>
      </c>
      <c r="H47" s="103" t="n">
        <f aca="false">IFERROR(H46/H12,"")</f>
        <v>14.3575630150069</v>
      </c>
      <c r="N47" s="76" t="s">
        <v>579</v>
      </c>
      <c r="S47" s="103" t="n">
        <f aca="false">IFERROR(S46/S12,"")</f>
        <v>16.8548012399006</v>
      </c>
      <c r="T47" s="103" t="n">
        <f aca="false">IFERROR(T46/T12,"")</f>
        <v>17.0837618899567</v>
      </c>
      <c r="Z47" s="76" t="s">
        <v>579</v>
      </c>
      <c r="AE47" s="103" t="n">
        <f aca="false">IFERROR(AE46/AE12,"")</f>
        <v>10.7326142522528</v>
      </c>
      <c r="AF47" s="103" t="n">
        <f aca="false">IFERROR(AF46/AF12,"")</f>
        <v>10.7853534280504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1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15" min="4" style="0" width="11"/>
  </cols>
  <sheetData>
    <row r="2" customFormat="false" ht="17.35" hidden="false" customHeight="false" outlineLevel="0" collapsed="false">
      <c r="B2" s="104" t="s">
        <v>580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4" customFormat="false" ht="15" hidden="false" customHeight="false" outlineLevel="0" collapsed="false">
      <c r="B4" s="13" t="s">
        <v>581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15" hidden="false" customHeight="false" outlineLevel="0" collapsed="false">
      <c r="B5" s="20" t="s">
        <v>582</v>
      </c>
      <c r="C5" s="105" t="n">
        <v>0.0325</v>
      </c>
      <c r="D5" s="106" t="s">
        <v>583</v>
      </c>
    </row>
    <row r="6" customFormat="false" ht="15" hidden="false" customHeight="false" outlineLevel="0" collapsed="false">
      <c r="B6" s="20" t="s">
        <v>584</v>
      </c>
      <c r="C6" s="105" t="n">
        <v>0.055</v>
      </c>
      <c r="D6" s="106" t="s">
        <v>585</v>
      </c>
    </row>
    <row r="7" customFormat="false" ht="15" hidden="false" customHeight="false" outlineLevel="0" collapsed="false">
      <c r="B7" s="20" t="s">
        <v>586</v>
      </c>
      <c r="C7" s="105" t="n">
        <v>1.05</v>
      </c>
      <c r="D7" s="106" t="s">
        <v>587</v>
      </c>
    </row>
    <row r="8" customFormat="false" ht="15" hidden="false" customHeight="false" outlineLevel="0" collapsed="false">
      <c r="B8" s="20" t="s">
        <v>588</v>
      </c>
      <c r="C8" s="107" t="n">
        <f aca="false">C5+C7*C6</f>
        <v>0.09025</v>
      </c>
    </row>
    <row r="9" customFormat="false" ht="15" hidden="false" customHeight="false" outlineLevel="0" collapsed="false">
      <c r="B9" s="20" t="s">
        <v>589</v>
      </c>
      <c r="C9" s="105" t="n">
        <v>0.04</v>
      </c>
      <c r="D9" s="106" t="s">
        <v>590</v>
      </c>
    </row>
    <row r="10" customFormat="false" ht="15" hidden="false" customHeight="false" outlineLevel="0" collapsed="false">
      <c r="B10" s="20" t="s">
        <v>591</v>
      </c>
      <c r="C10" s="105" t="n">
        <v>0.285</v>
      </c>
      <c r="D10" s="106" t="s">
        <v>592</v>
      </c>
    </row>
    <row r="11" customFormat="false" ht="15" hidden="false" customHeight="false" outlineLevel="0" collapsed="false">
      <c r="B11" s="20" t="s">
        <v>593</v>
      </c>
      <c r="C11" s="107" t="n">
        <f aca="false">C9*(1-C10)</f>
        <v>0.0286</v>
      </c>
    </row>
    <row r="12" customFormat="false" ht="15" hidden="false" customHeight="false" outlineLevel="0" collapsed="false">
      <c r="B12" s="20" t="s">
        <v>594</v>
      </c>
      <c r="C12" s="105" t="n">
        <v>0.03</v>
      </c>
      <c r="D12" s="106" t="s">
        <v>595</v>
      </c>
    </row>
    <row r="13" customFormat="false" ht="15" hidden="false" customHeight="false" outlineLevel="0" collapsed="false">
      <c r="B13" s="71" t="s">
        <v>596</v>
      </c>
      <c r="C13" s="108" t="n">
        <f aca="false">C8*(1-C12)+C11*C12</f>
        <v>0.0884005</v>
      </c>
    </row>
    <row r="15" customFormat="false" ht="15" hidden="false" customHeight="false" outlineLevel="0" collapsed="false">
      <c r="B15" s="20" t="s">
        <v>597</v>
      </c>
      <c r="C15" s="70" t="n">
        <f aca="true">TODAY()</f>
        <v>46301</v>
      </c>
      <c r="D15" s="106" t="s">
        <v>598</v>
      </c>
    </row>
    <row r="16" customFormat="false" ht="15" hidden="false" customHeight="false" outlineLevel="0" collapsed="false">
      <c r="B16" s="13" t="s">
        <v>599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customFormat="false" ht="15" hidden="false" customHeight="false" outlineLevel="0" collapsed="false">
      <c r="D17" s="7" t="s">
        <v>39</v>
      </c>
      <c r="E17" s="7" t="s">
        <v>41</v>
      </c>
      <c r="F17" s="7" t="s">
        <v>42</v>
      </c>
      <c r="G17" s="7" t="s">
        <v>43</v>
      </c>
      <c r="H17" s="7" t="s">
        <v>44</v>
      </c>
      <c r="I17" s="7" t="s">
        <v>600</v>
      </c>
      <c r="J17" s="7" t="s">
        <v>601</v>
      </c>
      <c r="K17" s="7" t="s">
        <v>602</v>
      </c>
      <c r="L17" s="7" t="s">
        <v>603</v>
      </c>
      <c r="M17" s="7" t="s">
        <v>604</v>
      </c>
      <c r="N17" s="7" t="s">
        <v>605</v>
      </c>
    </row>
    <row r="18" customFormat="false" ht="15" hidden="false" customHeight="false" outlineLevel="0" collapsed="false">
      <c r="B18" s="20" t="s">
        <v>606</v>
      </c>
      <c r="D18" s="102" t="n">
        <f aca="false">Model!AW173</f>
        <v>119.979922226018</v>
      </c>
      <c r="E18" s="102" t="n">
        <f aca="false">Model!AY173</f>
        <v>254.766704900124</v>
      </c>
      <c r="F18" s="102" t="n">
        <f aca="false">Model!AZ173</f>
        <v>287.511015815815</v>
      </c>
      <c r="G18" s="102" t="n">
        <f aca="false">Model!BA173</f>
        <v>321.707376919277</v>
      </c>
      <c r="H18" s="102" t="n">
        <f aca="false">Model!BB173</f>
        <v>352.722463737021</v>
      </c>
      <c r="I18" s="21" t="n">
        <f aca="false">H18*(1+I$26)</f>
        <v>377.413036198613</v>
      </c>
      <c r="J18" s="21" t="n">
        <f aca="false">I18*(1+J$26)</f>
        <v>401.473117256275</v>
      </c>
      <c r="K18" s="21" t="n">
        <f aca="false">J18*(1+K$26)</f>
        <v>424.55782149851</v>
      </c>
      <c r="L18" s="21" t="n">
        <f aca="false">K18*(1+L$26)</f>
        <v>446.316409850309</v>
      </c>
      <c r="M18" s="21" t="n">
        <f aca="false">L18*(1+M$26)</f>
        <v>466.400648293573</v>
      </c>
    </row>
    <row r="19" customFormat="false" ht="15" hidden="false" customHeight="false" outlineLevel="0" collapsed="false">
      <c r="B19" s="20" t="s">
        <v>607</v>
      </c>
      <c r="D19" s="79" t="n">
        <f aca="false">1-$C$10</f>
        <v>0.715</v>
      </c>
      <c r="E19" s="79" t="n">
        <f aca="false">1-$C$10</f>
        <v>0.715</v>
      </c>
      <c r="F19" s="79" t="n">
        <f aca="false">1-$C$10</f>
        <v>0.715</v>
      </c>
      <c r="G19" s="79" t="n">
        <f aca="false">1-$C$10</f>
        <v>0.715</v>
      </c>
      <c r="H19" s="79" t="n">
        <f aca="false">1-$C$10</f>
        <v>0.715</v>
      </c>
      <c r="I19" s="79" t="n">
        <f aca="false">1-$C$10</f>
        <v>0.715</v>
      </c>
      <c r="J19" s="79" t="n">
        <f aca="false">1-$C$10</f>
        <v>0.715</v>
      </c>
      <c r="K19" s="79" t="n">
        <f aca="false">1-$C$10</f>
        <v>0.715</v>
      </c>
      <c r="L19" s="79" t="n">
        <f aca="false">1-$C$10</f>
        <v>0.715</v>
      </c>
      <c r="M19" s="79" t="n">
        <f aca="false">1-$C$10</f>
        <v>0.715</v>
      </c>
    </row>
    <row r="20" customFormat="false" ht="15" hidden="false" customHeight="false" outlineLevel="0" collapsed="false">
      <c r="B20" s="71" t="s">
        <v>608</v>
      </c>
      <c r="D20" s="101" t="n">
        <f aca="false">D18*D19</f>
        <v>85.7856443916027</v>
      </c>
      <c r="E20" s="101" t="n">
        <f aca="false">E18*E19</f>
        <v>182.158194003588</v>
      </c>
      <c r="F20" s="101" t="n">
        <f aca="false">F18*F19</f>
        <v>205.570376308308</v>
      </c>
      <c r="G20" s="101" t="n">
        <f aca="false">G18*G19</f>
        <v>230.020774497283</v>
      </c>
      <c r="H20" s="101" t="n">
        <f aca="false">H18*H19</f>
        <v>252.19656157197</v>
      </c>
      <c r="I20" s="101" t="n">
        <f aca="false">I18*I19</f>
        <v>269.850320882008</v>
      </c>
      <c r="J20" s="101" t="n">
        <f aca="false">J18*J19</f>
        <v>287.053278838236</v>
      </c>
      <c r="K20" s="101" t="n">
        <f aca="false">K18*K19</f>
        <v>303.558842371435</v>
      </c>
      <c r="L20" s="101" t="n">
        <f aca="false">L18*L19</f>
        <v>319.116233042971</v>
      </c>
      <c r="M20" s="101" t="n">
        <f aca="false">M18*M19</f>
        <v>333.476463529905</v>
      </c>
    </row>
    <row r="21" customFormat="false" ht="15" hidden="false" customHeight="false" outlineLevel="0" collapsed="false">
      <c r="B21" s="20" t="s">
        <v>609</v>
      </c>
      <c r="D21" s="102" t="n">
        <f aca="false">-Model!AW106</f>
        <v>32.1822575924293</v>
      </c>
      <c r="E21" s="102" t="n">
        <f aca="false">-Model!AY106</f>
        <v>69.1633887454994</v>
      </c>
      <c r="F21" s="102" t="n">
        <f aca="false">-Model!AZ106</f>
        <v>74.8882086290183</v>
      </c>
      <c r="G21" s="102" t="n">
        <f aca="false">-Model!BA106</f>
        <v>78.7021654686271</v>
      </c>
      <c r="H21" s="102" t="n">
        <f aca="false">-Model!BB106</f>
        <v>84.3415277524305</v>
      </c>
      <c r="I21" s="21" t="n">
        <f aca="false">H21*(1+I$26)</f>
        <v>90.2454346951006</v>
      </c>
      <c r="J21" s="21" t="n">
        <f aca="false">I21*(1+J$26)</f>
        <v>95.9985811569133</v>
      </c>
      <c r="K21" s="21" t="n">
        <f aca="false">J21*(1+K$26)</f>
        <v>101.518499573436</v>
      </c>
      <c r="L21" s="21" t="n">
        <f aca="false">K21*(1+L$26)</f>
        <v>106.721322676574</v>
      </c>
      <c r="M21" s="21" t="n">
        <f aca="false">L21*(1+M$26)</f>
        <v>111.52378219702</v>
      </c>
    </row>
    <row r="22" customFormat="false" ht="15" hidden="false" customHeight="false" outlineLevel="0" collapsed="false">
      <c r="B22" s="20" t="s">
        <v>610</v>
      </c>
      <c r="D22" s="102" t="n">
        <f aca="false">Model!AW221+Model!AW222</f>
        <v>-39.946</v>
      </c>
      <c r="E22" s="102" t="n">
        <f aca="false">Model!AY221+Model!AY222</f>
        <v>-109.649274840426</v>
      </c>
      <c r="F22" s="102" t="n">
        <f aca="false">Model!AZ221+Model!AZ222</f>
        <v>-118.725208802102</v>
      </c>
      <c r="G22" s="102" t="n">
        <f aca="false">Model!BA221+Model!BA222</f>
        <v>-127.891018886519</v>
      </c>
      <c r="H22" s="102" t="n">
        <f aca="false">Model!BB221+Model!BB222</f>
        <v>-137.0549825977</v>
      </c>
      <c r="I22" s="21" t="n">
        <f aca="false">H22*(1+I$26)</f>
        <v>-146.648831379538</v>
      </c>
      <c r="J22" s="21" t="n">
        <f aca="false">I22*(1+J$26)</f>
        <v>-155.997694379984</v>
      </c>
      <c r="K22" s="21" t="n">
        <f aca="false">J22*(1+K$26)</f>
        <v>-164.967561806833</v>
      </c>
      <c r="L22" s="21" t="n">
        <f aca="false">K22*(1+L$26)</f>
        <v>-173.422149349433</v>
      </c>
      <c r="M22" s="21" t="n">
        <f aca="false">L22*(1+M$26)</f>
        <v>-181.226146070158</v>
      </c>
    </row>
    <row r="23" customFormat="false" ht="15" hidden="false" customHeight="false" outlineLevel="0" collapsed="false">
      <c r="B23" s="20" t="s">
        <v>611</v>
      </c>
      <c r="D23" s="102" t="n">
        <f aca="false">Model!AW216+Model!AW217+Model!AW218</f>
        <v>10.8260664565878</v>
      </c>
      <c r="E23" s="102" t="n">
        <f aca="false">Model!AY216+Model!AY217+Model!AY218</f>
        <v>-35.291550828492</v>
      </c>
      <c r="F23" s="102" t="n">
        <f aca="false">Model!AZ216+Model!AZ217+Model!AZ218</f>
        <v>-32.7286930746407</v>
      </c>
      <c r="G23" s="102" t="n">
        <f aca="false">Model!BA216+Model!BA217+Model!BA218</f>
        <v>-33.1829558793783</v>
      </c>
      <c r="H23" s="102" t="n">
        <f aca="false">Model!BB216+Model!BB217+Model!BB218</f>
        <v>-32.7956061597486</v>
      </c>
      <c r="I23" s="21" t="n">
        <f aca="false">H23*(1+I$26)</f>
        <v>-35.091298590931</v>
      </c>
      <c r="J23" s="21" t="n">
        <f aca="false">I23*(1+J$26)</f>
        <v>-37.3283688761028</v>
      </c>
      <c r="K23" s="21" t="n">
        <f aca="false">J23*(1+K$26)</f>
        <v>-39.4747500864788</v>
      </c>
      <c r="L23" s="21" t="n">
        <f aca="false">K23*(1+L$26)</f>
        <v>-41.4978310284108</v>
      </c>
      <c r="M23" s="21" t="n">
        <f aca="false">L23*(1+M$26)</f>
        <v>-43.3652334246893</v>
      </c>
    </row>
    <row r="24" customFormat="false" ht="15" hidden="false" customHeight="false" outlineLevel="0" collapsed="false">
      <c r="B24" s="71" t="s">
        <v>612</v>
      </c>
      <c r="D24" s="109" t="n">
        <f aca="false">D20+D21+D22+D23</f>
        <v>88.8479684406198</v>
      </c>
      <c r="E24" s="109" t="n">
        <f aca="false">E20+E21+E22+E23</f>
        <v>106.38075708017</v>
      </c>
      <c r="F24" s="109" t="n">
        <f aca="false">F20+F21+F22+F23</f>
        <v>129.004683060583</v>
      </c>
      <c r="G24" s="109" t="n">
        <f aca="false">G20+G21+G22+G23</f>
        <v>147.648965200013</v>
      </c>
      <c r="H24" s="109" t="n">
        <f aca="false">H20+H21+H22+H23</f>
        <v>166.687500566953</v>
      </c>
      <c r="I24" s="109" t="n">
        <f aca="false">I20+I21+I22+I23</f>
        <v>178.355625606639</v>
      </c>
      <c r="J24" s="109" t="n">
        <f aca="false">J20+J21+J22+J23</f>
        <v>189.725796739063</v>
      </c>
      <c r="K24" s="109" t="n">
        <f aca="false">K20+K21+K22+K23</f>
        <v>200.635030051559</v>
      </c>
      <c r="L24" s="109" t="n">
        <f aca="false">L20+L21+L22+L23</f>
        <v>210.917575341701</v>
      </c>
      <c r="M24" s="109" t="n">
        <f aca="false">M20+M21+M22+M23</f>
        <v>220.408866232078</v>
      </c>
      <c r="N24" s="101" t="n">
        <f aca="false">M24*(1+$C$27)</f>
        <v>227.02113221904</v>
      </c>
    </row>
    <row r="25" customFormat="false" ht="15" hidden="false" customHeight="false" outlineLevel="0" collapsed="false">
      <c r="B25" s="20" t="s">
        <v>613</v>
      </c>
      <c r="N25" s="101" t="n">
        <f aca="false">N24/($C$13-$C$27)</f>
        <v>3887.3148726302</v>
      </c>
    </row>
    <row r="26" customFormat="false" ht="15" hidden="false" customHeight="false" outlineLevel="0" collapsed="false">
      <c r="B26" s="20" t="s">
        <v>614</v>
      </c>
      <c r="I26" s="43" t="n">
        <v>0.07</v>
      </c>
      <c r="J26" s="79" t="n">
        <f aca="false">I26+($M$26-$I$26)/4</f>
        <v>0.06375</v>
      </c>
      <c r="K26" s="79" t="n">
        <f aca="false">J26+($M$26-$I$26)/4</f>
        <v>0.0575</v>
      </c>
      <c r="L26" s="79" t="n">
        <f aca="false">K26+($M$26-$I$26)/4</f>
        <v>0.05125</v>
      </c>
      <c r="M26" s="43" t="n">
        <v>0.045</v>
      </c>
    </row>
    <row r="27" customFormat="false" ht="15" hidden="false" customHeight="false" outlineLevel="0" collapsed="false">
      <c r="B27" s="20" t="s">
        <v>615</v>
      </c>
      <c r="C27" s="110" t="n">
        <v>0.03</v>
      </c>
    </row>
    <row r="29" customFormat="false" ht="15" hidden="false" customHeight="false" outlineLevel="0" collapsed="false">
      <c r="B29" s="20" t="s">
        <v>616</v>
      </c>
      <c r="D29" s="111" t="n">
        <f aca="false">MAX(0,(DATE(2026,12,31)-$C$15)/365.25)</f>
        <v>0.235455167693361</v>
      </c>
      <c r="E29" s="111" t="n">
        <f aca="false">MAX(0,(DATE(2027,12,31)-$C$15)/365.25)</f>
        <v>1.23477070499658</v>
      </c>
      <c r="F29" s="111" t="n">
        <f aca="false">MAX(0,(DATE(2028,12,31)-$C$15)/365.25)</f>
        <v>2.23682409308693</v>
      </c>
      <c r="G29" s="111" t="n">
        <f aca="false">MAX(0,(DATE(2029,12,31)-$C$15)/365.25)</f>
        <v>3.23613963039014</v>
      </c>
      <c r="H29" s="111" t="n">
        <f aca="false">MAX(0,(DATE(2030,12,31)-$C$15)/365.25)</f>
        <v>4.23545516769336</v>
      </c>
      <c r="I29" s="111" t="n">
        <f aca="false">MAX(0,(DATE(2031,12,31)-$C$15)/365.25)</f>
        <v>5.23477070499658</v>
      </c>
      <c r="J29" s="111" t="n">
        <f aca="false">MAX(0,(DATE(2032,12,31)-$C$15)/365.25)</f>
        <v>6.23682409308693</v>
      </c>
      <c r="K29" s="111" t="n">
        <f aca="false">MAX(0,(DATE(2033,12,31)-$C$15)/365.25)</f>
        <v>7.23613963039014</v>
      </c>
      <c r="L29" s="111" t="n">
        <f aca="false">MAX(0,(DATE(2034,12,31)-$C$15)/365.25)</f>
        <v>8.23545516769336</v>
      </c>
      <c r="M29" s="111" t="n">
        <f aca="false">MAX(0,(DATE(2035,12,31)-$C$15)/365.25)</f>
        <v>9.23477070499658</v>
      </c>
      <c r="N29" s="111" t="n">
        <f aca="false">M29</f>
        <v>9.23477070499658</v>
      </c>
    </row>
    <row r="30" customFormat="false" ht="15" hidden="false" customHeight="false" outlineLevel="0" collapsed="false">
      <c r="B30" s="20" t="s">
        <v>617</v>
      </c>
      <c r="D30" s="112" t="n">
        <f aca="false">1/(1+$C$13)^D29</f>
        <v>0.98025237407511</v>
      </c>
      <c r="E30" s="112" t="n">
        <f aca="false">1/(1+$C$13)^E29</f>
        <v>0.900687946237384</v>
      </c>
      <c r="F30" s="112" t="n">
        <f aca="false">1/(1+$C$13)^F29</f>
        <v>0.827389635935716</v>
      </c>
      <c r="G30" s="112" t="n">
        <f aca="false">1/(1+$C$13)^G29</f>
        <v>0.760232662157201</v>
      </c>
      <c r="H30" s="112" t="n">
        <f aca="false">1/(1+$C$13)^H29</f>
        <v>0.698526637884462</v>
      </c>
      <c r="I30" s="112" t="n">
        <f aca="false">1/(1+$C$13)^I29</f>
        <v>0.641829124323093</v>
      </c>
      <c r="J30" s="112" t="n">
        <f aca="false">1/(1+$C$13)^J29</f>
        <v>0.589596838422286</v>
      </c>
      <c r="K30" s="112" t="n">
        <f aca="false">1/(1+$C$13)^K29</f>
        <v>0.541740861385492</v>
      </c>
      <c r="L30" s="112" t="n">
        <f aca="false">1/(1+$C$13)^L29</f>
        <v>0.497769224272016</v>
      </c>
      <c r="M30" s="112" t="n">
        <f aca="false">1/(1+$C$13)^M29</f>
        <v>0.45736664574034</v>
      </c>
      <c r="N30" s="112" t="n">
        <f aca="false">1/(1+$C$13)^N29</f>
        <v>0.45736664574034</v>
      </c>
    </row>
    <row r="31" customFormat="false" ht="15" hidden="false" customHeight="false" outlineLevel="0" collapsed="false">
      <c r="B31" s="71" t="s">
        <v>618</v>
      </c>
      <c r="D31" s="109" t="n">
        <f aca="false">D24*D30</f>
        <v>87.0934319956679</v>
      </c>
      <c r="E31" s="109" t="n">
        <f aca="false">E24*E30</f>
        <v>95.8158656137163</v>
      </c>
      <c r="F31" s="109" t="n">
        <f aca="false">F24*F30</f>
        <v>106.737137751498</v>
      </c>
      <c r="G31" s="109" t="n">
        <f aca="false">G24*G30</f>
        <v>112.247565878762</v>
      </c>
      <c r="H31" s="109" t="n">
        <f aca="false">H24*H30</f>
        <v>116.435659348398</v>
      </c>
      <c r="I31" s="109" t="n">
        <f aca="false">I24*I30</f>
        <v>114.473835001207</v>
      </c>
      <c r="J31" s="109" t="n">
        <f aca="false">J24*J30</f>
        <v>111.861729924501</v>
      </c>
      <c r="K31" s="109" t="n">
        <f aca="false">K24*K30</f>
        <v>108.692194004235</v>
      </c>
      <c r="L31" s="109" t="n">
        <f aca="false">L24*L30</f>
        <v>104.988277863173</v>
      </c>
      <c r="M31" s="109" t="n">
        <f aca="false">M24*M30</f>
        <v>100.807663839997</v>
      </c>
      <c r="N31" s="101" t="n">
        <f aca="false">N25*N30</f>
        <v>1777.92816423141</v>
      </c>
    </row>
    <row r="32" customFormat="false" ht="15" hidden="false" customHeight="false" outlineLevel="0" collapsed="false">
      <c r="D32" s="106" t="s">
        <v>619</v>
      </c>
    </row>
    <row r="33" customFormat="false" ht="15" hidden="false" customHeight="false" outlineLevel="0" collapsed="false">
      <c r="B33" s="13" t="s">
        <v>620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customFormat="false" ht="15" hidden="false" customHeight="false" outlineLevel="0" collapsed="false">
      <c r="B34" s="20" t="s">
        <v>621</v>
      </c>
      <c r="D34" s="21" t="n">
        <f aca="false">Model!AV279+Model!AV300-Model!AV262+Model!AV304</f>
        <v>870.302</v>
      </c>
      <c r="E34" s="21" t="n">
        <f aca="false">D38</f>
        <v>867.239675950983</v>
      </c>
      <c r="F34" s="21" t="n">
        <f aca="false">E38</f>
        <v>943.017112874401</v>
      </c>
      <c r="G34" s="21" t="n">
        <f aca="false">F38</f>
        <v>1019.58280612213</v>
      </c>
      <c r="H34" s="21" t="n">
        <f aca="false">G38</f>
        <v>1101.9546154194</v>
      </c>
      <c r="I34" s="21" t="n">
        <f aca="false">H38</f>
        <v>1187.46367642441</v>
      </c>
      <c r="J34" s="21" t="n">
        <f aca="false">I38</f>
        <v>1278.95837169978</v>
      </c>
      <c r="K34" s="21" t="n">
        <f aca="false">J38</f>
        <v>1376.28585379896</v>
      </c>
      <c r="L34" s="21" t="n">
        <f aca="false">K38</f>
        <v>1479.20966611883</v>
      </c>
      <c r="M34" s="21" t="n">
        <f aca="false">L38</f>
        <v>1587.4083238201</v>
      </c>
    </row>
    <row r="35" customFormat="false" ht="15" hidden="false" customHeight="false" outlineLevel="0" collapsed="false">
      <c r="B35" s="20" t="s">
        <v>622</v>
      </c>
      <c r="D35" s="21" t="n">
        <f aca="false">-D22</f>
        <v>39.946</v>
      </c>
      <c r="E35" s="21" t="n">
        <f aca="false">-E22</f>
        <v>109.649274840426</v>
      </c>
      <c r="F35" s="21" t="n">
        <f aca="false">-F22</f>
        <v>118.725208802102</v>
      </c>
      <c r="G35" s="21" t="n">
        <f aca="false">-G22</f>
        <v>127.891018886519</v>
      </c>
      <c r="H35" s="21" t="n">
        <f aca="false">-H22</f>
        <v>137.0549825977</v>
      </c>
      <c r="I35" s="21" t="n">
        <f aca="false">-I22</f>
        <v>146.648831379538</v>
      </c>
      <c r="J35" s="21" t="n">
        <f aca="false">-J22</f>
        <v>155.997694379984</v>
      </c>
      <c r="K35" s="21" t="n">
        <f aca="false">-K22</f>
        <v>164.967561806833</v>
      </c>
      <c r="L35" s="21" t="n">
        <f aca="false">-L22</f>
        <v>173.422149349433</v>
      </c>
      <c r="M35" s="21" t="n">
        <f aca="false">-M22</f>
        <v>181.226146070158</v>
      </c>
    </row>
    <row r="36" customFormat="false" ht="15" hidden="false" customHeight="false" outlineLevel="0" collapsed="false">
      <c r="B36" s="20" t="s">
        <v>623</v>
      </c>
      <c r="D36" s="21" t="n">
        <f aca="false">-D21</f>
        <v>-32.1822575924293</v>
      </c>
      <c r="E36" s="21" t="n">
        <f aca="false">-E21</f>
        <v>-69.1633887454994</v>
      </c>
      <c r="F36" s="21" t="n">
        <f aca="false">-F21</f>
        <v>-74.8882086290183</v>
      </c>
      <c r="G36" s="21" t="n">
        <f aca="false">-G21</f>
        <v>-78.7021654686271</v>
      </c>
      <c r="H36" s="21" t="n">
        <f aca="false">-H21</f>
        <v>-84.3415277524305</v>
      </c>
      <c r="I36" s="21" t="n">
        <f aca="false">-I21</f>
        <v>-90.2454346951006</v>
      </c>
      <c r="J36" s="21" t="n">
        <f aca="false">-J21</f>
        <v>-95.9985811569133</v>
      </c>
      <c r="K36" s="21" t="n">
        <f aca="false">-K21</f>
        <v>-101.518499573436</v>
      </c>
      <c r="L36" s="21" t="n">
        <f aca="false">-L21</f>
        <v>-106.721322676574</v>
      </c>
      <c r="M36" s="21" t="n">
        <f aca="false">-M21</f>
        <v>-111.52378219702</v>
      </c>
    </row>
    <row r="37" customFormat="false" ht="15" hidden="false" customHeight="false" outlineLevel="0" collapsed="false">
      <c r="B37" s="20" t="s">
        <v>624</v>
      </c>
      <c r="D37" s="21" t="n">
        <f aca="false">-D23</f>
        <v>-10.8260664565878</v>
      </c>
      <c r="E37" s="21" t="n">
        <f aca="false">-E23</f>
        <v>35.291550828492</v>
      </c>
      <c r="F37" s="21" t="n">
        <f aca="false">-F23</f>
        <v>32.7286930746407</v>
      </c>
      <c r="G37" s="21" t="n">
        <f aca="false">-G23</f>
        <v>33.1829558793783</v>
      </c>
      <c r="H37" s="21" t="n">
        <f aca="false">-H23</f>
        <v>32.7956061597486</v>
      </c>
      <c r="I37" s="21" t="n">
        <f aca="false">-I23</f>
        <v>35.091298590931</v>
      </c>
      <c r="J37" s="21" t="n">
        <f aca="false">-J23</f>
        <v>37.3283688761028</v>
      </c>
      <c r="K37" s="21" t="n">
        <f aca="false">-K23</f>
        <v>39.4747500864788</v>
      </c>
      <c r="L37" s="21" t="n">
        <f aca="false">-L23</f>
        <v>41.4978310284108</v>
      </c>
      <c r="M37" s="21" t="n">
        <f aca="false">-M23</f>
        <v>43.3652334246893</v>
      </c>
    </row>
    <row r="38" customFormat="false" ht="15" hidden="false" customHeight="false" outlineLevel="0" collapsed="false">
      <c r="B38" s="71" t="s">
        <v>625</v>
      </c>
      <c r="D38" s="101" t="n">
        <f aca="false">SUM(D34:D37)</f>
        <v>867.239675950983</v>
      </c>
      <c r="E38" s="101" t="n">
        <f aca="false">SUM(E34:E37)</f>
        <v>943.017112874401</v>
      </c>
      <c r="F38" s="101" t="n">
        <f aca="false">SUM(F34:F37)</f>
        <v>1019.58280612213</v>
      </c>
      <c r="G38" s="101" t="n">
        <f aca="false">SUM(G34:G37)</f>
        <v>1101.9546154194</v>
      </c>
      <c r="H38" s="101" t="n">
        <f aca="false">SUM(H34:H37)</f>
        <v>1187.46367642441</v>
      </c>
      <c r="I38" s="101" t="n">
        <f aca="false">SUM(I34:I37)</f>
        <v>1278.95837169978</v>
      </c>
      <c r="J38" s="101" t="n">
        <f aca="false">SUM(J34:J37)</f>
        <v>1376.28585379896</v>
      </c>
      <c r="K38" s="101" t="n">
        <f aca="false">SUM(K34:K37)</f>
        <v>1479.20966611883</v>
      </c>
      <c r="L38" s="101" t="n">
        <f aca="false">SUM(L34:L37)</f>
        <v>1587.4083238201</v>
      </c>
      <c r="M38" s="101" t="n">
        <f aca="false">SUM(M34:M37)</f>
        <v>1700.47592111793</v>
      </c>
    </row>
    <row r="39" customFormat="false" ht="15" hidden="false" customHeight="false" outlineLevel="0" collapsed="false">
      <c r="B39" s="20" t="s">
        <v>626</v>
      </c>
      <c r="D39" s="21" t="n">
        <f aca="false">D20</f>
        <v>85.7856443916027</v>
      </c>
      <c r="E39" s="21" t="n">
        <f aca="false">E20</f>
        <v>182.158194003588</v>
      </c>
      <c r="F39" s="21" t="n">
        <f aca="false">F20</f>
        <v>205.570376308308</v>
      </c>
      <c r="G39" s="21" t="n">
        <f aca="false">G20</f>
        <v>230.020774497283</v>
      </c>
      <c r="H39" s="21" t="n">
        <f aca="false">H20</f>
        <v>252.19656157197</v>
      </c>
      <c r="I39" s="21" t="n">
        <f aca="false">I20</f>
        <v>269.850320882008</v>
      </c>
      <c r="J39" s="21" t="n">
        <f aca="false">J20</f>
        <v>287.053278838236</v>
      </c>
      <c r="K39" s="21" t="n">
        <f aca="false">K20</f>
        <v>303.558842371435</v>
      </c>
      <c r="L39" s="21" t="n">
        <f aca="false">L20</f>
        <v>319.116233042971</v>
      </c>
      <c r="M39" s="21" t="n">
        <f aca="false">M20</f>
        <v>333.476463529905</v>
      </c>
    </row>
    <row r="40" customFormat="false" ht="15" hidden="false" customHeight="false" outlineLevel="0" collapsed="false">
      <c r="B40" s="71" t="s">
        <v>627</v>
      </c>
      <c r="D40" s="92" t="n">
        <f aca="false">IFERROR(D39/AVERAGE(D34,D38)*2,"")</f>
        <v>0.197487394009473</v>
      </c>
      <c r="E40" s="92" t="n">
        <f aca="false">IFERROR(E39/AVERAGE(E34,E38)*1,"")</f>
        <v>0.201251220410321</v>
      </c>
      <c r="F40" s="92" t="n">
        <f aca="false">IFERROR(F39/AVERAGE(F34,F38)*1,"")</f>
        <v>0.209487806779708</v>
      </c>
      <c r="G40" s="92" t="n">
        <f aca="false">IFERROR(G39/AVERAGE(G34,G38)*1,"")</f>
        <v>0.216843476020469</v>
      </c>
      <c r="H40" s="92" t="n">
        <f aca="false">IFERROR(H39/AVERAGE(H34,H38)*1,"")</f>
        <v>0.22031497037517</v>
      </c>
      <c r="I40" s="92" t="n">
        <f aca="false">IFERROR(I39/AVERAGE(I34,I38)*1,"")</f>
        <v>0.218819257707528</v>
      </c>
      <c r="J40" s="92" t="n">
        <f aca="false">IFERROR(J39/AVERAGE(J34,J38)*1,"")</f>
        <v>0.21621610252015</v>
      </c>
      <c r="K40" s="92" t="n">
        <f aca="false">IFERROR(K39/AVERAGE(K34,K38)*1,"")</f>
        <v>0.212613775965703</v>
      </c>
      <c r="L40" s="92" t="n">
        <f aca="false">IFERROR(L39/AVERAGE(L34,L38)*1,"")</f>
        <v>0.208122585917084</v>
      </c>
      <c r="M40" s="92" t="n">
        <f aca="false">IFERROR(M39/AVERAGE(M34,M38)*1,"")</f>
        <v>0.202851705648287</v>
      </c>
    </row>
    <row r="41" customFormat="false" ht="15" hidden="false" customHeight="false" outlineLevel="0" collapsed="false">
      <c r="B41" s="20" t="s">
        <v>628</v>
      </c>
      <c r="D41" s="79" t="n">
        <f aca="false">IFERROR(SUM(D35:D37)/D39,"")</f>
        <v>-0.0356973951846518</v>
      </c>
      <c r="E41" s="79" t="n">
        <f aca="false">IFERROR(SUM(E35:E37)/E39,"")</f>
        <v>0.415997959015369</v>
      </c>
      <c r="F41" s="79" t="n">
        <f aca="false">IFERROR(SUM(F35:F37)/F39,"")</f>
        <v>0.372454896579524</v>
      </c>
      <c r="G41" s="79" t="n">
        <f aca="false">IFERROR(SUM(G35:G37)/G39,"")</f>
        <v>0.3581059557655</v>
      </c>
      <c r="H41" s="79" t="n">
        <f aca="false">IFERROR(SUM(H35:H37)/H39,"")</f>
        <v>0.339057203920742</v>
      </c>
      <c r="I41" s="79" t="n">
        <f aca="false">IFERROR(SUM(I35:I37)/I39,"")</f>
        <v>0.339057203920743</v>
      </c>
      <c r="J41" s="79" t="n">
        <f aca="false">IFERROR(SUM(J35:J37)/J39,"")</f>
        <v>0.339057203920742</v>
      </c>
      <c r="K41" s="79" t="n">
        <f aca="false">IFERROR(SUM(K35:K37)/K39,"")</f>
        <v>0.339057203920742</v>
      </c>
      <c r="L41" s="79" t="n">
        <f aca="false">IFERROR(SUM(L35:L37)/L39,"")</f>
        <v>0.339057203920742</v>
      </c>
      <c r="M41" s="79" t="n">
        <f aca="false">IFERROR(SUM(M35:M37)/M39,"")</f>
        <v>0.339057203920742</v>
      </c>
    </row>
    <row r="42" customFormat="false" ht="15" hidden="false" customHeight="false" outlineLevel="0" collapsed="false">
      <c r="B42" s="20" t="s">
        <v>629</v>
      </c>
      <c r="M42" s="92" t="n">
        <f aca="false">IFERROR($C$27/M41,"")</f>
        <v>0.0884806447203899</v>
      </c>
    </row>
    <row r="43" customFormat="false" ht="15" hidden="false" customHeight="false" outlineLevel="0" collapsed="false">
      <c r="D43" s="106" t="s">
        <v>630</v>
      </c>
    </row>
    <row r="44" customFormat="false" ht="15" hidden="false" customHeight="false" outlineLevel="0" collapsed="false">
      <c r="B44" s="13" t="s">
        <v>631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customFormat="false" ht="15" hidden="false" customHeight="false" outlineLevel="0" collapsed="false">
      <c r="B45" s="20" t="s">
        <v>632</v>
      </c>
      <c r="C45" s="21" t="n">
        <f aca="false">SUM(D31:M31)</f>
        <v>1059.15336122116</v>
      </c>
    </row>
    <row r="46" customFormat="false" ht="15" hidden="false" customHeight="false" outlineLevel="0" collapsed="false">
      <c r="B46" s="20" t="s">
        <v>633</v>
      </c>
      <c r="C46" s="21" t="n">
        <f aca="false">N31</f>
        <v>1777.92816423141</v>
      </c>
    </row>
    <row r="47" customFormat="false" ht="15" hidden="false" customHeight="false" outlineLevel="0" collapsed="false">
      <c r="B47" s="71" t="s">
        <v>634</v>
      </c>
      <c r="C47" s="101" t="n">
        <f aca="false">C45+C46</f>
        <v>2837.08152545257</v>
      </c>
    </row>
    <row r="48" customFormat="false" ht="15" hidden="false" customHeight="false" outlineLevel="0" collapsed="false">
      <c r="B48" s="20" t="s">
        <v>635</v>
      </c>
      <c r="C48" s="102" t="n">
        <f aca="false">Model!AV300+Model!AV278</f>
        <v>242.389</v>
      </c>
      <c r="D48" s="106" t="s">
        <v>636</v>
      </c>
    </row>
    <row r="49" customFormat="false" ht="15" hidden="false" customHeight="false" outlineLevel="0" collapsed="false">
      <c r="B49" s="71" t="s">
        <v>637</v>
      </c>
      <c r="C49" s="101" t="n">
        <f aca="false">C47-C48</f>
        <v>2594.69252545257</v>
      </c>
    </row>
    <row r="50" customFormat="false" ht="15" hidden="false" customHeight="false" outlineLevel="0" collapsed="false">
      <c r="B50" s="20" t="s">
        <v>638</v>
      </c>
      <c r="C50" s="113" t="n">
        <f aca="false">Model!AX385</f>
        <v>68</v>
      </c>
    </row>
    <row r="51" customFormat="false" ht="15" hidden="false" customHeight="false" outlineLevel="0" collapsed="false">
      <c r="B51" s="71" t="s">
        <v>639</v>
      </c>
      <c r="C51" s="114" t="n">
        <f aca="false">C49/C50</f>
        <v>38.1572430213613</v>
      </c>
    </row>
    <row r="52" customFormat="false" ht="15" hidden="false" customHeight="false" outlineLevel="0" collapsed="false">
      <c r="B52" s="20" t="s">
        <v>640</v>
      </c>
      <c r="C52" s="115" t="n">
        <f aca="false">Model!AX384</f>
        <v>80.18</v>
      </c>
    </row>
    <row r="53" customFormat="false" ht="15" hidden="false" customHeight="false" outlineLevel="0" collapsed="false">
      <c r="B53" s="20" t="s">
        <v>641</v>
      </c>
      <c r="C53" s="79" t="n">
        <f aca="false">C51/C52-1</f>
        <v>-0.524105225475664</v>
      </c>
    </row>
    <row r="54" customFormat="false" ht="15" hidden="false" customHeight="false" outlineLevel="0" collapsed="false">
      <c r="B54" s="20" t="s">
        <v>642</v>
      </c>
      <c r="C54" s="79" t="n">
        <f aca="false">1-((1+C13)/(1+H54))^H55</f>
        <v>0.082275914476289</v>
      </c>
      <c r="D54" s="116" t="s">
        <v>643</v>
      </c>
      <c r="E54" s="116" t="s">
        <v>644</v>
      </c>
      <c r="H54" s="43" t="n">
        <v>0.12</v>
      </c>
    </row>
    <row r="55" customFormat="false" ht="15" hidden="false" customHeight="false" outlineLevel="0" collapsed="false">
      <c r="B55" s="20" t="s">
        <v>645</v>
      </c>
      <c r="C55" s="117" t="n">
        <f aca="false">C51*(1-C54)</f>
        <v>35.0178209578848</v>
      </c>
      <c r="D55" s="79" t="n">
        <f aca="false">C55/C52-1</f>
        <v>-0.563259903244141</v>
      </c>
      <c r="E55" s="116" t="s">
        <v>646</v>
      </c>
      <c r="H55" s="118" t="n">
        <v>3</v>
      </c>
    </row>
    <row r="58" customFormat="false" ht="15" hidden="false" customHeight="false" outlineLevel="0" collapsed="false">
      <c r="B58" s="13" t="s">
        <v>647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60" customFormat="false" ht="15" hidden="false" customHeight="false" outlineLevel="0" collapsed="false">
      <c r="D60" s="0" t="s">
        <v>648</v>
      </c>
    </row>
    <row r="61" customFormat="false" ht="15" hidden="false" customHeight="false" outlineLevel="0" collapsed="false">
      <c r="B61" s="0" t="s">
        <v>649</v>
      </c>
      <c r="D61" s="119" t="n">
        <f aca="false">$F$61-0.01</f>
        <v>0.0784005</v>
      </c>
      <c r="E61" s="119" t="n">
        <f aca="false">$F$61-0.005</f>
        <v>0.0834005</v>
      </c>
      <c r="F61" s="119" t="n">
        <f aca="false">$C$13</f>
        <v>0.0884005</v>
      </c>
      <c r="G61" s="119" t="n">
        <f aca="false">$F$61+0.005</f>
        <v>0.0934005</v>
      </c>
      <c r="H61" s="119" t="n">
        <f aca="false">$F$61+0.01</f>
        <v>0.0984005</v>
      </c>
    </row>
    <row r="62" customFormat="false" ht="15" hidden="false" customHeight="false" outlineLevel="0" collapsed="false">
      <c r="B62" s="119" t="n">
        <f aca="false">$B$64-0.01</f>
        <v>0.02</v>
      </c>
      <c r="D62" s="117" t="n">
        <f aca="false">IFERROR((SUMPRODUCT($D$24:$M$24,1/(1+D$61)^$D$29:$M$29)+($M$24*(1+$B62)/(D$61-$B62))/(1+D$61)^$M$29-$C$48)/$C$50,"")</f>
        <v>40.9222923850249</v>
      </c>
      <c r="E62" s="117" t="n">
        <f aca="false">IFERROR((SUMPRODUCT($D$24:$M$24,1/(1+E$61)^$D$29:$M$29)+($M$24*(1+$B62)/(E$61-$B62))/(1+E$61)^$M$29-$C$48)/$C$50,"")</f>
        <v>37.2488499241076</v>
      </c>
      <c r="F62" s="117" t="n">
        <f aca="false">IFERROR((SUMPRODUCT($D$24:$M$24,1/(1+F$61)^$D$29:$M$29)+($M$24*(1+$B62)/(F$61-$B62))/(1+F$61)^$M$29-$C$48)/$C$50,"")</f>
        <v>34.1180228314689</v>
      </c>
      <c r="G62" s="117" t="n">
        <f aca="false">IFERROR((SUMPRODUCT($D$24:$M$24,1/(1+G$61)^$D$29:$M$29)+($M$24*(1+$B62)/(G$61-$B62))/(1+G$61)^$M$29-$C$48)/$C$50,"")</f>
        <v>31.4187470742128</v>
      </c>
      <c r="H62" s="117" t="n">
        <f aca="false">IFERROR((SUMPRODUCT($D$24:$M$24,1/(1+H$61)^$D$29:$M$29)+($M$24*(1+$B62)/(H$61-$B62))/(1+H$61)^$M$29-$C$48)/$C$50,"")</f>
        <v>29.0682977876737</v>
      </c>
    </row>
    <row r="63" customFormat="false" ht="15" hidden="false" customHeight="false" outlineLevel="0" collapsed="false">
      <c r="B63" s="119" t="n">
        <f aca="false">$B$64-0.005</f>
        <v>0.025</v>
      </c>
      <c r="D63" s="117" t="n">
        <f aca="false">IFERROR((SUMPRODUCT($D$24:$M$24,1/(1+D$61)^$D$29:$M$29)+($M$24*(1+$B63)/(D$61-$B63))/(1+D$61)^$M$29-$C$48)/$C$50,"")</f>
        <v>43.7134979118132</v>
      </c>
      <c r="E63" s="117" t="n">
        <f aca="false">IFERROR((SUMPRODUCT($D$24:$M$24,1/(1+E$61)^$D$29:$M$29)+($M$24*(1+$B63)/(E$61-$B63))/(1+E$61)^$M$29-$C$48)/$C$50,"")</f>
        <v>39.5119366901574</v>
      </c>
      <c r="F63" s="117" t="n">
        <f aca="false">IFERROR((SUMPRODUCT($D$24:$M$24,1/(1+F$61)^$D$29:$M$29)+($M$24*(1+$B63)/(F$61-$B63))/(1+F$61)^$M$29-$C$48)/$C$50,"")</f>
        <v>35.9783589384381</v>
      </c>
      <c r="G63" s="117" t="n">
        <f aca="false">IFERROR((SUMPRODUCT($D$24:$M$24,1/(1+G$61)^$D$29:$M$29)+($M$24*(1+$B63)/(G$61-$B63))/(1+G$61)^$M$29-$C$48)/$C$50,"")</f>
        <v>32.9661145928262</v>
      </c>
      <c r="H63" s="117" t="n">
        <f aca="false">IFERROR((SUMPRODUCT($D$24:$M$24,1/(1+H$61)^$D$29:$M$29)+($M$24*(1+$B63)/(H$61-$B63))/(1+H$61)^$M$29-$C$48)/$C$50,"")</f>
        <v>30.3685185679074</v>
      </c>
    </row>
    <row r="64" customFormat="false" ht="15" hidden="false" customHeight="false" outlineLevel="0" collapsed="false">
      <c r="B64" s="119" t="n">
        <f aca="false">$C$27</f>
        <v>0.03</v>
      </c>
      <c r="D64" s="117" t="n">
        <f aca="false">IFERROR((SUMPRODUCT($D$24:$M$24,1/(1+D$61)^$D$29:$M$29)+($M$24*(1+$B64)/(D$61-$B64))/(1+D$61)^$M$29-$C$48)/$C$50,"")</f>
        <v>47.0813928378409</v>
      </c>
      <c r="E64" s="117" t="n">
        <f aca="false">IFERROR((SUMPRODUCT($D$24:$M$24,1/(1+E$61)^$D$29:$M$29)+($M$24*(1+$B64)/(E$61-$B64))/(1+E$61)^$M$29-$C$48)/$C$50,"")</f>
        <v>42.1988185079482</v>
      </c>
      <c r="F64" s="120" t="n">
        <f aca="false">IFERROR((SUMPRODUCT($D$24:$M$24,1/(1+F$61)^$D$29:$M$29)+($M$24*(1+$B64)/(F$61-$B64))/(1+F$61)^$M$29-$C$48)/$C$50,"")</f>
        <v>38.1572430213613</v>
      </c>
      <c r="G64" s="117" t="n">
        <f aca="false">IFERROR((SUMPRODUCT($D$24:$M$24,1/(1+G$61)^$D$29:$M$29)+($M$24*(1+$B64)/(G$61-$B64))/(1+G$61)^$M$29-$C$48)/$C$50,"")</f>
        <v>34.7575444640416</v>
      </c>
      <c r="H64" s="117" t="n">
        <f aca="false">IFERROR((SUMPRODUCT($D$24:$M$24,1/(1+H$61)^$D$29:$M$29)+($M$24*(1+$B64)/(H$61-$B64))/(1+H$61)^$M$29-$C$48)/$C$50,"")</f>
        <v>31.858828715943</v>
      </c>
    </row>
    <row r="65" customFormat="false" ht="15" hidden="false" customHeight="false" outlineLevel="0" collapsed="false">
      <c r="B65" s="119" t="n">
        <f aca="false">$B$64+0.005</f>
        <v>0.035</v>
      </c>
      <c r="D65" s="117" t="n">
        <f aca="false">IFERROR((SUMPRODUCT($D$24:$M$24,1/(1+D$61)^$D$29:$M$29)+($M$24*(1+$B65)/(D$61-$B65))/(1+D$61)^$M$29-$C$48)/$C$50,"")</f>
        <v>51.2252914795004</v>
      </c>
      <c r="E65" s="117" t="n">
        <f aca="false">IFERROR((SUMPRODUCT($D$24:$M$24,1/(1+E$61)^$D$29:$M$29)+($M$24*(1+$B65)/(E$61-$B65))/(1+E$61)^$M$29-$C$48)/$C$50,"")</f>
        <v>45.4408354623162</v>
      </c>
      <c r="F65" s="117" t="n">
        <f aca="false">IFERROR((SUMPRODUCT($D$24:$M$24,1/(1+F$61)^$D$29:$M$29)+($M$24*(1+$B65)/(F$61-$B65))/(1+F$61)^$M$29-$C$48)/$C$50,"")</f>
        <v>40.7441540109469</v>
      </c>
      <c r="G65" s="117" t="n">
        <f aca="false">IFERROR((SUMPRODUCT($D$24:$M$24,1/(1+G$61)^$D$29:$M$29)+($M$24*(1+$B65)/(G$61-$B65))/(1+G$61)^$M$29-$C$48)/$C$50,"")</f>
        <v>36.8557233992573</v>
      </c>
      <c r="H65" s="117" t="n">
        <f aca="false">IFERROR((SUMPRODUCT($D$24:$M$24,1/(1+H$61)^$D$29:$M$29)+($M$24*(1+$B65)/(H$61-$B65))/(1+H$61)^$M$29-$C$48)/$C$50,"")</f>
        <v>33.5842017022899</v>
      </c>
    </row>
    <row r="66" customFormat="false" ht="15" hidden="false" customHeight="false" outlineLevel="0" collapsed="false">
      <c r="B66" s="119" t="n">
        <f aca="false">$B$64+0.01</f>
        <v>0.04</v>
      </c>
      <c r="D66" s="117" t="n">
        <f aca="false">IFERROR((SUMPRODUCT($D$24:$M$24,1/(1+D$61)^$D$29:$M$29)+($M$24*(1+$B66)/(D$61-$B66))/(1+D$61)^$M$29-$C$48)/$C$50,"")</f>
        <v>56.4483163413027</v>
      </c>
      <c r="E66" s="117" t="n">
        <f aca="false">IFERROR((SUMPRODUCT($D$24:$M$24,1/(1+E$61)^$D$29:$M$29)+($M$24*(1+$B66)/(E$61-$B66))/(1+E$61)^$M$29-$C$48)/$C$50,"")</f>
        <v>49.4298523255258</v>
      </c>
      <c r="F66" s="117" t="n">
        <f aca="false">IFERROR((SUMPRODUCT($D$24:$M$24,1/(1+F$61)^$D$29:$M$29)+($M$24*(1+$B66)/(F$61-$B66))/(1+F$61)^$M$29-$C$48)/$C$50,"")</f>
        <v>43.8655452206926</v>
      </c>
      <c r="G66" s="117" t="n">
        <f aca="false">IFERROR((SUMPRODUCT($D$24:$M$24,1/(1+G$61)^$D$29:$M$29)+($M$24*(1+$B66)/(G$61-$B66))/(1+G$61)^$M$29-$C$48)/$C$50,"")</f>
        <v>39.3468160591041</v>
      </c>
      <c r="H66" s="117" t="n">
        <f aca="false">IFERROR((SUMPRODUCT($D$24:$M$24,1/(1+H$61)^$D$29:$M$29)+($M$24*(1+$B66)/(H$61-$B66))/(1+H$61)^$M$29-$C$48)/$C$50,"")</f>
        <v>35.6050127390554</v>
      </c>
    </row>
    <row r="69" customFormat="false" ht="15" hidden="false" customHeight="false" outlineLevel="0" collapsed="false">
      <c r="B69" s="13" t="s">
        <v>650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customFormat="false" ht="15" hidden="false" customHeight="false" outlineLevel="0" collapsed="false">
      <c r="B70" s="4" t="s">
        <v>651</v>
      </c>
    </row>
    <row r="72" customFormat="false" ht="15" hidden="false" customHeight="false" outlineLevel="0" collapsed="false">
      <c r="B72" s="13" t="s">
        <v>652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customFormat="false" ht="15" hidden="false" customHeight="false" outlineLevel="0" collapsed="false">
      <c r="B73" s="0" t="s">
        <v>653</v>
      </c>
    </row>
    <row r="74" customFormat="false" ht="15" hidden="false" customHeight="false" outlineLevel="0" collapsed="false">
      <c r="B74" s="106" t="s">
        <v>654</v>
      </c>
    </row>
    <row r="76" customFormat="false" ht="15" hidden="false" customHeight="false" outlineLevel="0" collapsed="false">
      <c r="B76" s="71" t="s">
        <v>655</v>
      </c>
      <c r="C76" s="71" t="s">
        <v>656</v>
      </c>
      <c r="D76" s="71" t="s">
        <v>657</v>
      </c>
    </row>
    <row r="77" customFormat="false" ht="15" hidden="false" customHeight="false" outlineLevel="0" collapsed="false">
      <c r="B77" s="20" t="s">
        <v>658</v>
      </c>
      <c r="C77" s="121" t="n">
        <f aca="false">$C$13</f>
        <v>0.0884005</v>
      </c>
      <c r="D77" s="106" t="s">
        <v>659</v>
      </c>
    </row>
    <row r="78" customFormat="false" ht="15" hidden="false" customHeight="false" outlineLevel="0" collapsed="false">
      <c r="B78" s="20" t="s">
        <v>660</v>
      </c>
      <c r="C78" s="122" t="n">
        <v>0.09</v>
      </c>
      <c r="D78" s="106" t="s">
        <v>661</v>
      </c>
    </row>
    <row r="79" customFormat="false" ht="15" hidden="false" customHeight="false" outlineLevel="0" collapsed="false">
      <c r="B79" s="20" t="s">
        <v>662</v>
      </c>
      <c r="C79" s="122" t="n">
        <v>0.3</v>
      </c>
      <c r="D79" s="106" t="s">
        <v>663</v>
      </c>
    </row>
    <row r="80" customFormat="false" ht="15" hidden="false" customHeight="false" outlineLevel="0" collapsed="false">
      <c r="B80" s="20" t="s">
        <v>664</v>
      </c>
      <c r="C80" s="118" t="n">
        <v>15</v>
      </c>
      <c r="D80" s="106" t="s">
        <v>665</v>
      </c>
    </row>
    <row r="82" customFormat="false" ht="15" hidden="false" customHeight="false" outlineLevel="0" collapsed="false">
      <c r="B82" s="71" t="s">
        <v>666</v>
      </c>
      <c r="C82" s="71" t="s">
        <v>656</v>
      </c>
    </row>
    <row r="83" customFormat="false" ht="15" hidden="false" customHeight="false" outlineLevel="0" collapsed="false">
      <c r="B83" s="20" t="s">
        <v>667</v>
      </c>
      <c r="C83" s="111" t="n">
        <f aca="false">1/C77</f>
        <v>11.3121532118031</v>
      </c>
    </row>
    <row r="84" customFormat="false" ht="15" hidden="false" customHeight="false" outlineLevel="0" collapsed="false">
      <c r="B84" s="20" t="s">
        <v>668</v>
      </c>
      <c r="C84" s="111" t="n">
        <f aca="false">1-C77/C79</f>
        <v>0.705331666666667</v>
      </c>
    </row>
    <row r="85" customFormat="false" ht="15" hidden="false" customHeight="false" outlineLevel="0" collapsed="false">
      <c r="B85" s="20" t="s">
        <v>669</v>
      </c>
      <c r="C85" s="111" t="n">
        <f aca="false">C78*C84/(C77*(C77-C78))</f>
        <v>-448.948914699767</v>
      </c>
    </row>
    <row r="86" customFormat="false" ht="15" hidden="false" customHeight="false" outlineLevel="0" collapsed="false">
      <c r="B86" s="20" t="s">
        <v>670</v>
      </c>
      <c r="C86" s="111" t="n">
        <f aca="false">1-((1+C78)/(1+C77))^C80</f>
        <v>-0.0222720334065694</v>
      </c>
    </row>
    <row r="87" customFormat="false" ht="15" hidden="false" customHeight="false" outlineLevel="0" collapsed="false">
      <c r="B87" s="20" t="s">
        <v>671</v>
      </c>
      <c r="C87" s="111" t="n">
        <f aca="false">C85*C86</f>
        <v>9.99900522603627</v>
      </c>
    </row>
    <row r="88" customFormat="false" ht="15" hidden="false" customHeight="false" outlineLevel="0" collapsed="false">
      <c r="B88" s="71" t="s">
        <v>672</v>
      </c>
      <c r="C88" s="123" t="n">
        <f aca="false">C83+C87</f>
        <v>21.3111584378394</v>
      </c>
    </row>
    <row r="90" customFormat="false" ht="15" hidden="false" customHeight="false" outlineLevel="0" collapsed="false">
      <c r="B90" s="71" t="s">
        <v>673</v>
      </c>
      <c r="C90" s="116" t="s">
        <v>674</v>
      </c>
    </row>
    <row r="91" customFormat="false" ht="15" hidden="false" customHeight="false" outlineLevel="0" collapsed="false">
      <c r="B91" s="20" t="s">
        <v>675</v>
      </c>
      <c r="C91" s="102" t="n">
        <f aca="false">Model!AZ173</f>
        <v>287.511015815815</v>
      </c>
    </row>
    <row r="92" customFormat="false" ht="15" hidden="false" customHeight="false" outlineLevel="0" collapsed="false">
      <c r="B92" s="20" t="s">
        <v>676</v>
      </c>
      <c r="C92" s="79" t="n">
        <f aca="false">$C$10</f>
        <v>0.285</v>
      </c>
    </row>
    <row r="93" customFormat="false" ht="15" hidden="false" customHeight="false" outlineLevel="0" collapsed="false">
      <c r="B93" s="20" t="s">
        <v>677</v>
      </c>
      <c r="C93" s="21" t="n">
        <f aca="false">C91*(1-C92)</f>
        <v>205.570376308308</v>
      </c>
    </row>
    <row r="94" customFormat="false" ht="15" hidden="false" customHeight="false" outlineLevel="0" collapsed="false">
      <c r="B94" s="20" t="s">
        <v>678</v>
      </c>
      <c r="C94" s="111" t="n">
        <f aca="false">C88</f>
        <v>21.3111584378394</v>
      </c>
    </row>
    <row r="95" customFormat="false" ht="15" hidden="false" customHeight="false" outlineLevel="0" collapsed="false">
      <c r="B95" s="71" t="s">
        <v>679</v>
      </c>
      <c r="C95" s="101" t="n">
        <f aca="false">C93*C94</f>
        <v>4380.94285963261</v>
      </c>
    </row>
    <row r="96" customFormat="false" ht="15" hidden="false" customHeight="false" outlineLevel="0" collapsed="false">
      <c r="B96" s="20" t="s">
        <v>680</v>
      </c>
      <c r="C96" s="102" t="n">
        <f aca="false">Model!AY300+Model!AY278</f>
        <v>152.215678696872</v>
      </c>
    </row>
    <row r="97" customFormat="false" ht="15" hidden="false" customHeight="false" outlineLevel="0" collapsed="false">
      <c r="B97" s="71" t="s">
        <v>681</v>
      </c>
      <c r="C97" s="101" t="n">
        <f aca="false">C95-C96</f>
        <v>4228.72718093574</v>
      </c>
    </row>
    <row r="98" customFormat="false" ht="15" hidden="false" customHeight="false" outlineLevel="0" collapsed="false">
      <c r="B98" s="20" t="s">
        <v>682</v>
      </c>
      <c r="C98" s="113" t="n">
        <f aca="false">Model!AZ385</f>
        <v>68</v>
      </c>
    </row>
    <row r="99" customFormat="false" ht="15" hidden="false" customHeight="false" outlineLevel="0" collapsed="false">
      <c r="B99" s="71" t="s">
        <v>683</v>
      </c>
      <c r="C99" s="120" t="n">
        <f aca="false">C97/C98</f>
        <v>62.1871644255255</v>
      </c>
    </row>
    <row r="101" customFormat="false" ht="15" hidden="false" customHeight="false" outlineLevel="0" collapsed="false">
      <c r="B101" s="20" t="s">
        <v>640</v>
      </c>
      <c r="C101" s="117" t="n">
        <f aca="false">C52</f>
        <v>80.18</v>
      </c>
    </row>
    <row r="102" customFormat="false" ht="15" hidden="false" customHeight="false" outlineLevel="0" collapsed="false">
      <c r="B102" s="20" t="s">
        <v>641</v>
      </c>
      <c r="C102" s="79" t="n">
        <f aca="false">C99/C101-1</f>
        <v>-0.224405532233406</v>
      </c>
    </row>
    <row r="104" customFormat="false" ht="15" hidden="false" customHeight="false" outlineLevel="0" collapsed="false">
      <c r="B104" s="71" t="s">
        <v>684</v>
      </c>
      <c r="C104" s="116" t="s">
        <v>674</v>
      </c>
    </row>
    <row r="105" customFormat="false" ht="15" hidden="false" customHeight="false" outlineLevel="0" collapsed="false">
      <c r="B105" s="20" t="s">
        <v>685</v>
      </c>
      <c r="C105" s="21" t="n">
        <f aca="false">C52*C50</f>
        <v>5452.24</v>
      </c>
    </row>
    <row r="106" customFormat="false" ht="15" hidden="false" customHeight="false" outlineLevel="0" collapsed="false">
      <c r="B106" s="20" t="s">
        <v>686</v>
      </c>
      <c r="C106" s="21" t="n">
        <f aca="false">C48</f>
        <v>242.389</v>
      </c>
    </row>
    <row r="107" customFormat="false" ht="15" hidden="false" customHeight="false" outlineLevel="0" collapsed="false">
      <c r="B107" s="71" t="s">
        <v>687</v>
      </c>
      <c r="C107" s="101" t="n">
        <f aca="false">C105+C106</f>
        <v>5694.629</v>
      </c>
    </row>
    <row r="108" customFormat="false" ht="15" hidden="false" customHeight="false" outlineLevel="0" collapsed="false">
      <c r="B108" s="71" t="s">
        <v>688</v>
      </c>
      <c r="C108" s="124" t="n">
        <f aca="false">C107/C93</f>
        <v>27.7016032283726</v>
      </c>
    </row>
    <row r="110" customFormat="false" ht="15" hidden="false" customHeight="false" outlineLevel="0" collapsed="false">
      <c r="B110" s="20" t="s">
        <v>689</v>
      </c>
      <c r="C110" s="111" t="n">
        <f aca="false">C88-C108</f>
        <v>-6.39044479053328</v>
      </c>
    </row>
    <row r="111" customFormat="false" ht="15" hidden="false" customHeight="false" outlineLevel="0" collapsed="false">
      <c r="B111" s="20" t="s">
        <v>690</v>
      </c>
      <c r="C111" s="79" t="n">
        <f aca="false">C88/C108-1</f>
        <v>-0.230688626136556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17" min="3" style="0" width="9"/>
  </cols>
  <sheetData>
    <row r="2" customFormat="false" ht="19.7" hidden="false" customHeight="false" outlineLevel="0" collapsed="false">
      <c r="B2" s="68" t="s">
        <v>691</v>
      </c>
    </row>
    <row r="3" customFormat="false" ht="15" hidden="false" customHeight="false" outlineLevel="0" collapsed="false">
      <c r="B3" s="4" t="s">
        <v>692</v>
      </c>
    </row>
    <row r="7" customFormat="false" ht="15" hidden="false" customHeight="false" outlineLevel="0" collapsed="false">
      <c r="C7" s="75" t="n">
        <v>2011</v>
      </c>
      <c r="D7" s="75" t="n">
        <v>2012</v>
      </c>
      <c r="E7" s="75" t="n">
        <v>2013</v>
      </c>
      <c r="F7" s="75" t="n">
        <v>2014</v>
      </c>
      <c r="G7" s="75" t="n">
        <v>2015</v>
      </c>
      <c r="H7" s="75" t="n">
        <v>2016</v>
      </c>
      <c r="I7" s="75" t="n">
        <v>2017</v>
      </c>
      <c r="J7" s="75" t="n">
        <v>2018</v>
      </c>
      <c r="K7" s="75" t="n">
        <v>2019</v>
      </c>
      <c r="L7" s="75" t="n">
        <v>2020</v>
      </c>
      <c r="M7" s="75" t="n">
        <v>2021</v>
      </c>
      <c r="N7" s="75" t="n">
        <v>2022</v>
      </c>
      <c r="O7" s="75" t="n">
        <v>2023</v>
      </c>
      <c r="P7" s="75" t="n">
        <v>2024</v>
      </c>
      <c r="Q7" s="75" t="n">
        <v>2025</v>
      </c>
    </row>
    <row r="8" customFormat="false" ht="15" hidden="false" customHeight="false" outlineLevel="0" collapsed="false">
      <c r="B8" s="10" t="s">
        <v>693</v>
      </c>
      <c r="C8" s="125" t="n">
        <f aca="false">IFERROR(Model!E17+0,0)</f>
        <v>0</v>
      </c>
      <c r="D8" s="125" t="n">
        <f aca="false">IFERROR(Model!H17+0,0)</f>
        <v>0.428658955459423</v>
      </c>
      <c r="E8" s="125" t="n">
        <f aca="false">IFERROR(Model!K17+0,0)</f>
        <v>0.500214427737852</v>
      </c>
      <c r="F8" s="125" t="n">
        <f aca="false">IFERROR(Model!N17+0,0)</f>
        <v>0.286261261261261</v>
      </c>
      <c r="G8" s="125" t="n">
        <f aca="false">IFERROR(Model!Q17+0,0)</f>
        <v>0.30095766604259</v>
      </c>
      <c r="H8" s="125" t="n">
        <f aca="false">IFERROR(Model!T17+0,0)</f>
        <v>0.171068570304492</v>
      </c>
      <c r="I8" s="125" t="n">
        <f aca="false">IFERROR(Model!W17+0,0)</f>
        <v>0.195977367164707</v>
      </c>
      <c r="J8" s="125" t="n">
        <f aca="false">IFERROR(Model!Z17+0,0)</f>
        <v>0.0950309365228383</v>
      </c>
      <c r="K8" s="125" t="n">
        <f aca="false">IFERROR(Model!AC17+0,0)</f>
        <v>0.145714141056149</v>
      </c>
      <c r="L8" s="125" t="n">
        <f aca="false">IFERROR(Model!AF17+0,0)</f>
        <v>-0.208175350214327</v>
      </c>
      <c r="M8" s="125" t="n">
        <f aca="false">IFERROR(Model!AI17+0,0)</f>
        <v>0.561976091348461</v>
      </c>
      <c r="N8" s="125" t="n">
        <f aca="false">IFERROR(Model!AL17+0,0)</f>
        <v>0.365642649058995</v>
      </c>
      <c r="O8" s="125" t="n">
        <f aca="false">IFERROR(Model!AO17+0,0)</f>
        <v>0.302616339914882</v>
      </c>
      <c r="P8" s="125" t="n">
        <f aca="false">IFERROR(Model!AR17+0,0)</f>
        <v>0.139829623361042</v>
      </c>
      <c r="Q8" s="125" t="n">
        <f aca="false">IFERROR(Model!AU17+0,0)</f>
        <v>0.112501365649996</v>
      </c>
    </row>
    <row r="9" customFormat="false" ht="15" hidden="false" customHeight="false" outlineLevel="0" collapsed="false">
      <c r="B9" s="10" t="s">
        <v>694</v>
      </c>
      <c r="C9" s="125" t="n">
        <f aca="false">IFERROR(Model!E26+0,0)</f>
        <v>0</v>
      </c>
      <c r="D9" s="125" t="n">
        <f aca="false">IFERROR(Model!H26+0,0)</f>
        <v>0.072033224914448</v>
      </c>
      <c r="E9" s="125" t="n">
        <f aca="false">IFERROR(Model!K26+0,0)</f>
        <v>0.0230664321151146</v>
      </c>
      <c r="F9" s="125" t="n">
        <f aca="false">IFERROR(Model!N26+0,0)</f>
        <v>0.0018498840803709</v>
      </c>
      <c r="G9" s="125" t="n">
        <f aca="false">IFERROR(Model!Q26+0,0)</f>
        <v>0.0653447303336661</v>
      </c>
      <c r="H9" s="125" t="n">
        <f aca="false">IFERROR(Model!T26+0,0)</f>
        <v>0.0397054897115989</v>
      </c>
      <c r="I9" s="125" t="n">
        <f aca="false">IFERROR(Model!W26+0,0)</f>
        <v>0.0142153897045061</v>
      </c>
      <c r="J9" s="125" t="n">
        <f aca="false">IFERROR(Model!Z26+0,0)</f>
        <v>0.101769398799229</v>
      </c>
      <c r="K9" s="125" t="n">
        <f aca="false">IFERROR(Model!AC26+0,0)</f>
        <v>0.0451640043469626</v>
      </c>
      <c r="L9" s="125" t="n">
        <f aca="false">IFERROR(Model!AF26+0,0)</f>
        <v>0.0257671638231107</v>
      </c>
      <c r="M9" s="125" t="n">
        <f aca="false">IFERROR(Model!AI26+0,0)</f>
        <v>0.0622075279755849</v>
      </c>
      <c r="N9" s="125" t="n">
        <f aca="false">IFERROR(Model!AL26+0,0)</f>
        <v>0.184791457166116</v>
      </c>
      <c r="O9" s="125" t="n">
        <f aca="false">IFERROR(Model!AO26+0,0)</f>
        <v>0.133422635888079</v>
      </c>
      <c r="P9" s="125" t="n">
        <f aca="false">IFERROR(Model!AR26+0,0)</f>
        <v>0.0883663946368352</v>
      </c>
      <c r="Q9" s="125" t="n">
        <f aca="false">IFERROR(Model!AU26+0,0)</f>
        <v>0.0787391439677787</v>
      </c>
    </row>
    <row r="12" customFormat="false" ht="15" hidden="false" customHeight="false" outlineLevel="0" collapsed="false">
      <c r="B12" s="10" t="s">
        <v>695</v>
      </c>
      <c r="C12" s="126" t="n">
        <f aca="false">IFERROR(Model!E158+0,0)</f>
        <v>40.16</v>
      </c>
      <c r="D12" s="126" t="n">
        <f aca="false">IFERROR(Model!H158+0,0)</f>
        <v>49.11</v>
      </c>
      <c r="E12" s="126" t="n">
        <f aca="false">IFERROR(Model!K158+0,0)</f>
        <v>58.181</v>
      </c>
      <c r="F12" s="126" t="n">
        <f aca="false">IFERROR(Model!N158+0,0)</f>
        <v>63.041</v>
      </c>
      <c r="G12" s="126" t="n">
        <f aca="false">IFERROR(Model!Q158+0,0)</f>
        <v>69.124</v>
      </c>
      <c r="H12" s="126" t="n">
        <f aca="false">IFERROR(Model!T158+0,0)</f>
        <v>78.215</v>
      </c>
      <c r="I12" s="126" t="n">
        <f aca="false">IFERROR(Model!W158+0,0)</f>
        <v>87.476</v>
      </c>
      <c r="J12" s="126" t="n">
        <f aca="false">IFERROR(Model!Z158+0,0)</f>
        <v>95.143</v>
      </c>
      <c r="K12" s="126" t="n">
        <f aca="false">IFERROR(Model!AC158+0,0)</f>
        <v>169.626</v>
      </c>
      <c r="L12" s="126" t="n">
        <f aca="false">IFERROR(Model!AF158+0,0)</f>
        <v>121.193</v>
      </c>
      <c r="M12" s="126" t="n">
        <f aca="false">IFERROR(Model!AI158+0,0)</f>
        <v>193.311</v>
      </c>
      <c r="N12" s="126" t="n">
        <f aca="false">IFERROR(Model!AL158+0,0)</f>
        <v>266.357</v>
      </c>
      <c r="O12" s="126" t="n">
        <f aca="false">IFERROR(Model!AO158+0,0)</f>
        <v>326.251</v>
      </c>
      <c r="P12" s="126" t="n">
        <f aca="false">IFERROR(Model!AR158+0,0)</f>
        <v>364.675</v>
      </c>
      <c r="Q12" s="126" t="n">
        <f aca="false">IFERROR(Model!AU158+0,0)</f>
        <v>416.463</v>
      </c>
    </row>
    <row r="13" customFormat="false" ht="15" hidden="false" customHeight="false" outlineLevel="0" collapsed="false">
      <c r="B13" s="10" t="s">
        <v>554</v>
      </c>
      <c r="C13" s="126" t="n">
        <f aca="false">IFERROR(Model!E120+0,0)</f>
        <v>34.907</v>
      </c>
      <c r="D13" s="126" t="n">
        <f aca="false">IFERROR(Model!H120+0,0)</f>
        <v>35.744</v>
      </c>
      <c r="E13" s="126" t="n">
        <f aca="false">IFERROR(Model!K120+0,0)</f>
        <v>46.956</v>
      </c>
      <c r="F13" s="126" t="n">
        <f aca="false">IFERROR(Model!N120+0,0)</f>
        <v>49.329</v>
      </c>
      <c r="G13" s="126" t="n">
        <f aca="false">IFERROR(Model!Q120+0,0)</f>
        <v>50.975</v>
      </c>
      <c r="H13" s="126" t="n">
        <f aca="false">IFERROR(Model!T120+0,0)</f>
        <v>56.645</v>
      </c>
      <c r="I13" s="126" t="n">
        <f aca="false">IFERROR(Model!W120+0,0)</f>
        <v>64.721</v>
      </c>
      <c r="J13" s="126" t="n">
        <f aca="false">IFERROR(Model!Z120+0,0)</f>
        <v>69.538</v>
      </c>
      <c r="K13" s="126" t="n">
        <f aca="false">IFERROR(Model!AC120+0,0)</f>
        <v>83.376</v>
      </c>
      <c r="L13" s="126" t="n">
        <f aca="false">IFERROR(Model!AF120+0,0)</f>
        <v>-14.818</v>
      </c>
      <c r="M13" s="126" t="n">
        <f aca="false">IFERROR(Model!AI120+0,0)</f>
        <v>77.0359999999999</v>
      </c>
      <c r="N13" s="126" t="n">
        <f aca="false">IFERROR(Model!AL120+0,0)</f>
        <v>134.412</v>
      </c>
      <c r="O13" s="126" t="n">
        <f aca="false">IFERROR(Model!AO120+0,0)</f>
        <v>187.406</v>
      </c>
      <c r="P13" s="126" t="n">
        <f aca="false">IFERROR(Model!AR120+0,0)</f>
        <v>211.671</v>
      </c>
      <c r="Q13" s="126" t="n">
        <f aca="false">IFERROR(Model!AU120+0,0)</f>
        <v>227.784</v>
      </c>
    </row>
    <row r="14" customFormat="false" ht="15" hidden="false" customHeight="false" outlineLevel="0" collapsed="false">
      <c r="B14" s="10" t="s">
        <v>696</v>
      </c>
      <c r="C14" s="125" t="n">
        <f aca="false">IFERROR(Model!E159+0,0)</f>
        <v>0.165516104436705</v>
      </c>
      <c r="D14" s="125" t="n">
        <f aca="false">IFERROR(Model!H159+0,0)</f>
        <v>0.175819218748322</v>
      </c>
      <c r="E14" s="125" t="n">
        <f aca="false">IFERROR(Model!K159+0,0)</f>
        <v>0.18041739022575</v>
      </c>
      <c r="F14" s="125" t="n">
        <f aca="false">IFERROR(Model!N159+0,0)</f>
        <v>0.177126737452551</v>
      </c>
      <c r="G14" s="125" t="n">
        <f aca="false">IFERROR(Model!Q159+0,0)</f>
        <v>0.166905307484468</v>
      </c>
      <c r="H14" s="125" t="n">
        <f aca="false">IFERROR(Model!T159+0,0)</f>
        <v>0.171535031833165</v>
      </c>
      <c r="I14" s="125" t="n">
        <f aca="false">IFERROR(Model!W159+0,0)</f>
        <v>0.173711353513209</v>
      </c>
      <c r="J14" s="125" t="n">
        <f aca="false">IFERROR(Model!Z159+0,0)</f>
        <v>0.172050069078257</v>
      </c>
      <c r="K14" s="125" t="n">
        <f aca="false">IFERROR(Model!AC159+0,0)</f>
        <v>0.279099843524017</v>
      </c>
      <c r="L14" s="125" t="n">
        <f aca="false">IFERROR(Model!AF159+0,0)</f>
        <v>0.222775926310585</v>
      </c>
      <c r="M14" s="125" t="n">
        <f aca="false">IFERROR(Model!AI159+0,0)</f>
        <v>0.271435973259532</v>
      </c>
      <c r="N14" s="125" t="n">
        <f aca="false">IFERROR(Model!AL159+0,0)</f>
        <v>0.28961039808287</v>
      </c>
      <c r="O14" s="125" t="n">
        <f aca="false">IFERROR(Model!AO159+0,0)</f>
        <v>0.286330764775061</v>
      </c>
      <c r="P14" s="125" t="n">
        <f aca="false">IFERROR(Model!AR159+0,0)</f>
        <v>0.285227681574296</v>
      </c>
      <c r="Q14" s="125" t="n">
        <f aca="false">IFERROR(Model!AU159+0,0)</f>
        <v>0.295793674637825</v>
      </c>
    </row>
    <row r="15" customFormat="false" ht="15" hidden="false" customHeight="false" outlineLevel="0" collapsed="false">
      <c r="B15" s="10" t="s">
        <v>697</v>
      </c>
      <c r="C15" s="125" t="n">
        <f aca="false">IFERROR(Model!E163+0,0)</f>
        <v>0.165516104436705</v>
      </c>
      <c r="D15" s="125" t="n">
        <f aca="false">IFERROR(Model!H163+0,0)</f>
        <v>0.175819218748322</v>
      </c>
      <c r="E15" s="125" t="n">
        <f aca="false">IFERROR(Model!K163+0,0)</f>
        <v>0.18041739022575</v>
      </c>
      <c r="F15" s="125" t="n">
        <f aca="false">IFERROR(Model!N163+0,0)</f>
        <v>0.177126737452551</v>
      </c>
      <c r="G15" s="125" t="n">
        <f aca="false">IFERROR(Model!Q163+0,0)</f>
        <v>0.166905307484468</v>
      </c>
      <c r="H15" s="125" t="n">
        <f aca="false">IFERROR(Model!T163+0,0)</f>
        <v>0.171535031833165</v>
      </c>
      <c r="I15" s="125" t="n">
        <f aca="false">IFERROR(Model!W163+0,0)</f>
        <v>0.173711353513209</v>
      </c>
      <c r="J15" s="125" t="n">
        <f aca="false">IFERROR(Model!Z163+0,0)</f>
        <v>0.172050069078257</v>
      </c>
      <c r="K15" s="125" t="n">
        <f aca="false">IFERROR(Model!AC163+0,0)</f>
        <v>0.174506096969039</v>
      </c>
      <c r="L15" s="125" t="n">
        <f aca="false">IFERROR(Model!AF163+0,0)</f>
        <v>0.0767610332841312</v>
      </c>
      <c r="M15" s="125" t="n">
        <f aca="false">IFERROR(Model!AI163+0,0)</f>
        <v>0.154473805040587</v>
      </c>
      <c r="N15" s="125" t="n">
        <f aca="false">IFERROR(Model!AL163+0,0)</f>
        <v>0.187462759919453</v>
      </c>
      <c r="O15" s="125" t="n">
        <f aca="false">IFERROR(Model!AO163+0,0)</f>
        <v>0.202101946604413</v>
      </c>
      <c r="P15" s="125" t="n">
        <f aca="false">IFERROR(Model!AR163+0,0)</f>
        <v>0.190078527069939</v>
      </c>
      <c r="Q15" s="125" t="n">
        <f aca="false">IFERROR(Model!AU163+0,0)</f>
        <v>0.188782848266737</v>
      </c>
    </row>
    <row r="16" customFormat="false" ht="15" hidden="false" customHeight="false" outlineLevel="0" collapsed="false">
      <c r="B16" s="10" t="s">
        <v>698</v>
      </c>
      <c r="C16" s="125" t="n">
        <f aca="false">IFERROR(Model!E121+0,0)</f>
        <v>0.143866301234364</v>
      </c>
      <c r="D16" s="125" t="n">
        <f aca="false">IFERROR(Model!H121+0,0)</f>
        <v>0.127967463957239</v>
      </c>
      <c r="E16" s="125" t="n">
        <f aca="false">IFERROR(Model!K121+0,0)</f>
        <v>0.145609030017365</v>
      </c>
      <c r="F16" s="125" t="n">
        <f aca="false">IFERROR(Model!N121+0,0)</f>
        <v>0.138600035402308</v>
      </c>
      <c r="G16" s="125" t="n">
        <f aca="false">IFERROR(Model!Q121+0,0)</f>
        <v>0.123083126685677</v>
      </c>
      <c r="H16" s="125" t="n">
        <f aca="false">IFERROR(Model!T121+0,0)</f>
        <v>0.124229391781495</v>
      </c>
      <c r="I16" s="125" t="n">
        <f aca="false">IFERROR(Model!W121+0,0)</f>
        <v>0.128524081013402</v>
      </c>
      <c r="J16" s="125" t="n">
        <f aca="false">IFERROR(Model!Z121+0,0)</f>
        <v>0.125747745010814</v>
      </c>
      <c r="K16" s="125" t="n">
        <f aca="false">IFERROR(Model!AC121+0,0)</f>
        <v>0.137185505486532</v>
      </c>
      <c r="L16" s="125" t="n">
        <f aca="false">IFERROR(Model!AF121+0,0)</f>
        <v>-0.0272383196725078</v>
      </c>
      <c r="M16" s="125" t="n">
        <f aca="false">IFERROR(Model!AI121+0,0)</f>
        <v>0.108169434931387</v>
      </c>
      <c r="N16" s="125" t="n">
        <f aca="false">IFERROR(Model!AL121+0,0)</f>
        <v>0.146146385591949</v>
      </c>
      <c r="O16" s="125" t="n">
        <f aca="false">IFERROR(Model!AO121+0,0)</f>
        <v>0.164474908286672</v>
      </c>
      <c r="P16" s="125" t="n">
        <f aca="false">IFERROR(Model!AR121+0,0)</f>
        <v>0.165556806982965</v>
      </c>
      <c r="Q16" s="125" t="n">
        <f aca="false">IFERROR(Model!AU121+0,0)</f>
        <v>0.161784039359324</v>
      </c>
    </row>
    <row r="18" customFormat="false" ht="15" hidden="false" customHeight="false" outlineLevel="0" collapsed="false">
      <c r="B18" s="10" t="s">
        <v>574</v>
      </c>
      <c r="C18" s="125" t="n">
        <f aca="false">IFERROR(Model!E361+0,0)</f>
        <v>0.263868110396523</v>
      </c>
      <c r="D18" s="125" t="n">
        <f aca="false">IFERROR(Model!H361+0,0)</f>
        <v>0.229621939630937</v>
      </c>
      <c r="E18" s="125" t="n">
        <f aca="false">IFERROR(Model!K361+0,0)</f>
        <v>0.190371062077815</v>
      </c>
      <c r="F18" s="125" t="n">
        <f aca="false">IFERROR(Model!N361+0,0)</f>
        <v>0.15859537162378</v>
      </c>
      <c r="G18" s="125" t="n">
        <f aca="false">IFERROR(Model!Q361+0,0)</f>
        <v>0.143762990136246</v>
      </c>
      <c r="H18" s="125" t="n">
        <f aca="false">IFERROR(Model!T361+0,0)</f>
        <v>0.146053994503417</v>
      </c>
      <c r="I18" s="125" t="n">
        <f aca="false">IFERROR(Model!W361+0,0)</f>
        <v>0.204999337438617</v>
      </c>
      <c r="J18" s="125" t="n">
        <f aca="false">IFERROR(Model!Z361+0,0)</f>
        <v>0.180080804343077</v>
      </c>
      <c r="K18" s="125" t="n">
        <f aca="false">IFERROR(Model!AC361+0,0)</f>
        <v>0.0819319766007069</v>
      </c>
      <c r="L18" s="125" t="n">
        <f aca="false">IFERROR(Model!AF361+0,0)</f>
        <v>0.0185134930588851</v>
      </c>
      <c r="M18" s="125" t="n">
        <f aca="false">IFERROR(Model!AI361+0,0)</f>
        <v>0.075698118497057</v>
      </c>
      <c r="N18" s="125" t="n">
        <f aca="false">IFERROR(Model!AL361+0,0)</f>
        <v>0.0979697551801509</v>
      </c>
      <c r="O18" s="125" t="n">
        <f aca="false">IFERROR(Model!AO361+0,0)</f>
        <v>0.131532860606431</v>
      </c>
      <c r="P18" s="125" t="n">
        <f aca="false">IFERROR(Model!AR361+0,0)</f>
        <v>0.117411400468331</v>
      </c>
      <c r="Q18" s="125" t="n">
        <f aca="false">IFERROR(Model!AU361+0,0)</f>
        <v>0.108766787739667</v>
      </c>
    </row>
    <row r="19" customFormat="false" ht="15" hidden="false" customHeight="false" outlineLevel="0" collapsed="false">
      <c r="B19" s="10" t="s">
        <v>575</v>
      </c>
      <c r="C19" s="125" t="n">
        <f aca="false">IFERROR(Model!E372+0,0)</f>
        <v>0.251397364844612</v>
      </c>
      <c r="D19" s="125" t="n">
        <f aca="false">IFERROR(Model!H372+0,0)</f>
        <v>0.184530841689468</v>
      </c>
      <c r="E19" s="125" t="n">
        <f aca="false">IFERROR(Model!K372+0,0)</f>
        <v>0.168222596486972</v>
      </c>
      <c r="F19" s="125" t="n">
        <f aca="false">IFERROR(Model!N372+0,0)</f>
        <v>0.132275233168734</v>
      </c>
      <c r="G19" s="125" t="n">
        <f aca="false">IFERROR(Model!Q372+0,0)</f>
        <v>0.126757225891656</v>
      </c>
      <c r="H19" s="125" t="n">
        <f aca="false">IFERROR(Model!T372+0,0)</f>
        <v>0.128546980299347</v>
      </c>
      <c r="I19" s="125" t="n">
        <f aca="false">IFERROR(Model!W372+0,0)</f>
        <v>0.174485331802122</v>
      </c>
      <c r="J19" s="125" t="n">
        <f aca="false">IFERROR(Model!Z372+0,0)</f>
        <v>0.154769612591314</v>
      </c>
      <c r="K19" s="125" t="n">
        <f aca="false">IFERROR(Model!AC372+0,0)</f>
        <v>0.0751657800296055</v>
      </c>
      <c r="L19" s="125" t="n">
        <f aca="false">IFERROR(Model!AF372+0,0)</f>
        <v>0.0172329952551226</v>
      </c>
      <c r="M19" s="125" t="n">
        <f aca="false">IFERROR(Model!AI372+0,0)</f>
        <v>0.0681232590250286</v>
      </c>
      <c r="N19" s="125" t="n">
        <f aca="false">IFERROR(Model!AL372+0,0)</f>
        <v>0.0866203147923572</v>
      </c>
      <c r="O19" s="125" t="n">
        <f aca="false">IFERROR(Model!AO372+0,0)</f>
        <v>0.118476250506794</v>
      </c>
      <c r="P19" s="125" t="n">
        <f aca="false">IFERROR(Model!AR372+0,0)</f>
        <v>0.101791261300669</v>
      </c>
      <c r="Q19" s="125" t="n">
        <f aca="false">IFERROR(Model!AU372+0,0)</f>
        <v>0.0963461322811559</v>
      </c>
    </row>
    <row r="20" customFormat="false" ht="15" hidden="false" customHeight="false" outlineLevel="0" collapsed="false">
      <c r="B20" s="10" t="s">
        <v>699</v>
      </c>
      <c r="C20" s="125" t="n">
        <f aca="false">IFERROR(Model!E163+0,0)</f>
        <v>0.165516104436705</v>
      </c>
      <c r="D20" s="125" t="n">
        <f aca="false">IFERROR(Model!H163+0,0)</f>
        <v>0.175819218748322</v>
      </c>
      <c r="E20" s="125" t="n">
        <f aca="false">IFERROR(Model!K163+0,0)</f>
        <v>0.18041739022575</v>
      </c>
      <c r="F20" s="125" t="n">
        <f aca="false">IFERROR(Model!N163+0,0)</f>
        <v>0.177126737452551</v>
      </c>
      <c r="G20" s="125" t="n">
        <f aca="false">IFERROR(Model!Q163+0,0)</f>
        <v>0.166905307484468</v>
      </c>
      <c r="H20" s="125" t="n">
        <f aca="false">IFERROR(Model!T163+0,0)</f>
        <v>0.171535031833165</v>
      </c>
      <c r="I20" s="125" t="n">
        <f aca="false">IFERROR(Model!W163+0,0)</f>
        <v>0.173711353513209</v>
      </c>
      <c r="J20" s="125" t="n">
        <f aca="false">IFERROR(Model!Z163+0,0)</f>
        <v>0.172050069078257</v>
      </c>
      <c r="K20" s="125" t="n">
        <f aca="false">IFERROR(Model!AC163+0,0)</f>
        <v>0.174506096969039</v>
      </c>
      <c r="L20" s="125" t="n">
        <f aca="false">IFERROR(Model!AF163+0,0)</f>
        <v>0.0767610332841312</v>
      </c>
      <c r="M20" s="125" t="n">
        <f aca="false">IFERROR(Model!AI163+0,0)</f>
        <v>0.154473805040587</v>
      </c>
      <c r="N20" s="125" t="n">
        <f aca="false">IFERROR(Model!AL163+0,0)</f>
        <v>0.187462759919453</v>
      </c>
      <c r="O20" s="125" t="n">
        <f aca="false">IFERROR(Model!AO163+0,0)</f>
        <v>0.202101946604413</v>
      </c>
      <c r="P20" s="125" t="n">
        <f aca="false">IFERROR(Model!AR163+0,0)</f>
        <v>0.190078527069939</v>
      </c>
      <c r="Q20" s="125" t="n">
        <f aca="false">IFERROR(Model!AU163+0,0)</f>
        <v>0.188782848266737</v>
      </c>
    </row>
    <row r="21" customFormat="false" ht="15" hidden="false" customHeight="false" outlineLevel="0" collapsed="false">
      <c r="B21" s="10" t="s">
        <v>700</v>
      </c>
      <c r="C21" s="125" t="n">
        <f aca="false">IFERROR(Model!E242+0,0)</f>
        <v>0.0112597110886723</v>
      </c>
      <c r="D21" s="125" t="n">
        <f aca="false">IFERROR(Model!H242+0,0)</f>
        <v>-0.0314441091074427</v>
      </c>
      <c r="E21" s="125" t="n">
        <f aca="false">IFERROR(Model!K242+0,0)</f>
        <v>-0.02459997519226</v>
      </c>
      <c r="F21" s="125" t="n">
        <f aca="false">IFERROR(Model!N242+0,0)</f>
        <v>-0.0567026964757845</v>
      </c>
      <c r="G21" s="125" t="n">
        <f aca="false">IFERROR(Model!Q242+0,0)</f>
        <v>-0.0102861033777535</v>
      </c>
      <c r="H21" s="125" t="n">
        <f aca="false">IFERROR(Model!T242+0,0)</f>
        <v>0.032734537942106</v>
      </c>
      <c r="I21" s="125" t="n">
        <f aca="false">IFERROR(Model!W242+0,0)</f>
        <v>0.115713573656942</v>
      </c>
      <c r="J21" s="125" t="n">
        <f aca="false">IFERROR(Model!Z242+0,0)</f>
        <v>0.0475880476531476</v>
      </c>
      <c r="K21" s="125" t="n">
        <f aca="false">IFERROR(Model!AC242+0,0)</f>
        <v>0.0162201918188235</v>
      </c>
      <c r="L21" s="125" t="n">
        <f aca="false">IFERROR(Model!AF242+0,0)</f>
        <v>-0.115416359535526</v>
      </c>
      <c r="M21" s="125" t="n">
        <f aca="false">IFERROR(Model!AI242+0,0)</f>
        <v>0.0957961411386744</v>
      </c>
      <c r="N21" s="125" t="n">
        <f aca="false">IFERROR(Model!AL242+0,0)</f>
        <v>0.0619848908566632</v>
      </c>
      <c r="O21" s="125" t="n">
        <f aca="false">IFERROR(Model!AO242+0,0)</f>
        <v>0.0325463832476172</v>
      </c>
      <c r="P21" s="125" t="n">
        <f aca="false">IFERROR(Model!AR242+0,0)</f>
        <v>-0.0104900902592019</v>
      </c>
      <c r="Q21" s="125" t="n">
        <f aca="false">IFERROR(Model!AU242+0,0)</f>
        <v>-0.00922049133812188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2026-10-06T01:11:29Z</dcterms:created>
  <dc:creator>openpyxl</dc:creator>
  <dc:description/>
  <dc:language>en-US</dc:language>
  <cp:lastModifiedBy/>
  <dcterms:modified xsi:type="dcterms:W3CDTF">2026-10-06T01:11:30Z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