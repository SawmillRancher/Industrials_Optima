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ull-Base-Bear" sheetId="2" state="visible" r:id="rId4"/>
    <sheet name="DCF" sheetId="3" state="visible" r:id="rId5"/>
    <sheet name="Charts" sheetId="4" state="visible" r:id="rId6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26" authorId="0">
      <text>
        <r>
          <rPr>
            <sz val="10"/>
            <rFont val="Arial"/>
            <family val="2"/>
          </rPr>
          <t xml:space="preserve">P/E on adjusted EPS (continuing operations). MLM has traded at ~25–35x NTM EPS over 2019–26 (≈28x 2027E adjusted EPS at $518.70). Base 26x, Bull 30x, Bear 21x applied to 2028E–2030E.</t>
        </r>
      </text>
    </comment>
  </commentList>
</comments>
</file>

<file path=xl/sharedStrings.xml><?xml version="1.0" encoding="utf-8"?>
<sst xmlns="http://schemas.openxmlformats.org/spreadsheetml/2006/main" count="960" uniqueCount="817">
  <si>
    <t xml:space="preserve">SCENARIO SWITCH ▼ (Bull / Base / Bear) — drives all scenario-linked forecast drivers</t>
  </si>
  <si>
    <t xml:space="preserve">Waste Connections, Inc. (NYSE / TSX: WCN) — 3-Statement Financial Model</t>
  </si>
  <si>
    <t xml:space="preserve">Base</t>
  </si>
  <si>
    <t xml:space="preserve">US GAAP as reported · USD millions (per-share data in USD, restated to the current share basis; shares in millions) · Source: Waste Connections Forms 10-K / 10-Q (financial statements, MD&amp;A revenue bridges, segment and debt notes) and Form 8-K earnings releases (Ex. 99.1 non-GAAP reconciliations, revenue breakdown, internal growth, outlook) on SEC EDGAR — legacy Waste Connections, Inc. (Delaware) CIK 0001057058 to Q1/16; Waste Connections, Inc. (Ontario) CIK 0001318220 from Q2/16 (investor-relations releases are the same documents as filed on EDGAR)</t>
  </si>
  <si>
    <t xml:space="preserve">Basis notes: calendar fiscal year. Old Waste Connections was the accounting acquirer in the 1-Jun-2016 Progressive Waste merger (WCN re-domiciled to Ontario; Canada segment from Q2/16; net 1:1 share exchange) — pre-merger periods are legacy WCN (US only). 3-for-2 share splits Mar-2007, Nov-2010 and Jun-2017: all share counts / per-share data restated to the current basis (factor row). Service-line revenues are gross of intercompany eliminations; recycling and intermodal / other reported combined to 2011; E&amp;P separate from FY2012 (R360, Oct-2012). Q4 = FY − 9M where only annual figures are disclosed. Adjusted EBITDA / adjusted EPS / adjusted FCF per the company definition in force in each period (definition rows). FY26 outlook per the Q2-26 release (22-Jul-2026); Q3/26E onward are model estimates.</t>
  </si>
  <si>
    <t xml:space="preserve">Forecast</t>
  </si>
  <si>
    <t xml:space="preserve">Historical</t>
  </si>
  <si>
    <t xml:space="preserve">(USDm)</t>
  </si>
  <si>
    <t xml:space="preserve">Q1/13</t>
  </si>
  <si>
    <t xml:space="preserve">Q2/13</t>
  </si>
  <si>
    <t xml:space="preserve">Q3/13</t>
  </si>
  <si>
    <t xml:space="preserve">Q4/13</t>
  </si>
  <si>
    <t xml:space="preserve">Q1/14</t>
  </si>
  <si>
    <t xml:space="preserve">Q2/14</t>
  </si>
  <si>
    <t xml:space="preserve">Q3/14</t>
  </si>
  <si>
    <t xml:space="preserve">Q4/14</t>
  </si>
  <si>
    <t xml:space="preserve">Q1/15</t>
  </si>
  <si>
    <t xml:space="preserve">Q2/15</t>
  </si>
  <si>
    <t xml:space="preserve">Q3/15</t>
  </si>
  <si>
    <t xml:space="preserve">Q4/15</t>
  </si>
  <si>
    <t xml:space="preserve">Q1/16</t>
  </si>
  <si>
    <t xml:space="preserve">Q2/16</t>
  </si>
  <si>
    <t xml:space="preserve">Q3/16</t>
  </si>
  <si>
    <t xml:space="preserve">Q4/16</t>
  </si>
  <si>
    <t xml:space="preserve">Q1/17</t>
  </si>
  <si>
    <t xml:space="preserve">Q2/17</t>
  </si>
  <si>
    <t xml:space="preserve">Q3/17</t>
  </si>
  <si>
    <t xml:space="preserve">Q4/17</t>
  </si>
  <si>
    <t xml:space="preserve">Q1/18</t>
  </si>
  <si>
    <t xml:space="preserve">Q2/18</t>
  </si>
  <si>
    <t xml:space="preserve">Q3/18</t>
  </si>
  <si>
    <t xml:space="preserve">Q4/18</t>
  </si>
  <si>
    <t xml:space="preserve">Q1/19</t>
  </si>
  <si>
    <t xml:space="preserve">Q2/19</t>
  </si>
  <si>
    <t xml:space="preserve">Q3/19</t>
  </si>
  <si>
    <t xml:space="preserve">Q4/19</t>
  </si>
  <si>
    <t xml:space="preserve">Q1/20</t>
  </si>
  <si>
    <t xml:space="preserve">Q2/20</t>
  </si>
  <si>
    <t xml:space="preserve">Q3/20</t>
  </si>
  <si>
    <t xml:space="preserve">Q4/20</t>
  </si>
  <si>
    <t xml:space="preserve">Q1/21</t>
  </si>
  <si>
    <t xml:space="preserve">Q2/21</t>
  </si>
  <si>
    <t xml:space="preserve">Q3/21</t>
  </si>
  <si>
    <t xml:space="preserve">Q4/21</t>
  </si>
  <si>
    <t xml:space="preserve">Q1/22</t>
  </si>
  <si>
    <t xml:space="preserve">Q2/22</t>
  </si>
  <si>
    <t xml:space="preserve">Q3/22</t>
  </si>
  <si>
    <t xml:space="preserve">Q4/22</t>
  </si>
  <si>
    <t xml:space="preserve">Q1/23</t>
  </si>
  <si>
    <t xml:space="preserve">Q2/23</t>
  </si>
  <si>
    <t xml:space="preserve">Q3/23</t>
  </si>
  <si>
    <t xml:space="preserve">Q4/23</t>
  </si>
  <si>
    <t xml:space="preserve">Q1/24</t>
  </si>
  <si>
    <t xml:space="preserve">Q2/24</t>
  </si>
  <si>
    <t xml:space="preserve">Q3/24</t>
  </si>
  <si>
    <t xml:space="preserve">Q4/24</t>
  </si>
  <si>
    <t xml:space="preserve">Q1/25</t>
  </si>
  <si>
    <t xml:space="preserve">Q2/25</t>
  </si>
  <si>
    <t xml:space="preserve">Q3/25</t>
  </si>
  <si>
    <t xml:space="preserve">Q4/25</t>
  </si>
  <si>
    <t xml:space="preserve">Q1/26</t>
  </si>
  <si>
    <t xml:space="preserve">Q2/26</t>
  </si>
  <si>
    <t xml:space="preserve">Q3/26E</t>
  </si>
  <si>
    <t xml:space="preserve">Q4/26E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</si>
  <si>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</si>
  <si>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</si>
  <si>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</si>
  <si>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</si>
  <si>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</si>
  <si>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Modelling Notes</t>
  </si>
  <si>
    <t xml:space="preserve">5Y CAGR</t>
  </si>
  <si>
    <t xml:space="preserve">10Y CAGR</t>
  </si>
  <si>
    <t xml:space="preserve">19Y CAGR</t>
  </si>
  <si>
    <t xml:space="preserve">25-'30</t>
  </si>
  <si>
    <t xml:space="preserve">20-'25</t>
  </si>
  <si>
    <t xml:space="preserve">15-'25</t>
  </si>
  <si>
    <t xml:space="preserve">06-'25</t>
  </si>
  <si>
    <t xml:space="preserve">SERVICE-LINE REVENUE BUILD — SOLID WASTE (collection · landfill &amp; transfer · recycling) · E&amp;P WASTE · INTERMODAL &amp; OTHER (price × volume internal-growth build)</t>
  </si>
  <si>
    <t xml:space="preserve">SERVICE-LINE BUILD — modelling logic (prior-year revenues × (1 + price + volume + recycled commodities + acquisitions) → revenues → cost of operations → Adjusted EBITDA)</t>
  </si>
  <si>
    <t xml:space="preserve">SCENARIO INPUT TABLE — driver assumptions per Bull / Base / Bear</t>
  </si>
  <si>
    <t xml:space="preserve">Bull</t>
  </si>
  <si>
    <t xml:space="preserve">Bear</t>
  </si>
  <si>
    <t xml:space="preserve">Bull / Bear = Base + Δ (Δ inputs on each block header). Outlook block = high / mid / low end of the FY26 outlook ranges.</t>
  </si>
  <si>
    <t xml:space="preserve">Solid waste — collection, disposal &amp; transfer, recycling (gross revenues before intercompany eliminations)</t>
  </si>
  <si>
    <t xml:space="preserve">SOLID WASTE — modelling logic</t>
  </si>
  <si>
    <t xml:space="preserve">  Collection revenues (commercial + residential + industrial &amp; construction roll-off)</t>
  </si>
  <si>
    <t xml:space="preserve">Historical: earnings-release revenue breakdown (quarters; gross of intercompany) and 10-K service-line table (FY). Q3/Q4-26E: prior-year quarter × (1 + solid waste growth below). 2027E+: prior year × (1 + organic internal growth).</t>
  </si>
  <si>
    <t xml:space="preserve">FY26 outlook — Q2-26 release (22-Jul-26, "updated outlook")</t>
  </si>
  <si>
    <t xml:space="preserve">High</t>
  </si>
  <si>
    <t xml:space="preserve">Mid</t>
  </si>
  <si>
    <t xml:space="preserve">Low</t>
  </si>
  <si>
    <t xml:space="preserve">WCN outlook "assumes no change in the current economic environment" and excludes transaction-related items and acquisitions not yet closed.</t>
  </si>
  <si>
    <t xml:space="preserve">    Memo: commercial (from Q2/18)</t>
  </si>
  <si>
    <t xml:space="preserve">10-Q / 10-K disaggregation note (ASC 606) from Q2/18; Q4 = FY − 9M.</t>
  </si>
  <si>
    <t xml:space="preserve">  FY26 revenues ($m)</t>
  </si>
  <si>
    <t xml:space="preserve">Raised to $10.02–10.05bn in the Q2-26 release (from $9.90–9.95bn, Feb-26). Drives the Q3/Q4-26E revenue calibration.</t>
  </si>
  <si>
    <t xml:space="preserve">    Memo: residential (from Q2/18)</t>
  </si>
  <si>
    <t xml:space="preserve">  FY26 Adjusted EBITDA ($m)</t>
  </si>
  <si>
    <t xml:space="preserve">Raised to $3.330–3.340bn (from $3.300–3.325bn). Drives the Q3/Q4-26E cost-of-operations calibration.</t>
  </si>
  <si>
    <t xml:space="preserve">    Memo: industrial &amp; construction roll-off (from Q2/18)</t>
  </si>
  <si>
    <t xml:space="preserve">  FY26 net income attributable ($m; outlook reconciliation)</t>
  </si>
  <si>
    <t xml:space="preserve">Q2-26 outlook reconciliation (memo only; includes 1H/26 impairments &amp; other items).</t>
  </si>
  <si>
    <t xml:space="preserve">  Disposal &amp; transfer revenues (landfill + transfer stations)</t>
  </si>
  <si>
    <t xml:space="preserve">Gross of intercompany (~45–50% of landfill &amp; transfer revenue is internalized volume from WCN collection, eliminated below).</t>
  </si>
  <si>
    <t xml:space="preserve">  FY26 adjusted free cash flow ($m)</t>
  </si>
  <si>
    <t xml:space="preserve">Reaffirmed $1.40–1.45bn (memo; compare with model Adjusted FCF).</t>
  </si>
  <si>
    <t xml:space="preserve">    Memo: landfill (from Q2/18)</t>
  </si>
  <si>
    <t xml:space="preserve">  FY26 net cash provided by operating activities ($m)</t>
  </si>
  <si>
    <t xml:space="preserve">Trimmed to $2.63–2.68bn (from $2.65–2.70bn) — memo.</t>
  </si>
  <si>
    <t xml:space="preserve">    Memo: transfer (from Q2/18)</t>
  </si>
  <si>
    <t xml:space="preserve">FY26 point estimates (all cases)</t>
  </si>
  <si>
    <t xml:space="preserve">  Recycling revenues (recycled commodities; within "recycling &amp; other" to 2011)</t>
  </si>
  <si>
    <t xml:space="preserve">Recycled-commodity price exposure (OCC, fibre, plastics); RINs / landfill gas sit in intermodal &amp; other. Forecast grows with solid waste (recycled-commodity contribution input below).</t>
  </si>
  <si>
    <t xml:space="preserve">  Interest expense, net of interest income ($m)</t>
  </si>
  <si>
    <t xml:space="preserve">Q2-26 outlook reconciliation: "interest expense, net" $358m (was $330m in Feb).</t>
  </si>
  <si>
    <t xml:space="preserve">  Solid waste revenues before intercompany eliminations</t>
  </si>
  <si>
    <t xml:space="preserve">2006–11 excludes recycling (reported combined with intermodal &amp; other — memo line below), so 2012 y/y is overstated by the reclassification.</t>
  </si>
  <si>
    <t xml:space="preserve">  Tax rate (GAAP effective)</t>
  </si>
  <si>
    <t xml:space="preserve">Q2-26 release footnote: FY26 effective tax rate ~23.1% (24.5% in Feb outlook).</t>
  </si>
  <si>
    <t xml:space="preserve">  Solid waste revenues y/y % (gross) — forecast growth driver</t>
  </si>
  <si>
    <t xml:space="preserve">Q3/Q4-26E: Q2/26 y/y (+price, −volume, + acquisition roll-over) + revenue-outlook calibration Δ (Group block). 2027E+: organic internal growth (price + volume + recycling + FX); bolt-ons in the future-acquisitions block.</t>
  </si>
  <si>
    <t xml:space="preserve">  Depreciation &amp; depletion ($m)</t>
  </si>
  <si>
    <t xml:space="preserve">Q2-26 outlook reconciliation $1,110–1,114m (mid-point).</t>
  </si>
  <si>
    <t xml:space="preserve">  Memo: Q2/26 y/y growth basis (trend input to Q3/Q4-26E)</t>
  </si>
  <si>
    <t xml:space="preserve">  Amortization of intangibles ($m)</t>
  </si>
  <si>
    <t xml:space="preserve">Q2-26 outlook reconciliation $192m.</t>
  </si>
  <si>
    <t xml:space="preserve">  Capital expenditures for property &amp; equipment ($m)</t>
  </si>
  <si>
    <t xml:space="preserve">"Approximately $1.25 billion" (unchanged since Feb-26).</t>
  </si>
  <si>
    <t xml:space="preserve">Solid waste internal growth — company-reported % of prior-year solid waste revenues (price × volume)</t>
  </si>
  <si>
    <t xml:space="preserve">  Closure &amp; post-closure accretion ($m)</t>
  </si>
  <si>
    <t xml:space="preserve">Q2-26 outlook reconciliation line ($50m in Feb).</t>
  </si>
  <si>
    <t xml:space="preserve">  Core price % (yield basis in the forecast)</t>
  </si>
  <si>
    <t xml:space="preserve">Core price = price increases net of rollbacks on solid waste (company). 2006–08 = total price incl. surcharges. From Q1/26 the company total uses "yield"; core price is shown as memo. 2027E+: scenario lever SW_price (yield incl. surcharges).</t>
  </si>
  <si>
    <t xml:space="preserve">  2H/26 share repurchases ($m)</t>
  </si>
  <si>
    <t xml:space="preserve">1H/26: 3.76m shares for $614.5m under the NCIB. 2H/26 is a scenario input (not guided).</t>
  </si>
  <si>
    <t xml:space="preserve">  Surcharges % (fuel / materials / environmental)</t>
  </si>
  <si>
    <t xml:space="preserve">Input 0% 2027E+ (surcharges captured in the yield lever).</t>
  </si>
  <si>
    <t xml:space="preserve">  Volume % (unit volume from Q1/26)</t>
  </si>
  <si>
    <t xml:space="preserve">2027E+: scenario lever SW_vol.</t>
  </si>
  <si>
    <t xml:space="preserve">  Minimum net debt / Adjusted EBITDA (x) — buyback floor 2027E+</t>
  </si>
  <si>
    <t xml:space="preserve">WCN targets leverage ~2.5–3.0x (2.75x at YE2025 per the Q4-25 release); surplus cash returned via buybacks once at the floor.</t>
  </si>
  <si>
    <t xml:space="preserve">  Recycled commodities %</t>
  </si>
  <si>
    <t xml:space="preserve">Input 0% (commodity prices assumed flat from 2H/26 levels).</t>
  </si>
  <si>
    <t xml:space="preserve">  Foreign exchange impact % (Canada; from Q2/17)</t>
  </si>
  <si>
    <t xml:space="preserve">Input 0% (flat CAD/USD).</t>
  </si>
  <si>
    <t xml:space="preserve">SW_price (solid waste price / yield, % of prior-year solid waste revenue)</t>
  </si>
  <si>
    <t xml:space="preserve">Δ →</t>
  </si>
  <si>
    <t xml:space="preserve">1H/26 yield +4.6–4.7% (core price +5.6–6.0%); pricing decelerating with CPI and a lower cost-inflation backdrop.</t>
  </si>
  <si>
    <t xml:space="preserve">  Closed operation % (Chiquita Canyon landfill, 2025)</t>
  </si>
  <si>
    <t xml:space="preserve">  2027E</t>
  </si>
  <si>
    <t xml:space="preserve">    Memo: yield % (company basis from Q1/26; replaces core price + surcharges)</t>
  </si>
  <si>
    <t xml:space="preserve">  2028E</t>
  </si>
  <si>
    <t xml:space="preserve">  Solid waste internal growth % (company total)</t>
  </si>
  <si>
    <t xml:space="preserve">Company-reported (releases; FY from 10-K MD&amp;A). 2006–12 = company-wide internal growth incl. intermodal / recycling / other; 2013+ solid waste basis. Forecast = Σ components above.</t>
  </si>
  <si>
    <t xml:space="preserve">  2029E</t>
  </si>
  <si>
    <t xml:space="preserve">  Acquisitions, net of divestitures — contribution to solid waste growth % (derived)</t>
  </si>
  <si>
    <t xml:space="preserve">Derived: gross solid waste y/y − company internal growth (approximation; internal growth is measured on reported revenues). Forecast M&amp;A sits in the future-acquisitions block.</t>
  </si>
  <si>
    <t xml:space="preserve">  2030E</t>
  </si>
  <si>
    <t xml:space="preserve">SW_vol (solid waste unit volume y/y)</t>
  </si>
  <si>
    <t xml:space="preserve">Unit volume −1.5% / −1.9% in Q1/Q2-26 (purposeful shedding, Chiquita Canyon closure, soft C&amp;D / roll-off). Recovery assumed as shedding laps.</t>
  </si>
  <si>
    <t xml:space="preserve">Revenue change bridge y/y ($m) — company MD&amp;A (10-Q quarters; Q4 = FY − Q1 − Q2 − Q3)</t>
  </si>
  <si>
    <t xml:space="preserve">  Δ Total revenues y/y (company MD&amp;A)</t>
  </si>
  <si>
    <t xml:space="preserve">    of which: acquisitions, net of divestitures &amp; closed operations</t>
  </si>
  <si>
    <t xml:space="preserve">    of which: solid waste core price (total price incl. surcharges 2006–08)</t>
  </si>
  <si>
    <t xml:space="preserve">    of which: surcharges</t>
  </si>
  <si>
    <t xml:space="preserve">EP_g (E&amp;P waste revenues y/y)</t>
  </si>
  <si>
    <t xml:space="preserve">E&amp;P gross revenues +18% y/y in Q2/26 (Permian / Bakken activity, acquired E&amp;P facilities); oil-price sensitive.</t>
  </si>
  <si>
    <t xml:space="preserve">    of which: solid waste volume</t>
  </si>
  <si>
    <t xml:space="preserve">    of which: recycled commodities (incl. recycling-facility closures)</t>
  </si>
  <si>
    <t xml:space="preserve">    of which: E&amp;P waste (volume &amp; price; incl. new facilities 2015)</t>
  </si>
  <si>
    <t xml:space="preserve">    of which: intermodal, renewable fuels / landfill gas &amp; other</t>
  </si>
  <si>
    <t xml:space="preserve">    of which: foreign exchange (Canadian dollar translation)</t>
  </si>
  <si>
    <t xml:space="preserve">COO_pct (cost of operations % of revenues, ex-D&amp;A)</t>
  </si>
  <si>
    <t xml:space="preserve">FY25 57.6%; 1H/26 57.6%. Bull = lower cost ratio (−Δ). Labor turnover / safety improvements and pricing &gt; cost inflation drive ~20bp p.a. of margin expansion.</t>
  </si>
  <si>
    <t xml:space="preserve">    Check: Σ components − Δ total revenues (unexplained / rounding; MD&amp;A rounds to $0.1m)</t>
  </si>
  <si>
    <t xml:space="preserve">Q4 columns derived as FY − Q1 − Q2 − Q3 (WCN 10-Ks do not discuss Q4). 2006–08: price shown in total (incl. surcharges).</t>
  </si>
  <si>
    <t xml:space="preserve">E&amp;P waste — treatment, recovery &amp; disposal (oilfield waste; R360 from Oct-2012)</t>
  </si>
  <si>
    <t xml:space="preserve">E&amp;P WASTE — modelling logic</t>
  </si>
  <si>
    <t xml:space="preserve">  E&amp;P waste revenues (gross)</t>
  </si>
  <si>
    <t xml:space="preserve">Separate line from FY2012 (R360 acquisition; earlier E&amp;P volumes sat in disposal &amp; transfer). Q3/Q4-26E: prior-year quarter × (1 + Q2/26 y/y + calibration Δ). 2027E+: scenario lever EP_g.</t>
  </si>
  <si>
    <t xml:space="preserve">  E&amp;P revenues y/y %</t>
  </si>
  <si>
    <t xml:space="preserve">M&amp;A_spend (acquisitions, net of cash acquired, $m)</t>
  </si>
  <si>
    <t xml:space="preserve">2018–25 average ~$1.1bn p.a. (range $0.4–2.2bn); 2025 $818m for ~$330m annualized revenue.</t>
  </si>
  <si>
    <t xml:space="preserve">  Memo: Q2/26 y/y (trend input)</t>
  </si>
  <si>
    <t xml:space="preserve">Intermodal &amp; other (renewable fuels / landfill gas &amp; RINs, intermodal rail, non-core)</t>
  </si>
  <si>
    <t xml:space="preserve">INTERMODAL &amp; OTHER — modelling logic</t>
  </si>
  <si>
    <t xml:space="preserve">  Intermodal &amp; other revenues (gross; "Other" from Q1/26)</t>
  </si>
  <si>
    <t xml:space="preserve">Q3/Q4-26E: prior-year quarter × (1 + Q2/26 y/y + calibration Δ). 2027E+: input growth (row below).</t>
  </si>
  <si>
    <t xml:space="preserve">  Intermodal &amp; other y/y %</t>
  </si>
  <si>
    <t xml:space="preserve">2027E+: 3% input (landfill-gas / RNG volumes partly offset by lower RIN pricing).</t>
  </si>
  <si>
    <t xml:space="preserve">  Memo: recycling, intermodal &amp; other (reported combined, 2006–11)</t>
  </si>
  <si>
    <t xml:space="preserve">Company reported recycling and intermodal/other as one line until FY2011 (included in the Group total).</t>
  </si>
  <si>
    <t xml:space="preserve">Intercompany eliminations</t>
  </si>
  <si>
    <t xml:space="preserve">  Less: intercompany eliminations</t>
  </si>
  <si>
    <t xml:space="preserve">Revenue on internalized volumes (WCN collection trucks tipping at WCN landfills / transfer stations).</t>
  </si>
  <si>
    <t xml:space="preserve">  Intercompany eliminations % of gross revenues</t>
  </si>
  <si>
    <t xml:space="preserve">Forecast: prior-year (quarter) ratio.</t>
  </si>
  <si>
    <t xml:space="preserve">Future acquisitions (M&amp;A lever — tuck-in solid waste / E&amp;P deals closed from 2027E; unallocated)</t>
  </si>
  <si>
    <t xml:space="preserve">FUTURE ACQUISITIONS — modelling logic (spend ÷ EV/sales → annualized revenue; half-year convention in the year of purchase)</t>
  </si>
  <si>
    <t xml:space="preserve">  Acquisition spend (USDm, scenario)</t>
  </si>
  <si>
    <t xml:space="preserve">Scenario lever M&amp;A_spend (cash consideration net of cash acquired).</t>
  </si>
  <si>
    <t xml:space="preserve">  Purchase multiple — EV / annualized revenue (x)</t>
  </si>
  <si>
    <t xml:space="preserve">WCN 2018–25: cash paid ÷ annualized revenue acquired ≈ 2.3–3.4x (2025: $818m / ~$330m = 2.5x; 2024: 2.8x). Input 2.75x.</t>
  </si>
  <si>
    <t xml:space="preserve">  Annualized revenue acquired in the year</t>
  </si>
  <si>
    <t xml:space="preserve">  Growth of acquired businesses after acquisition %</t>
  </si>
  <si>
    <t xml:space="preserve">Input: in line with solid waste price-led organic growth.</t>
  </si>
  <si>
    <t xml:space="preserve">  Run-rate revenue of businesses acquired (year end)</t>
  </si>
  <si>
    <t xml:space="preserve">  Revenues from future acquisitions</t>
  </si>
  <si>
    <t xml:space="preserve">  Adjusted EBITDA margin of acquired businesses %</t>
  </si>
  <si>
    <t xml:space="preserve">Input: acquired tuck-ins typically below WCN average at purchase, rising with route density / internalization.</t>
  </si>
  <si>
    <t xml:space="preserve">  Adjusted EBITDA from future acquisitions</t>
  </si>
  <si>
    <t xml:space="preserve">  Cost of operations &amp; SG&amp;A of acquired businesses</t>
  </si>
  <si>
    <t xml:space="preserve">  Depreciation of acquired businesses % of revenues</t>
  </si>
  <si>
    <t xml:space="preserve">  Depreciation from future acquisitions</t>
  </si>
  <si>
    <t xml:space="preserve">  PP&amp;E (incl. landfill airspace) % of spend</t>
  </si>
  <si>
    <t xml:space="preserve">2021–25 purchase-price allocations: PP&amp;E ~35–45%, intangibles ~15–30%, goodwill ~35–45% of consideration.</t>
  </si>
  <si>
    <t xml:space="preserve">  Acquired intangibles % of spend (customer lists, franchise agreements, permits)</t>
  </si>
  <si>
    <t xml:space="preserve">  Intangible amortization life (years)</t>
  </si>
  <si>
    <t xml:space="preserve">  Cumulative acquired intangibles (gross)</t>
  </si>
  <si>
    <t xml:space="preserve">  Amortization of future-acquisition intangibles</t>
  </si>
  <si>
    <t xml:space="preserve">Group total — service-line build → consolidated revenues; FY26 outlook calibration (WCN's primary metrics: revenue, Adjusted EBITDA, adjusted FCF)</t>
  </si>
  <si>
    <t xml:space="preserve">GROUP TOTAL &amp; FY26 OUTLOOK CALIBRATION — modelling logic</t>
  </si>
  <si>
    <t xml:space="preserve">Revenues (service-line build)</t>
  </si>
  <si>
    <t xml:space="preserve">Σ collection + disposal &amp; transfer + recycling (+ combined line to 2011) + E&amp;P + intermodal &amp; other − intercompany eliminations + future M&amp;A.</t>
  </si>
  <si>
    <t xml:space="preserve">  Revenues y/y %</t>
  </si>
  <si>
    <t xml:space="preserve">  Check: service-line build vs consolidated revenues (should be 0)</t>
  </si>
  <si>
    <t xml:space="preserve">  Memo: revenues — WCN ex future M&amp;A</t>
  </si>
  <si>
    <t xml:space="preserve">  Memo: FY26 revenue outlook (scenario end-point)</t>
  </si>
  <si>
    <t xml:space="preserve">Q2-26 release (22-Jul-2026): revenue $10.02–10.05bn (Bull = high, Base = mid, Bear = low).</t>
  </si>
  <si>
    <t xml:space="preserve">  Revenues before outlook calibration (Q3/Q4-26E helper)</t>
  </si>
  <si>
    <t xml:space="preserve">Each service line: prior-year quarter × (1 + Q2/26 y/y trend), net of intercompany eliminations at the prior-year ratio.</t>
  </si>
  <si>
    <t xml:space="preserve">  Revenue sensitivity to +1.00 of growth (Q3/Q4-26E helper)</t>
  </si>
  <si>
    <t xml:space="preserve">  Outlook calibration: Δ y/y growth applied to all service lines (Q3/Q4-26E)</t>
  </si>
  <si>
    <t xml:space="preserve">Solves the uniform growth shift vs the Q2/26 y/y trend so that FY26 revenues = the outlook end-point for the active scenario.</t>
  </si>
  <si>
    <t xml:space="preserve">  Check: FY26 revenues vs outlook end-point (should be 0)</t>
  </si>
  <si>
    <t xml:space="preserve">  Adjusted EBITDA before margin calibration (Q3/Q4-26E helper)</t>
  </si>
  <si>
    <t xml:space="preserve">Revenues × (1 − pre-calibration cost-of-operations ratio) − SG&amp;A + closure accretion + transaction / equity-award add-backs (0 in the forecast).</t>
  </si>
  <si>
    <t xml:space="preserve">  Outlook calibration: Δ cost-of-operations ratio applied (Q3/Q4-26E)</t>
  </si>
  <si>
    <t xml:space="preserve">Solves the uniform cost-ratio shift (vs prior-year quarter + 1H drift) so that FY26 Adjusted EBITDA = outlook end-point for the active scenario.</t>
  </si>
  <si>
    <t xml:space="preserve">  Memo: FY26 Adjusted EBITDA outlook (scenario end-point)</t>
  </si>
  <si>
    <t xml:space="preserve">Q2-26 release: $3,330–3,340m (raised from $3,300–3,325m).</t>
  </si>
  <si>
    <t xml:space="preserve">  Check: FY26 Adjusted EBITDA vs outlook end-point (should be 0)</t>
  </si>
  <si>
    <t xml:space="preserve">  Memo: FY26 adjusted free cash flow outlook (scenario end-point)</t>
  </si>
  <si>
    <t xml:space="preserve">$1.40–1.45bn; compare with model Adjusted FCF (row in the adjusted FCF bridge).</t>
  </si>
  <si>
    <t xml:space="preserve">  Memo: FY26 net income outlook (scenario end-point)</t>
  </si>
  <si>
    <t xml:space="preserve">  Memo: FY26 net cash from operating activities outlook (scenario end-point)</t>
  </si>
  <si>
    <t xml:space="preserve">$2.63–2.68bn (Q2-26 release). 2026E working-capital change is calibrated so that model CFO = this end-point (2H working capital absorbs the gap; receivables balance is the plug).</t>
  </si>
  <si>
    <t xml:space="preserve">  Check: FY26 CFO vs outlook end-point (should be 0)</t>
  </si>
  <si>
    <t xml:space="preserve">Reportable segments (memo; Segment EBITDA as reported — segments re-cut Q1/10, Q2/16 (Canada), Q3/20 (E&amp;P into Southern), Q2/23 (MidSouth))</t>
  </si>
  <si>
    <t xml:space="preserve">Segment data as originally reported in each 10-Q / 10-K (Q4 = FY − Q1 − Q2 − Q3; not derived in re-cut years 2016, 2020, 2023 where the FY is on the new segment basis).</t>
  </si>
  <si>
    <t xml:space="preserve">  Southern — revenues (reported, after intercompany)</t>
  </si>
  <si>
    <t xml:space="preserve">  Eastern — revenues (reported, after intercompany)</t>
  </si>
  <si>
    <t xml:space="preserve">  Western — revenues (reported, after intercompany)</t>
  </si>
  <si>
    <t xml:space="preserve">  Central — revenues (reported, after intercompany)</t>
  </si>
  <si>
    <t xml:space="preserve">  Canada — revenues (reported, after intercompany)</t>
  </si>
  <si>
    <t xml:space="preserve">  MidSouth (from Q2/23) — revenues (reported, after intercompany)</t>
  </si>
  <si>
    <t xml:space="preserve">  E&amp;P (Q4/12–Q2/20) — revenues (reported, after intercompany)</t>
  </si>
  <si>
    <t xml:space="preserve">  Check: Σ segment revenues vs consolidated revenues (should be 0)</t>
  </si>
  <si>
    <t xml:space="preserve">  Southern — Segment EBITDA</t>
  </si>
  <si>
    <t xml:space="preserve">  Eastern — Segment EBITDA</t>
  </si>
  <si>
    <t xml:space="preserve">  Western — Segment EBITDA</t>
  </si>
  <si>
    <t xml:space="preserve">  Central — Segment EBITDA</t>
  </si>
  <si>
    <t xml:space="preserve">  Canada — Segment EBITDA</t>
  </si>
  <si>
    <t xml:space="preserve">  MidSouth (from Q2/23) — Segment EBITDA</t>
  </si>
  <si>
    <t xml:space="preserve">  E&amp;P (Q4/12–Q2/20) — Segment EBITDA</t>
  </si>
  <si>
    <t xml:space="preserve">  Corporate — Segment EBITDA</t>
  </si>
  <si>
    <t xml:space="preserve">  Σ Segment EBITDA incl. corporate</t>
  </si>
  <si>
    <t xml:space="preserve">  Memo: Σ Segment EBITDA − company Adjusted EBITDA (definitional differences: corporate items, transaction costs)</t>
  </si>
  <si>
    <t xml:space="preserve">Cost drivers &amp; D&amp;A</t>
  </si>
  <si>
    <t xml:space="preserve">COST DRIVERS — modelling logic</t>
  </si>
  <si>
    <t xml:space="preserve">  Cost of operations % of revenues (ex-D&amp;A)</t>
  </si>
  <si>
    <t xml:space="preserve">Q3/Q4-26E: prior-year quarter ratio + 1H/26 vs 1H/25 drift + outlook calibration Δ. 2027E+: scenario lever COO_pct (applied to revenues ex future M&amp;A).</t>
  </si>
  <si>
    <t xml:space="preserve">  Cost of operations % before outlook calibration (Q3/Q4-26E helper)</t>
  </si>
  <si>
    <t xml:space="preserve">  SG&amp;A % of revenues</t>
  </si>
  <si>
    <t xml:space="preserve">2027E+: 10.0% input (FY25 10.1%, incl. equity compensation, transaction costs &amp; fair value changes to equity awards).</t>
  </si>
  <si>
    <t xml:space="preserve">  Depreciation &amp; depletion % of revenues</t>
  </si>
  <si>
    <t xml:space="preserve">FY26 outlook $1,110–1,114m (~11.1% of revenues). 2027E+: 11.1% input on revenues ex future M&amp;A (landfill depletion scales with volume &amp; airspace cost).</t>
  </si>
  <si>
    <t xml:space="preserve">  Amortization of intangibles — legacy (USDm)</t>
  </si>
  <si>
    <t xml:space="preserve">Q3/Q4-26E = (FY26 outlook $192m − 1H/26) ÷ 2. 2027E+: run-off of the existing intangible base (customer lists ~10–15y; franchise agreements longer) — input.</t>
  </si>
  <si>
    <t xml:space="preserve">  Share-based compensation % of revenues</t>
  </si>
  <si>
    <t xml:space="preserve">  Closure &amp; post-closure accretion % of revenues</t>
  </si>
  <si>
    <t xml:space="preserve">Accretion sits in cost of operations and is added back in Adjusted EBITDA. FY26 outlook reconciliation: $40.6m.</t>
  </si>
  <si>
    <t xml:space="preserve">CONSOLIDATED STATEMENTS OF NET INCOME (US GAAP; as originally reported — 10-K / 10-Q)</t>
  </si>
  <si>
    <t xml:space="preserve">Revenues</t>
  </si>
  <si>
    <t xml:space="preserve">Forecast linked to the service-line build.</t>
  </si>
  <si>
    <t xml:space="preserve">Cost of operations (exclusive of depreciation &amp; amortization)</t>
  </si>
  <si>
    <t xml:space="preserve">Includes landfill closure &amp; post-closure accretion. 2027E+: revenues ex future M&amp;A × COO_pct + acquired businesses’ cash costs.</t>
  </si>
  <si>
    <t xml:space="preserve">Selling, general &amp; administrative</t>
  </si>
  <si>
    <t xml:space="preserve">Q3/Q4-26E: prior-year quarter × 1H/26 y/y growth. 2027E+: revenues ex future M&amp;A × SG&amp;A %.</t>
  </si>
  <si>
    <t xml:space="preserve">Depreciation (incl. landfill depletion)</t>
  </si>
  <si>
    <t xml:space="preserve">Q3/Q4-26E = (FY26 outlook depreciation &amp; depletion − 1H/26) ÷ 2. 2006–08: split of the combined D&amp;A line per the cash-flow statement.</t>
  </si>
  <si>
    <t xml:space="preserve">Amortization of intangibles</t>
  </si>
  <si>
    <t xml:space="preserve">Impairments &amp; other operating items (incl. (gain) loss on disposal of assets, prior office leases, litigation)</t>
  </si>
  <si>
    <t xml:space="preserve">Not forecast (0): Chiquita Canyon closure costs, landfill impairments, contingent-consideration fair-value changes are excluded from Adjusted EBITDA and adjusted EPS.</t>
  </si>
  <si>
    <t xml:space="preserve">Operating income</t>
  </si>
  <si>
    <t xml:space="preserve">  Check: operating income vs reported (should be 0)</t>
  </si>
  <si>
    <t xml:space="preserve">Interest expense</t>
  </si>
  <si>
    <t xml:space="preserve">Q3/Q4-26E: (FY26 outlook interest expense, net $358m − 1H/26 net) ÷ 2 + interest income. 2027E+: opening senior notes × coupon + opening revolver / other debt × rate. FY2007 shown net of interest income (as reported).</t>
  </si>
  <si>
    <t xml:space="preserve">Interest income</t>
  </si>
  <si>
    <t xml:space="preserve">Separate line from 2008 (within other income in some years; reclassified in Q3/17).</t>
  </si>
  <si>
    <t xml:space="preserve">Other income (expense), net (income = +)</t>
  </si>
  <si>
    <t xml:space="preserve">Not forecast (FX on intercompany balances, investment income, gains on sale of NCI interests).</t>
  </si>
  <si>
    <t xml:space="preserve">Foreign currency transaction gain (loss) (separate line Q2/16–Q2/19)</t>
  </si>
  <si>
    <t xml:space="preserve">Loss on early extinguishment of debt</t>
  </si>
  <si>
    <t xml:space="preserve">Income before income tax provision</t>
  </si>
  <si>
    <t xml:space="preserve">2006–08: income before tax and before minority interests (pre-SFAS 160 presentation deducted minority interest before tax; re-presented here).</t>
  </si>
  <si>
    <t xml:space="preserve">Income tax provision (benefit)</t>
  </si>
  <si>
    <t xml:space="preserve">FY15 benefit (Progressive-related impairment of E&amp;P assets); Q4/17 US Tax Act benefit; 2026 Canadian / US mix.</t>
  </si>
  <si>
    <t xml:space="preserve">  Effective tax rate</t>
  </si>
  <si>
    <t xml:space="preserve">Q3/Q4-26E at the Q2-26 outlook rate (23.1%). 2027E+: 24.0% input.</t>
  </si>
  <si>
    <t xml:space="preserve">Net income</t>
  </si>
  <si>
    <t xml:space="preserve">  Less: net income (loss) attributable to noncontrolling interests</t>
  </si>
  <si>
    <t xml:space="preserve">NCI eliminated in 2024–25 (sale of interests); none in 2026.</t>
  </si>
  <si>
    <t xml:space="preserve">Net income attributable to Waste Connections</t>
  </si>
  <si>
    <t xml:space="preserve">  Check: net income attributable vs reported (should be 0)</t>
  </si>
  <si>
    <t xml:space="preserve">  Memo: net income attributable to Waste Connections as reported</t>
  </si>
  <si>
    <t xml:space="preserve">2026: income statement shows "Net income" only (no NCI).</t>
  </si>
  <si>
    <t xml:space="preserve">  Memo: share-based / equity-based compensation (cash-flow statement)</t>
  </si>
  <si>
    <t xml:space="preserve">(Earnings per share — restated to the current share basis: 3-for-2 splits Mar-2007, Nov-2010 and Jun-2017; Progressive merger Jun-2016 net 1:1)</t>
  </si>
  <si>
    <t xml:space="preserve">  Share-split factor applied (current-basis shares per share as originally reported)</t>
  </si>
  <si>
    <t xml:space="preserve">FY2006 ×3.375; FY2007–09 ×2.25; FY2010–Q1/17 ×1.5; Q2/17+ ×1.0 (per 10-K share notes). Share counts below = as reported × factor; per-share data = as reported ÷ factor.</t>
  </si>
  <si>
    <t xml:space="preserve">  Weighted-average basic shares (m)</t>
  </si>
  <si>
    <t xml:space="preserve">Q4 historical: earnings-release share information (10-K gives FY only). Q3/Q4-26E: Q2/26 − 2H/26 buybacks (time-weighted). 2027E+: average of beginning and ending shares.</t>
  </si>
  <si>
    <t xml:space="preserve">  Weighted-average diluted shares (m)</t>
  </si>
  <si>
    <t xml:space="preserve">EPS – basic, attributable to Waste Connections ($)</t>
  </si>
  <si>
    <t xml:space="preserve">EPS – diluted, attributable to Waste Connections ($)</t>
  </si>
  <si>
    <t xml:space="preserve">  EPS – diluted y/y %</t>
  </si>
  <si>
    <t xml:space="preserve">  Memo: EPS – diluted as reported, restated to current share basis ($)</t>
  </si>
  <si>
    <t xml:space="preserve">Q4: earnings releases (8-K Ex. 99.1).</t>
  </si>
  <si>
    <t xml:space="preserve">  Check: model diluted EPS vs reported (should be 0.00; ±0.01 split-restatement rounding)</t>
  </si>
  <si>
    <t xml:space="preserve">  Memo: EPS – diluted as originally published (pre-split basis where applicable) ($)</t>
  </si>
  <si>
    <t xml:space="preserve">  Dividends declared per share ($, current basis)</t>
  </si>
  <si>
    <t xml:space="preserve">First dividend Q4/10. WCN raises the quarterly dividend each October (Oct-25: $0.315 → $0.35). Q4/26E: +10% raise; 2027E+: +10% p.a.</t>
  </si>
  <si>
    <t xml:space="preserve">  Dividend per share growth %</t>
  </si>
  <si>
    <t xml:space="preserve">RECONCILIATION: NET INCOME → EBITDA → ADJUSTED EBITDA (company definition)</t>
  </si>
  <si>
    <t xml:space="preserve">Net income attributable to Waste Connections (GAAP)</t>
  </si>
  <si>
    <t xml:space="preserve">  (+) Net income attributable to noncontrolling interests</t>
  </si>
  <si>
    <t xml:space="preserve">  (+) Income tax provision</t>
  </si>
  <si>
    <t xml:space="preserve">  (+) Interest expense</t>
  </si>
  <si>
    <t xml:space="preserve">  (−) Interest income</t>
  </si>
  <si>
    <t xml:space="preserve">  (+) Depreciation &amp; amortization of intangibles</t>
  </si>
  <si>
    <t xml:space="preserve">  = EBITDA</t>
  </si>
  <si>
    <t xml:space="preserve">  (+) Closure &amp; post-closure accretion</t>
  </si>
  <si>
    <t xml:space="preserve">Release reconciliation line (non-cash; within cost of operations).</t>
  </si>
  <si>
    <t xml:space="preserve">  (+) Impairments &amp; other operating items (incl. disposal (gains) losses)</t>
  </si>
  <si>
    <t xml:space="preserve">  (−) Other income, FX &amp; loss on extinguishment (non-operating)</t>
  </si>
  <si>
    <t xml:space="preserve">  (+) Transaction-related / acquisition-related expenses</t>
  </si>
  <si>
    <t xml:space="preserve">Expensed transaction costs (in SG&amp;A). The outlook excludes them; forecast 0.</t>
  </si>
  <si>
    <t xml:space="preserve">  (+) Equity-award items (pre-existing Progressive Waste grants → fair value changes to equity awards)</t>
  </si>
  <si>
    <t xml:space="preserve">  (+) Progressive Waste merger items (severance, synergy bonus, integration, 2016–19)</t>
  </si>
  <si>
    <t xml:space="preserve">  (+) Executive separation costs (2023–24)</t>
  </si>
  <si>
    <t xml:space="preserve">  (+/−) Other company items (corporate relocation, NEO one-time grants, prior office lease to 2012)</t>
  </si>
  <si>
    <t xml:space="preserve">  Total adjusting items</t>
  </si>
  <si>
    <t xml:space="preserve">  = Adjusted EBITDA (model bridge)</t>
  </si>
  <si>
    <t xml:space="preserve">Historical bridge rebuilt from GAAP lines + the company reconciliation items in each period; forecast = net income + tax + net interest + D&amp;A + accretion + other add-backs.</t>
  </si>
  <si>
    <t xml:space="preserve">  Adjusted EBITDA margin %</t>
  </si>
  <si>
    <t xml:space="preserve">  Company-published Adjusted EBITDA ("adjusted operating income before D&amp;A" FY2008–12)</t>
  </si>
  <si>
    <t xml:space="preserve">8-K Ex. 99.1 non-GAAP reconciliation (FY2006–07 not published).</t>
  </si>
  <si>
    <t xml:space="preserve">  Check: model bridge vs company-published (should be 0)</t>
  </si>
  <si>
    <t xml:space="preserve">  Definition basis (company Adjusted EBITDA definition in force)</t>
  </si>
  <si>
    <t xml:space="preserve">Adj. OI before D&amp;A (from operating income)</t>
  </si>
  <si>
    <t xml:space="preserve">… + relocation, NEO grants</t>
  </si>
  <si>
    <t xml:space="preserve">Renamed Adjusted EBITDA (from pre-tax)</t>
  </si>
  <si>
    <t xml:space="preserve">From net income</t>
  </si>
  <si>
    <t xml:space="preserve">+ Progressive merger items</t>
  </si>
  <si>
    <t xml:space="preserve">Interest income separate</t>
  </si>
  <si>
    <t xml:space="preserve">FV changes to equity awards</t>
  </si>
  <si>
    <t xml:space="preserve">FX folded into other</t>
  </si>
  <si>
    <t xml:space="preserve">+ executive separation</t>
  </si>
  <si>
    <t xml:space="preserve">To adjusted EBIT:</t>
  </si>
  <si>
    <t xml:space="preserve">  (−) Depreciation &amp; amortization</t>
  </si>
  <si>
    <t xml:space="preserve">  = Adjusted EBIT (model)</t>
  </si>
  <si>
    <t xml:space="preserve">  Adjusted EBIT margin %</t>
  </si>
  <si>
    <t xml:space="preserve">  Memo: Adjusted EBITA (Adjusted EBIT + amortization of acquired intangibles)</t>
  </si>
  <si>
    <t xml:space="preserve">WCN excludes amortization of intangibles from adjusted net income — EBITA is the consistent operating profit measure.</t>
  </si>
  <si>
    <t xml:space="preserve">RECONCILIATION: GAAP NET INCOME / DILUTED EPS → ADJUSTED NET INCOME / ADJUSTED EPS (company definition)</t>
  </si>
  <si>
    <t xml:space="preserve">  (+) Amortization of intangibles</t>
  </si>
  <si>
    <t xml:space="preserve">Added back from FY2012 (pre-tax from Q3/13; after-tax FY2012–Q2/13 in the after-tax line).</t>
  </si>
  <si>
    <t xml:space="preserve">  (+) Impairments &amp; other operating items (incl. disposal losses, office leases, litigation)</t>
  </si>
  <si>
    <t xml:space="preserve">  (+) Equity-award items (PW grants / FV changes; NEO grants 2013)</t>
  </si>
  <si>
    <t xml:space="preserve">  (+) Progressive Waste merger items (severance, synergy bonus, integration)</t>
  </si>
  <si>
    <t xml:space="preserve">  (+) Executive separation costs</t>
  </si>
  <si>
    <t xml:space="preserve">  (+) Loss on early extinguishment of debt</t>
  </si>
  <si>
    <t xml:space="preserve">  (+) Other pre-tax items (corporate relocation)</t>
  </si>
  <si>
    <t xml:space="preserve">  Total pre-tax adjustments</t>
  </si>
  <si>
    <t xml:space="preserve">  (−) Income tax effect of pre-tax adjustments</t>
  </si>
  <si>
    <t xml:space="preserve">  Tax rate applied to adjustments</t>
  </si>
  <si>
    <t xml:space="preserve">Historical: implied by the company tax-effect line. Forecast: 25% input (blended US / Canada rate on amortization).</t>
  </si>
  <si>
    <t xml:space="preserve">  (+/−) Tax items (deferred tax adjustments; US Tax Act Q4/17; discrete items to 2021)</t>
  </si>
  <si>
    <t xml:space="preserve">  (+/−) After-tax adjustments (FY2008–Q2/13 presentation: items shown net of tax)</t>
  </si>
  <si>
    <t xml:space="preserve">  = Adjusted net income attributable to Waste Connections (model)</t>
  </si>
  <si>
    <t xml:space="preserve">  Company-published adjusted net income attributable</t>
  </si>
  <si>
    <t xml:space="preserve">  Check: model vs company-published adjusted net income (should be 0)</t>
  </si>
  <si>
    <t xml:space="preserve">Known source differences: FY2008 — company figure (FY2009 release) starts from net income restated for FSP APB 14-1 ($102.9m vs $105.6m as originally reported). Q3/15 — the 21-Oct-15 release preceded the $494m E&amp;P impairment booked in the Q3/15 10-Q (filed 5-Nov-15; tax effect not in the release).</t>
  </si>
  <si>
    <t xml:space="preserve">  Weighted-average diluted shares (m; adjusted shares where GAAP loss)</t>
  </si>
  <si>
    <t xml:space="preserve">Company uses diluted shares incl. dilutive awards when GAAP is a loss (FY2015, 2016 quarters, Q2/20, Q2/21, Q4/24, Q4/25).</t>
  </si>
  <si>
    <t xml:space="preserve">Adjusted EPS – diluted ($) (model; current share basis)</t>
  </si>
  <si>
    <t xml:space="preserve">  Company-published adjusted EPS – diluted ($, restated to current share basis)</t>
  </si>
  <si>
    <t xml:space="preserve">  Check: model vs company-published adjusted EPS (should be 0.00; ±0.01 split rounding)</t>
  </si>
  <si>
    <t xml:space="preserve">See adjusted net income check (FY2008 restatement, Q3/15 post-release impairment).</t>
  </si>
  <si>
    <t xml:space="preserve">  Definition basis (company adjusted EPS, where published)</t>
  </si>
  <si>
    <t xml:space="preserve">After-tax items</t>
  </si>
  <si>
    <t xml:space="preserve">+ amortization of intangibles</t>
  </si>
  <si>
    <t xml:space="preserve">Pre-tax items + tax effect</t>
  </si>
  <si>
    <t xml:space="preserve">+ merger items</t>
  </si>
  <si>
    <t xml:space="preserve">+ Tax Act / tax items</t>
  </si>
  <si>
    <t xml:space="preserve">GROWTH &amp; MARGINS</t>
  </si>
  <si>
    <t xml:space="preserve">  Solid waste internal growth % (company)</t>
  </si>
  <si>
    <t xml:space="preserve">  Solid waste core price / yield %</t>
  </si>
  <si>
    <t xml:space="preserve">  Solid waste volume %</t>
  </si>
  <si>
    <t xml:space="preserve">  Adjusted EBITDA y/y %</t>
  </si>
  <si>
    <t xml:space="preserve">  Operating income y/y %</t>
  </si>
  <si>
    <t xml:space="preserve">  Net income attributable y/y %</t>
  </si>
  <si>
    <t xml:space="preserve">  Adjusted EPS y/y %</t>
  </si>
  <si>
    <t xml:space="preserve">  Cost of operations % of revenues</t>
  </si>
  <si>
    <t xml:space="preserve">  Incremental Adjusted EBITDA margin (ΔEBITDA / ΔRevenues)</t>
  </si>
  <si>
    <t xml:space="preserve">  Operating margin %</t>
  </si>
  <si>
    <t xml:space="preserve">  Net margin %</t>
  </si>
  <si>
    <t xml:space="preserve">  Adjusted free cash flow % of revenues</t>
  </si>
  <si>
    <t xml:space="preserve">CONSOLIDATED STATEMENTS OF CASH FLOWS</t>
  </si>
  <si>
    <t xml:space="preserve">Q3/Q4-26E cash flow &amp; balance sheet are not modelled quarterly: 2026E = 1H/26 actual + 2H/26 from the P&amp;L and the year-end balance sheet.</t>
  </si>
  <si>
    <t xml:space="preserve">Adjustments:</t>
  </si>
  <si>
    <t xml:space="preserve">  Depreciation &amp; amortization of intangibles</t>
  </si>
  <si>
    <t xml:space="preserve">  Share-based compensation</t>
  </si>
  <si>
    <t xml:space="preserve">  (Gain) loss on disposal of assets, impairments &amp; other (incl. closure / post-closure liability adjustments)</t>
  </si>
  <si>
    <t xml:space="preserve">  Deferred income taxes, net of acquisitions</t>
  </si>
  <si>
    <t xml:space="preserve">Forecast: tax provision × deferred share (accelerated tax depreciation on landfill / fleet).</t>
  </si>
  <si>
    <t xml:space="preserve">  Other non-cash items, net (derived: accretion, debt-cost amortization, credit losses, contingent consideration, other)</t>
  </si>
  <si>
    <t xml:space="preserve">  Net change in operating assets &amp; liabilities, net of acquisitions</t>
  </si>
  <si>
    <t xml:space="preserve">2026E: calibrated so CFO = FY26 outlook end-point (receivables are the balance-sheet plug). 2027E+: linked to the balance sheet: −Δ receivables + Δ(payables, accrued liabilities, deferred revenue).</t>
  </si>
  <si>
    <t xml:space="preserve">Net cash provided by operating activities</t>
  </si>
  <si>
    <t xml:space="preserve">Capital expenditures for property &amp; equipment</t>
  </si>
  <si>
    <t xml:space="preserve">2026E: outlook ~$1.25bn. 2027E+: revenues × capex %.</t>
  </si>
  <si>
    <t xml:space="preserve">Capital expenditures for undeveloped landfill property / land</t>
  </si>
  <si>
    <t xml:space="preserve">Excluded from adjusted free cash flow by the company.</t>
  </si>
  <si>
    <t xml:space="preserve">Payments for acquisitions, net of cash acquired</t>
  </si>
  <si>
    <t xml:space="preserve">2026E: 1H/26 actual only (outlook excludes unclosed deals). 2027E+: M&amp;A lever.</t>
  </si>
  <si>
    <t xml:space="preserve">Proceeds from disposal of assets</t>
  </si>
  <si>
    <t xml:space="preserve">Other investing activities, net (derived; restricted assets, NCI investments / sales, other)</t>
  </si>
  <si>
    <t xml:space="preserve">Net cash used in investing activities</t>
  </si>
  <si>
    <t xml:space="preserve">Proceeds from long-term debt</t>
  </si>
  <si>
    <t xml:space="preserve">Principal payments on notes payable &amp; long-term debt</t>
  </si>
  <si>
    <t xml:space="preserve">Net issuance / (repayment) = change in total debt per the debt schedule (scheduled note maturities, refinancing, revolving credit facility).</t>
  </si>
  <si>
    <t xml:space="preserve">Change in book overdraft</t>
  </si>
  <si>
    <t xml:space="preserve">Payments for cash dividends</t>
  </si>
  <si>
    <t xml:space="preserve">2027E+: dividends per share × beginning shares outstanding (avoids circularity with buybacks).</t>
  </si>
  <si>
    <t xml:space="preserve">Payments for repurchase of common shares</t>
  </si>
  <si>
    <t xml:space="preserve">2026E = 1H/26 actual + 2H scenario amount; 2027E+ = leverage plug (surplus cash returned via buybacks once net debt / Adj. EBITDA reaches the scenario floor).</t>
  </si>
  <si>
    <t xml:space="preserve">Share issuances &amp; tax withholdings on equity awards, net (options / warrants, ESPP, trust shares; 2008 equity offering)</t>
  </si>
  <si>
    <t xml:space="preserve">Excess tax benefit associated with equity-based compensation (to 2017)</t>
  </si>
  <si>
    <t xml:space="preserve">Distributions to noncontrolling interests</t>
  </si>
  <si>
    <t xml:space="preserve">Other financing activities, net (derived; debt issuance costs, contingent consideration, NCI)</t>
  </si>
  <si>
    <t xml:space="preserve">Net cash provided by (used in) financing activities</t>
  </si>
  <si>
    <t xml:space="preserve">Effect of exchange rate changes &amp; change in cash held for sale</t>
  </si>
  <si>
    <t xml:space="preserve">Net increase (decrease) in cash (incl. restricted cash from 2018)</t>
  </si>
  <si>
    <t xml:space="preserve">Cash — beginning of period</t>
  </si>
  <si>
    <t xml:space="preserve">Cash — end of period</t>
  </si>
  <si>
    <t xml:space="preserve">  Check: CFO + CFI + CFF + FX = change in cash (should be 0)</t>
  </si>
  <si>
    <t xml:space="preserve">  Check: beginning cash + change = ending cash (should be 0; 2016–18 differences = change in cash held for sale)</t>
  </si>
  <si>
    <t xml:space="preserve">(Memo)</t>
  </si>
  <si>
    <t xml:space="preserve">Free cash flow (operating cash flow − all capital expenditures)</t>
  </si>
  <si>
    <t xml:space="preserve">Model definition (CFO − capex incl. undeveloped landfill property). Company metric = adjusted free cash flow (bridge below).</t>
  </si>
  <si>
    <t xml:space="preserve">  FCF y/y %</t>
  </si>
  <si>
    <t xml:space="preserve">  FCF % of revenues</t>
  </si>
  <si>
    <t xml:space="preserve">  FCF / adjusted net income conversion %</t>
  </si>
  <si>
    <t xml:space="preserve">  FCF per diluted share ($)</t>
  </si>
  <si>
    <t xml:space="preserve">Capex ratios</t>
  </si>
  <si>
    <t xml:space="preserve">  Capex (property &amp; equipment) % of revenues</t>
  </si>
  <si>
    <t xml:space="preserve">2027E+: 12.0% input (FY25 11.8%; 2026 outlook ~12.5% incl. fleet / RNG / landfill development).</t>
  </si>
  <si>
    <t xml:space="preserve">  Capex / D&amp;A (x)</t>
  </si>
  <si>
    <t xml:space="preserve">RECONCILIATION: NET CASH FROM OPERATING ACTIVITIES → ADJUSTED FREE CASH FLOW (company definition)</t>
  </si>
  <si>
    <t xml:space="preserve">WCN's primary cash metric. GAAP lines linked to the cash-flow statement; company adjusting items from the 8-K reconciliations (Q4 = FY − 9M where only FY is published).</t>
  </si>
  <si>
    <t xml:space="preserve">Net cash provided by operating activities (GAAP)</t>
  </si>
  <si>
    <t xml:space="preserve">  (+/−) Change in book overdraft</t>
  </si>
  <si>
    <t xml:space="preserve">  (−) Capital expenditures for property &amp; equipment</t>
  </si>
  <si>
    <t xml:space="preserve">  (+) Proceeds from disposal of assets</t>
  </si>
  <si>
    <t xml:space="preserve">  (+) Excess tax benefit associated with equity-based compensation (to FY2017)</t>
  </si>
  <si>
    <t xml:space="preserve">  (−) Distributions to noncontrolling interests (to FY2020)</t>
  </si>
  <si>
    <t xml:space="preserve">  (+) Transaction-related expenditures (acquisition-related costs)</t>
  </si>
  <si>
    <t xml:space="preserve">  (+) Pre-existing Progressive Waste share-based grants (cash-settled)</t>
  </si>
  <si>
    <t xml:space="preserve">  (+) Payment of contingent consideration recorded in earnings</t>
  </si>
  <si>
    <t xml:space="preserve">  (−) Cash received for divestitures (Q1/17–FY2024)</t>
  </si>
  <si>
    <t xml:space="preserve">  (+) Other items (corporate relocation, lease termination, prior office leases)</t>
  </si>
  <si>
    <t xml:space="preserve">  (−) Tax effect of adjusting items</t>
  </si>
  <si>
    <t xml:space="preserve">  = Adjusted free cash flow (model)</t>
  </si>
  <si>
    <t xml:space="preserve">Forecast = CFO ± book overdraft − PP&amp;E capex + disposal proceeds (+ transaction items, 0). Excludes undeveloped landfill property and acquisitions.</t>
  </si>
  <si>
    <t xml:space="preserve">  Company-published adjusted free cash flow ("free cash flow" to FY2011)</t>
  </si>
  <si>
    <t xml:space="preserve">  Check: model vs company-published adjusted FCF (should be 0)</t>
  </si>
  <si>
    <t xml:space="preserve">FY2010: model cash flow from the FY2011 10-K comparatives (CFO restated $328.4m → $332.2m); the company figure uses the original. n/p = not published for the quarter (Q4 adjusted FCF published only for Q4/16–Q4/17; Q3/18 release shows 9M only).</t>
  </si>
  <si>
    <t xml:space="preserve">  Memo: FY26 adjusted FCF outlook (scenario end-point) vs model</t>
  </si>
  <si>
    <t xml:space="preserve">  Adjusted FCF per diluted share ($)</t>
  </si>
  <si>
    <t xml:space="preserve">SHARE BUYBACK SCHEDULE</t>
  </si>
  <si>
    <t xml:space="preserve">  Avg buyback price ($)</t>
  </si>
  <si>
    <t xml:space="preserve">2026E = current share price (valuation input); appreciates with the share-price input.</t>
  </si>
  <si>
    <t xml:space="preserve">  Buyback cash deployed (USDm)</t>
  </si>
  <si>
    <t xml:space="preserve">2026E row = 2H/26 buyback only (1H/26 repurchases already in the Q2/26 share count).</t>
  </si>
  <si>
    <t xml:space="preserve">  Implied shares repurchased (m)</t>
  </si>
  <si>
    <t xml:space="preserve">  Shares issued under equity plans (m)</t>
  </si>
  <si>
    <t xml:space="preserve">  Beginning shares outstanding (m)</t>
  </si>
  <si>
    <t xml:space="preserve">2026E begins from shares outstanding at 30-Jun-2026 (10-Q).</t>
  </si>
  <si>
    <t xml:space="preserve">  Ending shares outstanding (m)</t>
  </si>
  <si>
    <t xml:space="preserve">  % of shares repurchased</t>
  </si>
  <si>
    <t xml:space="preserve">  Memo: cumulative shares repurchased since 2H/26 (m)</t>
  </si>
  <si>
    <t xml:space="preserve">CONSOLIDATED BALANCE SHEET</t>
  </si>
  <si>
    <t xml:space="preserve">ASSETS</t>
  </si>
  <si>
    <t xml:space="preserve">  Cash and equivalents</t>
  </si>
  <si>
    <t xml:space="preserve">  Accounts receivable, net</t>
  </si>
  <si>
    <t xml:space="preserve">2026E: plug from the CFO-calibrated working-capital change. 2027E+: revenues × DSO / 365.</t>
  </si>
  <si>
    <t xml:space="preserve">  Prepaid expenses &amp; other current assets (incl. held for sale; deferred taxes to 2016)</t>
  </si>
  <si>
    <t xml:space="preserve">Total current assets</t>
  </si>
  <si>
    <t xml:space="preserve">  Restricted cash (2018+; within cash-flow cash)</t>
  </si>
  <si>
    <t xml:space="preserve">  Restricted investments / restricted assets</t>
  </si>
  <si>
    <t xml:space="preserve">  Property &amp; equipment, net (incl. landfill sites)</t>
  </si>
  <si>
    <t xml:space="preserve">PP&amp;E roll-forward: prior + capex (incl. land) − depreciation &amp; depletion + acquired PP&amp;E (M&amp;A lever).</t>
  </si>
  <si>
    <t xml:space="preserve">  Operating lease right-of-use assets (2019+)</t>
  </si>
  <si>
    <t xml:space="preserve">  Goodwill</t>
  </si>
  <si>
    <t xml:space="preserve">  Intangible assets, net</t>
  </si>
  <si>
    <t xml:space="preserve">Intangibles roll-forward: prior − amortization + acquired intangibles (M&amp;A lever).</t>
  </si>
  <si>
    <t xml:space="preserve">  Other assets, net (incl. long-term held for sale; deferred taxes)</t>
  </si>
  <si>
    <t xml:space="preserve">TOTAL ASSETS</t>
  </si>
  <si>
    <t xml:space="preserve">LIABILITIES AND EQUITY</t>
  </si>
  <si>
    <t xml:space="preserve">  Accounts payable</t>
  </si>
  <si>
    <t xml:space="preserve">  Book overdraft</t>
  </si>
  <si>
    <t xml:space="preserve">  Accrued liabilities</t>
  </si>
  <si>
    <t xml:space="preserve">  Deferred revenue (billing in advance)</t>
  </si>
  <si>
    <t xml:space="preserve">  Current portion of operating lease liabilities</t>
  </si>
  <si>
    <t xml:space="preserve">  Current portion of contingent consideration</t>
  </si>
  <si>
    <t xml:space="preserve">  Current portion of long-term debt &amp; notes payable</t>
  </si>
  <si>
    <t xml:space="preserve">Forecast: next year's scheduled senior-note maturities.</t>
  </si>
  <si>
    <t xml:space="preserve">  Current liabilities held for sale</t>
  </si>
  <si>
    <t xml:space="preserve">Total current liabilities</t>
  </si>
  <si>
    <t xml:space="preserve">  Long-term portion of debt &amp; notes payable</t>
  </si>
  <si>
    <t xml:space="preserve">  Long-term portion of operating lease liabilities</t>
  </si>
  <si>
    <t xml:space="preserve">  Long-term portion of contingent consideration</t>
  </si>
  <si>
    <t xml:space="preserve">  Deferred income taxes</t>
  </si>
  <si>
    <t xml:space="preserve">  Other long-term liabilities (landfill closure / post-closure, other)</t>
  </si>
  <si>
    <t xml:space="preserve">Accretes with closure &amp; post-closure accretion and other non-cash items.</t>
  </si>
  <si>
    <t xml:space="preserve">Total liabilities</t>
  </si>
  <si>
    <t xml:space="preserve">Shareholders' equity:</t>
  </si>
  <si>
    <t xml:space="preserve">  Common shares, additional paid-in capital &amp; treasury shares</t>
  </si>
  <si>
    <t xml:space="preserve">+ share-based compensation + net issuances. Ontario company from Jun-2016 (no par common shares).</t>
  </si>
  <si>
    <t xml:space="preserve">  Accumulated other comprehensive income (loss)</t>
  </si>
  <si>
    <t xml:space="preserve">  Retained earnings</t>
  </si>
  <si>
    <t xml:space="preserve">+ net income − dividends − share repurchases (model charges repurchases to retained earnings; WCN splits between share capital and retained earnings).</t>
  </si>
  <si>
    <t xml:space="preserve">Total Waste Connections' equity</t>
  </si>
  <si>
    <t xml:space="preserve">  Noncontrolling interests</t>
  </si>
  <si>
    <t xml:space="preserve">Total equity</t>
  </si>
  <si>
    <t xml:space="preserve">TOTAL LIABILITIES AND EQUITY</t>
  </si>
  <si>
    <t xml:space="preserve">BS tie-out check (TA − TL&amp;E)</t>
  </si>
  <si>
    <t xml:space="preserve">  Check: model total assets vs reported (should be 0)</t>
  </si>
  <si>
    <t xml:space="preserve">  Memo: total assets as reported</t>
  </si>
  <si>
    <t xml:space="preserve">  Check: BS cash (+ restricted cash from 2018) vs cash-flow ending cash (should be 0)</t>
  </si>
  <si>
    <t xml:space="preserve">  Memo: common shares outstanding at period end (m, current basis)</t>
  </si>
  <si>
    <t xml:space="preserve">WORKING CAPITAL &amp; CASH CONVERSION</t>
  </si>
  <si>
    <t xml:space="preserve">  DSO — receivables / revenues × 365</t>
  </si>
  <si>
    <t xml:space="preserve">Company-reported DSO (releases) ~ 40 days. 2026E implied by the CFO calibration; 2027E+ held at the 2026E level.</t>
  </si>
  <si>
    <t xml:space="preserve">  Payable days — payables / cost of operations × 365</t>
  </si>
  <si>
    <t xml:space="preserve"> Forecast input = FY2025 actual (51.2).</t>
  </si>
  <si>
    <t xml:space="preserve">  Accrued liabilities % of revenues</t>
  </si>
  <si>
    <t xml:space="preserve"> Forecast input = FY2025 actual (0.0856).</t>
  </si>
  <si>
    <t xml:space="preserve">  Deferred revenue % of revenues</t>
  </si>
  <si>
    <t xml:space="preserve"> Forecast input = FY2025 actual (0.0439).</t>
  </si>
  <si>
    <t xml:space="preserve">  Operating NWC (receivables + prepaid − payables − accrued − deferred revenue)</t>
  </si>
  <si>
    <t xml:space="preserve">  NWC % of revenues</t>
  </si>
  <si>
    <t xml:space="preserve">  ΔNWC (y/y)</t>
  </si>
  <si>
    <t xml:space="preserve">BALANCE SHEET FORECAST SCHEDULES</t>
  </si>
  <si>
    <t xml:space="preserve">Acquisition history (memo) — cash consideration, annualized revenue acquired &amp; purchase-price allocation</t>
  </si>
  <si>
    <t xml:space="preserve">Calibrates the M&amp;A lever (EV / revenue multiple; PP&amp;E / intangibles / goodwill mix).</t>
  </si>
  <si>
    <t xml:space="preserve">  Cash paid for acquisitions, net of cash acquired (USDm)</t>
  </si>
  <si>
    <t xml:space="preserve">  Annualized revenue acquired (company, USDm)</t>
  </si>
  <si>
    <t xml:space="preserve">Q4 earnings releases (FY2018+); "over $100m" in 1H/26.</t>
  </si>
  <si>
    <t xml:space="preserve">  Implied EV / annualized revenue (x)</t>
  </si>
  <si>
    <t xml:space="preserve">  PP&amp;E acquired (USDm)</t>
  </si>
  <si>
    <t xml:space="preserve">  Intangibles acquired (USDm)</t>
  </si>
  <si>
    <t xml:space="preserve">  Goodwill acquired (USDm)</t>
  </si>
  <si>
    <t xml:space="preserve">  Intangibles % of (PP&amp;E + intangibles + goodwill)</t>
  </si>
  <si>
    <t xml:space="preserve">Asset roll-forwards &amp; non-cash items</t>
  </si>
  <si>
    <t xml:space="preserve">  Deferred taxes % of income tax provision</t>
  </si>
  <si>
    <t xml:space="preserve">Input 12% (FY23–25 average ~10–15%).</t>
  </si>
  <si>
    <t xml:space="preserve">  Other non-cash items excl. accretion (USDm)</t>
  </si>
  <si>
    <t xml:space="preserve">Debt-cost amortization, interest accretion, credit-loss provisions.</t>
  </si>
  <si>
    <t xml:space="preserve">  Dilutive securities (m shares)</t>
  </si>
  <si>
    <t xml:space="preserve">  Share-price appreciation % (buyback pricing)</t>
  </si>
  <si>
    <t xml:space="preserve">Debt schedule (senior notes with scheduled maturities + revolving credit facility as the prepayable plug to a minimum cash balance)</t>
  </si>
  <si>
    <t xml:space="preserve">Debt at 30-Jun-26 $9,364m principal: senior notes $7,052m face (4.25% 2028 $500m; 3.50% 2029 $500m; 4.50% 2029 $352m; 2.60% 2030 $600m; 2.20% 2032 $650m; 3.20% 2032 $500m; 4.20% 2033 $750m; 5.00% 2034 $750m; 5.25% 2035 $500m; 4.80% 2036 $600m; 3.05% 2050 $500m; 2.95% 2052 $850m) + revolver $2,275m drawn ($3.0bn facility, 2029) + notes payable / finance leases $37m, less $72m discount &amp; costs.</t>
  </si>
  <si>
    <t xml:space="preserve">  Total debt (current + long-term, book)</t>
  </si>
  <si>
    <t xml:space="preserve">  Scheduled senior-note maturities (input, negative)</t>
  </si>
  <si>
    <t xml:space="preserve">2028: 4.25% notes $500m; 2029: 3.50% $500m + 4.50% $351.85m; 2030: 2.60% $600m (FY25 10-K maturity table; revolver matures 2029, assumed extended).</t>
  </si>
  <si>
    <t xml:space="preserve">  % of scheduled maturities refinanced (input)</t>
  </si>
  <si>
    <t xml:space="preserve">  Refinancing issuance</t>
  </si>
  <si>
    <t xml:space="preserve">  Senior notes outstanding (face, period end)</t>
  </si>
  <si>
    <t xml:space="preserve">FY2025 $6,465m; $600m 4.80% notes due 2036 issued in 1H/26; 4.50% 2029 notes partly repurchased ($364.8m → $351.85m) (debt note, Q2/26 10-Q).</t>
  </si>
  <si>
    <t xml:space="preserve">  Cash before revolver draw / (repayment) (opening cash + CFO + CFI + non-revolver financing)</t>
  </si>
  <si>
    <t xml:space="preserve">  Minimum cash balance (incl. restricted cash)</t>
  </si>
  <si>
    <t xml:space="preserve">  Revolver, notes payable &amp; other debt, net of discount (period end; prepayable plug)</t>
  </si>
  <si>
    <t xml:space="preserve">Drawn / repaid so that cash = minimum balance; surplus cash first repays the revolver, then accumulates.</t>
  </si>
  <si>
    <t xml:space="preserve">  Net issuance / (repayment)</t>
  </si>
  <si>
    <t xml:space="preserve">  Interest rate on senior notes (opening face) %</t>
  </si>
  <si>
    <t xml:space="preserve">Weighted coupon on the 30-Jun-26 notes ≈ 3.7%; refinancing of 2028–30 maturities at ~5.0% lifts the blend; + fees.</t>
  </si>
  <si>
    <t xml:space="preserve">  Interest rate on revolver &amp; other debt %</t>
  </si>
  <si>
    <t xml:space="preserve">Revolver: US term SOFR loans ~4.5%, Canadian CORRA loans ~3.4% (Q2/26).</t>
  </si>
  <si>
    <t xml:space="preserve">  Interest income yield on opening cash %</t>
  </si>
  <si>
    <t xml:space="preserve">Leverage-targeted buybacks (repurchases plug to a minimum net debt / Adjusted EBITDA)</t>
  </si>
  <si>
    <t xml:space="preserve">  Minimum net debt / Adjusted EBITDA (x) (scenario)</t>
  </si>
  <si>
    <t xml:space="preserve">WCN leverage ~2.75x at YE2025; buybacks deployed once leverage reaches the scenario floor (after M&amp;A).</t>
  </si>
  <si>
    <t xml:space="preserve">  Net debt before buybacks (year end)</t>
  </si>
  <si>
    <t xml:space="preserve">  Target minimum net debt = min. leverage × Adjusted EBITDA</t>
  </si>
  <si>
    <t xml:space="preserve">  Share repurchases: plug to minimum leverage</t>
  </si>
  <si>
    <t xml:space="preserve">Feeds the cash-flow repurchase line.</t>
  </si>
  <si>
    <t xml:space="preserve">Historical reference (driver context)</t>
  </si>
  <si>
    <t xml:space="preserve">  Total D&amp;A % of revenues</t>
  </si>
  <si>
    <t xml:space="preserve">  Total capex (incl. land) % of revenues</t>
  </si>
  <si>
    <t xml:space="preserve">RATIO ANALYSIS</t>
  </si>
  <si>
    <t xml:space="preserve">DuPont decomposition of ROIC</t>
  </si>
  <si>
    <t xml:space="preserve">Adjusted EBIT (Adjusted EBITDA − D&amp;A)</t>
  </si>
  <si>
    <t xml:space="preserve">Effective tax rate (actual)</t>
  </si>
  <si>
    <t xml:space="preserve">NOPAT = Adjusted EBIT × (1 − tax rate)</t>
  </si>
  <si>
    <t xml:space="preserve">Invested capital (IC) = Equity + Net debt</t>
  </si>
  <si>
    <t xml:space="preserve">  Total equity incl. NCI</t>
  </si>
  <si>
    <t xml:space="preserve">  Net debt = Total debt − Cash</t>
  </si>
  <si>
    <t xml:space="preserve">ROIC = NOPAT / IC</t>
  </si>
  <si>
    <t xml:space="preserve">  Margin = Adjusted EBIT / Revenues</t>
  </si>
  <si>
    <t xml:space="preserve">  Capital turnover = Revenues / IC</t>
  </si>
  <si>
    <t xml:space="preserve">  Tax burden = (1 − effective tax rate)</t>
  </si>
  <si>
    <t xml:space="preserve">  Check: Margin × Turnover × Tax burden = ROIC</t>
  </si>
  <si>
    <t xml:space="preserve">RONTA decomposition</t>
  </si>
  <si>
    <t xml:space="preserve">  Total assets</t>
  </si>
  <si>
    <t xml:space="preserve">  − Goodwill &amp; intangible assets</t>
  </si>
  <si>
    <t xml:space="preserve">  − Non-interest-bearing current liabilities (total CL excl. debt)</t>
  </si>
  <si>
    <t xml:space="preserve">  = Net tangible assets</t>
  </si>
  <si>
    <t xml:space="preserve">RONTA = NOPAT / NTA</t>
  </si>
  <si>
    <t xml:space="preserve">Return on Equity (ROE)</t>
  </si>
  <si>
    <t xml:space="preserve">Waste Connections' shareholders' equity</t>
  </si>
  <si>
    <t xml:space="preserve">ROE = Net income / Equity</t>
  </si>
  <si>
    <t xml:space="preserve">Leverage</t>
  </si>
  <si>
    <t xml:space="preserve">Net debt = Total debt − cash</t>
  </si>
  <si>
    <t xml:space="preserve">Adjusted EBITDA</t>
  </si>
  <si>
    <t xml:space="preserve">Net debt / Adjusted EBITDA (x)</t>
  </si>
  <si>
    <t xml:space="preserve">VALUATION</t>
  </si>
  <si>
    <t xml:space="preserve">Share price ($) — current</t>
  </si>
  <si>
    <t xml:space="preserve">User-provided share price ($155); update to market. Valuation multiples on forward years use the same price.</t>
  </si>
  <si>
    <t xml:space="preserve">Diluted shares at period end (m)</t>
  </si>
  <si>
    <t xml:space="preserve">Market capitalisation (USDm)</t>
  </si>
  <si>
    <t xml:space="preserve">Net debt (USDm)</t>
  </si>
  <si>
    <t xml:space="preserve">Noncontrolling interests (USDm)</t>
  </si>
  <si>
    <t xml:space="preserve">Enterprise value (USDm)</t>
  </si>
  <si>
    <t xml:space="preserve">Multiples</t>
  </si>
  <si>
    <t xml:space="preserve">  EV / Revenues</t>
  </si>
  <si>
    <t xml:space="preserve">  EV / Adjusted EBITDA</t>
  </si>
  <si>
    <t xml:space="preserve">  EV / Adjusted EBIT</t>
  </si>
  <si>
    <t xml:space="preserve">  EV / IC</t>
  </si>
  <si>
    <t xml:space="preserve">  P / E (GAAP diluted)</t>
  </si>
  <si>
    <t xml:space="preserve">  P / E (adjusted EPS)</t>
  </si>
  <si>
    <t xml:space="preserve">  Adjusted FCF yield</t>
  </si>
  <si>
    <t xml:space="preserve">  Dividend yield</t>
  </si>
  <si>
    <t xml:space="preserve">Waste Connections (WCN) — Bull / Base / Bear Case P&amp;L Summary</t>
  </si>
  <si>
    <t xml:space="preserve">Share price ($):</t>
  </si>
  <si>
    <t xml:space="preserve">Adjusted figures (company definitions: Adjusted EBITDA, adjusted net income / adjusted EPS, adjusted free cash flow) · USD millions · Live panel linked to Model — toggle scenario via Model!CF2. Bull and Bear panels are value snapshots generated from the Model with the switch set to each case. 2026E calibrated to the FY26 outlook (Q2-26 release) end-points.</t>
  </si>
  <si>
    <t xml:space="preserve">As of:</t>
  </si>
  <si>
    <t xml:space="preserve">Scenario:</t>
  </si>
  <si>
    <t xml:space="preserve">Snapshot (values) — Model run with switch = Bull</t>
  </si>
  <si>
    <t xml:space="preserve">Snapshot (values) — Model run with switch = Bear</t>
  </si>
  <si>
    <t xml:space="preserve">(USDm, except EPS and shares)</t>
  </si>
  <si>
    <t xml:space="preserve">2025A</t>
  </si>
  <si>
    <t xml:space="preserve">25-'30 CAGR</t>
  </si>
  <si>
    <t xml:space="preserve">LT Hist Avg</t>
  </si>
  <si>
    <t xml:space="preserve">LT Hist Min</t>
  </si>
  <si>
    <t xml:space="preserve">LT Hist Max</t>
  </si>
  <si>
    <t xml:space="preserve">   Revenues y/y %</t>
  </si>
  <si>
    <t xml:space="preserve">   Solid waste revenues y/y % (organic from 2027E)</t>
  </si>
  <si>
    <t xml:space="preserve">   Adjusted EBITDA margin %</t>
  </si>
  <si>
    <t xml:space="preserve">Operating Income (GAAP)</t>
  </si>
  <si>
    <t xml:space="preserve">   Operating income y/y %</t>
  </si>
  <si>
    <t xml:space="preserve">   Operating margin (GAAP) %</t>
  </si>
  <si>
    <t xml:space="preserve">Adjusted Net Income (attributable to WCN)</t>
  </si>
  <si>
    <t xml:space="preserve">FDSO (m)</t>
  </si>
  <si>
    <t xml:space="preserve">Adjusted EPS — Diluted ($)</t>
  </si>
  <si>
    <t xml:space="preserve">   EPS y/y %</t>
  </si>
  <si>
    <t xml:space="preserve">P / E (x) — assumed (adjusted EPS)</t>
  </si>
  <si>
    <t xml:space="preserve">Price Target ($)</t>
  </si>
  <si>
    <t xml:space="preserve">   Upside / (Downside) vs current</t>
  </si>
  <si>
    <t xml:space="preserve">IRR (to Dec-Y-1)</t>
  </si>
  <si>
    <t xml:space="preserve">Free Cash Flow (CFO − all capex)</t>
  </si>
  <si>
    <t xml:space="preserve">   FCF %</t>
  </si>
  <si>
    <t xml:space="preserve">   FCF / share ($)</t>
  </si>
  <si>
    <t xml:space="preserve">   FCF Yield (on PT)</t>
  </si>
  <si>
    <t xml:space="preserve">Adjusted Free Cash Flow (company definition)</t>
  </si>
  <si>
    <t xml:space="preserve">   Adjusted FCF % of revenues</t>
  </si>
  <si>
    <t xml:space="preserve">Net Debt</t>
  </si>
  <si>
    <t xml:space="preserve">   Net Debt / Adjusted EBITDA (x)</t>
  </si>
  <si>
    <t xml:space="preserve">ROIC</t>
  </si>
  <si>
    <t xml:space="preserve">RONTA</t>
  </si>
  <si>
    <t xml:space="preserve">Implied Market Cap (USDm)</t>
  </si>
  <si>
    <t xml:space="preserve">(+) Net Debt &amp; NCI</t>
  </si>
  <si>
    <t xml:space="preserve">Implied Enterprise Value (USDm)</t>
  </si>
  <si>
    <t xml:space="preserve">Implied EV / Adjusted EBITDA (x)</t>
  </si>
  <si>
    <t xml:space="preserve">DCF VALUATION — WASTE CONNECTIONS (WCN)</t>
  </si>
  <si>
    <t xml:space="preserve">1. WACC BUILD</t>
  </si>
  <si>
    <t xml:space="preserve">Risk-free rate (US 10Y govt)</t>
  </si>
  <si>
    <t xml:space="preserve">Assumption (~US 10Y Treasury yield); update to market</t>
  </si>
  <si>
    <t xml:space="preserve">Equity risk premium</t>
  </si>
  <si>
    <t xml:space="preserve">US implied ERP ~4.5–5.5% (Damodaran)</t>
  </si>
  <si>
    <t xml:space="preserve">Levered beta</t>
  </si>
  <si>
    <t xml:space="preserve">Solid-waste peers (WM, RSG, CWST, GFL) ~0.6–0.9: franchise / contracted collection, landfill scarcity and CPI-linked pricing dampen cyclicality</t>
  </si>
  <si>
    <t xml:space="preserve">Cost of equity</t>
  </si>
  <si>
    <t xml:space="preserve">Pre-tax cost of debt</t>
  </si>
  <si>
    <t xml:space="preserve">Investment grade (BBB+ / Baa1); 4.80% notes due 2036 issued 1H/26; revolver at SOFR / CORRA + margin (~3.4–4.5%); marginal cost ~5.0%</t>
  </si>
  <si>
    <t xml:space="preserve">Tax rate</t>
  </si>
  <si>
    <t xml:space="preserve">Model 2027E+ effective tax rate</t>
  </si>
  <si>
    <t xml:space="preserve">After-tax cost of debt</t>
  </si>
  <si>
    <t xml:space="preserve">Target D/V</t>
  </si>
  <si>
    <t xml:space="preserve">Net debt ~$9.1bn at YE2026E vs ~$39bn market cap ($155 × ~251m shares); ~2.7x Adjusted EBITDA (company target range ~2.5–3.0x)</t>
  </si>
  <si>
    <t xml:space="preserve">WACC</t>
  </si>
  <si>
    <t xml:space="preserve">Valuation date (live)</t>
  </si>
  <si>
    <t xml:space="preserve">Periods = (Dec-31-Year − today) / 365.25; cash flows assumed at year-end</t>
  </si>
  <si>
    <t xml:space="preserve">2. UNLEVERED FREE CASH FLOW BUILD (USDm)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</si>
  <si>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</si>
  <si>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</si>
  <si>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</si>
  <si>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</si>
  <si>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</si>
  <si>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Terminal</t>
  </si>
  <si>
    <t xml:space="preserve">CAGR 26–30E</t>
  </si>
  <si>
    <t xml:space="preserve">CAGR 26–35E</t>
  </si>
  <si>
    <t xml:space="preserve">Adj. EBIT less transaction-related costs</t>
  </si>
  <si>
    <t xml:space="preserve">× (1 − tax rate)</t>
  </si>
  <si>
    <t xml:space="preserve">NOPAT</t>
  </si>
  <si>
    <t xml:space="preserve">plus D&amp;A (depreciation, depletion &amp; amortization of intangibles)</t>
  </si>
  <si>
    <t xml:space="preserve">− Capex (PP&amp;E + undeveloped landfill land) and acquisitions (M&amp;A 2027E–30E)</t>
  </si>
  <si>
    <t xml:space="preserve">− Δ Working capital (CF statement)</t>
  </si>
  <si>
    <t xml:space="preserve">Unlevered FCF</t>
  </si>
  <si>
    <t xml:space="preserve">Terminal Value (Gordon Growth)</t>
  </si>
  <si>
    <t xml:space="preserve">Fade-period growth (2031E–35E; 6.5% → 5% linear)</t>
  </si>
  <si>
    <t xml:space="preserve">Terminal growth rate</t>
  </si>
  <si>
    <t xml:space="preserve">Discount period (years)</t>
  </si>
  <si>
    <t xml:space="preserve">Discount factor</t>
  </si>
  <si>
    <t xml:space="preserve">PV of UFCF</t>
  </si>
  <si>
    <t xml:space="preserve">WCN's Adjusted EBITDA expenses share-based compensation; Adjusted EBIT deducts all D&amp;A incl. ~$190m p.a. of amortization of acquired intangibles (non-cash, added back in row 21) and landfill depletion. Closure &amp; post-closure accretion (non-cash) sits in cost of operations and is added back in Adjusted EBITDA but deducted in EBIT here only via D&amp;A — capping / closure cash spend is inside CFO. Acquisition spend from the M&amp;A lever is deducted in 2027E–30E; the fade period and terminal value assume no new acquisitions (organic reinvestment only). 1H/26 acquisitions ($310m) sit in YE2026E net debt. Transaction-related costs (cash; added back in Adjusted EBITDA) are deducted in row 18. Operating-lease costs sit inside operating income.</t>
  </si>
  <si>
    <t xml:space="preserve">IMPLIED ROIC — invested capital roll-forward (USDm)</t>
  </si>
  <si>
    <t xml:space="preserve">Opening invested capital</t>
  </si>
  <si>
    <t xml:space="preserve">plus Capex and acquisitions</t>
  </si>
  <si>
    <t xml:space="preserve">less DD&amp;A</t>
  </si>
  <si>
    <t xml:space="preserve">plus Δ Working capital investment</t>
  </si>
  <si>
    <t xml:space="preserve">Closing invested capital</t>
  </si>
  <si>
    <t xml:space="preserve">NOPAT (row 20)</t>
  </si>
  <si>
    <t xml:space="preserve">Implied ROIC (NOPAT / avg. invested capital)</t>
  </si>
  <si>
    <t xml:space="preserve">Reinvestment rate (net investment / NOPAT)</t>
  </si>
  <si>
    <t xml:space="preserve">Implied terminal RONIC (g / reinvestment rate)</t>
  </si>
  <si>
    <t xml:space="preserve">Opening IC = Model 2025A book invested capital (equity + net debt), rolled forward with capex + M&amp;A − D&amp;A + ΔWC.</t>
  </si>
  <si>
    <t xml:space="preserve">3. VALUATION SUMMARY</t>
  </si>
  <si>
    <t xml:space="preserve">Sum of PV (explicit + fade)</t>
  </si>
  <si>
    <t xml:space="preserve">PV of Terminal Value</t>
  </si>
  <si>
    <t xml:space="preserve">Enterprise Value</t>
  </si>
  <si>
    <t xml:space="preserve">Less: Net debt + NCI (Model 2026E YE)</t>
  </si>
  <si>
    <t xml:space="preserve">WCN-specific: no NCI from 2025 (interests sold 2024–25); YE2026E net debt includes 1H/26 acquisitions and buybacks.</t>
  </si>
  <si>
    <t xml:space="preserve">Equity Value</t>
  </si>
  <si>
    <t xml:space="preserve">Diluted shares (m, Model 2026E YE)</t>
  </si>
  <si>
    <t xml:space="preserve">Implied share price ($)</t>
  </si>
  <si>
    <t xml:space="preserve">Current share price ($)</t>
  </si>
  <si>
    <t xml:space="preserve">Implied upside / (downside)</t>
  </si>
  <si>
    <t xml:space="preserve">Required discount to DCF value for target IRR</t>
  </si>
  <si>
    <t xml:space="preserve">vs. current</t>
  </si>
  <si>
    <t xml:space="preserve">Target IRR</t>
  </si>
  <si>
    <t xml:space="preserve">Max entry price for target IRR ($)</t>
  </si>
  <si>
    <t xml:space="preserve">Years for discount to close</t>
  </si>
  <si>
    <t xml:space="preserve">4. SENSITIVITY: IMPLIED PRICE ($) — WACC × Terminal Growth</t>
  </si>
  <si>
    <t xml:space="preserve">WACC →</t>
  </si>
  <si>
    <t xml:space="preserve">Terminal growth ↓</t>
  </si>
  <si>
    <t xml:space="preserve">5. REVERSE DCF</t>
  </si>
  <si>
    <t xml:space="preserve">To solve for the market-implied path: Data ▸ What-If Analysis ▸ Goal Seek — set C51 to the current price (C52) by changing C27 (terminal growth) or the fade-period growth inputs (I26:M26).</t>
  </si>
  <si>
    <t xml:space="preserve">6. MAUBOUSSIN EV / NOPAT — TWO-STAGE FRAMEWORK</t>
  </si>
  <si>
    <t xml:space="preserve">EV/NOPAT  =  1/r  +  [g × (1 − r/ROIIC) / (r × (r − g))] × [1 − ((1+g)/(1+r))^N]</t>
  </si>
  <si>
    <t xml:space="preserve">Formula source: Mauboussin &amp; Rappaport, "Expectations Investing" (2021); Counterpoint Global, "What Does a Price-Earnings Multiple Mean?" (2020).</t>
  </si>
  <si>
    <t xml:space="preserve">Input</t>
  </si>
  <si>
    <t xml:space="preserve">Value</t>
  </si>
  <si>
    <t xml:space="preserve">Rationale (Martin Marietta characteristics)</t>
  </si>
  <si>
    <t xml:space="preserve">r  (Cost of capital / WACC)</t>
  </si>
  <si>
    <t xml:space="preserve">Linked from Section 1 WACC build</t>
  </si>
  <si>
    <t xml:space="preserve">g  (NOPAT growth, Stage 1)</t>
  </si>
  <si>
    <t xml:space="preserve">Model NOPAT CAGR 2026–30E ~8–9% (mid-single-digit price / yield, flat-to-slightly-positive volume, ~20bp p.a. margin expansion, tuck-in M&amp;A); fades over the 15-year CAP → 6.5% average (must stay below WACC)</t>
  </si>
  <si>
    <t xml:space="preserve">ROIIC  (Return on incremental invested capital)</t>
  </si>
  <si>
    <t xml:space="preserve">Price-led organic growth on a dense, vertically integrated (collection → transfer → owned landfill) footprint earns high returns on organic capex; tuck-in acquisitions at ~2.5–3x revenue (~8–10x EBITDA) earn ~8–10% after tax</t>
  </si>
  <si>
    <t xml:space="preserve">N  (Years of value creation / CAP)</t>
  </si>
  <si>
    <t xml:space="preserve">Landfill permits are scarce and multi-decade (secondary / rural markets with franchise or exclusive positions; ~70% internalization); E&amp;P waste niche; consistent capital allocation (M&amp;A + buybacks + dividend growth)</t>
  </si>
  <si>
    <t xml:space="preserve">Calculation</t>
  </si>
  <si>
    <t xml:space="preserve">Steady-state component:  1 / r</t>
  </si>
  <si>
    <t xml:space="preserve">Value-creation factor: 1 − r / ROIIC</t>
  </si>
  <si>
    <t xml:space="preserve">Growth multiplier: g × (1 − r/ROIIC) / (r × (r − g))</t>
  </si>
  <si>
    <t xml:space="preserve">Time decay: 1 − ((1+g)/(1+r))^N</t>
  </si>
  <si>
    <t xml:space="preserve">PVGO component (growth value)</t>
  </si>
  <si>
    <t xml:space="preserve">Mauboussin EV / NOPAT (steady-state + PVGO)</t>
  </si>
  <si>
    <t xml:space="preserve">VALUATION  —  Applied to 2028E NOPAT</t>
  </si>
  <si>
    <t xml:space="preserve">USDm</t>
  </si>
  <si>
    <t xml:space="preserve">2028E Adj. EBIT less acquisition &amp; integration costs</t>
  </si>
  <si>
    <t xml:space="preserve">Tax rate (from WACC build)</t>
  </si>
  <si>
    <t xml:space="preserve">2028E NOPAT</t>
  </si>
  <si>
    <t xml:space="preserve">× Mauboussin EV/NOPAT multiple</t>
  </si>
  <si>
    <t xml:space="preserve">Implied Enterprise Value (2028E basis)</t>
  </si>
  <si>
    <t xml:space="preserve">Less: YE2027 net debt + NCI (Model)</t>
  </si>
  <si>
    <t xml:space="preserve">Implied Equity Value</t>
  </si>
  <si>
    <t xml:space="preserve">Diluted shares 2028E (m, Model)</t>
  </si>
  <si>
    <t xml:space="preserve">Implied share price 2028 ($)</t>
  </si>
  <si>
    <t xml:space="preserve">MARKET-IMPLIED EV/NOPAT TODAY</t>
  </si>
  <si>
    <t xml:space="preserve">Current market cap (spot × diluted shares)</t>
  </si>
  <si>
    <t xml:space="preserve">Plus: YE2026 net debt + NCI</t>
  </si>
  <si>
    <t xml:space="preserve">Implied Enterprise Value (today)</t>
  </si>
  <si>
    <t xml:space="preserve">WCN market-implied EV/NOPAT (on 2028E NOPAT)</t>
  </si>
  <si>
    <t xml:space="preserve">Multiple gap (Mauboussin − Market)</t>
  </si>
  <si>
    <t xml:space="preserve">Implied re-rating headroom</t>
  </si>
  <si>
    <t xml:space="preserve">Waste Connections — Historical Operating Performance (2006–2025)</t>
  </si>
  <si>
    <t xml:space="preserve">All historicals · USDm · Linked to Model. Price / volume = company-reported solid waste internal growth (2006–08 price incl. surcharges; 2006–12 company-wide basis; 2013–16 FY = average of quarterly disclosures; 2026 company basis = yield / unit volume). Adjusted EBITDA as reconciled by WCN in each period ("adjusted operating income before D&amp;A" FY2008–12; model bridge FY2006–07).</t>
  </si>
  <si>
    <t xml:space="preserve">Solid waste volume %</t>
  </si>
  <si>
    <t xml:space="preserve">Solid waste price %</t>
  </si>
  <si>
    <t xml:space="preserve">Adj. EBITDA Margin %</t>
  </si>
  <si>
    <t xml:space="preserve">GAAP Op. Margin %</t>
  </si>
  <si>
    <t xml:space="preserve">Adj. EBITDA margin %</t>
  </si>
  <si>
    <t xml:space="preserve">Adj. FCF margin %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</si>
</sst>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#,##0;\(#,##0\);\-"/>
    <numFmt numFmtId="166" formatCode="0%;\(0%\);&quot;n/m&quot;"/>
    <numFmt numFmtId="167" formatCode="0.0%;\(0.0%\);\-"/>
    <numFmt numFmtId="168" formatCode="0.00\x;\(0.00&quot;x)&quot;;\-"/>
    <numFmt numFmtId="169" formatCode="\+#,##0;\-#,##0"/>
    <numFmt numFmtId="170" formatCode="0.0\x;\(0.0&quot;x)&quot;;\-"/>
    <numFmt numFmtId="171" formatCode="#,##0.0;\(#,##0.0\);\-"/>
    <numFmt numFmtId="172" formatCode="0.000\x;\(0.000&quot;x)&quot;;\-"/>
    <numFmt numFmtId="173" formatCode="0.00;\(0.00\);\-"/>
    <numFmt numFmtId="174" formatCode="0\d;\(0&quot;)d&quot;;\-"/>
    <numFmt numFmtId="175" formatCode="#,##0.00"/>
    <numFmt numFmtId="176" formatCode="dd\-mmm\-yy"/>
    <numFmt numFmtId="177" formatCode="0%;\(0%\);\-"/>
    <numFmt numFmtId="178" formatCode="0.0\x"/>
    <numFmt numFmtId="179" formatCode="0.00%"/>
    <numFmt numFmtId="180" formatCode="0.00"/>
    <numFmt numFmtId="181" formatCode="d/mmm/yyyy"/>
    <numFmt numFmtId="182" formatCode="0.0%"/>
    <numFmt numFmtId="183" formatCode="0.000"/>
    <numFmt numFmtId="184" formatCode="#,##0.0"/>
    <numFmt numFmtId="185" formatCode="0.0%;\(0.0%\)"/>
    <numFmt numFmtId="186" formatCode="0"/>
    <numFmt numFmtId="187" formatCode="#,##0"/>
    <numFmt numFmtId="188" formatCode="0.00\x"/>
    <numFmt numFmtId="189" formatCode="0.0\x;\(0.0&quot;x)&quot;"/>
    <numFmt numFmtId="190" formatCode="0%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00000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b val="true"/>
      <sz val="12"/>
      <color rgb="FF0000FF"/>
      <name val="Calibri"/>
      <family val="0"/>
      <charset val="1"/>
    </font>
    <font>
      <sz val="10"/>
      <color rgb="FF595959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666666"/>
      <name val="Calibri"/>
      <family val="0"/>
      <charset val="1"/>
    </font>
    <font>
      <sz val="12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00FF"/>
      <name val="Calibri"/>
      <family val="0"/>
      <charset val="1"/>
    </font>
    <font>
      <sz val="12"/>
      <color rgb="FF404040"/>
      <name val="Calibri"/>
      <family val="0"/>
      <charset val="1"/>
    </font>
    <font>
      <sz val="12"/>
      <color rgb="FFA6A6A6"/>
      <name val="Calibri"/>
      <family val="0"/>
      <charset val="1"/>
    </font>
    <font>
      <b val="true"/>
      <sz val="12"/>
      <color rgb="FF595959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b val="true"/>
      <sz val="16"/>
      <color rgb="FF2F3E46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sz val="10"/>
      <color rgb="FF595959"/>
      <name val="Calibri"/>
      <family val="2"/>
      <charset val="1"/>
    </font>
    <font>
      <b val="true"/>
      <sz val="12"/>
      <color rgb="FF2F3E46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2"/>
      <color rgb="FF595959"/>
      <name val="Calibri"/>
      <family val="2"/>
      <charset val="1"/>
    </font>
    <font>
      <b val="true"/>
      <sz val="12"/>
      <color rgb="FF0000FF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595959"/>
      <name val="Calibri"/>
      <family val="0"/>
      <charset val="1"/>
    </font>
    <font>
      <sz val="12"/>
      <color rgb="FF008000"/>
      <name val="Calibri"/>
      <family val="0"/>
      <charset val="1"/>
    </font>
    <font>
      <b val="true"/>
      <sz val="14"/>
      <name val="Calibri"/>
      <family val="2"/>
      <charset val="1"/>
    </font>
    <font>
      <sz val="12"/>
      <color rgb="FF008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>
        <color rgb="FF2F3E46"/>
      </top>
      <bottom/>
      <diagonal/>
    </border>
    <border diagonalUp="false" diagonalDown="false">
      <left style="thin">
        <color rgb="FF2F3E46"/>
      </left>
      <right/>
      <top style="thin">
        <color rgb="FF2F3E46"/>
      </top>
      <bottom/>
      <diagonal/>
    </border>
    <border diagonalUp="false" diagonalDown="false">
      <left/>
      <right style="thin">
        <color rgb="FF2F3E46"/>
      </right>
      <top style="thin">
        <color rgb="FF2F3E46"/>
      </top>
      <bottom/>
      <diagonal/>
    </border>
    <border diagonalUp="false" diagonalDown="false">
      <left style="thin">
        <color rgb="FF2F3E46"/>
      </left>
      <right/>
      <top/>
      <bottom/>
      <diagonal/>
    </border>
    <border diagonalUp="false" diagonalDown="false">
      <left/>
      <right style="thin">
        <color rgb="FF2F3E46"/>
      </right>
      <top/>
      <bottom/>
      <diagonal/>
    </border>
    <border diagonalUp="false" diagonalDown="false">
      <left style="thin">
        <color rgb="FF2F3E46"/>
      </left>
      <right/>
      <top/>
      <bottom style="thin">
        <color rgb="FF2F3E46"/>
      </bottom>
      <diagonal/>
    </border>
    <border diagonalUp="false" diagonalDown="false">
      <left/>
      <right/>
      <top/>
      <bottom style="thin">
        <color rgb="FF2F3E46"/>
      </bottom>
      <diagonal/>
    </border>
    <border diagonalUp="false" diagonalDown="false">
      <left/>
      <right style="thin">
        <color rgb="FF2F3E46"/>
      </right>
      <top/>
      <bottom style="thin">
        <color rgb="FF2F3E4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7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3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75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9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1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2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1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6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8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52796F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5F5F5"/>
      <rgbColor rgb="FFCC99FF"/>
      <rgbColor rgb="FFCAD2C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339966"/>
      <rgbColor rgb="FF003300"/>
      <rgbColor rgb="FF404040"/>
      <rgbColor rgb="FF993300"/>
      <rgbColor rgb="FF993366"/>
      <rgbColor rgb="FF1F4E79"/>
      <rgbColor rgb="FF2F3E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Solid Waste Revenue Drivers: Price vs. Volume (internal growth), y/y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Charts!B8</c:f>
              <c:strCache>
                <c:ptCount val="1"/>
                <c:pt idx="0">
                  <c:v>Solid waste volume %</c:v>
                </c:pt>
              </c:strCache>
            </c:strRef>
          </c:tx>
          <c:spPr>
            <a:solidFill>
              <a:srgbClr val="2f3e46"/>
            </a:solidFill>
            <a:ln w="0">
              <a:solidFill>
                <a:srgbClr val="2f3e4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Charts!$C$8:$V$8</c:f>
              <c:numCache>
                <c:formatCode>0.0%;\(0.0%\);\-</c:formatCode>
                <c:ptCount val="20"/>
                <c:pt idx="0">
                  <c:v>0.028</c:v>
                </c:pt>
                <c:pt idx="1">
                  <c:v>0.04</c:v>
                </c:pt>
                <c:pt idx="2">
                  <c:v>-0.019</c:v>
                </c:pt>
                <c:pt idx="3">
                  <c:v>-0.062</c:v>
                </c:pt>
                <c:pt idx="4">
                  <c:v>0</c:v>
                </c:pt>
                <c:pt idx="5">
                  <c:v>-0.003</c:v>
                </c:pt>
                <c:pt idx="6">
                  <c:v>-0.021</c:v>
                </c:pt>
                <c:pt idx="7">
                  <c:v>0.007</c:v>
                </c:pt>
                <c:pt idx="8">
                  <c:v>0.021</c:v>
                </c:pt>
                <c:pt idx="9">
                  <c:v>0.022</c:v>
                </c:pt>
                <c:pt idx="10">
                  <c:v>0.019</c:v>
                </c:pt>
                <c:pt idx="11">
                  <c:v>0.012</c:v>
                </c:pt>
                <c:pt idx="12">
                  <c:v>-0.007</c:v>
                </c:pt>
                <c:pt idx="13">
                  <c:v>-0.002</c:v>
                </c:pt>
                <c:pt idx="14">
                  <c:v>-0.048</c:v>
                </c:pt>
                <c:pt idx="15">
                  <c:v>0.016</c:v>
                </c:pt>
                <c:pt idx="16">
                  <c:v>-0.011</c:v>
                </c:pt>
                <c:pt idx="17">
                  <c:v>-0.02</c:v>
                </c:pt>
                <c:pt idx="18">
                  <c:v>-0.029</c:v>
                </c:pt>
                <c:pt idx="19">
                  <c:v>-0.028</c:v>
                </c:pt>
              </c:numCache>
            </c:numRef>
          </c:val>
        </c:ser>
        <c:ser>
          <c:idx val="1"/>
          <c:order val="1"/>
          <c:tx>
            <c:strRef>
              <c:f>Charts!B9</c:f>
              <c:strCache>
                <c:ptCount val="1"/>
                <c:pt idx="0">
                  <c:v>Solid waste price %</c:v>
                </c:pt>
              </c:strCache>
            </c:strRef>
          </c:tx>
          <c:spPr>
            <a:solidFill>
              <a:srgbClr val="84a98c"/>
            </a:solidFill>
            <a:ln w="0">
              <a:solidFill>
                <a:srgbClr val="84a98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Charts!$C$9:$V$9</c:f>
              <c:numCache>
                <c:formatCode>0.0%;\(0.0%\);\-</c:formatCode>
                <c:ptCount val="20"/>
                <c:pt idx="0">
                  <c:v>0.051</c:v>
                </c:pt>
                <c:pt idx="1">
                  <c:v>0.047</c:v>
                </c:pt>
                <c:pt idx="2">
                  <c:v>0.056</c:v>
                </c:pt>
                <c:pt idx="3">
                  <c:v>0.048</c:v>
                </c:pt>
                <c:pt idx="4">
                  <c:v>0.027</c:v>
                </c:pt>
                <c:pt idx="5">
                  <c:v>0.036</c:v>
                </c:pt>
                <c:pt idx="6">
                  <c:v>0.032</c:v>
                </c:pt>
                <c:pt idx="7">
                  <c:v>0.026</c:v>
                </c:pt>
                <c:pt idx="8">
                  <c:v>0.028</c:v>
                </c:pt>
                <c:pt idx="9">
                  <c:v>0.028</c:v>
                </c:pt>
                <c:pt idx="10">
                  <c:v>0.028</c:v>
                </c:pt>
                <c:pt idx="11">
                  <c:v>0.031</c:v>
                </c:pt>
                <c:pt idx="12">
                  <c:v>0.041</c:v>
                </c:pt>
                <c:pt idx="13">
                  <c:v>0.051</c:v>
                </c:pt>
                <c:pt idx="14">
                  <c:v>0.045</c:v>
                </c:pt>
                <c:pt idx="15">
                  <c:v>0.047</c:v>
                </c:pt>
                <c:pt idx="16">
                  <c:v>0.077</c:v>
                </c:pt>
                <c:pt idx="17">
                  <c:v>0.095</c:v>
                </c:pt>
                <c:pt idx="18">
                  <c:v>0.071</c:v>
                </c:pt>
                <c:pt idx="19">
                  <c:v>0.065</c:v>
                </c:pt>
              </c:numCache>
            </c:numRef>
          </c:val>
        </c:ser>
        <c:gapWidth val="150"/>
        <c:overlap val="100"/>
        <c:axId val="41803571"/>
        <c:axId val="44321878"/>
      </c:barChart>
      <c:catAx>
        <c:axId val="41803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21878"/>
        <c:crosses val="autoZero"/>
        <c:auto val="1"/>
        <c:lblAlgn val="ctr"/>
        <c:lblOffset val="100"/>
        <c:noMultiLvlLbl val="0"/>
      </c:catAx>
      <c:valAx>
        <c:axId val="4432187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035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Charts!B12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a8c5d6"/>
            </a:solidFill>
            <a:ln w="0">
              <a:solidFill>
                <a:srgbClr val="a8c5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Charts!$C$12:$V$12</c:f>
              <c:numCache>
                <c:formatCode>#,##0;\(#,##0\);\-</c:formatCode>
                <c:ptCount val="20"/>
                <c:pt idx="0">
                  <c:v>247.047</c:v>
                </c:pt>
                <c:pt idx="1">
                  <c:v>292.887</c:v>
                </c:pt>
                <c:pt idx="2">
                  <c:v>313.314</c:v>
                </c:pt>
                <c:pt idx="3">
                  <c:v>368.833</c:v>
                </c:pt>
                <c:pt idx="4">
                  <c:v>424.257</c:v>
                </c:pt>
                <c:pt idx="5">
                  <c:v>489.53</c:v>
                </c:pt>
                <c:pt idx="6">
                  <c:v>528.419</c:v>
                </c:pt>
                <c:pt idx="7">
                  <c:v>657.002</c:v>
                </c:pt>
                <c:pt idx="8">
                  <c:v>717.078</c:v>
                </c:pt>
                <c:pt idx="9">
                  <c:v>710.607</c:v>
                </c:pt>
                <c:pt idx="10">
                  <c:v>1071.089</c:v>
                </c:pt>
                <c:pt idx="11">
                  <c:v>1460.525</c:v>
                </c:pt>
                <c:pt idx="12">
                  <c:v>1566.418</c:v>
                </c:pt>
                <c:pt idx="13">
                  <c:v>1673.554</c:v>
                </c:pt>
                <c:pt idx="14">
                  <c:v>1661.984</c:v>
                </c:pt>
                <c:pt idx="15">
                  <c:v>1919.158</c:v>
                </c:pt>
                <c:pt idx="16">
                  <c:v>2220.652</c:v>
                </c:pt>
                <c:pt idx="17">
                  <c:v>2522.956</c:v>
                </c:pt>
                <c:pt idx="18">
                  <c:v>2901.865</c:v>
                </c:pt>
                <c:pt idx="19">
                  <c:v>3124.555</c:v>
                </c:pt>
              </c:numCache>
            </c:numRef>
          </c:val>
        </c:ser>
        <c:ser>
          <c:idx val="1"/>
          <c:order val="1"/>
          <c:tx>
            <c:strRef>
              <c:f>Charts!B13</c:f>
              <c:strCache>
                <c:ptCount val="1"/>
                <c:pt idx="0">
                  <c:v>Operating Income (GAAP)</c:v>
                </c:pt>
              </c:strCache>
            </c:strRef>
          </c:tx>
          <c:spPr>
            <a:solidFill>
              <a:srgbClr val="1f4e79"/>
            </a:solidFill>
            <a:ln w="0">
              <a:solidFill>
                <a:srgbClr val="1f4e7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Charts!$C$13:$V$13</c:f>
              <c:numCache>
                <c:formatCode>#,##0;\(#,##0\);\-</c:formatCode>
                <c:ptCount val="20"/>
                <c:pt idx="0">
                  <c:v>171.386</c:v>
                </c:pt>
                <c:pt idx="1">
                  <c:v>207.009</c:v>
                </c:pt>
                <c:pt idx="2">
                  <c:v>212.356</c:v>
                </c:pt>
                <c:pt idx="3">
                  <c:v>230.675</c:v>
                </c:pt>
                <c:pt idx="4">
                  <c:v>272.383</c:v>
                </c:pt>
                <c:pt idx="5">
                  <c:v>317.062</c:v>
                </c:pt>
                <c:pt idx="6">
                  <c:v>316.147</c:v>
                </c:pt>
                <c:pt idx="7">
                  <c:v>394.72</c:v>
                </c:pt>
                <c:pt idx="8">
                  <c:v>449.269</c:v>
                </c:pt>
                <c:pt idx="9">
                  <c:v>-61.5320000000003</c:v>
                </c:pt>
                <c:pt idx="10">
                  <c:v>452.298</c:v>
                </c:pt>
                <c:pt idx="11">
                  <c:v>627.098</c:v>
                </c:pt>
                <c:pt idx="12">
                  <c:v>832.244</c:v>
                </c:pt>
                <c:pt idx="13">
                  <c:v>837.778</c:v>
                </c:pt>
                <c:pt idx="14">
                  <c:v>412.428</c:v>
                </c:pt>
                <c:pt idx="15">
                  <c:v>1039.625</c:v>
                </c:pt>
                <c:pt idx="16">
                  <c:v>1242.19</c:v>
                </c:pt>
                <c:pt idx="17">
                  <c:v>1236.312</c:v>
                </c:pt>
                <c:pt idx="18">
                  <c:v>1067.659</c:v>
                </c:pt>
                <c:pt idx="19">
                  <c:v>1710.174</c:v>
                </c:pt>
              </c:numCache>
            </c:numRef>
          </c:val>
        </c:ser>
        <c:gapWidth val="150"/>
        <c:overlap val="0"/>
        <c:axId val="63723996"/>
        <c:axId val="701663"/>
      </c:barChart>
      <c:lineChart>
        <c:grouping val="standard"/>
        <c:varyColors val="0"/>
        <c:ser>
          <c:idx val="2"/>
          <c:order val="2"/>
          <c:tx>
            <c:strRef>
              <c:f>Charts!B14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Charts!$C$14:$V$14</c:f>
              <c:numCache>
                <c:formatCode>0.0%;\(0.0%\);\-</c:formatCode>
                <c:ptCount val="20"/>
                <c:pt idx="0">
                  <c:v>0.299685571975147</c:v>
                </c:pt>
                <c:pt idx="1">
                  <c:v>0.305555004950232</c:v>
                </c:pt>
                <c:pt idx="2">
                  <c:v>0.29850714984618</c:v>
                </c:pt>
                <c:pt idx="3">
                  <c:v>0.309581305245205</c:v>
                </c:pt>
                <c:pt idx="4">
                  <c:v>0.321465997149475</c:v>
                </c:pt>
                <c:pt idx="5">
                  <c:v>0.325190020234282</c:v>
                </c:pt>
                <c:pt idx="6">
                  <c:v>0.318014730220785</c:v>
                </c:pt>
                <c:pt idx="7">
                  <c:v>0.34062821606236</c:v>
                </c:pt>
                <c:pt idx="8">
                  <c:v>0.344887325013972</c:v>
                </c:pt>
                <c:pt idx="9">
                  <c:v>0.335621481641365</c:v>
                </c:pt>
                <c:pt idx="10">
                  <c:v>0.317278574397125</c:v>
                </c:pt>
                <c:pt idx="11">
                  <c:v>0.315414919550596</c:v>
                </c:pt>
                <c:pt idx="12">
                  <c:v>0.318187441206385</c:v>
                </c:pt>
                <c:pt idx="13">
                  <c:v>0.310568508534281</c:v>
                </c:pt>
                <c:pt idx="14">
                  <c:v>0.305175734806711</c:v>
                </c:pt>
                <c:pt idx="15">
                  <c:v>0.311989167925602</c:v>
                </c:pt>
                <c:pt idx="16">
                  <c:v>0.307916724384101</c:v>
                </c:pt>
                <c:pt idx="17">
                  <c:v>0.314506533385706</c:v>
                </c:pt>
                <c:pt idx="18">
                  <c:v>0.325336105657759</c:v>
                </c:pt>
                <c:pt idx="19">
                  <c:v>0.330049968759622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Charts!B15</c:f>
              <c:strCache>
                <c:ptCount val="1"/>
                <c:pt idx="0">
                  <c:v>GAAP Op.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Charts!$C$15:$V$15</c:f>
              <c:numCache>
                <c:formatCode>0.0%;\(0.0%\);\-</c:formatCode>
                <c:ptCount val="20"/>
                <c:pt idx="0">
                  <c:v>0.207903400723476</c:v>
                </c:pt>
                <c:pt idx="1">
                  <c:v>0.21596259314938</c:v>
                </c:pt>
                <c:pt idx="2">
                  <c:v>0.202320305868028</c:v>
                </c:pt>
                <c:pt idx="3">
                  <c:v>0.193617890989791</c:v>
                </c:pt>
                <c:pt idx="4">
                  <c:v>0.206388751868715</c:v>
                </c:pt>
                <c:pt idx="5">
                  <c:v>0.210621204411419</c:v>
                </c:pt>
                <c:pt idx="6">
                  <c:v>0.190264549372961</c:v>
                </c:pt>
                <c:pt idx="7">
                  <c:v>0.204645905863506</c:v>
                </c:pt>
                <c:pt idx="8">
                  <c:v>0.216081351849732</c:v>
                </c:pt>
                <c:pt idx="9">
                  <c:v>-0.0290617190772911</c:v>
                </c:pt>
                <c:pt idx="10">
                  <c:v>0.133979963049448</c:v>
                </c:pt>
                <c:pt idx="11">
                  <c:v>0.13542805855452</c:v>
                </c:pt>
                <c:pt idx="12">
                  <c:v>0.169054229981631</c:v>
                </c:pt>
                <c:pt idx="13">
                  <c:v>0.155470014079517</c:v>
                </c:pt>
                <c:pt idx="14">
                  <c:v>0.0757305834200944</c:v>
                </c:pt>
                <c:pt idx="15">
                  <c:v>0.169007313991164</c:v>
                </c:pt>
                <c:pt idx="16">
                  <c:v>0.172242690823545</c:v>
                </c:pt>
                <c:pt idx="17">
                  <c:v>0.154116124618562</c:v>
                </c:pt>
                <c:pt idx="18">
                  <c:v>0.119698201408562</c:v>
                </c:pt>
                <c:pt idx="19">
                  <c:v>0.180647444283592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0825162"/>
        <c:axId val="2099351"/>
      </c:lineChart>
      <c:catAx>
        <c:axId val="637239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663"/>
        <c:crosses val="autoZero"/>
        <c:auto val="1"/>
        <c:lblAlgn val="ctr"/>
        <c:lblOffset val="100"/>
        <c:noMultiLvlLbl val="0"/>
      </c:catAx>
      <c:valAx>
        <c:axId val="70166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23996"/>
        <c:crosses val="autoZero"/>
        <c:crossBetween val="between"/>
      </c:valAx>
      <c:catAx>
        <c:axId val="2082516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9351"/>
        <c:crosses val="autoZero"/>
        <c:auto val="1"/>
        <c:lblAlgn val="ctr"/>
        <c:lblOffset val="100"/>
        <c:noMultiLvlLbl val="0"/>
      </c:catAx>
      <c:valAx>
        <c:axId val="2099351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2516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Returns Profile: ROIC, RONTA, Adjusted EBITDA Margin &amp; Adj.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Charts!B18</c:f>
              <c:strCache>
                <c:ptCount val="1"/>
                <c:pt idx="0">
                  <c:v>ROIC</c:v>
                </c:pt>
              </c:strCache>
            </c:strRef>
          </c:tx>
          <c:spPr>
            <a:solidFill>
              <a:srgbClr val="2f3e46"/>
            </a:solidFill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Charts!$C$18:$V$18</c:f>
              <c:numCache>
                <c:formatCode>0.0%;\(0.0%\);\-</c:formatCode>
                <c:ptCount val="20"/>
                <c:pt idx="0">
                  <c:v>0.0816527977967115</c:v>
                </c:pt>
                <c:pt idx="1">
                  <c:v>0.0889031092070386</c:v>
                </c:pt>
                <c:pt idx="2">
                  <c:v>0.0790595671073704</c:v>
                </c:pt>
                <c:pt idx="3">
                  <c:v>0.0678345779794632</c:v>
                </c:pt>
                <c:pt idx="4">
                  <c:v>0.0735234085928262</c:v>
                </c:pt>
                <c:pt idx="5">
                  <c:v>0.0764569234712688</c:v>
                </c:pt>
                <c:pt idx="6">
                  <c:v>0.04919828765852</c:v>
                </c:pt>
                <c:pt idx="7">
                  <c:v>0.0614294974626779</c:v>
                </c:pt>
                <c:pt idx="8">
                  <c:v>0.0661540731363494</c:v>
                </c:pt>
                <c:pt idx="9">
                  <c:v>0.080097580669258</c:v>
                </c:pt>
                <c:pt idx="10">
                  <c:v>0.0455708918305349</c:v>
                </c:pt>
                <c:pt idx="11">
                  <c:v>0.0964213847091385</c:v>
                </c:pt>
                <c:pt idx="12">
                  <c:v>0.0665778684555531</c:v>
                </c:pt>
                <c:pt idx="13">
                  <c:v>0.0680567372410334</c:v>
                </c:pt>
                <c:pt idx="14">
                  <c:v>0.0666552577041454</c:v>
                </c:pt>
                <c:pt idx="15">
                  <c:v>0.0746378115626035</c:v>
                </c:pt>
                <c:pt idx="16">
                  <c:v>0.0744636031281026</c:v>
                </c:pt>
                <c:pt idx="17">
                  <c:v>0.0820249642848198</c:v>
                </c:pt>
                <c:pt idx="18">
                  <c:v>0.0884612299561431</c:v>
                </c:pt>
                <c:pt idx="19">
                  <c:v>0.0844251764144939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Charts!B19</c:f>
              <c:strCache>
                <c:ptCount val="1"/>
                <c:pt idx="0">
                  <c:v>RONTA</c:v>
                </c:pt>
              </c:strCache>
            </c:strRef>
          </c:tx>
          <c:spPr>
            <a:solidFill>
              <a:srgbClr val="84a98c"/>
            </a:solidFill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Charts!$C$19:$V$19</c:f>
              <c:numCache>
                <c:formatCode>0.0%;\(0.0%\);\-</c:formatCode>
                <c:ptCount val="20"/>
                <c:pt idx="0">
                  <c:v>0.141195516739872</c:v>
                </c:pt>
                <c:pt idx="1">
                  <c:v>0.151846855979952</c:v>
                </c:pt>
                <c:pt idx="2">
                  <c:v>0.115788301593937</c:v>
                </c:pt>
                <c:pt idx="3">
                  <c:v>0.114208265346528</c:v>
                </c:pt>
                <c:pt idx="4">
                  <c:v>0.123273917425241</c:v>
                </c:pt>
                <c:pt idx="5">
                  <c:v>0.13224650500404</c:v>
                </c:pt>
                <c:pt idx="6">
                  <c:v>0.0802147964201407</c:v>
                </c:pt>
                <c:pt idx="7">
                  <c:v>0.0988575026473627</c:v>
                </c:pt>
                <c:pt idx="8">
                  <c:v>0.102454850195998</c:v>
                </c:pt>
                <c:pt idx="9">
                  <c:v>0.117661166370932</c:v>
                </c:pt>
                <c:pt idx="10">
                  <c:v>0.0823674497613006</c:v>
                </c:pt>
                <c:pt idx="11">
                  <c:v>0.172379950373695</c:v>
                </c:pt>
                <c:pt idx="12">
                  <c:v>0.122233111157883</c:v>
                </c:pt>
                <c:pt idx="13">
                  <c:v>0.123212586921844</c:v>
                </c:pt>
                <c:pt idx="14">
                  <c:v>0.119986488103153</c:v>
                </c:pt>
                <c:pt idx="15">
                  <c:v>0.149561198090517</c:v>
                </c:pt>
                <c:pt idx="16">
                  <c:v>0.147099589347964</c:v>
                </c:pt>
                <c:pt idx="17">
                  <c:v>0.162665407495364</c:v>
                </c:pt>
                <c:pt idx="18">
                  <c:v>0.175476599481613</c:v>
                </c:pt>
                <c:pt idx="19">
                  <c:v>0.166778205757968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Charts!B20</c:f>
              <c:strCache>
                <c:ptCount val="1"/>
                <c:pt idx="0">
                  <c:v>Adj. EBITDA margin %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Charts!$C$20:$V$20</c:f>
              <c:numCache>
                <c:formatCode>0.0%;\(0.0%\);\-</c:formatCode>
                <c:ptCount val="20"/>
                <c:pt idx="0">
                  <c:v>0.299685571975147</c:v>
                </c:pt>
                <c:pt idx="1">
                  <c:v>0.305555004950232</c:v>
                </c:pt>
                <c:pt idx="2">
                  <c:v>0.29850714984618</c:v>
                </c:pt>
                <c:pt idx="3">
                  <c:v>0.309581305245205</c:v>
                </c:pt>
                <c:pt idx="4">
                  <c:v>0.321465997149475</c:v>
                </c:pt>
                <c:pt idx="5">
                  <c:v>0.325190020234282</c:v>
                </c:pt>
                <c:pt idx="6">
                  <c:v>0.318014730220785</c:v>
                </c:pt>
                <c:pt idx="7">
                  <c:v>0.34062821606236</c:v>
                </c:pt>
                <c:pt idx="8">
                  <c:v>0.344887325013972</c:v>
                </c:pt>
                <c:pt idx="9">
                  <c:v>0.335621481641365</c:v>
                </c:pt>
                <c:pt idx="10">
                  <c:v>0.317278574397125</c:v>
                </c:pt>
                <c:pt idx="11">
                  <c:v>0.315414919550596</c:v>
                </c:pt>
                <c:pt idx="12">
                  <c:v>0.318187441206385</c:v>
                </c:pt>
                <c:pt idx="13">
                  <c:v>0.310568508534281</c:v>
                </c:pt>
                <c:pt idx="14">
                  <c:v>0.305175734806711</c:v>
                </c:pt>
                <c:pt idx="15">
                  <c:v>0.311989167925602</c:v>
                </c:pt>
                <c:pt idx="16">
                  <c:v>0.307916724384101</c:v>
                </c:pt>
                <c:pt idx="17">
                  <c:v>0.314506533385706</c:v>
                </c:pt>
                <c:pt idx="18">
                  <c:v>0.325336105657759</c:v>
                </c:pt>
                <c:pt idx="19">
                  <c:v>0.330049968759622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Charts!B21</c:f>
              <c:strCache>
                <c:ptCount val="1"/>
                <c:pt idx="0">
                  <c:v>Adj. FCF margin %</c:v>
                </c:pt>
              </c:strCache>
            </c:strRef>
          </c:tx>
          <c:spPr>
            <a:solidFill>
              <a:srgbClr val="c8553d"/>
            </a:solidFill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Charts!$C$7:$V$7</c:f>
              <c:strCach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strCache>
            </c:strRef>
          </c:cat>
          <c:val>
            <c:numRef>
              <c:f>Charts!$C$21:$V$21</c:f>
              <c:numCache>
                <c:formatCode>0.0%;\(0.0%\);\-</c:formatCode>
                <c:ptCount val="20"/>
                <c:pt idx="0">
                  <c:v>0.118276856787254</c:v>
                </c:pt>
                <c:pt idx="1">
                  <c:v>0.110773561068332</c:v>
                </c:pt>
                <c:pt idx="2">
                  <c:v>0.145923744501492</c:v>
                </c:pt>
                <c:pt idx="3">
                  <c:v>0.161410214765405</c:v>
                </c:pt>
                <c:pt idx="4">
                  <c:v>0.163882441995004</c:v>
                </c:pt>
                <c:pt idx="5">
                  <c:v>0.169089111883755</c:v>
                </c:pt>
                <c:pt idx="6">
                  <c:v>0.165958120338128</c:v>
                </c:pt>
                <c:pt idx="7">
                  <c:v>0.15635617056245</c:v>
                </c:pt>
                <c:pt idx="8">
                  <c:v>0.154664899291351</c:v>
                </c:pt>
                <c:pt idx="9">
                  <c:v>0.161993626749704</c:v>
                </c:pt>
                <c:pt idx="10">
                  <c:v>0.16320093558299</c:v>
                </c:pt>
                <c:pt idx="11">
                  <c:v>0.164969869266479</c:v>
                </c:pt>
                <c:pt idx="12">
                  <c:v>0.178755747834475</c:v>
                </c:pt>
                <c:pt idx="13">
                  <c:v>0.17023597063399</c:v>
                </c:pt>
                <c:pt idx="14">
                  <c:v>0.15459044177459</c:v>
                </c:pt>
                <c:pt idx="15">
                  <c:v>0.164125955215439</c:v>
                </c:pt>
                <c:pt idx="16">
                  <c:v>0.161517855521024</c:v>
                </c:pt>
                <c:pt idx="17">
                  <c:v>0.152597790736942</c:v>
                </c:pt>
                <c:pt idx="18">
                  <c:v>0.136500204998189</c:v>
                </c:pt>
                <c:pt idx="19">
                  <c:v>0.133020419006614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757859"/>
        <c:axId val="29880337"/>
      </c:lineChart>
      <c:catAx>
        <c:axId val="13757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80337"/>
        <c:crosses val="autoZero"/>
        <c:auto val="1"/>
        <c:lblAlgn val="ctr"/>
        <c:lblOffset val="100"/>
        <c:noMultiLvlLbl val="0"/>
      </c:catAx>
      <c:valAx>
        <c:axId val="298803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578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8</xdr:col>
      <xdr:colOff>680760</xdr:colOff>
      <xdr:row>36</xdr:row>
      <xdr:rowOff>32760</xdr:rowOff>
    </xdr:to>
    <xdr:graphicFrame>
      <xdr:nvGraphicFramePr>
        <xdr:cNvPr id="0" name="Chart 1"/>
        <xdr:cNvGraphicFramePr/>
      </xdr:nvGraphicFramePr>
      <xdr:xfrm>
        <a:off x="762120" y="4219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8</xdr:col>
      <xdr:colOff>680760</xdr:colOff>
      <xdr:row>57</xdr:row>
      <xdr:rowOff>32760</xdr:rowOff>
    </xdr:to>
    <xdr:graphicFrame>
      <xdr:nvGraphicFramePr>
        <xdr:cNvPr id="1" name="Chart 2"/>
        <xdr:cNvGraphicFramePr/>
      </xdr:nvGraphicFramePr>
      <xdr:xfrm>
        <a:off x="762120" y="822024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64</xdr:row>
      <xdr:rowOff>0</xdr:rowOff>
    </xdr:from>
    <xdr:to>
      <xdr:col>8</xdr:col>
      <xdr:colOff>680760</xdr:colOff>
      <xdr:row>78</xdr:row>
      <xdr:rowOff>32760</xdr:rowOff>
    </xdr:to>
    <xdr:graphicFrame>
      <xdr:nvGraphicFramePr>
        <xdr:cNvPr id="2" name="Chart 3"/>
        <xdr:cNvGraphicFramePr/>
      </xdr:nvGraphicFramePr>
      <xdr:xfrm>
        <a:off x="762120" y="1222056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R44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7" topLeftCell="H8" activePane="bottomLeft" state="frozen"/>
      <selection pane="topLeft" activeCell="A1" activeCellId="0" sqref="A1"/>
      <selection pane="bottomLeft" activeCell="CA164" activeCellId="0" sqref="CA164"/>
    </sheetView>
  </sheetViews>
  <sheetFormatPr defaultColWidth="8.57421875" defaultRowHeight="15" zeroHeight="false" outlineLevelRow="2" outlineLevelCol="1"/>
  <cols>
    <col collapsed="false" customWidth="true" hidden="false" outlineLevel="0" max="1" min="1" style="1" width="2.43"/>
    <col collapsed="false" customWidth="true" hidden="false" outlineLevel="0" max="2" min="2" style="1" width="62"/>
    <col collapsed="false" customWidth="true" hidden="false" outlineLevel="0" max="9" min="3" style="1" width="14.14"/>
    <col collapsed="false" customWidth="true" hidden="true" outlineLevel="1" max="13" min="10" style="1" width="9.57"/>
    <col collapsed="false" customWidth="true" hidden="false" outlineLevel="0" max="14" min="14" style="1" width="14.14"/>
    <col collapsed="false" customWidth="true" hidden="true" outlineLevel="1" max="18" min="15" style="1" width="9.57"/>
    <col collapsed="false" customWidth="true" hidden="false" outlineLevel="0" max="19" min="19" style="1" width="14.14"/>
    <col collapsed="false" customWidth="true" hidden="true" outlineLevel="1" max="23" min="20" style="1" width="9.57"/>
    <col collapsed="false" customWidth="true" hidden="false" outlineLevel="0" max="24" min="24" style="1" width="14.14"/>
    <col collapsed="false" customWidth="true" hidden="true" outlineLevel="1" max="28" min="25" style="1" width="9.57"/>
    <col collapsed="false" customWidth="true" hidden="false" outlineLevel="0" max="29" min="29" style="1" width="14.14"/>
    <col collapsed="false" customWidth="true" hidden="true" outlineLevel="1" max="33" min="30" style="1" width="9.57"/>
    <col collapsed="false" customWidth="true" hidden="false" outlineLevel="0" max="34" min="34" style="1" width="14.14"/>
    <col collapsed="false" customWidth="true" hidden="true" outlineLevel="1" max="38" min="35" style="1" width="9.57"/>
    <col collapsed="false" customWidth="true" hidden="false" outlineLevel="0" max="39" min="39" style="1" width="14.14"/>
    <col collapsed="false" customWidth="true" hidden="true" outlineLevel="1" max="43" min="40" style="1" width="9.57"/>
    <col collapsed="false" customWidth="true" hidden="false" outlineLevel="0" max="44" min="44" style="1" width="14.14"/>
    <col collapsed="false" customWidth="true" hidden="true" outlineLevel="1" max="48" min="45" style="1" width="9.57"/>
    <col collapsed="false" customWidth="true" hidden="false" outlineLevel="0" max="49" min="49" style="1" width="14.14"/>
    <col collapsed="false" customWidth="true" hidden="true" outlineLevel="1" max="53" min="50" style="1" width="9.57"/>
    <col collapsed="false" customWidth="true" hidden="false" outlineLevel="0" max="54" min="54" style="1" width="14.14"/>
    <col collapsed="false" customWidth="true" hidden="true" outlineLevel="1" max="58" min="55" style="1" width="9.57"/>
    <col collapsed="false" customWidth="true" hidden="false" outlineLevel="0" max="59" min="59" style="1" width="14.14"/>
    <col collapsed="false" customWidth="true" hidden="true" outlineLevel="1" max="63" min="60" style="1" width="9.57"/>
    <col collapsed="false" customWidth="true" hidden="false" outlineLevel="0" max="64" min="64" style="1" width="14.14"/>
    <col collapsed="false" customWidth="true" hidden="true" outlineLevel="1" max="68" min="65" style="1" width="9.57"/>
    <col collapsed="false" customWidth="true" hidden="false" outlineLevel="0" max="69" min="69" style="1" width="14.14"/>
    <col collapsed="false" customWidth="true" hidden="true" outlineLevel="1" max="73" min="70" style="1" width="9.57"/>
    <col collapsed="false" customWidth="true" hidden="false" outlineLevel="0" max="74" min="74" style="1" width="14.14"/>
    <col collapsed="false" customWidth="true" hidden="true" outlineLevel="1" max="76" min="75" style="1" width="9.57"/>
    <col collapsed="false" customWidth="true" hidden="true" outlineLevel="1" max="78" min="77" style="1" width="11.43"/>
    <col collapsed="false" customWidth="true" hidden="false" outlineLevel="0" max="83" min="79" style="1" width="14.14"/>
    <col collapsed="false" customWidth="true" hidden="false" outlineLevel="0" max="84" min="84" style="1" width="86.86"/>
    <col collapsed="false" customWidth="true" hidden="false" outlineLevel="0" max="85" min="85" style="1" width="2"/>
    <col collapsed="false" customWidth="true" hidden="false" outlineLevel="0" max="86" min="86" style="1" width="14.14"/>
    <col collapsed="false" customWidth="true" hidden="false" outlineLevel="0" max="87" min="87" style="1" width="12.43"/>
    <col collapsed="false" customWidth="true" hidden="false" outlineLevel="0" max="89" min="88" style="1" width="13.43"/>
    <col collapsed="false" customWidth="true" hidden="false" outlineLevel="0" max="90" min="90" style="1" width="2"/>
    <col collapsed="false" customWidth="true" hidden="false" outlineLevel="0" max="91" min="91" style="1" width="6"/>
    <col collapsed="false" customWidth="true" hidden="false" outlineLevel="0" max="92" min="92" style="1" width="46"/>
    <col collapsed="false" customWidth="true" hidden="false" outlineLevel="0" max="95" min="93" style="1" width="11.57"/>
    <col collapsed="false" customWidth="true" hidden="false" outlineLevel="0" max="96" min="96" style="1" width="60"/>
  </cols>
  <sheetData>
    <row r="1" customFormat="false" ht="15" hidden="false" customHeight="true" outlineLevel="0" collapsed="false">
      <c r="CF1" s="2" t="s">
        <v>0</v>
      </c>
    </row>
    <row r="2" customFormat="false" ht="21" hidden="false" customHeight="true" outlineLevel="0" collapsed="false">
      <c r="B2" s="3" t="s">
        <v>1</v>
      </c>
      <c r="CF2" s="4" t="s">
        <v>2</v>
      </c>
    </row>
    <row r="3" customFormat="false" ht="15" hidden="false" customHeight="true" outlineLevel="0" collapsed="false">
      <c r="B3" s="5" t="s">
        <v>3</v>
      </c>
    </row>
    <row r="4" customFormat="false" ht="15" hidden="false" customHeight="true" outlineLevel="0" collapsed="false">
      <c r="B4" s="6" t="s">
        <v>4</v>
      </c>
    </row>
    <row r="5" customFormat="false" ht="15" hidden="false" customHeight="true" outlineLevel="0" collapsed="false">
      <c r="BY5" s="7"/>
      <c r="BZ5" s="7"/>
      <c r="CA5" s="7"/>
      <c r="CB5" s="7"/>
      <c r="CC5" s="7"/>
      <c r="CD5" s="7"/>
      <c r="CE5" s="7"/>
      <c r="CH5" s="8" t="s">
        <v>5</v>
      </c>
      <c r="CI5" s="8" t="s">
        <v>6</v>
      </c>
      <c r="CJ5" s="8" t="s">
        <v>6</v>
      </c>
      <c r="CK5" s="8" t="s">
        <v>6</v>
      </c>
    </row>
    <row r="6" customFormat="false" ht="15" hidden="false" customHeight="true" outlineLevel="0" collapsed="false">
      <c r="B6" s="9" t="s">
        <v>7</v>
      </c>
      <c r="C6" s="10" t="n">
        <v>2006</v>
      </c>
      <c r="D6" s="10" t="n">
        <v>2007</v>
      </c>
      <c r="E6" s="10" t="n">
        <v>2008</v>
      </c>
      <c r="F6" s="10" t="n">
        <v>2009</v>
      </c>
      <c r="G6" s="10" t="n">
        <v>2010</v>
      </c>
      <c r="H6" s="10" t="n">
        <v>2011</v>
      </c>
      <c r="I6" s="10" t="n">
        <v>2012</v>
      </c>
      <c r="J6" s="10" t="s">
        <v>8</v>
      </c>
      <c r="K6" s="10" t="s">
        <v>9</v>
      </c>
      <c r="L6" s="10" t="s">
        <v>10</v>
      </c>
      <c r="M6" s="10" t="s">
        <v>11</v>
      </c>
      <c r="N6" s="10" t="n">
        <v>2013</v>
      </c>
      <c r="O6" s="10" t="s">
        <v>12</v>
      </c>
      <c r="P6" s="10" t="s">
        <v>13</v>
      </c>
      <c r="Q6" s="10" t="s">
        <v>14</v>
      </c>
      <c r="R6" s="10" t="s">
        <v>15</v>
      </c>
      <c r="S6" s="10" t="n">
        <v>2014</v>
      </c>
      <c r="T6" s="10" t="s">
        <v>16</v>
      </c>
      <c r="U6" s="10" t="s">
        <v>17</v>
      </c>
      <c r="V6" s="10" t="s">
        <v>18</v>
      </c>
      <c r="W6" s="10" t="s">
        <v>19</v>
      </c>
      <c r="X6" s="10" t="n">
        <v>2015</v>
      </c>
      <c r="Y6" s="10" t="s">
        <v>20</v>
      </c>
      <c r="Z6" s="10" t="s">
        <v>21</v>
      </c>
      <c r="AA6" s="10" t="s">
        <v>22</v>
      </c>
      <c r="AB6" s="10" t="s">
        <v>23</v>
      </c>
      <c r="AC6" s="10" t="n">
        <v>2016</v>
      </c>
      <c r="AD6" s="10" t="s">
        <v>24</v>
      </c>
      <c r="AE6" s="10" t="s">
        <v>25</v>
      </c>
      <c r="AF6" s="10" t="s">
        <v>26</v>
      </c>
      <c r="AG6" s="10" t="s">
        <v>27</v>
      </c>
      <c r="AH6" s="10" t="n">
        <v>2017</v>
      </c>
      <c r="AI6" s="10" t="s">
        <v>28</v>
      </c>
      <c r="AJ6" s="10" t="s">
        <v>29</v>
      </c>
      <c r="AK6" s="10" t="s">
        <v>30</v>
      </c>
      <c r="AL6" s="10" t="s">
        <v>31</v>
      </c>
      <c r="AM6" s="10" t="n">
        <v>2018</v>
      </c>
      <c r="AN6" s="10" t="s">
        <v>32</v>
      </c>
      <c r="AO6" s="10" t="s">
        <v>33</v>
      </c>
      <c r="AP6" s="10" t="s">
        <v>34</v>
      </c>
      <c r="AQ6" s="10" t="s">
        <v>35</v>
      </c>
      <c r="AR6" s="10" t="n">
        <v>2019</v>
      </c>
      <c r="AS6" s="10" t="s">
        <v>36</v>
      </c>
      <c r="AT6" s="10" t="s">
        <v>37</v>
      </c>
      <c r="AU6" s="10" t="s">
        <v>38</v>
      </c>
      <c r="AV6" s="10" t="s">
        <v>39</v>
      </c>
      <c r="AW6" s="10" t="n">
        <v>2020</v>
      </c>
      <c r="AX6" s="10" t="s">
        <v>40</v>
      </c>
      <c r="AY6" s="10" t="s">
        <v>41</v>
      </c>
      <c r="AZ6" s="10" t="s">
        <v>42</v>
      </c>
      <c r="BA6" s="10" t="s">
        <v>43</v>
      </c>
      <c r="BB6" s="10" t="n">
        <v>2021</v>
      </c>
      <c r="BC6" s="10" t="s">
        <v>44</v>
      </c>
      <c r="BD6" s="10" t="s">
        <v>45</v>
      </c>
      <c r="BE6" s="10" t="s">
        <v>46</v>
      </c>
      <c r="BF6" s="10" t="s">
        <v>47</v>
      </c>
      <c r="BG6" s="10" t="n">
        <v>2022</v>
      </c>
      <c r="BH6" s="10" t="s">
        <v>48</v>
      </c>
      <c r="BI6" s="10" t="s">
        <v>49</v>
      </c>
      <c r="BJ6" s="10" t="s">
        <v>50</v>
      </c>
      <c r="BK6" s="10" t="s">
        <v>51</v>
      </c>
      <c r="BL6" s="10" t="n">
        <v>2023</v>
      </c>
      <c r="BM6" s="10" t="s">
        <v>52</v>
      </c>
      <c r="BN6" s="10" t="s">
        <v>53</v>
      </c>
      <c r="BO6" s="10" t="s">
        <v>54</v>
      </c>
      <c r="BP6" s="10" t="s">
        <v>55</v>
      </c>
      <c r="BQ6" s="10" t="n">
        <v>2024</v>
      </c>
      <c r="BR6" s="10" t="s">
        <v>56</v>
      </c>
      <c r="BS6" s="10" t="s">
        <v>57</v>
      </c>
      <c r="BT6" s="10" t="s">
        <v>58</v>
      </c>
      <c r="BU6" s="10" t="s">
        <v>59</v>
      </c>
      <c r="BV6" s="10" t="n">
        <v>2025</v>
      </c>
      <c r="BW6" s="10" t="s">
        <v>60</v>
      </c>
      <c r="BX6" s="10" t="s">
        <v>61</v>
      </c>
      <c r="BY6" s="10" t="s">
        <v>62</v>
      </c>
      <c r="BZ6" s="10" t="s">
        <v>63</v>
      </c>
      <c r="CA6" s="10" t="s">
        <v>64</v>
      </c>
      <c r="CB6" s="10" t="s">
        <v>65</v>
      </c>
      <c r="CC6" s="10" t="s">
        <v>66</v>
      </c>
      <c r="CD6" s="10" t="s">
        <v>67</v>
      </c>
      <c r="CE6" s="10" t="s">
        <v>68</v>
      </c>
      <c r="CF6" s="10" t="s">
        <v>69</v>
      </c>
      <c r="CH6" s="8" t="s">
        <v>70</v>
      </c>
      <c r="CI6" s="8" t="s">
        <v>70</v>
      </c>
      <c r="CJ6" s="8" t="s">
        <v>71</v>
      </c>
      <c r="CK6" s="8" t="s">
        <v>72</v>
      </c>
    </row>
    <row r="7" customFormat="false" ht="15" hidden="false" customHeight="true" outlineLevel="0" collapsed="false">
      <c r="CH7" s="11" t="s">
        <v>73</v>
      </c>
      <c r="CI7" s="11" t="s">
        <v>74</v>
      </c>
      <c r="CJ7" s="11" t="s">
        <v>75</v>
      </c>
      <c r="CK7" s="11" t="s">
        <v>76</v>
      </c>
    </row>
    <row r="8" customFormat="false" ht="15" hidden="false" customHeight="true" outlineLevel="0" collapsed="false">
      <c r="B8" s="12" t="s">
        <v>77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 t="s">
        <v>78</v>
      </c>
    </row>
    <row r="9" customFormat="false" ht="15" hidden="false" customHeight="true" outlineLevel="0" collapsed="false">
      <c r="CN9" s="13" t="s">
        <v>79</v>
      </c>
      <c r="CO9" s="14" t="s">
        <v>80</v>
      </c>
      <c r="CP9" s="14" t="s">
        <v>2</v>
      </c>
      <c r="CQ9" s="14" t="s">
        <v>81</v>
      </c>
      <c r="CR9" s="15" t="s">
        <v>82</v>
      </c>
    </row>
    <row r="10" customFormat="false" ht="15" hidden="false" customHeight="true" outlineLevel="0" collapsed="false">
      <c r="B10" s="16" t="s">
        <v>83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7" t="s">
        <v>84</v>
      </c>
    </row>
    <row r="11" customFormat="false" ht="15" hidden="false" customHeight="true" outlineLevel="0" collapsed="false">
      <c r="B11" s="18" t="s">
        <v>85</v>
      </c>
      <c r="C11" s="19" t="n">
        <v>602.762</v>
      </c>
      <c r="D11" s="19" t="n">
        <v>693.675</v>
      </c>
      <c r="E11" s="19" t="n">
        <v>787.713</v>
      </c>
      <c r="F11" s="19" t="n">
        <v>901.768</v>
      </c>
      <c r="G11" s="19" t="n">
        <v>951.327</v>
      </c>
      <c r="H11" s="19" t="n">
        <v>1069.065</v>
      </c>
      <c r="I11" s="19" t="n">
        <v>1176.333</v>
      </c>
      <c r="J11" s="19" t="n">
        <v>293.144</v>
      </c>
      <c r="K11" s="19" t="n">
        <v>306.472</v>
      </c>
      <c r="L11" s="19" t="n">
        <v>312.872</v>
      </c>
      <c r="M11" s="19" t="n">
        <v>306.603</v>
      </c>
      <c r="N11" s="19" t="n">
        <v>1219.091</v>
      </c>
      <c r="O11" s="19" t="n">
        <v>306.003</v>
      </c>
      <c r="P11" s="19" t="n">
        <v>322.763</v>
      </c>
      <c r="Q11" s="19" t="n">
        <v>333.917</v>
      </c>
      <c r="R11" s="19" t="n">
        <v>327.224</v>
      </c>
      <c r="S11" s="19" t="n">
        <v>1289.906</v>
      </c>
      <c r="T11" s="19" t="n">
        <v>327.005</v>
      </c>
      <c r="U11" s="19" t="n">
        <v>342.583</v>
      </c>
      <c r="V11" s="19" t="n">
        <v>354.49</v>
      </c>
      <c r="W11" s="19" t="n">
        <v>354.601</v>
      </c>
      <c r="X11" s="19" t="n">
        <v>1378.679</v>
      </c>
      <c r="Y11" s="19" t="n">
        <v>356.598</v>
      </c>
      <c r="Z11" s="19" t="n">
        <v>502.948</v>
      </c>
      <c r="AA11" s="19" t="n">
        <v>760.281</v>
      </c>
      <c r="AB11" s="19" t="n">
        <v>739.986</v>
      </c>
      <c r="AC11" s="19" t="n">
        <v>2359.813</v>
      </c>
      <c r="AD11" s="19" t="n">
        <v>768.346</v>
      </c>
      <c r="AE11" s="19" t="n">
        <v>797.131</v>
      </c>
      <c r="AF11" s="19" t="n">
        <v>815.344</v>
      </c>
      <c r="AG11" s="19" t="n">
        <v>800.625</v>
      </c>
      <c r="AH11" s="19" t="n">
        <v>3181.447</v>
      </c>
      <c r="AI11" s="19" t="n">
        <v>809.646</v>
      </c>
      <c r="AJ11" s="19" t="n">
        <v>854.719</v>
      </c>
      <c r="AK11" s="19" t="n">
        <v>871.7</v>
      </c>
      <c r="AL11" s="19" t="n">
        <v>874.601</v>
      </c>
      <c r="AM11" s="19" t="n">
        <v>3410.666</v>
      </c>
      <c r="AN11" s="19" t="n">
        <v>891.353</v>
      </c>
      <c r="AO11" s="19" t="n">
        <v>958.124</v>
      </c>
      <c r="AP11" s="19" t="n">
        <v>990.79</v>
      </c>
      <c r="AQ11" s="19" t="n">
        <v>974.886</v>
      </c>
      <c r="AR11" s="19" t="n">
        <v>3815.153</v>
      </c>
      <c r="AS11" s="19" t="n">
        <v>989.009</v>
      </c>
      <c r="AT11" s="19" t="n">
        <v>948.072</v>
      </c>
      <c r="AU11" s="19" t="n">
        <v>1010.497</v>
      </c>
      <c r="AV11" s="19" t="n">
        <v>1024.099</v>
      </c>
      <c r="AW11" s="19" t="n">
        <v>3971.678</v>
      </c>
      <c r="AX11" s="19" t="n">
        <v>1036.472</v>
      </c>
      <c r="AY11" s="19" t="n">
        <v>1098.319</v>
      </c>
      <c r="AZ11" s="19" t="n">
        <v>1137.206</v>
      </c>
      <c r="BA11" s="19" t="n">
        <v>1169.428</v>
      </c>
      <c r="BB11" s="19" t="n">
        <v>4441.426</v>
      </c>
      <c r="BC11" s="19" t="n">
        <v>1199.452</v>
      </c>
      <c r="BD11" s="19" t="n">
        <v>1297.402</v>
      </c>
      <c r="BE11" s="19" t="n">
        <v>1368.491</v>
      </c>
      <c r="BF11" s="19" t="n">
        <v>1385.682</v>
      </c>
      <c r="BG11" s="19" t="n">
        <v>5251.027</v>
      </c>
      <c r="BH11" s="19" t="n">
        <v>1434.647</v>
      </c>
      <c r="BI11" s="19" t="n">
        <v>1485.705</v>
      </c>
      <c r="BJ11" s="19" t="n">
        <v>1512.745</v>
      </c>
      <c r="BK11" s="19" t="n">
        <v>1501.882</v>
      </c>
      <c r="BL11" s="19" t="n">
        <v>5934.979</v>
      </c>
      <c r="BM11" s="19" t="n">
        <v>1515.06</v>
      </c>
      <c r="BN11" s="19" t="n">
        <v>1583.098</v>
      </c>
      <c r="BO11" s="19" t="n">
        <v>1622.308</v>
      </c>
      <c r="BP11" s="19" t="n">
        <v>1612.307</v>
      </c>
      <c r="BQ11" s="19" t="n">
        <v>6332.773</v>
      </c>
      <c r="BR11" s="19" t="n">
        <v>1621.077</v>
      </c>
      <c r="BS11" s="19" t="n">
        <v>1690.785</v>
      </c>
      <c r="BT11" s="19" t="n">
        <v>1730.339</v>
      </c>
      <c r="BU11" s="19" t="n">
        <v>1705.896</v>
      </c>
      <c r="BV11" s="19" t="n">
        <v>6748.096</v>
      </c>
      <c r="BW11" s="19" t="n">
        <v>1709.628</v>
      </c>
      <c r="BX11" s="19" t="n">
        <v>1789.235</v>
      </c>
      <c r="BY11" s="20" t="n">
        <f aca="false">BT11*(1+BY20)</f>
        <v>1802.80636967659</v>
      </c>
      <c r="BZ11" s="20" t="n">
        <f aca="false">BU11*(1+BZ20)</f>
        <v>1777.33968592617</v>
      </c>
      <c r="CA11" s="20" t="n">
        <f aca="false">SUM(BW11,BX11,BY11,BZ11)</f>
        <v>7079.00905560276</v>
      </c>
      <c r="CB11" s="20" t="n">
        <f aca="false">CA11*(1+CB20)</f>
        <v>7379.86694046588</v>
      </c>
      <c r="CC11" s="20" t="n">
        <f aca="false">CB11*(1+CC20)</f>
        <v>7711.96095278684</v>
      </c>
      <c r="CD11" s="20" t="n">
        <f aca="false">CC11*(1+CD20)</f>
        <v>8078.27909804422</v>
      </c>
      <c r="CE11" s="20" t="n">
        <f aca="false">CD11*(1+CE20)</f>
        <v>8441.80165745621</v>
      </c>
      <c r="CF11" s="21" t="s">
        <v>86</v>
      </c>
      <c r="CH11" s="22" t="n">
        <f aca="false">IFERROR((CE11/BV11)^(1/5)-1,"n/m")</f>
        <v>0.0458051552777241</v>
      </c>
      <c r="CI11" s="22" t="n">
        <f aca="false">IFERROR((BV11/AW11)^(1/5)-1,"n/m")</f>
        <v>0.111837823614492</v>
      </c>
      <c r="CJ11" s="22" t="n">
        <f aca="false">IFERROR((BV11/X11)^(1/10)-1,"n/m")</f>
        <v>0.172119278766824</v>
      </c>
      <c r="CK11" s="22" t="n">
        <f aca="false">IFERROR((BV11/C11)^(1/19)-1,"n/m")</f>
        <v>0.135566020826405</v>
      </c>
      <c r="CN11" s="17" t="s">
        <v>87</v>
      </c>
      <c r="CO11" s="23" t="s">
        <v>88</v>
      </c>
      <c r="CP11" s="23" t="s">
        <v>89</v>
      </c>
      <c r="CQ11" s="23" t="s">
        <v>90</v>
      </c>
      <c r="CR11" s="15" t="s">
        <v>91</v>
      </c>
    </row>
    <row r="12" customFormat="false" ht="15" hidden="false" customHeight="true" outlineLevel="0" collapsed="false">
      <c r="B12" s="24" t="s">
        <v>92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 t="str">
        <f aca="false">IF(AND(ISNUMBER(N12),ISNUMBER(J12),ISNUMBER(K12),ISNUMBER(L12)),N12-J12-K12-L12,"")</f>
        <v/>
      </c>
      <c r="N12" s="25"/>
      <c r="O12" s="25"/>
      <c r="P12" s="25"/>
      <c r="Q12" s="25"/>
      <c r="R12" s="26" t="str">
        <f aca="false">IF(AND(ISNUMBER(S12),ISNUMBER(O12),ISNUMBER(P12),ISNUMBER(Q12)),S12-O12-P12-Q12,"")</f>
        <v/>
      </c>
      <c r="S12" s="25"/>
      <c r="T12" s="25"/>
      <c r="U12" s="25"/>
      <c r="V12" s="25"/>
      <c r="W12" s="26" t="str">
        <f aca="false">IF(AND(ISNUMBER(X12),ISNUMBER(T12),ISNUMBER(U12),ISNUMBER(V12)),X12-T12-U12-V12,"")</f>
        <v/>
      </c>
      <c r="X12" s="25"/>
      <c r="Y12" s="25"/>
      <c r="Z12" s="25"/>
      <c r="AA12" s="25"/>
      <c r="AB12" s="26" t="str">
        <f aca="false">IF(AND(ISNUMBER(AC12),ISNUMBER(Y12),ISNUMBER(Z12),ISNUMBER(AA12)),AC12-Y12-Z12-AA12,"")</f>
        <v/>
      </c>
      <c r="AC12" s="25"/>
      <c r="AD12" s="25"/>
      <c r="AE12" s="25"/>
      <c r="AF12" s="25"/>
      <c r="AG12" s="26" t="str">
        <f aca="false">IF(AND(ISNUMBER(AH12),ISNUMBER(AD12),ISNUMBER(AE12),ISNUMBER(AF12)),AH12-AD12-AE12-AF12,"")</f>
        <v/>
      </c>
      <c r="AH12" s="25"/>
      <c r="AI12" s="25"/>
      <c r="AJ12" s="27" t="n">
        <v>360.364</v>
      </c>
      <c r="AK12" s="27" t="n">
        <v>369.543</v>
      </c>
      <c r="AL12" s="26" t="str">
        <f aca="false">IF(AND(ISNUMBER(AM12),ISNUMBER(AI12),ISNUMBER(AJ12),ISNUMBER(AK12)),AM12-AI12-AJ12-AK12,"")</f>
        <v/>
      </c>
      <c r="AM12" s="27" t="n">
        <v>1452.831</v>
      </c>
      <c r="AN12" s="27" t="n">
        <v>381.509</v>
      </c>
      <c r="AO12" s="27" t="n">
        <v>396.641</v>
      </c>
      <c r="AP12" s="27" t="n">
        <v>408.415</v>
      </c>
      <c r="AQ12" s="26" t="n">
        <f aca="false">IF(AND(ISNUMBER(AR12),ISNUMBER(AN12),ISNUMBER(AO12),ISNUMBER(AP12)),AR12-AN12-AO12-AP12,"")</f>
        <v>406.652</v>
      </c>
      <c r="AR12" s="27" t="n">
        <v>1593.217</v>
      </c>
      <c r="AS12" s="27" t="n">
        <v>416.507</v>
      </c>
      <c r="AT12" s="27" t="n">
        <v>375.427</v>
      </c>
      <c r="AU12" s="27" t="n">
        <v>406.037</v>
      </c>
      <c r="AV12" s="26" t="n">
        <f aca="false">IF(AND(ISNUMBER(AW12),ISNUMBER(AS12),ISNUMBER(AT12),ISNUMBER(AU12)),AW12-AS12-AT12-AU12,"")</f>
        <v>412.342</v>
      </c>
      <c r="AW12" s="27" t="n">
        <v>1610.313</v>
      </c>
      <c r="AX12" s="27" t="n">
        <v>426.395</v>
      </c>
      <c r="AY12" s="27" t="n">
        <v>444.044</v>
      </c>
      <c r="AZ12" s="27" t="n">
        <v>465.246</v>
      </c>
      <c r="BA12" s="26" t="n">
        <f aca="false">IF(AND(ISNUMBER(BB12),ISNUMBER(AX12),ISNUMBER(AY12),ISNUMBER(AZ12)),BB12-AX12-AY12-AZ12,"")</f>
        <v>477.741</v>
      </c>
      <c r="BB12" s="27" t="n">
        <v>1813.426</v>
      </c>
      <c r="BC12" s="27" t="n">
        <v>499.676</v>
      </c>
      <c r="BD12" s="27" t="n">
        <v>538.525</v>
      </c>
      <c r="BE12" s="27" t="n">
        <v>564.592</v>
      </c>
      <c r="BF12" s="26" t="n">
        <f aca="false">IF(AND(ISNUMBER(BG12),ISNUMBER(BC12),ISNUMBER(BD12),ISNUMBER(BE12)),BG12-BC12-BD12-BE12,"")</f>
        <v>573.502</v>
      </c>
      <c r="BG12" s="27" t="n">
        <v>2176.295</v>
      </c>
      <c r="BH12" s="27" t="n">
        <v>602.279</v>
      </c>
      <c r="BI12" s="27" t="n">
        <v>615.803</v>
      </c>
      <c r="BJ12" s="27" t="n">
        <v>630.641</v>
      </c>
      <c r="BK12" s="26" t="n">
        <f aca="false">IF(AND(ISNUMBER(BL12),ISNUMBER(BH12),ISNUMBER(BI12),ISNUMBER(BJ12)),BL12-BH12-BI12-BJ12,"")</f>
        <v>628.168</v>
      </c>
      <c r="BL12" s="27" t="n">
        <v>2476.891</v>
      </c>
      <c r="BM12" s="27" t="n">
        <v>642.859</v>
      </c>
      <c r="BN12" s="27" t="n">
        <v>656.926</v>
      </c>
      <c r="BO12" s="27" t="n">
        <v>680.444</v>
      </c>
      <c r="BP12" s="26" t="n">
        <f aca="false">IF(AND(ISNUMBER(BQ12),ISNUMBER(BM12),ISNUMBER(BN12),ISNUMBER(BO12)),BQ12-BM12-BN12-BO12,"")</f>
        <v>690.32</v>
      </c>
      <c r="BQ12" s="27" t="n">
        <v>2670.549</v>
      </c>
      <c r="BR12" s="27" t="n">
        <v>712.46</v>
      </c>
      <c r="BS12" s="27" t="n">
        <v>731.573</v>
      </c>
      <c r="BT12" s="27" t="n">
        <v>750.384</v>
      </c>
      <c r="BU12" s="26" t="n">
        <f aca="false">IF(AND(ISNUMBER(BV12),ISNUMBER(BR12),ISNUMBER(BS12),ISNUMBER(BT12)),BV12-BR12-BS12-BT12,"")</f>
        <v>749.862</v>
      </c>
      <c r="BV12" s="27" t="n">
        <v>2944.279</v>
      </c>
      <c r="BW12" s="27" t="n">
        <v>761.562</v>
      </c>
      <c r="BX12" s="27" t="n">
        <v>784.532</v>
      </c>
      <c r="BY12" s="28"/>
      <c r="BZ12" s="28"/>
      <c r="CA12" s="28"/>
      <c r="CB12" s="28"/>
      <c r="CC12" s="28"/>
      <c r="CD12" s="28"/>
      <c r="CE12" s="28"/>
      <c r="CF12" s="21" t="s">
        <v>93</v>
      </c>
      <c r="CN12" s="29" t="s">
        <v>94</v>
      </c>
      <c r="CO12" s="30" t="n">
        <v>10050</v>
      </c>
      <c r="CP12" s="30" t="n">
        <v>10035</v>
      </c>
      <c r="CQ12" s="30" t="n">
        <v>10020</v>
      </c>
      <c r="CR12" s="15" t="s">
        <v>95</v>
      </c>
    </row>
    <row r="13" customFormat="false" ht="15" hidden="false" customHeight="true" outlineLevel="0" collapsed="false">
      <c r="B13" s="24" t="s">
        <v>96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 t="str">
        <f aca="false">IF(AND(ISNUMBER(N13),ISNUMBER(J13),ISNUMBER(K13),ISNUMBER(L13)),N13-J13-K13-L13,"")</f>
        <v/>
      </c>
      <c r="N13" s="25"/>
      <c r="O13" s="25"/>
      <c r="P13" s="25"/>
      <c r="Q13" s="25"/>
      <c r="R13" s="26" t="str">
        <f aca="false">IF(AND(ISNUMBER(S13),ISNUMBER(O13),ISNUMBER(P13),ISNUMBER(Q13)),S13-O13-P13-Q13,"")</f>
        <v/>
      </c>
      <c r="S13" s="25"/>
      <c r="T13" s="25"/>
      <c r="U13" s="25"/>
      <c r="V13" s="25"/>
      <c r="W13" s="26" t="str">
        <f aca="false">IF(AND(ISNUMBER(X13),ISNUMBER(T13),ISNUMBER(U13),ISNUMBER(V13)),X13-T13-U13-V13,"")</f>
        <v/>
      </c>
      <c r="X13" s="25"/>
      <c r="Y13" s="25"/>
      <c r="Z13" s="25"/>
      <c r="AA13" s="25"/>
      <c r="AB13" s="26" t="str">
        <f aca="false">IF(AND(ISNUMBER(AC13),ISNUMBER(Y13),ISNUMBER(Z13),ISNUMBER(AA13)),AC13-Y13-Z13-AA13,"")</f>
        <v/>
      </c>
      <c r="AC13" s="25"/>
      <c r="AD13" s="25"/>
      <c r="AE13" s="25"/>
      <c r="AF13" s="25"/>
      <c r="AG13" s="26" t="str">
        <f aca="false">IF(AND(ISNUMBER(AH13),ISNUMBER(AD13),ISNUMBER(AE13),ISNUMBER(AF13)),AH13-AD13-AE13-AF13,"")</f>
        <v/>
      </c>
      <c r="AH13" s="25"/>
      <c r="AI13" s="25"/>
      <c r="AJ13" s="27" t="n">
        <v>297.076</v>
      </c>
      <c r="AK13" s="27" t="n">
        <v>300.026</v>
      </c>
      <c r="AL13" s="26" t="str">
        <f aca="false">IF(AND(ISNUMBER(AM13),ISNUMBER(AI13),ISNUMBER(AJ13),ISNUMBER(AK13)),AM13-AI13-AJ13-AK13,"")</f>
        <v/>
      </c>
      <c r="AM13" s="27" t="n">
        <v>1189.148</v>
      </c>
      <c r="AN13" s="27" t="n">
        <v>322.404</v>
      </c>
      <c r="AO13" s="27" t="n">
        <v>346.128</v>
      </c>
      <c r="AP13" s="27" t="n">
        <v>355.574</v>
      </c>
      <c r="AQ13" s="26" t="n">
        <f aca="false">IF(AND(ISNUMBER(AR13),ISNUMBER(AN13),ISNUMBER(AO13),ISNUMBER(AP13)),AR13-AN13-AO13-AP13,"")</f>
        <v>356.657</v>
      </c>
      <c r="AR13" s="27" t="n">
        <v>1380.763</v>
      </c>
      <c r="AS13" s="27" t="n">
        <v>365.731</v>
      </c>
      <c r="AT13" s="27" t="n">
        <v>378.188</v>
      </c>
      <c r="AU13" s="27" t="n">
        <v>387.566</v>
      </c>
      <c r="AV13" s="26" t="n">
        <f aca="false">IF(AND(ISNUMBER(AW13),ISNUMBER(AS13),ISNUMBER(AT13),ISNUMBER(AU13)),AW13-AS13-AT13-AU13,"")</f>
        <v>396.732</v>
      </c>
      <c r="AW13" s="27" t="n">
        <v>1528.217</v>
      </c>
      <c r="AX13" s="27" t="n">
        <v>400.819</v>
      </c>
      <c r="AY13" s="27" t="n">
        <v>416.975</v>
      </c>
      <c r="AZ13" s="27" t="n">
        <v>422.543</v>
      </c>
      <c r="BA13" s="26" t="n">
        <f aca="false">IF(AND(ISNUMBER(BB13),ISNUMBER(AX13),ISNUMBER(AY13),ISNUMBER(AZ13)),BB13-AX13-AY13-AZ13,"")</f>
        <v>433.482</v>
      </c>
      <c r="BB13" s="27" t="n">
        <v>1673.819</v>
      </c>
      <c r="BC13" s="27" t="n">
        <v>440.288</v>
      </c>
      <c r="BD13" s="27" t="n">
        <v>463.32</v>
      </c>
      <c r="BE13" s="27" t="n">
        <v>487.995</v>
      </c>
      <c r="BF13" s="26" t="n">
        <f aca="false">IF(AND(ISNUMBER(BG13),ISNUMBER(BC13),ISNUMBER(BD13),ISNUMBER(BE13)),BG13-BC13-BD13-BE13,"")</f>
        <v>499.505</v>
      </c>
      <c r="BG13" s="27" t="n">
        <v>1891.108</v>
      </c>
      <c r="BH13" s="27" t="n">
        <v>514.053</v>
      </c>
      <c r="BI13" s="27" t="n">
        <v>529.872</v>
      </c>
      <c r="BJ13" s="27" t="n">
        <v>538.364</v>
      </c>
      <c r="BK13" s="26" t="n">
        <f aca="false">IF(AND(ISNUMBER(BL13),ISNUMBER(BH13),ISNUMBER(BI13),ISNUMBER(BJ13)),BL13-BH13-BI13-BJ13,"")</f>
        <v>542.779000000001</v>
      </c>
      <c r="BL13" s="27" t="n">
        <v>2125.068</v>
      </c>
      <c r="BM13" s="27" t="n">
        <v>546.211</v>
      </c>
      <c r="BN13" s="27" t="n">
        <v>567.383</v>
      </c>
      <c r="BO13" s="27" t="n">
        <v>574.305</v>
      </c>
      <c r="BP13" s="26" t="n">
        <f aca="false">IF(AND(ISNUMBER(BQ13),ISNUMBER(BM13),ISNUMBER(BN13),ISNUMBER(BO13)),BQ13-BM13-BN13-BO13,"")</f>
        <v>571.012</v>
      </c>
      <c r="BQ13" s="27" t="n">
        <v>2258.911</v>
      </c>
      <c r="BR13" s="27" t="n">
        <v>571.619</v>
      </c>
      <c r="BS13" s="27" t="n">
        <v>592.225</v>
      </c>
      <c r="BT13" s="27" t="n">
        <v>600.832</v>
      </c>
      <c r="BU13" s="26" t="n">
        <f aca="false">IF(AND(ISNUMBER(BV13),ISNUMBER(BR13),ISNUMBER(BS13),ISNUMBER(BT13)),BV13-BR13-BS13-BT13,"")</f>
        <v>599.86</v>
      </c>
      <c r="BV13" s="27" t="n">
        <v>2364.536</v>
      </c>
      <c r="BW13" s="27" t="n">
        <v>600.117</v>
      </c>
      <c r="BX13" s="27" t="n">
        <v>619.691</v>
      </c>
      <c r="BY13" s="28"/>
      <c r="BZ13" s="28"/>
      <c r="CA13" s="28"/>
      <c r="CB13" s="28"/>
      <c r="CC13" s="28"/>
      <c r="CD13" s="28"/>
      <c r="CE13" s="28"/>
      <c r="CF13" s="21"/>
      <c r="CN13" s="29" t="s">
        <v>97</v>
      </c>
      <c r="CO13" s="30" t="n">
        <v>3340</v>
      </c>
      <c r="CP13" s="30" t="n">
        <v>3335</v>
      </c>
      <c r="CQ13" s="30" t="n">
        <v>3330</v>
      </c>
      <c r="CR13" s="15" t="s">
        <v>98</v>
      </c>
    </row>
    <row r="14" customFormat="false" ht="15" hidden="false" customHeight="true" outlineLevel="0" collapsed="false">
      <c r="B14" s="24" t="s">
        <v>99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6" t="str">
        <f aca="false">IF(AND(ISNUMBER(N14),ISNUMBER(J14),ISNUMBER(K14),ISNUMBER(L14)),N14-J14-K14-L14,"")</f>
        <v/>
      </c>
      <c r="N14" s="25"/>
      <c r="O14" s="25"/>
      <c r="P14" s="25"/>
      <c r="Q14" s="25"/>
      <c r="R14" s="26" t="str">
        <f aca="false">IF(AND(ISNUMBER(S14),ISNUMBER(O14),ISNUMBER(P14),ISNUMBER(Q14)),S14-O14-P14-Q14,"")</f>
        <v/>
      </c>
      <c r="S14" s="25"/>
      <c r="T14" s="25"/>
      <c r="U14" s="25"/>
      <c r="V14" s="25"/>
      <c r="W14" s="26" t="str">
        <f aca="false">IF(AND(ISNUMBER(X14),ISNUMBER(T14),ISNUMBER(U14),ISNUMBER(V14)),X14-T14-U14-V14,"")</f>
        <v/>
      </c>
      <c r="X14" s="25"/>
      <c r="Y14" s="25"/>
      <c r="Z14" s="25"/>
      <c r="AA14" s="25"/>
      <c r="AB14" s="26" t="str">
        <f aca="false">IF(AND(ISNUMBER(AC14),ISNUMBER(Y14),ISNUMBER(Z14),ISNUMBER(AA14)),AC14-Y14-Z14-AA14,"")</f>
        <v/>
      </c>
      <c r="AC14" s="25"/>
      <c r="AD14" s="25"/>
      <c r="AE14" s="25"/>
      <c r="AF14" s="25"/>
      <c r="AG14" s="26" t="str">
        <f aca="false">IF(AND(ISNUMBER(AH14),ISNUMBER(AD14),ISNUMBER(AE14),ISNUMBER(AF14)),AH14-AD14-AE14-AF14,"")</f>
        <v/>
      </c>
      <c r="AH14" s="25"/>
      <c r="AI14" s="25"/>
      <c r="AJ14" s="27" t="n">
        <v>197.279</v>
      </c>
      <c r="AK14" s="27" t="n">
        <v>202.13</v>
      </c>
      <c r="AL14" s="26" t="str">
        <f aca="false">IF(AND(ISNUMBER(AM14),ISNUMBER(AI14),ISNUMBER(AJ14),ISNUMBER(AK14)),AM14-AI14-AJ14-AK14,"")</f>
        <v/>
      </c>
      <c r="AM14" s="27" t="n">
        <v>768.687</v>
      </c>
      <c r="AN14" s="27" t="n">
        <v>187.44</v>
      </c>
      <c r="AO14" s="27" t="n">
        <v>215.355</v>
      </c>
      <c r="AP14" s="27" t="n">
        <v>226.801</v>
      </c>
      <c r="AQ14" s="26" t="n">
        <f aca="false">IF(AND(ISNUMBER(AR14),ISNUMBER(AN14),ISNUMBER(AO14),ISNUMBER(AP14)),AR14-AN14-AO14-AP14,"")</f>
        <v>211.577</v>
      </c>
      <c r="AR14" s="27" t="n">
        <v>841.173</v>
      </c>
      <c r="AS14" s="27" t="n">
        <v>206.771</v>
      </c>
      <c r="AT14" s="27" t="n">
        <v>194.457</v>
      </c>
      <c r="AU14" s="27" t="n">
        <v>216.894</v>
      </c>
      <c r="AV14" s="26" t="n">
        <f aca="false">IF(AND(ISNUMBER(AW14),ISNUMBER(AS14),ISNUMBER(AT14),ISNUMBER(AU14)),AW14-AS14-AT14-AU14,"")</f>
        <v>215.026</v>
      </c>
      <c r="AW14" s="27" t="n">
        <v>833.148</v>
      </c>
      <c r="AX14" s="27" t="n">
        <v>209.258</v>
      </c>
      <c r="AY14" s="27" t="n">
        <v>237.3</v>
      </c>
      <c r="AZ14" s="27" t="n">
        <v>249.417</v>
      </c>
      <c r="BA14" s="26" t="n">
        <f aca="false">IF(AND(ISNUMBER(BB14),ISNUMBER(AX14),ISNUMBER(AY14),ISNUMBER(AZ14)),BB14-AX14-AY14-AZ14,"")</f>
        <v>258.206</v>
      </c>
      <c r="BB14" s="27" t="n">
        <v>954.181</v>
      </c>
      <c r="BC14" s="27" t="n">
        <v>259.488</v>
      </c>
      <c r="BD14" s="27" t="n">
        <v>295.557</v>
      </c>
      <c r="BE14" s="27" t="n">
        <v>315.904</v>
      </c>
      <c r="BF14" s="26" t="n">
        <f aca="false">IF(AND(ISNUMBER(BG14),ISNUMBER(BC14),ISNUMBER(BD14),ISNUMBER(BE14)),BG14-BC14-BD14-BE14,"")</f>
        <v>312.675</v>
      </c>
      <c r="BG14" s="27" t="n">
        <v>1183.624</v>
      </c>
      <c r="BH14" s="27" t="n">
        <v>318.315</v>
      </c>
      <c r="BI14" s="27" t="n">
        <v>340.03</v>
      </c>
      <c r="BJ14" s="27" t="n">
        <v>343.74</v>
      </c>
      <c r="BK14" s="26" t="n">
        <f aca="false">IF(AND(ISNUMBER(BL14),ISNUMBER(BH14),ISNUMBER(BI14),ISNUMBER(BJ14)),BL14-BH14-BI14-BJ14,"")</f>
        <v>330.935</v>
      </c>
      <c r="BL14" s="27" t="n">
        <v>1333.02</v>
      </c>
      <c r="BM14" s="27" t="n">
        <v>325.99</v>
      </c>
      <c r="BN14" s="27" t="n">
        <v>358.789</v>
      </c>
      <c r="BO14" s="27" t="n">
        <v>367.559</v>
      </c>
      <c r="BP14" s="26" t="n">
        <f aca="false">IF(AND(ISNUMBER(BQ14),ISNUMBER(BM14),ISNUMBER(BN14),ISNUMBER(BO14)),BQ14-BM14-BN14-BO14,"")</f>
        <v>350.975</v>
      </c>
      <c r="BQ14" s="27" t="n">
        <v>1403.313</v>
      </c>
      <c r="BR14" s="27" t="n">
        <v>336.998</v>
      </c>
      <c r="BS14" s="27" t="n">
        <v>366.987</v>
      </c>
      <c r="BT14" s="27" t="n">
        <v>379.123</v>
      </c>
      <c r="BU14" s="26" t="n">
        <f aca="false">IF(AND(ISNUMBER(BV14),ISNUMBER(BR14),ISNUMBER(BS14),ISNUMBER(BT14)),BV14-BR14-BS14-BT14,"")</f>
        <v>356.173</v>
      </c>
      <c r="BV14" s="27" t="n">
        <v>1439.281</v>
      </c>
      <c r="BW14" s="27" t="n">
        <v>347.949</v>
      </c>
      <c r="BX14" s="27" t="n">
        <v>385.012</v>
      </c>
      <c r="BY14" s="28"/>
      <c r="BZ14" s="28"/>
      <c r="CA14" s="28"/>
      <c r="CB14" s="28"/>
      <c r="CC14" s="28"/>
      <c r="CD14" s="28"/>
      <c r="CE14" s="28"/>
      <c r="CF14" s="21"/>
      <c r="CN14" s="29" t="s">
        <v>100</v>
      </c>
      <c r="CO14" s="30" t="n">
        <v>1173</v>
      </c>
      <c r="CP14" s="30" t="n">
        <v>1171</v>
      </c>
      <c r="CQ14" s="30" t="n">
        <v>1169</v>
      </c>
      <c r="CR14" s="15" t="s">
        <v>101</v>
      </c>
    </row>
    <row r="15" customFormat="false" ht="15" hidden="false" customHeight="true" outlineLevel="0" collapsed="false">
      <c r="B15" s="18" t="s">
        <v>102</v>
      </c>
      <c r="C15" s="19" t="n">
        <v>259.19</v>
      </c>
      <c r="D15" s="19" t="n">
        <v>298.954</v>
      </c>
      <c r="E15" s="19" t="n">
        <v>308.811</v>
      </c>
      <c r="F15" s="19" t="n">
        <v>392.497</v>
      </c>
      <c r="G15" s="19" t="n">
        <v>458.241</v>
      </c>
      <c r="H15" s="19" t="n">
        <v>510.33</v>
      </c>
      <c r="I15" s="19" t="n">
        <v>524.861</v>
      </c>
      <c r="J15" s="19" t="n">
        <v>122.772</v>
      </c>
      <c r="K15" s="19" t="n">
        <v>153.6</v>
      </c>
      <c r="L15" s="19" t="n">
        <v>158.142</v>
      </c>
      <c r="M15" s="19" t="n">
        <v>144.866</v>
      </c>
      <c r="N15" s="19" t="n">
        <v>579.379</v>
      </c>
      <c r="O15" s="19" t="n">
        <v>135.563</v>
      </c>
      <c r="P15" s="19" t="n">
        <v>158.913</v>
      </c>
      <c r="Q15" s="19" t="n">
        <v>167.129</v>
      </c>
      <c r="R15" s="19" t="n">
        <v>155.557</v>
      </c>
      <c r="S15" s="19" t="n">
        <v>617.161</v>
      </c>
      <c r="T15" s="19" t="n">
        <v>142.43</v>
      </c>
      <c r="U15" s="19" t="n">
        <v>171.932</v>
      </c>
      <c r="V15" s="19" t="n">
        <v>180.442</v>
      </c>
      <c r="W15" s="19" t="n">
        <v>175.565</v>
      </c>
      <c r="X15" s="19" t="n">
        <v>670.369</v>
      </c>
      <c r="Y15" s="19" t="n">
        <v>170.083</v>
      </c>
      <c r="Z15" s="19" t="n">
        <v>256.847</v>
      </c>
      <c r="AA15" s="19" t="n">
        <v>377.998</v>
      </c>
      <c r="AB15" s="19" t="n">
        <v>350.482</v>
      </c>
      <c r="AC15" s="19" t="n">
        <v>1155.41</v>
      </c>
      <c r="AD15" s="19" t="n">
        <v>357.025</v>
      </c>
      <c r="AE15" s="19" t="n">
        <v>416.176</v>
      </c>
      <c r="AF15" s="19" t="n">
        <v>416.764</v>
      </c>
      <c r="AG15" s="19" t="n">
        <v>388.01</v>
      </c>
      <c r="AH15" s="19" t="n">
        <v>1577.975</v>
      </c>
      <c r="AI15" s="19" t="n">
        <v>370.929</v>
      </c>
      <c r="AJ15" s="19" t="n">
        <v>440.537</v>
      </c>
      <c r="AK15" s="19" t="n">
        <v>473.906</v>
      </c>
      <c r="AL15" s="19" t="n">
        <v>447.998</v>
      </c>
      <c r="AM15" s="19" t="n">
        <v>1733.371</v>
      </c>
      <c r="AN15" s="19" t="n">
        <v>405.791</v>
      </c>
      <c r="AO15" s="19" t="n">
        <v>501.401</v>
      </c>
      <c r="AP15" s="19" t="n">
        <v>520.218</v>
      </c>
      <c r="AQ15" s="19" t="n">
        <v>476.84</v>
      </c>
      <c r="AR15" s="19" t="n">
        <v>1904.251</v>
      </c>
      <c r="AS15" s="19" t="n">
        <v>446.983</v>
      </c>
      <c r="AT15" s="19" t="n">
        <v>469.704</v>
      </c>
      <c r="AU15" s="19" t="n">
        <v>514.705</v>
      </c>
      <c r="AV15" s="19" t="n">
        <v>493.093</v>
      </c>
      <c r="AW15" s="19" t="n">
        <v>1924.486</v>
      </c>
      <c r="AX15" s="19" t="n">
        <v>461.259</v>
      </c>
      <c r="AY15" s="19" t="n">
        <v>544.257</v>
      </c>
      <c r="AZ15" s="19" t="n">
        <v>553.974</v>
      </c>
      <c r="BA15" s="19" t="n">
        <v>533.122</v>
      </c>
      <c r="BB15" s="19" t="n">
        <v>2092.612</v>
      </c>
      <c r="BC15" s="19" t="n">
        <v>517.722</v>
      </c>
      <c r="BD15" s="19" t="n">
        <v>601.194</v>
      </c>
      <c r="BE15" s="19" t="n">
        <v>616.9</v>
      </c>
      <c r="BF15" s="19" t="n">
        <v>619.176</v>
      </c>
      <c r="BG15" s="19" t="n">
        <v>2354.992</v>
      </c>
      <c r="BH15" s="19" t="n">
        <v>616.954</v>
      </c>
      <c r="BI15" s="19" t="n">
        <v>688.965</v>
      </c>
      <c r="BJ15" s="19" t="n">
        <v>703.544</v>
      </c>
      <c r="BK15" s="19" t="n">
        <v>672.318</v>
      </c>
      <c r="BL15" s="19" t="n">
        <v>2681.782</v>
      </c>
      <c r="BM15" s="19" t="n">
        <v>655.36</v>
      </c>
      <c r="BN15" s="19" t="n">
        <v>756.139</v>
      </c>
      <c r="BO15" s="19" t="n">
        <v>776.928</v>
      </c>
      <c r="BP15" s="19" t="n">
        <v>718.525</v>
      </c>
      <c r="BQ15" s="19" t="n">
        <v>2906.952</v>
      </c>
      <c r="BR15" s="19" t="n">
        <v>658.023</v>
      </c>
      <c r="BS15" s="19" t="n">
        <v>784.015</v>
      </c>
      <c r="BT15" s="19" t="n">
        <v>804.442</v>
      </c>
      <c r="BU15" s="19" t="n">
        <v>757.06</v>
      </c>
      <c r="BV15" s="19" t="n">
        <v>3003.54</v>
      </c>
      <c r="BW15" s="19" t="n">
        <v>714.624</v>
      </c>
      <c r="BX15" s="19" t="n">
        <v>829.536</v>
      </c>
      <c r="BY15" s="20" t="n">
        <f aca="false">BT15*(1+BY20)</f>
        <v>838.13239003188</v>
      </c>
      <c r="BZ15" s="20" t="n">
        <f aca="false">BU15*(1+BZ20)</f>
        <v>788.766010722383</v>
      </c>
      <c r="CA15" s="20" t="n">
        <f aca="false">SUM(BW15,BX15,BY15,BZ15)</f>
        <v>3171.05840075426</v>
      </c>
      <c r="CB15" s="20" t="n">
        <f aca="false">CA15*(1+CB20)</f>
        <v>3305.82838278632</v>
      </c>
      <c r="CC15" s="20" t="n">
        <f aca="false">CB15*(1+CC20)</f>
        <v>3454.5906600117</v>
      </c>
      <c r="CD15" s="20" t="n">
        <f aca="false">CC15*(1+CD20)</f>
        <v>3618.68371636226</v>
      </c>
      <c r="CE15" s="20" t="n">
        <f aca="false">CD15*(1+CE20)</f>
        <v>3781.52448359856</v>
      </c>
      <c r="CF15" s="21" t="s">
        <v>103</v>
      </c>
      <c r="CH15" s="22" t="n">
        <f aca="false">IFERROR((CE15/BV15)^(1/5)-1,"n/m")</f>
        <v>0.0471447008771087</v>
      </c>
      <c r="CI15" s="22" t="n">
        <f aca="false">IFERROR((BV15/AW15)^(1/5)-1,"n/m")</f>
        <v>0.0931096613695785</v>
      </c>
      <c r="CJ15" s="22" t="n">
        <f aca="false">IFERROR((BV15/X15)^(1/10)-1,"n/m")</f>
        <v>0.161801545100444</v>
      </c>
      <c r="CK15" s="22" t="n">
        <f aca="false">IFERROR((BV15/C15)^(1/19)-1,"n/m")</f>
        <v>0.137629378434753</v>
      </c>
      <c r="CN15" s="29" t="s">
        <v>104</v>
      </c>
      <c r="CO15" s="30" t="n">
        <v>1450</v>
      </c>
      <c r="CP15" s="30" t="n">
        <v>1425</v>
      </c>
      <c r="CQ15" s="30" t="n">
        <v>1400</v>
      </c>
      <c r="CR15" s="15" t="s">
        <v>105</v>
      </c>
    </row>
    <row r="16" customFormat="false" ht="15" hidden="false" customHeight="true" outlineLevel="0" collapsed="false">
      <c r="B16" s="24" t="s">
        <v>106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 t="str">
        <f aca="false">IF(AND(ISNUMBER(N16),ISNUMBER(J16),ISNUMBER(K16),ISNUMBER(L16)),N16-J16-K16-L16,"")</f>
        <v/>
      </c>
      <c r="N16" s="25"/>
      <c r="O16" s="25"/>
      <c r="P16" s="25"/>
      <c r="Q16" s="25"/>
      <c r="R16" s="26" t="str">
        <f aca="false">IF(AND(ISNUMBER(S16),ISNUMBER(O16),ISNUMBER(P16),ISNUMBER(Q16)),S16-O16-P16-Q16,"")</f>
        <v/>
      </c>
      <c r="S16" s="25"/>
      <c r="T16" s="25"/>
      <c r="U16" s="25"/>
      <c r="V16" s="25"/>
      <c r="W16" s="26" t="str">
        <f aca="false">IF(AND(ISNUMBER(X16),ISNUMBER(T16),ISNUMBER(U16),ISNUMBER(V16)),X16-T16-U16-V16,"")</f>
        <v/>
      </c>
      <c r="X16" s="25"/>
      <c r="Y16" s="25"/>
      <c r="Z16" s="25"/>
      <c r="AA16" s="25"/>
      <c r="AB16" s="26" t="str">
        <f aca="false">IF(AND(ISNUMBER(AC16),ISNUMBER(Y16),ISNUMBER(Z16),ISNUMBER(AA16)),AC16-Y16-Z16-AA16,"")</f>
        <v/>
      </c>
      <c r="AC16" s="25"/>
      <c r="AD16" s="25"/>
      <c r="AE16" s="25"/>
      <c r="AF16" s="25"/>
      <c r="AG16" s="26" t="str">
        <f aca="false">IF(AND(ISNUMBER(AH16),ISNUMBER(AD16),ISNUMBER(AE16),ISNUMBER(AF16)),AH16-AD16-AE16-AF16,"")</f>
        <v/>
      </c>
      <c r="AH16" s="25"/>
      <c r="AI16" s="25"/>
      <c r="AJ16" s="27" t="n">
        <v>271.674</v>
      </c>
      <c r="AK16" s="27" t="n">
        <v>285.945</v>
      </c>
      <c r="AL16" s="26" t="str">
        <f aca="false">IF(AND(ISNUMBER(AM16),ISNUMBER(AI16),ISNUMBER(AJ16),ISNUMBER(AK16)),AM16-AI16-AJ16-AK16,"")</f>
        <v/>
      </c>
      <c r="AM16" s="27" t="n">
        <v>1063.242</v>
      </c>
      <c r="AN16" s="27" t="n">
        <v>244.601</v>
      </c>
      <c r="AO16" s="27" t="n">
        <v>296.84</v>
      </c>
      <c r="AP16" s="27" t="n">
        <v>310.633</v>
      </c>
      <c r="AQ16" s="26" t="n">
        <f aca="false">IF(AND(ISNUMBER(AR16),ISNUMBER(AN16),ISNUMBER(AO16),ISNUMBER(AP16)),AR16-AN16-AO16-AP16,"")</f>
        <v>280.861</v>
      </c>
      <c r="AR16" s="27" t="n">
        <v>1132.935</v>
      </c>
      <c r="AS16" s="27" t="n">
        <v>266.218</v>
      </c>
      <c r="AT16" s="27" t="n">
        <v>280.619</v>
      </c>
      <c r="AU16" s="27" t="n">
        <v>308.795</v>
      </c>
      <c r="AV16" s="26" t="n">
        <f aca="false">IF(AND(ISNUMBER(AW16),ISNUMBER(AS16),ISNUMBER(AT16),ISNUMBER(AU16)),AW16-AS16-AT16-AU16,"")</f>
        <v>291.1</v>
      </c>
      <c r="AW16" s="27" t="n">
        <v>1146.732</v>
      </c>
      <c r="AX16" s="27" t="n">
        <v>271.936</v>
      </c>
      <c r="AY16" s="27" t="n">
        <v>327.124</v>
      </c>
      <c r="AZ16" s="27" t="n">
        <v>328.147</v>
      </c>
      <c r="BA16" s="26" t="n">
        <f aca="false">IF(AND(ISNUMBER(BB16),ISNUMBER(AX16),ISNUMBER(AY16),ISNUMBER(AZ16)),BB16-AX16-AY16-AZ16,"")</f>
        <v>306.292</v>
      </c>
      <c r="BB16" s="27" t="n">
        <v>1233.499</v>
      </c>
      <c r="BC16" s="27" t="n">
        <v>299.765</v>
      </c>
      <c r="BD16" s="27" t="n">
        <v>339.719</v>
      </c>
      <c r="BE16" s="27" t="n">
        <v>345.215</v>
      </c>
      <c r="BF16" s="26" t="n">
        <f aca="false">IF(AND(ISNUMBER(BG16),ISNUMBER(BC16),ISNUMBER(BD16),ISNUMBER(BE16)),BG16-BC16-BD16-BE16,"")</f>
        <v>344.243</v>
      </c>
      <c r="BG16" s="27" t="n">
        <v>1328.942</v>
      </c>
      <c r="BH16" s="27" t="n">
        <v>343.433</v>
      </c>
      <c r="BI16" s="27" t="n">
        <v>382.944</v>
      </c>
      <c r="BJ16" s="27" t="n">
        <v>390.33</v>
      </c>
      <c r="BK16" s="26" t="n">
        <f aca="false">IF(AND(ISNUMBER(BL16),ISNUMBER(BH16),ISNUMBER(BI16),ISNUMBER(BJ16)),BL16-BH16-BI16-BJ16,"")</f>
        <v>366.69</v>
      </c>
      <c r="BL16" s="27" t="n">
        <v>1483.397</v>
      </c>
      <c r="BM16" s="27" t="n">
        <v>353.478</v>
      </c>
      <c r="BN16" s="27" t="n">
        <v>405.912</v>
      </c>
      <c r="BO16" s="27" t="n">
        <v>418.508</v>
      </c>
      <c r="BP16" s="26" t="n">
        <f aca="false">IF(AND(ISNUMBER(BQ16),ISNUMBER(BM16),ISNUMBER(BN16),ISNUMBER(BO16)),BQ16-BM16-BN16-BO16,"")</f>
        <v>379.974</v>
      </c>
      <c r="BQ16" s="27" t="n">
        <v>1557.872</v>
      </c>
      <c r="BR16" s="27" t="n">
        <v>338.754</v>
      </c>
      <c r="BS16" s="27" t="n">
        <v>402.08</v>
      </c>
      <c r="BT16" s="27" t="n">
        <v>414.614</v>
      </c>
      <c r="BU16" s="26" t="n">
        <f aca="false">IF(AND(ISNUMBER(BV16),ISNUMBER(BR16),ISNUMBER(BS16),ISNUMBER(BT16)),BV16-BR16-BS16-BT16,"")</f>
        <v>386.456</v>
      </c>
      <c r="BV16" s="27" t="n">
        <v>1541.904</v>
      </c>
      <c r="BW16" s="27" t="n">
        <v>360.448</v>
      </c>
      <c r="BX16" s="27" t="n">
        <v>417.541</v>
      </c>
      <c r="BY16" s="28"/>
      <c r="BZ16" s="28"/>
      <c r="CA16" s="28"/>
      <c r="CB16" s="28"/>
      <c r="CC16" s="28"/>
      <c r="CD16" s="28"/>
      <c r="CE16" s="28"/>
      <c r="CF16" s="21"/>
      <c r="CN16" s="29" t="s">
        <v>107</v>
      </c>
      <c r="CO16" s="30" t="n">
        <v>2680</v>
      </c>
      <c r="CP16" s="30" t="n">
        <v>2655</v>
      </c>
      <c r="CQ16" s="30" t="n">
        <v>2630</v>
      </c>
      <c r="CR16" s="15" t="s">
        <v>108</v>
      </c>
    </row>
    <row r="17" customFormat="false" ht="15" hidden="false" customHeight="true" outlineLevel="0" collapsed="false">
      <c r="B17" s="24" t="s">
        <v>109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 t="str">
        <f aca="false">IF(AND(ISNUMBER(N17),ISNUMBER(J17),ISNUMBER(K17),ISNUMBER(L17)),N17-J17-K17-L17,"")</f>
        <v/>
      </c>
      <c r="N17" s="25"/>
      <c r="O17" s="25"/>
      <c r="P17" s="25"/>
      <c r="Q17" s="25"/>
      <c r="R17" s="26" t="str">
        <f aca="false">IF(AND(ISNUMBER(S17),ISNUMBER(O17),ISNUMBER(P17),ISNUMBER(Q17)),S17-O17-P17-Q17,"")</f>
        <v/>
      </c>
      <c r="S17" s="25"/>
      <c r="T17" s="25"/>
      <c r="U17" s="25"/>
      <c r="V17" s="25"/>
      <c r="W17" s="26" t="str">
        <f aca="false">IF(AND(ISNUMBER(X17),ISNUMBER(T17),ISNUMBER(U17),ISNUMBER(V17)),X17-T17-U17-V17,"")</f>
        <v/>
      </c>
      <c r="X17" s="25"/>
      <c r="Y17" s="25"/>
      <c r="Z17" s="25"/>
      <c r="AA17" s="25"/>
      <c r="AB17" s="26" t="str">
        <f aca="false">IF(AND(ISNUMBER(AC17),ISNUMBER(Y17),ISNUMBER(Z17),ISNUMBER(AA17)),AC17-Y17-Z17-AA17,"")</f>
        <v/>
      </c>
      <c r="AC17" s="25"/>
      <c r="AD17" s="25"/>
      <c r="AE17" s="25"/>
      <c r="AF17" s="25"/>
      <c r="AG17" s="26" t="str">
        <f aca="false">IF(AND(ISNUMBER(AH17),ISNUMBER(AD17),ISNUMBER(AE17),ISNUMBER(AF17)),AH17-AD17-AE17-AF17,"")</f>
        <v/>
      </c>
      <c r="AH17" s="25"/>
      <c r="AI17" s="25"/>
      <c r="AJ17" s="27" t="n">
        <v>168.863</v>
      </c>
      <c r="AK17" s="27" t="n">
        <v>187.961</v>
      </c>
      <c r="AL17" s="26" t="str">
        <f aca="false">IF(AND(ISNUMBER(AM17),ISNUMBER(AI17),ISNUMBER(AJ17),ISNUMBER(AK17)),AM17-AI17-AJ17-AK17,"")</f>
        <v/>
      </c>
      <c r="AM17" s="27" t="n">
        <v>670.129</v>
      </c>
      <c r="AN17" s="27" t="n">
        <v>161.191</v>
      </c>
      <c r="AO17" s="27" t="n">
        <v>204.561</v>
      </c>
      <c r="AP17" s="27" t="n">
        <v>209.585</v>
      </c>
      <c r="AQ17" s="26" t="n">
        <f aca="false">IF(AND(ISNUMBER(AR17),ISNUMBER(AN17),ISNUMBER(AO17),ISNUMBER(AP17)),AR17-AN17-AO17-AP17,"")</f>
        <v>195.979</v>
      </c>
      <c r="AR17" s="27" t="n">
        <v>771.316</v>
      </c>
      <c r="AS17" s="27" t="n">
        <v>180.765</v>
      </c>
      <c r="AT17" s="27" t="n">
        <v>189.085</v>
      </c>
      <c r="AU17" s="27" t="n">
        <v>205.91</v>
      </c>
      <c r="AV17" s="26" t="n">
        <f aca="false">IF(AND(ISNUMBER(AW17),ISNUMBER(AS17),ISNUMBER(AT17),ISNUMBER(AU17)),AW17-AS17-AT17-AU17,"")</f>
        <v>201.994</v>
      </c>
      <c r="AW17" s="27" t="n">
        <v>777.754</v>
      </c>
      <c r="AX17" s="27" t="n">
        <v>189.323</v>
      </c>
      <c r="AY17" s="27" t="n">
        <v>217.133</v>
      </c>
      <c r="AZ17" s="27" t="n">
        <v>225.827</v>
      </c>
      <c r="BA17" s="26" t="n">
        <f aca="false">IF(AND(ISNUMBER(BB17),ISNUMBER(AX17),ISNUMBER(AY17),ISNUMBER(AZ17)),BB17-AX17-AY17-AZ17,"")</f>
        <v>226.83</v>
      </c>
      <c r="BB17" s="27" t="n">
        <v>859.113</v>
      </c>
      <c r="BC17" s="27" t="n">
        <v>217.957</v>
      </c>
      <c r="BD17" s="27" t="n">
        <v>261.475</v>
      </c>
      <c r="BE17" s="27" t="n">
        <v>271.685</v>
      </c>
      <c r="BF17" s="26" t="n">
        <f aca="false">IF(AND(ISNUMBER(BG17),ISNUMBER(BC17),ISNUMBER(BD17),ISNUMBER(BE17)),BG17-BC17-BD17-BE17,"")</f>
        <v>274.933</v>
      </c>
      <c r="BG17" s="27" t="n">
        <v>1026.05</v>
      </c>
      <c r="BH17" s="27" t="n">
        <v>273.521</v>
      </c>
      <c r="BI17" s="27" t="n">
        <v>306.021</v>
      </c>
      <c r="BJ17" s="27" t="n">
        <v>313.214</v>
      </c>
      <c r="BK17" s="26" t="n">
        <f aca="false">IF(AND(ISNUMBER(BL17),ISNUMBER(BH17),ISNUMBER(BI17),ISNUMBER(BJ17)),BL17-BH17-BI17-BJ17,"")</f>
        <v>305.629</v>
      </c>
      <c r="BL17" s="27" t="n">
        <v>1198.385</v>
      </c>
      <c r="BM17" s="27" t="n">
        <v>301.882</v>
      </c>
      <c r="BN17" s="27" t="n">
        <v>350.227</v>
      </c>
      <c r="BO17" s="27" t="n">
        <v>358.42</v>
      </c>
      <c r="BP17" s="26" t="n">
        <f aca="false">IF(AND(ISNUMBER(BQ17),ISNUMBER(BM17),ISNUMBER(BN17),ISNUMBER(BO17)),BQ17-BM17-BN17-BO17,"")</f>
        <v>338.551</v>
      </c>
      <c r="BQ17" s="27" t="n">
        <v>1349.08</v>
      </c>
      <c r="BR17" s="27" t="n">
        <v>319.269</v>
      </c>
      <c r="BS17" s="27" t="n">
        <v>381.935</v>
      </c>
      <c r="BT17" s="27" t="n">
        <v>389.828</v>
      </c>
      <c r="BU17" s="26" t="n">
        <f aca="false">IF(AND(ISNUMBER(BV17),ISNUMBER(BR17),ISNUMBER(BS17),ISNUMBER(BT17)),BV17-BR17-BS17-BT17,"")</f>
        <v>370.604</v>
      </c>
      <c r="BV17" s="27" t="n">
        <v>1461.636</v>
      </c>
      <c r="BW17" s="27" t="n">
        <v>354.176</v>
      </c>
      <c r="BX17" s="27" t="n">
        <v>411.995</v>
      </c>
      <c r="BY17" s="28"/>
      <c r="BZ17" s="28"/>
      <c r="CA17" s="28"/>
      <c r="CB17" s="28"/>
      <c r="CC17" s="28"/>
      <c r="CD17" s="28"/>
      <c r="CE17" s="28"/>
      <c r="CF17" s="21"/>
      <c r="CN17" s="17" t="s">
        <v>110</v>
      </c>
      <c r="CO17" s="17"/>
      <c r="CP17" s="17"/>
      <c r="CQ17" s="17"/>
    </row>
    <row r="18" customFormat="false" ht="15" hidden="false" customHeight="true" outlineLevel="0" collapsed="false">
      <c r="B18" s="18" t="s">
        <v>111</v>
      </c>
      <c r="C18" s="31"/>
      <c r="D18" s="31"/>
      <c r="E18" s="31"/>
      <c r="F18" s="31"/>
      <c r="G18" s="31"/>
      <c r="H18" s="31"/>
      <c r="I18" s="19" t="n">
        <v>81.512</v>
      </c>
      <c r="J18" s="19" t="n">
        <v>18.794</v>
      </c>
      <c r="K18" s="19" t="n">
        <v>18.61</v>
      </c>
      <c r="L18" s="19" t="n">
        <v>18.402</v>
      </c>
      <c r="M18" s="19" t="n">
        <v>16.025</v>
      </c>
      <c r="N18" s="19" t="n">
        <v>71.831</v>
      </c>
      <c r="O18" s="19" t="n">
        <v>14.904</v>
      </c>
      <c r="P18" s="19" t="n">
        <v>14.836</v>
      </c>
      <c r="Q18" s="19" t="n">
        <v>14.973</v>
      </c>
      <c r="R18" s="19" t="n">
        <v>13.513</v>
      </c>
      <c r="S18" s="19" t="n">
        <v>58.226</v>
      </c>
      <c r="T18" s="19" t="n">
        <v>11.069</v>
      </c>
      <c r="U18" s="19" t="n">
        <v>12.332</v>
      </c>
      <c r="V18" s="19" t="n">
        <v>12.213</v>
      </c>
      <c r="W18" s="19" t="n">
        <v>11.678</v>
      </c>
      <c r="X18" s="19" t="n">
        <v>47.292</v>
      </c>
      <c r="Y18" s="19" t="n">
        <v>10.619</v>
      </c>
      <c r="Z18" s="19" t="n">
        <v>18.119</v>
      </c>
      <c r="AA18" s="19" t="n">
        <v>32.138</v>
      </c>
      <c r="AB18" s="19" t="n">
        <v>31.58</v>
      </c>
      <c r="AC18" s="19" t="n">
        <v>92.456</v>
      </c>
      <c r="AD18" s="19" t="n">
        <v>43.889</v>
      </c>
      <c r="AE18" s="19" t="n">
        <v>43.693</v>
      </c>
      <c r="AF18" s="19" t="n">
        <v>43.864</v>
      </c>
      <c r="AG18" s="19" t="n">
        <v>30.285</v>
      </c>
      <c r="AH18" s="19" t="n">
        <v>161.73</v>
      </c>
      <c r="AI18" s="19" t="n">
        <v>23.485</v>
      </c>
      <c r="AJ18" s="19" t="n">
        <v>22.703</v>
      </c>
      <c r="AK18" s="19" t="n">
        <v>23.37</v>
      </c>
      <c r="AL18" s="19" t="n">
        <v>23.075</v>
      </c>
      <c r="AM18" s="19" t="n">
        <v>92.634</v>
      </c>
      <c r="AN18" s="19" t="n">
        <v>19.804</v>
      </c>
      <c r="AO18" s="19" t="n">
        <v>16.73</v>
      </c>
      <c r="AP18" s="19" t="n">
        <v>14.142</v>
      </c>
      <c r="AQ18" s="19" t="n">
        <v>13.569</v>
      </c>
      <c r="AR18" s="19" t="n">
        <v>64.245</v>
      </c>
      <c r="AS18" s="19" t="n">
        <v>18.108</v>
      </c>
      <c r="AT18" s="19" t="n">
        <v>20.217</v>
      </c>
      <c r="AU18" s="19" t="n">
        <v>21.377</v>
      </c>
      <c r="AV18" s="19" t="n">
        <v>26.688</v>
      </c>
      <c r="AW18" s="19" t="n">
        <v>86.389</v>
      </c>
      <c r="AX18" s="19" t="n">
        <v>32.448</v>
      </c>
      <c r="AY18" s="19" t="n">
        <v>41.539</v>
      </c>
      <c r="AZ18" s="19" t="n">
        <v>55.772</v>
      </c>
      <c r="BA18" s="19" t="n">
        <v>75.317</v>
      </c>
      <c r="BB18" s="19" t="n">
        <v>205.076</v>
      </c>
      <c r="BC18" s="19" t="n">
        <v>63.094</v>
      </c>
      <c r="BD18" s="19" t="n">
        <v>67.504</v>
      </c>
      <c r="BE18" s="19" t="n">
        <v>48.246</v>
      </c>
      <c r="BF18" s="19" t="n">
        <v>26.031</v>
      </c>
      <c r="BG18" s="19" t="n">
        <v>204.876</v>
      </c>
      <c r="BH18" s="19" t="n">
        <v>31.301</v>
      </c>
      <c r="BI18" s="19" t="n">
        <v>38.319</v>
      </c>
      <c r="BJ18" s="19" t="n">
        <v>36.103</v>
      </c>
      <c r="BK18" s="19" t="n">
        <v>41.316</v>
      </c>
      <c r="BL18" s="19" t="n">
        <v>147.039</v>
      </c>
      <c r="BM18" s="19" t="n">
        <v>49.025</v>
      </c>
      <c r="BN18" s="19" t="n">
        <v>63.298</v>
      </c>
      <c r="BO18" s="19" t="n">
        <v>69.748</v>
      </c>
      <c r="BP18" s="19" t="n">
        <v>59.802</v>
      </c>
      <c r="BQ18" s="19" t="n">
        <v>241.873</v>
      </c>
      <c r="BR18" s="19" t="n">
        <v>61.341</v>
      </c>
      <c r="BS18" s="19" t="n">
        <v>69.163</v>
      </c>
      <c r="BT18" s="19" t="n">
        <v>58.351</v>
      </c>
      <c r="BU18" s="19" t="n">
        <v>51.202</v>
      </c>
      <c r="BV18" s="19" t="n">
        <v>240.057</v>
      </c>
      <c r="BW18" s="19" t="n">
        <v>53.649</v>
      </c>
      <c r="BX18" s="19" t="n">
        <v>63.946</v>
      </c>
      <c r="BY18" s="20" t="n">
        <f aca="false">BT18*(1+BY20)</f>
        <v>60.7947659256357</v>
      </c>
      <c r="BZ18" s="20" t="n">
        <f aca="false">BU18*(1+BZ20)</f>
        <v>53.3463626145978</v>
      </c>
      <c r="CA18" s="20" t="n">
        <f aca="false">SUM(BW18,BX18,BY18,BZ18)</f>
        <v>231.736128540234</v>
      </c>
      <c r="CB18" s="20" t="n">
        <f aca="false">CA18*(1+CB20)</f>
        <v>241.584914003193</v>
      </c>
      <c r="CC18" s="20" t="n">
        <f aca="false">CB18*(1+CC20)</f>
        <v>252.456235133337</v>
      </c>
      <c r="CD18" s="20" t="n">
        <f aca="false">CC18*(1+CD20)</f>
        <v>264.447906302171</v>
      </c>
      <c r="CE18" s="20" t="n">
        <f aca="false">CD18*(1+CE20)</f>
        <v>276.348062085768</v>
      </c>
      <c r="CF18" s="21" t="s">
        <v>112</v>
      </c>
      <c r="CH18" s="22" t="n">
        <f aca="false">IFERROR((CE18/BV18)^(1/5)-1,"n/m")</f>
        <v>0.0285571080238021</v>
      </c>
      <c r="CI18" s="22" t="n">
        <f aca="false">IFERROR((BV18/AW18)^(1/5)-1,"n/m")</f>
        <v>0.226792706932097</v>
      </c>
      <c r="CJ18" s="22" t="n">
        <f aca="false">IFERROR((BV18/X18)^(1/10)-1,"n/m")</f>
        <v>0.176393643947433</v>
      </c>
      <c r="CK18" s="22" t="str">
        <f aca="false">IFERROR((BV18/C18)^(1/19)-1,"n/m")</f>
        <v>n/m</v>
      </c>
      <c r="CN18" s="29" t="s">
        <v>113</v>
      </c>
      <c r="CP18" s="30" t="n">
        <v>358</v>
      </c>
      <c r="CR18" s="15" t="s">
        <v>114</v>
      </c>
    </row>
    <row r="19" customFormat="false" ht="15" hidden="false" customHeight="true" outlineLevel="0" collapsed="false">
      <c r="B19" s="18" t="s">
        <v>115</v>
      </c>
      <c r="C19" s="32" t="n">
        <f aca="false">N(C11)+N(C15)+N(C18)</f>
        <v>861.952</v>
      </c>
      <c r="D19" s="32" t="n">
        <f aca="false">N(D11)+N(D15)+N(D18)</f>
        <v>992.629</v>
      </c>
      <c r="E19" s="32" t="n">
        <f aca="false">N(E11)+N(E15)+N(E18)</f>
        <v>1096.524</v>
      </c>
      <c r="F19" s="32" t="n">
        <f aca="false">N(F11)+N(F15)+N(F18)</f>
        <v>1294.265</v>
      </c>
      <c r="G19" s="32" t="n">
        <f aca="false">N(G11)+N(G15)+N(G18)</f>
        <v>1409.568</v>
      </c>
      <c r="H19" s="32" t="n">
        <f aca="false">N(H11)+N(H15)+N(H18)</f>
        <v>1579.395</v>
      </c>
      <c r="I19" s="32" t="n">
        <f aca="false">N(I11)+N(I15)+N(I18)</f>
        <v>1782.706</v>
      </c>
      <c r="J19" s="32" t="n">
        <f aca="false">N(J11)+N(J15)+N(J18)</f>
        <v>434.71</v>
      </c>
      <c r="K19" s="32" t="n">
        <f aca="false">N(K11)+N(K15)+N(K18)</f>
        <v>478.682</v>
      </c>
      <c r="L19" s="32" t="n">
        <f aca="false">N(L11)+N(L15)+N(L18)</f>
        <v>489.416</v>
      </c>
      <c r="M19" s="32" t="n">
        <f aca="false">N(M11)+N(M15)+N(M18)</f>
        <v>467.494</v>
      </c>
      <c r="N19" s="32" t="n">
        <f aca="false">N(N11)+N(N15)+N(N18)</f>
        <v>1870.301</v>
      </c>
      <c r="O19" s="32" t="n">
        <f aca="false">N(O11)+N(O15)+N(O18)</f>
        <v>456.47</v>
      </c>
      <c r="P19" s="32" t="n">
        <f aca="false">N(P11)+N(P15)+N(P18)</f>
        <v>496.512</v>
      </c>
      <c r="Q19" s="32" t="n">
        <f aca="false">N(Q11)+N(Q15)+N(Q18)</f>
        <v>516.019</v>
      </c>
      <c r="R19" s="32" t="n">
        <f aca="false">N(R11)+N(R15)+N(R18)</f>
        <v>496.294</v>
      </c>
      <c r="S19" s="32" t="n">
        <f aca="false">N(S11)+N(S15)+N(S18)</f>
        <v>1965.293</v>
      </c>
      <c r="T19" s="32" t="n">
        <f aca="false">N(T11)+N(T15)+N(T18)</f>
        <v>480.504</v>
      </c>
      <c r="U19" s="32" t="n">
        <f aca="false">N(U11)+N(U15)+N(U18)</f>
        <v>526.847</v>
      </c>
      <c r="V19" s="32" t="n">
        <f aca="false">N(V11)+N(V15)+N(V18)</f>
        <v>547.145</v>
      </c>
      <c r="W19" s="32" t="n">
        <f aca="false">N(W11)+N(W15)+N(W18)</f>
        <v>541.844</v>
      </c>
      <c r="X19" s="32" t="n">
        <f aca="false">N(X11)+N(X15)+N(X18)</f>
        <v>2096.34</v>
      </c>
      <c r="Y19" s="32" t="n">
        <f aca="false">N(Y11)+N(Y15)+N(Y18)</f>
        <v>537.3</v>
      </c>
      <c r="Z19" s="32" t="n">
        <f aca="false">N(Z11)+N(Z15)+N(Z18)</f>
        <v>777.914</v>
      </c>
      <c r="AA19" s="32" t="n">
        <f aca="false">N(AA11)+N(AA15)+N(AA18)</f>
        <v>1170.417</v>
      </c>
      <c r="AB19" s="32" t="n">
        <f aca="false">N(AB11)+N(AB15)+N(AB18)</f>
        <v>1122.048</v>
      </c>
      <c r="AC19" s="32" t="n">
        <f aca="false">N(AC11)+N(AC15)+N(AC18)</f>
        <v>3607.679</v>
      </c>
      <c r="AD19" s="32" t="n">
        <f aca="false">N(AD11)+N(AD15)+N(AD18)</f>
        <v>1169.26</v>
      </c>
      <c r="AE19" s="32" t="n">
        <f aca="false">N(AE11)+N(AE15)+N(AE18)</f>
        <v>1257</v>
      </c>
      <c r="AF19" s="32" t="n">
        <f aca="false">N(AF11)+N(AF15)+N(AF18)</f>
        <v>1275.972</v>
      </c>
      <c r="AG19" s="32" t="n">
        <f aca="false">N(AG11)+N(AG15)+N(AG18)</f>
        <v>1218.92</v>
      </c>
      <c r="AH19" s="32" t="n">
        <f aca="false">N(AH11)+N(AH15)+N(AH18)</f>
        <v>4921.152</v>
      </c>
      <c r="AI19" s="32" t="n">
        <f aca="false">N(AI11)+N(AI15)+N(AI18)</f>
        <v>1204.06</v>
      </c>
      <c r="AJ19" s="32" t="n">
        <f aca="false">N(AJ11)+N(AJ15)+N(AJ18)</f>
        <v>1317.959</v>
      </c>
      <c r="AK19" s="32" t="n">
        <f aca="false">N(AK11)+N(AK15)+N(AK18)</f>
        <v>1368.976</v>
      </c>
      <c r="AL19" s="32" t="n">
        <f aca="false">N(AL11)+N(AL15)+N(AL18)</f>
        <v>1345.674</v>
      </c>
      <c r="AM19" s="32" t="n">
        <f aca="false">N(AM11)+N(AM15)+N(AM18)</f>
        <v>5236.671</v>
      </c>
      <c r="AN19" s="32" t="n">
        <f aca="false">N(AN11)+N(AN15)+N(AN18)</f>
        <v>1316.948</v>
      </c>
      <c r="AO19" s="32" t="n">
        <f aca="false">N(AO11)+N(AO15)+N(AO18)</f>
        <v>1476.255</v>
      </c>
      <c r="AP19" s="32" t="n">
        <f aca="false">N(AP11)+N(AP15)+N(AP18)</f>
        <v>1525.15</v>
      </c>
      <c r="AQ19" s="32" t="n">
        <f aca="false">N(AQ11)+N(AQ15)+N(AQ18)</f>
        <v>1465.295</v>
      </c>
      <c r="AR19" s="32" t="n">
        <f aca="false">N(AR11)+N(AR15)+N(AR18)</f>
        <v>5783.649</v>
      </c>
      <c r="AS19" s="32" t="n">
        <f aca="false">N(AS11)+N(AS15)+N(AS18)</f>
        <v>1454.1</v>
      </c>
      <c r="AT19" s="32" t="n">
        <f aca="false">N(AT11)+N(AT15)+N(AT18)</f>
        <v>1437.993</v>
      </c>
      <c r="AU19" s="32" t="n">
        <f aca="false">N(AU11)+N(AU15)+N(AU18)</f>
        <v>1546.579</v>
      </c>
      <c r="AV19" s="32" t="n">
        <f aca="false">N(AV11)+N(AV15)+N(AV18)</f>
        <v>1543.88</v>
      </c>
      <c r="AW19" s="32" t="n">
        <f aca="false">N(AW11)+N(AW15)+N(AW18)</f>
        <v>5982.553</v>
      </c>
      <c r="AX19" s="32" t="n">
        <f aca="false">N(AX11)+N(AX15)+N(AX18)</f>
        <v>1530.179</v>
      </c>
      <c r="AY19" s="32" t="n">
        <f aca="false">N(AY11)+N(AY15)+N(AY18)</f>
        <v>1684.115</v>
      </c>
      <c r="AZ19" s="32" t="n">
        <f aca="false">N(AZ11)+N(AZ15)+N(AZ18)</f>
        <v>1746.952</v>
      </c>
      <c r="BA19" s="32" t="n">
        <f aca="false">N(BA11)+N(BA15)+N(BA18)</f>
        <v>1777.867</v>
      </c>
      <c r="BB19" s="32" t="n">
        <f aca="false">N(BB11)+N(BB15)+N(BB18)</f>
        <v>6739.114</v>
      </c>
      <c r="BC19" s="32" t="n">
        <f aca="false">N(BC11)+N(BC15)+N(BC18)</f>
        <v>1780.268</v>
      </c>
      <c r="BD19" s="32" t="n">
        <f aca="false">N(BD11)+N(BD15)+N(BD18)</f>
        <v>1966.1</v>
      </c>
      <c r="BE19" s="32" t="n">
        <f aca="false">N(BE11)+N(BE15)+N(BE18)</f>
        <v>2033.637</v>
      </c>
      <c r="BF19" s="32" t="n">
        <f aca="false">N(BF11)+N(BF15)+N(BF18)</f>
        <v>2030.889</v>
      </c>
      <c r="BG19" s="32" t="n">
        <f aca="false">N(BG11)+N(BG15)+N(BG18)</f>
        <v>7810.895</v>
      </c>
      <c r="BH19" s="32" t="n">
        <f aca="false">N(BH11)+N(BH15)+N(BH18)</f>
        <v>2082.902</v>
      </c>
      <c r="BI19" s="32" t="n">
        <f aca="false">N(BI11)+N(BI15)+N(BI18)</f>
        <v>2212.989</v>
      </c>
      <c r="BJ19" s="32" t="n">
        <f aca="false">N(BJ11)+N(BJ15)+N(BJ18)</f>
        <v>2252.392</v>
      </c>
      <c r="BK19" s="32" t="n">
        <f aca="false">N(BK11)+N(BK15)+N(BK18)</f>
        <v>2215.516</v>
      </c>
      <c r="BL19" s="32" t="n">
        <f aca="false">N(BL11)+N(BL15)+N(BL18)</f>
        <v>8763.8</v>
      </c>
      <c r="BM19" s="32" t="n">
        <f aca="false">N(BM11)+N(BM15)+N(BM18)</f>
        <v>2219.445</v>
      </c>
      <c r="BN19" s="32" t="n">
        <f aca="false">N(BN11)+N(BN15)+N(BN18)</f>
        <v>2402.535</v>
      </c>
      <c r="BO19" s="32" t="n">
        <f aca="false">N(BO11)+N(BO15)+N(BO18)</f>
        <v>2468.984</v>
      </c>
      <c r="BP19" s="32" t="n">
        <f aca="false">N(BP11)+N(BP15)+N(BP18)</f>
        <v>2390.634</v>
      </c>
      <c r="BQ19" s="32" t="n">
        <f aca="false">N(BQ11)+N(BQ15)+N(BQ18)</f>
        <v>9481.598</v>
      </c>
      <c r="BR19" s="32" t="n">
        <f aca="false">N(BR11)+N(BR15)+N(BR18)</f>
        <v>2340.441</v>
      </c>
      <c r="BS19" s="32" t="n">
        <f aca="false">N(BS11)+N(BS15)+N(BS18)</f>
        <v>2543.963</v>
      </c>
      <c r="BT19" s="32" t="n">
        <f aca="false">N(BT11)+N(BT15)+N(BT18)</f>
        <v>2593.132</v>
      </c>
      <c r="BU19" s="32" t="n">
        <f aca="false">N(BU11)+N(BU15)+N(BU18)</f>
        <v>2514.158</v>
      </c>
      <c r="BV19" s="32" t="n">
        <f aca="false">N(BV11)+N(BV15)+N(BV18)</f>
        <v>9991.693</v>
      </c>
      <c r="BW19" s="32" t="n">
        <f aca="false">N(BW11)+N(BW15)+N(BW18)</f>
        <v>2477.901</v>
      </c>
      <c r="BX19" s="32" t="n">
        <f aca="false">N(BX11)+N(BX15)+N(BX18)</f>
        <v>2682.717</v>
      </c>
      <c r="BY19" s="20" t="n">
        <f aca="false">N(BY11)+N(BY15)+N(BY18)</f>
        <v>2701.7335256341</v>
      </c>
      <c r="BZ19" s="20" t="n">
        <f aca="false">N(BZ11)+N(BZ15)+N(BZ18)</f>
        <v>2619.45205926315</v>
      </c>
      <c r="CA19" s="20" t="n">
        <f aca="false">N(CA11)+N(CA15)+N(CA18)</f>
        <v>10481.8035848973</v>
      </c>
      <c r="CB19" s="20" t="n">
        <f aca="false">N(CB11)+N(CB15)+N(CB18)</f>
        <v>10927.2802372554</v>
      </c>
      <c r="CC19" s="20" t="n">
        <f aca="false">N(CC11)+N(CC15)+N(CC18)</f>
        <v>11419.0078479319</v>
      </c>
      <c r="CD19" s="20" t="n">
        <f aca="false">N(CD11)+N(CD15)+N(CD18)</f>
        <v>11961.4107207086</v>
      </c>
      <c r="CE19" s="20" t="n">
        <f aca="false">N(CE11)+N(CE15)+N(CE18)</f>
        <v>12499.6742031405</v>
      </c>
      <c r="CF19" s="21" t="s">
        <v>116</v>
      </c>
      <c r="CH19" s="22" t="n">
        <f aca="false">IFERROR((CE19/BV19)^(1/5)-1,"n/m")</f>
        <v>0.045807910165941</v>
      </c>
      <c r="CI19" s="22" t="n">
        <f aca="false">IFERROR((BV19/AW19)^(1/5)-1,"n/m")</f>
        <v>0.108027413635792</v>
      </c>
      <c r="CJ19" s="22" t="n">
        <f aca="false">IFERROR((BV19/X19)^(1/10)-1,"n/m")</f>
        <v>0.169008680538553</v>
      </c>
      <c r="CK19" s="22" t="n">
        <f aca="false">IFERROR((BV19/C19)^(1/19)-1,"n/m")</f>
        <v>0.13764879335853</v>
      </c>
      <c r="CN19" s="29" t="s">
        <v>117</v>
      </c>
      <c r="CP19" s="33" t="n">
        <v>0.231</v>
      </c>
      <c r="CR19" s="15" t="s">
        <v>118</v>
      </c>
    </row>
    <row r="20" customFormat="false" ht="15" hidden="false" customHeight="true" outlineLevel="0" collapsed="false">
      <c r="B20" s="34" t="s">
        <v>119</v>
      </c>
      <c r="C20" s="35"/>
      <c r="D20" s="36" t="n">
        <f aca="false">IF(AND(ISNUMBER(D19),ISNUMBER(C19)),IFERROR(D19/C19-1,""),"")</f>
        <v>0.15160588988714</v>
      </c>
      <c r="E20" s="36" t="n">
        <f aca="false">IF(AND(ISNUMBER(E19),ISNUMBER(D19)),IFERROR(E19/D19-1,""),"")</f>
        <v>0.104666496747526</v>
      </c>
      <c r="F20" s="36" t="n">
        <f aca="false">IF(AND(ISNUMBER(F19),ISNUMBER(E19)),IFERROR(F19/E19-1,""),"")</f>
        <v>0.180334402165388</v>
      </c>
      <c r="G20" s="36" t="n">
        <f aca="false">IF(AND(ISNUMBER(G19),ISNUMBER(F19)),IFERROR(G19/F19-1,""),"")</f>
        <v>0.0890876288858926</v>
      </c>
      <c r="H20" s="36" t="n">
        <f aca="false">IF(AND(ISNUMBER(H19),ISNUMBER(G19)),IFERROR(H19/G19-1,""),"")</f>
        <v>0.120481594360826</v>
      </c>
      <c r="I20" s="36" t="n">
        <f aca="false">IF(AND(ISNUMBER(I19),ISNUMBER(H19)),IFERROR(I19/H19-1,""),"")</f>
        <v>0.128727139189373</v>
      </c>
      <c r="J20" s="35"/>
      <c r="K20" s="35"/>
      <c r="L20" s="35"/>
      <c r="M20" s="35"/>
      <c r="N20" s="36" t="n">
        <f aca="false">IF(AND(ISNUMBER(N19),ISNUMBER(I19)),IFERROR(N19/I19-1,""),"")</f>
        <v>0.0491359764313353</v>
      </c>
      <c r="O20" s="36" t="n">
        <f aca="false">IF(AND(ISNUMBER(O19),ISNUMBER(J19)),IFERROR(O19/J19-1,""),"")</f>
        <v>0.0500563594120218</v>
      </c>
      <c r="P20" s="36" t="n">
        <f aca="false">IF(AND(ISNUMBER(P19),ISNUMBER(K19)),IFERROR(P19/K19-1,""),"")</f>
        <v>0.0372481104365738</v>
      </c>
      <c r="Q20" s="36" t="n">
        <f aca="false">IF(AND(ISNUMBER(Q19),ISNUMBER(L19)),IFERROR(Q19/L19-1,""),"")</f>
        <v>0.0543566209523185</v>
      </c>
      <c r="R20" s="36" t="n">
        <f aca="false">IF(AND(ISNUMBER(R19),ISNUMBER(M19)),IFERROR(R19/M19-1,""),"")</f>
        <v>0.0616050687281546</v>
      </c>
      <c r="S20" s="36" t="n">
        <f aca="false">IF(AND(ISNUMBER(S19),ISNUMBER(N19)),IFERROR(S19/N19-1,""),"")</f>
        <v>0.0507896857243837</v>
      </c>
      <c r="T20" s="36" t="n">
        <f aca="false">IF(AND(ISNUMBER(T19),ISNUMBER(O19)),IFERROR(T19/O19-1,""),"")</f>
        <v>0.0526518719740619</v>
      </c>
      <c r="U20" s="36" t="n">
        <f aca="false">IF(AND(ISNUMBER(U19),ISNUMBER(P19)),IFERROR(U19/P19-1,""),"")</f>
        <v>0.0610962071410157</v>
      </c>
      <c r="V20" s="36" t="n">
        <f aca="false">IF(AND(ISNUMBER(V19),ISNUMBER(Q19)),IFERROR(V19/Q19-1,""),"")</f>
        <v>0.0603194843600723</v>
      </c>
      <c r="W20" s="36" t="n">
        <f aca="false">IF(AND(ISNUMBER(W19),ISNUMBER(R19)),IFERROR(W19/R19-1,""),"")</f>
        <v>0.0917802754012742</v>
      </c>
      <c r="X20" s="36" t="n">
        <f aca="false">IF(AND(ISNUMBER(X19),ISNUMBER(S19)),IFERROR(X19/S19-1,""),"")</f>
        <v>0.0666806425301469</v>
      </c>
      <c r="Y20" s="36" t="n">
        <f aca="false">IF(AND(ISNUMBER(Y19),ISNUMBER(T19)),IFERROR(Y19/T19-1,""),"")</f>
        <v>0.11820088906648</v>
      </c>
      <c r="Z20" s="36" t="n">
        <f aca="false">IF(AND(ISNUMBER(Z19),ISNUMBER(U19)),IFERROR(Z19/U19-1,""),"")</f>
        <v>0.47654632179741</v>
      </c>
      <c r="AA20" s="36" t="n">
        <f aca="false">IF(AND(ISNUMBER(AA19),ISNUMBER(V19)),IFERROR(AA19/V19-1,""),"")</f>
        <v>1.13913496422338</v>
      </c>
      <c r="AB20" s="36" t="n">
        <f aca="false">IF(AND(ISNUMBER(AB19),ISNUMBER(W19)),IFERROR(AB19/W19-1,""),"")</f>
        <v>1.07079528425156</v>
      </c>
      <c r="AC20" s="36" t="n">
        <f aca="false">IF(AND(ISNUMBER(AC19),ISNUMBER(X19)),IFERROR(AC19/X19-1,""),"")</f>
        <v>0.720941736550369</v>
      </c>
      <c r="AD20" s="36" t="n">
        <f aca="false">IF(AND(ISNUMBER(AD19),ISNUMBER(Y19)),IFERROR(AD19/Y19-1,""),"")</f>
        <v>1.17617718220733</v>
      </c>
      <c r="AE20" s="36" t="n">
        <f aca="false">IF(AND(ISNUMBER(AE19),ISNUMBER(Z19)),IFERROR(AE19/Z19-1,""),"")</f>
        <v>0.61585985083184</v>
      </c>
      <c r="AF20" s="36" t="n">
        <f aca="false">IF(AND(ISNUMBER(AF19),ISNUMBER(AA19)),IFERROR(AF19/AA19-1,""),"")</f>
        <v>0.0901858055718605</v>
      </c>
      <c r="AG20" s="36" t="n">
        <f aca="false">IF(AND(ISNUMBER(AG19),ISNUMBER(AB19)),IFERROR(AG19/AB19-1,""),"")</f>
        <v>0.0863349874515174</v>
      </c>
      <c r="AH20" s="36" t="n">
        <f aca="false">IF(AND(ISNUMBER(AH19),ISNUMBER(AC19)),IFERROR(AH19/AC19-1,""),"")</f>
        <v>0.364077014612442</v>
      </c>
      <c r="AI20" s="36" t="n">
        <f aca="false">IF(AND(ISNUMBER(AI19),ISNUMBER(AD19)),IFERROR(AI19/AD19-1,""),"")</f>
        <v>0.0297624138343908</v>
      </c>
      <c r="AJ20" s="36" t="n">
        <f aca="false">IF(AND(ISNUMBER(AJ19),ISNUMBER(AE19)),IFERROR(AJ19/AE19-1,""),"")</f>
        <v>0.0484956245027846</v>
      </c>
      <c r="AK20" s="36" t="n">
        <f aca="false">IF(AND(ISNUMBER(AK19),ISNUMBER(AF19)),IFERROR(AK19/AF19-1,""),"")</f>
        <v>0.0728887467750072</v>
      </c>
      <c r="AL20" s="36" t="n">
        <f aca="false">IF(AND(ISNUMBER(AL19),ISNUMBER(AG19)),IFERROR(AL19/AG19-1,""),"")</f>
        <v>0.103988776950087</v>
      </c>
      <c r="AM20" s="36" t="n">
        <f aca="false">IF(AND(ISNUMBER(AM19),ISNUMBER(AH19)),IFERROR(AM19/AH19-1,""),"")</f>
        <v>0.064114865787523</v>
      </c>
      <c r="AN20" s="36" t="n">
        <f aca="false">IF(AND(ISNUMBER(AN19),ISNUMBER(AI19)),IFERROR(AN19/AI19-1,""),"")</f>
        <v>0.0937561251100447</v>
      </c>
      <c r="AO20" s="36" t="n">
        <f aca="false">IF(AND(ISNUMBER(AO19),ISNUMBER(AJ19)),IFERROR(AO19/AJ19-1,""),"")</f>
        <v>0.120106922901243</v>
      </c>
      <c r="AP20" s="36" t="n">
        <f aca="false">IF(AND(ISNUMBER(AP19),ISNUMBER(AK19)),IFERROR(AP19/AK19-1,""),"")</f>
        <v>0.114080889657671</v>
      </c>
      <c r="AQ20" s="36" t="n">
        <f aca="false">IF(AND(ISNUMBER(AQ19),ISNUMBER(AL19)),IFERROR(AQ19/AL19-1,""),"")</f>
        <v>0.0888930008308104</v>
      </c>
      <c r="AR20" s="36" t="n">
        <f aca="false">IF(AND(ISNUMBER(AR19),ISNUMBER(AM19)),IFERROR(AR19/AM19-1,""),"")</f>
        <v>0.104451473082804</v>
      </c>
      <c r="AS20" s="36" t="n">
        <f aca="false">IF(AND(ISNUMBER(AS19),ISNUMBER(AN19)),IFERROR(AS19/AN19-1,""),"")</f>
        <v>0.104143823446332</v>
      </c>
      <c r="AT20" s="36" t="n">
        <f aca="false">IF(AND(ISNUMBER(AT19),ISNUMBER(AO19)),IFERROR(AT19/AO19-1,""),"")</f>
        <v>-0.0259182864748976</v>
      </c>
      <c r="AU20" s="36" t="n">
        <f aca="false">IF(AND(ISNUMBER(AU19),ISNUMBER(AP19)),IFERROR(AU19/AP19-1,""),"")</f>
        <v>0.014050421270039</v>
      </c>
      <c r="AV20" s="36" t="n">
        <f aca="false">IF(AND(ISNUMBER(AV19),ISNUMBER(AQ19)),IFERROR(AV19/AQ19-1,""),"")</f>
        <v>0.0536308388413256</v>
      </c>
      <c r="AW20" s="36" t="n">
        <f aca="false">IF(AND(ISNUMBER(AW19),ISNUMBER(AR19)),IFERROR(AW19/AR19-1,""),"")</f>
        <v>0.034390745358164</v>
      </c>
      <c r="AX20" s="36" t="n">
        <f aca="false">IF(AND(ISNUMBER(AX19),ISNUMBER(AS19)),IFERROR(AX19/AS19-1,""),"")</f>
        <v>0.0523203356027784</v>
      </c>
      <c r="AY20" s="36" t="n">
        <f aca="false">IF(AND(ISNUMBER(AY19),ISNUMBER(AT19)),IFERROR(AY19/AT19-1,""),"")</f>
        <v>0.171156605073877</v>
      </c>
      <c r="AZ20" s="36" t="n">
        <f aca="false">IF(AND(ISNUMBER(AZ19),ISNUMBER(AU19)),IFERROR(AZ19/AU19-1,""),"")</f>
        <v>0.129558852150456</v>
      </c>
      <c r="BA20" s="36" t="n">
        <f aca="false">IF(AND(ISNUMBER(BA19),ISNUMBER(AV19)),IFERROR(BA19/AV19-1,""),"")</f>
        <v>0.151557763556753</v>
      </c>
      <c r="BB20" s="36" t="n">
        <f aca="false">IF(AND(ISNUMBER(BB19),ISNUMBER(AW19)),IFERROR(BB19/AW19-1,""),"")</f>
        <v>0.126461228174661</v>
      </c>
      <c r="BC20" s="36" t="n">
        <f aca="false">IF(AND(ISNUMBER(BC19),ISNUMBER(AX19)),IFERROR(BC19/AX19-1,""),"")</f>
        <v>0.163437741597552</v>
      </c>
      <c r="BD20" s="36" t="n">
        <f aca="false">IF(AND(ISNUMBER(BD19),ISNUMBER(AY19)),IFERROR(BD19/AY19-1,""),"")</f>
        <v>0.167438090629203</v>
      </c>
      <c r="BE20" s="36" t="n">
        <f aca="false">IF(AND(ISNUMBER(BE19),ISNUMBER(AZ19)),IFERROR(BE19/AZ19-1,""),"")</f>
        <v>0.164105825460574</v>
      </c>
      <c r="BF20" s="36" t="n">
        <f aca="false">IF(AND(ISNUMBER(BF19),ISNUMBER(BA19)),IFERROR(BF19/BA19-1,""),"")</f>
        <v>0.142317732428804</v>
      </c>
      <c r="BG20" s="36" t="n">
        <f aca="false">IF(AND(ISNUMBER(BG19),ISNUMBER(BB19)),IFERROR(BG19/BB19-1,""),"")</f>
        <v>0.159038858817346</v>
      </c>
      <c r="BH20" s="36" t="n">
        <f aca="false">IF(AND(ISNUMBER(BH19),ISNUMBER(BC19)),IFERROR(BH19/BC19-1,""),"")</f>
        <v>0.169993506595636</v>
      </c>
      <c r="BI20" s="36" t="n">
        <f aca="false">IF(AND(ISNUMBER(BI19),ISNUMBER(BD19)),IFERROR(BI19/BD19-1,""),"")</f>
        <v>0.125572961700829</v>
      </c>
      <c r="BJ20" s="36" t="n">
        <f aca="false">IF(AND(ISNUMBER(BJ19),ISNUMBER(BE19)),IFERROR(BJ19/BE19-1,""),"")</f>
        <v>0.107568361511912</v>
      </c>
      <c r="BK20" s="36" t="n">
        <f aca="false">IF(AND(ISNUMBER(BK19),ISNUMBER(BF19)),IFERROR(BK19/BF19-1,""),"")</f>
        <v>0.0909094490146922</v>
      </c>
      <c r="BL20" s="36" t="n">
        <f aca="false">IF(AND(ISNUMBER(BL19),ISNUMBER(BG19)),IFERROR(BL19/BG19-1,""),"")</f>
        <v>0.121996903043761</v>
      </c>
      <c r="BM20" s="36" t="n">
        <f aca="false">IF(AND(ISNUMBER(BM19),ISNUMBER(BH19)),IFERROR(BM19/BH19-1,""),"")</f>
        <v>0.065554212344124</v>
      </c>
      <c r="BN20" s="36" t="n">
        <f aca="false">IF(AND(ISNUMBER(BN19),ISNUMBER(BI19)),IFERROR(BN19/BI19-1,""),"")</f>
        <v>0.0856515780241112</v>
      </c>
      <c r="BO20" s="36" t="n">
        <f aca="false">IF(AND(ISNUMBER(BO19),ISNUMBER(BJ19)),IFERROR(BO19/BJ19-1,""),"")</f>
        <v>0.0961608814096304</v>
      </c>
      <c r="BP20" s="36" t="n">
        <f aca="false">IF(AND(ISNUMBER(BP19),ISNUMBER(BK19)),IFERROR(BP19/BK19-1,""),"")</f>
        <v>0.0790416318365566</v>
      </c>
      <c r="BQ20" s="36" t="n">
        <f aca="false">IF(AND(ISNUMBER(BQ19),ISNUMBER(BL19)),IFERROR(BQ19/BL19-1,""),"")</f>
        <v>0.0819048814441223</v>
      </c>
      <c r="BR20" s="36" t="n">
        <f aca="false">IF(AND(ISNUMBER(BR19),ISNUMBER(BM19)),IFERROR(BR19/BM19-1,""),"")</f>
        <v>0.054516331785649</v>
      </c>
      <c r="BS20" s="36" t="n">
        <f aca="false">IF(AND(ISNUMBER(BS19),ISNUMBER(BN19)),IFERROR(BS19/BN19-1,""),"")</f>
        <v>0.0588661559561048</v>
      </c>
      <c r="BT20" s="36" t="n">
        <f aca="false">IF(AND(ISNUMBER(BT19),ISNUMBER(BO19)),IFERROR(BT19/BO19-1,""),"")</f>
        <v>0.0502830314007705</v>
      </c>
      <c r="BU20" s="36" t="n">
        <f aca="false">IF(AND(ISNUMBER(BU19),ISNUMBER(BP19)),IFERROR(BU19/BP19-1,""),"")</f>
        <v>0.0516699754123804</v>
      </c>
      <c r="BV20" s="36" t="n">
        <f aca="false">IF(AND(ISNUMBER(BV19),ISNUMBER(BQ19)),IFERROR(BV19/BQ19-1,""),"")</f>
        <v>0.0537984208990932</v>
      </c>
      <c r="BW20" s="36" t="n">
        <f aca="false">IF(AND(ISNUMBER(BW19),ISNUMBER(BR19)),IFERROR(BW19/BR19-1,""),"")</f>
        <v>0.0587325209223391</v>
      </c>
      <c r="BX20" s="36" t="n">
        <f aca="false">IF(AND(ISNUMBER(BX19),ISNUMBER(BS19)),IFERROR(BX19/BS19-1,""),"")</f>
        <v>0.0545424599335758</v>
      </c>
      <c r="BY20" s="37" t="n">
        <f aca="false">$BX$21+BY87</f>
        <v>0.041880446361428</v>
      </c>
      <c r="BZ20" s="37" t="n">
        <f aca="false">$BX$21+BZ87</f>
        <v>0.041880446361428</v>
      </c>
      <c r="CA20" s="37" t="n">
        <f aca="false">IFERROR(CA19/BV19-1,"")</f>
        <v>0.0490518058248244</v>
      </c>
      <c r="CB20" s="37" t="n">
        <f aca="false">CB31</f>
        <v>0.0425</v>
      </c>
      <c r="CC20" s="37" t="n">
        <f aca="false">CC31</f>
        <v>0.045</v>
      </c>
      <c r="CD20" s="37" t="n">
        <f aca="false">CD31</f>
        <v>0.0475</v>
      </c>
      <c r="CE20" s="37" t="n">
        <f aca="false">CE31</f>
        <v>0.045</v>
      </c>
      <c r="CF20" s="21" t="s">
        <v>120</v>
      </c>
      <c r="CN20" s="29" t="s">
        <v>121</v>
      </c>
      <c r="CP20" s="30" t="n">
        <v>1112</v>
      </c>
      <c r="CR20" s="15" t="s">
        <v>122</v>
      </c>
    </row>
    <row r="21" customFormat="false" ht="15" hidden="false" customHeight="true" outlineLevel="0" collapsed="false">
      <c r="B21" s="24" t="s">
        <v>123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8" t="n">
        <f aca="false">IFERROR(BX19/BS19-1,"")</f>
        <v>0.0545424599335758</v>
      </c>
      <c r="BY21" s="39"/>
      <c r="BZ21" s="39"/>
      <c r="CA21" s="39"/>
      <c r="CB21" s="39"/>
      <c r="CC21" s="39"/>
      <c r="CD21" s="39"/>
      <c r="CE21" s="39"/>
      <c r="CF21" s="21"/>
      <c r="CN21" s="29" t="s">
        <v>124</v>
      </c>
      <c r="CP21" s="30" t="n">
        <v>192</v>
      </c>
      <c r="CR21" s="15" t="s">
        <v>125</v>
      </c>
    </row>
    <row r="22" customFormat="false" ht="15" hidden="false" customHeight="true" outlineLevel="0" collapsed="false">
      <c r="CN22" s="29" t="s">
        <v>126</v>
      </c>
      <c r="CP22" s="30" t="n">
        <v>1250</v>
      </c>
      <c r="CR22" s="15" t="s">
        <v>127</v>
      </c>
    </row>
    <row r="23" customFormat="false" ht="15" hidden="true" customHeight="true" outlineLevel="2" collapsed="false">
      <c r="B23" s="29" t="s">
        <v>128</v>
      </c>
      <c r="BY23" s="7"/>
      <c r="BZ23" s="7"/>
      <c r="CA23" s="7"/>
      <c r="CB23" s="7"/>
      <c r="CC23" s="7"/>
      <c r="CD23" s="7"/>
      <c r="CE23" s="7"/>
      <c r="CF23" s="21"/>
      <c r="CN23" s="29" t="s">
        <v>129</v>
      </c>
      <c r="CP23" s="30" t="n">
        <v>40.608</v>
      </c>
      <c r="CR23" s="15" t="s">
        <v>130</v>
      </c>
    </row>
    <row r="24" customFormat="false" ht="15" hidden="true" customHeight="true" outlineLevel="2" collapsed="false">
      <c r="B24" s="34" t="s">
        <v>131</v>
      </c>
      <c r="C24" s="40" t="n">
        <v>0.051</v>
      </c>
      <c r="D24" s="40" t="n">
        <v>0.047</v>
      </c>
      <c r="E24" s="40" t="n">
        <v>0.056</v>
      </c>
      <c r="F24" s="40" t="n">
        <v>0.048</v>
      </c>
      <c r="G24" s="40" t="n">
        <v>0.027</v>
      </c>
      <c r="H24" s="40" t="n">
        <v>0.036</v>
      </c>
      <c r="I24" s="40" t="n">
        <v>0.032</v>
      </c>
      <c r="J24" s="40" t="n">
        <v>0.028</v>
      </c>
      <c r="K24" s="40" t="n">
        <v>0.026</v>
      </c>
      <c r="L24" s="40" t="n">
        <v>0.024</v>
      </c>
      <c r="M24" s="40" t="n">
        <v>0.026</v>
      </c>
      <c r="N24" s="40" t="n">
        <v>0.026</v>
      </c>
      <c r="O24" s="40" t="n">
        <v>0.029</v>
      </c>
      <c r="P24" s="40" t="n">
        <v>0.026</v>
      </c>
      <c r="Q24" s="40" t="n">
        <v>0.028</v>
      </c>
      <c r="R24" s="40" t="n">
        <v>0.029</v>
      </c>
      <c r="S24" s="40" t="n">
        <v>0.028</v>
      </c>
      <c r="T24" s="40" t="n">
        <v>0.028</v>
      </c>
      <c r="U24" s="40" t="n">
        <v>0.029</v>
      </c>
      <c r="V24" s="40" t="n">
        <v>0.027</v>
      </c>
      <c r="W24" s="40" t="n">
        <v>0.029</v>
      </c>
      <c r="X24" s="40" t="n">
        <v>0.028</v>
      </c>
      <c r="Y24" s="40" t="n">
        <v>0.031</v>
      </c>
      <c r="Z24" s="40" t="n">
        <v>0.029</v>
      </c>
      <c r="AA24" s="40" t="n">
        <v>0.026</v>
      </c>
      <c r="AB24" s="40" t="n">
        <v>0.027</v>
      </c>
      <c r="AC24" s="40" t="n">
        <v>0.028</v>
      </c>
      <c r="AD24" s="40" t="n">
        <v>0.026</v>
      </c>
      <c r="AE24" s="40" t="n">
        <v>0.031</v>
      </c>
      <c r="AF24" s="40" t="n">
        <v>0.033</v>
      </c>
      <c r="AG24" s="40" t="n">
        <v>0.035</v>
      </c>
      <c r="AH24" s="40" t="n">
        <v>0.031</v>
      </c>
      <c r="AI24" s="40" t="n">
        <v>0.041</v>
      </c>
      <c r="AJ24" s="40" t="n">
        <v>0.039</v>
      </c>
      <c r="AK24" s="40" t="n">
        <v>0.04</v>
      </c>
      <c r="AL24" s="40" t="n">
        <v>0.044</v>
      </c>
      <c r="AM24" s="40" t="n">
        <v>0.041</v>
      </c>
      <c r="AN24" s="40" t="n">
        <v>0.05</v>
      </c>
      <c r="AO24" s="40" t="n">
        <v>0.05</v>
      </c>
      <c r="AP24" s="40" t="n">
        <v>0.051</v>
      </c>
      <c r="AQ24" s="40" t="n">
        <v>0.054</v>
      </c>
      <c r="AR24" s="40" t="n">
        <v>0.051</v>
      </c>
      <c r="AS24" s="40" t="n">
        <v>0.055</v>
      </c>
      <c r="AT24" s="40" t="n">
        <v>0.045</v>
      </c>
      <c r="AU24" s="40" t="n">
        <v>0.041</v>
      </c>
      <c r="AV24" s="40" t="n">
        <v>0.043</v>
      </c>
      <c r="AW24" s="40" t="n">
        <v>0.045</v>
      </c>
      <c r="AX24" s="40" t="n">
        <v>0.045</v>
      </c>
      <c r="AY24" s="40" t="n">
        <v>0.047</v>
      </c>
      <c r="AZ24" s="40" t="n">
        <v>0.047</v>
      </c>
      <c r="BA24" s="40" t="n">
        <v>0.05</v>
      </c>
      <c r="BB24" s="40" t="n">
        <v>0.047</v>
      </c>
      <c r="BC24" s="40" t="n">
        <v>0.063</v>
      </c>
      <c r="BD24" s="40" t="n">
        <v>0.072</v>
      </c>
      <c r="BE24" s="40" t="n">
        <v>0.083</v>
      </c>
      <c r="BF24" s="40" t="n">
        <v>0.09</v>
      </c>
      <c r="BG24" s="40" t="n">
        <v>0.077</v>
      </c>
      <c r="BH24" s="40" t="n">
        <v>0.11</v>
      </c>
      <c r="BI24" s="40" t="n">
        <v>0.098</v>
      </c>
      <c r="BJ24" s="40" t="n">
        <v>0.088</v>
      </c>
      <c r="BK24" s="40" t="n">
        <v>0.087</v>
      </c>
      <c r="BL24" s="40" t="n">
        <v>0.095</v>
      </c>
      <c r="BM24" s="40" t="n">
        <v>0.078</v>
      </c>
      <c r="BN24" s="40" t="n">
        <v>0.07</v>
      </c>
      <c r="BO24" s="40" t="n">
        <v>0.068</v>
      </c>
      <c r="BP24" s="40" t="n">
        <v>0.067</v>
      </c>
      <c r="BQ24" s="40" t="n">
        <v>0.071</v>
      </c>
      <c r="BR24" s="40" t="n">
        <v>0.069</v>
      </c>
      <c r="BS24" s="40" t="n">
        <v>0.066</v>
      </c>
      <c r="BT24" s="40" t="n">
        <v>0.063</v>
      </c>
      <c r="BU24" s="40" t="n">
        <v>0.064</v>
      </c>
      <c r="BV24" s="40" t="n">
        <v>0.065</v>
      </c>
      <c r="BW24" s="40" t="n">
        <v>0.06</v>
      </c>
      <c r="BX24" s="40" t="n">
        <v>0.056</v>
      </c>
      <c r="BY24" s="39"/>
      <c r="BZ24" s="39"/>
      <c r="CA24" s="39"/>
      <c r="CB24" s="37" t="n">
        <f aca="false">CHOOSE(MATCH($CF$2,{"Bull","Base","Bear"},0),$CO$29,$CP$29,$CQ$29)</f>
        <v>0.0475</v>
      </c>
      <c r="CC24" s="37" t="n">
        <f aca="false">CHOOSE(MATCH($CF$2,{"Bull","Base","Bear"},0),$CO$30,$CP$30,$CQ$30)</f>
        <v>0.045</v>
      </c>
      <c r="CD24" s="37" t="n">
        <f aca="false">CHOOSE(MATCH($CF$2,{"Bull","Base","Bear"},0),$CO$31,$CP$31,$CQ$31)</f>
        <v>0.0425</v>
      </c>
      <c r="CE24" s="37" t="n">
        <f aca="false">CHOOSE(MATCH($CF$2,{"Bull","Base","Bear"},0),$CO$32,$CP$32,$CQ$32)</f>
        <v>0.04</v>
      </c>
      <c r="CF24" s="21" t="s">
        <v>132</v>
      </c>
      <c r="CH24" s="41" t="n">
        <f aca="false">IFERROR(AVERAGE(CA24,CB24,CC24,CD24,CE24),"n/m")</f>
        <v>0.04375</v>
      </c>
      <c r="CI24" s="41" t="n">
        <f aca="false">IFERROR(AVERAGE(BB24,BG24,BL24,BQ24,BV24),"n/m")</f>
        <v>0.071</v>
      </c>
      <c r="CJ24" s="41" t="n">
        <f aca="false">IFERROR(AVERAGE(AC24,AH24,AM24,AR24,AW24,BB24,BG24,BL24,BQ24,BV24),"n/m")</f>
        <v>0.0551</v>
      </c>
      <c r="CK24" s="41" t="n">
        <f aca="false">IFERROR(AVERAGE(C24,D24,E24,F24,G24,H24,I24,N24,S24,X24,AC24,AH24,AM24,AR24,AW24,BB24,BG24,BL24,BQ24,BV24),"n/m")</f>
        <v>0.0465</v>
      </c>
      <c r="CN24" s="29" t="s">
        <v>133</v>
      </c>
      <c r="CO24" s="30" t="n">
        <v>600</v>
      </c>
      <c r="CP24" s="30" t="n">
        <v>400</v>
      </c>
      <c r="CQ24" s="30" t="n">
        <v>200</v>
      </c>
      <c r="CR24" s="15" t="s">
        <v>134</v>
      </c>
    </row>
    <row r="25" customFormat="false" ht="15" hidden="true" customHeight="true" outlineLevel="2" collapsed="false">
      <c r="B25" s="34" t="s">
        <v>135</v>
      </c>
      <c r="C25" s="35"/>
      <c r="D25" s="35"/>
      <c r="E25" s="35"/>
      <c r="F25" s="40" t="n">
        <v>-0.021</v>
      </c>
      <c r="G25" s="40" t="n">
        <v>0.002</v>
      </c>
      <c r="H25" s="35"/>
      <c r="I25" s="35"/>
      <c r="J25" s="40" t="n">
        <v>0.004</v>
      </c>
      <c r="K25" s="40" t="n">
        <v>0.002</v>
      </c>
      <c r="L25" s="40" t="n">
        <v>0.003</v>
      </c>
      <c r="M25" s="40" t="n">
        <v>0.003</v>
      </c>
      <c r="N25" s="40" t="n">
        <v>0.003</v>
      </c>
      <c r="O25" s="40" t="n">
        <v>0.001</v>
      </c>
      <c r="P25" s="40" t="n">
        <v>0</v>
      </c>
      <c r="Q25" s="40" t="n">
        <v>0</v>
      </c>
      <c r="R25" s="40" t="n">
        <v>0</v>
      </c>
      <c r="S25" s="40" t="n">
        <v>0</v>
      </c>
      <c r="T25" s="35"/>
      <c r="U25" s="40" t="n">
        <v>-0.001</v>
      </c>
      <c r="V25" s="40" t="n">
        <v>-0.002</v>
      </c>
      <c r="W25" s="40" t="n">
        <v>-0.005</v>
      </c>
      <c r="X25" s="40" t="n">
        <v>-0.002</v>
      </c>
      <c r="Y25" s="40" t="n">
        <v>-0.004</v>
      </c>
      <c r="Z25" s="40" t="n">
        <v>-0.003</v>
      </c>
      <c r="AA25" s="40" t="n">
        <v>-0.003</v>
      </c>
      <c r="AB25" s="40" t="n">
        <v>-0.001</v>
      </c>
      <c r="AC25" s="40" t="n">
        <v>-0.003</v>
      </c>
      <c r="AD25" s="40" t="n">
        <v>0</v>
      </c>
      <c r="AE25" s="40" t="n">
        <v>0</v>
      </c>
      <c r="AF25" s="40" t="n">
        <v>0</v>
      </c>
      <c r="AG25" s="40" t="n">
        <v>0.001</v>
      </c>
      <c r="AH25" s="40" t="n">
        <v>0.001</v>
      </c>
      <c r="AI25" s="40" t="n">
        <v>0.002</v>
      </c>
      <c r="AJ25" s="40" t="n">
        <v>0.003</v>
      </c>
      <c r="AK25" s="40" t="n">
        <v>0.005</v>
      </c>
      <c r="AL25" s="40" t="n">
        <v>0.004</v>
      </c>
      <c r="AM25" s="40" t="n">
        <v>0.004</v>
      </c>
      <c r="AN25" s="40" t="n">
        <v>0.002</v>
      </c>
      <c r="AO25" s="40" t="n">
        <v>0.002</v>
      </c>
      <c r="AP25" s="40" t="n">
        <v>0.001</v>
      </c>
      <c r="AQ25" s="40" t="n">
        <v>0</v>
      </c>
      <c r="AR25" s="40" t="n">
        <v>0.001</v>
      </c>
      <c r="AS25" s="40" t="n">
        <v>0.001</v>
      </c>
      <c r="AT25" s="40" t="n">
        <v>-0.002</v>
      </c>
      <c r="AU25" s="40" t="n">
        <v>-0.004</v>
      </c>
      <c r="AV25" s="40" t="n">
        <v>-0.005</v>
      </c>
      <c r="AW25" s="40" t="n">
        <v>-0.002</v>
      </c>
      <c r="AX25" s="40" t="n">
        <v>-0.003</v>
      </c>
      <c r="AY25" s="40" t="n">
        <v>0.002</v>
      </c>
      <c r="AZ25" s="40" t="n">
        <v>0.004</v>
      </c>
      <c r="BA25" s="40" t="n">
        <v>0.007</v>
      </c>
      <c r="BB25" s="40" t="n">
        <v>0.003</v>
      </c>
      <c r="BC25" s="40" t="n">
        <v>0.008</v>
      </c>
      <c r="BD25" s="40" t="n">
        <v>0.016</v>
      </c>
      <c r="BE25" s="40" t="n">
        <v>0.018</v>
      </c>
      <c r="BF25" s="40" t="n">
        <v>0.016</v>
      </c>
      <c r="BG25" s="40" t="n">
        <v>0.015</v>
      </c>
      <c r="BH25" s="40" t="n">
        <v>0.008</v>
      </c>
      <c r="BI25" s="40" t="n">
        <v>-0.007</v>
      </c>
      <c r="BJ25" s="40" t="n">
        <v>-0.011</v>
      </c>
      <c r="BK25" s="40" t="n">
        <v>-0.008</v>
      </c>
      <c r="BL25" s="40" t="n">
        <v>-0.005</v>
      </c>
      <c r="BM25" s="40" t="n">
        <v>-0.007</v>
      </c>
      <c r="BN25" s="40" t="n">
        <v>-0.002</v>
      </c>
      <c r="BO25" s="40" t="n">
        <v>-0.003</v>
      </c>
      <c r="BP25" s="40" t="n">
        <v>-0.005</v>
      </c>
      <c r="BQ25" s="40" t="n">
        <v>-0.005</v>
      </c>
      <c r="BR25" s="40" t="n">
        <v>-0.002</v>
      </c>
      <c r="BS25" s="40" t="n">
        <v>-0.002</v>
      </c>
      <c r="BT25" s="40" t="n">
        <v>-0.001</v>
      </c>
      <c r="BU25" s="40" t="n">
        <v>0</v>
      </c>
      <c r="BV25" s="40" t="n">
        <v>-0.001</v>
      </c>
      <c r="BW25" s="40" t="n">
        <v>-0.001</v>
      </c>
      <c r="BX25" s="40" t="n">
        <v>0.011</v>
      </c>
      <c r="BY25" s="39"/>
      <c r="BZ25" s="39"/>
      <c r="CA25" s="39"/>
      <c r="CB25" s="42" t="n">
        <v>0</v>
      </c>
      <c r="CC25" s="42" t="n">
        <v>0</v>
      </c>
      <c r="CD25" s="42" t="n">
        <v>0</v>
      </c>
      <c r="CE25" s="42" t="n">
        <v>0</v>
      </c>
      <c r="CF25" s="21" t="s">
        <v>136</v>
      </c>
      <c r="CH25" s="41" t="n">
        <f aca="false">IFERROR(AVERAGE(CA25,CB25,CC25,CD25,CE25),"n/m")</f>
        <v>0</v>
      </c>
      <c r="CI25" s="41" t="n">
        <f aca="false">IFERROR(AVERAGE(BB25,BG25,BL25,BQ25,BV25),"n/m")</f>
        <v>0.0014</v>
      </c>
      <c r="CJ25" s="41" t="n">
        <f aca="false">IFERROR(AVERAGE(AC25,AH25,AM25,AR25,AW25,BB25,BG25,BL25,BQ25,BV25),"n/m")</f>
        <v>0.0008</v>
      </c>
      <c r="CK25" s="41" t="n">
        <f aca="false">IFERROR(AVERAGE(C25,D25,E25,F25,G25,H25,I25,N25,S25,X25,AC25,AH25,AM25,AR25,AW25,BB25,BG25,BL25,BQ25,BV25),"n/m")</f>
        <v>-0.000666666666666667</v>
      </c>
    </row>
    <row r="26" customFormat="false" ht="15" hidden="true" customHeight="true" outlineLevel="2" collapsed="false">
      <c r="B26" s="34" t="s">
        <v>137</v>
      </c>
      <c r="C26" s="40" t="n">
        <v>0.028</v>
      </c>
      <c r="D26" s="40" t="n">
        <v>0.04</v>
      </c>
      <c r="E26" s="40" t="n">
        <v>-0.019</v>
      </c>
      <c r="F26" s="40" t="n">
        <v>-0.062</v>
      </c>
      <c r="G26" s="40" t="n">
        <v>0</v>
      </c>
      <c r="H26" s="40" t="n">
        <v>-0.003</v>
      </c>
      <c r="I26" s="40" t="n">
        <v>-0.021</v>
      </c>
      <c r="J26" s="40" t="n">
        <v>-0.019</v>
      </c>
      <c r="K26" s="40" t="n">
        <v>0.009</v>
      </c>
      <c r="L26" s="40" t="n">
        <v>0.022</v>
      </c>
      <c r="M26" s="40" t="n">
        <v>0.014</v>
      </c>
      <c r="N26" s="40" t="n">
        <v>0.007</v>
      </c>
      <c r="O26" s="40" t="n">
        <v>0.025</v>
      </c>
      <c r="P26" s="40" t="n">
        <v>0.015</v>
      </c>
      <c r="Q26" s="40" t="n">
        <v>0.021</v>
      </c>
      <c r="R26" s="40" t="n">
        <v>0.023</v>
      </c>
      <c r="S26" s="40" t="n">
        <v>0.021</v>
      </c>
      <c r="T26" s="40" t="n">
        <v>0.016</v>
      </c>
      <c r="U26" s="40" t="n">
        <v>0.024</v>
      </c>
      <c r="V26" s="40" t="n">
        <v>0.026</v>
      </c>
      <c r="W26" s="40" t="n">
        <v>0.024</v>
      </c>
      <c r="X26" s="40" t="n">
        <v>0.022</v>
      </c>
      <c r="Y26" s="40" t="n">
        <v>0.032</v>
      </c>
      <c r="Z26" s="40" t="n">
        <v>0.024</v>
      </c>
      <c r="AA26" s="40" t="n">
        <v>0.011</v>
      </c>
      <c r="AB26" s="40" t="n">
        <v>0.01</v>
      </c>
      <c r="AC26" s="40" t="n">
        <v>0.019</v>
      </c>
      <c r="AD26" s="40" t="n">
        <v>0.021</v>
      </c>
      <c r="AE26" s="40" t="n">
        <v>0.02</v>
      </c>
      <c r="AF26" s="40" t="n">
        <v>0.005</v>
      </c>
      <c r="AG26" s="40" t="n">
        <v>0.007</v>
      </c>
      <c r="AH26" s="40" t="n">
        <v>0.012</v>
      </c>
      <c r="AI26" s="40" t="n">
        <v>-0.011</v>
      </c>
      <c r="AJ26" s="40" t="n">
        <v>-0.015</v>
      </c>
      <c r="AK26" s="40" t="n">
        <v>-0.001</v>
      </c>
      <c r="AL26" s="40" t="n">
        <v>0.001</v>
      </c>
      <c r="AM26" s="40" t="n">
        <v>-0.007</v>
      </c>
      <c r="AN26" s="40" t="n">
        <v>-0.012</v>
      </c>
      <c r="AO26" s="40" t="n">
        <v>0.008</v>
      </c>
      <c r="AP26" s="40" t="n">
        <v>0.009</v>
      </c>
      <c r="AQ26" s="40" t="n">
        <v>-0.014</v>
      </c>
      <c r="AR26" s="40" t="n">
        <v>-0.002</v>
      </c>
      <c r="AS26" s="40" t="n">
        <v>-0.004</v>
      </c>
      <c r="AT26" s="40" t="n">
        <v>-0.096</v>
      </c>
      <c r="AU26" s="40" t="n">
        <v>-0.057</v>
      </c>
      <c r="AV26" s="40" t="n">
        <v>-0.031</v>
      </c>
      <c r="AW26" s="40" t="n">
        <v>-0.048</v>
      </c>
      <c r="AX26" s="40" t="n">
        <v>-0.032</v>
      </c>
      <c r="AY26" s="40" t="n">
        <v>0.065</v>
      </c>
      <c r="AZ26" s="40" t="n">
        <v>0.022</v>
      </c>
      <c r="BA26" s="40" t="n">
        <v>0.012</v>
      </c>
      <c r="BB26" s="40" t="n">
        <v>0.016</v>
      </c>
      <c r="BC26" s="40" t="n">
        <v>0.005</v>
      </c>
      <c r="BD26" s="40" t="n">
        <v>-0.007</v>
      </c>
      <c r="BE26" s="40" t="n">
        <v>-0.015</v>
      </c>
      <c r="BF26" s="40" t="n">
        <v>-0.025</v>
      </c>
      <c r="BG26" s="40" t="n">
        <v>-0.011</v>
      </c>
      <c r="BH26" s="40" t="n">
        <v>-0.013</v>
      </c>
      <c r="BI26" s="40" t="n">
        <v>-0.019</v>
      </c>
      <c r="BJ26" s="40" t="n">
        <v>-0.024</v>
      </c>
      <c r="BK26" s="40" t="n">
        <v>-0.023</v>
      </c>
      <c r="BL26" s="40" t="n">
        <v>-0.02</v>
      </c>
      <c r="BM26" s="40" t="n">
        <v>-0.038</v>
      </c>
      <c r="BN26" s="40" t="n">
        <v>-0.028</v>
      </c>
      <c r="BO26" s="40" t="n">
        <v>-0.019</v>
      </c>
      <c r="BP26" s="40" t="n">
        <v>-0.032</v>
      </c>
      <c r="BQ26" s="40" t="n">
        <v>-0.029</v>
      </c>
      <c r="BR26" s="40" t="n">
        <v>-0.028</v>
      </c>
      <c r="BS26" s="40" t="n">
        <v>-0.026</v>
      </c>
      <c r="BT26" s="40" t="n">
        <v>-0.027</v>
      </c>
      <c r="BU26" s="40" t="n">
        <v>-0.027</v>
      </c>
      <c r="BV26" s="40" t="n">
        <v>-0.028</v>
      </c>
      <c r="BW26" s="40" t="n">
        <v>-0.015</v>
      </c>
      <c r="BX26" s="40" t="n">
        <v>-0.019</v>
      </c>
      <c r="BY26" s="39"/>
      <c r="BZ26" s="39"/>
      <c r="CA26" s="39"/>
      <c r="CB26" s="37" t="n">
        <f aca="false">CHOOSE(MATCH($CF$2,{"Bull","Base","Bear"},0),$CO$34,$CP$34,$CQ$34)</f>
        <v>-0.005</v>
      </c>
      <c r="CC26" s="37" t="n">
        <f aca="false">CHOOSE(MATCH($CF$2,{"Bull","Base","Bear"},0),$CO$35,$CP$35,$CQ$35)</f>
        <v>0</v>
      </c>
      <c r="CD26" s="37" t="n">
        <f aca="false">CHOOSE(MATCH($CF$2,{"Bull","Base","Bear"},0),$CO$36,$CP$36,$CQ$36)</f>
        <v>0.005</v>
      </c>
      <c r="CE26" s="37" t="n">
        <f aca="false">CHOOSE(MATCH($CF$2,{"Bull","Base","Bear"},0),$CO$37,$CP$37,$CQ$37)</f>
        <v>0.005</v>
      </c>
      <c r="CF26" s="21" t="s">
        <v>138</v>
      </c>
      <c r="CH26" s="41" t="n">
        <f aca="false">IFERROR(AVERAGE(CA26,CB26,CC26,CD26,CE26),"n/m")</f>
        <v>0.00125</v>
      </c>
      <c r="CI26" s="41" t="n">
        <f aca="false">IFERROR(AVERAGE(BB26,BG26,BL26,BQ26,BV26),"n/m")</f>
        <v>-0.0144</v>
      </c>
      <c r="CJ26" s="41" t="n">
        <f aca="false">IFERROR(AVERAGE(AC26,AH26,AM26,AR26,AW26,BB26,BG26,BL26,BQ26,BV26),"n/m")</f>
        <v>-0.0098</v>
      </c>
      <c r="CK26" s="41" t="n">
        <f aca="false">IFERROR(AVERAGE(C26,D26,E26,F26,G26,H26,I26,N26,S26,X26,AC26,AH26,AM26,AR26,AW26,BB26,BG26,BL26,BQ26,BV26),"n/m")</f>
        <v>-0.00425</v>
      </c>
      <c r="CN26" s="29" t="s">
        <v>139</v>
      </c>
      <c r="CO26" s="43" t="n">
        <v>3</v>
      </c>
      <c r="CP26" s="43" t="n">
        <v>2.75</v>
      </c>
      <c r="CQ26" s="43" t="n">
        <v>2.5</v>
      </c>
      <c r="CR26" s="15" t="s">
        <v>140</v>
      </c>
    </row>
    <row r="27" customFormat="false" ht="15" hidden="true" customHeight="true" outlineLevel="2" collapsed="false">
      <c r="B27" s="34" t="s">
        <v>141</v>
      </c>
      <c r="C27" s="35"/>
      <c r="D27" s="35"/>
      <c r="E27" s="35"/>
      <c r="F27" s="35"/>
      <c r="G27" s="35"/>
      <c r="H27" s="35"/>
      <c r="I27" s="40" t="n">
        <v>-0.013</v>
      </c>
      <c r="J27" s="40" t="n">
        <v>-0.006</v>
      </c>
      <c r="K27" s="40" t="n">
        <v>-0.008</v>
      </c>
      <c r="L27" s="40" t="n">
        <v>0</v>
      </c>
      <c r="M27" s="40" t="n">
        <v>-0.005</v>
      </c>
      <c r="N27" s="40" t="n">
        <v>-0.005</v>
      </c>
      <c r="O27" s="40" t="n">
        <v>-0.007</v>
      </c>
      <c r="P27" s="40" t="n">
        <v>-0.006</v>
      </c>
      <c r="Q27" s="40" t="n">
        <v>-0.005</v>
      </c>
      <c r="R27" s="40" t="n">
        <v>-0.006</v>
      </c>
      <c r="S27" s="40" t="n">
        <v>-0.006</v>
      </c>
      <c r="T27" s="40" t="n">
        <v>-0.008</v>
      </c>
      <c r="U27" s="40" t="n">
        <v>-0.005</v>
      </c>
      <c r="V27" s="40" t="n">
        <v>-0.005</v>
      </c>
      <c r="W27" s="40" t="n">
        <v>-0.004</v>
      </c>
      <c r="X27" s="40" t="n">
        <v>-0.006</v>
      </c>
      <c r="Y27" s="40" t="n">
        <v>-0.002</v>
      </c>
      <c r="Z27" s="40" t="n">
        <v>-0.001</v>
      </c>
      <c r="AA27" s="40" t="n">
        <v>0.004</v>
      </c>
      <c r="AB27" s="40" t="n">
        <v>0.004</v>
      </c>
      <c r="AC27" s="40" t="n">
        <v>0.001</v>
      </c>
      <c r="AD27" s="40" t="n">
        <v>0.015</v>
      </c>
      <c r="AE27" s="40" t="n">
        <v>0.011</v>
      </c>
      <c r="AF27" s="40" t="n">
        <v>0.008</v>
      </c>
      <c r="AG27" s="40" t="n">
        <v>-0.003</v>
      </c>
      <c r="AH27" s="40" t="n">
        <v>0.007</v>
      </c>
      <c r="AI27" s="40" t="n">
        <v>-0.019</v>
      </c>
      <c r="AJ27" s="40" t="n">
        <v>-0.018</v>
      </c>
      <c r="AK27" s="40" t="n">
        <v>-0.018</v>
      </c>
      <c r="AL27" s="40" t="n">
        <v>-0.008</v>
      </c>
      <c r="AM27" s="40" t="n">
        <v>-0.016</v>
      </c>
      <c r="AN27" s="40" t="n">
        <v>-0.005</v>
      </c>
      <c r="AO27" s="40" t="n">
        <v>-0.007</v>
      </c>
      <c r="AP27" s="40" t="n">
        <v>-0.008</v>
      </c>
      <c r="AQ27" s="40" t="n">
        <v>-0.008</v>
      </c>
      <c r="AR27" s="40" t="n">
        <v>-0.007</v>
      </c>
      <c r="AS27" s="40" t="n">
        <v>-0.004</v>
      </c>
      <c r="AT27" s="40" t="n">
        <v>0</v>
      </c>
      <c r="AU27" s="40" t="n">
        <v>0.002</v>
      </c>
      <c r="AV27" s="40" t="n">
        <v>0.005</v>
      </c>
      <c r="AW27" s="40" t="n">
        <v>0.001</v>
      </c>
      <c r="AX27" s="40" t="n">
        <v>0.009</v>
      </c>
      <c r="AY27" s="40" t="n">
        <v>0.015</v>
      </c>
      <c r="AZ27" s="40" t="n">
        <v>0.021</v>
      </c>
      <c r="BA27" s="40" t="n">
        <v>0.026</v>
      </c>
      <c r="BB27" s="40" t="n">
        <v>0.018</v>
      </c>
      <c r="BC27" s="40" t="n">
        <v>0.011</v>
      </c>
      <c r="BD27" s="40" t="n">
        <v>0.004</v>
      </c>
      <c r="BE27" s="40" t="n">
        <v>-0.013</v>
      </c>
      <c r="BF27" s="40" t="n">
        <v>-0.029</v>
      </c>
      <c r="BG27" s="40" t="n">
        <v>-0.007</v>
      </c>
      <c r="BH27" s="40" t="n">
        <v>-0.019</v>
      </c>
      <c r="BI27" s="40" t="n">
        <v>-0.015</v>
      </c>
      <c r="BJ27" s="40" t="n">
        <v>-0.005</v>
      </c>
      <c r="BK27" s="40" t="n">
        <v>0.008</v>
      </c>
      <c r="BL27" s="40" t="n">
        <v>-0.008</v>
      </c>
      <c r="BM27" s="40" t="n">
        <v>0.008</v>
      </c>
      <c r="BN27" s="40" t="n">
        <v>0.008</v>
      </c>
      <c r="BO27" s="40" t="n">
        <v>0.01</v>
      </c>
      <c r="BP27" s="40" t="n">
        <v>0.002</v>
      </c>
      <c r="BQ27" s="40" t="n">
        <v>0.007</v>
      </c>
      <c r="BR27" s="40" t="n">
        <v>-0.001</v>
      </c>
      <c r="BS27" s="40" t="n">
        <v>-0.003</v>
      </c>
      <c r="BT27" s="40" t="n">
        <v>-0.008</v>
      </c>
      <c r="BU27" s="40" t="n">
        <v>-0.006</v>
      </c>
      <c r="BV27" s="40" t="n">
        <v>-0.005</v>
      </c>
      <c r="BW27" s="40" t="n">
        <v>-0.005</v>
      </c>
      <c r="BX27" s="40" t="n">
        <v>-0.002</v>
      </c>
      <c r="BY27" s="39"/>
      <c r="BZ27" s="39"/>
      <c r="CA27" s="39"/>
      <c r="CB27" s="42" t="n">
        <v>0</v>
      </c>
      <c r="CC27" s="42" t="n">
        <v>0</v>
      </c>
      <c r="CD27" s="42" t="n">
        <v>0</v>
      </c>
      <c r="CE27" s="42" t="n">
        <v>0</v>
      </c>
      <c r="CF27" s="21" t="s">
        <v>142</v>
      </c>
      <c r="CH27" s="41" t="n">
        <f aca="false">IFERROR(AVERAGE(CA27,CB27,CC27,CD27,CE27),"n/m")</f>
        <v>0</v>
      </c>
      <c r="CI27" s="41" t="n">
        <f aca="false">IFERROR(AVERAGE(BB27,BG27,BL27,BQ27,BV27),"n/m")</f>
        <v>0.001</v>
      </c>
      <c r="CJ27" s="41" t="n">
        <f aca="false">IFERROR(AVERAGE(AC27,AH27,AM27,AR27,AW27,BB27,BG27,BL27,BQ27,BV27),"n/m")</f>
        <v>-0.0009</v>
      </c>
      <c r="CK27" s="41" t="n">
        <f aca="false">IFERROR(AVERAGE(C27,D27,E27,F27,G27,H27,I27,N27,S27,X27,AC27,AH27,AM27,AR27,AW27,BB27,BG27,BL27,BQ27,BV27),"n/m")</f>
        <v>-0.00278571428571429</v>
      </c>
    </row>
    <row r="28" customFormat="false" ht="15" hidden="true" customHeight="true" outlineLevel="2" collapsed="false">
      <c r="B28" s="34" t="s">
        <v>143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40" t="n">
        <v>-0.002</v>
      </c>
      <c r="AF28" s="40" t="n">
        <v>0.007</v>
      </c>
      <c r="AG28" s="40" t="n">
        <v>0.008</v>
      </c>
      <c r="AH28" s="35"/>
      <c r="AI28" s="40" t="n">
        <v>0.007</v>
      </c>
      <c r="AJ28" s="40" t="n">
        <v>0.007</v>
      </c>
      <c r="AK28" s="40" t="n">
        <v>-0.007</v>
      </c>
      <c r="AL28" s="40" t="n">
        <v>-0.006</v>
      </c>
      <c r="AM28" s="35"/>
      <c r="AN28" s="40" t="n">
        <v>-0.007</v>
      </c>
      <c r="AO28" s="40" t="n">
        <v>-0.005</v>
      </c>
      <c r="AP28" s="40" t="n">
        <v>-0.002</v>
      </c>
      <c r="AQ28" s="40" t="n">
        <v>0</v>
      </c>
      <c r="AR28" s="35"/>
      <c r="AS28" s="40" t="n">
        <v>-0.001</v>
      </c>
      <c r="AT28" s="40" t="n">
        <v>-0.005</v>
      </c>
      <c r="AU28" s="40" t="n">
        <v>-0.001</v>
      </c>
      <c r="AV28" s="40" t="n">
        <v>0.002</v>
      </c>
      <c r="AW28" s="35"/>
      <c r="AX28" s="40" t="n">
        <v>0.007</v>
      </c>
      <c r="AY28" s="40" t="n">
        <v>0.015</v>
      </c>
      <c r="AZ28" s="40" t="n">
        <v>0.007</v>
      </c>
      <c r="BA28" s="40" t="n">
        <v>0.005</v>
      </c>
      <c r="BB28" s="40" t="n">
        <v>0.009</v>
      </c>
      <c r="BC28" s="40" t="n">
        <v>0</v>
      </c>
      <c r="BD28" s="40" t="n">
        <v>-0.005</v>
      </c>
      <c r="BE28" s="40" t="n">
        <v>-0.005</v>
      </c>
      <c r="BF28" s="40" t="n">
        <v>-0.009</v>
      </c>
      <c r="BG28" s="40" t="n">
        <v>-0.005</v>
      </c>
      <c r="BH28" s="40" t="n">
        <v>-0.009</v>
      </c>
      <c r="BI28" s="40" t="n">
        <v>-0.007</v>
      </c>
      <c r="BJ28" s="40" t="n">
        <v>-0.004</v>
      </c>
      <c r="BK28" s="40" t="n">
        <v>-0.001</v>
      </c>
      <c r="BL28" s="40" t="n">
        <v>-0.005</v>
      </c>
      <c r="BM28" s="40" t="n">
        <v>0</v>
      </c>
      <c r="BN28" s="40" t="n">
        <v>-0.002</v>
      </c>
      <c r="BO28" s="40" t="n">
        <v>-0.002</v>
      </c>
      <c r="BP28" s="40" t="n">
        <v>-0.003</v>
      </c>
      <c r="BQ28" s="40" t="n">
        <v>-0.002</v>
      </c>
      <c r="BR28" s="40" t="n">
        <v>-0.007</v>
      </c>
      <c r="BS28" s="40" t="n">
        <v>-0.002</v>
      </c>
      <c r="BT28" s="40" t="n">
        <v>-0.001</v>
      </c>
      <c r="BU28" s="40" t="n">
        <v>0</v>
      </c>
      <c r="BV28" s="40" t="n">
        <v>-0.003</v>
      </c>
      <c r="BW28" s="40" t="n">
        <v>0.005</v>
      </c>
      <c r="BX28" s="40" t="n">
        <v>0</v>
      </c>
      <c r="BY28" s="39"/>
      <c r="BZ28" s="39"/>
      <c r="CA28" s="39"/>
      <c r="CB28" s="42" t="n">
        <v>0</v>
      </c>
      <c r="CC28" s="42" t="n">
        <v>0</v>
      </c>
      <c r="CD28" s="42" t="n">
        <v>0</v>
      </c>
      <c r="CE28" s="42" t="n">
        <v>0</v>
      </c>
      <c r="CF28" s="21" t="s">
        <v>144</v>
      </c>
      <c r="CN28" s="17" t="s">
        <v>145</v>
      </c>
      <c r="CO28" s="44" t="n">
        <v>0.0075</v>
      </c>
      <c r="CP28" s="23" t="s">
        <v>146</v>
      </c>
      <c r="CQ28" s="44" t="n">
        <v>-0.0075</v>
      </c>
      <c r="CR28" s="15" t="s">
        <v>147</v>
      </c>
    </row>
    <row r="29" customFormat="false" ht="15" hidden="true" customHeight="true" outlineLevel="2" collapsed="false">
      <c r="B29" s="34" t="s">
        <v>148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40" t="n">
        <v>-0.009</v>
      </c>
      <c r="BS29" s="40" t="n">
        <v>-0.009</v>
      </c>
      <c r="BT29" s="40" t="n">
        <v>-0.008</v>
      </c>
      <c r="BU29" s="40" t="n">
        <v>-0.005</v>
      </c>
      <c r="BV29" s="40" t="n">
        <v>-0.008</v>
      </c>
      <c r="BW29" s="35"/>
      <c r="BX29" s="35"/>
      <c r="BY29" s="39"/>
      <c r="BZ29" s="39"/>
      <c r="CA29" s="39"/>
      <c r="CB29" s="39"/>
      <c r="CC29" s="39"/>
      <c r="CD29" s="39"/>
      <c r="CE29" s="39"/>
      <c r="CF29" s="21"/>
      <c r="CN29" s="29" t="s">
        <v>149</v>
      </c>
      <c r="CO29" s="45" t="n">
        <f aca="false">CP29+$CO$28</f>
        <v>0.055</v>
      </c>
      <c r="CP29" s="30" t="n">
        <v>0.0475</v>
      </c>
      <c r="CQ29" s="45" t="n">
        <f aca="false">CP29+$CQ$28</f>
        <v>0.04</v>
      </c>
    </row>
    <row r="30" customFormat="false" ht="15" hidden="true" customHeight="true" outlineLevel="2" collapsed="false">
      <c r="B30" s="24" t="s">
        <v>150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40" t="n">
        <v>0.047</v>
      </c>
      <c r="BX30" s="40" t="n">
        <v>0.046</v>
      </c>
      <c r="BY30" s="39"/>
      <c r="BZ30" s="39"/>
      <c r="CA30" s="39"/>
      <c r="CB30" s="39"/>
      <c r="CC30" s="39"/>
      <c r="CD30" s="39"/>
      <c r="CE30" s="39"/>
      <c r="CF30" s="21"/>
      <c r="CN30" s="29" t="s">
        <v>151</v>
      </c>
      <c r="CO30" s="45" t="n">
        <f aca="false">CP30+$CO$28</f>
        <v>0.0525</v>
      </c>
      <c r="CP30" s="30" t="n">
        <v>0.045</v>
      </c>
      <c r="CQ30" s="45" t="n">
        <f aca="false">CP30+$CQ$28</f>
        <v>0.0375</v>
      </c>
    </row>
    <row r="31" customFormat="false" ht="15" hidden="true" customHeight="true" outlineLevel="2" collapsed="false">
      <c r="B31" s="34" t="s">
        <v>152</v>
      </c>
      <c r="C31" s="40" t="n">
        <v>0.076</v>
      </c>
      <c r="D31" s="40" t="n">
        <v>0.104</v>
      </c>
      <c r="E31" s="40" t="n">
        <v>0.03</v>
      </c>
      <c r="F31" s="40" t="n">
        <v>-0.06</v>
      </c>
      <c r="G31" s="40" t="n">
        <v>0.055</v>
      </c>
      <c r="H31" s="40" t="n">
        <v>0.047</v>
      </c>
      <c r="I31" s="40" t="n">
        <v>-0.001</v>
      </c>
      <c r="J31" s="40" t="n">
        <v>0.007</v>
      </c>
      <c r="K31" s="40" t="n">
        <v>0.029</v>
      </c>
      <c r="L31" s="40" t="n">
        <v>0.049</v>
      </c>
      <c r="M31" s="40" t="n">
        <v>0.038</v>
      </c>
      <c r="N31" s="40" t="n">
        <v>0.031</v>
      </c>
      <c r="O31" s="40" t="n">
        <v>0.048</v>
      </c>
      <c r="P31" s="40" t="n">
        <v>0.035</v>
      </c>
      <c r="Q31" s="40" t="n">
        <v>0.044</v>
      </c>
      <c r="R31" s="40" t="n">
        <v>0.046</v>
      </c>
      <c r="S31" s="40" t="n">
        <v>0.043</v>
      </c>
      <c r="T31" s="40" t="n">
        <v>0.036</v>
      </c>
      <c r="U31" s="40" t="n">
        <v>0.047</v>
      </c>
      <c r="V31" s="40" t="n">
        <v>0.046</v>
      </c>
      <c r="W31" s="40" t="n">
        <v>0.044</v>
      </c>
      <c r="X31" s="40" t="n">
        <v>0.042</v>
      </c>
      <c r="Y31" s="40" t="n">
        <v>0.057</v>
      </c>
      <c r="Z31" s="40" t="n">
        <v>0.049</v>
      </c>
      <c r="AA31" s="40" t="n">
        <v>0.038</v>
      </c>
      <c r="AB31" s="40" t="n">
        <v>0.04</v>
      </c>
      <c r="AC31" s="40" t="n">
        <v>0.045</v>
      </c>
      <c r="AD31" s="40" t="n">
        <v>0.062</v>
      </c>
      <c r="AE31" s="40" t="n">
        <v>0.06</v>
      </c>
      <c r="AF31" s="40" t="n">
        <v>0.053</v>
      </c>
      <c r="AG31" s="40" t="n">
        <v>0.048</v>
      </c>
      <c r="AH31" s="40" t="n">
        <v>0.051</v>
      </c>
      <c r="AI31" s="40" t="n">
        <v>0.02</v>
      </c>
      <c r="AJ31" s="40" t="n">
        <v>0.016</v>
      </c>
      <c r="AK31" s="40" t="n">
        <v>0.019</v>
      </c>
      <c r="AL31" s="40" t="n">
        <v>0.035</v>
      </c>
      <c r="AM31" s="40" t="n">
        <v>0.022</v>
      </c>
      <c r="AN31" s="40" t="n">
        <v>0.028</v>
      </c>
      <c r="AO31" s="40" t="n">
        <v>0.048</v>
      </c>
      <c r="AP31" s="40" t="n">
        <v>0.051</v>
      </c>
      <c r="AQ31" s="40" t="n">
        <v>0.032</v>
      </c>
      <c r="AR31" s="40" t="n">
        <v>0.043</v>
      </c>
      <c r="AS31" s="40" t="n">
        <v>0.047</v>
      </c>
      <c r="AT31" s="40" t="n">
        <v>-0.058</v>
      </c>
      <c r="AU31" s="40" t="n">
        <v>-0.019</v>
      </c>
      <c r="AV31" s="40" t="n">
        <v>0.014</v>
      </c>
      <c r="AW31" s="40" t="n">
        <v>-0.004</v>
      </c>
      <c r="AX31" s="40" t="n">
        <v>0.026</v>
      </c>
      <c r="AY31" s="40" t="n">
        <v>0.144</v>
      </c>
      <c r="AZ31" s="40" t="n">
        <v>0.101</v>
      </c>
      <c r="BA31" s="40" t="n">
        <v>0.1</v>
      </c>
      <c r="BB31" s="40" t="n">
        <v>0.093</v>
      </c>
      <c r="BC31" s="40" t="n">
        <v>0.087</v>
      </c>
      <c r="BD31" s="40" t="n">
        <v>0.08</v>
      </c>
      <c r="BE31" s="40" t="n">
        <v>0.068</v>
      </c>
      <c r="BF31" s="40" t="n">
        <v>0.043</v>
      </c>
      <c r="BG31" s="40" t="n">
        <v>0.069</v>
      </c>
      <c r="BH31" s="40" t="n">
        <v>0.077</v>
      </c>
      <c r="BI31" s="40" t="n">
        <v>0.05</v>
      </c>
      <c r="BJ31" s="40" t="n">
        <v>0.044</v>
      </c>
      <c r="BK31" s="40" t="n">
        <v>0.063</v>
      </c>
      <c r="BL31" s="40" t="n">
        <v>0.057</v>
      </c>
      <c r="BM31" s="40" t="n">
        <v>0.041</v>
      </c>
      <c r="BN31" s="40" t="n">
        <v>0.046</v>
      </c>
      <c r="BO31" s="40" t="n">
        <v>0.054</v>
      </c>
      <c r="BP31" s="40" t="n">
        <v>0.029</v>
      </c>
      <c r="BQ31" s="40" t="n">
        <v>0.042</v>
      </c>
      <c r="BR31" s="40" t="n">
        <v>0.022</v>
      </c>
      <c r="BS31" s="40" t="n">
        <v>0.024</v>
      </c>
      <c r="BT31" s="40" t="n">
        <v>0.018</v>
      </c>
      <c r="BU31" s="40" t="n">
        <v>0.026</v>
      </c>
      <c r="BV31" s="40" t="n">
        <v>0.02</v>
      </c>
      <c r="BW31" s="40" t="n">
        <v>0.031</v>
      </c>
      <c r="BX31" s="40" t="n">
        <v>0.036</v>
      </c>
      <c r="BY31" s="39"/>
      <c r="BZ31" s="39"/>
      <c r="CA31" s="39"/>
      <c r="CB31" s="37" t="n">
        <f aca="false">N(CB24)+N(CB25)+N(CB26)+N(CB27)+N(CB28)</f>
        <v>0.0425</v>
      </c>
      <c r="CC31" s="37" t="n">
        <f aca="false">N(CC24)+N(CC25)+N(CC26)+N(CC27)+N(CC28)</f>
        <v>0.045</v>
      </c>
      <c r="CD31" s="37" t="n">
        <f aca="false">N(CD24)+N(CD25)+N(CD26)+N(CD27)+N(CD28)</f>
        <v>0.0475</v>
      </c>
      <c r="CE31" s="37" t="n">
        <f aca="false">N(CE24)+N(CE25)+N(CE26)+N(CE27)+N(CE28)</f>
        <v>0.045</v>
      </c>
      <c r="CF31" s="21" t="s">
        <v>153</v>
      </c>
      <c r="CH31" s="41" t="n">
        <f aca="false">IFERROR(AVERAGE(CA31,CB31,CC31,CD31,CE31),"n/m")</f>
        <v>0.045</v>
      </c>
      <c r="CI31" s="41" t="n">
        <f aca="false">IFERROR(AVERAGE(BB31,BG31,BL31,BQ31,BV31),"n/m")</f>
        <v>0.0562</v>
      </c>
      <c r="CJ31" s="41" t="n">
        <f aca="false">IFERROR(AVERAGE(AC31,AH31,AM31,AR31,AW31,BB31,BG31,BL31,BQ31,BV31),"n/m")</f>
        <v>0.0438</v>
      </c>
      <c r="CK31" s="41" t="n">
        <f aca="false">IFERROR(AVERAGE(C31,D31,E31,F31,G31,H31,I31,N31,S31,X31,AC31,AH31,AM31,AR31,AW31,BB31,BG31,BL31,BQ31,BV31),"n/m")</f>
        <v>0.04025</v>
      </c>
      <c r="CN31" s="29" t="s">
        <v>154</v>
      </c>
      <c r="CO31" s="45" t="n">
        <f aca="false">CP31+$CO$28</f>
        <v>0.05</v>
      </c>
      <c r="CP31" s="30" t="n">
        <v>0.0425</v>
      </c>
      <c r="CQ31" s="45" t="n">
        <f aca="false">CP31+$CQ$28</f>
        <v>0.035</v>
      </c>
    </row>
    <row r="32" customFormat="false" ht="15" hidden="true" customHeight="true" outlineLevel="1" collapsed="false">
      <c r="B32" s="34" t="s">
        <v>155</v>
      </c>
      <c r="C32" s="35"/>
      <c r="D32" s="36" t="n">
        <f aca="false">IF(AND(ISNUMBER(D20),ISNUMBER(D31)),D20-D31,"")</f>
        <v>0.0476058898871398</v>
      </c>
      <c r="E32" s="36" t="n">
        <f aca="false">IF(AND(ISNUMBER(E20),ISNUMBER(E31)),E20-E31,"")</f>
        <v>0.0746664967475259</v>
      </c>
      <c r="F32" s="36" t="n">
        <f aca="false">IF(AND(ISNUMBER(F20),ISNUMBER(F31)),F20-F31,"")</f>
        <v>0.240334402165388</v>
      </c>
      <c r="G32" s="36" t="n">
        <f aca="false">IF(AND(ISNUMBER(G20),ISNUMBER(G31)),G20-G31,"")</f>
        <v>0.0340876288858926</v>
      </c>
      <c r="H32" s="36" t="n">
        <f aca="false">IF(AND(ISNUMBER(H20),ISNUMBER(H31)),H20-H31,"")</f>
        <v>0.0734815943608255</v>
      </c>
      <c r="I32" s="36" t="n">
        <f aca="false">IF(AND(ISNUMBER(I20),ISNUMBER(I31)),I20-I31,"")</f>
        <v>0.129727139189373</v>
      </c>
      <c r="J32" s="35"/>
      <c r="K32" s="35"/>
      <c r="L32" s="35"/>
      <c r="M32" s="35"/>
      <c r="N32" s="36" t="n">
        <f aca="false">IF(AND(ISNUMBER(N20),ISNUMBER(N31)),N20-N31,"")</f>
        <v>0.0181359764313353</v>
      </c>
      <c r="O32" s="36" t="n">
        <f aca="false">IF(AND(ISNUMBER(O20),ISNUMBER(O31)),O20-O31,"")</f>
        <v>0.0020563594120218</v>
      </c>
      <c r="P32" s="36" t="n">
        <f aca="false">IF(AND(ISNUMBER(P20),ISNUMBER(P31)),P20-P31,"")</f>
        <v>0.00224811043657383</v>
      </c>
      <c r="Q32" s="36" t="n">
        <f aca="false">IF(AND(ISNUMBER(Q20),ISNUMBER(Q31)),Q20-Q31,"")</f>
        <v>0.0103566209523185</v>
      </c>
      <c r="R32" s="36" t="n">
        <f aca="false">IF(AND(ISNUMBER(R20),ISNUMBER(R31)),R20-R31,"")</f>
        <v>0.0156050687281546</v>
      </c>
      <c r="S32" s="36" t="n">
        <f aca="false">IF(AND(ISNUMBER(S20),ISNUMBER(S31)),S20-S31,"")</f>
        <v>0.0077896857243837</v>
      </c>
      <c r="T32" s="36" t="n">
        <f aca="false">IF(AND(ISNUMBER(T20),ISNUMBER(T31)),T20-T31,"")</f>
        <v>0.0166518719740619</v>
      </c>
      <c r="U32" s="36" t="n">
        <f aca="false">IF(AND(ISNUMBER(U20),ISNUMBER(U31)),U20-U31,"")</f>
        <v>0.0140962071410157</v>
      </c>
      <c r="V32" s="36" t="n">
        <f aca="false">IF(AND(ISNUMBER(V20),ISNUMBER(V31)),V20-V31,"")</f>
        <v>0.0143194843600723</v>
      </c>
      <c r="W32" s="36" t="n">
        <f aca="false">IF(AND(ISNUMBER(W20),ISNUMBER(W31)),W20-W31,"")</f>
        <v>0.0477802754012742</v>
      </c>
      <c r="X32" s="36" t="n">
        <f aca="false">IF(AND(ISNUMBER(X20),ISNUMBER(X31)),X20-X31,"")</f>
        <v>0.0246806425301469</v>
      </c>
      <c r="Y32" s="36" t="n">
        <f aca="false">IF(AND(ISNUMBER(Y20),ISNUMBER(Y31)),Y20-Y31,"")</f>
        <v>0.0612008890664803</v>
      </c>
      <c r="Z32" s="36" t="n">
        <f aca="false">IF(AND(ISNUMBER(Z20),ISNUMBER(Z31)),Z20-Z31,"")</f>
        <v>0.42754632179741</v>
      </c>
      <c r="AA32" s="36" t="n">
        <f aca="false">IF(AND(ISNUMBER(AA20),ISNUMBER(AA31)),AA20-AA31,"")</f>
        <v>1.10113496422338</v>
      </c>
      <c r="AB32" s="36" t="n">
        <f aca="false">IF(AND(ISNUMBER(AB20),ISNUMBER(AB31)),AB20-AB31,"")</f>
        <v>1.03079528425156</v>
      </c>
      <c r="AC32" s="36" t="n">
        <f aca="false">IF(AND(ISNUMBER(AC20),ISNUMBER(AC31)),AC20-AC31,"")</f>
        <v>0.675941736550369</v>
      </c>
      <c r="AD32" s="36" t="n">
        <f aca="false">IF(AND(ISNUMBER(AD20),ISNUMBER(AD31)),AD20-AD31,"")</f>
        <v>1.11417718220733</v>
      </c>
      <c r="AE32" s="36" t="n">
        <f aca="false">IF(AND(ISNUMBER(AE20),ISNUMBER(AE31)),AE20-AE31,"")</f>
        <v>0.55585985083184</v>
      </c>
      <c r="AF32" s="36" t="n">
        <f aca="false">IF(AND(ISNUMBER(AF20),ISNUMBER(AF31)),AF20-AF31,"")</f>
        <v>0.0371858055718605</v>
      </c>
      <c r="AG32" s="36" t="n">
        <f aca="false">IF(AND(ISNUMBER(AG20),ISNUMBER(AG31)),AG20-AG31,"")</f>
        <v>0.0383349874515174</v>
      </c>
      <c r="AH32" s="36" t="n">
        <f aca="false">IF(AND(ISNUMBER(AH20),ISNUMBER(AH31)),AH20-AH31,"")</f>
        <v>0.313077014612442</v>
      </c>
      <c r="AI32" s="36" t="n">
        <f aca="false">IF(AND(ISNUMBER(AI20),ISNUMBER(AI31)),AI20-AI31,"")</f>
        <v>0.00976241383439082</v>
      </c>
      <c r="AJ32" s="36" t="n">
        <f aca="false">IF(AND(ISNUMBER(AJ20),ISNUMBER(AJ31)),AJ20-AJ31,"")</f>
        <v>0.0324956245027846</v>
      </c>
      <c r="AK32" s="36" t="n">
        <f aca="false">IF(AND(ISNUMBER(AK20),ISNUMBER(AK31)),AK20-AK31,"")</f>
        <v>0.0538887467750072</v>
      </c>
      <c r="AL32" s="36" t="n">
        <f aca="false">IF(AND(ISNUMBER(AL20),ISNUMBER(AL31)),AL20-AL31,"")</f>
        <v>0.0689887769500869</v>
      </c>
      <c r="AM32" s="36" t="n">
        <f aca="false">IF(AND(ISNUMBER(AM20),ISNUMBER(AM31)),AM20-AM31,"")</f>
        <v>0.042114865787523</v>
      </c>
      <c r="AN32" s="36" t="n">
        <f aca="false">IF(AND(ISNUMBER(AN20),ISNUMBER(AN31)),AN20-AN31,"")</f>
        <v>0.0657561251100447</v>
      </c>
      <c r="AO32" s="36" t="n">
        <f aca="false">IF(AND(ISNUMBER(AO20),ISNUMBER(AO31)),AO20-AO31,"")</f>
        <v>0.0721069229012435</v>
      </c>
      <c r="AP32" s="36" t="n">
        <f aca="false">IF(AND(ISNUMBER(AP20),ISNUMBER(AP31)),AP20-AP31,"")</f>
        <v>0.0630808896576711</v>
      </c>
      <c r="AQ32" s="36" t="n">
        <f aca="false">IF(AND(ISNUMBER(AQ20),ISNUMBER(AQ31)),AQ20-AQ31,"")</f>
        <v>0.0568930008308104</v>
      </c>
      <c r="AR32" s="36" t="n">
        <f aca="false">IF(AND(ISNUMBER(AR20),ISNUMBER(AR31)),AR20-AR31,"")</f>
        <v>0.0614514730828037</v>
      </c>
      <c r="AS32" s="36" t="n">
        <f aca="false">IF(AND(ISNUMBER(AS20),ISNUMBER(AS31)),AS20-AS31,"")</f>
        <v>0.0571438234463319</v>
      </c>
      <c r="AT32" s="36" t="n">
        <f aca="false">IF(AND(ISNUMBER(AT20),ISNUMBER(AT31)),AT20-AT31,"")</f>
        <v>0.0320817135251024</v>
      </c>
      <c r="AU32" s="36" t="n">
        <f aca="false">IF(AND(ISNUMBER(AU20),ISNUMBER(AU31)),AU20-AU31,"")</f>
        <v>0.033050421270039</v>
      </c>
      <c r="AV32" s="36" t="n">
        <f aca="false">IF(AND(ISNUMBER(AV20),ISNUMBER(AV31)),AV20-AV31,"")</f>
        <v>0.0396308388413256</v>
      </c>
      <c r="AW32" s="36" t="n">
        <f aca="false">IF(AND(ISNUMBER(AW20),ISNUMBER(AW31)),AW20-AW31,"")</f>
        <v>0.038390745358164</v>
      </c>
      <c r="AX32" s="36" t="n">
        <f aca="false">IF(AND(ISNUMBER(AX20),ISNUMBER(AX31)),AX20-AX31,"")</f>
        <v>0.0263203356027784</v>
      </c>
      <c r="AY32" s="36" t="n">
        <f aca="false">IF(AND(ISNUMBER(AY20),ISNUMBER(AY31)),AY20-AY31,"")</f>
        <v>0.0271566050738771</v>
      </c>
      <c r="AZ32" s="36" t="n">
        <f aca="false">IF(AND(ISNUMBER(AZ20),ISNUMBER(AZ31)),AZ20-AZ31,"")</f>
        <v>0.0285588521504558</v>
      </c>
      <c r="BA32" s="36" t="n">
        <f aca="false">IF(AND(ISNUMBER(BA20),ISNUMBER(BA31)),BA20-BA31,"")</f>
        <v>0.0515577635567531</v>
      </c>
      <c r="BB32" s="36" t="n">
        <f aca="false">IF(AND(ISNUMBER(BB20),ISNUMBER(BB31)),BB20-BB31,"")</f>
        <v>0.0334612281746607</v>
      </c>
      <c r="BC32" s="36" t="n">
        <f aca="false">IF(AND(ISNUMBER(BC20),ISNUMBER(BC31)),BC20-BC31,"")</f>
        <v>0.0764377415975517</v>
      </c>
      <c r="BD32" s="36" t="n">
        <f aca="false">IF(AND(ISNUMBER(BD20),ISNUMBER(BD31)),BD20-BD31,"")</f>
        <v>0.0874380906292028</v>
      </c>
      <c r="BE32" s="36" t="n">
        <f aca="false">IF(AND(ISNUMBER(BE20),ISNUMBER(BE31)),BE20-BE31,"")</f>
        <v>0.0961058254605738</v>
      </c>
      <c r="BF32" s="36" t="n">
        <f aca="false">IF(AND(ISNUMBER(BF20),ISNUMBER(BF31)),BF20-BF31,"")</f>
        <v>0.0993177324288036</v>
      </c>
      <c r="BG32" s="36" t="n">
        <f aca="false">IF(AND(ISNUMBER(BG20),ISNUMBER(BG31)),BG20-BG31,"")</f>
        <v>0.0900388588173459</v>
      </c>
      <c r="BH32" s="36" t="n">
        <f aca="false">IF(AND(ISNUMBER(BH20),ISNUMBER(BH31)),BH20-BH31,"")</f>
        <v>0.092993506595636</v>
      </c>
      <c r="BI32" s="36" t="n">
        <f aca="false">IF(AND(ISNUMBER(BI20),ISNUMBER(BI31)),BI20-BI31,"")</f>
        <v>0.0755729617008292</v>
      </c>
      <c r="BJ32" s="36" t="n">
        <f aca="false">IF(AND(ISNUMBER(BJ20),ISNUMBER(BJ31)),BJ20-BJ31,"")</f>
        <v>0.0635683615119116</v>
      </c>
      <c r="BK32" s="36" t="n">
        <f aca="false">IF(AND(ISNUMBER(BK20),ISNUMBER(BK31)),BK20-BK31,"")</f>
        <v>0.0279094490146922</v>
      </c>
      <c r="BL32" s="36" t="n">
        <f aca="false">IF(AND(ISNUMBER(BL20),ISNUMBER(BL31)),BL20-BL31,"")</f>
        <v>0.0649969030437613</v>
      </c>
      <c r="BM32" s="36" t="n">
        <f aca="false">IF(AND(ISNUMBER(BM20),ISNUMBER(BM31)),BM20-BM31,"")</f>
        <v>0.024554212344124</v>
      </c>
      <c r="BN32" s="36" t="n">
        <f aca="false">IF(AND(ISNUMBER(BN20),ISNUMBER(BN31)),BN20-BN31,"")</f>
        <v>0.0396515780241112</v>
      </c>
      <c r="BO32" s="36" t="n">
        <f aca="false">IF(AND(ISNUMBER(BO20),ISNUMBER(BO31)),BO20-BO31,"")</f>
        <v>0.0421608814096304</v>
      </c>
      <c r="BP32" s="36" t="n">
        <f aca="false">IF(AND(ISNUMBER(BP20),ISNUMBER(BP31)),BP20-BP31,"")</f>
        <v>0.0500416318365566</v>
      </c>
      <c r="BQ32" s="36" t="n">
        <f aca="false">IF(AND(ISNUMBER(BQ20),ISNUMBER(BQ31)),BQ20-BQ31,"")</f>
        <v>0.0399048814441223</v>
      </c>
      <c r="BR32" s="36" t="n">
        <f aca="false">IF(AND(ISNUMBER(BR20),ISNUMBER(BR31)),BR20-BR31,"")</f>
        <v>0.032516331785649</v>
      </c>
      <c r="BS32" s="36" t="n">
        <f aca="false">IF(AND(ISNUMBER(BS20),ISNUMBER(BS31)),BS20-BS31,"")</f>
        <v>0.0348661559561048</v>
      </c>
      <c r="BT32" s="36" t="n">
        <f aca="false">IF(AND(ISNUMBER(BT20),ISNUMBER(BT31)),BT20-BT31,"")</f>
        <v>0.0322830314007705</v>
      </c>
      <c r="BU32" s="36" t="n">
        <f aca="false">IF(AND(ISNUMBER(BU20),ISNUMBER(BU31)),BU20-BU31,"")</f>
        <v>0.0256699754123804</v>
      </c>
      <c r="BV32" s="36" t="n">
        <f aca="false">IF(AND(ISNUMBER(BV20),ISNUMBER(BV31)),BV20-BV31,"")</f>
        <v>0.0337984208990931</v>
      </c>
      <c r="BW32" s="36" t="n">
        <f aca="false">IF(AND(ISNUMBER(BW20),ISNUMBER(BW31)),BW20-BW31,"")</f>
        <v>0.0277325209223391</v>
      </c>
      <c r="BX32" s="36" t="n">
        <f aca="false">IF(AND(ISNUMBER(BX20),ISNUMBER(BX31)),BX20-BX31,"")</f>
        <v>0.0185424599335758</v>
      </c>
      <c r="BY32" s="39"/>
      <c r="BZ32" s="39"/>
      <c r="CA32" s="39"/>
      <c r="CB32" s="39"/>
      <c r="CC32" s="39"/>
      <c r="CD32" s="39"/>
      <c r="CE32" s="39"/>
      <c r="CF32" s="21" t="s">
        <v>156</v>
      </c>
      <c r="CN32" s="29" t="s">
        <v>157</v>
      </c>
      <c r="CO32" s="45" t="n">
        <f aca="false">CP32+$CO$28</f>
        <v>0.0475</v>
      </c>
      <c r="CP32" s="30" t="n">
        <v>0.04</v>
      </c>
      <c r="CQ32" s="45" t="n">
        <f aca="false">CP32+$CQ$28</f>
        <v>0.0325</v>
      </c>
    </row>
    <row r="33" customFormat="false" ht="15" hidden="true" customHeight="true" outlineLevel="1" collapsed="false">
      <c r="CN33" s="17" t="s">
        <v>158</v>
      </c>
      <c r="CO33" s="44" t="n">
        <v>0.01</v>
      </c>
      <c r="CP33" s="23" t="s">
        <v>146</v>
      </c>
      <c r="CQ33" s="44" t="n">
        <v>-0.01</v>
      </c>
      <c r="CR33" s="15" t="s">
        <v>159</v>
      </c>
    </row>
    <row r="34" customFormat="false" ht="15" hidden="true" customHeight="true" outlineLevel="1" collapsed="false">
      <c r="B34" s="29" t="s">
        <v>160</v>
      </c>
      <c r="BY34" s="7"/>
      <c r="BZ34" s="7"/>
      <c r="CA34" s="7"/>
      <c r="CB34" s="7"/>
      <c r="CC34" s="7"/>
      <c r="CD34" s="7"/>
      <c r="CE34" s="7"/>
      <c r="CF34" s="21"/>
      <c r="CN34" s="29" t="s">
        <v>149</v>
      </c>
      <c r="CO34" s="45" t="n">
        <f aca="false">CP34+$CO$33</f>
        <v>0.005</v>
      </c>
      <c r="CP34" s="30" t="n">
        <v>-0.005</v>
      </c>
      <c r="CQ34" s="45" t="n">
        <f aca="false">CP34+$CQ$33</f>
        <v>-0.015</v>
      </c>
    </row>
    <row r="35" customFormat="false" ht="15" hidden="true" customHeight="true" outlineLevel="1" collapsed="false">
      <c r="B35" s="29" t="s">
        <v>161</v>
      </c>
      <c r="C35" s="27" t="n">
        <v>102.5</v>
      </c>
      <c r="D35" s="27" t="n">
        <v>134.1</v>
      </c>
      <c r="E35" s="27" t="n">
        <v>91.1</v>
      </c>
      <c r="F35" s="27" t="n">
        <v>141.8</v>
      </c>
      <c r="G35" s="27" t="n">
        <v>128.4</v>
      </c>
      <c r="H35" s="27" t="n">
        <v>185.6</v>
      </c>
      <c r="I35" s="27" t="n">
        <v>156.2</v>
      </c>
      <c r="J35" s="27" t="n">
        <v>73.5</v>
      </c>
      <c r="K35" s="27" t="n">
        <v>78.7</v>
      </c>
      <c r="L35" s="27" t="n">
        <v>77.9</v>
      </c>
      <c r="M35" s="26" t="n">
        <f aca="false">IF(AND(ISNUMBER(N35),ISNUMBER(J35),ISNUMBER(K35),ISNUMBER(L35)),N35-J35-K35-L35,"")</f>
        <v>37.1</v>
      </c>
      <c r="N35" s="27" t="n">
        <v>267.2</v>
      </c>
      <c r="O35" s="27" t="n">
        <v>31.8</v>
      </c>
      <c r="P35" s="27" t="n">
        <v>35.3</v>
      </c>
      <c r="Q35" s="27" t="n">
        <v>43</v>
      </c>
      <c r="R35" s="26" t="n">
        <f aca="false">IF(AND(ISNUMBER(S35),ISNUMBER(O35),ISNUMBER(P35),ISNUMBER(Q35)),S35-O35-P35-Q35,"")</f>
        <v>40.3</v>
      </c>
      <c r="S35" s="27" t="n">
        <v>150.4</v>
      </c>
      <c r="T35" s="27" t="n">
        <v>24.4</v>
      </c>
      <c r="U35" s="27" t="n">
        <v>6.6</v>
      </c>
      <c r="V35" s="27" t="n">
        <v>1.3</v>
      </c>
      <c r="W35" s="26" t="n">
        <f aca="false">IF(AND(ISNUMBER(X35),ISNUMBER(T35),ISNUMBER(U35),ISNUMBER(V35)),X35-T35-U35-V35,"")</f>
        <v>5.8</v>
      </c>
      <c r="X35" s="27" t="n">
        <v>38.1</v>
      </c>
      <c r="Y35" s="27" t="n">
        <v>8.6</v>
      </c>
      <c r="Z35" s="27" t="n">
        <v>196.3</v>
      </c>
      <c r="AA35" s="27" t="n">
        <v>537</v>
      </c>
      <c r="AB35" s="26" t="n">
        <f aca="false">IF(AND(ISNUMBER(AC35),ISNUMBER(Y35),ISNUMBER(Z35),ISNUMBER(AA35)),AC35-Y35-Z35-AA35,"")</f>
        <v>517.1</v>
      </c>
      <c r="AC35" s="27" t="n">
        <v>1259</v>
      </c>
      <c r="AD35" s="27" t="n">
        <v>576.6</v>
      </c>
      <c r="AE35" s="27" t="n">
        <v>448</v>
      </c>
      <c r="AF35" s="27" t="n">
        <v>121.6</v>
      </c>
      <c r="AG35" s="26" t="n">
        <f aca="false">IF(AND(ISNUMBER(AH35),ISNUMBER(AD35),ISNUMBER(AE35),ISNUMBER(AF35)),AH35-AD35-AE35-AF35,"")</f>
        <v>108.8</v>
      </c>
      <c r="AH35" s="27" t="n">
        <v>1255</v>
      </c>
      <c r="AI35" s="27" t="n">
        <v>48.8</v>
      </c>
      <c r="AJ35" s="27" t="n">
        <v>64.4</v>
      </c>
      <c r="AK35" s="27" t="n">
        <v>74.6</v>
      </c>
      <c r="AL35" s="26" t="n">
        <f aca="false">IF(AND(ISNUMBER(AM35),ISNUMBER(AI35),ISNUMBER(AJ35),ISNUMBER(AK35)),AM35-AI35-AJ35-AK35,"")</f>
        <v>104.6</v>
      </c>
      <c r="AM35" s="27" t="n">
        <v>292.4</v>
      </c>
      <c r="AN35" s="27" t="n">
        <v>104.5</v>
      </c>
      <c r="AO35" s="27" t="n">
        <v>129.6</v>
      </c>
      <c r="AP35" s="27" t="n">
        <v>131.3</v>
      </c>
      <c r="AQ35" s="26" t="n">
        <f aca="false">IF(AND(ISNUMBER(AR35),ISNUMBER(AN35),ISNUMBER(AO35),ISNUMBER(AP35)),AR35-AN35-AO35-AP35,"")</f>
        <v>100.4</v>
      </c>
      <c r="AR35" s="27" t="n">
        <v>465.8</v>
      </c>
      <c r="AS35" s="27" t="n">
        <v>107.8</v>
      </c>
      <c r="AT35" s="27" t="n">
        <v>-63.8</v>
      </c>
      <c r="AU35" s="27" t="n">
        <v>-22.8</v>
      </c>
      <c r="AV35" s="26" t="n">
        <f aca="false">IF(AND(ISNUMBER(AW35),ISNUMBER(AS35),ISNUMBER(AT35),ISNUMBER(AU35)),AW35-AS35-AT35-AU35,"")</f>
        <v>36.1</v>
      </c>
      <c r="AW35" s="27" t="n">
        <v>57.3</v>
      </c>
      <c r="AX35" s="27" t="n">
        <v>43.5</v>
      </c>
      <c r="AY35" s="27" t="n">
        <v>228.1</v>
      </c>
      <c r="AZ35" s="27" t="n">
        <v>207.6</v>
      </c>
      <c r="BA35" s="26" t="n">
        <f aca="false">IF(AND(ISNUMBER(BB35),ISNUMBER(AX35),ISNUMBER(AY35),ISNUMBER(AZ35)),BB35-AX35-AY35-AZ35,"")</f>
        <v>226.2</v>
      </c>
      <c r="BB35" s="27" t="n">
        <v>705.4</v>
      </c>
      <c r="BC35" s="27" t="n">
        <v>250.3</v>
      </c>
      <c r="BD35" s="27" t="n">
        <v>282.5</v>
      </c>
      <c r="BE35" s="27" t="n">
        <v>282.7</v>
      </c>
      <c r="BF35" s="26" t="n">
        <f aca="false">IF(AND(ISNUMBER(BG35),ISNUMBER(BC35),ISNUMBER(BD35),ISNUMBER(BE35)),BG35-BC35-BD35-BE35,"")</f>
        <v>244.5</v>
      </c>
      <c r="BG35" s="27" t="n">
        <v>1060</v>
      </c>
      <c r="BH35" s="27" t="n">
        <v>254.2</v>
      </c>
      <c r="BI35" s="27" t="n">
        <v>204.7</v>
      </c>
      <c r="BJ35" s="27" t="n">
        <v>184.9</v>
      </c>
      <c r="BK35" s="26" t="n">
        <f aca="false">IF(AND(ISNUMBER(BL35),ISNUMBER(BH35),ISNUMBER(BI35),ISNUMBER(BJ35)),BL35-BH35-BI35-BJ35,"")</f>
        <v>166.3</v>
      </c>
      <c r="BL35" s="27" t="n">
        <v>810.1</v>
      </c>
      <c r="BM35" s="27" t="n">
        <v>172.2</v>
      </c>
      <c r="BN35" s="27" t="n">
        <v>227.1</v>
      </c>
      <c r="BO35" s="27" t="n">
        <v>273.7</v>
      </c>
      <c r="BP35" s="26" t="n">
        <f aca="false">IF(AND(ISNUMBER(BQ35),ISNUMBER(BM35),ISNUMBER(BN35),ISNUMBER(BO35)),BQ35-BM35-BN35-BO35,"")</f>
        <v>224.6</v>
      </c>
      <c r="BQ35" s="27" t="n">
        <v>897.6</v>
      </c>
      <c r="BR35" s="27" t="n">
        <v>155.5</v>
      </c>
      <c r="BS35" s="27" t="n">
        <v>158.9</v>
      </c>
      <c r="BT35" s="27" t="n">
        <v>119.9</v>
      </c>
      <c r="BU35" s="26" t="n">
        <f aca="false">IF(AND(ISNUMBER(BV35),ISNUMBER(BR35),ISNUMBER(BS35),ISNUMBER(BT35)),BV35-BR35-BS35-BT35,"")</f>
        <v>113</v>
      </c>
      <c r="BV35" s="27" t="n">
        <v>547.3</v>
      </c>
      <c r="BW35" s="27" t="n">
        <v>142.5</v>
      </c>
      <c r="BX35" s="27" t="n">
        <v>154.6</v>
      </c>
      <c r="BY35" s="28"/>
      <c r="BZ35" s="28"/>
      <c r="CA35" s="28"/>
      <c r="CB35" s="28"/>
      <c r="CC35" s="28"/>
      <c r="CD35" s="28"/>
      <c r="CE35" s="28"/>
      <c r="CF35" s="21"/>
      <c r="CN35" s="29" t="s">
        <v>151</v>
      </c>
      <c r="CO35" s="45" t="n">
        <f aca="false">CP35+$CO$33</f>
        <v>0.01</v>
      </c>
      <c r="CP35" s="30" t="n">
        <v>0</v>
      </c>
      <c r="CQ35" s="45" t="n">
        <f aca="false">CP35+$CQ$33</f>
        <v>-0.01</v>
      </c>
    </row>
    <row r="36" customFormat="false" ht="15" hidden="true" customHeight="true" outlineLevel="1" collapsed="false">
      <c r="B36" s="24" t="s">
        <v>162</v>
      </c>
      <c r="C36" s="27" t="n">
        <v>47.7</v>
      </c>
      <c r="D36" s="27" t="n">
        <v>48.3</v>
      </c>
      <c r="E36" s="27" t="n">
        <v>62.1</v>
      </c>
      <c r="F36" s="27" t="n">
        <v>203.6</v>
      </c>
      <c r="G36" s="27" t="n">
        <v>62.9</v>
      </c>
      <c r="H36" s="27" t="n">
        <v>124.7</v>
      </c>
      <c r="I36" s="27" t="n">
        <v>158.8</v>
      </c>
      <c r="J36" s="27" t="n">
        <v>70.6</v>
      </c>
      <c r="K36" s="27" t="n">
        <v>68.9</v>
      </c>
      <c r="L36" s="27" t="n">
        <v>60.8</v>
      </c>
      <c r="M36" s="26" t="n">
        <f aca="false">IF(AND(ISNUMBER(N36),COUNT(J36,K36,L36)&gt;0),N36-N(J36)-N(K36)-N(L36),"")</f>
        <v>18.5</v>
      </c>
      <c r="N36" s="27" t="n">
        <v>218.8</v>
      </c>
      <c r="O36" s="27" t="n">
        <v>2.8</v>
      </c>
      <c r="P36" s="27" t="n">
        <v>3.7</v>
      </c>
      <c r="Q36" s="27" t="n">
        <v>6.6</v>
      </c>
      <c r="R36" s="26" t="n">
        <f aca="false">IF(AND(ISNUMBER(S36),COUNT(O36,P36,Q36)&gt;0),S36-N(O36)-N(P36)-N(Q36),"")</f>
        <v>8.7</v>
      </c>
      <c r="S36" s="27" t="n">
        <v>21.8</v>
      </c>
      <c r="T36" s="27" t="n">
        <v>13.9</v>
      </c>
      <c r="U36" s="27" t="n">
        <v>11.3</v>
      </c>
      <c r="V36" s="27" t="n">
        <v>11.6</v>
      </c>
      <c r="W36" s="26" t="n">
        <f aca="false">IF(AND(ISNUMBER(X36),COUNT(T36,U36,V36)&gt;0),X36-N(T36)-N(U36)-N(V36),"")</f>
        <v>20.8</v>
      </c>
      <c r="X36" s="27" t="n">
        <v>57.6</v>
      </c>
      <c r="Y36" s="27" t="n">
        <v>21.5</v>
      </c>
      <c r="Z36" s="27" t="n">
        <v>199.4</v>
      </c>
      <c r="AA36" s="27" t="n">
        <v>538.5</v>
      </c>
      <c r="AB36" s="26" t="n">
        <f aca="false">IF(AND(ISNUMBER(AC36),COUNT(Y36,Z36,AA36)&gt;0),AC36-N(Y36)-N(Z36)-N(AA36),"")</f>
        <v>507.3</v>
      </c>
      <c r="AC36" s="27" t="n">
        <v>1266.7</v>
      </c>
      <c r="AD36" s="27" t="n">
        <v>539</v>
      </c>
      <c r="AE36" s="27" t="n">
        <v>386.3</v>
      </c>
      <c r="AF36" s="27" t="n">
        <v>40.2</v>
      </c>
      <c r="AG36" s="26" t="n">
        <f aca="false">IF(AND(ISNUMBER(AH36),COUNT(AD36,AE36,AF36)&gt;0),AH36-N(AD36)-N(AE36)-N(AF36),"")</f>
        <v>37.5</v>
      </c>
      <c r="AH36" s="27" t="n">
        <v>1003</v>
      </c>
      <c r="AI36" s="27" t="n">
        <v>10.8</v>
      </c>
      <c r="AJ36" s="27" t="n">
        <v>32.7</v>
      </c>
      <c r="AK36" s="27" t="n">
        <v>48.1</v>
      </c>
      <c r="AL36" s="26" t="n">
        <f aca="false">IF(AND(ISNUMBER(AM36),COUNT(AI36,AJ36,AK36)&gt;0),AM36-N(AI36)-N(AJ36)-N(AK36),"")</f>
        <v>61.5</v>
      </c>
      <c r="AM36" s="27" t="n">
        <v>153.1</v>
      </c>
      <c r="AN36" s="27" t="n">
        <v>69</v>
      </c>
      <c r="AO36" s="27" t="n">
        <v>77.4</v>
      </c>
      <c r="AP36" s="27" t="n">
        <v>77</v>
      </c>
      <c r="AQ36" s="26" t="n">
        <f aca="false">IF(AND(ISNUMBER(AR36),COUNT(AN36,AO36,AP36)&gt;0),AR36-N(AN36)-N(AO36)-N(AP36),"")</f>
        <v>68.6</v>
      </c>
      <c r="AR36" s="27" t="n">
        <v>292</v>
      </c>
      <c r="AS36" s="27" t="n">
        <v>59.6</v>
      </c>
      <c r="AT36" s="27" t="n">
        <v>40.7</v>
      </c>
      <c r="AU36" s="27" t="n">
        <v>44.3</v>
      </c>
      <c r="AV36" s="26" t="n">
        <f aca="false">IF(AND(ISNUMBER(AW36),COUNT(AS36,AT36,AU36)&gt;0),AW36-N(AS36)-N(AT36)-N(AU36),"")</f>
        <v>52.6</v>
      </c>
      <c r="AW36" s="27" t="n">
        <v>197.2</v>
      </c>
      <c r="AX36" s="27" t="n">
        <v>40.5</v>
      </c>
      <c r="AY36" s="27" t="n">
        <v>44.1</v>
      </c>
      <c r="AZ36" s="27" t="n">
        <v>51.3</v>
      </c>
      <c r="BA36" s="26" t="n">
        <f aca="false">IF(AND(ISNUMBER(BB36),COUNT(AX36,AY36,AZ36)&gt;0),BB36-N(AX36)-N(AY36)-N(AZ36),"")</f>
        <v>79.5</v>
      </c>
      <c r="BB36" s="27" t="n">
        <v>215.4</v>
      </c>
      <c r="BC36" s="27" t="n">
        <v>110</v>
      </c>
      <c r="BD36" s="27" t="n">
        <v>141.4</v>
      </c>
      <c r="BE36" s="27" t="n">
        <v>150.7</v>
      </c>
      <c r="BF36" s="26" t="n">
        <f aca="false">IF(AND(ISNUMBER(BG36),COUNT(BC36,BD36,BE36)&gt;0),BG36-N(BC36)-N(BD36)-N(BE36),"")</f>
        <v>149.9</v>
      </c>
      <c r="BG36" s="27" t="n">
        <v>552</v>
      </c>
      <c r="BH36" s="27" t="n">
        <v>132.1</v>
      </c>
      <c r="BI36" s="27" t="n">
        <v>121.3</v>
      </c>
      <c r="BJ36" s="27" t="n">
        <v>102.9</v>
      </c>
      <c r="BK36" s="26" t="n">
        <f aca="false">IF(AND(ISNUMBER(BL36),COUNT(BH36,BI36,BJ36)&gt;0),BL36-N(BH36)-N(BI36)-N(BJ36),"")</f>
        <v>51</v>
      </c>
      <c r="BL36" s="27" t="n">
        <v>407.3</v>
      </c>
      <c r="BM36" s="27" t="n">
        <v>78</v>
      </c>
      <c r="BN36" s="27" t="n">
        <v>120.8</v>
      </c>
      <c r="BO36" s="27" t="n">
        <v>161</v>
      </c>
      <c r="BP36" s="26" t="n">
        <f aca="false">IF(AND(ISNUMBER(BQ36),COUNT(BM36,BN36,BO36)&gt;0),BQ36-N(BM36)-N(BN36)-N(BO36),"")</f>
        <v>169.2</v>
      </c>
      <c r="BQ36" s="27" t="n">
        <v>529</v>
      </c>
      <c r="BR36" s="27" t="n">
        <v>112.1</v>
      </c>
      <c r="BS36" s="27" t="n">
        <v>95.3</v>
      </c>
      <c r="BT36" s="27" t="n">
        <v>62.2</v>
      </c>
      <c r="BU36" s="26" t="n">
        <f aca="false">IF(AND(ISNUMBER(BV36),COUNT(BR36,BS36,BT36)&gt;0),BV36-N(BR36)-N(BS36)-N(BT36),"")</f>
        <v>48.2</v>
      </c>
      <c r="BV36" s="27" t="n">
        <v>317.8</v>
      </c>
      <c r="BW36" s="27" t="n">
        <v>55.2</v>
      </c>
      <c r="BX36" s="27" t="n">
        <v>45.8</v>
      </c>
      <c r="BY36" s="28"/>
      <c r="BZ36" s="28"/>
      <c r="CA36" s="28"/>
      <c r="CB36" s="28"/>
      <c r="CC36" s="28"/>
      <c r="CD36" s="28"/>
      <c r="CE36" s="28"/>
      <c r="CF36" s="21"/>
      <c r="CN36" s="29" t="s">
        <v>154</v>
      </c>
      <c r="CO36" s="45" t="n">
        <f aca="false">CP36+$CO$33</f>
        <v>0.015</v>
      </c>
      <c r="CP36" s="30" t="n">
        <v>0.005</v>
      </c>
      <c r="CQ36" s="45" t="n">
        <f aca="false">CP36+$CQ$33</f>
        <v>-0.005</v>
      </c>
    </row>
    <row r="37" customFormat="false" ht="15" hidden="true" customHeight="true" outlineLevel="1" collapsed="false">
      <c r="B37" s="24" t="s">
        <v>163</v>
      </c>
      <c r="C37" s="27" t="n">
        <v>37.2</v>
      </c>
      <c r="D37" s="27" t="n">
        <v>38.2</v>
      </c>
      <c r="E37" s="27" t="n">
        <v>53.6</v>
      </c>
      <c r="F37" s="27" t="n">
        <v>49.6</v>
      </c>
      <c r="G37" s="27" t="n">
        <v>31.8</v>
      </c>
      <c r="H37" s="27" t="n">
        <v>36.7</v>
      </c>
      <c r="I37" s="27" t="n">
        <v>45.1</v>
      </c>
      <c r="J37" s="27" t="n">
        <v>10.5</v>
      </c>
      <c r="K37" s="27" t="n">
        <v>10.8</v>
      </c>
      <c r="L37" s="27" t="n">
        <v>10.2</v>
      </c>
      <c r="M37" s="26" t="n">
        <f aca="false">IF(AND(ISNUMBER(N37),COUNT(J37,K37,L37)&gt;0),N37-N(J37)-N(K37)-N(L37),"")</f>
        <v>10.7</v>
      </c>
      <c r="N37" s="27" t="n">
        <v>42.2</v>
      </c>
      <c r="O37" s="27" t="n">
        <v>11.3</v>
      </c>
      <c r="P37" s="27" t="n">
        <v>11</v>
      </c>
      <c r="Q37" s="27" t="n">
        <v>12.1</v>
      </c>
      <c r="R37" s="26" t="n">
        <f aca="false">IF(AND(ISNUMBER(S37),COUNT(O37,P37,Q37)&gt;0),S37-N(O37)-N(P37)-N(Q37),"")</f>
        <v>12.2</v>
      </c>
      <c r="S37" s="27" t="n">
        <v>46.6</v>
      </c>
      <c r="T37" s="27" t="n">
        <v>11.7</v>
      </c>
      <c r="U37" s="27" t="n">
        <v>12.7</v>
      </c>
      <c r="V37" s="27" t="n">
        <v>12.7</v>
      </c>
      <c r="W37" s="26" t="n">
        <f aca="false">IF(AND(ISNUMBER(X37),COUNT(T37,U37,V37)&gt;0),X37-N(T37)-N(U37)-N(V37),"")</f>
        <v>12.9</v>
      </c>
      <c r="X37" s="27" t="n">
        <v>50</v>
      </c>
      <c r="Y37" s="27" t="n">
        <v>13.4</v>
      </c>
      <c r="Z37" s="27" t="n">
        <v>13.7</v>
      </c>
      <c r="AA37" s="27" t="n">
        <v>12.6</v>
      </c>
      <c r="AB37" s="26" t="n">
        <f aca="false">IF(AND(ISNUMBER(AC37),COUNT(Y37,Z37,AA37)&gt;0),AC37-N(Y37)-N(Z37)-N(AA37),"")</f>
        <v>12.9</v>
      </c>
      <c r="AC37" s="27" t="n">
        <v>52.6</v>
      </c>
      <c r="AD37" s="27" t="n">
        <v>12.4</v>
      </c>
      <c r="AE37" s="27" t="n">
        <v>20.5</v>
      </c>
      <c r="AF37" s="27" t="n">
        <v>32.6</v>
      </c>
      <c r="AG37" s="26" t="n">
        <f aca="false">IF(AND(ISNUMBER(AH37),COUNT(AD37,AE37,AF37)&gt;0),AH37-N(AD37)-N(AE37)-N(AF37),"")</f>
        <v>32.7</v>
      </c>
      <c r="AH37" s="27" t="n">
        <v>98.2</v>
      </c>
      <c r="AI37" s="27" t="n">
        <v>40.2</v>
      </c>
      <c r="AJ37" s="27" t="n">
        <v>42.1</v>
      </c>
      <c r="AK37" s="27" t="n">
        <v>43.4</v>
      </c>
      <c r="AL37" s="26" t="n">
        <f aca="false">IF(AND(ISNUMBER(AM37),COUNT(AI37,AJ37,AK37)&gt;0),AM37-N(AI37)-N(AJ37)-N(AK37),"")</f>
        <v>46.5</v>
      </c>
      <c r="AM37" s="27" t="n">
        <v>172.2</v>
      </c>
      <c r="AN37" s="27" t="n">
        <v>52</v>
      </c>
      <c r="AO37" s="27" t="n">
        <v>56.3</v>
      </c>
      <c r="AP37" s="27" t="n">
        <v>60.1</v>
      </c>
      <c r="AQ37" s="26" t="n">
        <f aca="false">IF(AND(ISNUMBER(AR37),COUNT(AN37,AO37,AP37)&gt;0),AR37-N(AN37)-N(AO37)-N(AP37),"")</f>
        <v>62.1</v>
      </c>
      <c r="AR37" s="27" t="n">
        <v>230.5</v>
      </c>
      <c r="AS37" s="27" t="n">
        <v>63</v>
      </c>
      <c r="AT37" s="27" t="n">
        <v>57.1</v>
      </c>
      <c r="AU37" s="27" t="n">
        <v>53.8</v>
      </c>
      <c r="AV37" s="26" t="n">
        <f aca="false">IF(AND(ISNUMBER(AW37),COUNT(AS37,AT37,AU37)&gt;0),AW37-N(AS37)-N(AT37)-N(AU37),"")</f>
        <v>53.8</v>
      </c>
      <c r="AW37" s="27" t="n">
        <v>227.7</v>
      </c>
      <c r="AX37" s="27" t="n">
        <v>55.9</v>
      </c>
      <c r="AY37" s="27" t="n">
        <v>58.3</v>
      </c>
      <c r="AZ37" s="27" t="n">
        <v>62</v>
      </c>
      <c r="BA37" s="26" t="n">
        <f aca="false">IF(AND(ISNUMBER(BB37),COUNT(AX37,AY37,AZ37)&gt;0),BB37-N(AX37)-N(AY37)-N(AZ37),"")</f>
        <v>67.3</v>
      </c>
      <c r="BB37" s="27" t="n">
        <v>243.5</v>
      </c>
      <c r="BC37" s="27" t="n">
        <v>83.5</v>
      </c>
      <c r="BD37" s="27" t="n">
        <v>105.6</v>
      </c>
      <c r="BE37" s="27" t="n">
        <v>126.3</v>
      </c>
      <c r="BF37" s="26" t="n">
        <f aca="false">IF(AND(ISNUMBER(BG37),COUNT(BC37,BD37,BE37)&gt;0),BG37-N(BC37)-N(BD37)-N(BE37),"")</f>
        <v>140.4</v>
      </c>
      <c r="BG37" s="27" t="n">
        <v>455.8</v>
      </c>
      <c r="BH37" s="27" t="n">
        <v>171.2</v>
      </c>
      <c r="BI37" s="27" t="n">
        <v>168.5</v>
      </c>
      <c r="BJ37" s="27" t="n">
        <v>156.6</v>
      </c>
      <c r="BK37" s="26" t="n">
        <f aca="false">IF(AND(ISNUMBER(BL37),COUNT(BH37,BI37,BJ37)&gt;0),BL37-N(BH37)-N(BI37)-N(BJ37),"")</f>
        <v>154.8</v>
      </c>
      <c r="BL37" s="27" t="n">
        <v>651.1</v>
      </c>
      <c r="BM37" s="27" t="n">
        <v>140.6</v>
      </c>
      <c r="BN37" s="27" t="n">
        <v>135.7</v>
      </c>
      <c r="BO37" s="27" t="n">
        <v>132.9</v>
      </c>
      <c r="BP37" s="26" t="n">
        <f aca="false">IF(AND(ISNUMBER(BQ37),COUNT(BM37,BN37,BO37)&gt;0),BQ37-N(BM37)-N(BN37)-N(BO37),"")</f>
        <v>129.8</v>
      </c>
      <c r="BQ37" s="27" t="n">
        <v>539</v>
      </c>
      <c r="BR37" s="27" t="n">
        <v>133.2</v>
      </c>
      <c r="BS37" s="27" t="n">
        <v>136.9</v>
      </c>
      <c r="BT37" s="27" t="n">
        <v>134.3</v>
      </c>
      <c r="BU37" s="26" t="n">
        <f aca="false">IF(AND(ISNUMBER(BV37),COUNT(BR37,BS37,BT37)&gt;0),BV37-N(BR37)-N(BS37)-N(BT37),"")</f>
        <v>132.6</v>
      </c>
      <c r="BV37" s="27" t="n">
        <v>537</v>
      </c>
      <c r="BW37" s="27" t="n">
        <v>121.3</v>
      </c>
      <c r="BX37" s="27" t="n">
        <v>121.8</v>
      </c>
      <c r="BY37" s="28"/>
      <c r="BZ37" s="28"/>
      <c r="CA37" s="28"/>
      <c r="CB37" s="28"/>
      <c r="CC37" s="28"/>
      <c r="CD37" s="28"/>
      <c r="CE37" s="28"/>
      <c r="CF37" s="21"/>
      <c r="CN37" s="29" t="s">
        <v>157</v>
      </c>
      <c r="CO37" s="45" t="n">
        <f aca="false">CP37+$CO$33</f>
        <v>0.015</v>
      </c>
      <c r="CP37" s="30" t="n">
        <v>0.005</v>
      </c>
      <c r="CQ37" s="45" t="n">
        <f aca="false">CP37+$CQ$33</f>
        <v>-0.005</v>
      </c>
    </row>
    <row r="38" customFormat="false" ht="15" hidden="true" customHeight="true" outlineLevel="1" collapsed="false">
      <c r="B38" s="24" t="s">
        <v>164</v>
      </c>
      <c r="C38" s="25"/>
      <c r="D38" s="25"/>
      <c r="E38" s="25"/>
      <c r="F38" s="27" t="n">
        <v>-21.9</v>
      </c>
      <c r="G38" s="27" t="n">
        <v>2.6</v>
      </c>
      <c r="H38" s="27" t="n">
        <v>10.3</v>
      </c>
      <c r="I38" s="27" t="n">
        <v>2.4</v>
      </c>
      <c r="J38" s="27" t="n">
        <v>1.5</v>
      </c>
      <c r="K38" s="27" t="n">
        <v>0.9</v>
      </c>
      <c r="L38" s="27" t="n">
        <v>1.2</v>
      </c>
      <c r="M38" s="26" t="n">
        <f aca="false">IF(AND(ISNUMBER(N38),COUNT(J38,K38,L38)&gt;0),N38-N(J38)-N(K38)-N(L38),"")</f>
        <v>0.9</v>
      </c>
      <c r="N38" s="27" t="n">
        <v>4.5</v>
      </c>
      <c r="O38" s="27" t="n">
        <v>0.3</v>
      </c>
      <c r="P38" s="25"/>
      <c r="Q38" s="27" t="n">
        <v>0.3</v>
      </c>
      <c r="R38" s="26" t="n">
        <f aca="false">IF(AND(ISNUMBER(S38),COUNT(O38,P38,Q38)&gt;0),S38-N(O38)-N(P38)-N(Q38),"")</f>
        <v>0.1</v>
      </c>
      <c r="S38" s="27" t="n">
        <v>0.7</v>
      </c>
      <c r="T38" s="25"/>
      <c r="U38" s="27" t="n">
        <v>-0.4</v>
      </c>
      <c r="V38" s="27" t="n">
        <v>-1</v>
      </c>
      <c r="W38" s="26" t="n">
        <f aca="false">IF(AND(ISNUMBER(X38),COUNT(T38,U38,V38)&gt;0),X38-N(T38)-N(U38)-N(V38),"")</f>
        <v>-2.2</v>
      </c>
      <c r="X38" s="27" t="n">
        <v>-3.6</v>
      </c>
      <c r="Y38" s="27" t="n">
        <v>-1.7</v>
      </c>
      <c r="Z38" s="27" t="n">
        <v>-1.5</v>
      </c>
      <c r="AA38" s="27" t="n">
        <v>-1.3</v>
      </c>
      <c r="AB38" s="26" t="n">
        <f aca="false">IF(AND(ISNUMBER(AC38),COUNT(Y38,Z38,AA38)&gt;0),AC38-N(Y38)-N(Z38)-N(AA38),"")</f>
        <v>-0.2</v>
      </c>
      <c r="AC38" s="27" t="n">
        <v>-4.7</v>
      </c>
      <c r="AD38" s="27" t="n">
        <v>0.2</v>
      </c>
      <c r="AE38" s="27" t="n">
        <v>0.4</v>
      </c>
      <c r="AF38" s="27" t="n">
        <v>0.2</v>
      </c>
      <c r="AG38" s="26" t="n">
        <f aca="false">IF(AND(ISNUMBER(AH38),COUNT(AD38,AE38,AF38)&gt;0),AH38-N(AD38)-N(AE38)-N(AF38),"")</f>
        <v>1</v>
      </c>
      <c r="AH38" s="27" t="n">
        <v>1.8</v>
      </c>
      <c r="AI38" s="27" t="n">
        <v>2.1</v>
      </c>
      <c r="AJ38" s="27" t="n">
        <v>3.5</v>
      </c>
      <c r="AK38" s="27" t="n">
        <v>6.1</v>
      </c>
      <c r="AL38" s="26" t="n">
        <f aca="false">IF(AND(ISNUMBER(AM38),COUNT(AI38,AJ38,AK38)&gt;0),AM38-N(AI38)-N(AJ38)-N(AK38),"")</f>
        <v>4.7</v>
      </c>
      <c r="AM38" s="27" t="n">
        <v>16.4</v>
      </c>
      <c r="AN38" s="27" t="n">
        <v>2.8</v>
      </c>
      <c r="AO38" s="27" t="n">
        <v>2.2</v>
      </c>
      <c r="AP38" s="27" t="n">
        <v>1</v>
      </c>
      <c r="AQ38" s="26" t="n">
        <f aca="false">IF(AND(ISNUMBER(AR38),COUNT(AN38,AO38,AP38)&gt;0),AR38-N(AN38)-N(AO38)-N(AP38),"")</f>
        <v>0.5</v>
      </c>
      <c r="AR38" s="27" t="n">
        <v>6.5</v>
      </c>
      <c r="AS38" s="27" t="n">
        <v>1.5</v>
      </c>
      <c r="AT38" s="27" t="n">
        <v>-2.7</v>
      </c>
      <c r="AU38" s="27" t="n">
        <v>-4.7</v>
      </c>
      <c r="AV38" s="26" t="n">
        <f aca="false">IF(AND(ISNUMBER(AW38),COUNT(AS38,AT38,AU38)&gt;0),AW38-N(AS38)-N(AT38)-N(AU38),"")</f>
        <v>-5.8</v>
      </c>
      <c r="AW38" s="27" t="n">
        <v>-11.7</v>
      </c>
      <c r="AX38" s="27" t="n">
        <v>-3.7</v>
      </c>
      <c r="AY38" s="27" t="n">
        <v>2.6</v>
      </c>
      <c r="AZ38" s="27" t="n">
        <v>5.7</v>
      </c>
      <c r="BA38" s="26" t="n">
        <f aca="false">IF(AND(ISNUMBER(BB38),COUNT(AX38,AY38,AZ38)&gt;0),BB38-N(AX38)-N(AY38)-N(AZ38),"")</f>
        <v>9.1</v>
      </c>
      <c r="BB38" s="27" t="n">
        <v>13.7</v>
      </c>
      <c r="BC38" s="27" t="n">
        <v>10.5</v>
      </c>
      <c r="BD38" s="27" t="n">
        <v>23</v>
      </c>
      <c r="BE38" s="27" t="n">
        <v>27.9</v>
      </c>
      <c r="BF38" s="26" t="n">
        <f aca="false">IF(AND(ISNUMBER(BG38),COUNT(BC38,BD38,BE38)&gt;0),BG38-N(BC38)-N(BD38)-N(BE38),"")</f>
        <v>24.5</v>
      </c>
      <c r="BG38" s="27" t="n">
        <v>85.9</v>
      </c>
      <c r="BH38" s="27" t="n">
        <v>12.3</v>
      </c>
      <c r="BI38" s="27" t="n">
        <v>-12.7</v>
      </c>
      <c r="BJ38" s="27" t="n">
        <v>-19.2</v>
      </c>
      <c r="BK38" s="26" t="n">
        <f aca="false">IF(AND(ISNUMBER(BL38),COUNT(BH38,BI38,BJ38)&gt;0),BL38-N(BH38)-N(BI38)-N(BJ38),"")</f>
        <v>-14.9</v>
      </c>
      <c r="BL38" s="27" t="n">
        <v>-34.5</v>
      </c>
      <c r="BM38" s="27" t="n">
        <v>-12.1</v>
      </c>
      <c r="BN38" s="27" t="n">
        <v>-4.5</v>
      </c>
      <c r="BO38" s="27" t="n">
        <v>-5.2</v>
      </c>
      <c r="BP38" s="26" t="n">
        <f aca="false">IF(AND(ISNUMBER(BQ38),COUNT(BM38,BN38,BO38)&gt;0),BQ38-N(BM38)-N(BN38)-N(BO38),"")</f>
        <v>-10.8</v>
      </c>
      <c r="BQ38" s="27" t="n">
        <v>-32.6</v>
      </c>
      <c r="BR38" s="27" t="n">
        <v>-3.7</v>
      </c>
      <c r="BS38" s="27" t="n">
        <v>-4.1</v>
      </c>
      <c r="BT38" s="27" t="n">
        <v>-2.2</v>
      </c>
      <c r="BU38" s="26" t="n">
        <f aca="false">IF(AND(ISNUMBER(BV38),COUNT(BR38,BS38,BT38)&gt;0),BV38-N(BR38)-N(BS38)-N(BT38),"")</f>
        <v>-0.4</v>
      </c>
      <c r="BV38" s="27" t="n">
        <v>-10.4</v>
      </c>
      <c r="BW38" s="27" t="n">
        <v>-1.3</v>
      </c>
      <c r="BX38" s="27" t="n">
        <v>24.5</v>
      </c>
      <c r="BY38" s="28"/>
      <c r="BZ38" s="28"/>
      <c r="CA38" s="28"/>
      <c r="CB38" s="28"/>
      <c r="CC38" s="28"/>
      <c r="CD38" s="28"/>
      <c r="CE38" s="28"/>
      <c r="CF38" s="21"/>
      <c r="CN38" s="17" t="s">
        <v>165</v>
      </c>
      <c r="CO38" s="44" t="n">
        <v>0.06</v>
      </c>
      <c r="CP38" s="23" t="s">
        <v>146</v>
      </c>
      <c r="CQ38" s="44" t="n">
        <v>-0.06</v>
      </c>
      <c r="CR38" s="15" t="s">
        <v>166</v>
      </c>
    </row>
    <row r="39" customFormat="false" ht="15" hidden="true" customHeight="true" outlineLevel="2" collapsed="false">
      <c r="B39" s="24" t="s">
        <v>167</v>
      </c>
      <c r="C39" s="27" t="n">
        <v>20</v>
      </c>
      <c r="D39" s="27" t="n">
        <v>12.6</v>
      </c>
      <c r="E39" s="27" t="n">
        <v>-22.2</v>
      </c>
      <c r="F39" s="27" t="n">
        <v>-64.2</v>
      </c>
      <c r="G39" s="27" t="n">
        <v>0.5</v>
      </c>
      <c r="H39" s="27" t="n">
        <v>-3.9</v>
      </c>
      <c r="I39" s="27" t="n">
        <v>-31.4</v>
      </c>
      <c r="J39" s="27" t="n">
        <v>-7.1</v>
      </c>
      <c r="K39" s="27" t="n">
        <v>3.3</v>
      </c>
      <c r="L39" s="27" t="n">
        <v>8.1</v>
      </c>
      <c r="M39" s="26" t="n">
        <f aca="false">IF(AND(ISNUMBER(N39),COUNT(J39,K39,L39)&gt;0),N39-N(J39)-N(K39)-N(L39),"")</f>
        <v>9.4</v>
      </c>
      <c r="N39" s="27" t="n">
        <v>13.7</v>
      </c>
      <c r="O39" s="27" t="n">
        <v>9.7</v>
      </c>
      <c r="P39" s="27" t="n">
        <v>6.3</v>
      </c>
      <c r="Q39" s="27" t="n">
        <v>9.1</v>
      </c>
      <c r="R39" s="26" t="n">
        <f aca="false">IF(AND(ISNUMBER(S39),COUNT(O39,P39,Q39)&gt;0),S39-N(O39)-N(P39)-N(Q39),"")</f>
        <v>10</v>
      </c>
      <c r="S39" s="27" t="n">
        <v>35.1</v>
      </c>
      <c r="T39" s="27" t="n">
        <v>6.5</v>
      </c>
      <c r="U39" s="27" t="n">
        <v>10.5</v>
      </c>
      <c r="V39" s="27" t="n">
        <v>11.8</v>
      </c>
      <c r="W39" s="26" t="n">
        <f aca="false">IF(AND(ISNUMBER(X39),COUNT(T39,U39,V39)&gt;0),X39-N(T39)-N(U39)-N(V39),"")</f>
        <v>10.7</v>
      </c>
      <c r="X39" s="27" t="n">
        <v>39.5</v>
      </c>
      <c r="Y39" s="27" t="n">
        <v>14.1</v>
      </c>
      <c r="Z39" s="27" t="n">
        <v>11.7</v>
      </c>
      <c r="AA39" s="27" t="n">
        <v>5.5</v>
      </c>
      <c r="AB39" s="26" t="n">
        <f aca="false">IF(AND(ISNUMBER(AC39),COUNT(Y39,Z39,AA39)&gt;0),AC39-N(Y39)-N(Z39)-N(AA39),"")</f>
        <v>5.2</v>
      </c>
      <c r="AC39" s="27" t="n">
        <v>36.5</v>
      </c>
      <c r="AD39" s="27" t="n">
        <v>10</v>
      </c>
      <c r="AE39" s="27" t="n">
        <v>13.6</v>
      </c>
      <c r="AF39" s="27" t="n">
        <v>5</v>
      </c>
      <c r="AG39" s="26" t="n">
        <f aca="false">IF(AND(ISNUMBER(AH39),COUNT(AD39,AE39,AF39)&gt;0),AH39-N(AD39)-N(AE39)-N(AF39),"")</f>
        <v>7.1</v>
      </c>
      <c r="AH39" s="27" t="n">
        <v>35.7</v>
      </c>
      <c r="AI39" s="27" t="n">
        <v>-11.2</v>
      </c>
      <c r="AJ39" s="27" t="n">
        <v>-15.6</v>
      </c>
      <c r="AK39" s="27" t="n">
        <v>-1.4</v>
      </c>
      <c r="AL39" s="26" t="n">
        <f aca="false">IF(AND(ISNUMBER(AM39),COUNT(AI39,AJ39,AK39)&gt;0),AM39-N(AI39)-N(AJ39)-N(AK39),"")</f>
        <v>1.5</v>
      </c>
      <c r="AM39" s="27" t="n">
        <v>-26.7</v>
      </c>
      <c r="AN39" s="27" t="n">
        <v>-12.6</v>
      </c>
      <c r="AO39" s="27" t="n">
        <v>9.3</v>
      </c>
      <c r="AP39" s="27" t="n">
        <v>10.3</v>
      </c>
      <c r="AQ39" s="26" t="n">
        <f aca="false">IF(AND(ISNUMBER(AR39),COUNT(AN39,AO39,AP39)&gt;0),AR39-N(AN39)-N(AO39)-N(AP39),"")</f>
        <v>-15.9</v>
      </c>
      <c r="AR39" s="27" t="n">
        <v>-8.9</v>
      </c>
      <c r="AS39" s="27" t="n">
        <v>-4</v>
      </c>
      <c r="AT39" s="27" t="n">
        <v>-121.2</v>
      </c>
      <c r="AU39" s="27" t="n">
        <v>-74.6</v>
      </c>
      <c r="AV39" s="26" t="n">
        <f aca="false">IF(AND(ISNUMBER(AW39),COUNT(AS39,AT39,AU39)&gt;0),AW39-N(AS39)-N(AT39)-N(AU39),"")</f>
        <v>-39</v>
      </c>
      <c r="AW39" s="27" t="n">
        <v>-238.8</v>
      </c>
      <c r="AX39" s="27" t="n">
        <v>-40.5</v>
      </c>
      <c r="AY39" s="27" t="n">
        <v>80.2</v>
      </c>
      <c r="AZ39" s="27" t="n">
        <v>28.9</v>
      </c>
      <c r="BA39" s="26" t="n">
        <f aca="false">IF(AND(ISNUMBER(BB39),COUNT(AX39,AY39,AZ39)&gt;0),BB39-N(AX39)-N(AY39)-N(AZ39),"")</f>
        <v>16.4</v>
      </c>
      <c r="BB39" s="27" t="n">
        <v>85</v>
      </c>
      <c r="BC39" s="27" t="n">
        <v>7</v>
      </c>
      <c r="BD39" s="27" t="n">
        <v>-10.4</v>
      </c>
      <c r="BE39" s="27" t="n">
        <v>-22.3</v>
      </c>
      <c r="BF39" s="26" t="n">
        <f aca="false">IF(AND(ISNUMBER(BG39),COUNT(BC39,BD39,BE39)&gt;0),BG39-N(BC39)-N(BD39)-N(BE39),"")</f>
        <v>-37.5</v>
      </c>
      <c r="BG39" s="27" t="n">
        <v>-63.2</v>
      </c>
      <c r="BH39" s="27" t="n">
        <v>-20.5</v>
      </c>
      <c r="BI39" s="27" t="n">
        <v>-32.9</v>
      </c>
      <c r="BJ39" s="27" t="n">
        <v>-42</v>
      </c>
      <c r="BK39" s="26" t="n">
        <f aca="false">IF(AND(ISNUMBER(BL39),COUNT(BH39,BI39,BJ39)&gt;0),BL39-N(BH39)-N(BI39)-N(BJ39),"")</f>
        <v>-41.6</v>
      </c>
      <c r="BL39" s="27" t="n">
        <v>-137</v>
      </c>
      <c r="BM39" s="27" t="n">
        <v>-69.6</v>
      </c>
      <c r="BN39" s="27" t="n">
        <v>-54.2</v>
      </c>
      <c r="BO39" s="27" t="n">
        <v>-37.7</v>
      </c>
      <c r="BP39" s="26" t="n">
        <f aca="false">IF(AND(ISNUMBER(BQ39),COUNT(BM39,BN39,BO39)&gt;0),BQ39-N(BM39)-N(BN39)-N(BO39),"")</f>
        <v>-61</v>
      </c>
      <c r="BQ39" s="27" t="n">
        <v>-222.5</v>
      </c>
      <c r="BR39" s="27" t="n">
        <v>-65.9</v>
      </c>
      <c r="BS39" s="27" t="n">
        <v>-56.2</v>
      </c>
      <c r="BT39" s="27" t="n">
        <v>-59.4</v>
      </c>
      <c r="BU39" s="26" t="n">
        <f aca="false">IF(AND(ISNUMBER(BV39),COUNT(BR39,BS39,BT39)&gt;0),BV39-N(BR39)-N(BS39)-N(BT39),"")</f>
        <v>-56.5</v>
      </c>
      <c r="BV39" s="27" t="n">
        <v>-238</v>
      </c>
      <c r="BW39" s="27" t="n">
        <v>-57.9</v>
      </c>
      <c r="BX39" s="27" t="n">
        <v>-64.1</v>
      </c>
      <c r="BY39" s="28"/>
      <c r="BZ39" s="28"/>
      <c r="CA39" s="28"/>
      <c r="CB39" s="28"/>
      <c r="CC39" s="28"/>
      <c r="CD39" s="28"/>
      <c r="CE39" s="28"/>
      <c r="CF39" s="21"/>
      <c r="CN39" s="29" t="s">
        <v>149</v>
      </c>
      <c r="CO39" s="45" t="n">
        <f aca="false">CP39+$CO$38</f>
        <v>0.12</v>
      </c>
      <c r="CP39" s="30" t="n">
        <v>0.06</v>
      </c>
      <c r="CQ39" s="45" t="n">
        <f aca="false">CP39+$CQ$38</f>
        <v>0</v>
      </c>
    </row>
    <row r="40" customFormat="false" ht="15" hidden="true" customHeight="true" outlineLevel="2" collapsed="false">
      <c r="B40" s="24" t="s">
        <v>168</v>
      </c>
      <c r="C40" s="25"/>
      <c r="D40" s="27" t="n">
        <v>13</v>
      </c>
      <c r="E40" s="27" t="n">
        <v>-3.3</v>
      </c>
      <c r="F40" s="27" t="n">
        <v>-15.5</v>
      </c>
      <c r="G40" s="27" t="n">
        <v>24.6</v>
      </c>
      <c r="H40" s="27" t="n">
        <v>14</v>
      </c>
      <c r="I40" s="27" t="n">
        <v>-20</v>
      </c>
      <c r="J40" s="27" t="n">
        <v>-2.4</v>
      </c>
      <c r="K40" s="27" t="n">
        <v>-3.3</v>
      </c>
      <c r="L40" s="27" t="n">
        <v>-0.2</v>
      </c>
      <c r="M40" s="26" t="n">
        <f aca="false">IF(AND(ISNUMBER(N40),COUNT(J40,K40,L40)&gt;0),N40-N(J40)-N(K40)-N(L40),"")</f>
        <v>-2</v>
      </c>
      <c r="N40" s="27" t="n">
        <v>-7.9</v>
      </c>
      <c r="O40" s="27" t="n">
        <v>-2.7</v>
      </c>
      <c r="P40" s="27" t="n">
        <v>-2.5</v>
      </c>
      <c r="Q40" s="27" t="n">
        <v>-2.3</v>
      </c>
      <c r="R40" s="26" t="n">
        <f aca="false">IF(AND(ISNUMBER(S40),COUNT(O40,P40,Q40)&gt;0),S40-N(O40)-N(P40)-N(Q40),"")</f>
        <v>-2.3</v>
      </c>
      <c r="S40" s="27" t="n">
        <v>-9.8</v>
      </c>
      <c r="T40" s="27" t="n">
        <v>-3.5</v>
      </c>
      <c r="U40" s="27" t="n">
        <v>-2.3</v>
      </c>
      <c r="V40" s="27" t="n">
        <v>-2.4</v>
      </c>
      <c r="W40" s="26" t="n">
        <f aca="false">IF(AND(ISNUMBER(X40),COUNT(T40,U40,V40)&gt;0),X40-N(T40)-N(U40)-N(V40),"")</f>
        <v>-1.7</v>
      </c>
      <c r="X40" s="27" t="n">
        <v>-9.9</v>
      </c>
      <c r="Y40" s="27" t="n">
        <v>-0.9</v>
      </c>
      <c r="Z40" s="27" t="n">
        <v>-0.6</v>
      </c>
      <c r="AA40" s="27" t="n">
        <v>1.8</v>
      </c>
      <c r="AB40" s="26" t="n">
        <f aca="false">IF(AND(ISNUMBER(AC40),COUNT(Y40,Z40,AA40)&gt;0),AC40-N(Y40)-N(Z40)-N(AA40),"")</f>
        <v>1.9</v>
      </c>
      <c r="AC40" s="27" t="n">
        <v>2.2</v>
      </c>
      <c r="AD40" s="27" t="n">
        <v>7.1</v>
      </c>
      <c r="AE40" s="27" t="n">
        <v>7.6</v>
      </c>
      <c r="AF40" s="27" t="n">
        <v>7.9</v>
      </c>
      <c r="AG40" s="26" t="n">
        <f aca="false">IF(AND(ISNUMBER(AH40),COUNT(AD40,AE40,AF40)&gt;0),AH40-N(AD40)-N(AE40)-N(AF40),"")</f>
        <v>-3.1</v>
      </c>
      <c r="AH40" s="27" t="n">
        <v>19.5</v>
      </c>
      <c r="AI40" s="27" t="n">
        <v>-18.8</v>
      </c>
      <c r="AJ40" s="27" t="n">
        <v>-19.7</v>
      </c>
      <c r="AK40" s="27" t="n">
        <v>-19.5</v>
      </c>
      <c r="AL40" s="26" t="n">
        <f aca="false">IF(AND(ISNUMBER(AM40),COUNT(AI40,AJ40,AK40)&gt;0),AM40-N(AI40)-N(AJ40)-N(AK40),"")</f>
        <v>-8.3</v>
      </c>
      <c r="AM40" s="27" t="n">
        <v>-66.3</v>
      </c>
      <c r="AN40" s="27" t="n">
        <v>-5.3</v>
      </c>
      <c r="AO40" s="27" t="n">
        <v>-7.1</v>
      </c>
      <c r="AP40" s="27" t="n">
        <v>-9.5</v>
      </c>
      <c r="AQ40" s="26" t="n">
        <f aca="false">IF(AND(ISNUMBER(AR40),COUNT(AN40,AO40,AP40)&gt;0),AR40-N(AN40)-N(AO40)-N(AP40),"")</f>
        <v>-10</v>
      </c>
      <c r="AR40" s="27" t="n">
        <v>-31.9</v>
      </c>
      <c r="AS40" s="27" t="n">
        <v>-4.4</v>
      </c>
      <c r="AT40" s="27" t="n">
        <v>-0.5</v>
      </c>
      <c r="AU40" s="27" t="n">
        <v>2.4</v>
      </c>
      <c r="AV40" s="26" t="n">
        <f aca="false">IF(AND(ISNUMBER(AW40),COUNT(AS40,AT40,AU40)&gt;0),AW40-N(AS40)-N(AT40)-N(AU40),"")</f>
        <v>6.8</v>
      </c>
      <c r="AW40" s="27" t="n">
        <v>4.3</v>
      </c>
      <c r="AX40" s="27" t="n">
        <v>11.3</v>
      </c>
      <c r="AY40" s="27" t="n">
        <v>18</v>
      </c>
      <c r="AZ40" s="27" t="n">
        <v>28.3</v>
      </c>
      <c r="BA40" s="26" t="n">
        <f aca="false">IF(AND(ISNUMBER(BB40),COUNT(AX40,AY40,AZ40)&gt;0),BB40-N(AX40)-N(AY40)-N(AZ40),"")</f>
        <v>35.1</v>
      </c>
      <c r="BB40" s="27" t="n">
        <v>92.7</v>
      </c>
      <c r="BC40" s="27" t="n">
        <v>15</v>
      </c>
      <c r="BD40" s="27" t="n">
        <v>5.7</v>
      </c>
      <c r="BE40" s="27" t="n">
        <v>-19.5</v>
      </c>
      <c r="BF40" s="26" t="n">
        <f aca="false">IF(AND(ISNUMBER(BG40),COUNT(BC40,BD40,BE40)&gt;0),BG40-N(BC40)-N(BD40)-N(BE40),"")</f>
        <v>-46.2</v>
      </c>
      <c r="BG40" s="27" t="n">
        <v>-45</v>
      </c>
      <c r="BH40" s="27" t="n">
        <v>-29.9</v>
      </c>
      <c r="BI40" s="27" t="n">
        <v>-25.8</v>
      </c>
      <c r="BJ40" s="27" t="n">
        <v>-9.5</v>
      </c>
      <c r="BK40" s="26" t="n">
        <f aca="false">IF(AND(ISNUMBER(BL40),COUNT(BH40,BI40,BJ40)&gt;0),BL40-N(BH40)-N(BI40)-N(BJ40),"")</f>
        <v>13.9</v>
      </c>
      <c r="BL40" s="27" t="n">
        <v>-51.3</v>
      </c>
      <c r="BM40" s="27" t="n">
        <v>15.3</v>
      </c>
      <c r="BN40" s="27" t="n">
        <v>15.2</v>
      </c>
      <c r="BO40" s="27" t="n">
        <v>19.2</v>
      </c>
      <c r="BP40" s="26" t="n">
        <f aca="false">IF(AND(ISNUMBER(BQ40),COUNT(BM40,BN40,BO40)&gt;0),BQ40-N(BM40)-N(BN40)-N(BO40),"")</f>
        <v>4.3</v>
      </c>
      <c r="BQ40" s="27" t="n">
        <v>54</v>
      </c>
      <c r="BR40" s="27" t="n">
        <v>-2.1</v>
      </c>
      <c r="BS40" s="27" t="n">
        <v>-7</v>
      </c>
      <c r="BT40" s="27" t="n">
        <v>-17.1</v>
      </c>
      <c r="BU40" s="26" t="n">
        <f aca="false">IF(AND(ISNUMBER(BV40),COUNT(BR40,BS40,BT40)&gt;0),BV40-N(BR40)-N(BS40)-N(BT40),"")</f>
        <v>-11.5</v>
      </c>
      <c r="BV40" s="27" t="n">
        <v>-37.7</v>
      </c>
      <c r="BW40" s="27" t="n">
        <v>-9.2</v>
      </c>
      <c r="BX40" s="27" t="n">
        <v>-4.8</v>
      </c>
      <c r="BY40" s="28"/>
      <c r="BZ40" s="28"/>
      <c r="CA40" s="28"/>
      <c r="CB40" s="28"/>
      <c r="CC40" s="28"/>
      <c r="CD40" s="28"/>
      <c r="CE40" s="28"/>
      <c r="CF40" s="21"/>
      <c r="CN40" s="29" t="s">
        <v>151</v>
      </c>
      <c r="CO40" s="45" t="n">
        <f aca="false">CP40+$CO$38</f>
        <v>0.11</v>
      </c>
      <c r="CP40" s="30" t="n">
        <v>0.05</v>
      </c>
      <c r="CQ40" s="45" t="n">
        <f aca="false">CP40+$CQ$38</f>
        <v>-0.01</v>
      </c>
    </row>
    <row r="41" customFormat="false" ht="15" hidden="true" customHeight="true" outlineLevel="2" collapsed="false">
      <c r="B41" s="24" t="s">
        <v>169</v>
      </c>
      <c r="C41" s="25"/>
      <c r="D41" s="25"/>
      <c r="E41" s="25"/>
      <c r="F41" s="25"/>
      <c r="G41" s="25"/>
      <c r="H41" s="25"/>
      <c r="I41" s="25"/>
      <c r="J41" s="27" t="n">
        <v>-0.4</v>
      </c>
      <c r="K41" s="25"/>
      <c r="L41" s="25"/>
      <c r="M41" s="26" t="str">
        <f aca="false">IF(AND(ISNUMBER(N41),COUNT(J41,K41,L41)&gt;0),N41-N(J41)-N(K41)-N(L41),"")</f>
        <v/>
      </c>
      <c r="N41" s="25"/>
      <c r="O41" s="27" t="n">
        <v>11.6</v>
      </c>
      <c r="P41" s="27" t="n">
        <v>16.1</v>
      </c>
      <c r="Q41" s="27" t="n">
        <v>15.9</v>
      </c>
      <c r="R41" s="26" t="n">
        <f aca="false">IF(AND(ISNUMBER(S41),COUNT(O41,P41,Q41)&gt;0),S41-N(O41)-N(P41)-N(Q41),"")</f>
        <v>12.2</v>
      </c>
      <c r="S41" s="27" t="n">
        <v>55.8</v>
      </c>
      <c r="T41" s="27" t="n">
        <v>-7.9</v>
      </c>
      <c r="U41" s="27" t="n">
        <v>-31.5</v>
      </c>
      <c r="V41" s="27" t="n">
        <v>-36.2</v>
      </c>
      <c r="W41" s="26" t="n">
        <f aca="false">IF(AND(ISNUMBER(X41),COUNT(T41,U41,V41)&gt;0),X41-N(T41)-N(U41)-N(V41),"")</f>
        <v>-40.5</v>
      </c>
      <c r="X41" s="27" t="n">
        <v>-116.1</v>
      </c>
      <c r="Y41" s="27" t="n">
        <v>-38.1</v>
      </c>
      <c r="Z41" s="27" t="n">
        <v>-25</v>
      </c>
      <c r="AA41" s="27" t="n">
        <v>-21.1</v>
      </c>
      <c r="AB41" s="26" t="n">
        <f aca="false">IF(AND(ISNUMBER(AC41),COUNT(Y41,Z41,AA41)&gt;0),AC41-N(Y41)-N(Z41)-N(AA41),"")</f>
        <v>-11</v>
      </c>
      <c r="AC41" s="27" t="n">
        <v>-95.2</v>
      </c>
      <c r="AD41" s="27" t="n">
        <v>6.4</v>
      </c>
      <c r="AE41" s="27" t="n">
        <v>19.7</v>
      </c>
      <c r="AF41" s="27" t="n">
        <v>24.7</v>
      </c>
      <c r="AG41" s="26" t="n">
        <f aca="false">IF(AND(ISNUMBER(AH41),COUNT(AD41,AE41,AF41)&gt;0),AH41-N(AD41)-N(AE41)-N(AF41),"")</f>
        <v>21</v>
      </c>
      <c r="AH41" s="27" t="n">
        <v>71.8</v>
      </c>
      <c r="AI41" s="27" t="n">
        <v>18.7</v>
      </c>
      <c r="AJ41" s="27" t="n">
        <v>13</v>
      </c>
      <c r="AK41" s="27" t="n">
        <v>10.1</v>
      </c>
      <c r="AL41" s="26" t="n">
        <f aca="false">IF(AND(ISNUMBER(AM41),COUNT(AI41,AJ41,AK41)&gt;0),AM41-N(AI41)-N(AJ41)-N(AK41),"")</f>
        <v>10.8</v>
      </c>
      <c r="AM41" s="27" t="n">
        <v>52.6</v>
      </c>
      <c r="AN41" s="27" t="n">
        <v>7.5</v>
      </c>
      <c r="AO41" s="27" t="n">
        <v>3.5</v>
      </c>
      <c r="AP41" s="27" t="n">
        <v>1.4</v>
      </c>
      <c r="AQ41" s="26" t="n">
        <f aca="false">IF(AND(ISNUMBER(AR41),COUNT(AN41,AO41,AP41)&gt;0),AR41-N(AN41)-N(AO41)-N(AP41),"")</f>
        <v>-1.6</v>
      </c>
      <c r="AR41" s="27" t="n">
        <v>10.8</v>
      </c>
      <c r="AS41" s="27" t="n">
        <v>-3.9</v>
      </c>
      <c r="AT41" s="27" t="n">
        <v>-28.5</v>
      </c>
      <c r="AU41" s="27" t="n">
        <v>-42.8</v>
      </c>
      <c r="AV41" s="26" t="n">
        <f aca="false">IF(AND(ISNUMBER(AW41),COUNT(AS41,AT41,AU41)&gt;0),AW41-N(AS41)-N(AT41)-N(AU41),"")</f>
        <v>-36.9</v>
      </c>
      <c r="AW41" s="27" t="n">
        <v>-112.1</v>
      </c>
      <c r="AX41" s="27" t="n">
        <v>-34.7</v>
      </c>
      <c r="AY41" s="27" t="n">
        <v>-4.4</v>
      </c>
      <c r="AZ41" s="27" t="n">
        <v>11.3</v>
      </c>
      <c r="BA41" s="26" t="n">
        <f aca="false">IF(AND(ISNUMBER(BB41),COUNT(AX41,AY41,AZ41)&gt;0),BB41-N(AX41)-N(AY41)-N(AZ41),"")</f>
        <v>8.9</v>
      </c>
      <c r="BB41" s="27" t="n">
        <v>-18.9</v>
      </c>
      <c r="BC41" s="27" t="n">
        <v>16.6</v>
      </c>
      <c r="BD41" s="27" t="n">
        <v>19.9</v>
      </c>
      <c r="BE41" s="27" t="n">
        <v>19.3</v>
      </c>
      <c r="BF41" s="26" t="n">
        <f aca="false">IF(AND(ISNUMBER(BG41),COUNT(BC41,BD41,BE41)&gt;0),BG41-N(BC41)-N(BD41)-N(BE41),"")</f>
        <v>20</v>
      </c>
      <c r="BG41" s="27" t="n">
        <v>75.8</v>
      </c>
      <c r="BH41" s="27" t="n">
        <v>7.8</v>
      </c>
      <c r="BI41" s="27" t="n">
        <v>3.6</v>
      </c>
      <c r="BJ41" s="27" t="n">
        <v>3.7</v>
      </c>
      <c r="BK41" s="26" t="n">
        <f aca="false">IF(AND(ISNUMBER(BL41),COUNT(BH41,BI41,BJ41)&gt;0),BL41-N(BH41)-N(BI41)-N(BJ41),"")</f>
        <v>2</v>
      </c>
      <c r="BL41" s="27" t="n">
        <v>17.1</v>
      </c>
      <c r="BM41" s="27" t="n">
        <v>8.6</v>
      </c>
      <c r="BN41" s="27" t="n">
        <v>9</v>
      </c>
      <c r="BO41" s="27" t="n">
        <v>5.5</v>
      </c>
      <c r="BP41" s="26" t="n">
        <f aca="false">IF(AND(ISNUMBER(BQ41),COUNT(BM41,BN41,BO41)&gt;0),BQ41-N(BM41)-N(BN41)-N(BO41),"")</f>
        <v>2.2</v>
      </c>
      <c r="BQ41" s="27" t="n">
        <v>25.3</v>
      </c>
      <c r="BR41" s="27" t="n">
        <v>0.4</v>
      </c>
      <c r="BS41" s="27" t="n">
        <v>2.8</v>
      </c>
      <c r="BT41" s="27" t="n">
        <v>10.4</v>
      </c>
      <c r="BU41" s="26" t="n">
        <f aca="false">IF(AND(ISNUMBER(BV41),COUNT(BR41,BS41,BT41)&gt;0),BV41-N(BR41)-N(BS41)-N(BT41),"")</f>
        <v>4</v>
      </c>
      <c r="BV41" s="27" t="n">
        <v>17.6</v>
      </c>
      <c r="BW41" s="27" t="n">
        <v>18.8</v>
      </c>
      <c r="BX41" s="27" t="n">
        <v>23.4</v>
      </c>
      <c r="BY41" s="28"/>
      <c r="BZ41" s="28"/>
      <c r="CA41" s="28"/>
      <c r="CB41" s="28"/>
      <c r="CC41" s="28"/>
      <c r="CD41" s="28"/>
      <c r="CE41" s="28"/>
      <c r="CF41" s="21"/>
      <c r="CN41" s="29" t="s">
        <v>154</v>
      </c>
      <c r="CO41" s="45" t="n">
        <f aca="false">CP41+$CO$38</f>
        <v>0.1</v>
      </c>
      <c r="CP41" s="30" t="n">
        <v>0.04</v>
      </c>
      <c r="CQ41" s="45" t="n">
        <f aca="false">CP41+$CQ$38</f>
        <v>-0.02</v>
      </c>
    </row>
    <row r="42" customFormat="false" ht="15" hidden="true" customHeight="true" outlineLevel="2" collapsed="false">
      <c r="B42" s="24" t="s">
        <v>170</v>
      </c>
      <c r="C42" s="27" t="n">
        <v>-2.4</v>
      </c>
      <c r="D42" s="27" t="n">
        <v>22</v>
      </c>
      <c r="E42" s="27" t="n">
        <v>0.8</v>
      </c>
      <c r="F42" s="27" t="n">
        <v>-9.8</v>
      </c>
      <c r="G42" s="27" t="n">
        <v>6</v>
      </c>
      <c r="H42" s="27" t="n">
        <v>3.8</v>
      </c>
      <c r="I42" s="27" t="n">
        <v>1.3</v>
      </c>
      <c r="J42" s="27" t="n">
        <v>0.8</v>
      </c>
      <c r="K42" s="27" t="n">
        <v>-1.9</v>
      </c>
      <c r="L42" s="27" t="n">
        <v>-2.2</v>
      </c>
      <c r="M42" s="26" t="n">
        <f aca="false">IF(AND(ISNUMBER(N42),COUNT(J42,K42,L42)&gt;0),N42-N(J42)-N(K42)-N(L42),"")</f>
        <v>-0.799999999999999</v>
      </c>
      <c r="N42" s="27" t="n">
        <v>-4.1</v>
      </c>
      <c r="O42" s="27" t="n">
        <v>-1.2</v>
      </c>
      <c r="P42" s="27" t="n">
        <v>0.7</v>
      </c>
      <c r="Q42" s="27" t="n">
        <v>1.3</v>
      </c>
      <c r="R42" s="26" t="n">
        <f aca="false">IF(AND(ISNUMBER(S42),COUNT(O42,P42,Q42)&gt;0),S42-N(O42)-N(P42)-N(Q42),"")</f>
        <v>-0.6</v>
      </c>
      <c r="S42" s="27" t="n">
        <v>0.2</v>
      </c>
      <c r="T42" s="27" t="n">
        <v>3.7</v>
      </c>
      <c r="U42" s="27" t="n">
        <v>6.3</v>
      </c>
      <c r="V42" s="27" t="n">
        <v>4.8</v>
      </c>
      <c r="W42" s="26" t="n">
        <f aca="false">IF(AND(ISNUMBER(X42),COUNT(T42,U42,V42)&gt;0),X42-N(T42)-N(U42)-N(V42),"")</f>
        <v>5.8</v>
      </c>
      <c r="X42" s="27" t="n">
        <v>20.6</v>
      </c>
      <c r="Y42" s="27" t="n">
        <v>0.3</v>
      </c>
      <c r="Z42" s="27" t="n">
        <v>-1.4</v>
      </c>
      <c r="AA42" s="27" t="n">
        <v>1</v>
      </c>
      <c r="AB42" s="26" t="n">
        <f aca="false">IF(AND(ISNUMBER(AC42),COUNT(Y42,Z42,AA42)&gt;0),AC42-N(Y42)-N(Z42)-N(AA42),"")</f>
        <v>0.9</v>
      </c>
      <c r="AC42" s="27" t="n">
        <v>0.8</v>
      </c>
      <c r="AD42" s="27" t="n">
        <v>1.5</v>
      </c>
      <c r="AE42" s="27" t="n">
        <v>1.7</v>
      </c>
      <c r="AF42" s="27" t="n">
        <v>3.4</v>
      </c>
      <c r="AG42" s="26" t="n">
        <f aca="false">IF(AND(ISNUMBER(AH42),COUNT(AD42,AE42,AF42)&gt;0),AH42-N(AD42)-N(AE42)-N(AF42),"")</f>
        <v>3.8</v>
      </c>
      <c r="AH42" s="27" t="n">
        <v>10.4</v>
      </c>
      <c r="AI42" s="27" t="n">
        <v>-0.6</v>
      </c>
      <c r="AJ42" s="27" t="n">
        <v>0.7</v>
      </c>
      <c r="AK42" s="27" t="n">
        <v>-4</v>
      </c>
      <c r="AL42" s="26" t="n">
        <f aca="false">IF(AND(ISNUMBER(AM42),COUNT(AI42,AJ42,AK42)&gt;0),AM42-N(AI42)-N(AJ42)-N(AK42),"")</f>
        <v>-5.3</v>
      </c>
      <c r="AM42" s="27" t="n">
        <v>-9.2</v>
      </c>
      <c r="AN42" s="27" t="n">
        <v>-0.6</v>
      </c>
      <c r="AO42" s="27" t="n">
        <v>-5.6</v>
      </c>
      <c r="AP42" s="27" t="n">
        <v>-7.1</v>
      </c>
      <c r="AQ42" s="26" t="n">
        <f aca="false">IF(AND(ISNUMBER(AR42),COUNT(AN42,AO42,AP42)&gt;0),AR42-N(AN42)-N(AO42)-N(AP42),"")</f>
        <v>-3.3</v>
      </c>
      <c r="AR42" s="27" t="n">
        <v>-16.6</v>
      </c>
      <c r="AS42" s="27" t="n">
        <v>-2.3</v>
      </c>
      <c r="AT42" s="27" t="n">
        <v>-2.4</v>
      </c>
      <c r="AU42" s="27" t="n">
        <v>0.4</v>
      </c>
      <c r="AV42" s="26" t="n">
        <f aca="false">IF(AND(ISNUMBER(AW42),COUNT(AS42,AT42,AU42)&gt;0),AW42-N(AS42)-N(AT42)-N(AU42),"")</f>
        <v>2.1</v>
      </c>
      <c r="AW42" s="27" t="n">
        <v>-2.2</v>
      </c>
      <c r="AX42" s="27" t="n">
        <v>4.4</v>
      </c>
      <c r="AY42" s="27" t="n">
        <v>8.8</v>
      </c>
      <c r="AZ42" s="27" t="n">
        <v>9.6</v>
      </c>
      <c r="BA42" s="26" t="n">
        <f aca="false">IF(AND(ISNUMBER(BB42),COUNT(AX42,AY42,AZ42)&gt;0),BB42-N(AX42)-N(AY42)-N(AZ42),"")</f>
        <v>3.1</v>
      </c>
      <c r="BB42" s="27" t="n">
        <v>25.9</v>
      </c>
      <c r="BC42" s="27" t="n">
        <v>7.7</v>
      </c>
      <c r="BD42" s="27" t="n">
        <v>5.8</v>
      </c>
      <c r="BE42" s="27" t="n">
        <v>8.1</v>
      </c>
      <c r="BF42" s="26" t="n">
        <f aca="false">IF(AND(ISNUMBER(BG42),COUNT(BC42,BD42,BE42)&gt;0),BG42-N(BC42)-N(BD42)-N(BE42),"")</f>
        <v>10</v>
      </c>
      <c r="BG42" s="27" t="n">
        <v>31.6</v>
      </c>
      <c r="BH42" s="27" t="n">
        <v>-5.1</v>
      </c>
      <c r="BI42" s="27" t="n">
        <v>-5</v>
      </c>
      <c r="BJ42" s="27" t="n">
        <v>-1.1</v>
      </c>
      <c r="BK42" s="26" t="n">
        <f aca="false">IF(AND(ISNUMBER(BL42),COUNT(BH42,BI42,BJ42)&gt;0),BL42-N(BH42)-N(BI42)-N(BJ42),"")</f>
        <v>1.9</v>
      </c>
      <c r="BL42" s="27" t="n">
        <v>-9.3</v>
      </c>
      <c r="BM42" s="27" t="n">
        <v>11</v>
      </c>
      <c r="BN42" s="27" t="n">
        <v>9.7</v>
      </c>
      <c r="BO42" s="27" t="n">
        <v>2.3</v>
      </c>
      <c r="BP42" s="26" t="n">
        <f aca="false">IF(AND(ISNUMBER(BQ42),COUNT(BM42,BN42,BO42)&gt;0),BQ42-N(BM42)-N(BN42)-N(BO42),"")</f>
        <v>-2.9</v>
      </c>
      <c r="BQ42" s="27" t="n">
        <v>20.1</v>
      </c>
      <c r="BR42" s="27" t="n">
        <v>-1.7</v>
      </c>
      <c r="BS42" s="27" t="n">
        <v>-5.3</v>
      </c>
      <c r="BT42" s="27" t="n">
        <v>-4.9</v>
      </c>
      <c r="BU42" s="26" t="n">
        <f aca="false">IF(AND(ISNUMBER(BV42),COUNT(BR42,BS42,BT42)&gt;0),BV42-N(BR42)-N(BS42)-N(BT42),"")</f>
        <v>-3.9</v>
      </c>
      <c r="BV42" s="27" t="n">
        <v>-15.8</v>
      </c>
      <c r="BW42" s="27" t="n">
        <v>1.6</v>
      </c>
      <c r="BX42" s="27" t="n">
        <v>7.9</v>
      </c>
      <c r="BY42" s="28"/>
      <c r="BZ42" s="28"/>
      <c r="CA42" s="28"/>
      <c r="CB42" s="28"/>
      <c r="CC42" s="28"/>
      <c r="CD42" s="28"/>
      <c r="CE42" s="28"/>
      <c r="CF42" s="21"/>
      <c r="CN42" s="29" t="s">
        <v>157</v>
      </c>
      <c r="CO42" s="45" t="n">
        <f aca="false">CP42+$CO$38</f>
        <v>0.1</v>
      </c>
      <c r="CP42" s="30" t="n">
        <v>0.04</v>
      </c>
      <c r="CQ42" s="45" t="n">
        <f aca="false">CP42+$CQ$38</f>
        <v>-0.02</v>
      </c>
    </row>
    <row r="43" customFormat="false" ht="15" hidden="true" customHeight="true" outlineLevel="2" collapsed="false">
      <c r="B43" s="24" t="s">
        <v>171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6" t="str">
        <f aca="false">IF(AND(ISNUMBER(N43),COUNT(J43,K43,L43)&gt;0),N43-N(J43)-N(K43)-N(L43),"")</f>
        <v/>
      </c>
      <c r="N43" s="25"/>
      <c r="O43" s="25"/>
      <c r="P43" s="25"/>
      <c r="Q43" s="25"/>
      <c r="R43" s="26" t="str">
        <f aca="false">IF(AND(ISNUMBER(S43),COUNT(O43,P43,Q43)&gt;0),S43-N(O43)-N(P43)-N(Q43),"")</f>
        <v/>
      </c>
      <c r="S43" s="25"/>
      <c r="T43" s="25"/>
      <c r="U43" s="25"/>
      <c r="V43" s="25"/>
      <c r="W43" s="26" t="str">
        <f aca="false">IF(AND(ISNUMBER(X43),COUNT(T43,U43,V43)&gt;0),X43-N(T43)-N(U43)-N(V43),"")</f>
        <v/>
      </c>
      <c r="X43" s="25"/>
      <c r="Y43" s="25"/>
      <c r="Z43" s="25"/>
      <c r="AA43" s="25"/>
      <c r="AB43" s="26" t="str">
        <f aca="false">IF(AND(ISNUMBER(AC43),COUNT(Y43,Z43,AA43)&gt;0),AC43-N(Y43)-N(Z43)-N(AA43),"")</f>
        <v/>
      </c>
      <c r="AC43" s="25"/>
      <c r="AD43" s="25"/>
      <c r="AE43" s="27" t="n">
        <v>-1.8</v>
      </c>
      <c r="AF43" s="27" t="n">
        <v>7.6</v>
      </c>
      <c r="AG43" s="26" t="n">
        <f aca="false">IF(AND(ISNUMBER(AH43),COUNT(AD43,AE43,AF43)&gt;0),AH43-N(AD43)-N(AE43)-N(AF43),"")</f>
        <v>8.4</v>
      </c>
      <c r="AH43" s="27" t="n">
        <v>14.2</v>
      </c>
      <c r="AI43" s="27" t="n">
        <v>7.6</v>
      </c>
      <c r="AJ43" s="27" t="n">
        <v>7.7</v>
      </c>
      <c r="AK43" s="27" t="n">
        <v>-8.2</v>
      </c>
      <c r="AL43" s="26" t="n">
        <f aca="false">IF(AND(ISNUMBER(AM43),COUNT(AI43,AJ43,AK43)&gt;0),AM43-N(AI43)-N(AJ43)-N(AK43),"")</f>
        <v>-6.9</v>
      </c>
      <c r="AM43" s="27" t="n">
        <v>0.2</v>
      </c>
      <c r="AN43" s="27" t="n">
        <v>-8.3</v>
      </c>
      <c r="AO43" s="27" t="n">
        <v>-6.4</v>
      </c>
      <c r="AP43" s="27" t="n">
        <v>-1.9</v>
      </c>
      <c r="AQ43" s="26" t="n">
        <f aca="false">IF(AND(ISNUMBER(AR43),COUNT(AN43,AO43,AP43)&gt;0),AR43-N(AN43)-N(AO43)-N(AP43),"")</f>
        <v>0</v>
      </c>
      <c r="AR43" s="27" t="n">
        <v>-16.6</v>
      </c>
      <c r="AS43" s="27" t="n">
        <v>-1.7</v>
      </c>
      <c r="AT43" s="27" t="n">
        <v>-6.3</v>
      </c>
      <c r="AU43" s="27" t="n">
        <v>-1.6</v>
      </c>
      <c r="AV43" s="26" t="n">
        <f aca="false">IF(AND(ISNUMBER(AW43),COUNT(AS43,AT43,AU43)&gt;0),AW43-N(AS43)-N(AT43)-N(AU43),"")</f>
        <v>2.5</v>
      </c>
      <c r="AW43" s="27" t="n">
        <v>-7.1</v>
      </c>
      <c r="AX43" s="27" t="n">
        <v>10.3</v>
      </c>
      <c r="AY43" s="27" t="n">
        <v>20.5</v>
      </c>
      <c r="AZ43" s="27" t="n">
        <v>10.5</v>
      </c>
      <c r="BA43" s="26" t="n">
        <f aca="false">IF(AND(ISNUMBER(BB43),COUNT(AX43,AY43,AZ43)&gt;0),BB43-N(AX43)-N(AY43)-N(AZ43),"")</f>
        <v>6.8</v>
      </c>
      <c r="BB43" s="27" t="n">
        <v>48.1</v>
      </c>
      <c r="BC43" s="25"/>
      <c r="BD43" s="27" t="n">
        <v>-8.5</v>
      </c>
      <c r="BE43" s="27" t="n">
        <v>-7.8</v>
      </c>
      <c r="BF43" s="26" t="n">
        <f aca="false">IF(AND(ISNUMBER(BG43),COUNT(BC43,BD43,BE43)&gt;0),BG43-N(BC43)-N(BD43)-N(BE43),"")</f>
        <v>-16.1</v>
      </c>
      <c r="BG43" s="27" t="n">
        <v>-32.4</v>
      </c>
      <c r="BH43" s="27" t="n">
        <v>-13.7</v>
      </c>
      <c r="BI43" s="27" t="n">
        <v>-12.3</v>
      </c>
      <c r="BJ43" s="27" t="n">
        <v>-6.5</v>
      </c>
      <c r="BK43" s="26" t="n">
        <f aca="false">IF(AND(ISNUMBER(BL43),COUNT(BH43,BI43,BJ43)&gt;0),BL43-N(BH43)-N(BI43)-N(BJ43),"")</f>
        <v>-0.799999999999997</v>
      </c>
      <c r="BL43" s="27" t="n">
        <v>-33.3</v>
      </c>
      <c r="BM43" s="27" t="n">
        <v>0.4</v>
      </c>
      <c r="BN43" s="27" t="n">
        <v>-4.6</v>
      </c>
      <c r="BO43" s="27" t="n">
        <v>-4.3</v>
      </c>
      <c r="BP43" s="26" t="n">
        <f aca="false">IF(AND(ISNUMBER(BQ43),COUNT(BM43,BN43,BO43)&gt;0),BQ43-N(BM43)-N(BN43)-N(BO43),"")</f>
        <v>-6.4</v>
      </c>
      <c r="BQ43" s="27" t="n">
        <v>-14.9</v>
      </c>
      <c r="BR43" s="27" t="n">
        <v>-16.8</v>
      </c>
      <c r="BS43" s="27" t="n">
        <v>-3.5</v>
      </c>
      <c r="BT43" s="27" t="n">
        <v>-3.4</v>
      </c>
      <c r="BU43" s="26" t="n">
        <f aca="false">IF(AND(ISNUMBER(BV43),COUNT(BR43,BS43,BT43)&gt;0),BV43-N(BR43)-N(BS43)-N(BT43),"")</f>
        <v>0.500000000000001</v>
      </c>
      <c r="BV43" s="27" t="n">
        <v>-23.2</v>
      </c>
      <c r="BW43" s="27" t="n">
        <v>14</v>
      </c>
      <c r="BX43" s="27" t="n">
        <v>0.1</v>
      </c>
      <c r="BY43" s="28"/>
      <c r="BZ43" s="28"/>
      <c r="CA43" s="28"/>
      <c r="CB43" s="28"/>
      <c r="CC43" s="28"/>
      <c r="CD43" s="28"/>
      <c r="CE43" s="28"/>
      <c r="CF43" s="21"/>
      <c r="CN43" s="17" t="s">
        <v>172</v>
      </c>
      <c r="CO43" s="44" t="n">
        <v>-0.0075</v>
      </c>
      <c r="CP43" s="23" t="s">
        <v>146</v>
      </c>
      <c r="CQ43" s="44" t="n">
        <v>0.0075</v>
      </c>
      <c r="CR43" s="15" t="s">
        <v>173</v>
      </c>
    </row>
    <row r="44" customFormat="false" ht="15" hidden="true" customHeight="true" outlineLevel="2" collapsed="false">
      <c r="B44" s="46" t="s">
        <v>174</v>
      </c>
      <c r="C44" s="26" t="n">
        <f aca="false">IF(ISNUMBER(C35),ROUND(N(C36)+N(C37)+N(C38)+N(C39)+N(C40)+N(C41)+N(C42)+N(C43)-C35,1),"")</f>
        <v>0</v>
      </c>
      <c r="D44" s="26" t="n">
        <f aca="false">IF(ISNUMBER(D35),ROUND(N(D36)+N(D37)+N(D38)+N(D39)+N(D40)+N(D41)+N(D42)+N(D43)-D35,1),"")</f>
        <v>0</v>
      </c>
      <c r="E44" s="26" t="n">
        <f aca="false">IF(ISNUMBER(E35),ROUND(N(E36)+N(E37)+N(E38)+N(E39)+N(E40)+N(E41)+N(E42)+N(E43)-E35,1),"")</f>
        <v>-0.1</v>
      </c>
      <c r="F44" s="26" t="n">
        <f aca="false">IF(ISNUMBER(F35),ROUND(N(F36)+N(F37)+N(F38)+N(F39)+N(F40)+N(F41)+N(F42)+N(F43)-F35,1),"")</f>
        <v>0</v>
      </c>
      <c r="G44" s="26" t="n">
        <f aca="false">IF(ISNUMBER(G35),ROUND(N(G36)+N(G37)+N(G38)+N(G39)+N(G40)+N(G41)+N(G42)+N(G43)-G35,1),"")</f>
        <v>0</v>
      </c>
      <c r="H44" s="26" t="n">
        <f aca="false">IF(ISNUMBER(H35),ROUND(N(H36)+N(H37)+N(H38)+N(H39)+N(H40)+N(H41)+N(H42)+N(H43)-H35,1),"")</f>
        <v>0</v>
      </c>
      <c r="I44" s="26" t="n">
        <f aca="false">IF(ISNUMBER(I35),ROUND(N(I36)+N(I37)+N(I38)+N(I39)+N(I40)+N(I41)+N(I42)+N(I43)-I35,1),"")</f>
        <v>0</v>
      </c>
      <c r="J44" s="26" t="n">
        <f aca="false">IF(ISNUMBER(J35),ROUND(N(J36)+N(J37)+N(J38)+N(J39)+N(J40)+N(J41)+N(J42)+N(J43)-J35,1),"")</f>
        <v>0</v>
      </c>
      <c r="K44" s="26" t="n">
        <f aca="false">IF(ISNUMBER(K35),ROUND(N(K36)+N(K37)+N(K38)+N(K39)+N(K40)+N(K41)+N(K42)+N(K43)-K35,1),"")</f>
        <v>0</v>
      </c>
      <c r="L44" s="26" t="n">
        <f aca="false">IF(ISNUMBER(L35),ROUND(N(L36)+N(L37)+N(L38)+N(L39)+N(L40)+N(L41)+N(L42)+N(L43)-L35,1),"")</f>
        <v>0</v>
      </c>
      <c r="M44" s="26" t="n">
        <f aca="false">IF(ISNUMBER(M35),ROUND(N(M36)+N(M37)+N(M38)+N(M39)+N(M40)+N(M41)+N(M42)+N(M43)-M35,1),"")</f>
        <v>-0.4</v>
      </c>
      <c r="N44" s="26" t="n">
        <f aca="false">IF(ISNUMBER(N35),ROUND(N(N36)+N(N37)+N(N38)+N(N39)+N(N40)+N(N41)+N(N42)+N(N43)-N35,1),"")</f>
        <v>0</v>
      </c>
      <c r="O44" s="26" t="n">
        <f aca="false">IF(ISNUMBER(O35),ROUND(N(O36)+N(O37)+N(O38)+N(O39)+N(O40)+N(O41)+N(O42)+N(O43)-O35,1),"")</f>
        <v>0</v>
      </c>
      <c r="P44" s="26" t="n">
        <f aca="false">IF(ISNUMBER(P35),ROUND(N(P36)+N(P37)+N(P38)+N(P39)+N(P40)+N(P41)+N(P42)+N(P43)-P35,1),"")</f>
        <v>0</v>
      </c>
      <c r="Q44" s="26" t="n">
        <f aca="false">IF(ISNUMBER(Q35),ROUND(N(Q36)+N(Q37)+N(Q38)+N(Q39)+N(Q40)+N(Q41)+N(Q42)+N(Q43)-Q35,1),"")</f>
        <v>0</v>
      </c>
      <c r="R44" s="26" t="n">
        <f aca="false">IF(ISNUMBER(R35),ROUND(N(R36)+N(R37)+N(R38)+N(R39)+N(R40)+N(R41)+N(R42)+N(R43)-R35,1),"")</f>
        <v>0</v>
      </c>
      <c r="S44" s="26" t="n">
        <f aca="false">IF(ISNUMBER(S35),ROUND(N(S36)+N(S37)+N(S38)+N(S39)+N(S40)+N(S41)+N(S42)+N(S43)-S35,1),"")</f>
        <v>0</v>
      </c>
      <c r="T44" s="26" t="n">
        <f aca="false">IF(ISNUMBER(T35),ROUND(N(T36)+N(T37)+N(T38)+N(T39)+N(T40)+N(T41)+N(T42)+N(T43)-T35,1),"")</f>
        <v>0</v>
      </c>
      <c r="U44" s="26" t="n">
        <f aca="false">IF(ISNUMBER(U35),ROUND(N(U36)+N(U37)+N(U38)+N(U39)+N(U40)+N(U41)+N(U42)+N(U43)-U35,1),"")</f>
        <v>0</v>
      </c>
      <c r="V44" s="26" t="n">
        <f aca="false">IF(ISNUMBER(V35),ROUND(N(V36)+N(V37)+N(V38)+N(V39)+N(V40)+N(V41)+N(V42)+N(V43)-V35,1),"")</f>
        <v>-0</v>
      </c>
      <c r="W44" s="26" t="n">
        <f aca="false">IF(ISNUMBER(W35),ROUND(N(W36)+N(W37)+N(W38)+N(W39)+N(W40)+N(W41)+N(W42)+N(W43)-W35,1),"")</f>
        <v>0</v>
      </c>
      <c r="X44" s="26" t="n">
        <f aca="false">IF(ISNUMBER(X35),ROUND(N(X36)+N(X37)+N(X38)+N(X39)+N(X40)+N(X41)+N(X42)+N(X43)-X35,1),"")</f>
        <v>0</v>
      </c>
      <c r="Y44" s="26" t="n">
        <f aca="false">IF(ISNUMBER(Y35),ROUND(N(Y36)+N(Y37)+N(Y38)+N(Y39)+N(Y40)+N(Y41)+N(Y42)+N(Y43)-Y35,1),"")</f>
        <v>0</v>
      </c>
      <c r="Z44" s="26" t="n">
        <f aca="false">IF(ISNUMBER(Z35),ROUND(N(Z36)+N(Z37)+N(Z38)+N(Z39)+N(Z40)+N(Z41)+N(Z42)+N(Z43)-Z35,1),"")</f>
        <v>0</v>
      </c>
      <c r="AA44" s="26" t="n">
        <f aca="false">IF(ISNUMBER(AA35),ROUND(N(AA36)+N(AA37)+N(AA38)+N(AA39)+N(AA40)+N(AA41)+N(AA42)+N(AA43)-AA35,1),"")</f>
        <v>0</v>
      </c>
      <c r="AB44" s="26" t="n">
        <f aca="false">IF(ISNUMBER(AB35),ROUND(N(AB36)+N(AB37)+N(AB38)+N(AB39)+N(AB40)+N(AB41)+N(AB42)+N(AB43)-AB35,1),"")</f>
        <v>-0.1</v>
      </c>
      <c r="AC44" s="26" t="n">
        <f aca="false">IF(ISNUMBER(AC35),ROUND(N(AC36)+N(AC37)+N(AC38)+N(AC39)+N(AC40)+N(AC41)+N(AC42)+N(AC43)-AC35,1),"")</f>
        <v>-0.1</v>
      </c>
      <c r="AD44" s="26" t="n">
        <f aca="false">IF(ISNUMBER(AD35),ROUND(N(AD36)+N(AD37)+N(AD38)+N(AD39)+N(AD40)+N(AD41)+N(AD42)+N(AD43)-AD35,1),"")</f>
        <v>0</v>
      </c>
      <c r="AE44" s="26" t="n">
        <f aca="false">IF(ISNUMBER(AE35),ROUND(N(AE36)+N(AE37)+N(AE38)+N(AE39)+N(AE40)+N(AE41)+N(AE42)+N(AE43)-AE35,1),"")</f>
        <v>0</v>
      </c>
      <c r="AF44" s="26" t="n">
        <f aca="false">IF(ISNUMBER(AF35),ROUND(N(AF36)+N(AF37)+N(AF38)+N(AF39)+N(AF40)+N(AF41)+N(AF42)+N(AF43)-AF35,1),"")</f>
        <v>0</v>
      </c>
      <c r="AG44" s="26" t="n">
        <f aca="false">IF(ISNUMBER(AG35),ROUND(N(AG36)+N(AG37)+N(AG38)+N(AG39)+N(AG40)+N(AG41)+N(AG42)+N(AG43)-AG35,1),"")</f>
        <v>-0.4</v>
      </c>
      <c r="AH44" s="26" t="n">
        <f aca="false">IF(ISNUMBER(AH35),ROUND(N(AH36)+N(AH37)+N(AH38)+N(AH39)+N(AH40)+N(AH41)+N(AH42)+N(AH43)-AH35,1),"")</f>
        <v>-0.4</v>
      </c>
      <c r="AI44" s="26" t="n">
        <f aca="false">IF(ISNUMBER(AI35),ROUND(N(AI36)+N(AI37)+N(AI38)+N(AI39)+N(AI40)+N(AI41)+N(AI42)+N(AI43)-AI35,1),"")</f>
        <v>0</v>
      </c>
      <c r="AJ44" s="26" t="n">
        <f aca="false">IF(ISNUMBER(AJ35),ROUND(N(AJ36)+N(AJ37)+N(AJ38)+N(AJ39)+N(AJ40)+N(AJ41)+N(AJ42)+N(AJ43)-AJ35,1),"")</f>
        <v>0</v>
      </c>
      <c r="AK44" s="26" t="n">
        <f aca="false">IF(ISNUMBER(AK35),ROUND(N(AK36)+N(AK37)+N(AK38)+N(AK39)+N(AK40)+N(AK41)+N(AK42)+N(AK43)-AK35,1),"")</f>
        <v>0</v>
      </c>
      <c r="AL44" s="26" t="n">
        <f aca="false">IF(ISNUMBER(AL35),ROUND(N(AL36)+N(AL37)+N(AL38)+N(AL39)+N(AL40)+N(AL41)+N(AL42)+N(AL43)-AL35,1),"")</f>
        <v>-0.1</v>
      </c>
      <c r="AM44" s="26" t="n">
        <f aca="false">IF(ISNUMBER(AM35),ROUND(N(AM36)+N(AM37)+N(AM38)+N(AM39)+N(AM40)+N(AM41)+N(AM42)+N(AM43)-AM35,1),"")</f>
        <v>-0.1</v>
      </c>
      <c r="AN44" s="26" t="n">
        <f aca="false">IF(ISNUMBER(AN35),ROUND(N(AN36)+N(AN37)+N(AN38)+N(AN39)+N(AN40)+N(AN41)+N(AN42)+N(AN43)-AN35,1),"")</f>
        <v>0</v>
      </c>
      <c r="AO44" s="26" t="n">
        <f aca="false">IF(ISNUMBER(AO35),ROUND(N(AO36)+N(AO37)+N(AO38)+N(AO39)+N(AO40)+N(AO41)+N(AO42)+N(AO43)-AO35,1),"")</f>
        <v>0</v>
      </c>
      <c r="AP44" s="26" t="n">
        <f aca="false">IF(ISNUMBER(AP35),ROUND(N(AP36)+N(AP37)+N(AP38)+N(AP39)+N(AP40)+N(AP41)+N(AP42)+N(AP43)-AP35,1),"")</f>
        <v>0</v>
      </c>
      <c r="AQ44" s="26" t="n">
        <f aca="false">IF(ISNUMBER(AQ35),ROUND(N(AQ36)+N(AQ37)+N(AQ38)+N(AQ39)+N(AQ40)+N(AQ41)+N(AQ42)+N(AQ43)-AQ35,1),"")</f>
        <v>0</v>
      </c>
      <c r="AR44" s="26" t="n">
        <f aca="false">IF(ISNUMBER(AR35),ROUND(N(AR36)+N(AR37)+N(AR38)+N(AR39)+N(AR40)+N(AR41)+N(AR42)+N(AR43)-AR35,1),"")</f>
        <v>0</v>
      </c>
      <c r="AS44" s="26" t="n">
        <f aca="false">IF(ISNUMBER(AS35),ROUND(N(AS36)+N(AS37)+N(AS38)+N(AS39)+N(AS40)+N(AS41)+N(AS42)+N(AS43)-AS35,1),"")</f>
        <v>0</v>
      </c>
      <c r="AT44" s="26" t="n">
        <f aca="false">IF(ISNUMBER(AT35),ROUND(N(AT36)+N(AT37)+N(AT38)+N(AT39)+N(AT40)+N(AT41)+N(AT42)+N(AT43)-AT35,1),"")</f>
        <v>0</v>
      </c>
      <c r="AU44" s="26" t="n">
        <f aca="false">IF(ISNUMBER(AU35),ROUND(N(AU36)+N(AU37)+N(AU38)+N(AU39)+N(AU40)+N(AU41)+N(AU42)+N(AU43)-AU35,1),"")</f>
        <v>0</v>
      </c>
      <c r="AV44" s="26" t="n">
        <f aca="false">IF(ISNUMBER(AV35),ROUND(N(AV36)+N(AV37)+N(AV38)+N(AV39)+N(AV40)+N(AV41)+N(AV42)+N(AV43)-AV35,1),"")</f>
        <v>0</v>
      </c>
      <c r="AW44" s="26" t="n">
        <f aca="false">IF(ISNUMBER(AW35),ROUND(N(AW36)+N(AW37)+N(AW38)+N(AW39)+N(AW40)+N(AW41)+N(AW42)+N(AW43)-AW35,1),"")</f>
        <v>0</v>
      </c>
      <c r="AX44" s="26" t="n">
        <f aca="false">IF(ISNUMBER(AX35),ROUND(N(AX36)+N(AX37)+N(AX38)+N(AX39)+N(AX40)+N(AX41)+N(AX42)+N(AX43)-AX35,1),"")</f>
        <v>0</v>
      </c>
      <c r="AY44" s="26" t="n">
        <f aca="false">IF(ISNUMBER(AY35),ROUND(N(AY36)+N(AY37)+N(AY38)+N(AY39)+N(AY40)+N(AY41)+N(AY42)+N(AY43)-AY35,1),"")</f>
        <v>0</v>
      </c>
      <c r="AZ44" s="26" t="n">
        <f aca="false">IF(ISNUMBER(AZ35),ROUND(N(AZ36)+N(AZ37)+N(AZ38)+N(AZ39)+N(AZ40)+N(AZ41)+N(AZ42)+N(AZ43)-AZ35,1),"")</f>
        <v>0</v>
      </c>
      <c r="BA44" s="26" t="n">
        <f aca="false">IF(ISNUMBER(BA35),ROUND(N(BA36)+N(BA37)+N(BA38)+N(BA39)+N(BA40)+N(BA41)+N(BA42)+N(BA43)-BA35,1),"")</f>
        <v>0</v>
      </c>
      <c r="BB44" s="26" t="n">
        <f aca="false">IF(ISNUMBER(BB35),ROUND(N(BB36)+N(BB37)+N(BB38)+N(BB39)+N(BB40)+N(BB41)+N(BB42)+N(BB43)-BB35,1),"")</f>
        <v>0</v>
      </c>
      <c r="BC44" s="26" t="n">
        <f aca="false">IF(ISNUMBER(BC35),ROUND(N(BC36)+N(BC37)+N(BC38)+N(BC39)+N(BC40)+N(BC41)+N(BC42)+N(BC43)-BC35,1),"")</f>
        <v>0</v>
      </c>
      <c r="BD44" s="26" t="n">
        <f aca="false">IF(ISNUMBER(BD35),ROUND(N(BD36)+N(BD37)+N(BD38)+N(BD39)+N(BD40)+N(BD41)+N(BD42)+N(BD43)-BD35,1),"")</f>
        <v>0</v>
      </c>
      <c r="BE44" s="26" t="n">
        <f aca="false">IF(ISNUMBER(BE35),ROUND(N(BE36)+N(BE37)+N(BE38)+N(BE39)+N(BE40)+N(BE41)+N(BE42)+N(BE43)-BE35,1),"")</f>
        <v>0</v>
      </c>
      <c r="BF44" s="26" t="n">
        <f aca="false">IF(ISNUMBER(BF35),ROUND(N(BF36)+N(BF37)+N(BF38)+N(BF39)+N(BF40)+N(BF41)+N(BF42)+N(BF43)-BF35,1),"")</f>
        <v>0.5</v>
      </c>
      <c r="BG44" s="26" t="n">
        <f aca="false">IF(ISNUMBER(BG35),ROUND(N(BG36)+N(BG37)+N(BG38)+N(BG39)+N(BG40)+N(BG41)+N(BG42)+N(BG43)-BG35,1),"")</f>
        <v>0.5</v>
      </c>
      <c r="BH44" s="26" t="n">
        <f aca="false">IF(ISNUMBER(BH35),ROUND(N(BH36)+N(BH37)+N(BH38)+N(BH39)+N(BH40)+N(BH41)+N(BH42)+N(BH43)-BH35,1),"")</f>
        <v>0</v>
      </c>
      <c r="BI44" s="26" t="n">
        <f aca="false">IF(ISNUMBER(BI35),ROUND(N(BI36)+N(BI37)+N(BI38)+N(BI39)+N(BI40)+N(BI41)+N(BI42)+N(BI43)-BI35,1),"")</f>
        <v>0</v>
      </c>
      <c r="BJ44" s="26" t="n">
        <f aca="false">IF(ISNUMBER(BJ35),ROUND(N(BJ36)+N(BJ37)+N(BJ38)+N(BJ39)+N(BJ40)+N(BJ41)+N(BJ42)+N(BJ43)-BJ35,1),"")</f>
        <v>0</v>
      </c>
      <c r="BK44" s="26" t="n">
        <f aca="false">IF(ISNUMBER(BK35),ROUND(N(BK36)+N(BK37)+N(BK38)+N(BK39)+N(BK40)+N(BK41)+N(BK42)+N(BK43)-BK35,1),"")</f>
        <v>0</v>
      </c>
      <c r="BL44" s="26" t="n">
        <f aca="false">IF(ISNUMBER(BL35),ROUND(N(BL36)+N(BL37)+N(BL38)+N(BL39)+N(BL40)+N(BL41)+N(BL42)+N(BL43)-BL35,1),"")</f>
        <v>0</v>
      </c>
      <c r="BM44" s="26" t="n">
        <f aca="false">IF(ISNUMBER(BM35),ROUND(N(BM36)+N(BM37)+N(BM38)+N(BM39)+N(BM40)+N(BM41)+N(BM42)+N(BM43)-BM35,1),"")</f>
        <v>0</v>
      </c>
      <c r="BN44" s="26" t="n">
        <f aca="false">IF(ISNUMBER(BN35),ROUND(N(BN36)+N(BN37)+N(BN38)+N(BN39)+N(BN40)+N(BN41)+N(BN42)+N(BN43)-BN35,1),"")</f>
        <v>0</v>
      </c>
      <c r="BO44" s="26" t="n">
        <f aca="false">IF(ISNUMBER(BO35),ROUND(N(BO36)+N(BO37)+N(BO38)+N(BO39)+N(BO40)+N(BO41)+N(BO42)+N(BO43)-BO35,1),"")</f>
        <v>0</v>
      </c>
      <c r="BP44" s="26" t="n">
        <f aca="false">IF(ISNUMBER(BP35),ROUND(N(BP36)+N(BP37)+N(BP38)+N(BP39)+N(BP40)+N(BP41)+N(BP42)+N(BP43)-BP35,1),"")</f>
        <v>-0.2</v>
      </c>
      <c r="BQ44" s="26" t="n">
        <f aca="false">IF(ISNUMBER(BQ35),ROUND(N(BQ36)+N(BQ37)+N(BQ38)+N(BQ39)+N(BQ40)+N(BQ41)+N(BQ42)+N(BQ43)-BQ35,1),"")</f>
        <v>-0.2</v>
      </c>
      <c r="BR44" s="26" t="n">
        <f aca="false">IF(ISNUMBER(BR35),ROUND(N(BR36)+N(BR37)+N(BR38)+N(BR39)+N(BR40)+N(BR41)+N(BR42)+N(BR43)-BR35,1),"")</f>
        <v>0</v>
      </c>
      <c r="BS44" s="26" t="n">
        <f aca="false">IF(ISNUMBER(BS35),ROUND(N(BS36)+N(BS37)+N(BS38)+N(BS39)+N(BS40)+N(BS41)+N(BS42)+N(BS43)-BS35,1),"")</f>
        <v>0</v>
      </c>
      <c r="BT44" s="26" t="n">
        <f aca="false">IF(ISNUMBER(BT35),ROUND(N(BT36)+N(BT37)+N(BT38)+N(BT39)+N(BT40)+N(BT41)+N(BT42)+N(BT43)-BT35,1),"")</f>
        <v>0</v>
      </c>
      <c r="BU44" s="26" t="n">
        <f aca="false">IF(ISNUMBER(BU35),ROUND(N(BU36)+N(BU37)+N(BU38)+N(BU39)+N(BU40)+N(BU41)+N(BU42)+N(BU43)-BU35,1),"")</f>
        <v>0</v>
      </c>
      <c r="BV44" s="26" t="n">
        <f aca="false">IF(ISNUMBER(BV35),ROUND(N(BV36)+N(BV37)+N(BV38)+N(BV39)+N(BV40)+N(BV41)+N(BV42)+N(BV43)-BV35,1),"")</f>
        <v>0</v>
      </c>
      <c r="BW44" s="26" t="n">
        <f aca="false">IF(ISNUMBER(BW35),ROUND(N(BW36)+N(BW37)+N(BW38)+N(BW39)+N(BW40)+N(BW41)+N(BW42)+N(BW43)-BW35,1),"")</f>
        <v>0</v>
      </c>
      <c r="BX44" s="26" t="n">
        <f aca="false">IF(ISNUMBER(BX35),ROUND(N(BX36)+N(BX37)+N(BX38)+N(BX39)+N(BX40)+N(BX41)+N(BX42)+N(BX43)-BX35,1),"")</f>
        <v>0</v>
      </c>
      <c r="BY44" s="28"/>
      <c r="BZ44" s="28"/>
      <c r="CA44" s="28"/>
      <c r="CB44" s="28"/>
      <c r="CC44" s="28"/>
      <c r="CD44" s="28"/>
      <c r="CE44" s="28"/>
      <c r="CF44" s="21" t="s">
        <v>175</v>
      </c>
      <c r="CN44" s="29" t="s">
        <v>149</v>
      </c>
      <c r="CO44" s="45" t="n">
        <f aca="false">CP44+$CO$43</f>
        <v>0.5605</v>
      </c>
      <c r="CP44" s="30" t="n">
        <v>0.568</v>
      </c>
      <c r="CQ44" s="45" t="n">
        <f aca="false">CP44+$CQ$43</f>
        <v>0.5755</v>
      </c>
    </row>
    <row r="45" customFormat="false" ht="15" hidden="true" customHeight="true" outlineLevel="2" collapsed="false">
      <c r="CN45" s="29" t="s">
        <v>151</v>
      </c>
      <c r="CO45" s="45" t="n">
        <f aca="false">CP45+$CO$43</f>
        <v>0.5585</v>
      </c>
      <c r="CP45" s="30" t="n">
        <v>0.566</v>
      </c>
      <c r="CQ45" s="45" t="n">
        <f aca="false">CP45+$CQ$43</f>
        <v>0.5735</v>
      </c>
    </row>
    <row r="46" customFormat="false" ht="15" hidden="true" customHeight="true" outlineLevel="2" collapsed="false">
      <c r="B46" s="16" t="s">
        <v>176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7" t="s">
        <v>177</v>
      </c>
      <c r="CN46" s="29" t="s">
        <v>154</v>
      </c>
      <c r="CO46" s="45" t="n">
        <f aca="false">CP46+$CO$43</f>
        <v>0.5565</v>
      </c>
      <c r="CP46" s="30" t="n">
        <v>0.564</v>
      </c>
      <c r="CQ46" s="45" t="n">
        <f aca="false">CP46+$CQ$43</f>
        <v>0.5715</v>
      </c>
    </row>
    <row r="47" customFormat="false" ht="15" hidden="true" customHeight="true" outlineLevel="2" collapsed="false">
      <c r="B47" s="18" t="s">
        <v>178</v>
      </c>
      <c r="C47" s="31"/>
      <c r="D47" s="31"/>
      <c r="E47" s="31"/>
      <c r="F47" s="31"/>
      <c r="G47" s="31"/>
      <c r="H47" s="31"/>
      <c r="I47" s="19" t="n">
        <v>61.35</v>
      </c>
      <c r="J47" s="19" t="n">
        <v>59.931</v>
      </c>
      <c r="K47" s="19" t="n">
        <v>66.183</v>
      </c>
      <c r="L47" s="19" t="n">
        <v>68.605</v>
      </c>
      <c r="M47" s="19" t="n">
        <v>67.566</v>
      </c>
      <c r="N47" s="19" t="n">
        <v>262.286</v>
      </c>
      <c r="O47" s="19" t="n">
        <v>73.318</v>
      </c>
      <c r="P47" s="19" t="n">
        <v>82.646</v>
      </c>
      <c r="Q47" s="19" t="n">
        <v>86.085</v>
      </c>
      <c r="R47" s="19" t="n">
        <v>84.884</v>
      </c>
      <c r="S47" s="19" t="n">
        <v>326.934</v>
      </c>
      <c r="T47" s="19" t="n">
        <v>72.556</v>
      </c>
      <c r="U47" s="19" t="n">
        <v>55.851</v>
      </c>
      <c r="V47" s="19" t="n">
        <v>54.695</v>
      </c>
      <c r="W47" s="19" t="n">
        <v>45.427</v>
      </c>
      <c r="X47" s="19" t="n">
        <v>228.529</v>
      </c>
      <c r="Y47" s="19" t="n">
        <v>32.851</v>
      </c>
      <c r="Z47" s="19" t="n">
        <v>30.734</v>
      </c>
      <c r="AA47" s="19" t="n">
        <v>33.673</v>
      </c>
      <c r="AB47" s="19" t="n">
        <v>35.027</v>
      </c>
      <c r="AC47" s="19" t="n">
        <v>132.286</v>
      </c>
      <c r="AD47" s="19" t="n">
        <v>39.821</v>
      </c>
      <c r="AE47" s="19" t="n">
        <v>50.043</v>
      </c>
      <c r="AF47" s="19" t="n">
        <v>57.797</v>
      </c>
      <c r="AG47" s="19" t="n">
        <v>55.812</v>
      </c>
      <c r="AH47" s="19" t="n">
        <v>203.473</v>
      </c>
      <c r="AI47" s="19" t="n">
        <v>58.359</v>
      </c>
      <c r="AJ47" s="19" t="n">
        <v>62.663</v>
      </c>
      <c r="AK47" s="19" t="n">
        <v>68.049</v>
      </c>
      <c r="AL47" s="19" t="n">
        <v>67.192</v>
      </c>
      <c r="AM47" s="19" t="n">
        <v>256.262</v>
      </c>
      <c r="AN47" s="19" t="n">
        <v>66.831</v>
      </c>
      <c r="AO47" s="19" t="n">
        <v>68.039</v>
      </c>
      <c r="AP47" s="19" t="n">
        <v>70.874</v>
      </c>
      <c r="AQ47" s="19" t="n">
        <v>66.144</v>
      </c>
      <c r="AR47" s="19" t="n">
        <v>271.887</v>
      </c>
      <c r="AS47" s="19" t="n">
        <v>65.377</v>
      </c>
      <c r="AT47" s="19" t="n">
        <v>40.152</v>
      </c>
      <c r="AU47" s="19" t="n">
        <v>26.218</v>
      </c>
      <c r="AV47" s="19" t="n">
        <v>27.69</v>
      </c>
      <c r="AW47" s="19" t="n">
        <v>159.438</v>
      </c>
      <c r="AX47" s="19" t="n">
        <v>28.012</v>
      </c>
      <c r="AY47" s="19" t="n">
        <v>34.607</v>
      </c>
      <c r="AZ47" s="19" t="n">
        <v>38.519</v>
      </c>
      <c r="BA47" s="19" t="n">
        <v>37.57</v>
      </c>
      <c r="BB47" s="19" t="n">
        <v>138.707</v>
      </c>
      <c r="BC47" s="19" t="n">
        <v>43.555</v>
      </c>
      <c r="BD47" s="19" t="n">
        <v>54.155</v>
      </c>
      <c r="BE47" s="19" t="n">
        <v>56.995</v>
      </c>
      <c r="BF47" s="19" t="n">
        <v>55.857</v>
      </c>
      <c r="BG47" s="19" t="n">
        <v>210.562</v>
      </c>
      <c r="BH47" s="19" t="n">
        <v>51.759</v>
      </c>
      <c r="BI47" s="19" t="n">
        <v>58.607</v>
      </c>
      <c r="BJ47" s="19" t="n">
        <v>62.066</v>
      </c>
      <c r="BK47" s="19" t="n">
        <v>59.78</v>
      </c>
      <c r="BL47" s="19" t="n">
        <v>232.211</v>
      </c>
      <c r="BM47" s="19" t="n">
        <v>97.408</v>
      </c>
      <c r="BN47" s="19" t="n">
        <v>123.566</v>
      </c>
      <c r="BO47" s="19" t="n">
        <v>154.202</v>
      </c>
      <c r="BP47" s="19" t="n">
        <v>146.328</v>
      </c>
      <c r="BQ47" s="19" t="n">
        <v>521.504</v>
      </c>
      <c r="BR47" s="19" t="n">
        <v>150.899</v>
      </c>
      <c r="BS47" s="19" t="n">
        <v>178.117</v>
      </c>
      <c r="BT47" s="19" t="n">
        <v>188.679</v>
      </c>
      <c r="BU47" s="19" t="n">
        <v>171.066</v>
      </c>
      <c r="BV47" s="19" t="n">
        <v>688.761</v>
      </c>
      <c r="BW47" s="19" t="n">
        <v>187.572</v>
      </c>
      <c r="BX47" s="19" t="n">
        <v>211.153</v>
      </c>
      <c r="BY47" s="20" t="n">
        <f aca="false">BT47*(1+$BX$49+BY87)</f>
        <v>221.284916032599</v>
      </c>
      <c r="BZ47" s="20" t="n">
        <f aca="false">BU47*(1+$BX$49+BZ87)</f>
        <v>200.628185680614</v>
      </c>
      <c r="CA47" s="20" t="n">
        <f aca="false">SUM(BW47,BX47,BY47,BZ47)</f>
        <v>820.638101713213</v>
      </c>
      <c r="CB47" s="20" t="n">
        <f aca="false">CA47*(1+CHOOSE(MATCH($CF$2,{"Bull","Base","Bear"},0),$CO$39,$CP$39,$CQ$39))</f>
        <v>869.876387816006</v>
      </c>
      <c r="CC47" s="20" t="n">
        <f aca="false">CB47*(1+CHOOSE(MATCH($CF$2,{"Bull","Base","Bear"},0),$CO$40,$CP$40,$CQ$40))</f>
        <v>913.370207206806</v>
      </c>
      <c r="CD47" s="20" t="n">
        <f aca="false">CC47*(1+CHOOSE(MATCH($CF$2,{"Bull","Base","Bear"},0),$CO$41,$CP$41,$CQ$41))</f>
        <v>949.905015495078</v>
      </c>
      <c r="CE47" s="20" t="n">
        <f aca="false">CD47*(1+CHOOSE(MATCH($CF$2,{"Bull","Base","Bear"},0),$CO$42,$CP$42,$CQ$42))</f>
        <v>987.901216114881</v>
      </c>
      <c r="CF47" s="21" t="s">
        <v>179</v>
      </c>
      <c r="CH47" s="22" t="n">
        <f aca="false">IFERROR((CE47/BV47)^(1/5)-1,"n/m")</f>
        <v>0.074803308016427</v>
      </c>
      <c r="CI47" s="22" t="n">
        <f aca="false">IFERROR((BV47/AW47)^(1/5)-1,"n/m")</f>
        <v>0.339970823041119</v>
      </c>
      <c r="CJ47" s="22" t="n">
        <f aca="false">IFERROR((BV47/X47)^(1/10)-1,"n/m")</f>
        <v>0.11663882211206</v>
      </c>
      <c r="CK47" s="22" t="str">
        <f aca="false">IFERROR((BV47/C47)^(1/19)-1,"n/m")</f>
        <v>n/m</v>
      </c>
      <c r="CN47" s="29" t="s">
        <v>157</v>
      </c>
      <c r="CO47" s="45" t="n">
        <f aca="false">CP47+$CO$43</f>
        <v>0.5545</v>
      </c>
      <c r="CP47" s="30" t="n">
        <v>0.562</v>
      </c>
      <c r="CQ47" s="45" t="n">
        <f aca="false">CP47+$CQ$43</f>
        <v>0.5695</v>
      </c>
    </row>
    <row r="48" customFormat="false" ht="15" hidden="true" customHeight="true" outlineLevel="2" collapsed="false">
      <c r="B48" s="34" t="s">
        <v>180</v>
      </c>
      <c r="C48" s="35"/>
      <c r="D48" s="36" t="str">
        <f aca="false">IF(AND(ISNUMBER(D47),ISNUMBER(C47)),IFERROR(D47/C47-1,""),"")</f>
        <v/>
      </c>
      <c r="E48" s="36" t="str">
        <f aca="false">IF(AND(ISNUMBER(E47),ISNUMBER(D47)),IFERROR(E47/D47-1,""),"")</f>
        <v/>
      </c>
      <c r="F48" s="36" t="str">
        <f aca="false">IF(AND(ISNUMBER(F47),ISNUMBER(E47)),IFERROR(F47/E47-1,""),"")</f>
        <v/>
      </c>
      <c r="G48" s="36" t="str">
        <f aca="false">IF(AND(ISNUMBER(G47),ISNUMBER(F47)),IFERROR(G47/F47-1,""),"")</f>
        <v/>
      </c>
      <c r="H48" s="36" t="str">
        <f aca="false">IF(AND(ISNUMBER(H47),ISNUMBER(G47)),IFERROR(H47/G47-1,""),"")</f>
        <v/>
      </c>
      <c r="I48" s="36" t="str">
        <f aca="false">IF(AND(ISNUMBER(I47),ISNUMBER(H47)),IFERROR(I47/H47-1,""),"")</f>
        <v/>
      </c>
      <c r="J48" s="35"/>
      <c r="K48" s="35"/>
      <c r="L48" s="35"/>
      <c r="M48" s="35"/>
      <c r="N48" s="36" t="n">
        <f aca="false">IF(AND(ISNUMBER(N47),ISNUMBER(I47)),IFERROR(N47/I47-1,""),"")</f>
        <v>3.27524042379788</v>
      </c>
      <c r="O48" s="36" t="n">
        <f aca="false">IF(AND(ISNUMBER(O47),ISNUMBER(J47)),IFERROR(O47/J47-1,""),"")</f>
        <v>0.223373546244848</v>
      </c>
      <c r="P48" s="36" t="n">
        <f aca="false">IF(AND(ISNUMBER(P47),ISNUMBER(K47)),IFERROR(P47/K47-1,""),"")</f>
        <v>0.248749678920569</v>
      </c>
      <c r="Q48" s="36" t="n">
        <f aca="false">IF(AND(ISNUMBER(Q47),ISNUMBER(L47)),IFERROR(Q47/L47-1,""),"")</f>
        <v>0.254791924786823</v>
      </c>
      <c r="R48" s="36" t="n">
        <f aca="false">IF(AND(ISNUMBER(R47),ISNUMBER(M47)),IFERROR(R47/M47-1,""),"")</f>
        <v>0.256312346446437</v>
      </c>
      <c r="S48" s="36" t="n">
        <f aca="false">IF(AND(ISNUMBER(S47),ISNUMBER(N47)),IFERROR(S47/N47-1,""),"")</f>
        <v>0.246479034336564</v>
      </c>
      <c r="T48" s="36" t="n">
        <f aca="false">IF(AND(ISNUMBER(T47),ISNUMBER(O47)),IFERROR(T47/O47-1,""),"")</f>
        <v>-0.0103930821899124</v>
      </c>
      <c r="U48" s="36" t="n">
        <f aca="false">IF(AND(ISNUMBER(U47),ISNUMBER(P47)),IFERROR(U47/P47-1,""),"")</f>
        <v>-0.324214118045641</v>
      </c>
      <c r="V48" s="36" t="n">
        <f aca="false">IF(AND(ISNUMBER(V47),ISNUMBER(Q47)),IFERROR(V47/Q47-1,""),"")</f>
        <v>-0.364639600394958</v>
      </c>
      <c r="W48" s="36" t="n">
        <f aca="false">IF(AND(ISNUMBER(W47),ISNUMBER(R47)),IFERROR(W47/R47-1,""),"")</f>
        <v>-0.464834362188398</v>
      </c>
      <c r="X48" s="36" t="n">
        <f aca="false">IF(AND(ISNUMBER(X47),ISNUMBER(S47)),IFERROR(X47/S47-1,""),"")</f>
        <v>-0.300993472688677</v>
      </c>
      <c r="Y48" s="36" t="n">
        <f aca="false">IF(AND(ISNUMBER(Y47),ISNUMBER(T47)),IFERROR(Y47/T47-1,""),"")</f>
        <v>-0.547232482496279</v>
      </c>
      <c r="Z48" s="36" t="n">
        <f aca="false">IF(AND(ISNUMBER(Z47),ISNUMBER(U47)),IFERROR(Z47/U47-1,""),"")</f>
        <v>-0.44971441872124</v>
      </c>
      <c r="AA48" s="36" t="n">
        <f aca="false">IF(AND(ISNUMBER(AA47),ISNUMBER(V47)),IFERROR(AA47/V47-1,""),"")</f>
        <v>-0.38434957491544</v>
      </c>
      <c r="AB48" s="36" t="n">
        <f aca="false">IF(AND(ISNUMBER(AB47),ISNUMBER(W47)),IFERROR(AB47/W47-1,""),"")</f>
        <v>-0.228938736874546</v>
      </c>
      <c r="AC48" s="36" t="n">
        <f aca="false">IF(AND(ISNUMBER(AC47),ISNUMBER(X47)),IFERROR(AC47/X47-1,""),"")</f>
        <v>-0.421141299353693</v>
      </c>
      <c r="AD48" s="36" t="n">
        <f aca="false">IF(AND(ISNUMBER(AD47),ISNUMBER(Y47)),IFERROR(AD47/Y47-1,""),"")</f>
        <v>0.212170101366777</v>
      </c>
      <c r="AE48" s="36" t="n">
        <f aca="false">IF(AND(ISNUMBER(AE47),ISNUMBER(Z47)),IFERROR(AE47/Z47-1,""),"")</f>
        <v>0.628261859829505</v>
      </c>
      <c r="AF48" s="36" t="n">
        <f aca="false">IF(AND(ISNUMBER(AF47),ISNUMBER(AA47)),IFERROR(AF47/AA47-1,""),"")</f>
        <v>0.71641968342589</v>
      </c>
      <c r="AG48" s="36" t="n">
        <f aca="false">IF(AND(ISNUMBER(AG47),ISNUMBER(AB47)),IFERROR(AG47/AB47-1,""),"")</f>
        <v>0.593399377622977</v>
      </c>
      <c r="AH48" s="36" t="n">
        <f aca="false">IF(AND(ISNUMBER(AH47),ISNUMBER(AC47)),IFERROR(AH47/AC47-1,""),"")</f>
        <v>0.538129507279682</v>
      </c>
      <c r="AI48" s="36" t="n">
        <f aca="false">IF(AND(ISNUMBER(AI47),ISNUMBER(AD47)),IFERROR(AI47/AD47-1,""),"")</f>
        <v>0.465533261344517</v>
      </c>
      <c r="AJ48" s="36" t="n">
        <f aca="false">IF(AND(ISNUMBER(AJ47),ISNUMBER(AE47)),IFERROR(AJ47/AE47-1,""),"")</f>
        <v>0.252183122514637</v>
      </c>
      <c r="AK48" s="36" t="n">
        <f aca="false">IF(AND(ISNUMBER(AK47),ISNUMBER(AF47)),IFERROR(AK47/AF47-1,""),"")</f>
        <v>0.177379448760316</v>
      </c>
      <c r="AL48" s="36" t="n">
        <f aca="false">IF(AND(ISNUMBER(AL47),ISNUMBER(AG47)),IFERROR(AL47/AG47-1,""),"")</f>
        <v>0.203898803124776</v>
      </c>
      <c r="AM48" s="36" t="n">
        <f aca="false">IF(AND(ISNUMBER(AM47),ISNUMBER(AH47)),IFERROR(AM47/AH47-1,""),"")</f>
        <v>0.259439827397247</v>
      </c>
      <c r="AN48" s="36" t="n">
        <f aca="false">IF(AND(ISNUMBER(AN47),ISNUMBER(AI47)),IFERROR(AN47/AI47-1,""),"")</f>
        <v>0.145170410733563</v>
      </c>
      <c r="AO48" s="36" t="n">
        <f aca="false">IF(AND(ISNUMBER(AO47),ISNUMBER(AJ47)),IFERROR(AO47/AJ47-1,""),"")</f>
        <v>0.0857922538020843</v>
      </c>
      <c r="AP48" s="36" t="n">
        <f aca="false">IF(AND(ISNUMBER(AP47),ISNUMBER(AK47)),IFERROR(AP47/AK47-1,""),"")</f>
        <v>0.0415142030007787</v>
      </c>
      <c r="AQ48" s="36" t="n">
        <f aca="false">IF(AND(ISNUMBER(AQ47),ISNUMBER(AL47)),IFERROR(AQ47/AL47-1,""),"")</f>
        <v>-0.0155970948922489</v>
      </c>
      <c r="AR48" s="36" t="n">
        <f aca="false">IF(AND(ISNUMBER(AR47),ISNUMBER(AM47)),IFERROR(AR47/AM47-1,""),"")</f>
        <v>0.060972754446621</v>
      </c>
      <c r="AS48" s="36" t="n">
        <f aca="false">IF(AND(ISNUMBER(AS47),ISNUMBER(AN47)),IFERROR(AS47/AN47-1,""),"")</f>
        <v>-0.0217563705466027</v>
      </c>
      <c r="AT48" s="36" t="n">
        <f aca="false">IF(AND(ISNUMBER(AT47),ISNUMBER(AO47)),IFERROR(AT47/AO47-1,""),"")</f>
        <v>-0.409867869898147</v>
      </c>
      <c r="AU48" s="36" t="n">
        <f aca="false">IF(AND(ISNUMBER(AU47),ISNUMBER(AP47)),IFERROR(AU47/AP47-1,""),"")</f>
        <v>-0.630075909360273</v>
      </c>
      <c r="AV48" s="36" t="n">
        <f aca="false">IF(AND(ISNUMBER(AV47),ISNUMBER(AQ47)),IFERROR(AV47/AQ47-1,""),"")</f>
        <v>-0.581367924528302</v>
      </c>
      <c r="AW48" s="36" t="n">
        <f aca="false">IF(AND(ISNUMBER(AW47),ISNUMBER(AR47)),IFERROR(AW47/AR47-1,""),"")</f>
        <v>-0.413587262355317</v>
      </c>
      <c r="AX48" s="36" t="n">
        <f aca="false">IF(AND(ISNUMBER(AX47),ISNUMBER(AS47)),IFERROR(AX47/AS47-1,""),"")</f>
        <v>-0.571531272465852</v>
      </c>
      <c r="AY48" s="36" t="n">
        <f aca="false">IF(AND(ISNUMBER(AY47),ISNUMBER(AT47)),IFERROR(AY47/AT47-1,""),"")</f>
        <v>-0.138100219167165</v>
      </c>
      <c r="AZ48" s="36" t="n">
        <f aca="false">IF(AND(ISNUMBER(AZ47),ISNUMBER(AU47)),IFERROR(AZ47/AU47-1,""),"")</f>
        <v>0.469181478373636</v>
      </c>
      <c r="BA48" s="36" t="n">
        <f aca="false">IF(AND(ISNUMBER(BA47),ISNUMBER(AV47)),IFERROR(BA47/AV47-1,""),"")</f>
        <v>0.356807511737089</v>
      </c>
      <c r="BB48" s="36" t="n">
        <f aca="false">IF(AND(ISNUMBER(BB47),ISNUMBER(AW47)),IFERROR(BB47/AW47-1,""),"")</f>
        <v>-0.130025464443859</v>
      </c>
      <c r="BC48" s="36" t="n">
        <f aca="false">IF(AND(ISNUMBER(BC47),ISNUMBER(AX47)),IFERROR(BC47/AX47-1,""),"")</f>
        <v>0.554869341710695</v>
      </c>
      <c r="BD48" s="36" t="n">
        <f aca="false">IF(AND(ISNUMBER(BD47),ISNUMBER(AY47)),IFERROR(BD47/AY47-1,""),"")</f>
        <v>0.56485682087439</v>
      </c>
      <c r="BE48" s="36" t="n">
        <f aca="false">IF(AND(ISNUMBER(BE47),ISNUMBER(AZ47)),IFERROR(BE47/AZ47-1,""),"")</f>
        <v>0.479659388873024</v>
      </c>
      <c r="BF48" s="36" t="n">
        <f aca="false">IF(AND(ISNUMBER(BF47),ISNUMBER(BA47)),IFERROR(BF47/BA47-1,""),"")</f>
        <v>0.486744743146127</v>
      </c>
      <c r="BG48" s="36" t="n">
        <f aca="false">IF(AND(ISNUMBER(BG47),ISNUMBER(BB47)),IFERROR(BG47/BB47-1,""),"")</f>
        <v>0.518034417873648</v>
      </c>
      <c r="BH48" s="36" t="n">
        <f aca="false">IF(AND(ISNUMBER(BH47),ISNUMBER(BC47)),IFERROR(BH47/BC47-1,""),"")</f>
        <v>0.188359545402365</v>
      </c>
      <c r="BI48" s="36" t="n">
        <f aca="false">IF(AND(ISNUMBER(BI47),ISNUMBER(BD47)),IFERROR(BI47/BD47-1,""),"")</f>
        <v>0.082208475671683</v>
      </c>
      <c r="BJ48" s="36" t="n">
        <f aca="false">IF(AND(ISNUMBER(BJ47),ISNUMBER(BE47)),IFERROR(BJ47/BE47-1,""),"")</f>
        <v>0.0889727169049919</v>
      </c>
      <c r="BK48" s="36" t="n">
        <f aca="false">IF(AND(ISNUMBER(BK47),ISNUMBER(BF47)),IFERROR(BK47/BF47-1,""),"")</f>
        <v>0.0702329161967166</v>
      </c>
      <c r="BL48" s="36" t="n">
        <f aca="false">IF(AND(ISNUMBER(BL47),ISNUMBER(BG47)),IFERROR(BL47/BG47-1,""),"")</f>
        <v>0.102815322802785</v>
      </c>
      <c r="BM48" s="36" t="n">
        <f aca="false">IF(AND(ISNUMBER(BM47),ISNUMBER(BH47)),IFERROR(BM47/BH47-1,""),"")</f>
        <v>0.881952897080701</v>
      </c>
      <c r="BN48" s="36" t="n">
        <f aca="false">IF(AND(ISNUMBER(BN47),ISNUMBER(BI47)),IFERROR(BN47/BI47-1,""),"")</f>
        <v>1.10838295766717</v>
      </c>
      <c r="BO48" s="36" t="n">
        <f aca="false">IF(AND(ISNUMBER(BO47),ISNUMBER(BJ47)),IFERROR(BO47/BJ47-1,""),"")</f>
        <v>1.48448425869236</v>
      </c>
      <c r="BP48" s="36" t="n">
        <f aca="false">IF(AND(ISNUMBER(BP47),ISNUMBER(BK47)),IFERROR(BP47/BK47-1,""),"")</f>
        <v>1.44777517564403</v>
      </c>
      <c r="BQ48" s="36" t="n">
        <f aca="false">IF(AND(ISNUMBER(BQ47),ISNUMBER(BL47)),IFERROR(BQ47/BL47-1,""),"")</f>
        <v>1.24581953481963</v>
      </c>
      <c r="BR48" s="36" t="n">
        <f aca="false">IF(AND(ISNUMBER(BR47),ISNUMBER(BM47)),IFERROR(BR47/BM47-1,""),"")</f>
        <v>0.549143807490145</v>
      </c>
      <c r="BS48" s="36" t="n">
        <f aca="false">IF(AND(ISNUMBER(BS47),ISNUMBER(BN47)),IFERROR(BS47/BN47-1,""),"")</f>
        <v>0.441472573361604</v>
      </c>
      <c r="BT48" s="36" t="n">
        <f aca="false">IF(AND(ISNUMBER(BT47),ISNUMBER(BO47)),IFERROR(BT47/BO47-1,""),"")</f>
        <v>0.223583351707501</v>
      </c>
      <c r="BU48" s="36" t="n">
        <f aca="false">IF(AND(ISNUMBER(BU47),ISNUMBER(BP47)),IFERROR(BU47/BP47-1,""),"")</f>
        <v>0.169058553386912</v>
      </c>
      <c r="BV48" s="36" t="n">
        <f aca="false">IF(AND(ISNUMBER(BV47),ISNUMBER(BQ47)),IFERROR(BV47/BQ47-1,""),"")</f>
        <v>0.320720454684911</v>
      </c>
      <c r="BW48" s="36" t="n">
        <f aca="false">IF(AND(ISNUMBER(BW47),ISNUMBER(BR47)),IFERROR(BW47/BR47-1,""),"")</f>
        <v>0.243030106229995</v>
      </c>
      <c r="BX48" s="36" t="n">
        <f aca="false">IF(AND(ISNUMBER(BX47),ISNUMBER(BS47)),IFERROR(BX47/BS47-1,""),"")</f>
        <v>0.185473593199975</v>
      </c>
      <c r="BY48" s="37" t="n">
        <f aca="false">IFERROR(BY47/BT47-1,"")</f>
        <v>0.172811579627828</v>
      </c>
      <c r="BZ48" s="37" t="n">
        <f aca="false">IFERROR(BZ47/BU47-1,"")</f>
        <v>0.172811579627828</v>
      </c>
      <c r="CA48" s="37" t="n">
        <f aca="false">IFERROR(CA47/BV47-1,"")</f>
        <v>0.19147004797486</v>
      </c>
      <c r="CB48" s="37" t="n">
        <f aca="false">IFERROR(CB47/CA47-1,"")</f>
        <v>0.0600000000000001</v>
      </c>
      <c r="CC48" s="37" t="n">
        <f aca="false">IFERROR(CC47/CB47-1,"")</f>
        <v>0.05</v>
      </c>
      <c r="CD48" s="37" t="n">
        <f aca="false">IFERROR(CD47/CC47-1,"")</f>
        <v>0.04</v>
      </c>
      <c r="CE48" s="37" t="n">
        <f aca="false">IFERROR(CE47/CD47-1,"")</f>
        <v>0.04</v>
      </c>
      <c r="CF48" s="21"/>
      <c r="CH48" s="41" t="n">
        <f aca="false">IFERROR(AVERAGE(CA48,CB48,CC48,CD48,CE48),"n/m")</f>
        <v>0.0762940095949721</v>
      </c>
      <c r="CI48" s="41" t="n">
        <f aca="false">IFERROR(AVERAGE(BB48,BG48,BL48,BQ48,BV48),"n/m")</f>
        <v>0.411472853147422</v>
      </c>
      <c r="CJ48" s="41" t="n">
        <f aca="false">IFERROR(AVERAGE(AC48,AH48,AM48,AR48,AW48,BB48,BG48,BL48,BQ48,BV48),"n/m")</f>
        <v>0.208117779315165</v>
      </c>
      <c r="CK48" s="41" t="n">
        <f aca="false">IFERROR(AVERAGE(C48,D48,E48,F48,G48,H48,I48,N48,S48,X48,AC48,AH48,AM48,AR48,AW48,BB48,BG48,BL48,BQ48,BV48),"n/m")</f>
        <v>0.407838752199801</v>
      </c>
      <c r="CN48" s="17" t="s">
        <v>181</v>
      </c>
      <c r="CO48" s="44" t="n">
        <v>500</v>
      </c>
      <c r="CP48" s="23" t="s">
        <v>146</v>
      </c>
      <c r="CQ48" s="44" t="n">
        <v>-500</v>
      </c>
      <c r="CR48" s="15" t="s">
        <v>182</v>
      </c>
    </row>
    <row r="49" customFormat="false" ht="15" hidden="true" customHeight="true" outlineLevel="2" collapsed="false">
      <c r="B49" s="24" t="s">
        <v>183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8" t="n">
        <f aca="false">IFERROR(BX47/BS47-1,"")</f>
        <v>0.185473593199975</v>
      </c>
      <c r="BY49" s="39"/>
      <c r="BZ49" s="39"/>
      <c r="CA49" s="39"/>
      <c r="CB49" s="39"/>
      <c r="CC49" s="39"/>
      <c r="CD49" s="39"/>
      <c r="CE49" s="39"/>
      <c r="CF49" s="21"/>
      <c r="CN49" s="29" t="s">
        <v>149</v>
      </c>
      <c r="CO49" s="45" t="n">
        <f aca="false">CP49+$CO$48</f>
        <v>1500</v>
      </c>
      <c r="CP49" s="30" t="n">
        <v>1000</v>
      </c>
      <c r="CQ49" s="45" t="n">
        <f aca="false">CP49+$CQ$48</f>
        <v>500</v>
      </c>
    </row>
    <row r="50" customFormat="false" ht="15" hidden="true" customHeight="true" outlineLevel="2" collapsed="false">
      <c r="CN50" s="29" t="s">
        <v>151</v>
      </c>
      <c r="CO50" s="45" t="n">
        <f aca="false">CP50+$CO$48</f>
        <v>1500</v>
      </c>
      <c r="CP50" s="30" t="n">
        <v>1000</v>
      </c>
      <c r="CQ50" s="45" t="n">
        <f aca="false">CP50+$CQ$48</f>
        <v>500</v>
      </c>
    </row>
    <row r="51" customFormat="false" ht="15" hidden="true" customHeight="true" outlineLevel="2" collapsed="false">
      <c r="B51" s="16" t="s">
        <v>184</v>
      </c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7" t="s">
        <v>185</v>
      </c>
      <c r="CN51" s="29" t="s">
        <v>154</v>
      </c>
      <c r="CO51" s="45" t="n">
        <f aca="false">CP51+$CO$48</f>
        <v>1500</v>
      </c>
      <c r="CP51" s="30" t="n">
        <v>1000</v>
      </c>
      <c r="CQ51" s="45" t="n">
        <f aca="false">CP51+$CQ$48</f>
        <v>500</v>
      </c>
    </row>
    <row r="52" customFormat="false" ht="15" hidden="true" customHeight="true" outlineLevel="2" collapsed="false">
      <c r="B52" s="18" t="s">
        <v>186</v>
      </c>
      <c r="C52" s="31"/>
      <c r="D52" s="31"/>
      <c r="E52" s="31"/>
      <c r="F52" s="31"/>
      <c r="G52" s="31"/>
      <c r="H52" s="31"/>
      <c r="I52" s="19" t="n">
        <v>50.321</v>
      </c>
      <c r="J52" s="19" t="n">
        <v>12.118</v>
      </c>
      <c r="K52" s="19" t="n">
        <v>11.255</v>
      </c>
      <c r="L52" s="19" t="n">
        <v>11.329</v>
      </c>
      <c r="M52" s="19" t="n">
        <v>11.336</v>
      </c>
      <c r="N52" s="19" t="n">
        <v>46.038</v>
      </c>
      <c r="O52" s="19" t="n">
        <v>10.872</v>
      </c>
      <c r="P52" s="19" t="n">
        <v>11.97</v>
      </c>
      <c r="Q52" s="19" t="n">
        <v>12.604</v>
      </c>
      <c r="R52" s="19" t="n">
        <v>10.845</v>
      </c>
      <c r="S52" s="19" t="n">
        <v>46.291</v>
      </c>
      <c r="T52" s="19" t="n">
        <v>14.504</v>
      </c>
      <c r="U52" s="19" t="n">
        <v>18.073</v>
      </c>
      <c r="V52" s="19" t="n">
        <v>17.344</v>
      </c>
      <c r="W52" s="19" t="n">
        <v>16.401</v>
      </c>
      <c r="X52" s="19" t="n">
        <v>66.321</v>
      </c>
      <c r="Y52" s="19" t="n">
        <v>14.889</v>
      </c>
      <c r="Z52" s="19" t="n">
        <v>22.358</v>
      </c>
      <c r="AA52" s="19" t="n">
        <v>34.155</v>
      </c>
      <c r="AB52" s="19" t="n">
        <v>34.962</v>
      </c>
      <c r="AC52" s="19" t="n">
        <v>106.363</v>
      </c>
      <c r="AD52" s="19" t="n">
        <v>33.765</v>
      </c>
      <c r="AE52" s="19" t="n">
        <v>35.432</v>
      </c>
      <c r="AF52" s="19" t="n">
        <v>38.221</v>
      </c>
      <c r="AG52" s="19" t="n">
        <v>39.331</v>
      </c>
      <c r="AH52" s="19" t="n">
        <v>146.749</v>
      </c>
      <c r="AI52" s="19" t="n">
        <v>34.004</v>
      </c>
      <c r="AJ52" s="19" t="n">
        <v>37.324</v>
      </c>
      <c r="AK52" s="19" t="n">
        <v>34.261</v>
      </c>
      <c r="AL52" s="19" t="n">
        <v>34.308</v>
      </c>
      <c r="AM52" s="19" t="n">
        <v>139.896</v>
      </c>
      <c r="AN52" s="19" t="n">
        <v>32.837</v>
      </c>
      <c r="AO52" s="19" t="n">
        <v>31.134</v>
      </c>
      <c r="AP52" s="19" t="n">
        <v>26.52</v>
      </c>
      <c r="AQ52" s="19" t="n">
        <v>30.646</v>
      </c>
      <c r="AR52" s="19" t="n">
        <v>121.137</v>
      </c>
      <c r="AS52" s="19" t="n">
        <v>30.018</v>
      </c>
      <c r="AT52" s="19" t="n">
        <v>27.811</v>
      </c>
      <c r="AU52" s="19" t="n">
        <v>27.141</v>
      </c>
      <c r="AV52" s="19" t="n">
        <v>33.427</v>
      </c>
      <c r="AW52" s="19" t="n">
        <v>118.396</v>
      </c>
      <c r="AX52" s="19" t="n">
        <v>35.634</v>
      </c>
      <c r="AY52" s="19" t="n">
        <v>38.59</v>
      </c>
      <c r="AZ52" s="19" t="n">
        <v>38.377</v>
      </c>
      <c r="BA52" s="19" t="n">
        <v>39.592</v>
      </c>
      <c r="BB52" s="19" t="n">
        <v>152.194</v>
      </c>
      <c r="BC52" s="19" t="n">
        <v>45.693</v>
      </c>
      <c r="BD52" s="19" t="n">
        <v>46.31</v>
      </c>
      <c r="BE52" s="19" t="n">
        <v>47.604</v>
      </c>
      <c r="BF52" s="19" t="n">
        <v>48.865</v>
      </c>
      <c r="BG52" s="19" t="n">
        <v>188.471</v>
      </c>
      <c r="BH52" s="19" t="n">
        <v>38.212</v>
      </c>
      <c r="BI52" s="19" t="n">
        <v>39.459</v>
      </c>
      <c r="BJ52" s="19" t="n">
        <v>44.984</v>
      </c>
      <c r="BK52" s="19" t="n">
        <v>49.066</v>
      </c>
      <c r="BL52" s="19" t="n">
        <v>171.721</v>
      </c>
      <c r="BM52" s="19" t="n">
        <v>49.541</v>
      </c>
      <c r="BN52" s="19" t="n">
        <v>49.096</v>
      </c>
      <c r="BO52" s="19" t="n">
        <v>47.341</v>
      </c>
      <c r="BP52" s="19" t="n">
        <v>45.908</v>
      </c>
      <c r="BQ52" s="19" t="n">
        <v>191.887</v>
      </c>
      <c r="BR52" s="19" t="n">
        <v>46.549</v>
      </c>
      <c r="BS52" s="19" t="n">
        <v>43.934</v>
      </c>
      <c r="BT52" s="19" t="n">
        <v>42.686</v>
      </c>
      <c r="BU52" s="19" t="n">
        <v>42.295</v>
      </c>
      <c r="BV52" s="19" t="n">
        <v>175.465</v>
      </c>
      <c r="BW52" s="19" t="n">
        <v>49.346</v>
      </c>
      <c r="BX52" s="19" t="n">
        <v>62.806</v>
      </c>
      <c r="BY52" s="20" t="n">
        <f aca="false">BT52*(1+$BX$54+BY87)</f>
        <v>60.4814266192006</v>
      </c>
      <c r="BZ52" s="20" t="n">
        <f aca="false">BU52*(1+$BX$54+BZ87)</f>
        <v>59.9274220788804</v>
      </c>
      <c r="CA52" s="20" t="n">
        <f aca="false">SUM(BW52,BX52,BY52,BZ52)</f>
        <v>232.560848698081</v>
      </c>
      <c r="CB52" s="20" t="n">
        <f aca="false">CA52*(1+CB53)</f>
        <v>239.537674159023</v>
      </c>
      <c r="CC52" s="20" t="n">
        <f aca="false">CB52*(1+CC53)</f>
        <v>246.723804383794</v>
      </c>
      <c r="CD52" s="20" t="n">
        <f aca="false">CC52*(1+CD53)</f>
        <v>254.125518515308</v>
      </c>
      <c r="CE52" s="20" t="n">
        <f aca="false">CD52*(1+CE53)</f>
        <v>261.749284070767</v>
      </c>
      <c r="CF52" s="21" t="s">
        <v>187</v>
      </c>
      <c r="CH52" s="22" t="n">
        <f aca="false">IFERROR((CE52/BV52)^(1/5)-1,"n/m")</f>
        <v>0.0832756979359737</v>
      </c>
      <c r="CI52" s="22" t="n">
        <f aca="false">IFERROR((BV52/AW52)^(1/5)-1,"n/m")</f>
        <v>0.0818590792404312</v>
      </c>
      <c r="CJ52" s="22" t="n">
        <f aca="false">IFERROR((BV52/X52)^(1/10)-1,"n/m")</f>
        <v>0.102183597074365</v>
      </c>
      <c r="CK52" s="22" t="str">
        <f aca="false">IFERROR((BV52/C52)^(1/19)-1,"n/m")</f>
        <v>n/m</v>
      </c>
      <c r="CN52" s="29" t="s">
        <v>157</v>
      </c>
      <c r="CO52" s="45" t="n">
        <f aca="false">CP52+$CO$48</f>
        <v>1500</v>
      </c>
      <c r="CP52" s="30" t="n">
        <v>1000</v>
      </c>
      <c r="CQ52" s="45" t="n">
        <f aca="false">CP52+$CQ$48</f>
        <v>500</v>
      </c>
    </row>
    <row r="53" customFormat="false" ht="15" hidden="true" customHeight="true" outlineLevel="2" collapsed="false">
      <c r="B53" s="34" t="s">
        <v>188</v>
      </c>
      <c r="C53" s="35"/>
      <c r="D53" s="36" t="str">
        <f aca="false">IF(AND(ISNUMBER(D52),ISNUMBER(C52)),IFERROR(D52/C52-1,""),"")</f>
        <v/>
      </c>
      <c r="E53" s="36" t="str">
        <f aca="false">IF(AND(ISNUMBER(E52),ISNUMBER(D52)),IFERROR(E52/D52-1,""),"")</f>
        <v/>
      </c>
      <c r="F53" s="36" t="str">
        <f aca="false">IF(AND(ISNUMBER(F52),ISNUMBER(E52)),IFERROR(F52/E52-1,""),"")</f>
        <v/>
      </c>
      <c r="G53" s="36" t="str">
        <f aca="false">IF(AND(ISNUMBER(G52),ISNUMBER(F52)),IFERROR(G52/F52-1,""),"")</f>
        <v/>
      </c>
      <c r="H53" s="36" t="str">
        <f aca="false">IF(AND(ISNUMBER(H52),ISNUMBER(G52)),IFERROR(H52/G52-1,""),"")</f>
        <v/>
      </c>
      <c r="I53" s="36" t="str">
        <f aca="false">IF(AND(ISNUMBER(I52),ISNUMBER(H52)),IFERROR(I52/H52-1,""),"")</f>
        <v/>
      </c>
      <c r="J53" s="35"/>
      <c r="K53" s="35"/>
      <c r="L53" s="35"/>
      <c r="M53" s="35"/>
      <c r="N53" s="36" t="n">
        <f aca="false">IF(AND(ISNUMBER(N52),ISNUMBER(I52)),IFERROR(N52/I52-1,""),"")</f>
        <v>-0.0851135708749826</v>
      </c>
      <c r="O53" s="36" t="n">
        <f aca="false">IF(AND(ISNUMBER(O52),ISNUMBER(J52)),IFERROR(O52/J52-1,""),"")</f>
        <v>-0.102822247895692</v>
      </c>
      <c r="P53" s="36" t="n">
        <f aca="false">IF(AND(ISNUMBER(P52),ISNUMBER(K52)),IFERROR(P52/K52-1,""),"")</f>
        <v>0.063527321190582</v>
      </c>
      <c r="Q53" s="36" t="n">
        <f aca="false">IF(AND(ISNUMBER(Q52),ISNUMBER(L52)),IFERROR(Q52/L52-1,""),"")</f>
        <v>0.112543031158972</v>
      </c>
      <c r="R53" s="36" t="n">
        <f aca="false">IF(AND(ISNUMBER(R52),ISNUMBER(M52)),IFERROR(R52/M52-1,""),"")</f>
        <v>-0.0433133380381087</v>
      </c>
      <c r="S53" s="36" t="n">
        <f aca="false">IF(AND(ISNUMBER(S52),ISNUMBER(N52)),IFERROR(S52/N52-1,""),"")</f>
        <v>0.00549546027194925</v>
      </c>
      <c r="T53" s="36" t="n">
        <f aca="false">IF(AND(ISNUMBER(T52),ISNUMBER(O52)),IFERROR(T52/O52-1,""),"")</f>
        <v>0.334069168506255</v>
      </c>
      <c r="U53" s="36" t="n">
        <f aca="false">IF(AND(ISNUMBER(U52),ISNUMBER(P52)),IFERROR(U52/P52-1,""),"")</f>
        <v>0.509857978279031</v>
      </c>
      <c r="V53" s="36" t="n">
        <f aca="false">IF(AND(ISNUMBER(V52),ISNUMBER(Q52)),IFERROR(V52/Q52-1,""),"")</f>
        <v>0.37607108854332</v>
      </c>
      <c r="W53" s="36" t="n">
        <f aca="false">IF(AND(ISNUMBER(W52),ISNUMBER(R52)),IFERROR(W52/R52-1,""),"")</f>
        <v>0.512309820193638</v>
      </c>
      <c r="X53" s="36" t="n">
        <f aca="false">IF(AND(ISNUMBER(X52),ISNUMBER(S52)),IFERROR(X52/S52-1,""),"")</f>
        <v>0.432697500594068</v>
      </c>
      <c r="Y53" s="36" t="n">
        <f aca="false">IF(AND(ISNUMBER(Y52),ISNUMBER(T52)),IFERROR(Y52/T52-1,""),"")</f>
        <v>0.0265444015444016</v>
      </c>
      <c r="Z53" s="36" t="n">
        <f aca="false">IF(AND(ISNUMBER(Z52),ISNUMBER(U52)),IFERROR(Z52/U52-1,""),"")</f>
        <v>0.2370940076357</v>
      </c>
      <c r="AA53" s="36" t="n">
        <f aca="false">IF(AND(ISNUMBER(AA52),ISNUMBER(V52)),IFERROR(AA52/V52-1,""),"")</f>
        <v>0.969268911439114</v>
      </c>
      <c r="AB53" s="36" t="n">
        <f aca="false">IF(AND(ISNUMBER(AB52),ISNUMBER(W52)),IFERROR(AB52/W52-1,""),"")</f>
        <v>1.13169928662886</v>
      </c>
      <c r="AC53" s="36" t="n">
        <f aca="false">IF(AND(ISNUMBER(AC52),ISNUMBER(X52)),IFERROR(AC52/X52-1,""),"")</f>
        <v>0.603760498183079</v>
      </c>
      <c r="AD53" s="36" t="n">
        <f aca="false">IF(AND(ISNUMBER(AD52),ISNUMBER(Y52)),IFERROR(AD52/Y52-1,""),"")</f>
        <v>1.26778158371952</v>
      </c>
      <c r="AE53" s="36" t="n">
        <f aca="false">IF(AND(ISNUMBER(AE52),ISNUMBER(Z52)),IFERROR(AE52/Z52-1,""),"")</f>
        <v>0.584757133911799</v>
      </c>
      <c r="AF53" s="36" t="n">
        <f aca="false">IF(AND(ISNUMBER(AF52),ISNUMBER(AA52)),IFERROR(AF52/AA52-1,""),"")</f>
        <v>0.11904552774118</v>
      </c>
      <c r="AG53" s="36" t="n">
        <f aca="false">IF(AND(ISNUMBER(AG52),ISNUMBER(AB52)),IFERROR(AG52/AB52-1,""),"")</f>
        <v>0.124964246896631</v>
      </c>
      <c r="AH53" s="36" t="n">
        <f aca="false">IF(AND(ISNUMBER(AH52),ISNUMBER(AC52)),IFERROR(AH52/AC52-1,""),"")</f>
        <v>0.379699707605088</v>
      </c>
      <c r="AI53" s="36" t="n">
        <f aca="false">IF(AND(ISNUMBER(AI52),ISNUMBER(AD52)),IFERROR(AI52/AD52-1,""),"")</f>
        <v>0.00707833555456827</v>
      </c>
      <c r="AJ53" s="36" t="n">
        <f aca="false">IF(AND(ISNUMBER(AJ52),ISNUMBER(AE52)),IFERROR(AJ52/AE52-1,""),"")</f>
        <v>0.0533980582524272</v>
      </c>
      <c r="AK53" s="36" t="n">
        <f aca="false">IF(AND(ISNUMBER(AK52),ISNUMBER(AF52)),IFERROR(AK52/AF52-1,""),"")</f>
        <v>-0.103607964208158</v>
      </c>
      <c r="AL53" s="36" t="n">
        <f aca="false">IF(AND(ISNUMBER(AL52),ISNUMBER(AG52)),IFERROR(AL52/AG52-1,""),"")</f>
        <v>-0.127710965904757</v>
      </c>
      <c r="AM53" s="36" t="n">
        <f aca="false">IF(AND(ISNUMBER(AM52),ISNUMBER(AH52)),IFERROR(AM52/AH52-1,""),"")</f>
        <v>-0.0466987850002386</v>
      </c>
      <c r="AN53" s="36" t="n">
        <f aca="false">IF(AND(ISNUMBER(AN52),ISNUMBER(AI52)),IFERROR(AN52/AI52-1,""),"")</f>
        <v>-0.0343194918244911</v>
      </c>
      <c r="AO53" s="36" t="n">
        <f aca="false">IF(AND(ISNUMBER(AO52),ISNUMBER(AJ52)),IFERROR(AO52/AJ52-1,""),"")</f>
        <v>-0.165845032686743</v>
      </c>
      <c r="AP53" s="36" t="n">
        <f aca="false">IF(AND(ISNUMBER(AP52),ISNUMBER(AK52)),IFERROR(AP52/AK52-1,""),"")</f>
        <v>-0.22594203321561</v>
      </c>
      <c r="AQ53" s="36" t="n">
        <f aca="false">IF(AND(ISNUMBER(AQ52),ISNUMBER(AL52)),IFERROR(AQ52/AL52-1,""),"")</f>
        <v>-0.106738953013874</v>
      </c>
      <c r="AR53" s="36" t="n">
        <f aca="false">IF(AND(ISNUMBER(AR52),ISNUMBER(AM52)),IFERROR(AR52/AM52-1,""),"")</f>
        <v>-0.134092468691028</v>
      </c>
      <c r="AS53" s="36" t="n">
        <f aca="false">IF(AND(ISNUMBER(AS52),ISNUMBER(AN52)),IFERROR(AS52/AN52-1,""),"")</f>
        <v>-0.0858482809026404</v>
      </c>
      <c r="AT53" s="36" t="n">
        <f aca="false">IF(AND(ISNUMBER(AT52),ISNUMBER(AO52)),IFERROR(AT52/AO52-1,""),"")</f>
        <v>-0.106732189888867</v>
      </c>
      <c r="AU53" s="36" t="n">
        <f aca="false">IF(AND(ISNUMBER(AU52),ISNUMBER(AP52)),IFERROR(AU52/AP52-1,""),"")</f>
        <v>0.0234162895927601</v>
      </c>
      <c r="AV53" s="36" t="n">
        <f aca="false">IF(AND(ISNUMBER(AV52),ISNUMBER(AQ52)),IFERROR(AV52/AQ52-1,""),"")</f>
        <v>0.0907459374796058</v>
      </c>
      <c r="AW53" s="36" t="n">
        <f aca="false">IF(AND(ISNUMBER(AW52),ISNUMBER(AR52)),IFERROR(AW52/AR52-1,""),"")</f>
        <v>-0.0226272732525983</v>
      </c>
      <c r="AX53" s="36" t="n">
        <f aca="false">IF(AND(ISNUMBER(AX52),ISNUMBER(AS52)),IFERROR(AX52/AS52-1,""),"")</f>
        <v>0.187087747351589</v>
      </c>
      <c r="AY53" s="36" t="n">
        <f aca="false">IF(AND(ISNUMBER(AY52),ISNUMBER(AT52)),IFERROR(AY52/AT52-1,""),"")</f>
        <v>0.387580453777282</v>
      </c>
      <c r="AZ53" s="36" t="n">
        <f aca="false">IF(AND(ISNUMBER(AZ52),ISNUMBER(AU52)),IFERROR(AZ52/AU52-1,""),"")</f>
        <v>0.413986220109797</v>
      </c>
      <c r="BA53" s="36" t="n">
        <f aca="false">IF(AND(ISNUMBER(BA52),ISNUMBER(AV52)),IFERROR(BA52/AV52-1,""),"")</f>
        <v>0.184431746791516</v>
      </c>
      <c r="BB53" s="36" t="n">
        <f aca="false">IF(AND(ISNUMBER(BB52),ISNUMBER(AW52)),IFERROR(BB52/AW52-1,""),"")</f>
        <v>0.285465725193419</v>
      </c>
      <c r="BC53" s="36" t="n">
        <f aca="false">IF(AND(ISNUMBER(BC52),ISNUMBER(AX52)),IFERROR(BC52/AX52-1,""),"")</f>
        <v>0.282286580232362</v>
      </c>
      <c r="BD53" s="36" t="n">
        <f aca="false">IF(AND(ISNUMBER(BD52),ISNUMBER(AY52)),IFERROR(BD52/AY52-1,""),"")</f>
        <v>0.20005182689816</v>
      </c>
      <c r="BE53" s="36" t="n">
        <f aca="false">IF(AND(ISNUMBER(BE52),ISNUMBER(AZ52)),IFERROR(BE52/AZ52-1,""),"")</f>
        <v>0.24043046616463</v>
      </c>
      <c r="BF53" s="36" t="n">
        <f aca="false">IF(AND(ISNUMBER(BF52),ISNUMBER(BA52)),IFERROR(BF52/BA52-1,""),"")</f>
        <v>0.234213982622752</v>
      </c>
      <c r="BG53" s="36" t="n">
        <f aca="false">IF(AND(ISNUMBER(BG52),ISNUMBER(BB52)),IFERROR(BG52/BB52-1,""),"")</f>
        <v>0.238360250732618</v>
      </c>
      <c r="BH53" s="36" t="n">
        <f aca="false">IF(AND(ISNUMBER(BH52),ISNUMBER(BC52)),IFERROR(BH52/BC52-1,""),"")</f>
        <v>-0.163723108572429</v>
      </c>
      <c r="BI53" s="36" t="n">
        <f aca="false">IF(AND(ISNUMBER(BI52),ISNUMBER(BD52)),IFERROR(BI52/BD52-1,""),"")</f>
        <v>-0.147937810408119</v>
      </c>
      <c r="BJ53" s="36" t="n">
        <f aca="false">IF(AND(ISNUMBER(BJ52),ISNUMBER(BE52)),IFERROR(BJ52/BE52-1,""),"")</f>
        <v>-0.0550373918158138</v>
      </c>
      <c r="BK53" s="36" t="n">
        <f aca="false">IF(AND(ISNUMBER(BK52),ISNUMBER(BF52)),IFERROR(BK52/BF52-1,""),"")</f>
        <v>0.00411337358027208</v>
      </c>
      <c r="BL53" s="36" t="n">
        <f aca="false">IF(AND(ISNUMBER(BL52),ISNUMBER(BG52)),IFERROR(BL52/BG52-1,""),"")</f>
        <v>-0.0888730892285816</v>
      </c>
      <c r="BM53" s="36" t="n">
        <f aca="false">IF(AND(ISNUMBER(BM52),ISNUMBER(BH52)),IFERROR(BM52/BH52-1,""),"")</f>
        <v>0.296477546320527</v>
      </c>
      <c r="BN53" s="36" t="n">
        <f aca="false">IF(AND(ISNUMBER(BN52),ISNUMBER(BI52)),IFERROR(BN52/BI52-1,""),"")</f>
        <v>0.244228186218606</v>
      </c>
      <c r="BO53" s="36" t="n">
        <f aca="false">IF(AND(ISNUMBER(BO52),ISNUMBER(BJ52)),IFERROR(BO52/BJ52-1,""),"")</f>
        <v>0.0523964076115953</v>
      </c>
      <c r="BP53" s="36" t="n">
        <f aca="false">IF(AND(ISNUMBER(BP52),ISNUMBER(BK52)),IFERROR(BP52/BK52-1,""),"")</f>
        <v>-0.0643622875310806</v>
      </c>
      <c r="BQ53" s="36" t="n">
        <f aca="false">IF(AND(ISNUMBER(BQ52),ISNUMBER(BL52)),IFERROR(BQ52/BL52-1,""),"")</f>
        <v>0.117434676015164</v>
      </c>
      <c r="BR53" s="36" t="n">
        <f aca="false">IF(AND(ISNUMBER(BR52),ISNUMBER(BM52)),IFERROR(BR52/BM52-1,""),"")</f>
        <v>-0.0603944207827859</v>
      </c>
      <c r="BS53" s="36" t="n">
        <f aca="false">IF(AND(ISNUMBER(BS52),ISNUMBER(BN52)),IFERROR(BS52/BN52-1,""),"")</f>
        <v>-0.105140948346097</v>
      </c>
      <c r="BT53" s="36" t="n">
        <f aca="false">IF(AND(ISNUMBER(BT52),ISNUMBER(BO52)),IFERROR(BT52/BO52-1,""),"")</f>
        <v>-0.0983291438710632</v>
      </c>
      <c r="BU53" s="36" t="n">
        <f aca="false">IF(AND(ISNUMBER(BU52),ISNUMBER(BP52)),IFERROR(BU52/BP52-1,""),"")</f>
        <v>-0.0787008800209114</v>
      </c>
      <c r="BV53" s="36" t="n">
        <f aca="false">IF(AND(ISNUMBER(BV52),ISNUMBER(BQ52)),IFERROR(BV52/BQ52-1,""),"")</f>
        <v>-0.0855816183482987</v>
      </c>
      <c r="BW53" s="36" t="n">
        <f aca="false">IF(AND(ISNUMBER(BW52),ISNUMBER(BR52)),IFERROR(BW52/BR52-1,""),"")</f>
        <v>0.0600872199187952</v>
      </c>
      <c r="BX53" s="36" t="n">
        <f aca="false">IF(AND(ISNUMBER(BX52),ISNUMBER(BS52)),IFERROR(BX52/BS52-1,""),"")</f>
        <v>0.429553421040652</v>
      </c>
      <c r="BY53" s="37" t="n">
        <f aca="false">IFERROR(BY52/BT52-1,"")</f>
        <v>0.416891407468504</v>
      </c>
      <c r="BZ53" s="37" t="n">
        <f aca="false">IFERROR(BZ52/BU52-1,"")</f>
        <v>0.416891407468504</v>
      </c>
      <c r="CA53" s="37" t="n">
        <f aca="false">IFERROR(CA52/BV52-1,"")</f>
        <v>0.325397365275588</v>
      </c>
      <c r="CB53" s="42" t="n">
        <v>0.03</v>
      </c>
      <c r="CC53" s="42" t="n">
        <v>0.03</v>
      </c>
      <c r="CD53" s="42" t="n">
        <v>0.03</v>
      </c>
      <c r="CE53" s="42" t="n">
        <v>0.03</v>
      </c>
      <c r="CF53" s="21" t="s">
        <v>189</v>
      </c>
      <c r="CH53" s="41" t="n">
        <f aca="false">IFERROR(AVERAGE(CA53,CB53,CC53,CD53,CE53),"n/m")</f>
        <v>0.0890794730551175</v>
      </c>
      <c r="CI53" s="41" t="n">
        <f aca="false">IFERROR(AVERAGE(BB53,BG53,BL53,BQ53,BV53),"n/m")</f>
        <v>0.093361188872864</v>
      </c>
      <c r="CJ53" s="41" t="n">
        <f aca="false">IFERROR(AVERAGE(AC53,AH53,AM53,AR53,AW53,BB53,BG53,BL53,BQ53,BV53),"n/m")</f>
        <v>0.124684762320862</v>
      </c>
      <c r="CK53" s="41" t="n">
        <f aca="false">IFERROR(AVERAGE(C53,D53,E53,F53,G53,H53,I53,N53,S53,X53,AC53,AH53,AM53,AR53,AW53,BB53,BG53,BL53,BQ53,BV53),"n/m")</f>
        <v>0.123071308707666</v>
      </c>
    </row>
    <row r="54" customFormat="false" ht="15" hidden="true" customHeight="true" outlineLevel="1" collapsed="true">
      <c r="B54" s="24" t="s">
        <v>183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8" t="n">
        <f aca="false">IFERROR(BX52/BS52-1,"")</f>
        <v>0.429553421040652</v>
      </c>
      <c r="BY54" s="39"/>
      <c r="BZ54" s="39"/>
      <c r="CA54" s="39"/>
      <c r="CB54" s="39"/>
      <c r="CC54" s="39"/>
      <c r="CD54" s="39"/>
      <c r="CE54" s="39"/>
      <c r="CF54" s="21"/>
    </row>
    <row r="55" customFormat="false" ht="15" hidden="true" customHeight="true" outlineLevel="1" collapsed="false">
      <c r="B55" s="24" t="s">
        <v>190</v>
      </c>
      <c r="C55" s="27" t="n">
        <v>77.202</v>
      </c>
      <c r="D55" s="27" t="n">
        <v>95.212</v>
      </c>
      <c r="E55" s="27" t="n">
        <v>89.594</v>
      </c>
      <c r="F55" s="27" t="n">
        <v>68.845</v>
      </c>
      <c r="G55" s="27" t="n">
        <v>103.974</v>
      </c>
      <c r="H55" s="27" t="n">
        <v>144.583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8"/>
      <c r="BZ55" s="28"/>
      <c r="CA55" s="28"/>
      <c r="CB55" s="28"/>
      <c r="CC55" s="28"/>
      <c r="CD55" s="28"/>
      <c r="CE55" s="28"/>
      <c r="CF55" s="21" t="s">
        <v>191</v>
      </c>
    </row>
    <row r="56" customFormat="false" ht="15" hidden="true" customHeight="true" outlineLevel="1" collapsed="false"/>
    <row r="57" customFormat="false" ht="15" hidden="true" customHeight="true" outlineLevel="1" collapsed="false">
      <c r="B57" s="16" t="s">
        <v>192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7"/>
    </row>
    <row r="58" customFormat="false" ht="15" hidden="true" customHeight="true" outlineLevel="1" collapsed="false">
      <c r="B58" s="29" t="s">
        <v>193</v>
      </c>
      <c r="C58" s="27" t="n">
        <v>-114.8</v>
      </c>
      <c r="D58" s="27" t="n">
        <v>-129.3</v>
      </c>
      <c r="E58" s="27" t="n">
        <v>-136.515</v>
      </c>
      <c r="F58" s="27" t="n">
        <v>-171.717</v>
      </c>
      <c r="G58" s="27" t="n">
        <v>-193.785</v>
      </c>
      <c r="H58" s="27" t="n">
        <v>-218.612</v>
      </c>
      <c r="I58" s="27" t="n">
        <v>-232.759</v>
      </c>
      <c r="J58" s="27" t="n">
        <v>-56.867</v>
      </c>
      <c r="K58" s="27" t="n">
        <v>-66.739</v>
      </c>
      <c r="L58" s="27" t="n">
        <v>-65.704</v>
      </c>
      <c r="M58" s="27" t="n">
        <v>-60.519</v>
      </c>
      <c r="N58" s="27" t="n">
        <v>-249.83</v>
      </c>
      <c r="O58" s="27" t="n">
        <v>-58.95</v>
      </c>
      <c r="P58" s="27" t="n">
        <v>-66.435</v>
      </c>
      <c r="Q58" s="27" t="n">
        <v>-68.157</v>
      </c>
      <c r="R58" s="27" t="n">
        <v>-65.81</v>
      </c>
      <c r="S58" s="27" t="n">
        <v>-259.352</v>
      </c>
      <c r="T58" s="27" t="n">
        <v>-61.464</v>
      </c>
      <c r="U58" s="27" t="n">
        <v>-69.459</v>
      </c>
      <c r="V58" s="27" t="n">
        <v>-71.246</v>
      </c>
      <c r="W58" s="27" t="n">
        <v>-71.735</v>
      </c>
      <c r="X58" s="27" t="n">
        <v>-273.903</v>
      </c>
      <c r="Y58" s="27" t="n">
        <v>-70.36</v>
      </c>
      <c r="Z58" s="27" t="n">
        <v>-103.367</v>
      </c>
      <c r="AA58" s="27" t="n">
        <v>-153.323</v>
      </c>
      <c r="AB58" s="27" t="n">
        <v>-143.415</v>
      </c>
      <c r="AC58" s="27" t="n">
        <v>-470.465</v>
      </c>
      <c r="AD58" s="27" t="n">
        <v>-151.58</v>
      </c>
      <c r="AE58" s="27" t="n">
        <v>-166.906</v>
      </c>
      <c r="AF58" s="27" t="n">
        <v>-165.512</v>
      </c>
      <c r="AG58" s="27" t="n">
        <v>-156.888</v>
      </c>
      <c r="AH58" s="27" t="n">
        <v>-640.886</v>
      </c>
      <c r="AI58" s="27" t="n">
        <v>-156.292</v>
      </c>
      <c r="AJ58" s="27" t="n">
        <v>-177.978</v>
      </c>
      <c r="AK58" s="27" t="n">
        <v>-190.176</v>
      </c>
      <c r="AL58" s="27" t="n">
        <v>-185.442</v>
      </c>
      <c r="AM58" s="27" t="n">
        <v>-709.888</v>
      </c>
      <c r="AN58" s="27" t="n">
        <v>-171.979</v>
      </c>
      <c r="AO58" s="27" t="n">
        <v>-205.789</v>
      </c>
      <c r="AP58" s="27" t="n">
        <v>-210.1</v>
      </c>
      <c r="AQ58" s="27" t="n">
        <v>-200.125</v>
      </c>
      <c r="AR58" s="27" t="n">
        <v>-787.994</v>
      </c>
      <c r="AS58" s="27" t="n">
        <v>-197.091</v>
      </c>
      <c r="AT58" s="27" t="n">
        <v>-200.174</v>
      </c>
      <c r="AU58" s="27" t="n">
        <v>-210.386</v>
      </c>
      <c r="AV58" s="27" t="n">
        <v>-206.746</v>
      </c>
      <c r="AW58" s="27" t="n">
        <v>-814.397</v>
      </c>
      <c r="AX58" s="27" t="n">
        <v>-197.883</v>
      </c>
      <c r="AY58" s="27" t="n">
        <v>-223.381</v>
      </c>
      <c r="AZ58" s="27" t="n">
        <v>-226.68</v>
      </c>
      <c r="BA58" s="27" t="n">
        <v>-230.71</v>
      </c>
      <c r="BB58" s="27" t="n">
        <v>-878.654</v>
      </c>
      <c r="BC58" s="27" t="n">
        <v>-223.261</v>
      </c>
      <c r="BD58" s="27" t="n">
        <v>-250.13</v>
      </c>
      <c r="BE58" s="27" t="n">
        <v>-258.368</v>
      </c>
      <c r="BF58" s="27" t="n">
        <v>-266.309</v>
      </c>
      <c r="BG58" s="27" t="n">
        <v>-998.069</v>
      </c>
      <c r="BH58" s="27" t="n">
        <v>-272.37</v>
      </c>
      <c r="BI58" s="27" t="n">
        <v>-289.96</v>
      </c>
      <c r="BJ58" s="27" t="n">
        <v>-294.698</v>
      </c>
      <c r="BK58" s="27" t="n">
        <v>-288.753</v>
      </c>
      <c r="BL58" s="27" t="n">
        <v>-1145.781</v>
      </c>
      <c r="BM58" s="27" t="n">
        <v>-293.741</v>
      </c>
      <c r="BN58" s="27" t="n">
        <v>-327.031</v>
      </c>
      <c r="BO58" s="27" t="n">
        <v>-332.039</v>
      </c>
      <c r="BP58" s="27" t="n">
        <v>-322.587</v>
      </c>
      <c r="BQ58" s="27" t="n">
        <v>-1275.398</v>
      </c>
      <c r="BR58" s="27" t="n">
        <v>-309.713</v>
      </c>
      <c r="BS58" s="27" t="n">
        <v>-358.959</v>
      </c>
      <c r="BT58" s="27" t="n">
        <v>-366.119</v>
      </c>
      <c r="BU58" s="27" t="n">
        <v>-354.213</v>
      </c>
      <c r="BV58" s="27" t="n">
        <v>-1389.004</v>
      </c>
      <c r="BW58" s="27" t="n">
        <v>-344.188</v>
      </c>
      <c r="BX58" s="27" t="n">
        <v>-395.069</v>
      </c>
      <c r="BY58" s="47" t="n">
        <f aca="false">-(N(BY11)+N(BY15)+N(BY18)+N(BY47)+N(BY52))*BY59</f>
        <v>-386.729385188572</v>
      </c>
      <c r="BZ58" s="47" t="n">
        <f aca="false">-(N(BZ11)+N(BZ15)+N(BZ18)+N(BZ47)+N(BZ52))*BZ59</f>
        <v>-374.016150119978</v>
      </c>
      <c r="CA58" s="47" t="n">
        <f aca="false">SUM(BW58,BX58,BY58,BZ58)</f>
        <v>-1500.00253530855</v>
      </c>
      <c r="CB58" s="47" t="n">
        <f aca="false">-(N(CB11)+N(CB15)+N(CB18)+N(CB47)+N(CB52))*CB59</f>
        <v>-1565.24213239773</v>
      </c>
      <c r="CC58" s="47" t="n">
        <f aca="false">-(N(CC11)+N(CC15)+N(CC18)+N(CC47)+N(CC52))*CC59</f>
        <v>-1635.77637919292</v>
      </c>
      <c r="CD58" s="47" t="n">
        <f aca="false">-(N(CD11)+N(CD15)+N(CD18)+N(CD47)+N(CD52))*CD59</f>
        <v>-1712.02348678167</v>
      </c>
      <c r="CE58" s="47" t="n">
        <f aca="false">-(N(CE11)+N(CE15)+N(CE18)+N(CE47)+N(CE52))*CE59</f>
        <v>-1787.95122503353</v>
      </c>
      <c r="CF58" s="21" t="s">
        <v>194</v>
      </c>
      <c r="CH58" s="22" t="n">
        <f aca="false">IFERROR((CE58/BV58)^(1/5)-1,"n/m")</f>
        <v>0.0517933827077857</v>
      </c>
      <c r="CI58" s="22" t="n">
        <f aca="false">IFERROR((BV58/AW58)^(1/5)-1,"n/m")</f>
        <v>0.112688158601959</v>
      </c>
      <c r="CJ58" s="22" t="n">
        <f aca="false">IFERROR((BV58/X58)^(1/10)-1,"n/m")</f>
        <v>0.176279885861401</v>
      </c>
      <c r="CK58" s="22" t="n">
        <f aca="false">IFERROR((BV58/C58)^(1/19)-1,"n/m")</f>
        <v>0.140216845795873</v>
      </c>
    </row>
    <row r="59" customFormat="false" ht="15" hidden="true" customHeight="true" outlineLevel="1" collapsed="false">
      <c r="B59" s="29" t="s">
        <v>195</v>
      </c>
      <c r="C59" s="38" t="n">
        <f aca="false">IFERROR(-C58/(N(C11)+N(C15)+N(C18)+N(C55)+N(C47)+N(C52)),"")</f>
        <v>0.122237673480601</v>
      </c>
      <c r="D59" s="38" t="n">
        <f aca="false">IFERROR(-D58/(N(D11)+N(D15)+N(D18)+N(D55)+N(D47)+N(D52)),"")</f>
        <v>0.118859281825193</v>
      </c>
      <c r="E59" s="38" t="n">
        <f aca="false">IFERROR(-E58/(N(E11)+N(E15)+N(E18)+N(E55)+N(E47)+N(E52)),"")</f>
        <v>0.115093945121818</v>
      </c>
      <c r="F59" s="38" t="n">
        <f aca="false">IFERROR(-F58/(N(F11)+N(F15)+N(F18)+N(F55)+N(F47)+N(F52)),"")</f>
        <v>0.125974426128486</v>
      </c>
      <c r="G59" s="38" t="n">
        <f aca="false">IFERROR(-G58/(N(G11)+N(G15)+N(G18)+N(G55)+N(G47)+N(G52)),"")</f>
        <v>0.128034108072323</v>
      </c>
      <c r="H59" s="38" t="n">
        <f aca="false">IFERROR(-H58/(N(H11)+N(H15)+N(H18)+N(H55)+N(H47)+N(H52)),"")</f>
        <v>0.126806722591588</v>
      </c>
      <c r="I59" s="38" t="n">
        <f aca="false">IFERROR(-I58/(N(I11)+N(I15)+N(I18)+N(I55)+N(I47)+N(I52)),"")</f>
        <v>0.122868362527628</v>
      </c>
      <c r="J59" s="38" t="n">
        <f aca="false">IFERROR(-J58/(N(J11)+N(J15)+N(J18)+N(J55)+N(J47)+N(J52)),"")</f>
        <v>0.112217049919192</v>
      </c>
      <c r="K59" s="38" t="n">
        <f aca="false">IFERROR(-K58/(N(K11)+N(K15)+N(K18)+N(K55)+N(K47)+N(K52)),"")</f>
        <v>0.120008271596058</v>
      </c>
      <c r="L59" s="38" t="n">
        <f aca="false">IFERROR(-L58/(N(L11)+N(L15)+N(L18)+N(L55)+N(L47)+N(L52)),"")</f>
        <v>0.115401773952753</v>
      </c>
      <c r="M59" s="38" t="n">
        <f aca="false">IFERROR(-M58/(N(M11)+N(M15)+N(M18)+N(M55)+N(M47)+N(M52)),"")</f>
        <v>0.110760327674434</v>
      </c>
      <c r="N59" s="38" t="n">
        <f aca="false">IFERROR(-N58/(N(N11)+N(N15)+N(N18)+N(N55)+N(N47)+N(N52)),"")</f>
        <v>0.114673245739859</v>
      </c>
      <c r="O59" s="38" t="n">
        <f aca="false">IFERROR(-O58/(N(O11)+N(O15)+N(O18)+N(O55)+N(O47)+N(O52)),"")</f>
        <v>0.1090334036178</v>
      </c>
      <c r="P59" s="38" t="n">
        <f aca="false">IFERROR(-P58/(N(P11)+N(P15)+N(P18)+N(P55)+N(P47)+N(P52)),"")</f>
        <v>0.112386826541798</v>
      </c>
      <c r="Q59" s="38" t="n">
        <f aca="false">IFERROR(-Q58/(N(Q11)+N(Q15)+N(Q18)+N(Q55)+N(Q47)+N(Q52)),"")</f>
        <v>0.110877034299212</v>
      </c>
      <c r="R59" s="38" t="n">
        <f aca="false">IFERROR(-R58/(N(R11)+N(R15)+N(R18)+N(R55)+N(R47)+N(R52)),"")</f>
        <v>0.111161221776857</v>
      </c>
      <c r="S59" s="38" t="n">
        <f aca="false">IFERROR(-S58/(N(S11)+N(S15)+N(S18)+N(S55)+N(S47)+N(S52)),"")</f>
        <v>0.110904427504941</v>
      </c>
      <c r="T59" s="38" t="n">
        <f aca="false">IFERROR(-T58/(N(T11)+N(T15)+N(T18)+N(T55)+N(T47)+N(T52)),"")</f>
        <v>0.10829439499334</v>
      </c>
      <c r="U59" s="38" t="n">
        <f aca="false">IFERROR(-U58/(N(U11)+N(U15)+N(U18)+N(U55)+N(U47)+N(U52)),"")</f>
        <v>0.115616432883744</v>
      </c>
      <c r="V59" s="38" t="n">
        <f aca="false">IFERROR(-V58/(N(V11)+N(V15)+N(V18)+N(V55)+N(V47)+N(V52)),"")</f>
        <v>0.115064342747875</v>
      </c>
      <c r="W59" s="38" t="n">
        <f aca="false">IFERROR(-W58/(N(W11)+N(W15)+N(W18)+N(W55)+N(W47)+N(W52)),"")</f>
        <v>0.118831087080401</v>
      </c>
      <c r="X59" s="38" t="n">
        <f aca="false">IFERROR(-X58/(N(X11)+N(X15)+N(X18)+N(X55)+N(X47)+N(X52)),"")</f>
        <v>0.11454673196191</v>
      </c>
      <c r="Y59" s="38" t="n">
        <f aca="false">IFERROR(-Y58/(N(Y11)+N(Y15)+N(Y18)+N(Y55)+N(Y47)+N(Y52)),"")</f>
        <v>0.120265281006427</v>
      </c>
      <c r="Z59" s="38" t="n">
        <f aca="false">IFERROR(-Z58/(N(Z11)+N(Z15)+N(Z18)+N(Z55)+N(Z47)+N(Z52)),"")</f>
        <v>0.124387790220528</v>
      </c>
      <c r="AA59" s="38" t="n">
        <f aca="false">IFERROR(-AA58/(N(AA11)+N(AA15)+N(AA18)+N(AA55)+N(AA47)+N(AA52)),"")</f>
        <v>0.123822829892307</v>
      </c>
      <c r="AB59" s="38" t="n">
        <f aca="false">IFERROR(-AB58/(N(AB11)+N(AB15)+N(AB18)+N(AB55)+N(AB47)+N(AB52)),"")</f>
        <v>0.120310862833956</v>
      </c>
      <c r="AC59" s="38" t="n">
        <f aca="false">IFERROR(-AC58/(N(AC11)+N(AC15)+N(AC18)+N(AC55)+N(AC47)+N(AC52)),"")</f>
        <v>0.122315361560429</v>
      </c>
      <c r="AD59" s="38" t="n">
        <f aca="false">IFERROR(-AD58/(N(AD11)+N(AD15)+N(AD18)+N(AD55)+N(AD47)+N(AD52)),"")</f>
        <v>0.12196201299276</v>
      </c>
      <c r="AE59" s="38" t="n">
        <f aca="false">IFERROR(-AE58/(N(AE11)+N(AE15)+N(AE18)+N(AE55)+N(AE47)+N(AE52)),"")</f>
        <v>0.124327082441014</v>
      </c>
      <c r="AF59" s="38" t="n">
        <f aca="false">IFERROR(-AF58/(N(AF11)+N(AF15)+N(AF18)+N(AF55)+N(AF47)+N(AF52)),"")</f>
        <v>0.12063644778752</v>
      </c>
      <c r="AG59" s="38" t="n">
        <f aca="false">IFERROR(-AG58/(N(AG11)+N(AG15)+N(AG18)+N(AG55)+N(AG47)+N(AG52)),"")</f>
        <v>0.119391536022246</v>
      </c>
      <c r="AH59" s="38" t="n">
        <f aca="false">IFERROR(-AH58/(N(AH11)+N(AH15)+N(AH18)+N(AH55)+N(AH47)+N(AH52)),"")</f>
        <v>0.121578548590937</v>
      </c>
      <c r="AI59" s="38" t="n">
        <f aca="false">IFERROR(-AI58/(N(AI11)+N(AI15)+N(AI18)+N(AI55)+N(AI47)+N(AI52)),"")</f>
        <v>0.120556330765499</v>
      </c>
      <c r="AJ59" s="38" t="n">
        <f aca="false">IFERROR(-AJ58/(N(AJ11)+N(AJ15)+N(AJ18)+N(AJ55)+N(AJ47)+N(AJ52)),"")</f>
        <v>0.125518179112604</v>
      </c>
      <c r="AK59" s="38" t="n">
        <f aca="false">IFERROR(-AK58/(N(AK11)+N(AK15)+N(AK18)+N(AK55)+N(AK47)+N(AK52)),"")</f>
        <v>0.12925834949833</v>
      </c>
      <c r="AL59" s="38" t="n">
        <f aca="false">IFERROR(-AL58/(N(AL11)+N(AL15)+N(AL18)+N(AL55)+N(AL47)+N(AL52)),"")</f>
        <v>0.128140776437388</v>
      </c>
      <c r="AM59" s="38" t="n">
        <f aca="false">IFERROR(-AM58/(N(AM11)+N(AM15)+N(AM18)+N(AM55)+N(AM47)+N(AM52)),"")</f>
        <v>0.126026904065435</v>
      </c>
      <c r="AN59" s="38" t="n">
        <f aca="false">IFERROR(-AN58/(N(AN11)+N(AN15)+N(AN18)+N(AN55)+N(AN47)+N(AN52)),"")</f>
        <v>0.121401283057653</v>
      </c>
      <c r="AO59" s="38" t="n">
        <f aca="false">IFERROR(-AO58/(N(AO11)+N(AO15)+N(AO18)+N(AO55)+N(AO47)+N(AO52)),"")</f>
        <v>0.130624185935504</v>
      </c>
      <c r="AP59" s="38" t="n">
        <f aca="false">IFERROR(-AP58/(N(AP11)+N(AP15)+N(AP18)+N(AP55)+N(AP47)+N(AP52)),"")</f>
        <v>0.129488013884369</v>
      </c>
      <c r="AQ59" s="38" t="n">
        <f aca="false">IFERROR(-AQ58/(N(AQ11)+N(AQ15)+N(AQ18)+N(AQ55)+N(AQ47)+N(AQ52)),"")</f>
        <v>0.128114027085594</v>
      </c>
      <c r="AR59" s="38" t="n">
        <f aca="false">IFERROR(-AR58/(N(AR11)+N(AR15)+N(AR18)+N(AR55)+N(AR47)+N(AR52)),"")</f>
        <v>0.12757580011116</v>
      </c>
      <c r="AS59" s="38" t="n">
        <f aca="false">IFERROR(-AS58/(N(AS11)+N(AS15)+N(AS18)+N(AS55)+N(AS47)+N(AS52)),"")</f>
        <v>0.127196925449905</v>
      </c>
      <c r="AT59" s="38" t="n">
        <f aca="false">IFERROR(-AT58/(N(AT11)+N(AT15)+N(AT18)+N(AT55)+N(AT47)+N(AT52)),"")</f>
        <v>0.132921546180632</v>
      </c>
      <c r="AU59" s="38" t="n">
        <f aca="false">IFERROR(-AU58/(N(AU11)+N(AU15)+N(AU18)+N(AU55)+N(AU47)+N(AU52)),"")</f>
        <v>0.131496345483387</v>
      </c>
      <c r="AV59" s="38" t="n">
        <f aca="false">IFERROR(-AV58/(N(AV11)+N(AV15)+N(AV18)+N(AV55)+N(AV47)+N(AV52)),"")</f>
        <v>0.128813947938844</v>
      </c>
      <c r="AW59" s="38" t="n">
        <f aca="false">IFERROR(-AW58/(N(AW11)+N(AW15)+N(AW18)+N(AW55)+N(AW47)+N(AW52)),"")</f>
        <v>0.130087325272383</v>
      </c>
      <c r="AX59" s="38" t="n">
        <f aca="false">IFERROR(-AX58/(N(AX11)+N(AX15)+N(AX18)+N(AX55)+N(AX47)+N(AX52)),"")</f>
        <v>0.124156039715778</v>
      </c>
      <c r="AY59" s="38" t="n">
        <f aca="false">IFERROR(-AY58/(N(AY11)+N(AY15)+N(AY18)+N(AY55)+N(AY47)+N(AY52)),"")</f>
        <v>0.127115162247797</v>
      </c>
      <c r="AZ59" s="38" t="n">
        <f aca="false">IFERROR(-AZ58/(N(AZ11)+N(AZ15)+N(AZ18)+N(AZ55)+N(AZ47)+N(AZ52)),"")</f>
        <v>0.124286673012225</v>
      </c>
      <c r="BA59" s="38" t="n">
        <f aca="false">IFERROR(-BA58/(N(BA11)+N(BA15)+N(BA18)+N(BA55)+N(BA47)+N(BA52)),"")</f>
        <v>0.124370023325781</v>
      </c>
      <c r="BB59" s="38" t="n">
        <f aca="false">IFERROR(-BB58/(N(BB11)+N(BB15)+N(BB18)+N(BB55)+N(BB47)+N(BB52)),"")</f>
        <v>0.1249860775546</v>
      </c>
      <c r="BC59" s="38" t="n">
        <f aca="false">IFERROR(-BC58/(N(BC11)+N(BC15)+N(BC18)+N(BC55)+N(BC47)+N(BC52)),"")</f>
        <v>0.119421818267402</v>
      </c>
      <c r="BD59" s="38" t="n">
        <f aca="false">IFERROR(-BD58/(N(BD11)+N(BD15)+N(BD18)+N(BD55)+N(BD47)+N(BD52)),"")</f>
        <v>0.121036599381099</v>
      </c>
      <c r="BE59" s="38" t="n">
        <f aca="false">IFERROR(-BE58/(N(BE11)+N(BE15)+N(BE18)+N(BE55)+N(BE47)+N(BE52)),"")</f>
        <v>0.120832312242428</v>
      </c>
      <c r="BF59" s="38" t="n">
        <f aca="false">IFERROR(-BF58/(N(BF11)+N(BF15)+N(BF18)+N(BF55)+N(BF47)+N(BF52)),"")</f>
        <v>0.124699207861357</v>
      </c>
      <c r="BG59" s="38" t="n">
        <f aca="false">IFERROR(-BG58/(N(BG11)+N(BG15)+N(BG18)+N(BG55)+N(BG47)+N(BG52)),"")</f>
        <v>0.121568544815497</v>
      </c>
      <c r="BH59" s="38" t="n">
        <f aca="false">IFERROR(-BH58/(N(BH11)+N(BH15)+N(BH18)+N(BH55)+N(BH47)+N(BH52)),"")</f>
        <v>0.125350170028345</v>
      </c>
      <c r="BI59" s="38" t="n">
        <f aca="false">IFERROR(-BI58/(N(BI11)+N(BI15)+N(BI18)+N(BI55)+N(BI47)+N(BI52)),"")</f>
        <v>0.1254665077205</v>
      </c>
      <c r="BJ59" s="38" t="n">
        <f aca="false">IFERROR(-BJ58/(N(BJ11)+N(BJ15)+N(BJ18)+N(BJ55)+N(BJ47)+N(BJ52)),"")</f>
        <v>0.12490156570918</v>
      </c>
      <c r="BK59" s="38" t="n">
        <f aca="false">IFERROR(-BK58/(N(BK11)+N(BK15)+N(BK18)+N(BK55)+N(BK47)+N(BK52)),"")</f>
        <v>0.12422892819621</v>
      </c>
      <c r="BL59" s="38" t="n">
        <f aca="false">IFERROR(-BL58/(N(BL11)+N(BL15)+N(BL18)+N(BL55)+N(BL47)+N(BL52)),"")</f>
        <v>0.124979765987924</v>
      </c>
      <c r="BM59" s="38" t="n">
        <f aca="false">IFERROR(-BM58/(N(BM11)+N(BM15)+N(BM18)+N(BM55)+N(BM47)+N(BM52)),"")</f>
        <v>0.124130216692571</v>
      </c>
      <c r="BN59" s="38" t="n">
        <f aca="false">IFERROR(-BN58/(N(BN11)+N(BN15)+N(BN18)+N(BN55)+N(BN47)+N(BN52)),"")</f>
        <v>0.126992614545606</v>
      </c>
      <c r="BO59" s="38" t="n">
        <f aca="false">IFERROR(-BO58/(N(BO11)+N(BO15)+N(BO18)+N(BO55)+N(BO47)+N(BO52)),"")</f>
        <v>0.124334635073901</v>
      </c>
      <c r="BP59" s="38" t="n">
        <f aca="false">IFERROR(-BP58/(N(BP11)+N(BP15)+N(BP18)+N(BP55)+N(BP47)+N(BP52)),"")</f>
        <v>0.124894787581257</v>
      </c>
      <c r="BQ59" s="38" t="n">
        <f aca="false">IFERROR(-BQ58/(N(BQ11)+N(BQ15)+N(BQ18)+N(BQ55)+N(BQ47)+N(BQ52)),"")</f>
        <v>0.125100478283988</v>
      </c>
      <c r="BR59" s="38" t="n">
        <f aca="false">IFERROR(-BR58/(N(BR11)+N(BR15)+N(BR18)+N(BR55)+N(BR47)+N(BR52)),"")</f>
        <v>0.12203567610719</v>
      </c>
      <c r="BS59" s="38" t="n">
        <f aca="false">IFERROR(-BS58/(N(BS11)+N(BS15)+N(BS18)+N(BS55)+N(BS47)+N(BS52)),"")</f>
        <v>0.12977483121922</v>
      </c>
      <c r="BT59" s="38" t="n">
        <f aca="false">IFERROR(-BT58/(N(BT11)+N(BT15)+N(BT18)+N(BT55)+N(BT47)+N(BT52)),"")</f>
        <v>0.129622725745504</v>
      </c>
      <c r="BU59" s="38" t="n">
        <f aca="false">IFERROR(-BU58/(N(BU11)+N(BU15)+N(BU18)+N(BU55)+N(BU47)+N(BU52)),"")</f>
        <v>0.129866373066512</v>
      </c>
      <c r="BV59" s="38" t="n">
        <f aca="false">IFERROR(-BV58/(N(BV11)+N(BV15)+N(BV18)+N(BV55)+N(BV47)+N(BV52)),"")</f>
        <v>0.127949001830246</v>
      </c>
      <c r="BW59" s="38" t="n">
        <f aca="false">IFERROR(-BW58/(N(BW11)+N(BW15)+N(BW18)+N(BW55)+N(BW47)+N(BW52)),"")</f>
        <v>0.126781196094473</v>
      </c>
      <c r="BX59" s="38" t="n">
        <f aca="false">IFERROR(-BX58/(N(BX11)+N(BX15)+N(BX18)+N(BX55)+N(BX47)+N(BX52)),"")</f>
        <v>0.13361930762789</v>
      </c>
      <c r="BY59" s="37" t="n">
        <f aca="false">BT59</f>
        <v>0.129622725745504</v>
      </c>
      <c r="BZ59" s="37" t="n">
        <f aca="false">BU59</f>
        <v>0.129866373066512</v>
      </c>
      <c r="CA59" s="37" t="n">
        <f aca="false">IFERROR(-CA58/(CA11+CA15+CA18+CA47+CA52),"")</f>
        <v>0.130039202914525</v>
      </c>
      <c r="CB59" s="37" t="n">
        <f aca="false">CA59</f>
        <v>0.130039202914525</v>
      </c>
      <c r="CC59" s="37" t="n">
        <f aca="false">CB59</f>
        <v>0.130039202914525</v>
      </c>
      <c r="CD59" s="37" t="n">
        <f aca="false">CC59</f>
        <v>0.130039202914525</v>
      </c>
      <c r="CE59" s="37" t="n">
        <f aca="false">CD59</f>
        <v>0.130039202914525</v>
      </c>
      <c r="CF59" s="21" t="s">
        <v>196</v>
      </c>
      <c r="CH59" s="41" t="n">
        <f aca="false">IFERROR(AVERAGE(CA59,CB59,CC59,CD59,CE59),"n/m")</f>
        <v>0.130039202914525</v>
      </c>
      <c r="CI59" s="41" t="n">
        <f aca="false">IFERROR(AVERAGE(BB59,BG59,BL59,BQ59,BV59),"n/m")</f>
        <v>0.124916773694451</v>
      </c>
      <c r="CJ59" s="41" t="n">
        <f aca="false">IFERROR(AVERAGE(AC59,AH59,AM59,AR59,AW59,BB59,BG59,BL59,BQ59,BV59),"n/m")</f>
        <v>0.12521678080726</v>
      </c>
      <c r="CK59" s="41" t="n">
        <f aca="false">IFERROR(AVERAGE(C59,D59,E59,F59,G59,H59,I59,N59,S59,X59,AC59,AH59,AM59,AR59,AW59,BB59,BG59,BL59,BQ59,BV59),"n/m")</f>
        <v>0.122608336651347</v>
      </c>
    </row>
    <row r="60" customFormat="false" ht="15" hidden="true" customHeight="true" outlineLevel="1" collapsed="false"/>
    <row r="61" customFormat="false" ht="15" hidden="true" customHeight="true" outlineLevel="1" collapsed="false">
      <c r="B61" s="16" t="s">
        <v>197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7" t="s">
        <v>198</v>
      </c>
    </row>
    <row r="62" customFormat="false" ht="15" hidden="true" customHeight="true" outlineLevel="1" collapsed="false">
      <c r="B62" s="29" t="s">
        <v>199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8"/>
      <c r="BZ62" s="28"/>
      <c r="CA62" s="28"/>
      <c r="CB62" s="47" t="n">
        <f aca="false">MAX(0,CHOOSE(MATCH($CF$2,{"Bull","Base","Bear"},0),$CO$49,$CP$49,$CQ$49))</f>
        <v>1000</v>
      </c>
      <c r="CC62" s="47" t="n">
        <f aca="false">MAX(0,CHOOSE(MATCH($CF$2,{"Bull","Base","Bear"},0),$CO$50,$CP$50,$CQ$50))</f>
        <v>1000</v>
      </c>
      <c r="CD62" s="47" t="n">
        <f aca="false">MAX(0,CHOOSE(MATCH($CF$2,{"Bull","Base","Bear"},0),$CO$51,$CP$51,$CQ$51))</f>
        <v>1000</v>
      </c>
      <c r="CE62" s="47" t="n">
        <f aca="false">MAX(0,CHOOSE(MATCH($CF$2,{"Bull","Base","Bear"},0),$CO$52,$CP$52,$CQ$52))</f>
        <v>1000</v>
      </c>
      <c r="CF62" s="21" t="s">
        <v>200</v>
      </c>
    </row>
    <row r="63" customFormat="false" ht="15" hidden="true" customHeight="true" outlineLevel="1" collapsed="false">
      <c r="B63" s="29" t="s">
        <v>201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9"/>
      <c r="BZ63" s="49"/>
      <c r="CA63" s="49"/>
      <c r="CB63" s="50" t="n">
        <v>2.75</v>
      </c>
      <c r="CC63" s="50" t="n">
        <v>2.75</v>
      </c>
      <c r="CD63" s="50" t="n">
        <v>2.75</v>
      </c>
      <c r="CE63" s="50" t="n">
        <v>2.75</v>
      </c>
      <c r="CF63" s="21" t="s">
        <v>202</v>
      </c>
    </row>
    <row r="64" customFormat="false" ht="15" hidden="true" customHeight="true" outlineLevel="1" collapsed="false">
      <c r="B64" s="29" t="s">
        <v>203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8"/>
      <c r="BZ64" s="28"/>
      <c r="CA64" s="28"/>
      <c r="CB64" s="47" t="n">
        <f aca="false">IFERROR(CB62/CB63,0)</f>
        <v>363.636363636364</v>
      </c>
      <c r="CC64" s="47" t="n">
        <f aca="false">IFERROR(CC62/CC63,0)</f>
        <v>363.636363636364</v>
      </c>
      <c r="CD64" s="47" t="n">
        <f aca="false">IFERROR(CD62/CD63,0)</f>
        <v>363.636363636364</v>
      </c>
      <c r="CE64" s="47" t="n">
        <f aca="false">IFERROR(CE62/CE63,0)</f>
        <v>363.636363636364</v>
      </c>
      <c r="CF64" s="21"/>
    </row>
    <row r="65" customFormat="false" ht="15" hidden="true" customHeight="true" outlineLevel="1" collapsed="false">
      <c r="B65" s="29" t="s">
        <v>204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9"/>
      <c r="BZ65" s="39"/>
      <c r="CA65" s="39"/>
      <c r="CB65" s="42" t="n">
        <v>0.05</v>
      </c>
      <c r="CC65" s="42" t="n">
        <v>0.05</v>
      </c>
      <c r="CD65" s="42" t="n">
        <v>0.05</v>
      </c>
      <c r="CE65" s="42" t="n">
        <v>0.05</v>
      </c>
      <c r="CF65" s="21" t="s">
        <v>205</v>
      </c>
    </row>
    <row r="66" customFormat="false" ht="15" hidden="true" customHeight="true" outlineLevel="1" collapsed="false">
      <c r="B66" s="29" t="s">
        <v>206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8"/>
      <c r="BZ66" s="28"/>
      <c r="CA66" s="28"/>
      <c r="CB66" s="47" t="n">
        <f aca="false">N(CA66)*(1+CB65)+CB64</f>
        <v>363.636363636364</v>
      </c>
      <c r="CC66" s="47" t="n">
        <f aca="false">N(CB66)*(1+CC65)+CC64</f>
        <v>745.454545454546</v>
      </c>
      <c r="CD66" s="47" t="n">
        <f aca="false">N(CC66)*(1+CD65)+CD64</f>
        <v>1146.36363636364</v>
      </c>
      <c r="CE66" s="47" t="n">
        <f aca="false">N(CD66)*(1+CE65)+CE64</f>
        <v>1567.31818181818</v>
      </c>
      <c r="CF66" s="21"/>
    </row>
    <row r="67" customFormat="false" ht="15" hidden="true" customHeight="true" outlineLevel="2" collapsed="false">
      <c r="B67" s="18" t="s">
        <v>207</v>
      </c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51"/>
      <c r="BZ67" s="51"/>
      <c r="CA67" s="51"/>
      <c r="CB67" s="20" t="n">
        <f aca="false">N(CA66)*(1+CB65)+0.5*CB64</f>
        <v>181.818181818182</v>
      </c>
      <c r="CC67" s="20" t="n">
        <f aca="false">N(CB66)*(1+CC65)+0.5*CC64</f>
        <v>563.636363636364</v>
      </c>
      <c r="CD67" s="20" t="n">
        <f aca="false">N(CC66)*(1+CD65)+0.5*CD64</f>
        <v>964.545454545455</v>
      </c>
      <c r="CE67" s="20" t="n">
        <f aca="false">N(CD66)*(1+CE65)+0.5*CE64</f>
        <v>1385.5</v>
      </c>
      <c r="CF67" s="21"/>
    </row>
    <row r="68" customFormat="false" ht="15" hidden="true" customHeight="true" outlineLevel="2" collapsed="false">
      <c r="B68" s="29" t="s">
        <v>208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9"/>
      <c r="BZ68" s="39"/>
      <c r="CA68" s="39"/>
      <c r="CB68" s="42" t="n">
        <v>0.3</v>
      </c>
      <c r="CC68" s="42" t="n">
        <v>0.3</v>
      </c>
      <c r="CD68" s="42" t="n">
        <v>0.3</v>
      </c>
      <c r="CE68" s="42" t="n">
        <v>0.3</v>
      </c>
      <c r="CF68" s="21" t="s">
        <v>209</v>
      </c>
    </row>
    <row r="69" customFormat="false" ht="15" hidden="true" customHeight="true" outlineLevel="2" collapsed="false">
      <c r="B69" s="29" t="s">
        <v>210</v>
      </c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8"/>
      <c r="BZ69" s="28"/>
      <c r="CA69" s="28"/>
      <c r="CB69" s="47" t="n">
        <f aca="false">CB67*CB68</f>
        <v>54.5454545454545</v>
      </c>
      <c r="CC69" s="47" t="n">
        <f aca="false">CC67*CC68</f>
        <v>169.090909090909</v>
      </c>
      <c r="CD69" s="47" t="n">
        <f aca="false">CD67*CD68</f>
        <v>289.363636363636</v>
      </c>
      <c r="CE69" s="47" t="n">
        <f aca="false">CE67*CE68</f>
        <v>415.65</v>
      </c>
      <c r="CF69" s="21"/>
    </row>
    <row r="70" customFormat="false" ht="15" hidden="true" customHeight="true" outlineLevel="2" collapsed="false">
      <c r="B70" s="29" t="s">
        <v>211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8"/>
      <c r="BZ70" s="28"/>
      <c r="CA70" s="28"/>
      <c r="CB70" s="47" t="n">
        <f aca="false">CB67-CB69</f>
        <v>127.272727272727</v>
      </c>
      <c r="CC70" s="47" t="n">
        <f aca="false">CC67-CC69</f>
        <v>394.545454545455</v>
      </c>
      <c r="CD70" s="47" t="n">
        <f aca="false">CD67-CD69</f>
        <v>675.181818181818</v>
      </c>
      <c r="CE70" s="47" t="n">
        <f aca="false">CE67-CE69</f>
        <v>969.85</v>
      </c>
      <c r="CF70" s="21"/>
    </row>
    <row r="71" customFormat="false" ht="15" hidden="true" customHeight="true" outlineLevel="2" collapsed="false">
      <c r="B71" s="29" t="s">
        <v>212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9"/>
      <c r="BZ71" s="39"/>
      <c r="CA71" s="39"/>
      <c r="CB71" s="42" t="n">
        <v>0.09</v>
      </c>
      <c r="CC71" s="42" t="n">
        <v>0.09</v>
      </c>
      <c r="CD71" s="42" t="n">
        <v>0.09</v>
      </c>
      <c r="CE71" s="42" t="n">
        <v>0.09</v>
      </c>
      <c r="CF71" s="21"/>
    </row>
    <row r="72" customFormat="false" ht="15" hidden="true" customHeight="true" outlineLevel="1" collapsed="true">
      <c r="B72" s="29" t="s">
        <v>213</v>
      </c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8"/>
      <c r="BZ72" s="28"/>
      <c r="CA72" s="28"/>
      <c r="CB72" s="47" t="n">
        <f aca="false">CB67*CB71</f>
        <v>16.3636363636364</v>
      </c>
      <c r="CC72" s="47" t="n">
        <f aca="false">CC67*CC71</f>
        <v>50.7272727272727</v>
      </c>
      <c r="CD72" s="47" t="n">
        <f aca="false">CD67*CD71</f>
        <v>86.8090909090909</v>
      </c>
      <c r="CE72" s="47" t="n">
        <f aca="false">CE67*CE71</f>
        <v>124.695</v>
      </c>
      <c r="CF72" s="21"/>
    </row>
    <row r="73" customFormat="false" ht="15" hidden="true" customHeight="true" outlineLevel="1" collapsed="false">
      <c r="B73" s="29" t="s">
        <v>214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9"/>
      <c r="BZ73" s="39"/>
      <c r="CA73" s="39"/>
      <c r="CB73" s="42" t="n">
        <v>0.35</v>
      </c>
      <c r="CC73" s="42" t="n">
        <v>0.35</v>
      </c>
      <c r="CD73" s="42" t="n">
        <v>0.35</v>
      </c>
      <c r="CE73" s="42" t="n">
        <v>0.35</v>
      </c>
      <c r="CF73" s="21" t="s">
        <v>215</v>
      </c>
    </row>
    <row r="74" customFormat="false" ht="15" hidden="true" customHeight="true" outlineLevel="1" collapsed="false">
      <c r="B74" s="29" t="s">
        <v>216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9"/>
      <c r="BZ74" s="39"/>
      <c r="CA74" s="39"/>
      <c r="CB74" s="42" t="n">
        <v>0.25</v>
      </c>
      <c r="CC74" s="42" t="n">
        <v>0.25</v>
      </c>
      <c r="CD74" s="42" t="n">
        <v>0.25</v>
      </c>
      <c r="CE74" s="42" t="n">
        <v>0.25</v>
      </c>
      <c r="CF74" s="21"/>
    </row>
    <row r="75" customFormat="false" ht="15" hidden="true" customHeight="true" outlineLevel="1" collapsed="false">
      <c r="B75" s="29" t="s">
        <v>217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3"/>
      <c r="BZ75" s="53"/>
      <c r="CA75" s="53"/>
      <c r="CB75" s="54" t="n">
        <v>10</v>
      </c>
      <c r="CC75" s="54" t="n">
        <v>10</v>
      </c>
      <c r="CD75" s="54" t="n">
        <v>10</v>
      </c>
      <c r="CE75" s="54" t="n">
        <v>10</v>
      </c>
      <c r="CF75" s="21"/>
    </row>
    <row r="76" customFormat="false" ht="15" hidden="true" customHeight="true" outlineLevel="2" collapsed="false">
      <c r="B76" s="29" t="s">
        <v>218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8"/>
      <c r="BZ76" s="28"/>
      <c r="CA76" s="28"/>
      <c r="CB76" s="47" t="n">
        <f aca="false">N(CA76)+CB62*CB74</f>
        <v>250</v>
      </c>
      <c r="CC76" s="47" t="n">
        <f aca="false">N(CB76)+CC62*CC74</f>
        <v>500</v>
      </c>
      <c r="CD76" s="47" t="n">
        <f aca="false">N(CC76)+CD62*CD74</f>
        <v>750</v>
      </c>
      <c r="CE76" s="47" t="n">
        <f aca="false">N(CD76)+CE62*CE74</f>
        <v>1000</v>
      </c>
      <c r="CF76" s="21"/>
    </row>
    <row r="77" customFormat="false" ht="15" hidden="true" customHeight="true" outlineLevel="2" collapsed="false">
      <c r="B77" s="29" t="s">
        <v>219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8"/>
      <c r="BZ77" s="28"/>
      <c r="CA77" s="28"/>
      <c r="CB77" s="47" t="n">
        <f aca="false">(N(CA76)+0.5*CB62*CB74)/CB75</f>
        <v>12.5</v>
      </c>
      <c r="CC77" s="47" t="n">
        <f aca="false">(N(CB76)+0.5*CC62*CC74)/CC75</f>
        <v>37.5</v>
      </c>
      <c r="CD77" s="47" t="n">
        <f aca="false">(N(CC76)+0.5*CD62*CD74)/CD75</f>
        <v>62.5</v>
      </c>
      <c r="CE77" s="47" t="n">
        <f aca="false">(N(CD76)+0.5*CE62*CE74)/CE75</f>
        <v>87.5</v>
      </c>
      <c r="CF77" s="21"/>
    </row>
    <row r="78" customFormat="false" ht="15" hidden="true" customHeight="true" outlineLevel="2" collapsed="false"/>
    <row r="79" customFormat="false" ht="15" hidden="true" customHeight="true" outlineLevel="2" collapsed="false">
      <c r="B79" s="16" t="s">
        <v>220</v>
      </c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7" t="s">
        <v>221</v>
      </c>
    </row>
    <row r="80" customFormat="false" ht="15" hidden="true" customHeight="true" outlineLevel="1" collapsed="true">
      <c r="B80" s="55" t="s">
        <v>222</v>
      </c>
      <c r="C80" s="56" t="n">
        <f aca="false">N(C11)+N(C15)+N(C18)+N(C55)+N(C47)+N(C52)+N(C58)+N(C67)</f>
        <v>824.354</v>
      </c>
      <c r="D80" s="56" t="n">
        <f aca="false">N(D11)+N(D15)+N(D18)+N(D55)+N(D47)+N(D52)+N(D58)+N(D67)</f>
        <v>958.541</v>
      </c>
      <c r="E80" s="56" t="n">
        <f aca="false">N(E11)+N(E15)+N(E18)+N(E55)+N(E47)+N(E52)+N(E58)+N(E67)</f>
        <v>1049.603</v>
      </c>
      <c r="F80" s="56" t="n">
        <f aca="false">N(F11)+N(F15)+N(F18)+N(F55)+N(F47)+N(F52)+N(F58)+N(F67)</f>
        <v>1191.393</v>
      </c>
      <c r="G80" s="56" t="n">
        <f aca="false">N(G11)+N(G15)+N(G18)+N(G55)+N(G47)+N(G52)+N(G58)+N(G67)</f>
        <v>1319.757</v>
      </c>
      <c r="H80" s="56" t="n">
        <f aca="false">N(H11)+N(H15)+N(H18)+N(H55)+N(H47)+N(H52)+N(H58)+N(H67)</f>
        <v>1505.366</v>
      </c>
      <c r="I80" s="56" t="n">
        <f aca="false">N(I11)+N(I15)+N(I18)+N(I55)+N(I47)+N(I52)+N(I58)+N(I67)</f>
        <v>1661.618</v>
      </c>
      <c r="J80" s="56" t="n">
        <f aca="false">N(J11)+N(J15)+N(J18)+N(J55)+N(J47)+N(J52)+N(J58)+N(J67)</f>
        <v>449.892</v>
      </c>
      <c r="K80" s="56" t="n">
        <f aca="false">N(K11)+N(K15)+N(K18)+N(K55)+N(K47)+N(K52)+N(K58)+N(K67)</f>
        <v>489.381</v>
      </c>
      <c r="L80" s="56" t="n">
        <f aca="false">N(L11)+N(L15)+N(L18)+N(L55)+N(L47)+N(L52)+N(L58)+N(L67)</f>
        <v>503.646</v>
      </c>
      <c r="M80" s="56" t="n">
        <f aca="false">N(M11)+N(M15)+N(M18)+N(M55)+N(M47)+N(M52)+N(M58)+N(M67)</f>
        <v>485.877</v>
      </c>
      <c r="N80" s="56" t="n">
        <f aca="false">N(N11)+N(N15)+N(N18)+N(N55)+N(N47)+N(N52)+N(N58)+N(N67)</f>
        <v>1928.795</v>
      </c>
      <c r="O80" s="56" t="n">
        <f aca="false">N(O11)+N(O15)+N(O18)+N(O55)+N(O47)+N(O52)+N(O58)+N(O67)</f>
        <v>481.71</v>
      </c>
      <c r="P80" s="56" t="n">
        <f aca="false">N(P11)+N(P15)+N(P18)+N(P55)+N(P47)+N(P52)+N(P58)+N(P67)</f>
        <v>524.693</v>
      </c>
      <c r="Q80" s="56" t="n">
        <f aca="false">N(Q11)+N(Q15)+N(Q18)+N(Q55)+N(Q47)+N(Q52)+N(Q58)+N(Q67)</f>
        <v>546.551</v>
      </c>
      <c r="R80" s="56" t="n">
        <f aca="false">N(R11)+N(R15)+N(R18)+N(R55)+N(R47)+N(R52)+N(R58)+N(R67)</f>
        <v>526.213</v>
      </c>
      <c r="S80" s="56" t="n">
        <f aca="false">N(S11)+N(S15)+N(S18)+N(S55)+N(S47)+N(S52)+N(S58)+N(S67)</f>
        <v>2079.166</v>
      </c>
      <c r="T80" s="56" t="n">
        <f aca="false">N(T11)+N(T15)+N(T18)+N(T55)+N(T47)+N(T52)+N(T58)+N(T67)</f>
        <v>506.1</v>
      </c>
      <c r="U80" s="56" t="n">
        <f aca="false">N(U11)+N(U15)+N(U18)+N(U55)+N(U47)+N(U52)+N(U58)+N(U67)</f>
        <v>531.312</v>
      </c>
      <c r="V80" s="56" t="n">
        <f aca="false">N(V11)+N(V15)+N(V18)+N(V55)+N(V47)+N(V52)+N(V58)+N(V67)</f>
        <v>547.938</v>
      </c>
      <c r="W80" s="56" t="n">
        <f aca="false">N(W11)+N(W15)+N(W18)+N(W55)+N(W47)+N(W52)+N(W58)+N(W67)</f>
        <v>531.937</v>
      </c>
      <c r="X80" s="56" t="n">
        <f aca="false">N(X11)+N(X15)+N(X18)+N(X55)+N(X47)+N(X52)+N(X58)+N(X67)</f>
        <v>2117.287</v>
      </c>
      <c r="Y80" s="56" t="n">
        <f aca="false">N(Y11)+N(Y15)+N(Y18)+N(Y55)+N(Y47)+N(Y52)+N(Y58)+N(Y67)</f>
        <v>514.68</v>
      </c>
      <c r="Z80" s="56" t="n">
        <f aca="false">N(Z11)+N(Z15)+N(Z18)+N(Z55)+N(Z47)+N(Z52)+N(Z58)+N(Z67)</f>
        <v>727.639</v>
      </c>
      <c r="AA80" s="56" t="n">
        <f aca="false">N(AA11)+N(AA15)+N(AA18)+N(AA55)+N(AA47)+N(AA52)+N(AA58)+N(AA67)</f>
        <v>1084.922</v>
      </c>
      <c r="AB80" s="56" t="n">
        <f aca="false">N(AB11)+N(AB15)+N(AB18)+N(AB55)+N(AB47)+N(AB52)+N(AB58)+N(AB67)</f>
        <v>1048.622</v>
      </c>
      <c r="AC80" s="56" t="n">
        <f aca="false">N(AC11)+N(AC15)+N(AC18)+N(AC55)+N(AC47)+N(AC52)+N(AC58)+N(AC67)</f>
        <v>3375.863</v>
      </c>
      <c r="AD80" s="56" t="n">
        <f aca="false">N(AD11)+N(AD15)+N(AD18)+N(AD55)+N(AD47)+N(AD52)+N(AD58)+N(AD67)</f>
        <v>1091.266</v>
      </c>
      <c r="AE80" s="56" t="n">
        <f aca="false">N(AE11)+N(AE15)+N(AE18)+N(AE55)+N(AE47)+N(AE52)+N(AE58)+N(AE67)</f>
        <v>1175.569</v>
      </c>
      <c r="AF80" s="56" t="n">
        <f aca="false">N(AF11)+N(AF15)+N(AF18)+N(AF55)+N(AF47)+N(AF52)+N(AF58)+N(AF67)</f>
        <v>1206.478</v>
      </c>
      <c r="AG80" s="56" t="n">
        <f aca="false">N(AG11)+N(AG15)+N(AG18)+N(AG55)+N(AG47)+N(AG52)+N(AG58)+N(AG67)</f>
        <v>1157.175</v>
      </c>
      <c r="AH80" s="56" t="n">
        <f aca="false">N(AH11)+N(AH15)+N(AH18)+N(AH55)+N(AH47)+N(AH52)+N(AH58)+N(AH67)</f>
        <v>4630.488</v>
      </c>
      <c r="AI80" s="56" t="n">
        <f aca="false">N(AI11)+N(AI15)+N(AI18)+N(AI55)+N(AI47)+N(AI52)+N(AI58)+N(AI67)</f>
        <v>1140.131</v>
      </c>
      <c r="AJ80" s="56" t="n">
        <f aca="false">N(AJ11)+N(AJ15)+N(AJ18)+N(AJ55)+N(AJ47)+N(AJ52)+N(AJ58)+N(AJ67)</f>
        <v>1239.968</v>
      </c>
      <c r="AK80" s="56" t="n">
        <f aca="false">N(AK11)+N(AK15)+N(AK18)+N(AK55)+N(AK47)+N(AK52)+N(AK58)+N(AK67)</f>
        <v>1281.11</v>
      </c>
      <c r="AL80" s="56" t="n">
        <f aca="false">N(AL11)+N(AL15)+N(AL18)+N(AL55)+N(AL47)+N(AL52)+N(AL58)+N(AL67)</f>
        <v>1261.732</v>
      </c>
      <c r="AM80" s="56" t="n">
        <f aca="false">N(AM11)+N(AM15)+N(AM18)+N(AM55)+N(AM47)+N(AM52)+N(AM58)+N(AM67)</f>
        <v>4922.941</v>
      </c>
      <c r="AN80" s="56" t="n">
        <f aca="false">N(AN11)+N(AN15)+N(AN18)+N(AN55)+N(AN47)+N(AN52)+N(AN58)+N(AN67)</f>
        <v>1244.637</v>
      </c>
      <c r="AO80" s="56" t="n">
        <f aca="false">N(AO11)+N(AO15)+N(AO18)+N(AO55)+N(AO47)+N(AO52)+N(AO58)+N(AO67)</f>
        <v>1369.639</v>
      </c>
      <c r="AP80" s="56" t="n">
        <f aca="false">N(AP11)+N(AP15)+N(AP18)+N(AP55)+N(AP47)+N(AP52)+N(AP58)+N(AP67)</f>
        <v>1412.444</v>
      </c>
      <c r="AQ80" s="56" t="n">
        <f aca="false">N(AQ11)+N(AQ15)+N(AQ18)+N(AQ55)+N(AQ47)+N(AQ52)+N(AQ58)+N(AQ67)</f>
        <v>1361.96</v>
      </c>
      <c r="AR80" s="56" t="n">
        <f aca="false">N(AR11)+N(AR15)+N(AR18)+N(AR55)+N(AR47)+N(AR52)+N(AR58)+N(AR67)</f>
        <v>5388.679</v>
      </c>
      <c r="AS80" s="56" t="n">
        <f aca="false">N(AS11)+N(AS15)+N(AS18)+N(AS55)+N(AS47)+N(AS52)+N(AS58)+N(AS67)</f>
        <v>1352.404</v>
      </c>
      <c r="AT80" s="56" t="n">
        <f aca="false">N(AT11)+N(AT15)+N(AT18)+N(AT55)+N(AT47)+N(AT52)+N(AT58)+N(AT67)</f>
        <v>1305.782</v>
      </c>
      <c r="AU80" s="56" t="n">
        <f aca="false">N(AU11)+N(AU15)+N(AU18)+N(AU55)+N(AU47)+N(AU52)+N(AU58)+N(AU67)</f>
        <v>1389.552</v>
      </c>
      <c r="AV80" s="56" t="n">
        <f aca="false">N(AV11)+N(AV15)+N(AV18)+N(AV55)+N(AV47)+N(AV52)+N(AV58)+N(AV67)</f>
        <v>1398.251</v>
      </c>
      <c r="AW80" s="56" t="n">
        <f aca="false">N(AW11)+N(AW15)+N(AW18)+N(AW55)+N(AW47)+N(AW52)+N(AW58)+N(AW67)</f>
        <v>5445.99</v>
      </c>
      <c r="AX80" s="56" t="n">
        <f aca="false">N(AX11)+N(AX15)+N(AX18)+N(AX55)+N(AX47)+N(AX52)+N(AX58)+N(AX67)</f>
        <v>1395.942</v>
      </c>
      <c r="AY80" s="56" t="n">
        <f aca="false">N(AY11)+N(AY15)+N(AY18)+N(AY55)+N(AY47)+N(AY52)+N(AY58)+N(AY67)</f>
        <v>1533.931</v>
      </c>
      <c r="AZ80" s="56" t="n">
        <f aca="false">N(AZ11)+N(AZ15)+N(AZ18)+N(AZ55)+N(AZ47)+N(AZ52)+N(AZ58)+N(AZ67)</f>
        <v>1597.168</v>
      </c>
      <c r="BA80" s="56" t="n">
        <f aca="false">N(BA11)+N(BA15)+N(BA18)+N(BA55)+N(BA47)+N(BA52)+N(BA58)+N(BA67)</f>
        <v>1624.319</v>
      </c>
      <c r="BB80" s="56" t="n">
        <f aca="false">N(BB11)+N(BB15)+N(BB18)+N(BB55)+N(BB47)+N(BB52)+N(BB58)+N(BB67)</f>
        <v>6151.361</v>
      </c>
      <c r="BC80" s="56" t="n">
        <f aca="false">N(BC11)+N(BC15)+N(BC18)+N(BC55)+N(BC47)+N(BC52)+N(BC58)+N(BC67)</f>
        <v>1646.255</v>
      </c>
      <c r="BD80" s="56" t="n">
        <f aca="false">N(BD11)+N(BD15)+N(BD18)+N(BD55)+N(BD47)+N(BD52)+N(BD58)+N(BD67)</f>
        <v>1816.435</v>
      </c>
      <c r="BE80" s="56" t="n">
        <f aca="false">N(BE11)+N(BE15)+N(BE18)+N(BE55)+N(BE47)+N(BE52)+N(BE58)+N(BE67)</f>
        <v>1879.868</v>
      </c>
      <c r="BF80" s="56" t="n">
        <f aca="false">N(BF11)+N(BF15)+N(BF18)+N(BF55)+N(BF47)+N(BF52)+N(BF58)+N(BF67)</f>
        <v>1869.302</v>
      </c>
      <c r="BG80" s="56" t="n">
        <f aca="false">N(BG11)+N(BG15)+N(BG18)+N(BG55)+N(BG47)+N(BG52)+N(BG58)+N(BG67)</f>
        <v>7211.859</v>
      </c>
      <c r="BH80" s="56" t="n">
        <f aca="false">N(BH11)+N(BH15)+N(BH18)+N(BH55)+N(BH47)+N(BH52)+N(BH58)+N(BH67)</f>
        <v>1900.503</v>
      </c>
      <c r="BI80" s="56" t="n">
        <f aca="false">N(BI11)+N(BI15)+N(BI18)+N(BI55)+N(BI47)+N(BI52)+N(BI58)+N(BI67)</f>
        <v>2021.095</v>
      </c>
      <c r="BJ80" s="56" t="n">
        <f aca="false">N(BJ11)+N(BJ15)+N(BJ18)+N(BJ55)+N(BJ47)+N(BJ52)+N(BJ58)+N(BJ67)</f>
        <v>2064.744</v>
      </c>
      <c r="BK80" s="56" t="n">
        <f aca="false">N(BK11)+N(BK15)+N(BK18)+N(BK55)+N(BK47)+N(BK52)+N(BK58)+N(BK67)</f>
        <v>2035.609</v>
      </c>
      <c r="BL80" s="56" t="n">
        <f aca="false">N(BL11)+N(BL15)+N(BL18)+N(BL55)+N(BL47)+N(BL52)+N(BL58)+N(BL67)</f>
        <v>8021.951</v>
      </c>
      <c r="BM80" s="56" t="n">
        <f aca="false">N(BM11)+N(BM15)+N(BM18)+N(BM55)+N(BM47)+N(BM52)+N(BM58)+N(BM67)</f>
        <v>2072.653</v>
      </c>
      <c r="BN80" s="56" t="n">
        <f aca="false">N(BN11)+N(BN15)+N(BN18)+N(BN55)+N(BN47)+N(BN52)+N(BN58)+N(BN67)</f>
        <v>2248.166</v>
      </c>
      <c r="BO80" s="56" t="n">
        <f aca="false">N(BO11)+N(BO15)+N(BO18)+N(BO55)+N(BO47)+N(BO52)+N(BO58)+N(BO67)</f>
        <v>2338.488</v>
      </c>
      <c r="BP80" s="56" t="n">
        <f aca="false">N(BP11)+N(BP15)+N(BP18)+N(BP55)+N(BP47)+N(BP52)+N(BP58)+N(BP67)</f>
        <v>2260.283</v>
      </c>
      <c r="BQ80" s="56" t="n">
        <f aca="false">N(BQ11)+N(BQ15)+N(BQ18)+N(BQ55)+N(BQ47)+N(BQ52)+N(BQ58)+N(BQ67)</f>
        <v>8919.591</v>
      </c>
      <c r="BR80" s="56" t="n">
        <f aca="false">N(BR11)+N(BR15)+N(BR18)+N(BR55)+N(BR47)+N(BR52)+N(BR58)+N(BR67)</f>
        <v>2228.176</v>
      </c>
      <c r="BS80" s="56" t="n">
        <f aca="false">N(BS11)+N(BS15)+N(BS18)+N(BS55)+N(BS47)+N(BS52)+N(BS58)+N(BS67)</f>
        <v>2407.055</v>
      </c>
      <c r="BT80" s="56" t="n">
        <f aca="false">N(BT11)+N(BT15)+N(BT18)+N(BT55)+N(BT47)+N(BT52)+N(BT58)+N(BT67)</f>
        <v>2458.378</v>
      </c>
      <c r="BU80" s="56" t="n">
        <f aca="false">N(BU11)+N(BU15)+N(BU18)+N(BU55)+N(BU47)+N(BU52)+N(BU58)+N(BU67)</f>
        <v>2373.306</v>
      </c>
      <c r="BV80" s="56" t="n">
        <f aca="false">N(BV11)+N(BV15)+N(BV18)+N(BV55)+N(BV47)+N(BV52)+N(BV58)+N(BV67)</f>
        <v>9466.915</v>
      </c>
      <c r="BW80" s="56" t="n">
        <f aca="false">N(BW11)+N(BW15)+N(BW18)+N(BW55)+N(BW47)+N(BW52)+N(BW58)+N(BW67)</f>
        <v>2370.631</v>
      </c>
      <c r="BX80" s="56" t="n">
        <f aca="false">N(BX11)+N(BX15)+N(BX18)+N(BX55)+N(BX47)+N(BX52)+N(BX58)+N(BX67)</f>
        <v>2561.607</v>
      </c>
      <c r="BY80" s="56" t="n">
        <f aca="false">N(BY11)+N(BY15)+N(BY18)+N(BY55)+N(BY47)+N(BY52)+N(BY58)+N(BY67)</f>
        <v>2596.77048309733</v>
      </c>
      <c r="BZ80" s="56" t="n">
        <f aca="false">N(BZ11)+N(BZ15)+N(BZ18)+N(BZ55)+N(BZ47)+N(BZ52)+N(BZ58)+N(BZ67)</f>
        <v>2505.99151690267</v>
      </c>
      <c r="CA80" s="56" t="n">
        <f aca="false">N(CA11)+N(CA15)+N(CA18)+N(CA55)+N(CA47)+N(CA52)+N(CA58)+N(CA67)</f>
        <v>10035</v>
      </c>
      <c r="CB80" s="56" t="n">
        <f aca="false">N(CB11)+N(CB15)+N(CB18)+N(CB55)+N(CB47)+N(CB52)+N(CB58)+N(CB67)</f>
        <v>10653.2703486509</v>
      </c>
      <c r="CC80" s="56" t="n">
        <f aca="false">N(CC11)+N(CC15)+N(CC18)+N(CC55)+N(CC47)+N(CC52)+N(CC58)+N(CC67)</f>
        <v>11506.9618439659</v>
      </c>
      <c r="CD80" s="56" t="n">
        <f aca="false">N(CD11)+N(CD15)+N(CD18)+N(CD55)+N(CD47)+N(CD52)+N(CD58)+N(CD67)</f>
        <v>12417.9632224828</v>
      </c>
      <c r="CE80" s="56" t="n">
        <f aca="false">N(CE11)+N(CE15)+N(CE18)+N(CE55)+N(CE47)+N(CE52)+N(CE58)+N(CE67)</f>
        <v>13346.8734782927</v>
      </c>
      <c r="CF80" s="21" t="s">
        <v>223</v>
      </c>
      <c r="CH80" s="22" t="n">
        <f aca="false">IFERROR((CE80/BV80)^(1/5)-1,"n/m")</f>
        <v>0.0711103433507032</v>
      </c>
      <c r="CI80" s="22" t="n">
        <f aca="false">IFERROR((BV80/AW80)^(1/5)-1,"n/m")</f>
        <v>0.116930955912547</v>
      </c>
      <c r="CJ80" s="22" t="n">
        <f aca="false">IFERROR((BV80/X80)^(1/10)-1,"n/m")</f>
        <v>0.161563280720018</v>
      </c>
      <c r="CK80" s="22" t="n">
        <f aca="false">IFERROR((BV80/C80)^(1/19)-1,"n/m")</f>
        <v>0.137089002914059</v>
      </c>
    </row>
    <row r="81" customFormat="false" ht="15" hidden="true" customHeight="true" outlineLevel="1" collapsed="false">
      <c r="B81" s="34" t="s">
        <v>224</v>
      </c>
      <c r="C81" s="35"/>
      <c r="D81" s="36" t="n">
        <f aca="false">IF(AND(ISNUMBER(D80),ISNUMBER(C80)),IFERROR(D80/C80-1,""),"")</f>
        <v>0.162778369486895</v>
      </c>
      <c r="E81" s="36" t="n">
        <f aca="false">IF(AND(ISNUMBER(E80),ISNUMBER(D80)),IFERROR(E80/D80-1,""),"")</f>
        <v>0.0950006311675766</v>
      </c>
      <c r="F81" s="36" t="n">
        <f aca="false">IF(AND(ISNUMBER(F80),ISNUMBER(E80)),IFERROR(F80/E80-1,""),"")</f>
        <v>0.135089171810675</v>
      </c>
      <c r="G81" s="36" t="n">
        <f aca="false">IF(AND(ISNUMBER(G80),ISNUMBER(F80)),IFERROR(G80/F80-1,""),"")</f>
        <v>0.107742785126318</v>
      </c>
      <c r="H81" s="36" t="n">
        <f aca="false">IF(AND(ISNUMBER(H80),ISNUMBER(G80)),IFERROR(H80/G80-1,""),"")</f>
        <v>0.140638769106737</v>
      </c>
      <c r="I81" s="36" t="n">
        <f aca="false">IF(AND(ISNUMBER(I80),ISNUMBER(H80)),IFERROR(I80/H80-1,""),"")</f>
        <v>0.103796684660076</v>
      </c>
      <c r="J81" s="35"/>
      <c r="K81" s="35"/>
      <c r="L81" s="35"/>
      <c r="M81" s="35"/>
      <c r="N81" s="36" t="n">
        <f aca="false">IF(AND(ISNUMBER(N80),ISNUMBER(I80)),IFERROR(N80/I80-1,""),"")</f>
        <v>0.160793274988595</v>
      </c>
      <c r="O81" s="36" t="n">
        <f aca="false">IF(AND(ISNUMBER(O80),ISNUMBER(J80)),IFERROR(O80/J80-1,""),"")</f>
        <v>0.0707236403403484</v>
      </c>
      <c r="P81" s="36" t="n">
        <f aca="false">IF(AND(ISNUMBER(P80),ISNUMBER(K80)),IFERROR(P80/K80-1,""),"")</f>
        <v>0.0721564588735566</v>
      </c>
      <c r="Q81" s="36" t="n">
        <f aca="false">IF(AND(ISNUMBER(Q80),ISNUMBER(L80)),IFERROR(Q80/L80-1,""),"")</f>
        <v>0.085188803246725</v>
      </c>
      <c r="R81" s="36" t="n">
        <f aca="false">IF(AND(ISNUMBER(R80),ISNUMBER(M80)),IFERROR(R80/M80-1,""),"")</f>
        <v>0.0830168952224533</v>
      </c>
      <c r="S81" s="36" t="n">
        <f aca="false">IF(AND(ISNUMBER(S80),ISNUMBER(N80)),IFERROR(S80/N80-1,""),"")</f>
        <v>0.0779611104342355</v>
      </c>
      <c r="T81" s="36" t="n">
        <f aca="false">IF(AND(ISNUMBER(T80),ISNUMBER(O80)),IFERROR(T80/O80-1,""),"")</f>
        <v>0.0506321230615934</v>
      </c>
      <c r="U81" s="36" t="n">
        <f aca="false">IF(AND(ISNUMBER(U80),ISNUMBER(P80)),IFERROR(U80/P80-1,""),"")</f>
        <v>0.0126149958166011</v>
      </c>
      <c r="V81" s="36" t="n">
        <f aca="false">IF(AND(ISNUMBER(V80),ISNUMBER(Q80)),IFERROR(V80/Q80-1,""),"")</f>
        <v>0.00253773206891972</v>
      </c>
      <c r="W81" s="36" t="n">
        <f aca="false">IF(AND(ISNUMBER(W80),ISNUMBER(R80)),IFERROR(W80/R80-1,""),"")</f>
        <v>0.010877724419579</v>
      </c>
      <c r="X81" s="36" t="n">
        <f aca="false">IF(AND(ISNUMBER(X80),ISNUMBER(S80)),IFERROR(X80/S80-1,""),"")</f>
        <v>0.0183347553778772</v>
      </c>
      <c r="Y81" s="36" t="n">
        <f aca="false">IF(AND(ISNUMBER(Y80),ISNUMBER(T80)),IFERROR(Y80/T80-1,""),"")</f>
        <v>0.0169531713100177</v>
      </c>
      <c r="Z81" s="36" t="n">
        <f aca="false">IF(AND(ISNUMBER(Z80),ISNUMBER(U80)),IFERROR(Z80/U80-1,""),"")</f>
        <v>0.369513581473786</v>
      </c>
      <c r="AA81" s="36" t="n">
        <f aca="false">IF(AND(ISNUMBER(AA80),ISNUMBER(V80)),IFERROR(AA80/V80-1,""),"")</f>
        <v>0.980008687114235</v>
      </c>
      <c r="AB81" s="36" t="n">
        <f aca="false">IF(AND(ISNUMBER(AB80),ISNUMBER(W80)),IFERROR(AB80/W80-1,""),"")</f>
        <v>0.971327431631942</v>
      </c>
      <c r="AC81" s="36" t="n">
        <f aca="false">IF(AND(ISNUMBER(AC80),ISNUMBER(X80)),IFERROR(AC80/X80-1,""),"")</f>
        <v>0.5944286249337</v>
      </c>
      <c r="AD81" s="36" t="n">
        <f aca="false">IF(AND(ISNUMBER(AD80),ISNUMBER(Y80)),IFERROR(AD80/Y80-1,""),"")</f>
        <v>1.12028056267972</v>
      </c>
      <c r="AE81" s="36" t="n">
        <f aca="false">IF(AND(ISNUMBER(AE80),ISNUMBER(Z80)),IFERROR(AE80/Z80-1,""),"")</f>
        <v>0.615593721611953</v>
      </c>
      <c r="AF81" s="36" t="n">
        <f aca="false">IF(AND(ISNUMBER(AF80),ISNUMBER(AA80)),IFERROR(AF80/AA80-1,""),"")</f>
        <v>0.112041234300715</v>
      </c>
      <c r="AG81" s="36" t="n">
        <f aca="false">IF(AND(ISNUMBER(AG80),ISNUMBER(AB80)),IFERROR(AG80/AB80-1,""),"")</f>
        <v>0.103519666762665</v>
      </c>
      <c r="AH81" s="36" t="n">
        <f aca="false">IF(AND(ISNUMBER(AH80),ISNUMBER(AC80)),IFERROR(AH80/AC80-1,""),"")</f>
        <v>0.371645709556341</v>
      </c>
      <c r="AI81" s="36" t="n">
        <f aca="false">IF(AND(ISNUMBER(AI80),ISNUMBER(AD80)),IFERROR(AI80/AD80-1,""),"")</f>
        <v>0.0447782667104075</v>
      </c>
      <c r="AJ81" s="36" t="n">
        <f aca="false">IF(AND(ISNUMBER(AJ80),ISNUMBER(AE80)),IFERROR(AJ80/AE80-1,""),"")</f>
        <v>0.0547811315201405</v>
      </c>
      <c r="AK81" s="36" t="n">
        <f aca="false">IF(AND(ISNUMBER(AK80),ISNUMBER(AF80)),IFERROR(AK80/AF80-1,""),"")</f>
        <v>0.0618593956955698</v>
      </c>
      <c r="AL81" s="36" t="n">
        <f aca="false">IF(AND(ISNUMBER(AL80),ISNUMBER(AG80)),IFERROR(AL80/AG80-1,""),"")</f>
        <v>0.0903553913625856</v>
      </c>
      <c r="AM81" s="36" t="n">
        <f aca="false">IF(AND(ISNUMBER(AM80),ISNUMBER(AH80)),IFERROR(AM80/AH80-1,""),"")</f>
        <v>0.0631581379759543</v>
      </c>
      <c r="AN81" s="36" t="n">
        <f aca="false">IF(AND(ISNUMBER(AN80),ISNUMBER(AI80)),IFERROR(AN80/AI80-1,""),"")</f>
        <v>0.0916613968044027</v>
      </c>
      <c r="AO81" s="36" t="n">
        <f aca="false">IF(AND(ISNUMBER(AO80),ISNUMBER(AJ80)),IFERROR(AO80/AJ80-1,""),"")</f>
        <v>0.104576085834473</v>
      </c>
      <c r="AP81" s="36" t="n">
        <f aca="false">IF(AND(ISNUMBER(AP80),ISNUMBER(AK80)),IFERROR(AP80/AK80-1,""),"")</f>
        <v>0.102515787090882</v>
      </c>
      <c r="AQ81" s="36" t="n">
        <f aca="false">IF(AND(ISNUMBER(AQ80),ISNUMBER(AL80)),IFERROR(AQ80/AL80-1,""),"")</f>
        <v>0.079436837616863</v>
      </c>
      <c r="AR81" s="36" t="n">
        <f aca="false">IF(AND(ISNUMBER(AR80),ISNUMBER(AM80)),IFERROR(AR80/AM80-1,""),"")</f>
        <v>0.0946056432526816</v>
      </c>
      <c r="AS81" s="36" t="n">
        <f aca="false">IF(AND(ISNUMBER(AS80),ISNUMBER(AN80)),IFERROR(AS80/AN80-1,""),"")</f>
        <v>0.0865850846471703</v>
      </c>
      <c r="AT81" s="36" t="n">
        <f aca="false">IF(AND(ISNUMBER(AT80),ISNUMBER(AO80)),IFERROR(AT80/AO80-1,""),"")</f>
        <v>-0.0466232342975047</v>
      </c>
      <c r="AU81" s="36" t="n">
        <f aca="false">IF(AND(ISNUMBER(AU80),ISNUMBER(AP80)),IFERROR(AU80/AP80-1,""),"")</f>
        <v>-0.0162073682213241</v>
      </c>
      <c r="AV81" s="36" t="n">
        <f aca="false">IF(AND(ISNUMBER(AV80),ISNUMBER(AQ80)),IFERROR(AV80/AQ80-1,""),"")</f>
        <v>0.0266461570090166</v>
      </c>
      <c r="AW81" s="36" t="n">
        <f aca="false">IF(AND(ISNUMBER(AW80),ISNUMBER(AR80)),IFERROR(AW80/AR80-1,""),"")</f>
        <v>0.0106354451619777</v>
      </c>
      <c r="AX81" s="36" t="n">
        <f aca="false">IF(AND(ISNUMBER(AX80),ISNUMBER(AS80)),IFERROR(AX80/AS80-1,""),"")</f>
        <v>0.032193042907297</v>
      </c>
      <c r="AY81" s="36" t="n">
        <f aca="false">IF(AND(ISNUMBER(AY80),ISNUMBER(AT80)),IFERROR(AY80/AT80-1,""),"")</f>
        <v>0.174722120537731</v>
      </c>
      <c r="AZ81" s="36" t="n">
        <f aca="false">IF(AND(ISNUMBER(AZ80),ISNUMBER(AU80)),IFERROR(AZ80/AU80-1,""),"")</f>
        <v>0.149412184646562</v>
      </c>
      <c r="BA81" s="36" t="n">
        <f aca="false">IF(AND(ISNUMBER(BA80),ISNUMBER(AV80)),IFERROR(BA80/AV80-1,""),"")</f>
        <v>0.161679126279903</v>
      </c>
      <c r="BB81" s="36" t="n">
        <f aca="false">IF(AND(ISNUMBER(BB80),ISNUMBER(AW80)),IFERROR(BB80/AW80-1,""),"")</f>
        <v>0.129521170622789</v>
      </c>
      <c r="BC81" s="36" t="n">
        <f aca="false">IF(AND(ISNUMBER(BC80),ISNUMBER(AX80)),IFERROR(BC80/AX80-1,""),"")</f>
        <v>0.17931475663029</v>
      </c>
      <c r="BD81" s="36" t="n">
        <f aca="false">IF(AND(ISNUMBER(BD80),ISNUMBER(AY80)),IFERROR(BD80/AY80-1,""),"")</f>
        <v>0.184169952885756</v>
      </c>
      <c r="BE81" s="36" t="n">
        <f aca="false">IF(AND(ISNUMBER(BE80),ISNUMBER(AZ80)),IFERROR(BE80/AZ80-1,""),"")</f>
        <v>0.17700079140078</v>
      </c>
      <c r="BF81" s="36" t="n">
        <f aca="false">IF(AND(ISNUMBER(BF80),ISNUMBER(BA80)),IFERROR(BF80/BA80-1,""),"")</f>
        <v>0.150821975240085</v>
      </c>
      <c r="BG81" s="36" t="n">
        <f aca="false">IF(AND(ISNUMBER(BG80),ISNUMBER(BB80)),IFERROR(BG80/BB80-1,""),"")</f>
        <v>0.172400546805821</v>
      </c>
      <c r="BH81" s="36" t="n">
        <f aca="false">IF(AND(ISNUMBER(BH80),ISNUMBER(BC80)),IFERROR(BH80/BC80-1,""),"")</f>
        <v>0.154440229490571</v>
      </c>
      <c r="BI81" s="36" t="n">
        <f aca="false">IF(AND(ISNUMBER(BI80),ISNUMBER(BD80)),IFERROR(BI80/BD80-1,""),"")</f>
        <v>0.112671248902383</v>
      </c>
      <c r="BJ81" s="36" t="n">
        <f aca="false">IF(AND(ISNUMBER(BJ80),ISNUMBER(BE80)),IFERROR(BJ80/BE80-1,""),"")</f>
        <v>0.0983452029610588</v>
      </c>
      <c r="BK81" s="36" t="n">
        <f aca="false">IF(AND(ISNUMBER(BK80),ISNUMBER(BF80)),IFERROR(BK80/BF80-1,""),"")</f>
        <v>0.0889674327636731</v>
      </c>
      <c r="BL81" s="36" t="n">
        <f aca="false">IF(AND(ISNUMBER(BL80),ISNUMBER(BG80)),IFERROR(BL80/BG80-1,""),"")</f>
        <v>0.112327764588853</v>
      </c>
      <c r="BM81" s="36" t="n">
        <f aca="false">IF(AND(ISNUMBER(BM80),ISNUMBER(BH80)),IFERROR(BM80/BH80-1,""),"")</f>
        <v>0.0905812829550916</v>
      </c>
      <c r="BN81" s="36" t="n">
        <f aca="false">IF(AND(ISNUMBER(BN80),ISNUMBER(BI80)),IFERROR(BN80/BI80-1,""),"")</f>
        <v>0.112350483277629</v>
      </c>
      <c r="BO81" s="36" t="n">
        <f aca="false">IF(AND(ISNUMBER(BO80),ISNUMBER(BJ80)),IFERROR(BO80/BJ80-1,""),"")</f>
        <v>0.132580116469645</v>
      </c>
      <c r="BP81" s="36" t="n">
        <f aca="false">IF(AND(ISNUMBER(BP80),ISNUMBER(BK80)),IFERROR(BP80/BK80-1,""),"")</f>
        <v>0.110371883794973</v>
      </c>
      <c r="BQ81" s="36" t="n">
        <f aca="false">IF(AND(ISNUMBER(BQ80),ISNUMBER(BL80)),IFERROR(BQ80/BL80-1,""),"")</f>
        <v>0.111897965968628</v>
      </c>
      <c r="BR81" s="36" t="n">
        <f aca="false">IF(AND(ISNUMBER(BR80),ISNUMBER(BM80)),IFERROR(BR80/BM80-1,""),"")</f>
        <v>0.0750357150955801</v>
      </c>
      <c r="BS81" s="36" t="n">
        <f aca="false">IF(AND(ISNUMBER(BS80),ISNUMBER(BN80)),IFERROR(BS80/BN80-1,""),"")</f>
        <v>0.0706749412632346</v>
      </c>
      <c r="BT81" s="36" t="n">
        <f aca="false">IF(AND(ISNUMBER(BT80),ISNUMBER(BO80)),IFERROR(BT80/BO80-1,""),"")</f>
        <v>0.0512681698601836</v>
      </c>
      <c r="BU81" s="36" t="n">
        <f aca="false">IF(AND(ISNUMBER(BU80),ISNUMBER(BP80)),IFERROR(BU80/BP80-1,""),"")</f>
        <v>0.0500039154389076</v>
      </c>
      <c r="BV81" s="36" t="n">
        <f aca="false">IF(AND(ISNUMBER(BV80),ISNUMBER(BQ80)),IFERROR(BV80/BQ80-1,""),"")</f>
        <v>0.06136200639693</v>
      </c>
      <c r="BW81" s="36" t="n">
        <f aca="false">IF(AND(ISNUMBER(BW80),ISNUMBER(BR80)),IFERROR(BW80/BR80-1,""),"")</f>
        <v>0.0639334594753738</v>
      </c>
      <c r="BX81" s="36" t="n">
        <f aca="false">IF(AND(ISNUMBER(BX80),ISNUMBER(BS80)),IFERROR(BX80/BS80-1,""),"")</f>
        <v>0.064207922128908</v>
      </c>
      <c r="BY81" s="37" t="n">
        <f aca="false">IFERROR(BY80/BT80-1,"")</f>
        <v>0.0562942245241904</v>
      </c>
      <c r="BZ81" s="37" t="n">
        <f aca="false">IFERROR(BZ80/BU80-1,"")</f>
        <v>0.0559074627977474</v>
      </c>
      <c r="CA81" s="37" t="n">
        <f aca="false">IFERROR(CA80/BV80-1,"")</f>
        <v>0.0600074047353334</v>
      </c>
      <c r="CB81" s="37" t="n">
        <f aca="false">IFERROR(CB80/CA80-1,"")</f>
        <v>0.0616113949826476</v>
      </c>
      <c r="CC81" s="37" t="n">
        <f aca="false">IFERROR(CC80/CB80-1,"")</f>
        <v>0.0801342186367369</v>
      </c>
      <c r="CD81" s="37" t="n">
        <f aca="false">IFERROR(CD80/CC80-1,"")</f>
        <v>0.0791695836720456</v>
      </c>
      <c r="CE81" s="37" t="n">
        <f aca="false">IFERROR(CE80/CD80-1,"")</f>
        <v>0.0748037531733097</v>
      </c>
      <c r="CF81" s="21"/>
    </row>
    <row r="82" customFormat="false" ht="15" hidden="true" customHeight="true" outlineLevel="2" collapsed="false">
      <c r="B82" s="46" t="s">
        <v>225</v>
      </c>
      <c r="C82" s="26" t="n">
        <f aca="false">ROUND(C80-C128,1)</f>
        <v>0</v>
      </c>
      <c r="D82" s="26" t="n">
        <f aca="false">ROUND(D80-D128,1)</f>
        <v>0</v>
      </c>
      <c r="E82" s="26" t="n">
        <f aca="false">ROUND(E80-E128,1)</f>
        <v>0</v>
      </c>
      <c r="F82" s="26" t="n">
        <f aca="false">ROUND(F80-F128,1)</f>
        <v>0</v>
      </c>
      <c r="G82" s="26" t="n">
        <f aca="false">ROUND(G80-G128,1)</f>
        <v>0</v>
      </c>
      <c r="H82" s="26" t="n">
        <f aca="false">ROUND(H80-H128,1)</f>
        <v>0</v>
      </c>
      <c r="I82" s="26" t="n">
        <f aca="false">ROUND(I80-I128,1)</f>
        <v>0</v>
      </c>
      <c r="J82" s="26" t="n">
        <f aca="false">ROUND(J80-J128,1)</f>
        <v>0</v>
      </c>
      <c r="K82" s="26" t="n">
        <f aca="false">ROUND(K80-K128,1)</f>
        <v>0</v>
      </c>
      <c r="L82" s="26" t="n">
        <f aca="false">ROUND(L80-L128,1)</f>
        <v>0</v>
      </c>
      <c r="M82" s="26" t="n">
        <f aca="false">ROUND(M80-M128,1)</f>
        <v>0</v>
      </c>
      <c r="N82" s="26" t="n">
        <f aca="false">ROUND(N80-N128,1)</f>
        <v>0</v>
      </c>
      <c r="O82" s="26" t="n">
        <f aca="false">ROUND(O80-O128,1)</f>
        <v>0</v>
      </c>
      <c r="P82" s="26" t="n">
        <f aca="false">ROUND(P80-P128,1)</f>
        <v>0</v>
      </c>
      <c r="Q82" s="26" t="n">
        <f aca="false">ROUND(Q80-Q128,1)</f>
        <v>0</v>
      </c>
      <c r="R82" s="26" t="n">
        <f aca="false">ROUND(R80-R128,1)</f>
        <v>0</v>
      </c>
      <c r="S82" s="26" t="n">
        <f aca="false">ROUND(S80-S128,1)</f>
        <v>0</v>
      </c>
      <c r="T82" s="26" t="n">
        <f aca="false">ROUND(T80-T128,1)</f>
        <v>0</v>
      </c>
      <c r="U82" s="26" t="n">
        <f aca="false">ROUND(U80-U128,1)</f>
        <v>0</v>
      </c>
      <c r="V82" s="26" t="n">
        <f aca="false">ROUND(V80-V128,1)</f>
        <v>0</v>
      </c>
      <c r="W82" s="26" t="n">
        <f aca="false">ROUND(W80-W128,1)</f>
        <v>0</v>
      </c>
      <c r="X82" s="26" t="n">
        <f aca="false">ROUND(X80-X128,1)</f>
        <v>0</v>
      </c>
      <c r="Y82" s="26" t="n">
        <f aca="false">ROUND(Y80-Y128,1)</f>
        <v>0</v>
      </c>
      <c r="Z82" s="26" t="n">
        <f aca="false">ROUND(Z80-Z128,1)</f>
        <v>0</v>
      </c>
      <c r="AA82" s="26" t="n">
        <f aca="false">ROUND(AA80-AA128,1)</f>
        <v>0</v>
      </c>
      <c r="AB82" s="26" t="n">
        <f aca="false">ROUND(AB80-AB128,1)</f>
        <v>0</v>
      </c>
      <c r="AC82" s="26" t="n">
        <f aca="false">ROUND(AC80-AC128,1)</f>
        <v>0</v>
      </c>
      <c r="AD82" s="26" t="n">
        <f aca="false">ROUND(AD80-AD128,1)</f>
        <v>0</v>
      </c>
      <c r="AE82" s="26" t="n">
        <f aca="false">ROUND(AE80-AE128,1)</f>
        <v>0</v>
      </c>
      <c r="AF82" s="26" t="n">
        <f aca="false">ROUND(AF80-AF128,1)</f>
        <v>0</v>
      </c>
      <c r="AG82" s="26" t="n">
        <f aca="false">ROUND(AG80-AG128,1)</f>
        <v>0</v>
      </c>
      <c r="AH82" s="26" t="n">
        <f aca="false">ROUND(AH80-AH128,1)</f>
        <v>0</v>
      </c>
      <c r="AI82" s="26" t="n">
        <f aca="false">ROUND(AI80-AI128,1)</f>
        <v>0</v>
      </c>
      <c r="AJ82" s="26" t="n">
        <f aca="false">ROUND(AJ80-AJ128,1)</f>
        <v>0</v>
      </c>
      <c r="AK82" s="26" t="n">
        <f aca="false">ROUND(AK80-AK128,1)</f>
        <v>0</v>
      </c>
      <c r="AL82" s="26" t="n">
        <f aca="false">ROUND(AL80-AL128,1)</f>
        <v>0</v>
      </c>
      <c r="AM82" s="26" t="n">
        <f aca="false">ROUND(AM80-AM128,1)</f>
        <v>0</v>
      </c>
      <c r="AN82" s="26" t="n">
        <f aca="false">ROUND(AN80-AN128,1)</f>
        <v>0</v>
      </c>
      <c r="AO82" s="26" t="n">
        <f aca="false">ROUND(AO80-AO128,1)</f>
        <v>0</v>
      </c>
      <c r="AP82" s="26" t="n">
        <f aca="false">ROUND(AP80-AP128,1)</f>
        <v>0</v>
      </c>
      <c r="AQ82" s="26" t="n">
        <f aca="false">ROUND(AQ80-AQ128,1)</f>
        <v>0</v>
      </c>
      <c r="AR82" s="26" t="n">
        <f aca="false">ROUND(AR80-AR128,1)</f>
        <v>0</v>
      </c>
      <c r="AS82" s="26" t="n">
        <f aca="false">ROUND(AS80-AS128,1)</f>
        <v>0</v>
      </c>
      <c r="AT82" s="26" t="n">
        <f aca="false">ROUND(AT80-AT128,1)</f>
        <v>0</v>
      </c>
      <c r="AU82" s="26" t="n">
        <f aca="false">ROUND(AU80-AU128,1)</f>
        <v>0</v>
      </c>
      <c r="AV82" s="26" t="n">
        <f aca="false">ROUND(AV80-AV128,1)</f>
        <v>0</v>
      </c>
      <c r="AW82" s="26" t="n">
        <f aca="false">ROUND(AW80-AW128,1)</f>
        <v>0</v>
      </c>
      <c r="AX82" s="26" t="n">
        <f aca="false">ROUND(AX80-AX128,1)</f>
        <v>0</v>
      </c>
      <c r="AY82" s="26" t="n">
        <f aca="false">ROUND(AY80-AY128,1)</f>
        <v>0</v>
      </c>
      <c r="AZ82" s="26" t="n">
        <f aca="false">ROUND(AZ80-AZ128,1)</f>
        <v>0</v>
      </c>
      <c r="BA82" s="26" t="n">
        <f aca="false">ROUND(BA80-BA128,1)</f>
        <v>0</v>
      </c>
      <c r="BB82" s="26" t="n">
        <f aca="false">ROUND(BB80-BB128,1)</f>
        <v>0</v>
      </c>
      <c r="BC82" s="26" t="n">
        <f aca="false">ROUND(BC80-BC128,1)</f>
        <v>0</v>
      </c>
      <c r="BD82" s="26" t="n">
        <f aca="false">ROUND(BD80-BD128,1)</f>
        <v>0</v>
      </c>
      <c r="BE82" s="26" t="n">
        <f aca="false">ROUND(BE80-BE128,1)</f>
        <v>0</v>
      </c>
      <c r="BF82" s="26" t="n">
        <f aca="false">ROUND(BF80-BF128,1)</f>
        <v>0</v>
      </c>
      <c r="BG82" s="26" t="n">
        <f aca="false">ROUND(BG80-BG128,1)</f>
        <v>0</v>
      </c>
      <c r="BH82" s="26" t="n">
        <f aca="false">ROUND(BH80-BH128,1)</f>
        <v>0</v>
      </c>
      <c r="BI82" s="26" t="n">
        <f aca="false">ROUND(BI80-BI128,1)</f>
        <v>0</v>
      </c>
      <c r="BJ82" s="26" t="n">
        <f aca="false">ROUND(BJ80-BJ128,1)</f>
        <v>0</v>
      </c>
      <c r="BK82" s="26" t="n">
        <f aca="false">ROUND(BK80-BK128,1)</f>
        <v>0</v>
      </c>
      <c r="BL82" s="26" t="n">
        <f aca="false">ROUND(BL80-BL128,1)</f>
        <v>0</v>
      </c>
      <c r="BM82" s="26" t="n">
        <f aca="false">ROUND(BM80-BM128,1)</f>
        <v>0</v>
      </c>
      <c r="BN82" s="26" t="n">
        <f aca="false">ROUND(BN80-BN128,1)</f>
        <v>0</v>
      </c>
      <c r="BO82" s="26" t="n">
        <f aca="false">ROUND(BO80-BO128,1)</f>
        <v>0</v>
      </c>
      <c r="BP82" s="26" t="n">
        <f aca="false">ROUND(BP80-BP128,1)</f>
        <v>0</v>
      </c>
      <c r="BQ82" s="26" t="n">
        <f aca="false">ROUND(BQ80-BQ128,1)</f>
        <v>0</v>
      </c>
      <c r="BR82" s="26" t="n">
        <f aca="false">ROUND(BR80-BR128,1)</f>
        <v>0</v>
      </c>
      <c r="BS82" s="26" t="n">
        <f aca="false">ROUND(BS80-BS128,1)</f>
        <v>0</v>
      </c>
      <c r="BT82" s="26" t="n">
        <f aca="false">ROUND(BT80-BT128,1)</f>
        <v>0</v>
      </c>
      <c r="BU82" s="26" t="n">
        <f aca="false">ROUND(BU80-BU128,1)</f>
        <v>0</v>
      </c>
      <c r="BV82" s="26" t="n">
        <f aca="false">ROUND(BV80-BV128,1)</f>
        <v>0</v>
      </c>
      <c r="BW82" s="26" t="n">
        <f aca="false">ROUND(BW80-BW128,1)</f>
        <v>0</v>
      </c>
      <c r="BX82" s="26" t="n">
        <f aca="false">ROUND(BX80-BX128,1)</f>
        <v>0</v>
      </c>
      <c r="BY82" s="47" t="n">
        <f aca="false">ROUND(BY80-BY128,1)</f>
        <v>0</v>
      </c>
      <c r="BZ82" s="47" t="n">
        <f aca="false">ROUND(BZ80-BZ128,1)</f>
        <v>0</v>
      </c>
      <c r="CA82" s="47" t="n">
        <f aca="false">ROUND(CA80-CA128,1)</f>
        <v>0</v>
      </c>
      <c r="CB82" s="47" t="n">
        <f aca="false">ROUND(CB80-CB128,1)</f>
        <v>0</v>
      </c>
      <c r="CC82" s="47" t="n">
        <f aca="false">ROUND(CC80-CC128,1)</f>
        <v>0</v>
      </c>
      <c r="CD82" s="47" t="n">
        <f aca="false">ROUND(CD80-CD128,1)</f>
        <v>0</v>
      </c>
      <c r="CE82" s="47" t="n">
        <f aca="false">ROUND(CE80-CE128,1)</f>
        <v>0</v>
      </c>
      <c r="CF82" s="21"/>
    </row>
    <row r="83" customFormat="false" ht="15" hidden="true" customHeight="true" outlineLevel="2" collapsed="false">
      <c r="B83" s="24" t="s">
        <v>226</v>
      </c>
      <c r="C83" s="26" t="n">
        <f aca="false">C80-N(C67)</f>
        <v>824.354</v>
      </c>
      <c r="D83" s="26" t="n">
        <f aca="false">D80-N(D67)</f>
        <v>958.541</v>
      </c>
      <c r="E83" s="26" t="n">
        <f aca="false">E80-N(E67)</f>
        <v>1049.603</v>
      </c>
      <c r="F83" s="26" t="n">
        <f aca="false">F80-N(F67)</f>
        <v>1191.393</v>
      </c>
      <c r="G83" s="26" t="n">
        <f aca="false">G80-N(G67)</f>
        <v>1319.757</v>
      </c>
      <c r="H83" s="26" t="n">
        <f aca="false">H80-N(H67)</f>
        <v>1505.366</v>
      </c>
      <c r="I83" s="26" t="n">
        <f aca="false">I80-N(I67)</f>
        <v>1661.618</v>
      </c>
      <c r="J83" s="26" t="n">
        <f aca="false">J80-N(J67)</f>
        <v>449.892</v>
      </c>
      <c r="K83" s="26" t="n">
        <f aca="false">K80-N(K67)</f>
        <v>489.381</v>
      </c>
      <c r="L83" s="26" t="n">
        <f aca="false">L80-N(L67)</f>
        <v>503.646</v>
      </c>
      <c r="M83" s="26" t="n">
        <f aca="false">M80-N(M67)</f>
        <v>485.877</v>
      </c>
      <c r="N83" s="26" t="n">
        <f aca="false">N80-N(N67)</f>
        <v>1928.795</v>
      </c>
      <c r="O83" s="26" t="n">
        <f aca="false">O80-N(O67)</f>
        <v>481.71</v>
      </c>
      <c r="P83" s="26" t="n">
        <f aca="false">P80-N(P67)</f>
        <v>524.693</v>
      </c>
      <c r="Q83" s="26" t="n">
        <f aca="false">Q80-N(Q67)</f>
        <v>546.551</v>
      </c>
      <c r="R83" s="26" t="n">
        <f aca="false">R80-N(R67)</f>
        <v>526.213</v>
      </c>
      <c r="S83" s="26" t="n">
        <f aca="false">S80-N(S67)</f>
        <v>2079.166</v>
      </c>
      <c r="T83" s="26" t="n">
        <f aca="false">T80-N(T67)</f>
        <v>506.1</v>
      </c>
      <c r="U83" s="26" t="n">
        <f aca="false">U80-N(U67)</f>
        <v>531.312</v>
      </c>
      <c r="V83" s="26" t="n">
        <f aca="false">V80-N(V67)</f>
        <v>547.938</v>
      </c>
      <c r="W83" s="26" t="n">
        <f aca="false">W80-N(W67)</f>
        <v>531.937</v>
      </c>
      <c r="X83" s="26" t="n">
        <f aca="false">X80-N(X67)</f>
        <v>2117.287</v>
      </c>
      <c r="Y83" s="26" t="n">
        <f aca="false">Y80-N(Y67)</f>
        <v>514.68</v>
      </c>
      <c r="Z83" s="26" t="n">
        <f aca="false">Z80-N(Z67)</f>
        <v>727.639</v>
      </c>
      <c r="AA83" s="26" t="n">
        <f aca="false">AA80-N(AA67)</f>
        <v>1084.922</v>
      </c>
      <c r="AB83" s="26" t="n">
        <f aca="false">AB80-N(AB67)</f>
        <v>1048.622</v>
      </c>
      <c r="AC83" s="26" t="n">
        <f aca="false">AC80-N(AC67)</f>
        <v>3375.863</v>
      </c>
      <c r="AD83" s="26" t="n">
        <f aca="false">AD80-N(AD67)</f>
        <v>1091.266</v>
      </c>
      <c r="AE83" s="26" t="n">
        <f aca="false">AE80-N(AE67)</f>
        <v>1175.569</v>
      </c>
      <c r="AF83" s="26" t="n">
        <f aca="false">AF80-N(AF67)</f>
        <v>1206.478</v>
      </c>
      <c r="AG83" s="26" t="n">
        <f aca="false">AG80-N(AG67)</f>
        <v>1157.175</v>
      </c>
      <c r="AH83" s="26" t="n">
        <f aca="false">AH80-N(AH67)</f>
        <v>4630.488</v>
      </c>
      <c r="AI83" s="26" t="n">
        <f aca="false">AI80-N(AI67)</f>
        <v>1140.131</v>
      </c>
      <c r="AJ83" s="26" t="n">
        <f aca="false">AJ80-N(AJ67)</f>
        <v>1239.968</v>
      </c>
      <c r="AK83" s="26" t="n">
        <f aca="false">AK80-N(AK67)</f>
        <v>1281.11</v>
      </c>
      <c r="AL83" s="26" t="n">
        <f aca="false">AL80-N(AL67)</f>
        <v>1261.732</v>
      </c>
      <c r="AM83" s="26" t="n">
        <f aca="false">AM80-N(AM67)</f>
        <v>4922.941</v>
      </c>
      <c r="AN83" s="26" t="n">
        <f aca="false">AN80-N(AN67)</f>
        <v>1244.637</v>
      </c>
      <c r="AO83" s="26" t="n">
        <f aca="false">AO80-N(AO67)</f>
        <v>1369.639</v>
      </c>
      <c r="AP83" s="26" t="n">
        <f aca="false">AP80-N(AP67)</f>
        <v>1412.444</v>
      </c>
      <c r="AQ83" s="26" t="n">
        <f aca="false">AQ80-N(AQ67)</f>
        <v>1361.96</v>
      </c>
      <c r="AR83" s="26" t="n">
        <f aca="false">AR80-N(AR67)</f>
        <v>5388.679</v>
      </c>
      <c r="AS83" s="26" t="n">
        <f aca="false">AS80-N(AS67)</f>
        <v>1352.404</v>
      </c>
      <c r="AT83" s="26" t="n">
        <f aca="false">AT80-N(AT67)</f>
        <v>1305.782</v>
      </c>
      <c r="AU83" s="26" t="n">
        <f aca="false">AU80-N(AU67)</f>
        <v>1389.552</v>
      </c>
      <c r="AV83" s="26" t="n">
        <f aca="false">AV80-N(AV67)</f>
        <v>1398.251</v>
      </c>
      <c r="AW83" s="26" t="n">
        <f aca="false">AW80-N(AW67)</f>
        <v>5445.99</v>
      </c>
      <c r="AX83" s="26" t="n">
        <f aca="false">AX80-N(AX67)</f>
        <v>1395.942</v>
      </c>
      <c r="AY83" s="26" t="n">
        <f aca="false">AY80-N(AY67)</f>
        <v>1533.931</v>
      </c>
      <c r="AZ83" s="26" t="n">
        <f aca="false">AZ80-N(AZ67)</f>
        <v>1597.168</v>
      </c>
      <c r="BA83" s="26" t="n">
        <f aca="false">BA80-N(BA67)</f>
        <v>1624.319</v>
      </c>
      <c r="BB83" s="26" t="n">
        <f aca="false">BB80-N(BB67)</f>
        <v>6151.361</v>
      </c>
      <c r="BC83" s="26" t="n">
        <f aca="false">BC80-N(BC67)</f>
        <v>1646.255</v>
      </c>
      <c r="BD83" s="26" t="n">
        <f aca="false">BD80-N(BD67)</f>
        <v>1816.435</v>
      </c>
      <c r="BE83" s="26" t="n">
        <f aca="false">BE80-N(BE67)</f>
        <v>1879.868</v>
      </c>
      <c r="BF83" s="26" t="n">
        <f aca="false">BF80-N(BF67)</f>
        <v>1869.302</v>
      </c>
      <c r="BG83" s="26" t="n">
        <f aca="false">BG80-N(BG67)</f>
        <v>7211.859</v>
      </c>
      <c r="BH83" s="26" t="n">
        <f aca="false">BH80-N(BH67)</f>
        <v>1900.503</v>
      </c>
      <c r="BI83" s="26" t="n">
        <f aca="false">BI80-N(BI67)</f>
        <v>2021.095</v>
      </c>
      <c r="BJ83" s="26" t="n">
        <f aca="false">BJ80-N(BJ67)</f>
        <v>2064.744</v>
      </c>
      <c r="BK83" s="26" t="n">
        <f aca="false">BK80-N(BK67)</f>
        <v>2035.609</v>
      </c>
      <c r="BL83" s="26" t="n">
        <f aca="false">BL80-N(BL67)</f>
        <v>8021.951</v>
      </c>
      <c r="BM83" s="26" t="n">
        <f aca="false">BM80-N(BM67)</f>
        <v>2072.653</v>
      </c>
      <c r="BN83" s="26" t="n">
        <f aca="false">BN80-N(BN67)</f>
        <v>2248.166</v>
      </c>
      <c r="BO83" s="26" t="n">
        <f aca="false">BO80-N(BO67)</f>
        <v>2338.488</v>
      </c>
      <c r="BP83" s="26" t="n">
        <f aca="false">BP80-N(BP67)</f>
        <v>2260.283</v>
      </c>
      <c r="BQ83" s="26" t="n">
        <f aca="false">BQ80-N(BQ67)</f>
        <v>8919.591</v>
      </c>
      <c r="BR83" s="26" t="n">
        <f aca="false">BR80-N(BR67)</f>
        <v>2228.176</v>
      </c>
      <c r="BS83" s="26" t="n">
        <f aca="false">BS80-N(BS67)</f>
        <v>2407.055</v>
      </c>
      <c r="BT83" s="26" t="n">
        <f aca="false">BT80-N(BT67)</f>
        <v>2458.378</v>
      </c>
      <c r="BU83" s="26" t="n">
        <f aca="false">BU80-N(BU67)</f>
        <v>2373.306</v>
      </c>
      <c r="BV83" s="26" t="n">
        <f aca="false">BV80-N(BV67)</f>
        <v>9466.915</v>
      </c>
      <c r="BW83" s="26" t="n">
        <f aca="false">BW80-N(BW67)</f>
        <v>2370.631</v>
      </c>
      <c r="BX83" s="26" t="n">
        <f aca="false">BX80-N(BX67)</f>
        <v>2561.607</v>
      </c>
      <c r="BY83" s="47" t="n">
        <f aca="false">BY80-N(BY67)</f>
        <v>2596.77048309733</v>
      </c>
      <c r="BZ83" s="47" t="n">
        <f aca="false">BZ80-N(BZ67)</f>
        <v>2505.99151690267</v>
      </c>
      <c r="CA83" s="47" t="n">
        <f aca="false">CA80-N(CA67)</f>
        <v>10035</v>
      </c>
      <c r="CB83" s="47" t="n">
        <f aca="false">CB80-N(CB67)</f>
        <v>10471.4521668327</v>
      </c>
      <c r="CC83" s="47" t="n">
        <f aca="false">CC80-N(CC67)</f>
        <v>10943.3254803296</v>
      </c>
      <c r="CD83" s="47" t="n">
        <f aca="false">CD80-N(CD67)</f>
        <v>11453.4177679374</v>
      </c>
      <c r="CE83" s="47" t="n">
        <f aca="false">CE80-N(CE67)</f>
        <v>11961.3734782927</v>
      </c>
      <c r="CF83" s="21"/>
    </row>
    <row r="84" customFormat="false" ht="15" hidden="true" customHeight="true" outlineLevel="2" collapsed="false">
      <c r="B84" s="24" t="s">
        <v>227</v>
      </c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8"/>
      <c r="BZ84" s="28"/>
      <c r="CA84" s="47" t="n">
        <f aca="false">CHOOSE(MATCH($CF$2,{"Bull","Base","Bear"},0),$CO$12,$CP$12,$CQ$12)</f>
        <v>10035</v>
      </c>
      <c r="CB84" s="28"/>
      <c r="CC84" s="28"/>
      <c r="CD84" s="28"/>
      <c r="CE84" s="28"/>
      <c r="CF84" s="21" t="s">
        <v>228</v>
      </c>
    </row>
    <row r="85" customFormat="false" ht="15" hidden="true" customHeight="true" outlineLevel="2" collapsed="false">
      <c r="B85" s="29" t="s">
        <v>229</v>
      </c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47" t="n">
        <f aca="false">(1-BY59)*(BT11*(1+$BX$21)+BT15*(1+$BX$21)+BT18*(1+$BX$21)+BT47*(1+$BX$49)+BT52*(1+$BX$54))</f>
        <v>2627.8984986988</v>
      </c>
      <c r="BZ85" s="47" t="n">
        <f aca="false">(1-BZ59)*(BU11*(1+$BX$21)+BU15*(1+$BX$21)+BU18*(1+$BX$21)+BU47*(1+$BX$49)+BU52*(1+$BX$54))</f>
        <v>2536.04234968553</v>
      </c>
      <c r="CA85" s="28"/>
      <c r="CB85" s="28"/>
      <c r="CC85" s="28"/>
      <c r="CD85" s="28"/>
      <c r="CE85" s="28"/>
      <c r="CF85" s="21" t="s">
        <v>230</v>
      </c>
    </row>
    <row r="86" customFormat="false" ht="15" hidden="true" customHeight="true" outlineLevel="2" collapsed="false">
      <c r="B86" s="29" t="s">
        <v>231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47" t="n">
        <f aca="false">(1-BY59)*(BT11+BT15+BT18+BT47+BT52)</f>
        <v>2458.378</v>
      </c>
      <c r="BZ86" s="47" t="n">
        <f aca="false">(1-BZ59)*(BU11+BU15+BU18+BU47+BU52)</f>
        <v>2373.306</v>
      </c>
      <c r="CA86" s="28"/>
      <c r="CB86" s="28"/>
      <c r="CC86" s="28"/>
      <c r="CD86" s="28"/>
      <c r="CE86" s="28"/>
      <c r="CF86" s="21"/>
    </row>
    <row r="87" customFormat="false" ht="15" hidden="true" customHeight="true" outlineLevel="2" collapsed="false">
      <c r="B87" s="29" t="s">
        <v>232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7" t="n">
        <f aca="false">(CA84-BW128-BX128-BY85-BZ85)/(BY86+BZ86)</f>
        <v>-0.0126620135721478</v>
      </c>
      <c r="BZ87" s="37" t="n">
        <f aca="false">BY87</f>
        <v>-0.0126620135721478</v>
      </c>
      <c r="CA87" s="39"/>
      <c r="CB87" s="39"/>
      <c r="CC87" s="39"/>
      <c r="CD87" s="39"/>
      <c r="CE87" s="39"/>
      <c r="CF87" s="21" t="s">
        <v>233</v>
      </c>
    </row>
    <row r="88" customFormat="false" ht="15" hidden="true" customHeight="true" outlineLevel="1" collapsed="true">
      <c r="B88" s="46" t="s">
        <v>234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8"/>
      <c r="BZ88" s="28"/>
      <c r="CA88" s="47" t="n">
        <f aca="false">ROUND(CA128-CA84,1)</f>
        <v>0</v>
      </c>
      <c r="CB88" s="28"/>
      <c r="CC88" s="28"/>
      <c r="CD88" s="28"/>
      <c r="CE88" s="28"/>
      <c r="CF88" s="21"/>
    </row>
    <row r="89" customFormat="false" ht="15" hidden="true" customHeight="true" outlineLevel="1" collapsed="false">
      <c r="B89" s="29" t="s">
        <v>235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47" t="n">
        <f aca="false">BY128*(1-BY120)-BY130+BY171+N(BY174)+N(BY175)</f>
        <v>883.77439550286</v>
      </c>
      <c r="BZ89" s="47" t="n">
        <f aca="false">BZ128*(1-BZ120)-BZ130+BZ171+N(BZ174)+N(BZ175)</f>
        <v>845.005752139845</v>
      </c>
      <c r="CA89" s="28"/>
      <c r="CB89" s="28"/>
      <c r="CC89" s="28"/>
      <c r="CD89" s="28"/>
      <c r="CE89" s="28"/>
      <c r="CF89" s="21" t="s">
        <v>236</v>
      </c>
    </row>
    <row r="90" customFormat="false" ht="15" hidden="true" customHeight="true" outlineLevel="1" collapsed="false">
      <c r="B90" s="29" t="s">
        <v>237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7" t="n">
        <f aca="false">(BY89+BZ89-(CA91-BW180-BX180))/(BY128+BZ128)</f>
        <v>0.000663983082633307</v>
      </c>
      <c r="BZ90" s="37" t="n">
        <f aca="false">BY90</f>
        <v>0.000663983082633307</v>
      </c>
      <c r="CA90" s="39"/>
      <c r="CB90" s="39"/>
      <c r="CC90" s="39"/>
      <c r="CD90" s="39"/>
      <c r="CE90" s="39"/>
      <c r="CF90" s="21" t="s">
        <v>238</v>
      </c>
    </row>
    <row r="91" customFormat="false" ht="15" hidden="true" customHeight="true" outlineLevel="1" collapsed="false">
      <c r="B91" s="24" t="s">
        <v>239</v>
      </c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8"/>
      <c r="BZ91" s="28"/>
      <c r="CA91" s="47" t="n">
        <f aca="false">CHOOSE(MATCH($CF$2,{"Bull","Base","Bear"},0),$CO$13,$CP$13,$CQ$13)</f>
        <v>3335</v>
      </c>
      <c r="CB91" s="28"/>
      <c r="CC91" s="28"/>
      <c r="CD91" s="28"/>
      <c r="CE91" s="28"/>
      <c r="CF91" s="21" t="s">
        <v>240</v>
      </c>
    </row>
    <row r="92" customFormat="false" ht="15" hidden="true" customHeight="true" outlineLevel="1" collapsed="false">
      <c r="B92" s="46" t="s">
        <v>241</v>
      </c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8"/>
      <c r="BZ92" s="28"/>
      <c r="CA92" s="47" t="n">
        <f aca="false">ROUND(CA180-CA91,1)</f>
        <v>0</v>
      </c>
      <c r="CB92" s="28"/>
      <c r="CC92" s="28"/>
      <c r="CD92" s="28"/>
      <c r="CE92" s="28"/>
      <c r="CF92" s="21"/>
    </row>
    <row r="93" customFormat="false" ht="15" hidden="true" customHeight="true" outlineLevel="1" collapsed="false">
      <c r="B93" s="24" t="s">
        <v>242</v>
      </c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8"/>
      <c r="BZ93" s="28"/>
      <c r="CA93" s="47" t="n">
        <f aca="false">CHOOSE(MATCH($CF$2,{"Bull","Base","Bear"},0),$CO$15,$CP$15,$CQ$15)</f>
        <v>1425</v>
      </c>
      <c r="CB93" s="28"/>
      <c r="CC93" s="28"/>
      <c r="CD93" s="28"/>
      <c r="CE93" s="28"/>
      <c r="CF93" s="21" t="s">
        <v>243</v>
      </c>
    </row>
    <row r="94" customFormat="false" ht="15" hidden="true" customHeight="true" outlineLevel="1" collapsed="false">
      <c r="B94" s="24" t="s">
        <v>244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8"/>
      <c r="BZ94" s="28"/>
      <c r="CA94" s="47" t="n">
        <f aca="false">CHOOSE(MATCH($CF$2,{"Bull","Base","Bear"},0),$CO$14,$CP$14,$CQ$14)</f>
        <v>1171</v>
      </c>
      <c r="CB94" s="28"/>
      <c r="CC94" s="28"/>
      <c r="CD94" s="28"/>
      <c r="CE94" s="28"/>
      <c r="CF94" s="21"/>
    </row>
    <row r="95" customFormat="false" ht="15" hidden="true" customHeight="true" outlineLevel="2" collapsed="false">
      <c r="B95" s="24" t="s">
        <v>245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8"/>
      <c r="BZ95" s="28"/>
      <c r="CA95" s="47" t="n">
        <f aca="false">CHOOSE(MATCH($CF$2,{"Bull","Base","Bear"},0),$CO$16,$CP$16,$CQ$16)</f>
        <v>2655</v>
      </c>
      <c r="CB95" s="28"/>
      <c r="CC95" s="28"/>
      <c r="CD95" s="28"/>
      <c r="CE95" s="28"/>
      <c r="CF95" s="21" t="s">
        <v>246</v>
      </c>
    </row>
    <row r="96" customFormat="false" ht="15" hidden="true" customHeight="true" outlineLevel="2" collapsed="false">
      <c r="B96" s="46" t="s">
        <v>247</v>
      </c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8"/>
      <c r="BZ96" s="28"/>
      <c r="CA96" s="47" t="n">
        <f aca="false">ROUND(CA241-CA95,1)</f>
        <v>0</v>
      </c>
      <c r="CB96" s="28"/>
      <c r="CC96" s="28"/>
      <c r="CD96" s="28"/>
      <c r="CE96" s="28"/>
      <c r="CF96" s="21"/>
    </row>
    <row r="97" customFormat="false" ht="15" hidden="true" customHeight="true" outlineLevel="2" collapsed="false"/>
    <row r="98" customFormat="false" ht="15" hidden="true" customHeight="true" outlineLevel="2" collapsed="false">
      <c r="B98" s="16" t="s">
        <v>248</v>
      </c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7" t="s">
        <v>249</v>
      </c>
    </row>
    <row r="99" customFormat="false" ht="15" hidden="true" customHeight="true" outlineLevel="2" collapsed="false">
      <c r="B99" s="29" t="s">
        <v>250</v>
      </c>
      <c r="C99" s="25"/>
      <c r="D99" s="27" t="n">
        <v>224.043</v>
      </c>
      <c r="E99" s="27" t="n">
        <v>238.571</v>
      </c>
      <c r="F99" s="27" t="n">
        <v>282.263</v>
      </c>
      <c r="G99" s="27" t="n">
        <v>318.616</v>
      </c>
      <c r="H99" s="25"/>
      <c r="I99" s="25"/>
      <c r="J99" s="25"/>
      <c r="K99" s="25"/>
      <c r="L99" s="25"/>
      <c r="M99" s="26" t="str">
        <f aca="false">IF(AND(ISNUMBER(N99),ISNUMBER(J99),ISNUMBER(K99),ISNUMBER(L99)),N99-J99-K99-L99,"")</f>
        <v/>
      </c>
      <c r="N99" s="25"/>
      <c r="O99" s="25"/>
      <c r="P99" s="25"/>
      <c r="Q99" s="25"/>
      <c r="R99" s="26" t="str">
        <f aca="false">IF(AND(ISNUMBER(S99),ISNUMBER(O99),ISNUMBER(P99),ISNUMBER(Q99)),S99-O99-P99-Q99,"")</f>
        <v/>
      </c>
      <c r="S99" s="25"/>
      <c r="T99" s="25"/>
      <c r="U99" s="25"/>
      <c r="V99" s="25"/>
      <c r="W99" s="26" t="str">
        <f aca="false">IF(AND(ISNUMBER(X99),ISNUMBER(T99),ISNUMBER(U99),ISNUMBER(V99)),X99-T99-U99-V99,"")</f>
        <v/>
      </c>
      <c r="X99" s="25"/>
      <c r="Y99" s="25"/>
      <c r="Z99" s="27" t="n">
        <v>120.551</v>
      </c>
      <c r="AA99" s="27" t="n">
        <v>279.909</v>
      </c>
      <c r="AB99" s="25"/>
      <c r="AC99" s="27" t="n">
        <v>713.381</v>
      </c>
      <c r="AD99" s="27" t="n">
        <v>280.123</v>
      </c>
      <c r="AE99" s="27" t="n">
        <v>285.383</v>
      </c>
      <c r="AF99" s="27" t="n">
        <v>280.528</v>
      </c>
      <c r="AG99" s="26" t="n">
        <f aca="false">IF(AND(ISNUMBER(AH99),ISNUMBER(AD99),ISNUMBER(AE99),ISNUMBER(AF99)),AH99-AD99-AE99-AF99,"")</f>
        <v>269.83</v>
      </c>
      <c r="AH99" s="27" t="n">
        <v>1115.864</v>
      </c>
      <c r="AI99" s="27" t="n">
        <v>273.339</v>
      </c>
      <c r="AJ99" s="27" t="n">
        <v>283.11</v>
      </c>
      <c r="AK99" s="27" t="n">
        <v>283.04</v>
      </c>
      <c r="AL99" s="26" t="n">
        <f aca="false">IF(AND(ISNUMBER(AM99),ISNUMBER(AI99),ISNUMBER(AJ99),ISNUMBER(AK99)),AM99-AI99-AJ99-AK99,"")</f>
        <v>283.059</v>
      </c>
      <c r="AM99" s="27" t="n">
        <v>1122.548</v>
      </c>
      <c r="AN99" s="27" t="n">
        <v>287.329</v>
      </c>
      <c r="AO99" s="27" t="n">
        <v>298.015</v>
      </c>
      <c r="AP99" s="27" t="n">
        <v>305.188</v>
      </c>
      <c r="AQ99" s="26" t="n">
        <f aca="false">IF(AND(ISNUMBER(AR99),ISNUMBER(AN99),ISNUMBER(AO99),ISNUMBER(AP99)),AR99-AN99-AO99-AP99,"")</f>
        <v>302.39</v>
      </c>
      <c r="AR99" s="27" t="n">
        <v>1192.922</v>
      </c>
      <c r="AS99" s="27" t="n">
        <v>309.387</v>
      </c>
      <c r="AT99" s="27" t="n">
        <v>297.099</v>
      </c>
      <c r="AU99" s="27" t="n">
        <v>330.575</v>
      </c>
      <c r="AV99" s="25"/>
      <c r="AW99" s="27" t="n">
        <v>1369.58</v>
      </c>
      <c r="AX99" s="27" t="n">
        <v>338.161</v>
      </c>
      <c r="AY99" s="27" t="n">
        <v>363.336</v>
      </c>
      <c r="AZ99" s="27" t="n">
        <v>370.958</v>
      </c>
      <c r="BA99" s="26" t="n">
        <f aca="false">IF(AND(ISNUMBER(BB99),ISNUMBER(AX99),ISNUMBER(AY99),ISNUMBER(AZ99)),BB99-AX99-AY99-AZ99,"")</f>
        <v>374.291</v>
      </c>
      <c r="BB99" s="27" t="n">
        <v>1446.746</v>
      </c>
      <c r="BC99" s="27" t="n">
        <v>387.064</v>
      </c>
      <c r="BD99" s="27" t="n">
        <v>416.464</v>
      </c>
      <c r="BE99" s="27" t="n">
        <v>428.366</v>
      </c>
      <c r="BF99" s="26" t="n">
        <f aca="false">IF(AND(ISNUMBER(BG99),ISNUMBER(BC99),ISNUMBER(BD99),ISNUMBER(BE99)),BG99-BC99-BD99-BE99,"")</f>
        <v>435.884</v>
      </c>
      <c r="BG99" s="27" t="n">
        <v>1667.778</v>
      </c>
      <c r="BH99" s="27" t="n">
        <v>447.04</v>
      </c>
      <c r="BI99" s="27" t="n">
        <v>414.061</v>
      </c>
      <c r="BJ99" s="27" t="n">
        <v>413.578</v>
      </c>
      <c r="BK99" s="25"/>
      <c r="BL99" s="27" t="n">
        <v>1642.274</v>
      </c>
      <c r="BM99" s="27" t="n">
        <v>418.946</v>
      </c>
      <c r="BN99" s="27" t="n">
        <v>439.275</v>
      </c>
      <c r="BO99" s="27" t="n">
        <v>453.215</v>
      </c>
      <c r="BP99" s="26" t="n">
        <f aca="false">IF(AND(ISNUMBER(BQ99),ISNUMBER(BM99),ISNUMBER(BN99),ISNUMBER(BO99)),BQ99-BM99-BN99-BO99,"")</f>
        <v>445.757</v>
      </c>
      <c r="BQ99" s="27" t="n">
        <v>1757.193</v>
      </c>
      <c r="BR99" s="27" t="n">
        <v>453.403</v>
      </c>
      <c r="BS99" s="27" t="n">
        <v>476.945</v>
      </c>
      <c r="BT99" s="27" t="n">
        <v>485.394</v>
      </c>
      <c r="BU99" s="26" t="n">
        <f aca="false">IF(AND(ISNUMBER(BV99),ISNUMBER(BR99),ISNUMBER(BS99),ISNUMBER(BT99)),BV99-BR99-BS99-BT99,"")</f>
        <v>492.067</v>
      </c>
      <c r="BV99" s="27" t="n">
        <v>1907.809</v>
      </c>
      <c r="BW99" s="27" t="n">
        <v>493.039</v>
      </c>
      <c r="BX99" s="27" t="n">
        <v>518.65</v>
      </c>
      <c r="BY99" s="28"/>
      <c r="BZ99" s="28"/>
      <c r="CA99" s="28"/>
      <c r="CB99" s="28"/>
      <c r="CC99" s="28"/>
      <c r="CD99" s="28"/>
      <c r="CE99" s="28"/>
      <c r="CF99" s="21"/>
    </row>
    <row r="100" customFormat="false" ht="15" hidden="true" customHeight="true" outlineLevel="2" collapsed="false">
      <c r="B100" s="29" t="s">
        <v>251</v>
      </c>
      <c r="C100" s="25"/>
      <c r="D100" s="25"/>
      <c r="E100" s="25"/>
      <c r="F100" s="25"/>
      <c r="G100" s="25"/>
      <c r="H100" s="27" t="n">
        <v>332.601</v>
      </c>
      <c r="I100" s="27" t="n">
        <v>366.825</v>
      </c>
      <c r="J100" s="27" t="n">
        <v>87.77</v>
      </c>
      <c r="K100" s="27" t="n">
        <v>95.725</v>
      </c>
      <c r="L100" s="27" t="n">
        <v>96.06</v>
      </c>
      <c r="M100" s="26" t="n">
        <f aca="false">IF(AND(ISNUMBER(N100),ISNUMBER(J100),ISNUMBER(K100),ISNUMBER(L100)),N100-J100-K100-L100,"")</f>
        <v>92.217</v>
      </c>
      <c r="N100" s="27" t="n">
        <v>371.772</v>
      </c>
      <c r="O100" s="27" t="n">
        <v>91.326</v>
      </c>
      <c r="P100" s="27" t="n">
        <v>100.058</v>
      </c>
      <c r="Q100" s="27" t="n">
        <v>102.624</v>
      </c>
      <c r="R100" s="26" t="n">
        <f aca="false">IF(AND(ISNUMBER(S100),ISNUMBER(O100),ISNUMBER(P100),ISNUMBER(Q100)),S100-O100-P100-Q100,"")</f>
        <v>99.813</v>
      </c>
      <c r="S100" s="27" t="n">
        <v>393.821</v>
      </c>
      <c r="T100" s="27" t="n">
        <v>98.024</v>
      </c>
      <c r="U100" s="27" t="n">
        <v>107.215</v>
      </c>
      <c r="V100" s="27" t="n">
        <v>109.03</v>
      </c>
      <c r="W100" s="26" t="n">
        <f aca="false">IF(AND(ISNUMBER(X100),ISNUMBER(T100),ISNUMBER(U100),ISNUMBER(V100)),X100-T100-U100-V100,"")</f>
        <v>119.188</v>
      </c>
      <c r="X100" s="27" t="n">
        <v>433.457</v>
      </c>
      <c r="Y100" s="27" t="n">
        <v>122.502</v>
      </c>
      <c r="Z100" s="27" t="n">
        <v>142.584</v>
      </c>
      <c r="AA100" s="27" t="n">
        <v>194.806</v>
      </c>
      <c r="AB100" s="25"/>
      <c r="AC100" s="27" t="n">
        <v>636.652</v>
      </c>
      <c r="AD100" s="27" t="n">
        <v>231.487</v>
      </c>
      <c r="AE100" s="27" t="n">
        <v>246.31</v>
      </c>
      <c r="AF100" s="27" t="n">
        <v>246.267</v>
      </c>
      <c r="AG100" s="26" t="n">
        <f aca="false">IF(AND(ISNUMBER(AH100),ISNUMBER(AD100),ISNUMBER(AE100),ISNUMBER(AF100)),AH100-AD100-AE100-AF100,"")</f>
        <v>235.15</v>
      </c>
      <c r="AH100" s="27" t="n">
        <v>959.214</v>
      </c>
      <c r="AI100" s="27" t="n">
        <v>241.879</v>
      </c>
      <c r="AJ100" s="27" t="n">
        <v>270.943</v>
      </c>
      <c r="AK100" s="27" t="n">
        <v>289.497</v>
      </c>
      <c r="AL100" s="26" t="n">
        <f aca="false">IF(AND(ISNUMBER(AM100),ISNUMBER(AI100),ISNUMBER(AJ100),ISNUMBER(AK100)),AM100-AI100-AJ100-AK100,"")</f>
        <v>287.7</v>
      </c>
      <c r="AM100" s="27" t="n">
        <v>1090.019</v>
      </c>
      <c r="AN100" s="27" t="n">
        <v>292.827</v>
      </c>
      <c r="AO100" s="27" t="n">
        <v>323.621</v>
      </c>
      <c r="AP100" s="27" t="n">
        <v>330.887</v>
      </c>
      <c r="AQ100" s="26" t="n">
        <f aca="false">IF(AND(ISNUMBER(AR100),ISNUMBER(AN100),ISNUMBER(AO100),ISNUMBER(AP100)),AR100-AN100-AO100-AP100,"")</f>
        <v>321.629</v>
      </c>
      <c r="AR100" s="27" t="n">
        <v>1268.964</v>
      </c>
      <c r="AS100" s="27" t="n">
        <v>332.202</v>
      </c>
      <c r="AT100" s="27" t="n">
        <v>318.891</v>
      </c>
      <c r="AU100" s="27" t="n">
        <v>344.353</v>
      </c>
      <c r="AV100" s="25"/>
      <c r="AW100" s="27" t="n">
        <v>1335.865</v>
      </c>
      <c r="AX100" s="27" t="n">
        <v>336.461</v>
      </c>
      <c r="AY100" s="27" t="n">
        <v>369.617</v>
      </c>
      <c r="AZ100" s="27" t="n">
        <v>396.229</v>
      </c>
      <c r="BA100" s="26" t="n">
        <f aca="false">IF(AND(ISNUMBER(BB100),ISNUMBER(AX100),ISNUMBER(AY100),ISNUMBER(AZ100)),BB100-AX100-AY100-AZ100,"")</f>
        <v>418.981</v>
      </c>
      <c r="BB100" s="27" t="n">
        <v>1521.288</v>
      </c>
      <c r="BC100" s="27" t="n">
        <v>421.597</v>
      </c>
      <c r="BD100" s="27" t="n">
        <v>478.739</v>
      </c>
      <c r="BE100" s="27" t="n">
        <v>501.052</v>
      </c>
      <c r="BF100" s="26" t="n">
        <f aca="false">IF(AND(ISNUMBER(BG100),ISNUMBER(BC100),ISNUMBER(BD100),ISNUMBER(BE100)),BG100-BC100-BD100-BE100,"")</f>
        <v>489.317</v>
      </c>
      <c r="BG100" s="27" t="n">
        <v>1890.705</v>
      </c>
      <c r="BH100" s="27" t="n">
        <v>491.418</v>
      </c>
      <c r="BI100" s="27" t="n">
        <v>343.424</v>
      </c>
      <c r="BJ100" s="27" t="n">
        <v>353.109</v>
      </c>
      <c r="BK100" s="25"/>
      <c r="BL100" s="27" t="n">
        <v>1380.233</v>
      </c>
      <c r="BM100" s="27" t="n">
        <v>360.063</v>
      </c>
      <c r="BN100" s="27" t="n">
        <v>386.103</v>
      </c>
      <c r="BO100" s="27" t="n">
        <v>407.668</v>
      </c>
      <c r="BP100" s="26" t="n">
        <f aca="false">IF(AND(ISNUMBER(BQ100),ISNUMBER(BM100),ISNUMBER(BN100),ISNUMBER(BO100)),BQ100-BM100-BN100-BO100,"")</f>
        <v>410.377</v>
      </c>
      <c r="BQ100" s="27" t="n">
        <v>1564.211</v>
      </c>
      <c r="BR100" s="27" t="n">
        <v>403.27</v>
      </c>
      <c r="BS100" s="27" t="n">
        <v>442.213</v>
      </c>
      <c r="BT100" s="27" t="n">
        <v>440.77</v>
      </c>
      <c r="BU100" s="26" t="n">
        <f aca="false">IF(AND(ISNUMBER(BV100),ISNUMBER(BR100),ISNUMBER(BS100),ISNUMBER(BT100)),BV100-BR100-BS100-BT100,"")</f>
        <v>415.994</v>
      </c>
      <c r="BV100" s="27" t="n">
        <v>1702.247</v>
      </c>
      <c r="BW100" s="27" t="n">
        <v>405.722</v>
      </c>
      <c r="BX100" s="27" t="n">
        <v>443.954</v>
      </c>
      <c r="BY100" s="28"/>
      <c r="BZ100" s="28"/>
      <c r="CA100" s="28"/>
      <c r="CB100" s="28"/>
      <c r="CC100" s="28"/>
      <c r="CD100" s="28"/>
      <c r="CE100" s="28"/>
      <c r="CF100" s="21"/>
    </row>
    <row r="101" customFormat="false" ht="15" hidden="true" customHeight="true" outlineLevel="2" collapsed="false">
      <c r="B101" s="29" t="s">
        <v>252</v>
      </c>
      <c r="C101" s="25"/>
      <c r="D101" s="27" t="n">
        <v>477.31</v>
      </c>
      <c r="E101" s="27" t="n">
        <v>511.979</v>
      </c>
      <c r="F101" s="27" t="n">
        <v>617.247</v>
      </c>
      <c r="G101" s="27" t="n">
        <v>709.821</v>
      </c>
      <c r="H101" s="27" t="n">
        <v>742.588</v>
      </c>
      <c r="I101" s="27" t="n">
        <v>782.134</v>
      </c>
      <c r="J101" s="27" t="n">
        <v>193.151</v>
      </c>
      <c r="K101" s="27" t="n">
        <v>202.833</v>
      </c>
      <c r="L101" s="27" t="n">
        <v>210.211</v>
      </c>
      <c r="M101" s="26" t="n">
        <f aca="false">IF(AND(ISNUMBER(N101),ISNUMBER(J101),ISNUMBER(K101),ISNUMBER(L101)),N101-J101-K101-L101,"")</f>
        <v>199.595</v>
      </c>
      <c r="N101" s="27" t="n">
        <v>805.79</v>
      </c>
      <c r="O101" s="27" t="n">
        <v>195.355</v>
      </c>
      <c r="P101" s="27" t="n">
        <v>206.269</v>
      </c>
      <c r="Q101" s="27" t="n">
        <v>215.849</v>
      </c>
      <c r="R101" s="26" t="n">
        <f aca="false">IF(AND(ISNUMBER(S101),ISNUMBER(O101),ISNUMBER(P101),ISNUMBER(Q101)),S101-O101-P101-Q101,"")</f>
        <v>206.449</v>
      </c>
      <c r="S101" s="27" t="n">
        <v>823.922</v>
      </c>
      <c r="T101" s="27" t="n">
        <v>205.626</v>
      </c>
      <c r="U101" s="27" t="n">
        <v>222.388</v>
      </c>
      <c r="V101" s="27" t="n">
        <v>230.454</v>
      </c>
      <c r="W101" s="26" t="n">
        <f aca="false">IF(AND(ISNUMBER(X101),ISNUMBER(T101),ISNUMBER(U101),ISNUMBER(V101)),X101-T101-U101-V101,"")</f>
        <v>221.925</v>
      </c>
      <c r="X101" s="27" t="n">
        <v>880.393</v>
      </c>
      <c r="Y101" s="27" t="n">
        <v>219.234</v>
      </c>
      <c r="Z101" s="27" t="n">
        <v>236.431</v>
      </c>
      <c r="AA101" s="27" t="n">
        <v>246.891</v>
      </c>
      <c r="AB101" s="25"/>
      <c r="AC101" s="27" t="n">
        <v>935.319</v>
      </c>
      <c r="AD101" s="27" t="n">
        <v>235.59</v>
      </c>
      <c r="AE101" s="27" t="n">
        <v>257.492</v>
      </c>
      <c r="AF101" s="27" t="n">
        <v>261.877</v>
      </c>
      <c r="AG101" s="26" t="n">
        <f aca="false">IF(AND(ISNUMBER(AH101),ISNUMBER(AD101),ISNUMBER(AE101),ISNUMBER(AF101)),AH101-AD101-AE101-AF101,"")</f>
        <v>252.271</v>
      </c>
      <c r="AH101" s="27" t="n">
        <v>1007.23</v>
      </c>
      <c r="AI101" s="27" t="n">
        <v>245.163</v>
      </c>
      <c r="AJ101" s="27" t="n">
        <v>263.699</v>
      </c>
      <c r="AK101" s="27" t="n">
        <v>271.018</v>
      </c>
      <c r="AL101" s="26" t="n">
        <f aca="false">IF(AND(ISNUMBER(AM101),ISNUMBER(AI101),ISNUMBER(AJ101),ISNUMBER(AK101)),AM101-AI101-AJ101-AK101,"")</f>
        <v>264.048</v>
      </c>
      <c r="AM101" s="27" t="n">
        <v>1043.928</v>
      </c>
      <c r="AN101" s="27" t="n">
        <v>254.979</v>
      </c>
      <c r="AO101" s="27" t="n">
        <v>276.998</v>
      </c>
      <c r="AP101" s="27" t="n">
        <v>289.208</v>
      </c>
      <c r="AQ101" s="26" t="n">
        <f aca="false">IF(AND(ISNUMBER(AR101),ISNUMBER(AN101),ISNUMBER(AO101),ISNUMBER(AP101)),AR101-AN101-AO101-AP101,"")</f>
        <v>277.664</v>
      </c>
      <c r="AR101" s="27" t="n">
        <v>1098.849</v>
      </c>
      <c r="AS101" s="27" t="n">
        <v>271.981</v>
      </c>
      <c r="AT101" s="27" t="n">
        <v>275.536</v>
      </c>
      <c r="AU101" s="27" t="n">
        <v>301.221</v>
      </c>
      <c r="AV101" s="25"/>
      <c r="AW101" s="27" t="n">
        <v>1149.762</v>
      </c>
      <c r="AX101" s="27" t="n">
        <v>297.004</v>
      </c>
      <c r="AY101" s="27" t="n">
        <v>313.789</v>
      </c>
      <c r="AZ101" s="27" t="n">
        <v>332.02</v>
      </c>
      <c r="BA101" s="26" t="n">
        <f aca="false">IF(AND(ISNUMBER(BB101),ISNUMBER(AX101),ISNUMBER(AY101),ISNUMBER(AZ101)),BB101-AX101-AY101-AZ101,"")</f>
        <v>337.375</v>
      </c>
      <c r="BB101" s="27" t="n">
        <v>1280.188</v>
      </c>
      <c r="BC101" s="27" t="n">
        <v>346.71</v>
      </c>
      <c r="BD101" s="27" t="n">
        <v>360.923</v>
      </c>
      <c r="BE101" s="27" t="n">
        <v>385.479</v>
      </c>
      <c r="BF101" s="26" t="n">
        <f aca="false">IF(AND(ISNUMBER(BG101),ISNUMBER(BC101),ISNUMBER(BD101),ISNUMBER(BE101)),BG101-BC101-BD101-BE101,"")</f>
        <v>391.52</v>
      </c>
      <c r="BG101" s="27" t="n">
        <v>1484.632</v>
      </c>
      <c r="BH101" s="27" t="n">
        <v>410.003</v>
      </c>
      <c r="BI101" s="27" t="n">
        <v>418.972</v>
      </c>
      <c r="BJ101" s="27" t="n">
        <v>432.462</v>
      </c>
      <c r="BK101" s="25"/>
      <c r="BL101" s="27" t="n">
        <v>1669.289</v>
      </c>
      <c r="BM101" s="27" t="n">
        <v>422.249</v>
      </c>
      <c r="BN101" s="27" t="n">
        <v>453.964</v>
      </c>
      <c r="BO101" s="27" t="n">
        <v>476.237</v>
      </c>
      <c r="BP101" s="26" t="n">
        <f aca="false">IF(AND(ISNUMBER(BQ101),ISNUMBER(BM101),ISNUMBER(BN101),ISNUMBER(BO101)),BQ101-BM101-BN101-BO101,"")</f>
        <v>446.219</v>
      </c>
      <c r="BQ101" s="27" t="n">
        <v>1798.669</v>
      </c>
      <c r="BR101" s="27" t="n">
        <v>438.401</v>
      </c>
      <c r="BS101" s="27" t="n">
        <v>461.665</v>
      </c>
      <c r="BT101" s="27" t="n">
        <v>486.255</v>
      </c>
      <c r="BU101" s="26" t="n">
        <f aca="false">IF(AND(ISNUMBER(BV101),ISNUMBER(BR101),ISNUMBER(BS101),ISNUMBER(BT101)),BV101-BR101-BS101-BT101,"")</f>
        <v>463.098</v>
      </c>
      <c r="BV101" s="27" t="n">
        <v>1849.419</v>
      </c>
      <c r="BW101" s="27" t="n">
        <v>462.448</v>
      </c>
      <c r="BX101" s="27" t="n">
        <v>492.725</v>
      </c>
      <c r="BY101" s="28"/>
      <c r="BZ101" s="28"/>
      <c r="CA101" s="28"/>
      <c r="CB101" s="28"/>
      <c r="CC101" s="28"/>
      <c r="CD101" s="28"/>
      <c r="CE101" s="28"/>
      <c r="CF101" s="21"/>
    </row>
    <row r="102" customFormat="false" ht="15" hidden="true" customHeight="true" outlineLevel="2" collapsed="false">
      <c r="B102" s="29" t="s">
        <v>253</v>
      </c>
      <c r="C102" s="25"/>
      <c r="D102" s="27" t="n">
        <v>257.188</v>
      </c>
      <c r="E102" s="27" t="n">
        <v>299.053</v>
      </c>
      <c r="F102" s="27" t="n">
        <v>291.883</v>
      </c>
      <c r="G102" s="27" t="n">
        <v>291.32</v>
      </c>
      <c r="H102" s="27" t="n">
        <v>430.177</v>
      </c>
      <c r="I102" s="27" t="n">
        <v>472.469</v>
      </c>
      <c r="J102" s="27" t="n">
        <v>114.593</v>
      </c>
      <c r="K102" s="27" t="n">
        <v>130.434</v>
      </c>
      <c r="L102" s="27" t="n">
        <v>134.333</v>
      </c>
      <c r="M102" s="26" t="n">
        <f aca="false">IF(AND(ISNUMBER(N102),ISNUMBER(J102),ISNUMBER(K102),ISNUMBER(L102)),N102-J102-K102-L102,"")</f>
        <v>131.568</v>
      </c>
      <c r="N102" s="27" t="n">
        <v>510.928</v>
      </c>
      <c r="O102" s="27" t="n">
        <v>129.067</v>
      </c>
      <c r="P102" s="27" t="n">
        <v>141.916</v>
      </c>
      <c r="Q102" s="27" t="n">
        <v>149.213</v>
      </c>
      <c r="R102" s="26" t="n">
        <f aca="false">IF(AND(ISNUMBER(S102),ISNUMBER(O102),ISNUMBER(P102),ISNUMBER(Q102)),S102-O102-P102-Q102,"")</f>
        <v>141.284</v>
      </c>
      <c r="S102" s="27" t="n">
        <v>561.48</v>
      </c>
      <c r="T102" s="27" t="n">
        <v>134.935</v>
      </c>
      <c r="U102" s="27" t="n">
        <v>149.812</v>
      </c>
      <c r="V102" s="27" t="n">
        <v>156.939</v>
      </c>
      <c r="W102" s="26" t="n">
        <f aca="false">IF(AND(ISNUMBER(X102),ISNUMBER(T102),ISNUMBER(U102),ISNUMBER(V102)),X102-T102-U102-V102,"")</f>
        <v>147.981</v>
      </c>
      <c r="X102" s="27" t="n">
        <v>589.667</v>
      </c>
      <c r="Y102" s="27" t="n">
        <v>142.476</v>
      </c>
      <c r="Z102" s="27" t="n">
        <v>139.67</v>
      </c>
      <c r="AA102" s="27" t="n">
        <v>155.267</v>
      </c>
      <c r="AB102" s="25"/>
      <c r="AC102" s="27" t="n">
        <v>561.541</v>
      </c>
      <c r="AD102" s="27" t="n">
        <v>144.309</v>
      </c>
      <c r="AE102" s="27" t="n">
        <v>159.418</v>
      </c>
      <c r="AF102" s="27" t="n">
        <v>166.36</v>
      </c>
      <c r="AG102" s="26" t="n">
        <f aca="false">IF(AND(ISNUMBER(AH102),ISNUMBER(AD102),ISNUMBER(AE102),ISNUMBER(AF102)),AH102-AD102-AE102-AF102,"")</f>
        <v>158.08</v>
      </c>
      <c r="AH102" s="27" t="n">
        <v>628.167</v>
      </c>
      <c r="AI102" s="27" t="n">
        <v>153.79</v>
      </c>
      <c r="AJ102" s="27" t="n">
        <v>175.02</v>
      </c>
      <c r="AK102" s="27" t="n">
        <v>185.271</v>
      </c>
      <c r="AL102" s="26" t="n">
        <f aca="false">IF(AND(ISNUMBER(AM102),ISNUMBER(AI102),ISNUMBER(AJ102),ISNUMBER(AK102)),AM102-AI102-AJ102-AK102,"")</f>
        <v>179.444</v>
      </c>
      <c r="AM102" s="27" t="n">
        <v>693.525</v>
      </c>
      <c r="AN102" s="27" t="n">
        <v>177.877</v>
      </c>
      <c r="AO102" s="27" t="n">
        <v>218.361</v>
      </c>
      <c r="AP102" s="27" t="n">
        <v>230.074</v>
      </c>
      <c r="AQ102" s="26" t="n">
        <f aca="false">IF(AND(ISNUMBER(AR102),ISNUMBER(AN102),ISNUMBER(AO102),ISNUMBER(AP102)),AR102-AN102-AO102-AP102,"")</f>
        <v>212.272</v>
      </c>
      <c r="AR102" s="27" t="n">
        <v>838.584</v>
      </c>
      <c r="AS102" s="27" t="n">
        <v>208.542</v>
      </c>
      <c r="AT102" s="27" t="n">
        <v>216.62</v>
      </c>
      <c r="AU102" s="27" t="n">
        <v>228.566</v>
      </c>
      <c r="AV102" s="25"/>
      <c r="AW102" s="27" t="n">
        <v>880.323</v>
      </c>
      <c r="AX102" s="27" t="n">
        <v>235.386</v>
      </c>
      <c r="AY102" s="27" t="n">
        <v>266.845</v>
      </c>
      <c r="AZ102" s="27" t="n">
        <v>273.682</v>
      </c>
      <c r="BA102" s="26" t="n">
        <f aca="false">IF(AND(ISNUMBER(BB102),ISNUMBER(AX102),ISNUMBER(AY102),ISNUMBER(AZ102)),BB102-AX102-AY102-AZ102,"")</f>
        <v>270.503</v>
      </c>
      <c r="BB102" s="27" t="n">
        <v>1046.416</v>
      </c>
      <c r="BC102" s="27" t="n">
        <v>276.177</v>
      </c>
      <c r="BD102" s="27" t="n">
        <v>309.927</v>
      </c>
      <c r="BE102" s="27" t="n">
        <v>322.657</v>
      </c>
      <c r="BF102" s="26" t="n">
        <f aca="false">IF(AND(ISNUMBER(BG102),ISNUMBER(BC102),ISNUMBER(BD102),ISNUMBER(BE102)),BG102-BC102-BD102-BE102,"")</f>
        <v>319.359</v>
      </c>
      <c r="BG102" s="27" t="n">
        <v>1228.12</v>
      </c>
      <c r="BH102" s="27" t="n">
        <v>324.886</v>
      </c>
      <c r="BI102" s="27" t="n">
        <v>369.185</v>
      </c>
      <c r="BJ102" s="27" t="n">
        <v>372.862</v>
      </c>
      <c r="BK102" s="25"/>
      <c r="BL102" s="27" t="n">
        <v>1440.157</v>
      </c>
      <c r="BM102" s="27" t="n">
        <v>360.927</v>
      </c>
      <c r="BN102" s="27" t="n">
        <v>386.041</v>
      </c>
      <c r="BO102" s="27" t="n">
        <v>391.74</v>
      </c>
      <c r="BP102" s="26" t="n">
        <f aca="false">IF(AND(ISNUMBER(BQ102),ISNUMBER(BM102),ISNUMBER(BN102),ISNUMBER(BO102)),BQ102-BM102-BN102-BO102,"")</f>
        <v>376.194</v>
      </c>
      <c r="BQ102" s="27" t="n">
        <v>1514.902</v>
      </c>
      <c r="BR102" s="27" t="n">
        <v>373.383</v>
      </c>
      <c r="BS102" s="27" t="n">
        <v>402.087</v>
      </c>
      <c r="BT102" s="27" t="n">
        <v>413.389</v>
      </c>
      <c r="BU102" s="26" t="n">
        <f aca="false">IF(AND(ISNUMBER(BV102),ISNUMBER(BR102),ISNUMBER(BS102),ISNUMBER(BT102)),BV102-BR102-BS102-BT102,"")</f>
        <v>401.026</v>
      </c>
      <c r="BV102" s="27" t="n">
        <v>1589.885</v>
      </c>
      <c r="BW102" s="27" t="n">
        <v>396.762</v>
      </c>
      <c r="BX102" s="27" t="n">
        <v>423.761</v>
      </c>
      <c r="BY102" s="28"/>
      <c r="BZ102" s="28"/>
      <c r="CA102" s="28"/>
      <c r="CB102" s="28"/>
      <c r="CC102" s="28"/>
      <c r="CD102" s="28"/>
      <c r="CE102" s="28"/>
      <c r="CF102" s="21"/>
    </row>
    <row r="103" customFormat="false" ht="15" hidden="true" customHeight="true" outlineLevel="2" collapsed="false">
      <c r="B103" s="29" t="s">
        <v>254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6" t="str">
        <f aca="false">IF(AND(ISNUMBER(N103),ISNUMBER(J103),ISNUMBER(K103),ISNUMBER(L103)),N103-J103-K103-L103,"")</f>
        <v/>
      </c>
      <c r="N103" s="25"/>
      <c r="O103" s="25"/>
      <c r="P103" s="25"/>
      <c r="Q103" s="25"/>
      <c r="R103" s="26" t="str">
        <f aca="false">IF(AND(ISNUMBER(S103),ISNUMBER(O103),ISNUMBER(P103),ISNUMBER(Q103)),S103-O103-P103-Q103,"")</f>
        <v/>
      </c>
      <c r="S103" s="25"/>
      <c r="T103" s="25"/>
      <c r="U103" s="25"/>
      <c r="V103" s="25"/>
      <c r="W103" s="26" t="str">
        <f aca="false">IF(AND(ISNUMBER(X103),ISNUMBER(T103),ISNUMBER(U103),ISNUMBER(V103)),X103-T103-U103-V103,"")</f>
        <v/>
      </c>
      <c r="X103" s="25"/>
      <c r="Y103" s="25"/>
      <c r="Z103" s="27" t="n">
        <v>60.585</v>
      </c>
      <c r="AA103" s="27" t="n">
        <v>177.745</v>
      </c>
      <c r="AB103" s="25"/>
      <c r="AC103" s="27" t="n">
        <v>407.861</v>
      </c>
      <c r="AD103" s="27" t="n">
        <v>163.035</v>
      </c>
      <c r="AE103" s="27" t="n">
        <v>180.297</v>
      </c>
      <c r="AF103" s="27" t="n">
        <v>197.055</v>
      </c>
      <c r="AG103" s="26" t="n">
        <f aca="false">IF(AND(ISNUMBER(AH103),ISNUMBER(AD103),ISNUMBER(AE103),ISNUMBER(AF103)),AH103-AD103-AE103-AF103,"")</f>
        <v>188.39</v>
      </c>
      <c r="AH103" s="27" t="n">
        <v>728.777</v>
      </c>
      <c r="AI103" s="27" t="n">
        <v>169.974</v>
      </c>
      <c r="AJ103" s="27" t="n">
        <v>186.838</v>
      </c>
      <c r="AK103" s="27" t="n">
        <v>187.054</v>
      </c>
      <c r="AL103" s="26" t="n">
        <f aca="false">IF(AND(ISNUMBER(AM103),ISNUMBER(AI103),ISNUMBER(AJ103),ISNUMBER(AK103)),AM103-AI103-AJ103-AK103,"")</f>
        <v>183.347</v>
      </c>
      <c r="AM103" s="27" t="n">
        <v>727.213</v>
      </c>
      <c r="AN103" s="27" t="n">
        <v>168.347</v>
      </c>
      <c r="AO103" s="27" t="n">
        <v>188.527</v>
      </c>
      <c r="AP103" s="27" t="n">
        <v>190.82</v>
      </c>
      <c r="AQ103" s="26" t="n">
        <f aca="false">IF(AND(ISNUMBER(AR103),ISNUMBER(AN103),ISNUMBER(AO103),ISNUMBER(AP103)),AR103-AN103-AO103-AP103,"")</f>
        <v>185.588</v>
      </c>
      <c r="AR103" s="27" t="n">
        <v>733.282</v>
      </c>
      <c r="AS103" s="27" t="n">
        <v>170.423</v>
      </c>
      <c r="AT103" s="27" t="n">
        <v>161.269</v>
      </c>
      <c r="AU103" s="27" t="n">
        <v>184.837</v>
      </c>
      <c r="AV103" s="25"/>
      <c r="AW103" s="27" t="n">
        <v>710.46</v>
      </c>
      <c r="AX103" s="27" t="n">
        <v>188.93</v>
      </c>
      <c r="AY103" s="27" t="n">
        <v>220.344</v>
      </c>
      <c r="AZ103" s="27" t="n">
        <v>224.279</v>
      </c>
      <c r="BA103" s="26" t="n">
        <f aca="false">IF(AND(ISNUMBER(BB103),ISNUMBER(AX103),ISNUMBER(AY103),ISNUMBER(AZ103)),BB103-AX103-AY103-AZ103,"")</f>
        <v>223.17</v>
      </c>
      <c r="BB103" s="27" t="n">
        <v>856.723</v>
      </c>
      <c r="BC103" s="27" t="n">
        <v>214.707</v>
      </c>
      <c r="BD103" s="27" t="n">
        <v>250.382</v>
      </c>
      <c r="BE103" s="27" t="n">
        <v>242.314</v>
      </c>
      <c r="BF103" s="26" t="n">
        <f aca="false">IF(AND(ISNUMBER(BG103),ISNUMBER(BC103),ISNUMBER(BD103),ISNUMBER(BE103)),BG103-BC103-BD103-BE103,"")</f>
        <v>233.221</v>
      </c>
      <c r="BG103" s="27" t="n">
        <v>940.624</v>
      </c>
      <c r="BH103" s="27" t="n">
        <v>227.156</v>
      </c>
      <c r="BI103" s="27" t="n">
        <v>248.705</v>
      </c>
      <c r="BJ103" s="27" t="n">
        <v>263.095</v>
      </c>
      <c r="BK103" s="25"/>
      <c r="BL103" s="27" t="n">
        <v>995.842</v>
      </c>
      <c r="BM103" s="27" t="n">
        <v>280.362</v>
      </c>
      <c r="BN103" s="27" t="n">
        <v>319.21</v>
      </c>
      <c r="BO103" s="27" t="n">
        <v>342.058</v>
      </c>
      <c r="BP103" s="26" t="n">
        <f aca="false">IF(AND(ISNUMBER(BQ103),ISNUMBER(BM103),ISNUMBER(BN103),ISNUMBER(BO103)),BQ103-BM103-BN103-BO103,"")</f>
        <v>319.35</v>
      </c>
      <c r="BQ103" s="27" t="n">
        <v>1260.98</v>
      </c>
      <c r="BR103" s="27" t="n">
        <v>302.731</v>
      </c>
      <c r="BS103" s="27" t="n">
        <v>343.416</v>
      </c>
      <c r="BT103" s="27" t="n">
        <v>349.766</v>
      </c>
      <c r="BU103" s="26" t="n">
        <f aca="false">IF(AND(ISNUMBER(BV103),ISNUMBER(BR103),ISNUMBER(BS103),ISNUMBER(BT103)),BV103-BR103-BS103-BT103,"")</f>
        <v>328.964</v>
      </c>
      <c r="BV103" s="27" t="n">
        <v>1324.877</v>
      </c>
      <c r="BW103" s="27" t="n">
        <v>344.828</v>
      </c>
      <c r="BX103" s="27" t="n">
        <v>385.767</v>
      </c>
      <c r="BY103" s="28"/>
      <c r="BZ103" s="28"/>
      <c r="CA103" s="28"/>
      <c r="CB103" s="28"/>
      <c r="CC103" s="28"/>
      <c r="CD103" s="28"/>
      <c r="CE103" s="28"/>
      <c r="CF103" s="21"/>
    </row>
    <row r="104" customFormat="false" ht="15" hidden="true" customHeight="true" outlineLevel="2" collapsed="false">
      <c r="B104" s="29" t="s">
        <v>255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6" t="str">
        <f aca="false">IF(AND(ISNUMBER(N104),ISNUMBER(J104),ISNUMBER(K104),ISNUMBER(L104)),N104-J104-K104-L104,"")</f>
        <v/>
      </c>
      <c r="N104" s="25"/>
      <c r="O104" s="25"/>
      <c r="P104" s="25"/>
      <c r="Q104" s="25"/>
      <c r="R104" s="26" t="str">
        <f aca="false">IF(AND(ISNUMBER(S104),ISNUMBER(O104),ISNUMBER(P104),ISNUMBER(Q104)),S104-O104-P104-Q104,"")</f>
        <v/>
      </c>
      <c r="S104" s="25"/>
      <c r="T104" s="25"/>
      <c r="U104" s="25"/>
      <c r="V104" s="25"/>
      <c r="W104" s="26" t="str">
        <f aca="false">IF(AND(ISNUMBER(X104),ISNUMBER(T104),ISNUMBER(U104),ISNUMBER(V104)),X104-T104-U104-V104,"")</f>
        <v/>
      </c>
      <c r="X104" s="25"/>
      <c r="Y104" s="25"/>
      <c r="Z104" s="25"/>
      <c r="AA104" s="25"/>
      <c r="AB104" s="25"/>
      <c r="AC104" s="25"/>
      <c r="AD104" s="25"/>
      <c r="AE104" s="25"/>
      <c r="AF104" s="25"/>
      <c r="AG104" s="26" t="str">
        <f aca="false">IF(AND(ISNUMBER(AH104),ISNUMBER(AD104),ISNUMBER(AE104),ISNUMBER(AF104)),AH104-AD104-AE104-AF104,"")</f>
        <v/>
      </c>
      <c r="AH104" s="25"/>
      <c r="AI104" s="25"/>
      <c r="AJ104" s="25"/>
      <c r="AK104" s="25"/>
      <c r="AL104" s="26" t="str">
        <f aca="false">IF(AND(ISNUMBER(AM104),ISNUMBER(AI104),ISNUMBER(AJ104),ISNUMBER(AK104)),AM104-AI104-AJ104-AK104,"")</f>
        <v/>
      </c>
      <c r="AM104" s="25"/>
      <c r="AN104" s="25"/>
      <c r="AO104" s="25"/>
      <c r="AP104" s="25"/>
      <c r="AQ104" s="26" t="str">
        <f aca="false">IF(AND(ISNUMBER(AR104),ISNUMBER(AN104),ISNUMBER(AO104),ISNUMBER(AP104)),AR104-AN104-AO104-AP104,"")</f>
        <v/>
      </c>
      <c r="AR104" s="25"/>
      <c r="AS104" s="25"/>
      <c r="AT104" s="25"/>
      <c r="AU104" s="25"/>
      <c r="AV104" s="25"/>
      <c r="AW104" s="25"/>
      <c r="AX104" s="25"/>
      <c r="AY104" s="25"/>
      <c r="AZ104" s="25"/>
      <c r="BA104" s="26" t="str">
        <f aca="false">IF(AND(ISNUMBER(BB104),ISNUMBER(AX104),ISNUMBER(AY104),ISNUMBER(AZ104)),BB104-AX104-AY104-AZ104,"")</f>
        <v/>
      </c>
      <c r="BB104" s="25"/>
      <c r="BC104" s="25"/>
      <c r="BD104" s="25"/>
      <c r="BE104" s="25"/>
      <c r="BF104" s="26" t="str">
        <f aca="false">IF(AND(ISNUMBER(BG104),ISNUMBER(BC104),ISNUMBER(BD104),ISNUMBER(BE104)),BG104-BC104-BD104-BE104,"")</f>
        <v/>
      </c>
      <c r="BG104" s="25"/>
      <c r="BH104" s="25"/>
      <c r="BI104" s="27" t="n">
        <v>226.748</v>
      </c>
      <c r="BJ104" s="27" t="n">
        <v>229.638</v>
      </c>
      <c r="BK104" s="25"/>
      <c r="BL104" s="27" t="n">
        <v>894.156</v>
      </c>
      <c r="BM104" s="27" t="n">
        <v>230.106</v>
      </c>
      <c r="BN104" s="27" t="n">
        <v>263.573</v>
      </c>
      <c r="BO104" s="27" t="n">
        <v>267.57</v>
      </c>
      <c r="BP104" s="26" t="n">
        <f aca="false">IF(AND(ISNUMBER(BQ104),ISNUMBER(BM104),ISNUMBER(BN104),ISNUMBER(BO104)),BQ104-BM104-BN104-BO104,"")</f>
        <v>262.387</v>
      </c>
      <c r="BQ104" s="27" t="n">
        <v>1023.636</v>
      </c>
      <c r="BR104" s="27" t="n">
        <v>256.988</v>
      </c>
      <c r="BS104" s="27" t="n">
        <v>280.729</v>
      </c>
      <c r="BT104" s="27" t="n">
        <v>282.804</v>
      </c>
      <c r="BU104" s="26" t="n">
        <f aca="false">IF(AND(ISNUMBER(BV104),ISNUMBER(BR104),ISNUMBER(BS104),ISNUMBER(BT104)),BV104-BR104-BS104-BT104,"")</f>
        <v>272.157</v>
      </c>
      <c r="BV104" s="27" t="n">
        <v>1092.678</v>
      </c>
      <c r="BW104" s="27" t="n">
        <v>267.832</v>
      </c>
      <c r="BX104" s="27" t="n">
        <v>296.75</v>
      </c>
      <c r="BY104" s="28"/>
      <c r="BZ104" s="28"/>
      <c r="CA104" s="28"/>
      <c r="CB104" s="28"/>
      <c r="CC104" s="28"/>
      <c r="CD104" s="28"/>
      <c r="CE104" s="28"/>
      <c r="CF104" s="21"/>
    </row>
    <row r="105" customFormat="false" ht="15" hidden="true" customHeight="true" outlineLevel="2" collapsed="false">
      <c r="B105" s="29" t="s">
        <v>256</v>
      </c>
      <c r="C105" s="25"/>
      <c r="D105" s="25"/>
      <c r="E105" s="25"/>
      <c r="F105" s="25"/>
      <c r="G105" s="25"/>
      <c r="H105" s="25"/>
      <c r="I105" s="27" t="n">
        <v>40.19</v>
      </c>
      <c r="J105" s="27" t="n">
        <v>54.378</v>
      </c>
      <c r="K105" s="27" t="n">
        <v>60.389</v>
      </c>
      <c r="L105" s="27" t="n">
        <v>63.042</v>
      </c>
      <c r="M105" s="26" t="n">
        <f aca="false">IF(AND(ISNUMBER(N105),ISNUMBER(J105),ISNUMBER(K105),ISNUMBER(L105)),N105-J105-K105-L105,"")</f>
        <v>62.496</v>
      </c>
      <c r="N105" s="27" t="n">
        <v>240.305</v>
      </c>
      <c r="O105" s="27" t="n">
        <v>65.962</v>
      </c>
      <c r="P105" s="27" t="n">
        <v>76.45</v>
      </c>
      <c r="Q105" s="27" t="n">
        <v>78.865</v>
      </c>
      <c r="R105" s="26" t="n">
        <f aca="false">IF(AND(ISNUMBER(S105),ISNUMBER(O105),ISNUMBER(P105),ISNUMBER(Q105)),S105-O105-P105-Q105,"")</f>
        <v>78.666</v>
      </c>
      <c r="S105" s="27" t="n">
        <v>299.943</v>
      </c>
      <c r="T105" s="27" t="n">
        <v>67.515</v>
      </c>
      <c r="U105" s="27" t="n">
        <v>51.897</v>
      </c>
      <c r="V105" s="27" t="n">
        <v>51.515</v>
      </c>
      <c r="W105" s="26" t="n">
        <f aca="false">IF(AND(ISNUMBER(X105),ISNUMBER(T105),ISNUMBER(U105),ISNUMBER(V105)),X105-T105-U105-V105,"")</f>
        <v>42.843</v>
      </c>
      <c r="X105" s="27" t="n">
        <v>213.77</v>
      </c>
      <c r="Y105" s="27" t="n">
        <v>30.468</v>
      </c>
      <c r="Z105" s="27" t="n">
        <v>27.818</v>
      </c>
      <c r="AA105" s="27" t="n">
        <v>30.304</v>
      </c>
      <c r="AB105" s="25"/>
      <c r="AC105" s="27" t="n">
        <v>121.109</v>
      </c>
      <c r="AD105" s="27" t="n">
        <v>36.722</v>
      </c>
      <c r="AE105" s="27" t="n">
        <v>46.669</v>
      </c>
      <c r="AF105" s="27" t="n">
        <v>54.391</v>
      </c>
      <c r="AG105" s="26" t="n">
        <f aca="false">IF(AND(ISNUMBER(AH105),ISNUMBER(AD105),ISNUMBER(AE105),ISNUMBER(AF105)),AH105-AD105-AE105-AF105,"")</f>
        <v>53.454</v>
      </c>
      <c r="AH105" s="27" t="n">
        <v>191.236</v>
      </c>
      <c r="AI105" s="27" t="n">
        <v>55.986</v>
      </c>
      <c r="AJ105" s="27" t="n">
        <v>60.358</v>
      </c>
      <c r="AK105" s="27" t="n">
        <v>65.23</v>
      </c>
      <c r="AL105" s="26" t="n">
        <f aca="false">IF(AND(ISNUMBER(AM105),ISNUMBER(AI105),ISNUMBER(AJ105),ISNUMBER(AK105)),AM105-AI105-AJ105-AK105,"")</f>
        <v>64.134</v>
      </c>
      <c r="AM105" s="27" t="n">
        <v>245.708</v>
      </c>
      <c r="AN105" s="27" t="n">
        <v>63.278</v>
      </c>
      <c r="AO105" s="27" t="n">
        <v>64.117</v>
      </c>
      <c r="AP105" s="27" t="n">
        <v>66.267</v>
      </c>
      <c r="AQ105" s="26" t="n">
        <f aca="false">IF(AND(ISNUMBER(AR105),ISNUMBER(AN105),ISNUMBER(AO105),ISNUMBER(AP105)),AR105-AN105-AO105-AP105,"")</f>
        <v>62.416</v>
      </c>
      <c r="AR105" s="27" t="n">
        <v>256.078</v>
      </c>
      <c r="AS105" s="27" t="n">
        <v>59.869</v>
      </c>
      <c r="AT105" s="27" t="n">
        <v>36.367</v>
      </c>
      <c r="AU105" s="25"/>
      <c r="AV105" s="25"/>
      <c r="AW105" s="25"/>
      <c r="AX105" s="25"/>
      <c r="AY105" s="25"/>
      <c r="AZ105" s="25"/>
      <c r="BA105" s="26" t="str">
        <f aca="false">IF(AND(ISNUMBER(BB105),ISNUMBER(AX105),ISNUMBER(AY105),ISNUMBER(AZ105)),BB105-AX105-AY105-AZ105,"")</f>
        <v/>
      </c>
      <c r="BB105" s="25"/>
      <c r="BC105" s="25"/>
      <c r="BD105" s="25"/>
      <c r="BE105" s="25"/>
      <c r="BF105" s="26" t="str">
        <f aca="false">IF(AND(ISNUMBER(BG105),ISNUMBER(BC105),ISNUMBER(BD105),ISNUMBER(BE105)),BG105-BC105-BD105-BE105,"")</f>
        <v/>
      </c>
      <c r="BG105" s="25"/>
      <c r="BH105" s="25"/>
      <c r="BI105" s="25"/>
      <c r="BJ105" s="25"/>
      <c r="BK105" s="25"/>
      <c r="BL105" s="25"/>
      <c r="BM105" s="25"/>
      <c r="BN105" s="25"/>
      <c r="BO105" s="25"/>
      <c r="BP105" s="26" t="str">
        <f aca="false">IF(AND(ISNUMBER(BQ105),ISNUMBER(BM105),ISNUMBER(BN105),ISNUMBER(BO105)),BQ105-BM105-BN105-BO105,"")</f>
        <v/>
      </c>
      <c r="BQ105" s="25"/>
      <c r="BR105" s="25"/>
      <c r="BS105" s="25"/>
      <c r="BT105" s="25"/>
      <c r="BU105" s="26" t="str">
        <f aca="false">IF(AND(ISNUMBER(BV105),ISNUMBER(BR105),ISNUMBER(BS105),ISNUMBER(BT105)),BV105-BR105-BS105-BT105,"")</f>
        <v/>
      </c>
      <c r="BV105" s="25"/>
      <c r="BW105" s="25"/>
      <c r="BX105" s="25"/>
      <c r="BY105" s="28"/>
      <c r="BZ105" s="28"/>
      <c r="CA105" s="28"/>
      <c r="CB105" s="28"/>
      <c r="CC105" s="28"/>
      <c r="CD105" s="28"/>
      <c r="CE105" s="28"/>
      <c r="CF105" s="21"/>
    </row>
    <row r="106" customFormat="false" ht="15" hidden="true" customHeight="true" outlineLevel="2" collapsed="false">
      <c r="B106" s="46" t="s">
        <v>257</v>
      </c>
      <c r="C106" s="26" t="str">
        <f aca="false">IF(COUNT(C99,C100,C101,C102,C103,C104,C105)&gt;0,ROUND(N(C99)+N(C100)+N(C101)+N(C102)+N(C103)+N(C104)+N(C105)-C128,1),"")</f>
        <v/>
      </c>
      <c r="D106" s="26" t="n">
        <f aca="false">IF(COUNT(D99,D100,D101,D102,D103,D104,D105)&gt;0,ROUND(N(D99)+N(D100)+N(D101)+N(D102)+N(D103)+N(D104)+N(D105)-D128,1),"")</f>
        <v>0</v>
      </c>
      <c r="E106" s="26" t="n">
        <f aca="false">IF(COUNT(E99,E100,E101,E102,E103,E104,E105)&gt;0,ROUND(N(E99)+N(E100)+N(E101)+N(E102)+N(E103)+N(E104)+N(E105)-E128,1),"")</f>
        <v>0</v>
      </c>
      <c r="F106" s="26" t="n">
        <f aca="false">IF(COUNT(F99,F100,F101,F102,F103,F104,F105)&gt;0,ROUND(N(F99)+N(F100)+N(F101)+N(F102)+N(F103)+N(F104)+N(F105)-F128,1),"")</f>
        <v>0</v>
      </c>
      <c r="G106" s="26" t="n">
        <f aca="false">IF(COUNT(G99,G100,G101,G102,G103,G104,G105)&gt;0,ROUND(N(G99)+N(G100)+N(G101)+N(G102)+N(G103)+N(G104)+N(G105)-G128,1),"")</f>
        <v>0</v>
      </c>
      <c r="H106" s="26" t="n">
        <f aca="false">IF(COUNT(H99,H100,H101,H102,H103,H104,H105)&gt;0,ROUND(N(H99)+N(H100)+N(H101)+N(H102)+N(H103)+N(H104)+N(H105)-H128,1),"")</f>
        <v>0</v>
      </c>
      <c r="I106" s="26" t="n">
        <f aca="false">IF(COUNT(I99,I100,I101,I102,I103,I104,I105)&gt;0,ROUND(N(I99)+N(I100)+N(I101)+N(I102)+N(I103)+N(I104)+N(I105)-I128,1),"")</f>
        <v>0</v>
      </c>
      <c r="J106" s="26" t="n">
        <f aca="false">IF(COUNT(J99,J100,J101,J102,J103,J104,J105)&gt;0,ROUND(N(J99)+N(J100)+N(J101)+N(J102)+N(J103)+N(J104)+N(J105)-J128,1),"")</f>
        <v>0</v>
      </c>
      <c r="K106" s="26" t="n">
        <f aca="false">IF(COUNT(K99,K100,K101,K102,K103,K104,K105)&gt;0,ROUND(N(K99)+N(K100)+N(K101)+N(K102)+N(K103)+N(K104)+N(K105)-K128,1),"")</f>
        <v>0</v>
      </c>
      <c r="L106" s="26" t="n">
        <f aca="false">IF(COUNT(L99,L100,L101,L102,L103,L104,L105)&gt;0,ROUND(N(L99)+N(L100)+N(L101)+N(L102)+N(L103)+N(L104)+N(L105)-L128,1),"")</f>
        <v>0</v>
      </c>
      <c r="M106" s="26" t="n">
        <f aca="false">IF(COUNT(M99,M100,M101,M102,M103,M104,M105)&gt;0,ROUND(N(M99)+N(M100)+N(M101)+N(M102)+N(M103)+N(M104)+N(M105)-M128,1),"")</f>
        <v>-0</v>
      </c>
      <c r="N106" s="26" t="n">
        <f aca="false">IF(COUNT(N99,N100,N101,N102,N103,N104,N105)&gt;0,ROUND(N(N99)+N(N100)+N(N101)+N(N102)+N(N103)+N(N104)+N(N105)-N128,1),"")</f>
        <v>0</v>
      </c>
      <c r="O106" s="26" t="n">
        <f aca="false">IF(COUNT(O99,O100,O101,O102,O103,O104,O105)&gt;0,ROUND(N(O99)+N(O100)+N(O101)+N(O102)+N(O103)+N(O104)+N(O105)-O128,1),"")</f>
        <v>0</v>
      </c>
      <c r="P106" s="26" t="n">
        <f aca="false">IF(COUNT(P99,P100,P101,P102,P103,P104,P105)&gt;0,ROUND(N(P99)+N(P100)+N(P101)+N(P102)+N(P103)+N(P104)+N(P105)-P128,1),"")</f>
        <v>0</v>
      </c>
      <c r="Q106" s="26" t="n">
        <f aca="false">IF(COUNT(Q99,Q100,Q101,Q102,Q103,Q104,Q105)&gt;0,ROUND(N(Q99)+N(Q100)+N(Q101)+N(Q102)+N(Q103)+N(Q104)+N(Q105)-Q128,1),"")</f>
        <v>0</v>
      </c>
      <c r="R106" s="26" t="n">
        <f aca="false">IF(COUNT(R99,R100,R101,R102,R103,R104,R105)&gt;0,ROUND(N(R99)+N(R100)+N(R101)+N(R102)+N(R103)+N(R104)+N(R105)-R128,1),"")</f>
        <v>-0</v>
      </c>
      <c r="S106" s="26" t="n">
        <f aca="false">IF(COUNT(S99,S100,S101,S102,S103,S104,S105)&gt;0,ROUND(N(S99)+N(S100)+N(S101)+N(S102)+N(S103)+N(S104)+N(S105)-S128,1),"")</f>
        <v>0</v>
      </c>
      <c r="T106" s="26" t="n">
        <f aca="false">IF(COUNT(T99,T100,T101,T102,T103,T104,T105)&gt;0,ROUND(N(T99)+N(T100)+N(T101)+N(T102)+N(T103)+N(T104)+N(T105)-T128,1),"")</f>
        <v>0</v>
      </c>
      <c r="U106" s="26" t="n">
        <f aca="false">IF(COUNT(U99,U100,U101,U102,U103,U104,U105)&gt;0,ROUND(N(U99)+N(U100)+N(U101)+N(U102)+N(U103)+N(U104)+N(U105)-U128,1),"")</f>
        <v>0</v>
      </c>
      <c r="V106" s="26" t="n">
        <f aca="false">IF(COUNT(V99,V100,V101,V102,V103,V104,V105)&gt;0,ROUND(N(V99)+N(V100)+N(V101)+N(V102)+N(V103)+N(V104)+N(V105)-V128,1),"")</f>
        <v>0</v>
      </c>
      <c r="W106" s="26" t="n">
        <f aca="false">IF(COUNT(W99,W100,W101,W102,W103,W104,W105)&gt;0,ROUND(N(W99)+N(W100)+N(W101)+N(W102)+N(W103)+N(W104)+N(W105)-W128,1),"")</f>
        <v>0</v>
      </c>
      <c r="X106" s="26" t="n">
        <f aca="false">IF(COUNT(X99,X100,X101,X102,X103,X104,X105)&gt;0,ROUND(N(X99)+N(X100)+N(X101)+N(X102)+N(X103)+N(X104)+N(X105)-X128,1),"")</f>
        <v>0</v>
      </c>
      <c r="Y106" s="26" t="n">
        <f aca="false">IF(COUNT(Y99,Y100,Y101,Y102,Y103,Y104,Y105)&gt;0,ROUND(N(Y99)+N(Y100)+N(Y101)+N(Y102)+N(Y103)+N(Y104)+N(Y105)-Y128,1),"")</f>
        <v>0</v>
      </c>
      <c r="Z106" s="26" t="n">
        <f aca="false">IF(COUNT(Z99,Z100,Z101,Z102,Z103,Z104,Z105)&gt;0,ROUND(N(Z99)+N(Z100)+N(Z101)+N(Z102)+N(Z103)+N(Z104)+N(Z105)-Z128,1),"")</f>
        <v>0</v>
      </c>
      <c r="AA106" s="26" t="n">
        <f aca="false">IF(COUNT(AA99,AA100,AA101,AA102,AA103,AA104,AA105)&gt;0,ROUND(N(AA99)+N(AA100)+N(AA101)+N(AA102)+N(AA103)+N(AA104)+N(AA105)-AA128,1),"")</f>
        <v>0</v>
      </c>
      <c r="AB106" s="26" t="str">
        <f aca="false">IF(COUNT(AB99,AB100,AB101,AB102,AB103,AB104,AB105)&gt;0,ROUND(N(AB99)+N(AB100)+N(AB101)+N(AB102)+N(AB103)+N(AB104)+N(AB105)-AB128,1),"")</f>
        <v/>
      </c>
      <c r="AC106" s="26" t="n">
        <f aca="false">IF(COUNT(AC99,AC100,AC101,AC102,AC103,AC104,AC105)&gt;0,ROUND(N(AC99)+N(AC100)+N(AC101)+N(AC102)+N(AC103)+N(AC104)+N(AC105)-AC128,1),"")</f>
        <v>0</v>
      </c>
      <c r="AD106" s="26" t="n">
        <f aca="false">IF(COUNT(AD99,AD100,AD101,AD102,AD103,AD104,AD105)&gt;0,ROUND(N(AD99)+N(AD100)+N(AD101)+N(AD102)+N(AD103)+N(AD104)+N(AD105)-AD128,1),"")</f>
        <v>0</v>
      </c>
      <c r="AE106" s="26" t="n">
        <f aca="false">IF(COUNT(AE99,AE100,AE101,AE102,AE103,AE104,AE105)&gt;0,ROUND(N(AE99)+N(AE100)+N(AE101)+N(AE102)+N(AE103)+N(AE104)+N(AE105)-AE128,1),"")</f>
        <v>0</v>
      </c>
      <c r="AF106" s="26" t="n">
        <f aca="false">IF(COUNT(AF99,AF100,AF101,AF102,AF103,AF104,AF105)&gt;0,ROUND(N(AF99)+N(AF100)+N(AF101)+N(AF102)+N(AF103)+N(AF104)+N(AF105)-AF128,1),"")</f>
        <v>0</v>
      </c>
      <c r="AG106" s="26" t="n">
        <f aca="false">IF(COUNT(AG99,AG100,AG101,AG102,AG103,AG104,AG105)&gt;0,ROUND(N(AG99)+N(AG100)+N(AG101)+N(AG102)+N(AG103)+N(AG104)+N(AG105)-AG128,1),"")</f>
        <v>0</v>
      </c>
      <c r="AH106" s="26" t="n">
        <f aca="false">IF(COUNT(AH99,AH100,AH101,AH102,AH103,AH104,AH105)&gt;0,ROUND(N(AH99)+N(AH100)+N(AH101)+N(AH102)+N(AH103)+N(AH104)+N(AH105)-AH128,1),"")</f>
        <v>0</v>
      </c>
      <c r="AI106" s="26" t="n">
        <f aca="false">IF(COUNT(AI99,AI100,AI101,AI102,AI103,AI104,AI105)&gt;0,ROUND(N(AI99)+N(AI100)+N(AI101)+N(AI102)+N(AI103)+N(AI104)+N(AI105)-AI128,1),"")</f>
        <v>0</v>
      </c>
      <c r="AJ106" s="26" t="n">
        <f aca="false">IF(COUNT(AJ99,AJ100,AJ101,AJ102,AJ103,AJ104,AJ105)&gt;0,ROUND(N(AJ99)+N(AJ100)+N(AJ101)+N(AJ102)+N(AJ103)+N(AJ104)+N(AJ105)-AJ128,1),"")</f>
        <v>0</v>
      </c>
      <c r="AK106" s="26" t="n">
        <f aca="false">IF(COUNT(AK99,AK100,AK101,AK102,AK103,AK104,AK105)&gt;0,ROUND(N(AK99)+N(AK100)+N(AK101)+N(AK102)+N(AK103)+N(AK104)+N(AK105)-AK128,1),"")</f>
        <v>0</v>
      </c>
      <c r="AL106" s="26" t="n">
        <f aca="false">IF(COUNT(AL99,AL100,AL101,AL102,AL103,AL104,AL105)&gt;0,ROUND(N(AL99)+N(AL100)+N(AL101)+N(AL102)+N(AL103)+N(AL104)+N(AL105)-AL128,1),"")</f>
        <v>0</v>
      </c>
      <c r="AM106" s="26" t="n">
        <f aca="false">IF(COUNT(AM99,AM100,AM101,AM102,AM103,AM104,AM105)&gt;0,ROUND(N(AM99)+N(AM100)+N(AM101)+N(AM102)+N(AM103)+N(AM104)+N(AM105)-AM128,1),"")</f>
        <v>0</v>
      </c>
      <c r="AN106" s="26" t="n">
        <f aca="false">IF(COUNT(AN99,AN100,AN101,AN102,AN103,AN104,AN105)&gt;0,ROUND(N(AN99)+N(AN100)+N(AN101)+N(AN102)+N(AN103)+N(AN104)+N(AN105)-AN128,1),"")</f>
        <v>0</v>
      </c>
      <c r="AO106" s="26" t="n">
        <f aca="false">IF(COUNT(AO99,AO100,AO101,AO102,AO103,AO104,AO105)&gt;0,ROUND(N(AO99)+N(AO100)+N(AO101)+N(AO102)+N(AO103)+N(AO104)+N(AO105)-AO128,1),"")</f>
        <v>0</v>
      </c>
      <c r="AP106" s="26" t="n">
        <f aca="false">IF(COUNT(AP99,AP100,AP101,AP102,AP103,AP104,AP105)&gt;0,ROUND(N(AP99)+N(AP100)+N(AP101)+N(AP102)+N(AP103)+N(AP104)+N(AP105)-AP128,1),"")</f>
        <v>0</v>
      </c>
      <c r="AQ106" s="26" t="n">
        <f aca="false">IF(COUNT(AQ99,AQ100,AQ101,AQ102,AQ103,AQ104,AQ105)&gt;0,ROUND(N(AQ99)+N(AQ100)+N(AQ101)+N(AQ102)+N(AQ103)+N(AQ104)+N(AQ105)-AQ128,1),"")</f>
        <v>-0</v>
      </c>
      <c r="AR106" s="26" t="n">
        <f aca="false">IF(COUNT(AR99,AR100,AR101,AR102,AR103,AR104,AR105)&gt;0,ROUND(N(AR99)+N(AR100)+N(AR101)+N(AR102)+N(AR103)+N(AR104)+N(AR105)-AR128,1),"")</f>
        <v>0</v>
      </c>
      <c r="AS106" s="26" t="n">
        <f aca="false">IF(COUNT(AS99,AS100,AS101,AS102,AS103,AS104,AS105)&gt;0,ROUND(N(AS99)+N(AS100)+N(AS101)+N(AS102)+N(AS103)+N(AS104)+N(AS105)-AS128,1),"")</f>
        <v>0</v>
      </c>
      <c r="AT106" s="26" t="n">
        <f aca="false">IF(COUNT(AT99,AT100,AT101,AT102,AT103,AT104,AT105)&gt;0,ROUND(N(AT99)+N(AT100)+N(AT101)+N(AT102)+N(AT103)+N(AT104)+N(AT105)-AT128,1),"")</f>
        <v>0</v>
      </c>
      <c r="AU106" s="26" t="n">
        <f aca="false">IF(COUNT(AU99,AU100,AU101,AU102,AU103,AU104,AU105)&gt;0,ROUND(N(AU99)+N(AU100)+N(AU101)+N(AU102)+N(AU103)+N(AU104)+N(AU105)-AU128,1),"")</f>
        <v>0</v>
      </c>
      <c r="AV106" s="26" t="str">
        <f aca="false">IF(COUNT(AV99,AV100,AV101,AV102,AV103,AV104,AV105)&gt;0,ROUND(N(AV99)+N(AV100)+N(AV101)+N(AV102)+N(AV103)+N(AV104)+N(AV105)-AV128,1),"")</f>
        <v/>
      </c>
      <c r="AW106" s="26" t="n">
        <f aca="false">IF(COUNT(AW99,AW100,AW101,AW102,AW103,AW104,AW105)&gt;0,ROUND(N(AW99)+N(AW100)+N(AW101)+N(AW102)+N(AW103)+N(AW104)+N(AW105)-AW128,1),"")</f>
        <v>0</v>
      </c>
      <c r="AX106" s="26" t="n">
        <f aca="false">IF(COUNT(AX99,AX100,AX101,AX102,AX103,AX104,AX105)&gt;0,ROUND(N(AX99)+N(AX100)+N(AX101)+N(AX102)+N(AX103)+N(AX104)+N(AX105)-AX128,1),"")</f>
        <v>0</v>
      </c>
      <c r="AY106" s="26" t="n">
        <f aca="false">IF(COUNT(AY99,AY100,AY101,AY102,AY103,AY104,AY105)&gt;0,ROUND(N(AY99)+N(AY100)+N(AY101)+N(AY102)+N(AY103)+N(AY104)+N(AY105)-AY128,1),"")</f>
        <v>0</v>
      </c>
      <c r="AZ106" s="26" t="n">
        <f aca="false">IF(COUNT(AZ99,AZ100,AZ101,AZ102,AZ103,AZ104,AZ105)&gt;0,ROUND(N(AZ99)+N(AZ100)+N(AZ101)+N(AZ102)+N(AZ103)+N(AZ104)+N(AZ105)-AZ128,1),"")</f>
        <v>0</v>
      </c>
      <c r="BA106" s="26" t="n">
        <f aca="false">IF(COUNT(BA99,BA100,BA101,BA102,BA103,BA104,BA105)&gt;0,ROUND(N(BA99)+N(BA100)+N(BA101)+N(BA102)+N(BA103)+N(BA104)+N(BA105)-BA128,1),"")</f>
        <v>0</v>
      </c>
      <c r="BB106" s="26" t="n">
        <f aca="false">IF(COUNT(BB99,BB100,BB101,BB102,BB103,BB104,BB105)&gt;0,ROUND(N(BB99)+N(BB100)+N(BB101)+N(BB102)+N(BB103)+N(BB104)+N(BB105)-BB128,1),"")</f>
        <v>0</v>
      </c>
      <c r="BC106" s="26" t="n">
        <f aca="false">IF(COUNT(BC99,BC100,BC101,BC102,BC103,BC104,BC105)&gt;0,ROUND(N(BC99)+N(BC100)+N(BC101)+N(BC102)+N(BC103)+N(BC104)+N(BC105)-BC128,1),"")</f>
        <v>0</v>
      </c>
      <c r="BD106" s="26" t="n">
        <f aca="false">IF(COUNT(BD99,BD100,BD101,BD102,BD103,BD104,BD105)&gt;0,ROUND(N(BD99)+N(BD100)+N(BD101)+N(BD102)+N(BD103)+N(BD104)+N(BD105)-BD128,1),"")</f>
        <v>0</v>
      </c>
      <c r="BE106" s="26" t="n">
        <f aca="false">IF(COUNT(BE99,BE100,BE101,BE102,BE103,BE104,BE105)&gt;0,ROUND(N(BE99)+N(BE100)+N(BE101)+N(BE102)+N(BE103)+N(BE104)+N(BE105)-BE128,1),"")</f>
        <v>0</v>
      </c>
      <c r="BF106" s="26" t="n">
        <f aca="false">IF(COUNT(BF99,BF100,BF101,BF102,BF103,BF104,BF105)&gt;0,ROUND(N(BF99)+N(BF100)+N(BF101)+N(BF102)+N(BF103)+N(BF104)+N(BF105)-BF128,1),"")</f>
        <v>0</v>
      </c>
      <c r="BG106" s="26" t="n">
        <f aca="false">IF(COUNT(BG99,BG100,BG101,BG102,BG103,BG104,BG105)&gt;0,ROUND(N(BG99)+N(BG100)+N(BG101)+N(BG102)+N(BG103)+N(BG104)+N(BG105)-BG128,1),"")</f>
        <v>0</v>
      </c>
      <c r="BH106" s="26" t="n">
        <f aca="false">IF(COUNT(BH99,BH100,BH101,BH102,BH103,BH104,BH105)&gt;0,ROUND(N(BH99)+N(BH100)+N(BH101)+N(BH102)+N(BH103)+N(BH104)+N(BH105)-BH128,1),"")</f>
        <v>0</v>
      </c>
      <c r="BI106" s="26" t="n">
        <f aca="false">IF(COUNT(BI99,BI100,BI101,BI102,BI103,BI104,BI105)&gt;0,ROUND(N(BI99)+N(BI100)+N(BI101)+N(BI102)+N(BI103)+N(BI104)+N(BI105)-BI128,1),"")</f>
        <v>0</v>
      </c>
      <c r="BJ106" s="26" t="n">
        <f aca="false">IF(COUNT(BJ99,BJ100,BJ101,BJ102,BJ103,BJ104,BJ105)&gt;0,ROUND(N(BJ99)+N(BJ100)+N(BJ101)+N(BJ102)+N(BJ103)+N(BJ104)+N(BJ105)-BJ128,1),"")</f>
        <v>0</v>
      </c>
      <c r="BK106" s="26" t="str">
        <f aca="false">IF(COUNT(BK99,BK100,BK101,BK102,BK103,BK104,BK105)&gt;0,ROUND(N(BK99)+N(BK100)+N(BK101)+N(BK102)+N(BK103)+N(BK104)+N(BK105)-BK128,1),"")</f>
        <v/>
      </c>
      <c r="BL106" s="26" t="n">
        <f aca="false">IF(COUNT(BL99,BL100,BL101,BL102,BL103,BL104,BL105)&gt;0,ROUND(N(BL99)+N(BL100)+N(BL101)+N(BL102)+N(BL103)+N(BL104)+N(BL105)-BL128,1),"")</f>
        <v>0</v>
      </c>
      <c r="BM106" s="26" t="n">
        <f aca="false">IF(COUNT(BM99,BM100,BM101,BM102,BM103,BM104,BM105)&gt;0,ROUND(N(BM99)+N(BM100)+N(BM101)+N(BM102)+N(BM103)+N(BM104)+N(BM105)-BM128,1),"")</f>
        <v>0</v>
      </c>
      <c r="BN106" s="26" t="n">
        <f aca="false">IF(COUNT(BN99,BN100,BN101,BN102,BN103,BN104,BN105)&gt;0,ROUND(N(BN99)+N(BN100)+N(BN101)+N(BN102)+N(BN103)+N(BN104)+N(BN105)-BN128,1),"")</f>
        <v>0</v>
      </c>
      <c r="BO106" s="26" t="n">
        <f aca="false">IF(COUNT(BO99,BO100,BO101,BO102,BO103,BO104,BO105)&gt;0,ROUND(N(BO99)+N(BO100)+N(BO101)+N(BO102)+N(BO103)+N(BO104)+N(BO105)-BO128,1),"")</f>
        <v>0</v>
      </c>
      <c r="BP106" s="26" t="n">
        <f aca="false">IF(COUNT(BP99,BP100,BP101,BP102,BP103,BP104,BP105)&gt;0,ROUND(N(BP99)+N(BP100)+N(BP101)+N(BP102)+N(BP103)+N(BP104)+N(BP105)-BP128,1),"")</f>
        <v>0</v>
      </c>
      <c r="BQ106" s="26" t="n">
        <f aca="false">IF(COUNT(BQ99,BQ100,BQ101,BQ102,BQ103,BQ104,BQ105)&gt;0,ROUND(N(BQ99)+N(BQ100)+N(BQ101)+N(BQ102)+N(BQ103)+N(BQ104)+N(BQ105)-BQ128,1),"")</f>
        <v>0</v>
      </c>
      <c r="BR106" s="26" t="n">
        <f aca="false">IF(COUNT(BR99,BR100,BR101,BR102,BR103,BR104,BR105)&gt;0,ROUND(N(BR99)+N(BR100)+N(BR101)+N(BR102)+N(BR103)+N(BR104)+N(BR105)-BR128,1),"")</f>
        <v>0</v>
      </c>
      <c r="BS106" s="26" t="n">
        <f aca="false">IF(COUNT(BS99,BS100,BS101,BS102,BS103,BS104,BS105)&gt;0,ROUND(N(BS99)+N(BS100)+N(BS101)+N(BS102)+N(BS103)+N(BS104)+N(BS105)-BS128,1),"")</f>
        <v>0</v>
      </c>
      <c r="BT106" s="26" t="n">
        <f aca="false">IF(COUNT(BT99,BT100,BT101,BT102,BT103,BT104,BT105)&gt;0,ROUND(N(BT99)+N(BT100)+N(BT101)+N(BT102)+N(BT103)+N(BT104)+N(BT105)-BT128,1),"")</f>
        <v>0</v>
      </c>
      <c r="BU106" s="26" t="n">
        <f aca="false">IF(COUNT(BU99,BU100,BU101,BU102,BU103,BU104,BU105)&gt;0,ROUND(N(BU99)+N(BU100)+N(BU101)+N(BU102)+N(BU103)+N(BU104)+N(BU105)-BU128,1),"")</f>
        <v>0</v>
      </c>
      <c r="BV106" s="26" t="n">
        <f aca="false">IF(COUNT(BV99,BV100,BV101,BV102,BV103,BV104,BV105)&gt;0,ROUND(N(BV99)+N(BV100)+N(BV101)+N(BV102)+N(BV103)+N(BV104)+N(BV105)-BV128,1),"")</f>
        <v>0</v>
      </c>
      <c r="BW106" s="26" t="n">
        <f aca="false">IF(COUNT(BW99,BW100,BW101,BW102,BW103,BW104,BW105)&gt;0,ROUND(N(BW99)+N(BW100)+N(BW101)+N(BW102)+N(BW103)+N(BW104)+N(BW105)-BW128,1),"")</f>
        <v>0</v>
      </c>
      <c r="BX106" s="26" t="n">
        <f aca="false">IF(COUNT(BX99,BX100,BX101,BX102,BX103,BX104,BX105)&gt;0,ROUND(N(BX99)+N(BX100)+N(BX101)+N(BX102)+N(BX103)+N(BX104)+N(BX105)-BX128,1),"")</f>
        <v>0</v>
      </c>
      <c r="BY106" s="28"/>
      <c r="BZ106" s="28"/>
      <c r="CA106" s="28"/>
      <c r="CB106" s="28"/>
      <c r="CC106" s="28"/>
      <c r="CD106" s="28"/>
      <c r="CE106" s="28"/>
      <c r="CF106" s="21"/>
    </row>
    <row r="107" customFormat="false" ht="15" hidden="true" customHeight="true" outlineLevel="2" collapsed="false">
      <c r="B107" s="29" t="s">
        <v>258</v>
      </c>
      <c r="C107" s="25"/>
      <c r="D107" s="27" t="n">
        <v>71.489</v>
      </c>
      <c r="E107" s="27" t="n">
        <v>71.205</v>
      </c>
      <c r="F107" s="27" t="n">
        <v>88.546</v>
      </c>
      <c r="G107" s="27" t="n">
        <v>101.827</v>
      </c>
      <c r="H107" s="25"/>
      <c r="I107" s="25"/>
      <c r="J107" s="25"/>
      <c r="K107" s="25"/>
      <c r="L107" s="25"/>
      <c r="M107" s="26" t="str">
        <f aca="false">IF(AND(ISNUMBER(N107),ISNUMBER(J107),ISNUMBER(K107),ISNUMBER(L107)),N107-J107-K107-L107,"")</f>
        <v/>
      </c>
      <c r="N107" s="25"/>
      <c r="O107" s="25"/>
      <c r="P107" s="25"/>
      <c r="Q107" s="25"/>
      <c r="R107" s="26" t="str">
        <f aca="false">IF(AND(ISNUMBER(S107),ISNUMBER(O107),ISNUMBER(P107),ISNUMBER(Q107)),S107-O107-P107-Q107,"")</f>
        <v/>
      </c>
      <c r="S107" s="25"/>
      <c r="T107" s="25"/>
      <c r="U107" s="25"/>
      <c r="V107" s="25"/>
      <c r="W107" s="26" t="str">
        <f aca="false">IF(AND(ISNUMBER(X107),ISNUMBER(T107),ISNUMBER(U107),ISNUMBER(V107)),X107-T107-U107-V107,"")</f>
        <v/>
      </c>
      <c r="X107" s="25"/>
      <c r="Y107" s="25"/>
      <c r="Z107" s="27" t="n">
        <v>27.228</v>
      </c>
      <c r="AA107" s="27" t="n">
        <v>62.189</v>
      </c>
      <c r="AB107" s="25"/>
      <c r="AC107" s="27" t="n">
        <v>163.32</v>
      </c>
      <c r="AD107" s="27" t="n">
        <v>68.94</v>
      </c>
      <c r="AE107" s="27" t="n">
        <v>67.168</v>
      </c>
      <c r="AF107" s="27" t="n">
        <v>63.171</v>
      </c>
      <c r="AG107" s="26" t="n">
        <f aca="false">IF(AND(ISNUMBER(AH107),ISNUMBER(AD107),ISNUMBER(AE107),ISNUMBER(AF107)),AH107-AD107-AE107-AF107,"")</f>
        <v>59.281</v>
      </c>
      <c r="AH107" s="27" t="n">
        <v>258.56</v>
      </c>
      <c r="AI107" s="27" t="n">
        <v>68.907</v>
      </c>
      <c r="AJ107" s="27" t="n">
        <v>68.787</v>
      </c>
      <c r="AK107" s="27" t="n">
        <v>70.159</v>
      </c>
      <c r="AL107" s="26" t="n">
        <f aca="false">IF(AND(ISNUMBER(AM107),ISNUMBER(AI107),ISNUMBER(AJ107),ISNUMBER(AK107)),AM107-AI107-AJ107-AK107,"")</f>
        <v>68.938</v>
      </c>
      <c r="AM107" s="27" t="n">
        <v>276.791</v>
      </c>
      <c r="AN107" s="27" t="n">
        <v>74.377</v>
      </c>
      <c r="AO107" s="27" t="n">
        <v>74.511</v>
      </c>
      <c r="AP107" s="27" t="n">
        <v>77.406</v>
      </c>
      <c r="AQ107" s="26" t="n">
        <f aca="false">IF(AND(ISNUMBER(AR107),ISNUMBER(AN107),ISNUMBER(AO107),ISNUMBER(AP107)),AR107-AN107-AO107-AP107,"")</f>
        <v>79.705</v>
      </c>
      <c r="AR107" s="27" t="n">
        <v>305.999</v>
      </c>
      <c r="AS107" s="27" t="n">
        <v>74.517</v>
      </c>
      <c r="AT107" s="27" t="n">
        <v>76.119</v>
      </c>
      <c r="AU107" s="27" t="n">
        <v>81.394</v>
      </c>
      <c r="AV107" s="25"/>
      <c r="AW107" s="27" t="n">
        <v>369.445</v>
      </c>
      <c r="AX107" s="27" t="n">
        <v>93.424</v>
      </c>
      <c r="AY107" s="27" t="n">
        <v>98.928</v>
      </c>
      <c r="AZ107" s="27" t="n">
        <v>99.612</v>
      </c>
      <c r="BA107" s="26" t="n">
        <f aca="false">IF(AND(ISNUMBER(BB107),ISNUMBER(AX107),ISNUMBER(AY107),ISNUMBER(AZ107)),BB107-AX107-AY107-AZ107,"")</f>
        <v>103.018</v>
      </c>
      <c r="BB107" s="27" t="n">
        <v>394.982</v>
      </c>
      <c r="BC107" s="27" t="n">
        <v>108.61</v>
      </c>
      <c r="BD107" s="27" t="n">
        <v>124.507</v>
      </c>
      <c r="BE107" s="27" t="n">
        <v>130.668</v>
      </c>
      <c r="BF107" s="26" t="n">
        <f aca="false">IF(AND(ISNUMBER(BG107),ISNUMBER(BC107),ISNUMBER(BD107),ISNUMBER(BE107)),BG107-BC107-BD107-BE107,"")</f>
        <v>134.047</v>
      </c>
      <c r="BG107" s="27" t="n">
        <v>497.832</v>
      </c>
      <c r="BH107" s="27" t="n">
        <v>133.271</v>
      </c>
      <c r="BI107" s="27" t="n">
        <v>129.674</v>
      </c>
      <c r="BJ107" s="27" t="n">
        <v>133.072</v>
      </c>
      <c r="BK107" s="25"/>
      <c r="BL107" s="27" t="n">
        <v>518.002</v>
      </c>
      <c r="BM107" s="27" t="n">
        <v>128.412</v>
      </c>
      <c r="BN107" s="27" t="n">
        <v>138.524</v>
      </c>
      <c r="BO107" s="27" t="n">
        <v>144.384</v>
      </c>
      <c r="BP107" s="26" t="n">
        <f aca="false">IF(AND(ISNUMBER(BQ107),ISNUMBER(BM107),ISNUMBER(BN107),ISNUMBER(BO107)),BQ107-BM107-BN107-BO107,"")</f>
        <v>145.105</v>
      </c>
      <c r="BQ107" s="27" t="n">
        <v>556.425</v>
      </c>
      <c r="BR107" s="27" t="n">
        <v>148.7</v>
      </c>
      <c r="BS107" s="27" t="n">
        <v>154.307</v>
      </c>
      <c r="BT107" s="27" t="n">
        <v>158.356</v>
      </c>
      <c r="BU107" s="26" t="n">
        <f aca="false">IF(AND(ISNUMBER(BV107),ISNUMBER(BR107),ISNUMBER(BS107),ISNUMBER(BT107)),BV107-BR107-BS107-BT107,"")</f>
        <v>171.033</v>
      </c>
      <c r="BV107" s="27" t="n">
        <v>632.396</v>
      </c>
      <c r="BW107" s="27" t="n">
        <v>160.509</v>
      </c>
      <c r="BX107" s="27" t="n">
        <v>170.844</v>
      </c>
      <c r="BY107" s="28"/>
      <c r="BZ107" s="28"/>
      <c r="CA107" s="28"/>
      <c r="CB107" s="28"/>
      <c r="CC107" s="28"/>
      <c r="CD107" s="28"/>
      <c r="CE107" s="28"/>
      <c r="CF107" s="21"/>
    </row>
    <row r="108" customFormat="false" ht="15" hidden="true" customHeight="true" outlineLevel="2" collapsed="false">
      <c r="B108" s="29" t="s">
        <v>259</v>
      </c>
      <c r="C108" s="25"/>
      <c r="D108" s="25"/>
      <c r="E108" s="25"/>
      <c r="F108" s="25"/>
      <c r="G108" s="25"/>
      <c r="H108" s="27" t="n">
        <v>95.301</v>
      </c>
      <c r="I108" s="27" t="n">
        <v>101.046</v>
      </c>
      <c r="J108" s="27" t="n">
        <v>25.881</v>
      </c>
      <c r="K108" s="27" t="n">
        <v>29.029</v>
      </c>
      <c r="L108" s="27" t="n">
        <v>28.038</v>
      </c>
      <c r="M108" s="26" t="n">
        <f aca="false">IF(AND(ISNUMBER(N108),ISNUMBER(J108),ISNUMBER(K108),ISNUMBER(L108)),N108-J108-K108-L108,"")</f>
        <v>25.225</v>
      </c>
      <c r="N108" s="27" t="n">
        <v>108.173</v>
      </c>
      <c r="O108" s="27" t="n">
        <v>27.137</v>
      </c>
      <c r="P108" s="27" t="n">
        <v>30.768</v>
      </c>
      <c r="Q108" s="27" t="n">
        <v>29.379</v>
      </c>
      <c r="R108" s="26" t="n">
        <f aca="false">IF(AND(ISNUMBER(S108),ISNUMBER(O108),ISNUMBER(P108),ISNUMBER(Q108)),S108-O108-P108-Q108,"")</f>
        <v>28.946</v>
      </c>
      <c r="S108" s="27" t="n">
        <v>116.23</v>
      </c>
      <c r="T108" s="27" t="n">
        <v>30.072</v>
      </c>
      <c r="U108" s="27" t="n">
        <v>32.832</v>
      </c>
      <c r="V108" s="27" t="n">
        <v>34.301</v>
      </c>
      <c r="W108" s="26" t="n">
        <f aca="false">IF(AND(ISNUMBER(X108),ISNUMBER(T108),ISNUMBER(U108),ISNUMBER(V108)),X108-T108-U108-V108,"")</f>
        <v>35.569</v>
      </c>
      <c r="X108" s="27" t="n">
        <v>132.774</v>
      </c>
      <c r="Y108" s="27" t="n">
        <v>38.246</v>
      </c>
      <c r="Z108" s="27" t="n">
        <v>44.824</v>
      </c>
      <c r="AA108" s="27" t="n">
        <v>59.019</v>
      </c>
      <c r="AB108" s="25"/>
      <c r="AC108" s="27" t="n">
        <v>193.361</v>
      </c>
      <c r="AD108" s="27" t="n">
        <v>65.45</v>
      </c>
      <c r="AE108" s="27" t="n">
        <v>72.095</v>
      </c>
      <c r="AF108" s="27" t="n">
        <v>74.018</v>
      </c>
      <c r="AG108" s="26" t="n">
        <f aca="false">IF(AND(ISNUMBER(AH108),ISNUMBER(AD108),ISNUMBER(AE108),ISNUMBER(AF108)),AH108-AD108-AE108-AF108,"")</f>
        <v>62.379</v>
      </c>
      <c r="AH108" s="27" t="n">
        <v>273.942</v>
      </c>
      <c r="AI108" s="27" t="n">
        <v>67.433</v>
      </c>
      <c r="AJ108" s="27" t="n">
        <v>74.795</v>
      </c>
      <c r="AK108" s="27" t="n">
        <v>83.721</v>
      </c>
      <c r="AL108" s="26" t="n">
        <f aca="false">IF(AND(ISNUMBER(AM108),ISNUMBER(AI108),ISNUMBER(AJ108),ISNUMBER(AK108)),AM108-AI108-AJ108-AK108,"")</f>
        <v>73.213</v>
      </c>
      <c r="AM108" s="27" t="n">
        <v>299.162</v>
      </c>
      <c r="AN108" s="27" t="n">
        <v>76.957</v>
      </c>
      <c r="AO108" s="27" t="n">
        <v>85.048</v>
      </c>
      <c r="AP108" s="27" t="n">
        <v>88.101</v>
      </c>
      <c r="AQ108" s="26" t="n">
        <f aca="false">IF(AND(ISNUMBER(AR108),ISNUMBER(AN108),ISNUMBER(AO108),ISNUMBER(AP108)),AR108-AN108-AO108-AP108,"")</f>
        <v>80.472</v>
      </c>
      <c r="AR108" s="27" t="n">
        <v>330.578</v>
      </c>
      <c r="AS108" s="27" t="n">
        <v>84.662</v>
      </c>
      <c r="AT108" s="27" t="n">
        <v>82.68</v>
      </c>
      <c r="AU108" s="27" t="n">
        <v>90.991</v>
      </c>
      <c r="AV108" s="25"/>
      <c r="AW108" s="27" t="n">
        <v>343.446</v>
      </c>
      <c r="AX108" s="27" t="n">
        <v>89.121</v>
      </c>
      <c r="AY108" s="27" t="n">
        <v>99.382</v>
      </c>
      <c r="AZ108" s="27" t="n">
        <v>106.908</v>
      </c>
      <c r="BA108" s="26" t="n">
        <f aca="false">IF(AND(ISNUMBER(BB108),ISNUMBER(AX108),ISNUMBER(AY108),ISNUMBER(AZ108)),BB108-AX108-AY108-AZ108,"")</f>
        <v>109.082</v>
      </c>
      <c r="BB108" s="27" t="n">
        <v>404.493</v>
      </c>
      <c r="BC108" s="27" t="n">
        <v>107.788</v>
      </c>
      <c r="BD108" s="27" t="n">
        <v>126.042</v>
      </c>
      <c r="BE108" s="27" t="n">
        <v>133.393</v>
      </c>
      <c r="BF108" s="26" t="n">
        <f aca="false">IF(AND(ISNUMBER(BG108),ISNUMBER(BC108),ISNUMBER(BD108),ISNUMBER(BE108)),BG108-BC108-BD108-BE108,"")</f>
        <v>119.426</v>
      </c>
      <c r="BG108" s="27" t="n">
        <v>486.649</v>
      </c>
      <c r="BH108" s="27" t="n">
        <v>119.98</v>
      </c>
      <c r="BI108" s="27" t="n">
        <v>86.515</v>
      </c>
      <c r="BJ108" s="27" t="n">
        <v>100.779</v>
      </c>
      <c r="BK108" s="25"/>
      <c r="BL108" s="27" t="n">
        <v>353.061</v>
      </c>
      <c r="BM108" s="27" t="n">
        <v>95.016</v>
      </c>
      <c r="BN108" s="27" t="n">
        <v>103.077</v>
      </c>
      <c r="BO108" s="27" t="n">
        <v>114.007</v>
      </c>
      <c r="BP108" s="26" t="n">
        <f aca="false">IF(AND(ISNUMBER(BQ108),ISNUMBER(BM108),ISNUMBER(BN108),ISNUMBER(BO108)),BQ108-BM108-BN108-BO108,"")</f>
        <v>105.123</v>
      </c>
      <c r="BQ108" s="27" t="n">
        <v>417.223</v>
      </c>
      <c r="BR108" s="27" t="n">
        <v>103.095</v>
      </c>
      <c r="BS108" s="27" t="n">
        <v>114.34</v>
      </c>
      <c r="BT108" s="27" t="n">
        <v>121</v>
      </c>
      <c r="BU108" s="26" t="n">
        <f aca="false">IF(AND(ISNUMBER(BV108),ISNUMBER(BR108),ISNUMBER(BS108),ISNUMBER(BT108)),BV108-BR108-BS108-BT108,"")</f>
        <v>113.319</v>
      </c>
      <c r="BV108" s="27" t="n">
        <v>451.754</v>
      </c>
      <c r="BW108" s="27" t="n">
        <v>108.008</v>
      </c>
      <c r="BX108" s="27" t="n">
        <v>121.644</v>
      </c>
      <c r="BY108" s="28"/>
      <c r="BZ108" s="28"/>
      <c r="CA108" s="28"/>
      <c r="CB108" s="28"/>
      <c r="CC108" s="28"/>
      <c r="CD108" s="28"/>
      <c r="CE108" s="28"/>
      <c r="CF108" s="21"/>
    </row>
    <row r="109" customFormat="false" ht="15" hidden="true" customHeight="true" outlineLevel="2" collapsed="false">
      <c r="B109" s="29" t="s">
        <v>260</v>
      </c>
      <c r="C109" s="25"/>
      <c r="D109" s="27" t="n">
        <v>143.636</v>
      </c>
      <c r="E109" s="27" t="n">
        <v>148.994</v>
      </c>
      <c r="F109" s="27" t="n">
        <v>181.353</v>
      </c>
      <c r="G109" s="27" t="n">
        <v>218.254</v>
      </c>
      <c r="H109" s="27" t="n">
        <v>232.94</v>
      </c>
      <c r="I109" s="27" t="n">
        <v>229.427</v>
      </c>
      <c r="J109" s="27" t="n">
        <v>58.576</v>
      </c>
      <c r="K109" s="27" t="n">
        <v>62.386</v>
      </c>
      <c r="L109" s="27" t="n">
        <v>67.773</v>
      </c>
      <c r="M109" s="26" t="n">
        <f aca="false">IF(AND(ISNUMBER(N109),ISNUMBER(J109),ISNUMBER(K109),ISNUMBER(L109)),N109-J109-K109-L109,"")</f>
        <v>60.813</v>
      </c>
      <c r="N109" s="27" t="n">
        <v>249.548</v>
      </c>
      <c r="O109" s="27" t="n">
        <v>62.492</v>
      </c>
      <c r="P109" s="27" t="n">
        <v>63.262</v>
      </c>
      <c r="Q109" s="27" t="n">
        <v>69.14</v>
      </c>
      <c r="R109" s="26" t="n">
        <f aca="false">IF(AND(ISNUMBER(S109),ISNUMBER(O109),ISNUMBER(P109),ISNUMBER(Q109)),S109-O109-P109-Q109,"")</f>
        <v>63.232</v>
      </c>
      <c r="S109" s="27" t="n">
        <v>258.126</v>
      </c>
      <c r="T109" s="27" t="n">
        <v>68.892</v>
      </c>
      <c r="U109" s="27" t="n">
        <v>73.015</v>
      </c>
      <c r="V109" s="27" t="n">
        <v>76.279</v>
      </c>
      <c r="W109" s="26" t="n">
        <f aca="false">IF(AND(ISNUMBER(X109),ISNUMBER(T109),ISNUMBER(U109),ISNUMBER(V109)),X109-T109-U109-V109,"")</f>
        <v>72.751</v>
      </c>
      <c r="X109" s="27" t="n">
        <v>290.937</v>
      </c>
      <c r="Y109" s="27" t="n">
        <v>73.789</v>
      </c>
      <c r="Z109" s="27" t="n">
        <v>79.835</v>
      </c>
      <c r="AA109" s="27" t="n">
        <v>84.214</v>
      </c>
      <c r="AB109" s="25"/>
      <c r="AC109" s="27" t="n">
        <v>315.708</v>
      </c>
      <c r="AD109" s="27" t="n">
        <v>75.569</v>
      </c>
      <c r="AE109" s="27" t="n">
        <v>87.045</v>
      </c>
      <c r="AF109" s="27" t="n">
        <v>84.861</v>
      </c>
      <c r="AG109" s="26" t="n">
        <f aca="false">IF(AND(ISNUMBER(AH109),ISNUMBER(AD109),ISNUMBER(AE109),ISNUMBER(AF109)),AH109-AD109-AE109-AF109,"")</f>
        <v>76.173</v>
      </c>
      <c r="AH109" s="27" t="n">
        <v>323.648</v>
      </c>
      <c r="AI109" s="27" t="n">
        <v>72.658</v>
      </c>
      <c r="AJ109" s="27" t="n">
        <v>81.175</v>
      </c>
      <c r="AK109" s="27" t="n">
        <v>86.174</v>
      </c>
      <c r="AL109" s="26" t="n">
        <f aca="false">IF(AND(ISNUMBER(AM109),ISNUMBER(AI109),ISNUMBER(AJ109),ISNUMBER(AK109)),AM109-AI109-AJ109-AK109,"")</f>
        <v>78.394</v>
      </c>
      <c r="AM109" s="27" t="n">
        <v>318.401</v>
      </c>
      <c r="AN109" s="27" t="n">
        <v>77.005</v>
      </c>
      <c r="AO109" s="27" t="n">
        <v>86.44</v>
      </c>
      <c r="AP109" s="27" t="n">
        <v>90.059</v>
      </c>
      <c r="AQ109" s="26" t="n">
        <f aca="false">IF(AND(ISNUMBER(AR109),ISNUMBER(AN109),ISNUMBER(AO109),ISNUMBER(AP109)),AR109-AN109-AO109-AP109,"")</f>
        <v>85.059</v>
      </c>
      <c r="AR109" s="27" t="n">
        <v>338.563</v>
      </c>
      <c r="AS109" s="27" t="n">
        <v>81.029</v>
      </c>
      <c r="AT109" s="27" t="n">
        <v>85.423</v>
      </c>
      <c r="AU109" s="27" t="n">
        <v>101.071</v>
      </c>
      <c r="AV109" s="25"/>
      <c r="AW109" s="27" t="n">
        <v>364.79</v>
      </c>
      <c r="AX109" s="27" t="n">
        <v>93.825</v>
      </c>
      <c r="AY109" s="27" t="n">
        <v>99.402</v>
      </c>
      <c r="AZ109" s="27" t="n">
        <v>108.28</v>
      </c>
      <c r="BA109" s="26" t="n">
        <f aca="false">IF(AND(ISNUMBER(BB109),ISNUMBER(AX109),ISNUMBER(AY109),ISNUMBER(AZ109)),BB109-AX109-AY109-AZ109,"")</f>
        <v>104.271</v>
      </c>
      <c r="BB109" s="27" t="n">
        <v>405.778</v>
      </c>
      <c r="BC109" s="27" t="n">
        <v>104.747</v>
      </c>
      <c r="BD109" s="27" t="n">
        <v>110.602</v>
      </c>
      <c r="BE109" s="27" t="n">
        <v>115.701</v>
      </c>
      <c r="BF109" s="26" t="n">
        <f aca="false">IF(AND(ISNUMBER(BG109),ISNUMBER(BC109),ISNUMBER(BD109),ISNUMBER(BE109)),BG109-BC109-BD109-BE109,"")</f>
        <v>114.844</v>
      </c>
      <c r="BG109" s="27" t="n">
        <v>445.894</v>
      </c>
      <c r="BH109" s="27" t="n">
        <v>116.301</v>
      </c>
      <c r="BI109" s="27" t="n">
        <v>119.56</v>
      </c>
      <c r="BJ109" s="27" t="n">
        <v>124.433</v>
      </c>
      <c r="BK109" s="25"/>
      <c r="BL109" s="27" t="n">
        <v>483.205</v>
      </c>
      <c r="BM109" s="27" t="n">
        <v>113.05</v>
      </c>
      <c r="BN109" s="27" t="n">
        <v>134.434</v>
      </c>
      <c r="BO109" s="27" t="n">
        <v>147.49</v>
      </c>
      <c r="BP109" s="26" t="n">
        <f aca="false">IF(AND(ISNUMBER(BQ109),ISNUMBER(BM109),ISNUMBER(BN109),ISNUMBER(BO109)),BQ109-BM109-BN109-BO109,"")</f>
        <v>125.784</v>
      </c>
      <c r="BQ109" s="27" t="n">
        <v>520.758</v>
      </c>
      <c r="BR109" s="27" t="n">
        <v>112.345</v>
      </c>
      <c r="BS109" s="27" t="n">
        <v>127.969</v>
      </c>
      <c r="BT109" s="27" t="n">
        <v>143.782</v>
      </c>
      <c r="BU109" s="26" t="n">
        <f aca="false">IF(AND(ISNUMBER(BV109),ISNUMBER(BR109),ISNUMBER(BS109),ISNUMBER(BT109)),BV109-BR109-BS109-BT109,"")</f>
        <v>129.141</v>
      </c>
      <c r="BV109" s="27" t="n">
        <v>513.237</v>
      </c>
      <c r="BW109" s="27" t="n">
        <v>123.387</v>
      </c>
      <c r="BX109" s="27" t="n">
        <v>133.736</v>
      </c>
      <c r="BY109" s="28"/>
      <c r="BZ109" s="28"/>
      <c r="CA109" s="28"/>
      <c r="CB109" s="28"/>
      <c r="CC109" s="28"/>
      <c r="CD109" s="28"/>
      <c r="CE109" s="28"/>
      <c r="CF109" s="21"/>
    </row>
    <row r="110" customFormat="false" ht="15" hidden="true" customHeight="true" outlineLevel="2" collapsed="false">
      <c r="B110" s="29" t="s">
        <v>261</v>
      </c>
      <c r="C110" s="25"/>
      <c r="D110" s="27" t="n">
        <v>77.042</v>
      </c>
      <c r="E110" s="27" t="n">
        <v>85.95</v>
      </c>
      <c r="F110" s="27" t="n">
        <v>95.852</v>
      </c>
      <c r="G110" s="27" t="n">
        <v>95.047</v>
      </c>
      <c r="H110" s="27" t="n">
        <v>152.059</v>
      </c>
      <c r="I110" s="27" t="n">
        <v>171.616</v>
      </c>
      <c r="J110" s="27" t="n">
        <v>40.238</v>
      </c>
      <c r="K110" s="27" t="n">
        <v>48.517</v>
      </c>
      <c r="L110" s="27" t="n">
        <v>48.845</v>
      </c>
      <c r="M110" s="26" t="n">
        <f aca="false">IF(AND(ISNUMBER(N110),ISNUMBER(J110),ISNUMBER(K110),ISNUMBER(L110)),N110-J110-K110-L110,"")</f>
        <v>45.19</v>
      </c>
      <c r="N110" s="27" t="n">
        <v>182.79</v>
      </c>
      <c r="O110" s="27" t="n">
        <v>45.843</v>
      </c>
      <c r="P110" s="27" t="n">
        <v>48.819</v>
      </c>
      <c r="Q110" s="27" t="n">
        <v>53.809</v>
      </c>
      <c r="R110" s="26" t="n">
        <f aca="false">IF(AND(ISNUMBER(S110),ISNUMBER(O110),ISNUMBER(P110),ISNUMBER(Q110)),S110-O110-P110-Q110,"")</f>
        <v>48.65</v>
      </c>
      <c r="S110" s="27" t="n">
        <v>197.121</v>
      </c>
      <c r="T110" s="27" t="n">
        <v>47.35</v>
      </c>
      <c r="U110" s="27" t="n">
        <v>51.722</v>
      </c>
      <c r="V110" s="27" t="n">
        <v>56.783</v>
      </c>
      <c r="W110" s="26" t="n">
        <f aca="false">IF(AND(ISNUMBER(X110),ISNUMBER(T110),ISNUMBER(U110),ISNUMBER(V110)),X110-T110-U110-V110,"")</f>
        <v>51.35</v>
      </c>
      <c r="X110" s="27" t="n">
        <v>207.205</v>
      </c>
      <c r="Y110" s="27" t="n">
        <v>49.837</v>
      </c>
      <c r="Z110" s="27" t="n">
        <v>52.578</v>
      </c>
      <c r="AA110" s="27" t="n">
        <v>58.079</v>
      </c>
      <c r="AB110" s="25"/>
      <c r="AC110" s="27" t="n">
        <v>208.93</v>
      </c>
      <c r="AD110" s="27" t="n">
        <v>52.652</v>
      </c>
      <c r="AE110" s="27" t="n">
        <v>60.716</v>
      </c>
      <c r="AF110" s="27" t="n">
        <v>64.607</v>
      </c>
      <c r="AG110" s="26" t="n">
        <f aca="false">IF(AND(ISNUMBER(AH110),ISNUMBER(AD110),ISNUMBER(AE110),ISNUMBER(AF110)),AH110-AD110-AE110-AF110,"")</f>
        <v>59.161</v>
      </c>
      <c r="AH110" s="27" t="n">
        <v>237.136</v>
      </c>
      <c r="AI110" s="27" t="n">
        <v>58.421</v>
      </c>
      <c r="AJ110" s="27" t="n">
        <v>63.132</v>
      </c>
      <c r="AK110" s="27" t="n">
        <v>70.288</v>
      </c>
      <c r="AL110" s="26" t="n">
        <f aca="false">IF(AND(ISNUMBER(AM110),ISNUMBER(AI110),ISNUMBER(AJ110),ISNUMBER(AK110)),AM110-AI110-AJ110-AK110,"")</f>
        <v>63.807</v>
      </c>
      <c r="AM110" s="27" t="n">
        <v>255.648</v>
      </c>
      <c r="AN110" s="27" t="n">
        <v>63.027</v>
      </c>
      <c r="AO110" s="27" t="n">
        <v>74.506</v>
      </c>
      <c r="AP110" s="27" t="n">
        <v>81.746</v>
      </c>
      <c r="AQ110" s="26" t="n">
        <f aca="false">IF(AND(ISNUMBER(AR110),ISNUMBER(AN110),ISNUMBER(AO110),ISNUMBER(AP110)),AR110-AN110-AO110-AP110,"")</f>
        <v>72.832</v>
      </c>
      <c r="AR110" s="27" t="n">
        <v>292.111</v>
      </c>
      <c r="AS110" s="27" t="n">
        <v>73.151</v>
      </c>
      <c r="AT110" s="27" t="n">
        <v>79.705</v>
      </c>
      <c r="AU110" s="27" t="n">
        <v>82.887</v>
      </c>
      <c r="AV110" s="25"/>
      <c r="AW110" s="27" t="n">
        <v>313.033</v>
      </c>
      <c r="AX110" s="27" t="n">
        <v>79.04</v>
      </c>
      <c r="AY110" s="27" t="n">
        <v>94.886</v>
      </c>
      <c r="AZ110" s="27" t="n">
        <v>95.026</v>
      </c>
      <c r="BA110" s="26" t="n">
        <f aca="false">IF(AND(ISNUMBER(BB110),ISNUMBER(AX110),ISNUMBER(AY110),ISNUMBER(AZ110)),BB110-AX110-AY110-AZ110,"")</f>
        <v>90.482</v>
      </c>
      <c r="BB110" s="27" t="n">
        <v>359.434</v>
      </c>
      <c r="BC110" s="27" t="n">
        <v>92.036</v>
      </c>
      <c r="BD110" s="27" t="n">
        <v>109.023</v>
      </c>
      <c r="BE110" s="27" t="n">
        <v>116.337</v>
      </c>
      <c r="BF110" s="26" t="n">
        <f aca="false">IF(AND(ISNUMBER(BG110),ISNUMBER(BC110),ISNUMBER(BD110),ISNUMBER(BE110)),BG110-BC110-BD110-BE110,"")</f>
        <v>107.225</v>
      </c>
      <c r="BG110" s="27" t="n">
        <v>424.621</v>
      </c>
      <c r="BH110" s="27" t="n">
        <v>109.813</v>
      </c>
      <c r="BI110" s="27" t="n">
        <v>130.958</v>
      </c>
      <c r="BJ110" s="27" t="n">
        <v>137.823</v>
      </c>
      <c r="BK110" s="25"/>
      <c r="BL110" s="27" t="n">
        <v>512.283</v>
      </c>
      <c r="BM110" s="27" t="n">
        <v>125.922</v>
      </c>
      <c r="BN110" s="27" t="n">
        <v>138.81</v>
      </c>
      <c r="BO110" s="27" t="n">
        <v>143.486</v>
      </c>
      <c r="BP110" s="26" t="n">
        <f aca="false">IF(AND(ISNUMBER(BQ110),ISNUMBER(BM110),ISNUMBER(BN110),ISNUMBER(BO110)),BQ110-BM110-BN110-BO110,"")</f>
        <v>134.583</v>
      </c>
      <c r="BQ110" s="27" t="n">
        <v>542.801</v>
      </c>
      <c r="BR110" s="27" t="n">
        <v>131.709</v>
      </c>
      <c r="BS110" s="27" t="n">
        <v>143.42</v>
      </c>
      <c r="BT110" s="27" t="n">
        <v>150.648</v>
      </c>
      <c r="BU110" s="26" t="n">
        <f aca="false">IF(AND(ISNUMBER(BV110),ISNUMBER(BR110),ISNUMBER(BS110),ISNUMBER(BT110)),BV110-BR110-BS110-BT110,"")</f>
        <v>149.085</v>
      </c>
      <c r="BV110" s="27" t="n">
        <v>574.862</v>
      </c>
      <c r="BW110" s="27" t="n">
        <v>145.077</v>
      </c>
      <c r="BX110" s="27" t="n">
        <v>154.927</v>
      </c>
      <c r="BY110" s="28"/>
      <c r="BZ110" s="28"/>
      <c r="CA110" s="28"/>
      <c r="CB110" s="28"/>
      <c r="CC110" s="28"/>
      <c r="CD110" s="28"/>
      <c r="CE110" s="28"/>
      <c r="CF110" s="21"/>
    </row>
    <row r="111" customFormat="false" ht="15" hidden="true" customHeight="true" outlineLevel="2" collapsed="false">
      <c r="B111" s="29" t="s">
        <v>262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6" t="str">
        <f aca="false">IF(AND(ISNUMBER(N111),ISNUMBER(J111),ISNUMBER(K111),ISNUMBER(L111)),N111-J111-K111-L111,"")</f>
        <v/>
      </c>
      <c r="N111" s="25"/>
      <c r="O111" s="25"/>
      <c r="P111" s="25"/>
      <c r="Q111" s="25"/>
      <c r="R111" s="26" t="str">
        <f aca="false">IF(AND(ISNUMBER(S111),ISNUMBER(O111),ISNUMBER(P111),ISNUMBER(Q111)),S111-O111-P111-Q111,"")</f>
        <v/>
      </c>
      <c r="S111" s="25"/>
      <c r="T111" s="25"/>
      <c r="U111" s="25"/>
      <c r="V111" s="25"/>
      <c r="W111" s="26" t="str">
        <f aca="false">IF(AND(ISNUMBER(X111),ISNUMBER(T111),ISNUMBER(U111),ISNUMBER(V111)),X111-T111-U111-V111,"")</f>
        <v/>
      </c>
      <c r="X111" s="25"/>
      <c r="Y111" s="25"/>
      <c r="Z111" s="27" t="n">
        <v>23.555</v>
      </c>
      <c r="AA111" s="27" t="n">
        <v>64.915</v>
      </c>
      <c r="AB111" s="25"/>
      <c r="AC111" s="27" t="n">
        <v>149.305</v>
      </c>
      <c r="AD111" s="27" t="n">
        <v>57.3</v>
      </c>
      <c r="AE111" s="27" t="n">
        <v>66.365</v>
      </c>
      <c r="AF111" s="27" t="n">
        <v>74.369</v>
      </c>
      <c r="AG111" s="26" t="n">
        <f aca="false">IF(AND(ISNUMBER(AH111),ISNUMBER(AD111),ISNUMBER(AE111),ISNUMBER(AF111)),AH111-AD111-AE111-AF111,"")</f>
        <v>66.659</v>
      </c>
      <c r="AH111" s="27" t="n">
        <v>264.693</v>
      </c>
      <c r="AI111" s="27" t="n">
        <v>59.266</v>
      </c>
      <c r="AJ111" s="27" t="n">
        <v>67.305</v>
      </c>
      <c r="AK111" s="27" t="n">
        <v>68.819</v>
      </c>
      <c r="AL111" s="26" t="n">
        <f aca="false">IF(AND(ISNUMBER(AM111),ISNUMBER(AI111),ISNUMBER(AJ111),ISNUMBER(AK111)),AM111-AI111-AJ111-AK111,"")</f>
        <v>65.843</v>
      </c>
      <c r="AM111" s="27" t="n">
        <v>261.233</v>
      </c>
      <c r="AN111" s="27" t="n">
        <v>59.244</v>
      </c>
      <c r="AO111" s="27" t="n">
        <v>67.664</v>
      </c>
      <c r="AP111" s="27" t="n">
        <v>66.794</v>
      </c>
      <c r="AQ111" s="26" t="n">
        <f aca="false">IF(AND(ISNUMBER(AR111),ISNUMBER(AN111),ISNUMBER(AO111),ISNUMBER(AP111)),AR111-AN111-AO111-AP111,"")</f>
        <v>62.703</v>
      </c>
      <c r="AR111" s="27" t="n">
        <v>256.405</v>
      </c>
      <c r="AS111" s="27" t="n">
        <v>59.398</v>
      </c>
      <c r="AT111" s="27" t="n">
        <v>53.675</v>
      </c>
      <c r="AU111" s="27" t="n">
        <v>72.516</v>
      </c>
      <c r="AV111" s="25"/>
      <c r="AW111" s="27" t="n">
        <v>256.119</v>
      </c>
      <c r="AX111" s="27" t="n">
        <v>73.94</v>
      </c>
      <c r="AY111" s="27" t="n">
        <v>88.641</v>
      </c>
      <c r="AZ111" s="27" t="n">
        <v>92.275</v>
      </c>
      <c r="BA111" s="26" t="n">
        <f aca="false">IF(AND(ISNUMBER(BB111),ISNUMBER(AX111),ISNUMBER(AY111),ISNUMBER(AZ111)),BB111-AX111-AY111-AZ111,"")</f>
        <v>85.003</v>
      </c>
      <c r="BB111" s="27" t="n">
        <v>339.859</v>
      </c>
      <c r="BC111" s="27" t="n">
        <v>84.844</v>
      </c>
      <c r="BD111" s="27" t="n">
        <v>92.648</v>
      </c>
      <c r="BE111" s="27" t="n">
        <v>87.91</v>
      </c>
      <c r="BF111" s="26" t="n">
        <f aca="false">IF(AND(ISNUMBER(BG111),ISNUMBER(BC111),ISNUMBER(BD111),ISNUMBER(BE111)),BG111-BC111-BD111-BE111,"")</f>
        <v>84.001</v>
      </c>
      <c r="BG111" s="27" t="n">
        <v>349.403</v>
      </c>
      <c r="BH111" s="27" t="n">
        <v>82.984</v>
      </c>
      <c r="BI111" s="27" t="n">
        <v>95.194</v>
      </c>
      <c r="BJ111" s="27" t="n">
        <v>108.524</v>
      </c>
      <c r="BK111" s="25"/>
      <c r="BL111" s="27" t="n">
        <v>390.664</v>
      </c>
      <c r="BM111" s="27" t="n">
        <v>121.361</v>
      </c>
      <c r="BN111" s="27" t="n">
        <v>136.148</v>
      </c>
      <c r="BO111" s="27" t="n">
        <v>153.58</v>
      </c>
      <c r="BP111" s="26" t="n">
        <f aca="false">IF(AND(ISNUMBER(BQ111),ISNUMBER(BM111),ISNUMBER(BN111),ISNUMBER(BO111)),BQ111-BM111-BN111-BO111,"")</f>
        <v>140.39</v>
      </c>
      <c r="BQ111" s="27" t="n">
        <v>551.479</v>
      </c>
      <c r="BR111" s="27" t="n">
        <v>135.572</v>
      </c>
      <c r="BS111" s="27" t="n">
        <v>155.939</v>
      </c>
      <c r="BT111" s="27" t="n">
        <v>159.915</v>
      </c>
      <c r="BU111" s="26" t="n">
        <f aca="false">IF(AND(ISNUMBER(BV111),ISNUMBER(BR111),ISNUMBER(BS111),ISNUMBER(BT111)),BV111-BR111-BS111-BT111,"")</f>
        <v>146.823</v>
      </c>
      <c r="BV111" s="27" t="n">
        <v>598.249</v>
      </c>
      <c r="BW111" s="27" t="n">
        <v>148.947</v>
      </c>
      <c r="BX111" s="27" t="n">
        <v>167.912</v>
      </c>
      <c r="BY111" s="28"/>
      <c r="BZ111" s="28"/>
      <c r="CA111" s="28"/>
      <c r="CB111" s="28"/>
      <c r="CC111" s="28"/>
      <c r="CD111" s="28"/>
      <c r="CE111" s="28"/>
      <c r="CF111" s="21"/>
    </row>
    <row r="112" customFormat="false" ht="15" hidden="true" customHeight="true" outlineLevel="1" collapsed="false">
      <c r="B112" s="29" t="s">
        <v>263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6" t="str">
        <f aca="false">IF(AND(ISNUMBER(N112),ISNUMBER(J112),ISNUMBER(K112),ISNUMBER(L112)),N112-J112-K112-L112,"")</f>
        <v/>
      </c>
      <c r="N112" s="25"/>
      <c r="O112" s="25"/>
      <c r="P112" s="25"/>
      <c r="Q112" s="25"/>
      <c r="R112" s="26" t="str">
        <f aca="false">IF(AND(ISNUMBER(S112),ISNUMBER(O112),ISNUMBER(P112),ISNUMBER(Q112)),S112-O112-P112-Q112,"")</f>
        <v/>
      </c>
      <c r="S112" s="25"/>
      <c r="T112" s="25"/>
      <c r="U112" s="25"/>
      <c r="V112" s="25"/>
      <c r="W112" s="26" t="str">
        <f aca="false">IF(AND(ISNUMBER(X112),ISNUMBER(T112),ISNUMBER(U112),ISNUMBER(V112)),X112-T112-U112-V112,"")</f>
        <v/>
      </c>
      <c r="X112" s="25"/>
      <c r="Y112" s="25"/>
      <c r="Z112" s="25"/>
      <c r="AA112" s="25"/>
      <c r="AB112" s="25"/>
      <c r="AC112" s="25"/>
      <c r="AD112" s="25"/>
      <c r="AE112" s="25"/>
      <c r="AF112" s="25"/>
      <c r="AG112" s="26" t="str">
        <f aca="false">IF(AND(ISNUMBER(AH112),ISNUMBER(AD112),ISNUMBER(AE112),ISNUMBER(AF112)),AH112-AD112-AE112-AF112,"")</f>
        <v/>
      </c>
      <c r="AH112" s="25"/>
      <c r="AI112" s="25"/>
      <c r="AJ112" s="25"/>
      <c r="AK112" s="25"/>
      <c r="AL112" s="26" t="str">
        <f aca="false">IF(AND(ISNUMBER(AM112),ISNUMBER(AI112),ISNUMBER(AJ112),ISNUMBER(AK112)),AM112-AI112-AJ112-AK112,"")</f>
        <v/>
      </c>
      <c r="AM112" s="25"/>
      <c r="AN112" s="25"/>
      <c r="AO112" s="25"/>
      <c r="AP112" s="25"/>
      <c r="AQ112" s="26" t="str">
        <f aca="false">IF(AND(ISNUMBER(AR112),ISNUMBER(AN112),ISNUMBER(AO112),ISNUMBER(AP112)),AR112-AN112-AO112-AP112,"")</f>
        <v/>
      </c>
      <c r="AR112" s="25"/>
      <c r="AS112" s="25"/>
      <c r="AT112" s="25"/>
      <c r="AU112" s="25"/>
      <c r="AV112" s="25"/>
      <c r="AW112" s="25"/>
      <c r="AX112" s="25"/>
      <c r="AY112" s="25"/>
      <c r="AZ112" s="25"/>
      <c r="BA112" s="26" t="str">
        <f aca="false">IF(AND(ISNUMBER(BB112),ISNUMBER(AX112),ISNUMBER(AY112),ISNUMBER(AZ112)),BB112-AX112-AY112-AZ112,"")</f>
        <v/>
      </c>
      <c r="BB112" s="25"/>
      <c r="BC112" s="25"/>
      <c r="BD112" s="25"/>
      <c r="BE112" s="25"/>
      <c r="BF112" s="26" t="str">
        <f aca="false">IF(AND(ISNUMBER(BG112),ISNUMBER(BC112),ISNUMBER(BD112),ISNUMBER(BE112)),BG112-BC112-BD112-BE112,"")</f>
        <v/>
      </c>
      <c r="BG112" s="25"/>
      <c r="BH112" s="25"/>
      <c r="BI112" s="27" t="n">
        <v>62.418</v>
      </c>
      <c r="BJ112" s="27" t="n">
        <v>61.923</v>
      </c>
      <c r="BK112" s="25"/>
      <c r="BL112" s="27" t="n">
        <v>246.136</v>
      </c>
      <c r="BM112" s="27" t="n">
        <v>57.507</v>
      </c>
      <c r="BN112" s="27" t="n">
        <v>74.733</v>
      </c>
      <c r="BO112" s="27" t="n">
        <v>77.011</v>
      </c>
      <c r="BP112" s="26" t="n">
        <f aca="false">IF(AND(ISNUMBER(BQ112),ISNUMBER(BM112),ISNUMBER(BN112),ISNUMBER(BO112)),BQ112-BM112-BN112-BO112,"")</f>
        <v>74.158</v>
      </c>
      <c r="BQ112" s="27" t="n">
        <v>283.409</v>
      </c>
      <c r="BR112" s="27" t="n">
        <v>68.918</v>
      </c>
      <c r="BS112" s="27" t="n">
        <v>78.49</v>
      </c>
      <c r="BT112" s="27" t="n">
        <v>80.641</v>
      </c>
      <c r="BU112" s="26" t="n">
        <f aca="false">IF(AND(ISNUMBER(BV112),ISNUMBER(BR112),ISNUMBER(BS112),ISNUMBER(BT112)),BV112-BR112-BS112-BT112,"")</f>
        <v>78.03</v>
      </c>
      <c r="BV112" s="27" t="n">
        <v>306.079</v>
      </c>
      <c r="BW112" s="27" t="n">
        <v>73.31</v>
      </c>
      <c r="BX112" s="27" t="n">
        <v>80.689</v>
      </c>
      <c r="BY112" s="28"/>
      <c r="BZ112" s="28"/>
      <c r="CA112" s="28"/>
      <c r="CB112" s="28"/>
      <c r="CC112" s="28"/>
      <c r="CD112" s="28"/>
      <c r="CE112" s="28"/>
      <c r="CF112" s="21"/>
    </row>
    <row r="113" customFormat="false" ht="15" hidden="true" customHeight="true" outlineLevel="2" collapsed="false">
      <c r="B113" s="29" t="s">
        <v>264</v>
      </c>
      <c r="C113" s="25"/>
      <c r="D113" s="25"/>
      <c r="E113" s="25"/>
      <c r="F113" s="25"/>
      <c r="G113" s="25"/>
      <c r="H113" s="25"/>
      <c r="I113" s="27" t="n">
        <v>16.791</v>
      </c>
      <c r="J113" s="27" t="n">
        <v>22.587</v>
      </c>
      <c r="K113" s="27" t="n">
        <v>28.324</v>
      </c>
      <c r="L113" s="27" t="n">
        <v>31.125</v>
      </c>
      <c r="M113" s="26" t="n">
        <f aca="false">IF(AND(ISNUMBER(N113),ISNUMBER(J113),ISNUMBER(K113),ISNUMBER(L113)),N113-J113-K113-L113,"")</f>
        <v>29.02</v>
      </c>
      <c r="N113" s="27" t="n">
        <v>111.056</v>
      </c>
      <c r="O113" s="27" t="n">
        <v>31.479</v>
      </c>
      <c r="P113" s="27" t="n">
        <v>40.716</v>
      </c>
      <c r="Q113" s="27" t="n">
        <v>39.535</v>
      </c>
      <c r="R113" s="26" t="n">
        <f aca="false">IF(AND(ISNUMBER(S113),ISNUMBER(O113),ISNUMBER(P113),ISNUMBER(Q113)),S113-O113-P113-Q113,"")</f>
        <v>35.531</v>
      </c>
      <c r="S113" s="27" t="n">
        <v>147.261</v>
      </c>
      <c r="T113" s="27" t="n">
        <v>20.976</v>
      </c>
      <c r="U113" s="27" t="n">
        <v>16.203</v>
      </c>
      <c r="V113" s="27" t="n">
        <v>17.392</v>
      </c>
      <c r="W113" s="26" t="n">
        <f aca="false">IF(AND(ISNUMBER(X113),ISNUMBER(T113),ISNUMBER(U113),ISNUMBER(V113)),X113-T113-U113-V113,"")</f>
        <v>14.974</v>
      </c>
      <c r="X113" s="27" t="n">
        <v>69.545</v>
      </c>
      <c r="Y113" s="27" t="n">
        <v>6.422</v>
      </c>
      <c r="Z113" s="27" t="n">
        <v>6.485</v>
      </c>
      <c r="AA113" s="27" t="n">
        <v>8.919</v>
      </c>
      <c r="AB113" s="25"/>
      <c r="AC113" s="27" t="n">
        <v>32.479</v>
      </c>
      <c r="AD113" s="27" t="n">
        <v>14.545</v>
      </c>
      <c r="AE113" s="27" t="n">
        <v>21.092</v>
      </c>
      <c r="AF113" s="27" t="n">
        <v>27.881</v>
      </c>
      <c r="AG113" s="26" t="n">
        <f aca="false">IF(AND(ISNUMBER(AH113),ISNUMBER(AD113),ISNUMBER(AE113),ISNUMBER(AF113)),AH113-AD113-AE113-AF113,"")</f>
        <v>27.079</v>
      </c>
      <c r="AH113" s="27" t="n">
        <v>90.597</v>
      </c>
      <c r="AI113" s="27" t="n">
        <v>28.679</v>
      </c>
      <c r="AJ113" s="27" t="n">
        <v>31.231</v>
      </c>
      <c r="AK113" s="27" t="n">
        <v>35.099</v>
      </c>
      <c r="AL113" s="26" t="n">
        <f aca="false">IF(AND(ISNUMBER(AM113),ISNUMBER(AI113),ISNUMBER(AJ113),ISNUMBER(AK113)),AM113-AI113-AJ113-AK113,"")</f>
        <v>34.816</v>
      </c>
      <c r="AM113" s="27" t="n">
        <v>129.825</v>
      </c>
      <c r="AN113" s="27" t="n">
        <v>31.609</v>
      </c>
      <c r="AO113" s="27" t="n">
        <v>33.433</v>
      </c>
      <c r="AP113" s="27" t="n">
        <v>35.803</v>
      </c>
      <c r="AQ113" s="26" t="n">
        <f aca="false">IF(AND(ISNUMBER(AR113),ISNUMBER(AN113),ISNUMBER(AO113),ISNUMBER(AP113)),AR113-AN113-AO113-AP113,"")</f>
        <v>34.581</v>
      </c>
      <c r="AR113" s="27" t="n">
        <v>135.426</v>
      </c>
      <c r="AS113" s="27" t="n">
        <v>31.802</v>
      </c>
      <c r="AT113" s="27" t="n">
        <v>13.011</v>
      </c>
      <c r="AU113" s="25"/>
      <c r="AV113" s="25"/>
      <c r="AW113" s="25"/>
      <c r="AX113" s="25"/>
      <c r="AY113" s="25"/>
      <c r="AZ113" s="25"/>
      <c r="BA113" s="26" t="str">
        <f aca="false">IF(AND(ISNUMBER(BB113),ISNUMBER(AX113),ISNUMBER(AY113),ISNUMBER(AZ113)),BB113-AX113-AY113-AZ113,"")</f>
        <v/>
      </c>
      <c r="BB113" s="25"/>
      <c r="BC113" s="25"/>
      <c r="BD113" s="25"/>
      <c r="BE113" s="25"/>
      <c r="BF113" s="26" t="str">
        <f aca="false">IF(AND(ISNUMBER(BG113),ISNUMBER(BC113),ISNUMBER(BD113),ISNUMBER(BE113)),BG113-BC113-BD113-BE113,"")</f>
        <v/>
      </c>
      <c r="BG113" s="25"/>
      <c r="BH113" s="25"/>
      <c r="BI113" s="25"/>
      <c r="BJ113" s="25"/>
      <c r="BK113" s="25"/>
      <c r="BL113" s="25"/>
      <c r="BM113" s="25"/>
      <c r="BN113" s="25"/>
      <c r="BO113" s="25"/>
      <c r="BP113" s="26" t="str">
        <f aca="false">IF(AND(ISNUMBER(BQ113),ISNUMBER(BM113),ISNUMBER(BN113),ISNUMBER(BO113)),BQ113-BM113-BN113-BO113,"")</f>
        <v/>
      </c>
      <c r="BQ113" s="25"/>
      <c r="BR113" s="25"/>
      <c r="BS113" s="25"/>
      <c r="BT113" s="25"/>
      <c r="BU113" s="26" t="str">
        <f aca="false">IF(AND(ISNUMBER(BV113),ISNUMBER(BR113),ISNUMBER(BS113),ISNUMBER(BT113)),BV113-BR113-BS113-BT113,"")</f>
        <v/>
      </c>
      <c r="BV113" s="25"/>
      <c r="BW113" s="25"/>
      <c r="BX113" s="25"/>
      <c r="BY113" s="28"/>
      <c r="BZ113" s="28"/>
      <c r="CA113" s="28"/>
      <c r="CB113" s="28"/>
      <c r="CC113" s="28"/>
      <c r="CD113" s="28"/>
      <c r="CE113" s="28"/>
      <c r="CF113" s="21"/>
    </row>
    <row r="114" customFormat="false" ht="15" hidden="true" customHeight="true" outlineLevel="2" collapsed="false">
      <c r="B114" s="29" t="s">
        <v>265</v>
      </c>
      <c r="C114" s="25"/>
      <c r="D114" s="27" t="n">
        <v>0.72</v>
      </c>
      <c r="E114" s="27" t="n">
        <v>4.265</v>
      </c>
      <c r="F114" s="27" t="n">
        <v>-4.799</v>
      </c>
      <c r="G114" s="27" t="n">
        <v>5.282</v>
      </c>
      <c r="H114" s="27" t="n">
        <v>5.519</v>
      </c>
      <c r="I114" s="27" t="n">
        <v>-11.073</v>
      </c>
      <c r="J114" s="27" t="n">
        <v>-2.604</v>
      </c>
      <c r="K114" s="27" t="n">
        <v>-0.262</v>
      </c>
      <c r="L114" s="27" t="n">
        <v>0.188</v>
      </c>
      <c r="M114" s="26" t="n">
        <f aca="false">IF(AND(ISNUMBER(N114),ISNUMBER(J114),ISNUMBER(K114),ISNUMBER(L114)),N114-J114-K114-L114,"")</f>
        <v>2.45</v>
      </c>
      <c r="N114" s="27" t="n">
        <v>-0.228</v>
      </c>
      <c r="O114" s="27" t="n">
        <v>-3.949</v>
      </c>
      <c r="P114" s="27" t="n">
        <v>-2.348</v>
      </c>
      <c r="Q114" s="27" t="n">
        <v>-1.152</v>
      </c>
      <c r="R114" s="26" t="n">
        <f aca="false">IF(AND(ISNUMBER(S114),ISNUMBER(O114),ISNUMBER(P114),ISNUMBER(Q114)),S114-O114-P114-Q114,"")</f>
        <v>0.0149999999999995</v>
      </c>
      <c r="S114" s="27" t="n">
        <v>-7.434</v>
      </c>
      <c r="T114" s="27" t="n">
        <v>-0.457</v>
      </c>
      <c r="U114" s="27" t="n">
        <v>2.839</v>
      </c>
      <c r="V114" s="27" t="n">
        <v>2.474</v>
      </c>
      <c r="W114" s="26" t="n">
        <f aca="false">IF(AND(ISNUMBER(X114),ISNUMBER(T114),ISNUMBER(U114),ISNUMBER(V114)),X114-T114-U114-V114,"")</f>
        <v>-2.923</v>
      </c>
      <c r="X114" s="27" t="n">
        <v>1.933</v>
      </c>
      <c r="Y114" s="27" t="n">
        <v>-8.488</v>
      </c>
      <c r="Z114" s="27" t="n">
        <v>-75.865</v>
      </c>
      <c r="AA114" s="27" t="n">
        <v>-18.299</v>
      </c>
      <c r="AB114" s="25"/>
      <c r="AC114" s="27" t="n">
        <v>-119.215</v>
      </c>
      <c r="AD114" s="27" t="n">
        <v>-15.621</v>
      </c>
      <c r="AE114" s="27" t="n">
        <v>-11.162</v>
      </c>
      <c r="AF114" s="27" t="n">
        <v>-5.751</v>
      </c>
      <c r="AG114" s="26" t="n">
        <f aca="false">IF(AND(ISNUMBER(AH114),ISNUMBER(AD114),ISNUMBER(AE114),ISNUMBER(AF114)),AH114-AD114-AE114-AF114,"")</f>
        <v>0.0330000000000057</v>
      </c>
      <c r="AH114" s="27" t="n">
        <v>-32.501</v>
      </c>
      <c r="AI114" s="27" t="n">
        <v>-6.344</v>
      </c>
      <c r="AJ114" s="27" t="n">
        <v>0.26</v>
      </c>
      <c r="AK114" s="27" t="n">
        <v>-8.286</v>
      </c>
      <c r="AL114" s="26" t="n">
        <f aca="false">IF(AND(ISNUMBER(AM114),ISNUMBER(AI114),ISNUMBER(AJ114),ISNUMBER(AK114)),AM114-AI114-AJ114-AK114,"")</f>
        <v>6.159</v>
      </c>
      <c r="AM114" s="27" t="n">
        <v>-8.211</v>
      </c>
      <c r="AN114" s="27" t="n">
        <v>-3.858</v>
      </c>
      <c r="AO114" s="27" t="n">
        <v>-7.446</v>
      </c>
      <c r="AP114" s="27" t="n">
        <v>-0.446</v>
      </c>
      <c r="AQ114" s="26" t="n">
        <f aca="false">IF(AND(ISNUMBER(AR114),ISNUMBER(AN114),ISNUMBER(AO114),ISNUMBER(AP114)),AR114-AN114-AO114-AP114,"")</f>
        <v>-3.688</v>
      </c>
      <c r="AR114" s="27" t="n">
        <v>-15.438</v>
      </c>
      <c r="AS114" s="27" t="n">
        <v>-3.631</v>
      </c>
      <c r="AT114" s="27" t="n">
        <v>-2.699</v>
      </c>
      <c r="AU114" s="27" t="n">
        <v>-4.132</v>
      </c>
      <c r="AV114" s="25"/>
      <c r="AW114" s="27" t="n">
        <v>-15.283</v>
      </c>
      <c r="AX114" s="27" t="n">
        <v>-0.75</v>
      </c>
      <c r="AY114" s="27" t="n">
        <v>-6.442</v>
      </c>
      <c r="AZ114" s="27" t="n">
        <v>-6.551</v>
      </c>
      <c r="BA114" s="26" t="n">
        <f aca="false">IF(AND(ISNUMBER(BB114),ISNUMBER(AX114),ISNUMBER(AY114),ISNUMBER(AZ114)),BB114-AX114-AY114-AZ114,"")</f>
        <v>-5.853</v>
      </c>
      <c r="BB114" s="27" t="n">
        <v>-19.596</v>
      </c>
      <c r="BC114" s="27" t="n">
        <v>-4.702</v>
      </c>
      <c r="BD114" s="27" t="n">
        <v>-2.683</v>
      </c>
      <c r="BE114" s="27" t="n">
        <v>-11.657</v>
      </c>
      <c r="BF114" s="26" t="n">
        <f aca="false">IF(AND(ISNUMBER(BG114),ISNUMBER(BC114),ISNUMBER(BD114),ISNUMBER(BE114)),BG114-BC114-BD114-BE114,"")</f>
        <v>-5.977</v>
      </c>
      <c r="BG114" s="27" t="n">
        <v>-25.019</v>
      </c>
      <c r="BH114" s="27" t="n">
        <v>-2.454</v>
      </c>
      <c r="BI114" s="27" t="n">
        <v>-16.958</v>
      </c>
      <c r="BJ114" s="27" t="n">
        <v>-2.729</v>
      </c>
      <c r="BK114" s="25"/>
      <c r="BL114" s="27" t="n">
        <v>-25.032</v>
      </c>
      <c r="BM114" s="27" t="n">
        <v>-11.133</v>
      </c>
      <c r="BN114" s="27" t="n">
        <v>-7.478</v>
      </c>
      <c r="BO114" s="27" t="n">
        <v>-8.075</v>
      </c>
      <c r="BP114" s="26" t="n">
        <f aca="false">IF(AND(ISNUMBER(BQ114),ISNUMBER(BM114),ISNUMBER(BN114),ISNUMBER(BO114)),BQ114-BM114-BN114-BO114,"")</f>
        <v>-0.969000000000003</v>
      </c>
      <c r="BQ114" s="27" t="n">
        <v>-27.655</v>
      </c>
      <c r="BR114" s="27" t="n">
        <v>-13.74</v>
      </c>
      <c r="BS114" s="27" t="n">
        <v>-3.233</v>
      </c>
      <c r="BT114" s="27" t="n">
        <v>0.706</v>
      </c>
      <c r="BU114" s="26" t="n">
        <f aca="false">IF(AND(ISNUMBER(BV114),ISNUMBER(BR114),ISNUMBER(BS114),ISNUMBER(BT114)),BV114-BR114-BS114-BT114,"")</f>
        <v>-8.321</v>
      </c>
      <c r="BV114" s="27" t="n">
        <v>-24.588</v>
      </c>
      <c r="BW114" s="27" t="n">
        <v>-0.825</v>
      </c>
      <c r="BX114" s="27" t="n">
        <v>-7.855</v>
      </c>
      <c r="BY114" s="28"/>
      <c r="BZ114" s="28"/>
      <c r="CA114" s="28"/>
      <c r="CB114" s="28"/>
      <c r="CC114" s="28"/>
      <c r="CD114" s="28"/>
      <c r="CE114" s="28"/>
      <c r="CF114" s="21"/>
    </row>
    <row r="115" customFormat="false" ht="15" hidden="true" customHeight="true" outlineLevel="2" collapsed="false">
      <c r="B115" s="18" t="s">
        <v>266</v>
      </c>
      <c r="C115" s="32" t="str">
        <f aca="false">IF(COUNT(C107,C108,C109,C110,C111,C112,C113)&gt;0,N(C107)+N(C108)+N(C109)+N(C110)+N(C111)+N(C112)+N(C113)+N(C114),"")</f>
        <v/>
      </c>
      <c r="D115" s="32" t="n">
        <f aca="false">IF(COUNT(D107,D108,D109,D110,D111,D112,D113)&gt;0,N(D107)+N(D108)+N(D109)+N(D110)+N(D111)+N(D112)+N(D113)+N(D114),"")</f>
        <v>292.887</v>
      </c>
      <c r="E115" s="32" t="n">
        <f aca="false">IF(COUNT(E107,E108,E109,E110,E111,E112,E113)&gt;0,N(E107)+N(E108)+N(E109)+N(E110)+N(E111)+N(E112)+N(E113)+N(E114),"")</f>
        <v>310.414</v>
      </c>
      <c r="F115" s="32" t="n">
        <f aca="false">IF(COUNT(F107,F108,F109,F110,F111,F112,F113)&gt;0,N(F107)+N(F108)+N(F109)+N(F110)+N(F111)+N(F112)+N(F113)+N(F114),"")</f>
        <v>360.952</v>
      </c>
      <c r="G115" s="32" t="n">
        <f aca="false">IF(COUNT(G107,G108,G109,G110,G111,G112,G113)&gt;0,N(G107)+N(G108)+N(G109)+N(G110)+N(G111)+N(G112)+N(G113)+N(G114),"")</f>
        <v>420.41</v>
      </c>
      <c r="H115" s="32" t="n">
        <f aca="false">IF(COUNT(H107,H108,H109,H110,H111,H112,H113)&gt;0,N(H107)+N(H108)+N(H109)+N(H110)+N(H111)+N(H112)+N(H113)+N(H114),"")</f>
        <v>485.819</v>
      </c>
      <c r="I115" s="32" t="n">
        <f aca="false">IF(COUNT(I107,I108,I109,I110,I111,I112,I113)&gt;0,N(I107)+N(I108)+N(I109)+N(I110)+N(I111)+N(I112)+N(I113)+N(I114),"")</f>
        <v>507.807</v>
      </c>
      <c r="J115" s="32" t="n">
        <f aca="false">IF(COUNT(J107,J108,J109,J110,J111,J112,J113)&gt;0,N(J107)+N(J108)+N(J109)+N(J110)+N(J111)+N(J112)+N(J113)+N(J114),"")</f>
        <v>144.678</v>
      </c>
      <c r="K115" s="32" t="n">
        <f aca="false">IF(COUNT(K107,K108,K109,K110,K111,K112,K113)&gt;0,N(K107)+N(K108)+N(K109)+N(K110)+N(K111)+N(K112)+N(K113)+N(K114),"")</f>
        <v>167.994</v>
      </c>
      <c r="L115" s="32" t="n">
        <f aca="false">IF(COUNT(L107,L108,L109,L110,L111,L112,L113)&gt;0,N(L107)+N(L108)+N(L109)+N(L110)+N(L111)+N(L112)+N(L113)+N(L114),"")</f>
        <v>175.969</v>
      </c>
      <c r="M115" s="32" t="n">
        <f aca="false">IF(COUNT(M107,M108,M109,M110,M111,M112,M113)&gt;0,N(M107)+N(M108)+N(M109)+N(M110)+N(M111)+N(M112)+N(M113)+N(M114),"")</f>
        <v>162.698</v>
      </c>
      <c r="N115" s="32" t="n">
        <f aca="false">IF(COUNT(N107,N108,N109,N110,N111,N112,N113)&gt;0,N(N107)+N(N108)+N(N109)+N(N110)+N(N111)+N(N112)+N(N113)+N(N114),"")</f>
        <v>651.339</v>
      </c>
      <c r="O115" s="32" t="n">
        <f aca="false">IF(COUNT(O107,O108,O109,O110,O111,O112,O113)&gt;0,N(O107)+N(O108)+N(O109)+N(O110)+N(O111)+N(O112)+N(O113)+N(O114),"")</f>
        <v>163.002</v>
      </c>
      <c r="P115" s="32" t="n">
        <f aca="false">IF(COUNT(P107,P108,P109,P110,P111,P112,P113)&gt;0,N(P107)+N(P108)+N(P109)+N(P110)+N(P111)+N(P112)+N(P113)+N(P114),"")</f>
        <v>181.217</v>
      </c>
      <c r="Q115" s="32" t="n">
        <f aca="false">IF(COUNT(Q107,Q108,Q109,Q110,Q111,Q112,Q113)&gt;0,N(Q107)+N(Q108)+N(Q109)+N(Q110)+N(Q111)+N(Q112)+N(Q113)+N(Q114),"")</f>
        <v>190.711</v>
      </c>
      <c r="R115" s="32" t="n">
        <f aca="false">IF(COUNT(R107,R108,R109,R110,R111,R112,R113)&gt;0,N(R107)+N(R108)+N(R109)+N(R110)+N(R111)+N(R112)+N(R113)+N(R114),"")</f>
        <v>176.374</v>
      </c>
      <c r="S115" s="32" t="n">
        <f aca="false">IF(COUNT(S107,S108,S109,S110,S111,S112,S113)&gt;0,N(S107)+N(S108)+N(S109)+N(S110)+N(S111)+N(S112)+N(S113)+N(S114),"")</f>
        <v>711.304</v>
      </c>
      <c r="T115" s="32" t="n">
        <f aca="false">IF(COUNT(T107,T108,T109,T110,T111,T112,T113)&gt;0,N(T107)+N(T108)+N(T109)+N(T110)+N(T111)+N(T112)+N(T113)+N(T114),"")</f>
        <v>166.833</v>
      </c>
      <c r="U115" s="32" t="n">
        <f aca="false">IF(COUNT(U107,U108,U109,U110,U111,U112,U113)&gt;0,N(U107)+N(U108)+N(U109)+N(U110)+N(U111)+N(U112)+N(U113)+N(U114),"")</f>
        <v>176.611</v>
      </c>
      <c r="V115" s="32" t="n">
        <f aca="false">IF(COUNT(V107,V108,V109,V110,V111,V112,V113)&gt;0,N(V107)+N(V108)+N(V109)+N(V110)+N(V111)+N(V112)+N(V113)+N(V114),"")</f>
        <v>187.229</v>
      </c>
      <c r="W115" s="32" t="n">
        <f aca="false">IF(COUNT(W107,W108,W109,W110,W111,W112,W113)&gt;0,N(W107)+N(W108)+N(W109)+N(W110)+N(W111)+N(W112)+N(W113)+N(W114),"")</f>
        <v>171.721</v>
      </c>
      <c r="X115" s="32" t="n">
        <f aca="false">IF(COUNT(X107,X108,X109,X110,X111,X112,X113)&gt;0,N(X107)+N(X108)+N(X109)+N(X110)+N(X111)+N(X112)+N(X113)+N(X114),"")</f>
        <v>702.394</v>
      </c>
      <c r="Y115" s="32" t="n">
        <f aca="false">IF(COUNT(Y107,Y108,Y109,Y110,Y111,Y112,Y113)&gt;0,N(Y107)+N(Y108)+N(Y109)+N(Y110)+N(Y111)+N(Y112)+N(Y113)+N(Y114),"")</f>
        <v>159.806</v>
      </c>
      <c r="Z115" s="32" t="n">
        <f aca="false">IF(COUNT(Z107,Z108,Z109,Z110,Z111,Z112,Z113)&gt;0,N(Z107)+N(Z108)+N(Z109)+N(Z110)+N(Z111)+N(Z112)+N(Z113)+N(Z114),"")</f>
        <v>158.64</v>
      </c>
      <c r="AA115" s="32" t="n">
        <f aca="false">IF(COUNT(AA107,AA108,AA109,AA110,AA111,AA112,AA113)&gt;0,N(AA107)+N(AA108)+N(AA109)+N(AA110)+N(AA111)+N(AA112)+N(AA113)+N(AA114),"")</f>
        <v>319.036</v>
      </c>
      <c r="AB115" s="32" t="str">
        <f aca="false">IF(COUNT(AB107,AB108,AB109,AB110,AB111,AB112,AB113)&gt;0,N(AB107)+N(AB108)+N(AB109)+N(AB110)+N(AB111)+N(AB112)+N(AB113)+N(AB114),"")</f>
        <v/>
      </c>
      <c r="AC115" s="32" t="n">
        <f aca="false">IF(COUNT(AC107,AC108,AC109,AC110,AC111,AC112,AC113)&gt;0,N(AC107)+N(AC108)+N(AC109)+N(AC110)+N(AC111)+N(AC112)+N(AC113)+N(AC114),"")</f>
        <v>943.888</v>
      </c>
      <c r="AD115" s="32" t="n">
        <f aca="false">IF(COUNT(AD107,AD108,AD109,AD110,AD111,AD112,AD113)&gt;0,N(AD107)+N(AD108)+N(AD109)+N(AD110)+N(AD111)+N(AD112)+N(AD113)+N(AD114),"")</f>
        <v>318.835</v>
      </c>
      <c r="AE115" s="32" t="n">
        <f aca="false">IF(COUNT(AE107,AE108,AE109,AE110,AE111,AE112,AE113)&gt;0,N(AE107)+N(AE108)+N(AE109)+N(AE110)+N(AE111)+N(AE112)+N(AE113)+N(AE114),"")</f>
        <v>363.319</v>
      </c>
      <c r="AF115" s="32" t="n">
        <f aca="false">IF(COUNT(AF107,AF108,AF109,AF110,AF111,AF112,AF113)&gt;0,N(AF107)+N(AF108)+N(AF109)+N(AF110)+N(AF111)+N(AF112)+N(AF113)+N(AF114),"")</f>
        <v>383.156</v>
      </c>
      <c r="AG115" s="32" t="n">
        <f aca="false">IF(COUNT(AG107,AG108,AG109,AG110,AG111,AG112,AG113)&gt;0,N(AG107)+N(AG108)+N(AG109)+N(AG110)+N(AG111)+N(AG112)+N(AG113)+N(AG114),"")</f>
        <v>350.765</v>
      </c>
      <c r="AH115" s="32" t="n">
        <f aca="false">IF(COUNT(AH107,AH108,AH109,AH110,AH111,AH112,AH113)&gt;0,N(AH107)+N(AH108)+N(AH109)+N(AH110)+N(AH111)+N(AH112)+N(AH113)+N(AH114),"")</f>
        <v>1416.075</v>
      </c>
      <c r="AI115" s="32" t="n">
        <f aca="false">IF(COUNT(AI107,AI108,AI109,AI110,AI111,AI112,AI113)&gt;0,N(AI107)+N(AI108)+N(AI109)+N(AI110)+N(AI111)+N(AI112)+N(AI113)+N(AI114),"")</f>
        <v>349.02</v>
      </c>
      <c r="AJ115" s="32" t="n">
        <f aca="false">IF(COUNT(AJ107,AJ108,AJ109,AJ110,AJ111,AJ112,AJ113)&gt;0,N(AJ107)+N(AJ108)+N(AJ109)+N(AJ110)+N(AJ111)+N(AJ112)+N(AJ113)+N(AJ114),"")</f>
        <v>386.685</v>
      </c>
      <c r="AK115" s="32" t="n">
        <f aca="false">IF(COUNT(AK107,AK108,AK109,AK110,AK111,AK112,AK113)&gt;0,N(AK107)+N(AK108)+N(AK109)+N(AK110)+N(AK111)+N(AK112)+N(AK113)+N(AK114),"")</f>
        <v>405.974</v>
      </c>
      <c r="AL115" s="32" t="n">
        <f aca="false">IF(COUNT(AL107,AL108,AL109,AL110,AL111,AL112,AL113)&gt;0,N(AL107)+N(AL108)+N(AL109)+N(AL110)+N(AL111)+N(AL112)+N(AL113)+N(AL114),"")</f>
        <v>391.17</v>
      </c>
      <c r="AM115" s="32" t="n">
        <f aca="false">IF(COUNT(AM107,AM108,AM109,AM110,AM111,AM112,AM113)&gt;0,N(AM107)+N(AM108)+N(AM109)+N(AM110)+N(AM111)+N(AM112)+N(AM113)+N(AM114),"")</f>
        <v>1532.849</v>
      </c>
      <c r="AN115" s="32" t="n">
        <f aca="false">IF(COUNT(AN107,AN108,AN109,AN110,AN111,AN112,AN113)&gt;0,N(AN107)+N(AN108)+N(AN109)+N(AN110)+N(AN111)+N(AN112)+N(AN113)+N(AN114),"")</f>
        <v>378.361</v>
      </c>
      <c r="AO115" s="32" t="n">
        <f aca="false">IF(COUNT(AO107,AO108,AO109,AO110,AO111,AO112,AO113)&gt;0,N(AO107)+N(AO108)+N(AO109)+N(AO110)+N(AO111)+N(AO112)+N(AO113)+N(AO114),"")</f>
        <v>414.156</v>
      </c>
      <c r="AP115" s="32" t="n">
        <f aca="false">IF(COUNT(AP107,AP108,AP109,AP110,AP111,AP112,AP113)&gt;0,N(AP107)+N(AP108)+N(AP109)+N(AP110)+N(AP111)+N(AP112)+N(AP113)+N(AP114),"")</f>
        <v>439.463</v>
      </c>
      <c r="AQ115" s="32" t="n">
        <f aca="false">IF(COUNT(AQ107,AQ108,AQ109,AQ110,AQ111,AQ112,AQ113)&gt;0,N(AQ107)+N(AQ108)+N(AQ109)+N(AQ110)+N(AQ111)+N(AQ112)+N(AQ113)+N(AQ114),"")</f>
        <v>411.664</v>
      </c>
      <c r="AR115" s="32" t="n">
        <f aca="false">IF(COUNT(AR107,AR108,AR109,AR110,AR111,AR112,AR113)&gt;0,N(AR107)+N(AR108)+N(AR109)+N(AR110)+N(AR111)+N(AR112)+N(AR113)+N(AR114),"")</f>
        <v>1643.644</v>
      </c>
      <c r="AS115" s="32" t="n">
        <f aca="false">IF(COUNT(AS107,AS108,AS109,AS110,AS111,AS112,AS113)&gt;0,N(AS107)+N(AS108)+N(AS109)+N(AS110)+N(AS111)+N(AS112)+N(AS113)+N(AS114),"")</f>
        <v>400.928</v>
      </c>
      <c r="AT115" s="32" t="n">
        <f aca="false">IF(COUNT(AT107,AT108,AT109,AT110,AT111,AT112,AT113)&gt;0,N(AT107)+N(AT108)+N(AT109)+N(AT110)+N(AT111)+N(AT112)+N(AT113)+N(AT114),"")</f>
        <v>387.914</v>
      </c>
      <c r="AU115" s="32" t="n">
        <f aca="false">IF(COUNT(AU107,AU108,AU109,AU110,AU111,AU112,AU113)&gt;0,N(AU107)+N(AU108)+N(AU109)+N(AU110)+N(AU111)+N(AU112)+N(AU113)+N(AU114),"")</f>
        <v>424.727</v>
      </c>
      <c r="AV115" s="32" t="str">
        <f aca="false">IF(COUNT(AV107,AV108,AV109,AV110,AV111,AV112,AV113)&gt;0,N(AV107)+N(AV108)+N(AV109)+N(AV110)+N(AV111)+N(AV112)+N(AV113)+N(AV114),"")</f>
        <v/>
      </c>
      <c r="AW115" s="32" t="n">
        <f aca="false">IF(COUNT(AW107,AW108,AW109,AW110,AW111,AW112,AW113)&gt;0,N(AW107)+N(AW108)+N(AW109)+N(AW110)+N(AW111)+N(AW112)+N(AW113)+N(AW114),"")</f>
        <v>1631.55</v>
      </c>
      <c r="AX115" s="32" t="n">
        <f aca="false">IF(COUNT(AX107,AX108,AX109,AX110,AX111,AX112,AX113)&gt;0,N(AX107)+N(AX108)+N(AX109)+N(AX110)+N(AX111)+N(AX112)+N(AX113)+N(AX114),"")</f>
        <v>428.6</v>
      </c>
      <c r="AY115" s="32" t="n">
        <f aca="false">IF(COUNT(AY107,AY108,AY109,AY110,AY111,AY112,AY113)&gt;0,N(AY107)+N(AY108)+N(AY109)+N(AY110)+N(AY111)+N(AY112)+N(AY113)+N(AY114),"")</f>
        <v>474.797</v>
      </c>
      <c r="AZ115" s="32" t="n">
        <f aca="false">IF(COUNT(AZ107,AZ108,AZ109,AZ110,AZ111,AZ112,AZ113)&gt;0,N(AZ107)+N(AZ108)+N(AZ109)+N(AZ110)+N(AZ111)+N(AZ112)+N(AZ113)+N(AZ114),"")</f>
        <v>495.55</v>
      </c>
      <c r="BA115" s="32" t="n">
        <f aca="false">IF(COUNT(BA107,BA108,BA109,BA110,BA111,BA112,BA113)&gt;0,N(BA107)+N(BA108)+N(BA109)+N(BA110)+N(BA111)+N(BA112)+N(BA113)+N(BA114),"")</f>
        <v>486.003</v>
      </c>
      <c r="BB115" s="32" t="n">
        <f aca="false">IF(COUNT(BB107,BB108,BB109,BB110,BB111,BB112,BB113)&gt;0,N(BB107)+N(BB108)+N(BB109)+N(BB110)+N(BB111)+N(BB112)+N(BB113)+N(BB114),"")</f>
        <v>1884.95</v>
      </c>
      <c r="BC115" s="32" t="n">
        <f aca="false">IF(COUNT(BC107,BC108,BC109,BC110,BC111,BC112,BC113)&gt;0,N(BC107)+N(BC108)+N(BC109)+N(BC110)+N(BC111)+N(BC112)+N(BC113)+N(BC114),"")</f>
        <v>493.323</v>
      </c>
      <c r="BD115" s="32" t="n">
        <f aca="false">IF(COUNT(BD107,BD108,BD109,BD110,BD111,BD112,BD113)&gt;0,N(BD107)+N(BD108)+N(BD109)+N(BD110)+N(BD111)+N(BD112)+N(BD113)+N(BD114),"")</f>
        <v>560.139</v>
      </c>
      <c r="BE115" s="32" t="n">
        <f aca="false">IF(COUNT(BE107,BE108,BE109,BE110,BE111,BE112,BE113)&gt;0,N(BE107)+N(BE108)+N(BE109)+N(BE110)+N(BE111)+N(BE112)+N(BE113)+N(BE114),"")</f>
        <v>572.352</v>
      </c>
      <c r="BF115" s="32" t="n">
        <f aca="false">IF(COUNT(BF107,BF108,BF109,BF110,BF111,BF112,BF113)&gt;0,N(BF107)+N(BF108)+N(BF109)+N(BF110)+N(BF111)+N(BF112)+N(BF113)+N(BF114),"")</f>
        <v>553.566</v>
      </c>
      <c r="BG115" s="32" t="n">
        <f aca="false">IF(COUNT(BG107,BG108,BG109,BG110,BG111,BG112,BG113)&gt;0,N(BG107)+N(BG108)+N(BG109)+N(BG110)+N(BG111)+N(BG112)+N(BG113)+N(BG114),"")</f>
        <v>2179.38</v>
      </c>
      <c r="BH115" s="32" t="n">
        <f aca="false">IF(COUNT(BH107,BH108,BH109,BH110,BH111,BH112,BH113)&gt;0,N(BH107)+N(BH108)+N(BH109)+N(BH110)+N(BH111)+N(BH112)+N(BH113)+N(BH114),"")</f>
        <v>559.895</v>
      </c>
      <c r="BI115" s="32" t="n">
        <f aca="false">IF(COUNT(BI107,BI108,BI109,BI110,BI111,BI112,BI113)&gt;0,N(BI107)+N(BI108)+N(BI109)+N(BI110)+N(BI111)+N(BI112)+N(BI113)+N(BI114),"")</f>
        <v>607.361</v>
      </c>
      <c r="BJ115" s="32" t="n">
        <f aca="false">IF(COUNT(BJ107,BJ108,BJ109,BJ110,BJ111,BJ112,BJ113)&gt;0,N(BJ107)+N(BJ108)+N(BJ109)+N(BJ110)+N(BJ111)+N(BJ112)+N(BJ113)+N(BJ114),"")</f>
        <v>663.825</v>
      </c>
      <c r="BK115" s="32" t="str">
        <f aca="false">IF(COUNT(BK107,BK108,BK109,BK110,BK111,BK112,BK113)&gt;0,N(BK107)+N(BK108)+N(BK109)+N(BK110)+N(BK111)+N(BK112)+N(BK113)+N(BK114),"")</f>
        <v/>
      </c>
      <c r="BL115" s="32" t="n">
        <f aca="false">IF(COUNT(BL107,BL108,BL109,BL110,BL111,BL112,BL113)&gt;0,N(BL107)+N(BL108)+N(BL109)+N(BL110)+N(BL111)+N(BL112)+N(BL113)+N(BL114),"")</f>
        <v>2478.319</v>
      </c>
      <c r="BM115" s="32" t="n">
        <f aca="false">IF(COUNT(BM107,BM108,BM109,BM110,BM111,BM112,BM113)&gt;0,N(BM107)+N(BM108)+N(BM109)+N(BM110)+N(BM111)+N(BM112)+N(BM113)+N(BM114),"")</f>
        <v>630.135</v>
      </c>
      <c r="BN115" s="32" t="n">
        <f aca="false">IF(COUNT(BN107,BN108,BN109,BN110,BN111,BN112,BN113)&gt;0,N(BN107)+N(BN108)+N(BN109)+N(BN110)+N(BN111)+N(BN112)+N(BN113)+N(BN114),"")</f>
        <v>718.248</v>
      </c>
      <c r="BO115" s="32" t="n">
        <f aca="false">IF(COUNT(BO107,BO108,BO109,BO110,BO111,BO112,BO113)&gt;0,N(BO107)+N(BO108)+N(BO109)+N(BO110)+N(BO111)+N(BO112)+N(BO113)+N(BO114),"")</f>
        <v>771.883</v>
      </c>
      <c r="BP115" s="32" t="n">
        <f aca="false">IF(COUNT(BP107,BP108,BP109,BP110,BP111,BP112,BP113)&gt;0,N(BP107)+N(BP108)+N(BP109)+N(BP110)+N(BP111)+N(BP112)+N(BP113)+N(BP114),"")</f>
        <v>724.174</v>
      </c>
      <c r="BQ115" s="32" t="n">
        <f aca="false">IF(COUNT(BQ107,BQ108,BQ109,BQ110,BQ111,BQ112,BQ113)&gt;0,N(BQ107)+N(BQ108)+N(BQ109)+N(BQ110)+N(BQ111)+N(BQ112)+N(BQ113)+N(BQ114),"")</f>
        <v>2844.44</v>
      </c>
      <c r="BR115" s="32" t="n">
        <f aca="false">IF(COUNT(BR107,BR108,BR109,BR110,BR111,BR112,BR113)&gt;0,N(BR107)+N(BR108)+N(BR109)+N(BR110)+N(BR111)+N(BR112)+N(BR113)+N(BR114),"")</f>
        <v>686.599</v>
      </c>
      <c r="BS115" s="32" t="n">
        <f aca="false">IF(COUNT(BS107,BS108,BS109,BS110,BS111,BS112,BS113)&gt;0,N(BS107)+N(BS108)+N(BS109)+N(BS110)+N(BS111)+N(BS112)+N(BS113)+N(BS114),"")</f>
        <v>771.232</v>
      </c>
      <c r="BT115" s="32" t="n">
        <f aca="false">IF(COUNT(BT107,BT108,BT109,BT110,BT111,BT112,BT113)&gt;0,N(BT107)+N(BT108)+N(BT109)+N(BT110)+N(BT111)+N(BT112)+N(BT113)+N(BT114),"")</f>
        <v>815.048</v>
      </c>
      <c r="BU115" s="32" t="n">
        <f aca="false">IF(COUNT(BU107,BU108,BU109,BU110,BU111,BU112,BU113)&gt;0,N(BU107)+N(BU108)+N(BU109)+N(BU110)+N(BU111)+N(BU112)+N(BU113)+N(BU114),"")</f>
        <v>779.11</v>
      </c>
      <c r="BV115" s="32" t="n">
        <f aca="false">IF(COUNT(BV107,BV108,BV109,BV110,BV111,BV112,BV113)&gt;0,N(BV107)+N(BV108)+N(BV109)+N(BV110)+N(BV111)+N(BV112)+N(BV113)+N(BV114),"")</f>
        <v>3051.989</v>
      </c>
      <c r="BW115" s="32" t="n">
        <f aca="false">IF(COUNT(BW107,BW108,BW109,BW110,BW111,BW112,BW113)&gt;0,N(BW107)+N(BW108)+N(BW109)+N(BW110)+N(BW111)+N(BW112)+N(BW113)+N(BW114),"")</f>
        <v>758.413</v>
      </c>
      <c r="BX115" s="32" t="n">
        <f aca="false">IF(COUNT(BX107,BX108,BX109,BX110,BX111,BX112,BX113)&gt;0,N(BX107)+N(BX108)+N(BX109)+N(BX110)+N(BX111)+N(BX112)+N(BX113)+N(BX114),"")</f>
        <v>821.897</v>
      </c>
      <c r="BY115" s="51"/>
      <c r="BZ115" s="51"/>
      <c r="CA115" s="51"/>
      <c r="CB115" s="51"/>
      <c r="CC115" s="51"/>
      <c r="CD115" s="51"/>
      <c r="CE115" s="51"/>
      <c r="CF115" s="21"/>
    </row>
    <row r="116" customFormat="false" ht="15" hidden="true" customHeight="true" outlineLevel="2" collapsed="false">
      <c r="B116" s="46" t="s">
        <v>267</v>
      </c>
      <c r="C116" s="26" t="str">
        <f aca="false">IF(AND(ISNUMBER(C115),ISNUMBER(C182)),ROUND(C115-C182,1),"")</f>
        <v/>
      </c>
      <c r="D116" s="26" t="str">
        <f aca="false">IF(AND(ISNUMBER(D115),ISNUMBER(D182)),ROUND(D115-D182,1),"")</f>
        <v/>
      </c>
      <c r="E116" s="26" t="n">
        <f aca="false">IF(AND(ISNUMBER(E115),ISNUMBER(E182)),ROUND(E115-E182,1),"")</f>
        <v>-2.9</v>
      </c>
      <c r="F116" s="26" t="n">
        <f aca="false">IF(AND(ISNUMBER(F115),ISNUMBER(F182)),ROUND(F115-F182,1),"")</f>
        <v>-7.9</v>
      </c>
      <c r="G116" s="26" t="n">
        <f aca="false">IF(AND(ISNUMBER(G115),ISNUMBER(G182)),ROUND(G115-G182,1),"")</f>
        <v>-3.8</v>
      </c>
      <c r="H116" s="26" t="n">
        <f aca="false">IF(AND(ISNUMBER(H115),ISNUMBER(H182)),ROUND(H115-H182,1),"")</f>
        <v>-3.7</v>
      </c>
      <c r="I116" s="26" t="n">
        <f aca="false">IF(AND(ISNUMBER(I115),ISNUMBER(I182)),ROUND(I115-I182,1),"")</f>
        <v>-20.6</v>
      </c>
      <c r="J116" s="26" t="n">
        <f aca="false">IF(AND(ISNUMBER(J115),ISNUMBER(J182)),ROUND(J115-J182,1),"")</f>
        <v>-1.4</v>
      </c>
      <c r="K116" s="26" t="n">
        <f aca="false">IF(AND(ISNUMBER(K115),ISNUMBER(K182)),ROUND(K115-K182,1),"")</f>
        <v>-1.4</v>
      </c>
      <c r="L116" s="26" t="n">
        <f aca="false">IF(AND(ISNUMBER(L115),ISNUMBER(L182)),ROUND(L115-L182,1),"")</f>
        <v>-1.1</v>
      </c>
      <c r="M116" s="26" t="n">
        <f aca="false">IF(AND(ISNUMBER(M115),ISNUMBER(M182)),ROUND(M115-M182,1),"")</f>
        <v>-1.8</v>
      </c>
      <c r="N116" s="26" t="n">
        <f aca="false">IF(AND(ISNUMBER(N115),ISNUMBER(N182)),ROUND(N115-N182,1),"")</f>
        <v>-5.7</v>
      </c>
      <c r="O116" s="26" t="n">
        <f aca="false">IF(AND(ISNUMBER(O115),ISNUMBER(O182)),ROUND(O115-O182,1),"")</f>
        <v>-1.1</v>
      </c>
      <c r="P116" s="26" t="n">
        <f aca="false">IF(AND(ISNUMBER(P115),ISNUMBER(P182)),ROUND(P115-P182,1),"")</f>
        <v>-1.3</v>
      </c>
      <c r="Q116" s="26" t="n">
        <f aca="false">IF(AND(ISNUMBER(Q115),ISNUMBER(Q182)),ROUND(Q115-Q182,1),"")</f>
        <v>-1.6</v>
      </c>
      <c r="R116" s="26" t="n">
        <f aca="false">IF(AND(ISNUMBER(R115),ISNUMBER(R182)),ROUND(R115-R182,1),"")</f>
        <v>-1.8</v>
      </c>
      <c r="S116" s="26" t="n">
        <f aca="false">IF(AND(ISNUMBER(S115),ISNUMBER(S182)),ROUND(S115-S182,1),"")</f>
        <v>-5.8</v>
      </c>
      <c r="T116" s="26" t="n">
        <f aca="false">IF(AND(ISNUMBER(T115),ISNUMBER(T182)),ROUND(T115-T182,1),"")</f>
        <v>-1.5</v>
      </c>
      <c r="U116" s="26" t="n">
        <f aca="false">IF(AND(ISNUMBER(U115),ISNUMBER(U182)),ROUND(U115-U182,1),"")</f>
        <v>-1.1</v>
      </c>
      <c r="V116" s="26" t="n">
        <f aca="false">IF(AND(ISNUMBER(V115),ISNUMBER(V182)),ROUND(V115-V182,1),"")</f>
        <v>-1.8</v>
      </c>
      <c r="W116" s="26" t="n">
        <f aca="false">IF(AND(ISNUMBER(W115),ISNUMBER(W182)),ROUND(W115-W182,1),"")</f>
        <v>-3.9</v>
      </c>
      <c r="X116" s="26" t="n">
        <f aca="false">IF(AND(ISNUMBER(X115),ISNUMBER(X182)),ROUND(X115-X182,1),"")</f>
        <v>-8.2</v>
      </c>
      <c r="Y116" s="26" t="n">
        <f aca="false">IF(AND(ISNUMBER(Y115),ISNUMBER(Y182)),ROUND(Y115-Y182,1),"")</f>
        <v>-9.9</v>
      </c>
      <c r="Z116" s="26" t="n">
        <f aca="false">IF(AND(ISNUMBER(Z115),ISNUMBER(Z182)),ROUND(Z115-Z182,1),"")</f>
        <v>-74.9</v>
      </c>
      <c r="AA116" s="26" t="n">
        <f aca="false">IF(AND(ISNUMBER(AA115),ISNUMBER(AA182)),ROUND(AA115-AA182,1),"")</f>
        <v>-23.3</v>
      </c>
      <c r="AB116" s="26" t="str">
        <f aca="false">IF(AND(ISNUMBER(AB115),ISNUMBER(AB182)),ROUND(AB115-AB182,1),"")</f>
        <v/>
      </c>
      <c r="AC116" s="26" t="n">
        <f aca="false">IF(AND(ISNUMBER(AC115),ISNUMBER(AC182)),ROUND(AC115-AC182,1),"")</f>
        <v>-127.2</v>
      </c>
      <c r="AD116" s="26" t="n">
        <f aca="false">IF(AND(ISNUMBER(AD115),ISNUMBER(AD182)),ROUND(AD115-AD182,1),"")</f>
        <v>-14</v>
      </c>
      <c r="AE116" s="26" t="n">
        <f aca="false">IF(AND(ISNUMBER(AE115),ISNUMBER(AE182)),ROUND(AE115-AE182,1),"")</f>
        <v>-10.3</v>
      </c>
      <c r="AF116" s="26" t="n">
        <f aca="false">IF(AND(ISNUMBER(AF115),ISNUMBER(AF182)),ROUND(AF115-AF182,1),"")</f>
        <v>-10.2</v>
      </c>
      <c r="AG116" s="26" t="n">
        <f aca="false">IF(AND(ISNUMBER(AG115),ISNUMBER(AG182)),ROUND(AG115-AG182,1),"")</f>
        <v>-9.9</v>
      </c>
      <c r="AH116" s="26" t="n">
        <f aca="false">IF(AND(ISNUMBER(AH115),ISNUMBER(AH182)),ROUND(AH115-AH182,1),"")</f>
        <v>-44.5</v>
      </c>
      <c r="AI116" s="26" t="n">
        <f aca="false">IF(AND(ISNUMBER(AI115),ISNUMBER(AI182)),ROUND(AI115-AI182,1),"")</f>
        <v>-7.9</v>
      </c>
      <c r="AJ116" s="26" t="n">
        <f aca="false">IF(AND(ISNUMBER(AJ115),ISNUMBER(AJ182)),ROUND(AJ115-AJ182,1),"")</f>
        <v>-8.8</v>
      </c>
      <c r="AK116" s="26" t="n">
        <f aca="false">IF(AND(ISNUMBER(AK115),ISNUMBER(AK182)),ROUND(AK115-AK182,1),"")</f>
        <v>-10.8</v>
      </c>
      <c r="AL116" s="26" t="n">
        <f aca="false">IF(AND(ISNUMBER(AL115),ISNUMBER(AL182)),ROUND(AL115-AL182,1),"")</f>
        <v>-6</v>
      </c>
      <c r="AM116" s="26" t="n">
        <f aca="false">IF(AND(ISNUMBER(AM115),ISNUMBER(AM182)),ROUND(AM115-AM182,1),"")</f>
        <v>-33.6</v>
      </c>
      <c r="AN116" s="26" t="n">
        <f aca="false">IF(AND(ISNUMBER(AN115),ISNUMBER(AN182)),ROUND(AN115-AN182,1),"")</f>
        <v>-7.3</v>
      </c>
      <c r="AO116" s="26" t="n">
        <f aca="false">IF(AND(ISNUMBER(AO115),ISNUMBER(AO182)),ROUND(AO115-AO182,1),"")</f>
        <v>-11.1</v>
      </c>
      <c r="AP116" s="26" t="n">
        <f aca="false">IF(AND(ISNUMBER(AP115),ISNUMBER(AP182)),ROUND(AP115-AP182,1),"")</f>
        <v>-4.1</v>
      </c>
      <c r="AQ116" s="26" t="n">
        <f aca="false">IF(AND(ISNUMBER(AQ115),ISNUMBER(AQ182)),ROUND(AQ115-AQ182,1),"")</f>
        <v>-7.3</v>
      </c>
      <c r="AR116" s="26" t="n">
        <f aca="false">IF(AND(ISNUMBER(AR115),ISNUMBER(AR182)),ROUND(AR115-AR182,1),"")</f>
        <v>-29.9</v>
      </c>
      <c r="AS116" s="26" t="n">
        <f aca="false">IF(AND(ISNUMBER(AS115),ISNUMBER(AS182)),ROUND(AS115-AS182,1),"")</f>
        <v>-7.6</v>
      </c>
      <c r="AT116" s="26" t="n">
        <f aca="false">IF(AND(ISNUMBER(AT115),ISNUMBER(AT182)),ROUND(AT115-AT182,1),"")</f>
        <v>-6.4</v>
      </c>
      <c r="AU116" s="26" t="n">
        <f aca="false">IF(AND(ISNUMBER(AU115),ISNUMBER(AU182)),ROUND(AU115-AU182,1),"")</f>
        <v>-7.9</v>
      </c>
      <c r="AV116" s="26" t="str">
        <f aca="false">IF(AND(ISNUMBER(AV115),ISNUMBER(AV182)),ROUND(AV115-AV182,1),"")</f>
        <v/>
      </c>
      <c r="AW116" s="26" t="n">
        <f aca="false">IF(AND(ISNUMBER(AW115),ISNUMBER(AW182)),ROUND(AW115-AW182,1),"")</f>
        <v>-30.4</v>
      </c>
      <c r="AX116" s="26" t="n">
        <f aca="false">IF(AND(ISNUMBER(AX115),ISNUMBER(AX182)),ROUND(AX115-AX182,1),"")</f>
        <v>-4.6</v>
      </c>
      <c r="AY116" s="26" t="n">
        <f aca="false">IF(AND(ISNUMBER(AY115),ISNUMBER(AY182)),ROUND(AY115-AY182,1),"")</f>
        <v>-10.1</v>
      </c>
      <c r="AZ116" s="26" t="n">
        <f aca="false">IF(AND(ISNUMBER(AZ115),ISNUMBER(AZ182)),ROUND(AZ115-AZ182,1),"")</f>
        <v>-10.1</v>
      </c>
      <c r="BA116" s="26" t="n">
        <f aca="false">IF(AND(ISNUMBER(BA115),ISNUMBER(BA182)),ROUND(BA115-BA182,1),"")</f>
        <v>-9.4</v>
      </c>
      <c r="BB116" s="26" t="n">
        <f aca="false">IF(AND(ISNUMBER(BB115),ISNUMBER(BB182)),ROUND(BB115-BB182,1),"")</f>
        <v>-34.2</v>
      </c>
      <c r="BC116" s="26" t="n">
        <f aca="false">IF(AND(ISNUMBER(BC115),ISNUMBER(BC182)),ROUND(BC115-BC182,1),"")</f>
        <v>-8.8</v>
      </c>
      <c r="BD116" s="26" t="n">
        <f aca="false">IF(AND(ISNUMBER(BD115),ISNUMBER(BD182)),ROUND(BD115-BD182,1),"")</f>
        <v>-6.7</v>
      </c>
      <c r="BE116" s="26" t="n">
        <f aca="false">IF(AND(ISNUMBER(BE115),ISNUMBER(BE182)),ROUND(BE115-BE182,1),"")</f>
        <v>-15.7</v>
      </c>
      <c r="BF116" s="26" t="n">
        <f aca="false">IF(AND(ISNUMBER(BF115),ISNUMBER(BF182)),ROUND(BF115-BF182,1),"")</f>
        <v>-10.1</v>
      </c>
      <c r="BG116" s="26" t="n">
        <f aca="false">IF(AND(ISNUMBER(BG115),ISNUMBER(BG182)),ROUND(BG115-BG182,1),"")</f>
        <v>-41.3</v>
      </c>
      <c r="BH116" s="26" t="n">
        <f aca="false">IF(AND(ISNUMBER(BH115),ISNUMBER(BH182)),ROUND(BH115-BH182,1),"")</f>
        <v>-7</v>
      </c>
      <c r="BI116" s="26" t="n">
        <f aca="false">IF(AND(ISNUMBER(BI115),ISNUMBER(BI182)),ROUND(BI115-BI182,1),"")</f>
        <v>-21.5</v>
      </c>
      <c r="BJ116" s="26" t="n">
        <f aca="false">IF(AND(ISNUMBER(BJ115),ISNUMBER(BJ182)),ROUND(BJ115-BJ182,1),"")</f>
        <v>-7.3</v>
      </c>
      <c r="BK116" s="26" t="str">
        <f aca="false">IF(AND(ISNUMBER(BK115),ISNUMBER(BK182)),ROUND(BK115-BK182,1),"")</f>
        <v/>
      </c>
      <c r="BL116" s="26" t="n">
        <f aca="false">IF(AND(ISNUMBER(BL115),ISNUMBER(BL182)),ROUND(BL115-BL182,1),"")</f>
        <v>-44.6</v>
      </c>
      <c r="BM116" s="26" t="n">
        <f aca="false">IF(AND(ISNUMBER(BM115),ISNUMBER(BM182)),ROUND(BM115-BM182,1),"")</f>
        <v>-20.5</v>
      </c>
      <c r="BN116" s="26" t="n">
        <f aca="false">IF(AND(ISNUMBER(BN115),ISNUMBER(BN182)),ROUND(BN115-BN182,1),"")</f>
        <v>-13.6</v>
      </c>
      <c r="BO116" s="26" t="n">
        <f aca="false">IF(AND(ISNUMBER(BO115),ISNUMBER(BO182)),ROUND(BO115-BO182,1),"")</f>
        <v>-15.6</v>
      </c>
      <c r="BP116" s="26" t="n">
        <f aca="false">IF(AND(ISNUMBER(BP115),ISNUMBER(BP182)),ROUND(BP115-BP182,1),"")</f>
        <v>-7.8</v>
      </c>
      <c r="BQ116" s="26" t="n">
        <f aca="false">IF(AND(ISNUMBER(BQ115),ISNUMBER(BQ182)),ROUND(BQ115-BQ182,1),"")</f>
        <v>-57.4</v>
      </c>
      <c r="BR116" s="26" t="n">
        <f aca="false">IF(AND(ISNUMBER(BR115),ISNUMBER(BR182)),ROUND(BR115-BR182,1),"")</f>
        <v>-25.6</v>
      </c>
      <c r="BS116" s="26" t="n">
        <f aca="false">IF(AND(ISNUMBER(BS115),ISNUMBER(BS182)),ROUND(BS115-BS182,1),"")</f>
        <v>-15.2</v>
      </c>
      <c r="BT116" s="26" t="n">
        <f aca="false">IF(AND(ISNUMBER(BT115),ISNUMBER(BT182)),ROUND(BT115-BT182,1),"")</f>
        <v>-15.3</v>
      </c>
      <c r="BU116" s="26" t="n">
        <f aca="false">IF(AND(ISNUMBER(BU115),ISNUMBER(BU182)),ROUND(BU115-BU182,1),"")</f>
        <v>-16.5</v>
      </c>
      <c r="BV116" s="26" t="n">
        <f aca="false">IF(AND(ISNUMBER(BV115),ISNUMBER(BV182)),ROUND(BV115-BV182,1),"")</f>
        <v>-72.6</v>
      </c>
      <c r="BW116" s="26" t="n">
        <f aca="false">IF(AND(ISNUMBER(BW115),ISNUMBER(BW182)),ROUND(BW115-BW182,1),"")</f>
        <v>-11.1</v>
      </c>
      <c r="BX116" s="26" t="n">
        <f aca="false">IF(AND(ISNUMBER(BX115),ISNUMBER(BX182)),ROUND(BX115-BX182,1),"")</f>
        <v>-18.2</v>
      </c>
      <c r="BY116" s="28"/>
      <c r="BZ116" s="28"/>
      <c r="CA116" s="28"/>
      <c r="CB116" s="28"/>
      <c r="CC116" s="28"/>
      <c r="CD116" s="28"/>
      <c r="CE116" s="28"/>
      <c r="CF116" s="21"/>
    </row>
    <row r="117" customFormat="false" ht="15" hidden="true" customHeight="true" outlineLevel="2" collapsed="false"/>
    <row r="118" customFormat="false" ht="15" hidden="true" customHeight="true" outlineLevel="2" collapsed="false">
      <c r="B118" s="16" t="s">
        <v>268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7" t="s">
        <v>269</v>
      </c>
    </row>
    <row r="119" customFormat="false" ht="15" hidden="true" customHeight="true" outlineLevel="2" collapsed="false">
      <c r="B119" s="29" t="s">
        <v>270</v>
      </c>
      <c r="C119" s="38" t="n">
        <f aca="false">IF(AND(ISNUMBER(C129),ISNUMBER(C128)),IFERROR(C129/C128,""),"")</f>
        <v>0.597760185551353</v>
      </c>
      <c r="D119" s="38" t="n">
        <f aca="false">IF(AND(ISNUMBER(D129),ISNUMBER(D128)),IFERROR(D129/D128,""),"")</f>
        <v>0.590573590488044</v>
      </c>
      <c r="E119" s="38" t="n">
        <f aca="false">IF(AND(ISNUMBER(E129),ISNUMBER(E128)),IFERROR(E129/E128,""),"")</f>
        <v>0.598392916178784</v>
      </c>
      <c r="F119" s="38" t="n">
        <f aca="false">IF(AND(ISNUMBER(F129),ISNUMBER(F128)),IFERROR(F129/F128,""),"")</f>
        <v>0.581181020872206</v>
      </c>
      <c r="G119" s="38" t="n">
        <f aca="false">IF(AND(ISNUMBER(G129),ISNUMBER(G128)),IFERROR(G129/G128,""),"")</f>
        <v>0.567897726626947</v>
      </c>
      <c r="H119" s="38" t="n">
        <f aca="false">IF(AND(ISNUMBER(H129),ISNUMBER(H128)),IFERROR(H129/H128,""),"")</f>
        <v>0.569682057386709</v>
      </c>
      <c r="I119" s="38" t="n">
        <f aca="false">IF(AND(ISNUMBER(I129),ISNUMBER(I128)),IFERROR(I129/I128,""),"")</f>
        <v>0.575557679322203</v>
      </c>
      <c r="J119" s="38" t="n">
        <f aca="false">IF(AND(ISNUMBER(J129),ISNUMBER(J128)),IFERROR(J129/J128,""),"")</f>
        <v>0.560052190303451</v>
      </c>
      <c r="K119" s="38" t="n">
        <f aca="false">IF(AND(ISNUMBER(K129),ISNUMBER(K128)),IFERROR(K129/K128,""),"")</f>
        <v>0.548619582697326</v>
      </c>
      <c r="L119" s="38" t="n">
        <f aca="false">IF(AND(ISNUMBER(L129),ISNUMBER(L128)),IFERROR(L129/L128,""),"")</f>
        <v>0.544312870547964</v>
      </c>
      <c r="M119" s="38" t="n">
        <f aca="false">IF(AND(ISNUMBER(M129),ISNUMBER(M128)),IFERROR(M129/M128,""),"")</f>
        <v>0.556171623682537</v>
      </c>
      <c r="N119" s="38" t="n">
        <f aca="false">IF(AND(ISNUMBER(N129),ISNUMBER(N128)),IFERROR(N129/N128,""),"")</f>
        <v>0.552064371796899</v>
      </c>
      <c r="O119" s="38" t="n">
        <f aca="false">IF(AND(ISNUMBER(O129),ISNUMBER(O128)),IFERROR(O129/O128,""),"")</f>
        <v>0.546098274895684</v>
      </c>
      <c r="P119" s="38" t="n">
        <f aca="false">IF(AND(ISNUMBER(P129),ISNUMBER(P128)),IFERROR(P129/P128,""),"")</f>
        <v>0.546891229728622</v>
      </c>
      <c r="Q119" s="38" t="n">
        <f aca="false">IF(AND(ISNUMBER(Q129),ISNUMBER(Q128)),IFERROR(Q129/Q128,""),"")</f>
        <v>0.54496103748781</v>
      </c>
      <c r="R119" s="38" t="n">
        <f aca="false">IF(AND(ISNUMBER(R129),ISNUMBER(R128)),IFERROR(R129/R128,""),"")</f>
        <v>0.552111027283628</v>
      </c>
      <c r="S119" s="38" t="n">
        <f aca="false">IF(AND(ISNUMBER(S129),ISNUMBER(S128)),IFERROR(S129/S128,""),"")</f>
        <v>0.547521458123113</v>
      </c>
      <c r="T119" s="38" t="n">
        <f aca="false">IF(AND(ISNUMBER(T129),ISNUMBER(T128)),IFERROR(T129/T128,""),"")</f>
        <v>0.555469274846868</v>
      </c>
      <c r="U119" s="38" t="n">
        <f aca="false">IF(AND(ISNUMBER(U129),ISNUMBER(U128)),IFERROR(U129/U128,""),"")</f>
        <v>0.559816077935375</v>
      </c>
      <c r="V119" s="38" t="n">
        <f aca="false">IF(AND(ISNUMBER(V129),ISNUMBER(V128)),IFERROR(V129/V128,""),"")</f>
        <v>0.549167971558826</v>
      </c>
      <c r="W119" s="38" t="n">
        <f aca="false">IF(AND(ISNUMBER(W129),ISNUMBER(W128)),IFERROR(W129/W128,""),"")</f>
        <v>0.560102042159128</v>
      </c>
      <c r="X119" s="38" t="n">
        <f aca="false">IF(AND(ISNUMBER(X129),ISNUMBER(X128)),IFERROR(X129/X128,""),"")</f>
        <v>0.556093245743256</v>
      </c>
      <c r="Y119" s="38" t="n">
        <f aca="false">IF(AND(ISNUMBER(Y129),ISNUMBER(Y128)),IFERROR(Y129/Y128,""),"")</f>
        <v>0.558001088054714</v>
      </c>
      <c r="Z119" s="38" t="n">
        <f aca="false">IF(AND(ISNUMBER(Z129),ISNUMBER(Z128)),IFERROR(Z129/Z128,""),"")</f>
        <v>0.572072140168408</v>
      </c>
      <c r="AA119" s="38" t="n">
        <f aca="false">IF(AND(ISNUMBER(AA129),ISNUMBER(AA128)),IFERROR(AA129/AA128,""),"")</f>
        <v>0.586502992841882</v>
      </c>
      <c r="AB119" s="38" t="n">
        <f aca="false">IF(AND(ISNUMBER(AB129),ISNUMBER(AB128)),IFERROR(AB129/AB128,""),"")</f>
        <v>0.589295284668832</v>
      </c>
      <c r="AC119" s="38" t="n">
        <f aca="false">IF(AND(ISNUMBER(AC129),ISNUMBER(AC128)),IFERROR(AC129/AC128,""),"")</f>
        <v>0.57991452852204</v>
      </c>
      <c r="AD119" s="38" t="n">
        <f aca="false">IF(AND(ISNUMBER(AD129),ISNUMBER(AD128)),IFERROR(AD129/AD128,""),"")</f>
        <v>0.589572111657469</v>
      </c>
      <c r="AE119" s="38" t="n">
        <f aca="false">IF(AND(ISNUMBER(AE129),ISNUMBER(AE128)),IFERROR(AE129/AE128,""),"")</f>
        <v>0.583462136208083</v>
      </c>
      <c r="AF119" s="38" t="n">
        <f aca="false">IF(AND(ISNUMBER(AF129),ISNUMBER(AF128)),IFERROR(AF129/AF128,""),"")</f>
        <v>0.576158040179763</v>
      </c>
      <c r="AG119" s="38" t="n">
        <f aca="false">IF(AND(ISNUMBER(AG129),ISNUMBER(AG128)),IFERROR(AG129/AG128,""),"")</f>
        <v>0.587960334435155</v>
      </c>
      <c r="AH119" s="38" t="n">
        <f aca="false">IF(AND(ISNUMBER(AH129),ISNUMBER(AH128)),IFERROR(AH129/AH128,""),"")</f>
        <v>0.584123098904478</v>
      </c>
      <c r="AI119" s="38" t="n">
        <f aca="false">IF(AND(ISNUMBER(AI129),ISNUMBER(AI128)),IFERROR(AI129/AI128,""),"")</f>
        <v>0.578708060740389</v>
      </c>
      <c r="AJ119" s="38" t="n">
        <f aca="false">IF(AND(ISNUMBER(AJ129),ISNUMBER(AJ128)),IFERROR(AJ129/AJ128,""),"")</f>
        <v>0.584710250587112</v>
      </c>
      <c r="AK119" s="38" t="n">
        <f aca="false">IF(AND(ISNUMBER(AK129),ISNUMBER(AK128)),IFERROR(AK129/AK128,""),"")</f>
        <v>0.574597029138794</v>
      </c>
      <c r="AL119" s="38" t="n">
        <f aca="false">IF(AND(ISNUMBER(AL129),ISNUMBER(AL128)),IFERROR(AL129/AL128,""),"")</f>
        <v>0.590265603155028</v>
      </c>
      <c r="AM119" s="38" t="n">
        <f aca="false">IF(AND(ISNUMBER(AM129),ISNUMBER(AM128)),IFERROR(AM129/AM128,""),"")</f>
        <v>0.582112196753932</v>
      </c>
      <c r="AN119" s="38" t="n">
        <f aca="false">IF(AND(ISNUMBER(AN129),ISNUMBER(AN128)),IFERROR(AN129/AN128,""),"")</f>
        <v>0.589481109753286</v>
      </c>
      <c r="AO119" s="38" t="n">
        <f aca="false">IF(AND(ISNUMBER(AO129),ISNUMBER(AO128)),IFERROR(AO129/AO128,""),"")</f>
        <v>0.595645275871963</v>
      </c>
      <c r="AP119" s="38" t="n">
        <f aca="false">IF(AND(ISNUMBER(AP129),ISNUMBER(AP128)),IFERROR(AP129/AP128,""),"")</f>
        <v>0.591243263449737</v>
      </c>
      <c r="AQ119" s="38" t="n">
        <f aca="false">IF(AND(ISNUMBER(AQ129),ISNUMBER(AQ128)),IFERROR(AQ129/AQ128,""),"")</f>
        <v>0.597778202002996</v>
      </c>
      <c r="AR119" s="38" t="n">
        <f aca="false">IF(AND(ISNUMBER(AR129),ISNUMBER(AR128)),IFERROR(AR129/AR128,""),"")</f>
        <v>0.59360689326642</v>
      </c>
      <c r="AS119" s="38" t="n">
        <f aca="false">IF(AND(ISNUMBER(AS129),ISNUMBER(AS128)),IFERROR(AS129/AS128,""),"")</f>
        <v>0.602944090671131</v>
      </c>
      <c r="AT119" s="38" t="n">
        <f aca="false">IF(AND(ISNUMBER(AT129),ISNUMBER(AT128)),IFERROR(AT129/AT128,""),"")</f>
        <v>0.601716059801713</v>
      </c>
      <c r="AU119" s="38" t="n">
        <f aca="false">IF(AND(ISNUMBER(AU129),ISNUMBER(AU128)),IFERROR(AU129/AU128,""),"")</f>
        <v>0.596467062765553</v>
      </c>
      <c r="AV119" s="38" t="n">
        <f aca="false">IF(AND(ISNUMBER(AV129),ISNUMBER(AV128)),IFERROR(AV129/AV128,""),"")</f>
        <v>0.605650201573251</v>
      </c>
      <c r="AW119" s="38" t="n">
        <f aca="false">IF(AND(ISNUMBER(AW129),ISNUMBER(AW128)),IFERROR(AW129/AW128,""),"")</f>
        <v>0.601691887058184</v>
      </c>
      <c r="AX119" s="38" t="n">
        <f aca="false">IF(AND(ISNUMBER(AX129),ISNUMBER(AX128)),IFERROR(AX129/AX128,""),"")</f>
        <v>0.591657819594224</v>
      </c>
      <c r="AY119" s="38" t="n">
        <f aca="false">IF(AND(ISNUMBER(AY129),ISNUMBER(AY128)),IFERROR(AY129/AY128,""),"")</f>
        <v>0.587504261925732</v>
      </c>
      <c r="AZ119" s="38" t="n">
        <f aca="false">IF(AND(ISNUMBER(AZ129),ISNUMBER(AZ128)),IFERROR(AZ129/AZ128,""),"")</f>
        <v>0.592359726716288</v>
      </c>
      <c r="BA119" s="38" t="n">
        <f aca="false">IF(AND(ISNUMBER(BA129),ISNUMBER(BA128)),IFERROR(BA129/BA128,""),"")</f>
        <v>0.603862295522</v>
      </c>
      <c r="BB119" s="38" t="n">
        <f aca="false">IF(AND(ISNUMBER(BB129),ISNUMBER(BB128)),IFERROR(BB129/BB128,""),"")</f>
        <v>0.594026915344425</v>
      </c>
      <c r="BC119" s="38" t="n">
        <f aca="false">IF(AND(ISNUMBER(BC129),ISNUMBER(BC128)),IFERROR(BC129/BC128,""),"")</f>
        <v>0.601072130380773</v>
      </c>
      <c r="BD119" s="38" t="n">
        <f aca="false">IF(AND(ISNUMBER(BD129),ISNUMBER(BD128)),IFERROR(BD129/BD128,""),"")</f>
        <v>0.598916008555219</v>
      </c>
      <c r="BE119" s="38" t="n">
        <f aca="false">IF(AND(ISNUMBER(BE129),ISNUMBER(BE128)),IFERROR(BE129/BE128,""),"")</f>
        <v>0.596121110631172</v>
      </c>
      <c r="BF119" s="38" t="n">
        <f aca="false">IF(AND(ISNUMBER(BF129),ISNUMBER(BF128)),IFERROR(BF129/BF128,""),"")</f>
        <v>0.608769267228766</v>
      </c>
      <c r="BG119" s="38" t="n">
        <f aca="false">IF(AND(ISNUMBER(BG129),ISNUMBER(BG128)),IFERROR(BG129/BG128,""),"")</f>
        <v>0.601233607035301</v>
      </c>
      <c r="BH119" s="38" t="n">
        <f aca="false">IF(AND(ISNUMBER(BH129),ISNUMBER(BH128)),IFERROR(BH129/BH128,""),"")</f>
        <v>0.603493390960183</v>
      </c>
      <c r="BI119" s="38" t="n">
        <f aca="false">IF(AND(ISNUMBER(BI129),ISNUMBER(BI128)),IFERROR(BI129/BI128,""),"")</f>
        <v>0.59242588794688</v>
      </c>
      <c r="BJ119" s="38" t="n">
        <f aca="false">IF(AND(ISNUMBER(BJ129),ISNUMBER(BJ128)),IFERROR(BJ129/BJ128,""),"")</f>
        <v>0.583415183674102</v>
      </c>
      <c r="BK119" s="38" t="n">
        <f aca="false">IF(AND(ISNUMBER(BK129),ISNUMBER(BK128)),IFERROR(BK129/BK128,""),"")</f>
        <v>0.587352482721387</v>
      </c>
      <c r="BL119" s="38" t="n">
        <f aca="false">IF(AND(ISNUMBER(BL129),ISNUMBER(BL128)),IFERROR(BL129/BL128,""),"")</f>
        <v>0.591441284046736</v>
      </c>
      <c r="BM119" s="38" t="n">
        <f aca="false">IF(AND(ISNUMBER(BM129),ISNUMBER(BM128)),IFERROR(BM129/BM128,""),"")</f>
        <v>0.589477833482016</v>
      </c>
      <c r="BN119" s="38" t="n">
        <f aca="false">IF(AND(ISNUMBER(BN129),ISNUMBER(BN128)),IFERROR(BN129/BN128,""),"")</f>
        <v>0.578725058558843</v>
      </c>
      <c r="BO119" s="38" t="n">
        <f aca="false">IF(AND(ISNUMBER(BO129),ISNUMBER(BO128)),IFERROR(BO129/BO128,""),"")</f>
        <v>0.574764121090209</v>
      </c>
      <c r="BP119" s="38" t="n">
        <f aca="false">IF(AND(ISNUMBER(BP129),ISNUMBER(BP128)),IFERROR(BP129/BP128,""),"")</f>
        <v>0.586109792446344</v>
      </c>
      <c r="BQ119" s="38" t="n">
        <f aca="false">IF(AND(ISNUMBER(BQ129),ISNUMBER(BQ128)),IFERROR(BQ129/BQ128,""),"")</f>
        <v>0.582056509093298</v>
      </c>
      <c r="BR119" s="38" t="n">
        <f aca="false">IF(AND(ISNUMBER(BR129),ISNUMBER(BR128)),IFERROR(BR129/BR128,""),"")</f>
        <v>0.579596495070407</v>
      </c>
      <c r="BS119" s="38" t="n">
        <f aca="false">IF(AND(ISNUMBER(BS129),ISNUMBER(BS128)),IFERROR(BS129/BS128,""),"")</f>
        <v>0.578656075577833</v>
      </c>
      <c r="BT119" s="38" t="n">
        <f aca="false">IF(AND(ISNUMBER(BT129),ISNUMBER(BT128)),IFERROR(BT129/BT128,""),"")</f>
        <v>0.572269195380043</v>
      </c>
      <c r="BU119" s="38" t="n">
        <f aca="false">IF(AND(ISNUMBER(BU129),ISNUMBER(BU128)),IFERROR(BU129/BU128,""),"")</f>
        <v>0.574822210031071</v>
      </c>
      <c r="BV119" s="38" t="n">
        <f aca="false">IF(AND(ISNUMBER(BV129),ISNUMBER(BV128)),IFERROR(BV129/BV128,""),"")</f>
        <v>0.57625762986147</v>
      </c>
      <c r="BW119" s="38" t="n">
        <f aca="false">IF(AND(ISNUMBER(BW129),ISNUMBER(BW128)),IFERROR(BW129/BW128,""),"")</f>
        <v>0.574150510982097</v>
      </c>
      <c r="BX119" s="38" t="n">
        <f aca="false">IF(AND(ISNUMBER(BX129),ISNUMBER(BX128)),IFERROR(BX129/BX128,""),"")</f>
        <v>0.577456651234948</v>
      </c>
      <c r="BY119" s="37" t="n">
        <f aca="false">BY120+BY90</f>
        <v>0.56969262698231</v>
      </c>
      <c r="BZ119" s="37" t="n">
        <f aca="false">BZ120+BZ90</f>
        <v>0.572245641633337</v>
      </c>
      <c r="CA119" s="37" t="n">
        <f aca="false">IFERROR(CA129/CA128,"")</f>
        <v>0.573365193991381</v>
      </c>
      <c r="CB119" s="37" t="n">
        <f aca="false">CHOOSE(MATCH($CF$2,{"Bull","Base","Bear"},0),$CO$44,$CP$44,$CQ$44)</f>
        <v>0.568</v>
      </c>
      <c r="CC119" s="37" t="n">
        <f aca="false">CHOOSE(MATCH($CF$2,{"Bull","Base","Bear"},0),$CO$45,$CP$45,$CQ$45)</f>
        <v>0.566</v>
      </c>
      <c r="CD119" s="37" t="n">
        <f aca="false">CHOOSE(MATCH($CF$2,{"Bull","Base","Bear"},0),$CO$46,$CP$46,$CQ$46)</f>
        <v>0.564</v>
      </c>
      <c r="CE119" s="37" t="n">
        <f aca="false">CHOOSE(MATCH($CF$2,{"Bull","Base","Bear"},0),$CO$47,$CP$47,$CQ$47)</f>
        <v>0.562</v>
      </c>
      <c r="CF119" s="21" t="s">
        <v>271</v>
      </c>
      <c r="CH119" s="41" t="n">
        <f aca="false">IFERROR(AVERAGE(CA119,CB119,CC119,CD119,CE119),"n/m")</f>
        <v>0.566673038798276</v>
      </c>
      <c r="CI119" s="41" t="n">
        <f aca="false">IFERROR(AVERAGE(BB119,BG119,BL119,BQ119,BV119),"n/m")</f>
        <v>0.589003189076246</v>
      </c>
      <c r="CJ119" s="41" t="n">
        <f aca="false">IFERROR(AVERAGE(AC119,AH119,AM119,AR119,AW119,BB119,BG119,BL119,BQ119,BV119),"n/m")</f>
        <v>0.588646454988629</v>
      </c>
      <c r="CK119" s="41" t="n">
        <f aca="false">IFERROR(AVERAGE(C119,D119,E119,F119,G119,H119,I119,N119,S119,X119,AC119,AH119,AM119,AR119,AW119,BB119,BG119,BL119,BQ119,BV119),"n/m")</f>
        <v>0.58115944009879</v>
      </c>
    </row>
    <row r="120" customFormat="false" ht="15" hidden="true" customHeight="true" outlineLevel="2" collapsed="false">
      <c r="B120" s="29" t="s">
        <v>272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7" t="n">
        <f aca="false">BT119+(BW129+BX129)/(BW128+BX128)-(BR129+BS129)/(BR128+BS128)</f>
        <v>0.569028643899677</v>
      </c>
      <c r="BZ120" s="37" t="n">
        <f aca="false">BU119+(BW129+BX129)/(BW128+BX128)-(BR129+BS129)/(BR128+BS128)</f>
        <v>0.571581658550704</v>
      </c>
      <c r="CA120" s="39"/>
      <c r="CB120" s="39"/>
      <c r="CC120" s="39"/>
      <c r="CD120" s="39"/>
      <c r="CE120" s="39"/>
      <c r="CF120" s="21"/>
    </row>
    <row r="121" customFormat="false" ht="15" hidden="true" customHeight="true" outlineLevel="2" collapsed="false">
      <c r="B121" s="29" t="s">
        <v>273</v>
      </c>
      <c r="C121" s="38" t="n">
        <f aca="false">IF(AND(ISNUMBER(C130),ISNUMBER(C128)),IFERROR(C130/C128,""),"")</f>
        <v>0.1025542424735</v>
      </c>
      <c r="D121" s="38" t="n">
        <f aca="false">IF(AND(ISNUMBER(D130),ISNUMBER(D128)),IFERROR(D130/D128,""),"")</f>
        <v>0.103871404561725</v>
      </c>
      <c r="E121" s="38" t="n">
        <f aca="false">IF(AND(ISNUMBER(E130),ISNUMBER(E128)),IFERROR(E130/E128,""),"")</f>
        <v>0.10586288339496</v>
      </c>
      <c r="F121" s="38" t="n">
        <f aca="false">IF(AND(ISNUMBER(F130),ISNUMBER(F128)),IFERROR(F130/F128,""),"")</f>
        <v>0.115852619580609</v>
      </c>
      <c r="G121" s="38" t="n">
        <f aca="false">IF(AND(ISNUMBER(G130),ISNUMBER(G128)),IFERROR(G130/G128,""),"")</f>
        <v>0.113551206775187</v>
      </c>
      <c r="H121" s="38" t="n">
        <f aca="false">IF(AND(ISNUMBER(H130),ISNUMBER(H128)),IFERROR(H130/H128,""),"")</f>
        <v>0.107593103604041</v>
      </c>
      <c r="I121" s="38" t="n">
        <f aca="false">IF(AND(ISNUMBER(I130),ISNUMBER(I128)),IFERROR(I130/I128,""),"")</f>
        <v>0.118832367006135</v>
      </c>
      <c r="J121" s="38" t="n">
        <f aca="false">IF(AND(ISNUMBER(J130),ISNUMBER(J128)),IFERROR(J130/J128,""),"")</f>
        <v>0.118363962906653</v>
      </c>
      <c r="K121" s="38" t="n">
        <f aca="false">IF(AND(ISNUMBER(K130),ISNUMBER(K128)),IFERROR(K130/K128,""),"")</f>
        <v>0.10810186746114</v>
      </c>
      <c r="L121" s="38" t="n">
        <f aca="false">IF(AND(ISNUMBER(L130),ISNUMBER(L128)),IFERROR(L130/L128,""),"")</f>
        <v>0.106296883128229</v>
      </c>
      <c r="M121" s="38" t="n">
        <f aca="false">IF(AND(ISNUMBER(M130),ISNUMBER(M128)),IFERROR(M130/M128,""),"")</f>
        <v>0.108972023783797</v>
      </c>
      <c r="N121" s="38" t="n">
        <f aca="false">IF(AND(ISNUMBER(N130),ISNUMBER(N128)),IFERROR(N130/N128,""),"")</f>
        <v>0.110243442149114</v>
      </c>
      <c r="O121" s="38" t="n">
        <f aca="false">IF(AND(ISNUMBER(O130),ISNUMBER(O128)),IFERROR(O130/O128,""),"")</f>
        <v>0.115519711029458</v>
      </c>
      <c r="P121" s="38" t="n">
        <f aca="false">IF(AND(ISNUMBER(P130),ISNUMBER(P128)),IFERROR(P130/P128,""),"")</f>
        <v>0.107731568745914</v>
      </c>
      <c r="Q121" s="38" t="n">
        <f aca="false">IF(AND(ISNUMBER(Q130),ISNUMBER(Q128)),IFERROR(Q130/Q128,""),"")</f>
        <v>0.106103547518896</v>
      </c>
      <c r="R121" s="38" t="n">
        <f aca="false">IF(AND(ISNUMBER(R130),ISNUMBER(R128)),IFERROR(R130/R128,""),"")</f>
        <v>0.112712912831876</v>
      </c>
      <c r="S121" s="38" t="n">
        <f aca="false">IF(AND(ISNUMBER(S130),ISNUMBER(S128)),IFERROR(S130/S128,""),"")</f>
        <v>0.110368291901657</v>
      </c>
      <c r="T121" s="38" t="n">
        <f aca="false">IF(AND(ISNUMBER(T130),ISNUMBER(T128)),IFERROR(T130/T128,""),"")</f>
        <v>0.114886386089706</v>
      </c>
      <c r="U121" s="38" t="n">
        <f aca="false">IF(AND(ISNUMBER(U130),ISNUMBER(U128)),IFERROR(U130/U128,""),"")</f>
        <v>0.107778480440871</v>
      </c>
      <c r="V121" s="38" t="n">
        <f aca="false">IF(AND(ISNUMBER(V130),ISNUMBER(V128)),IFERROR(V130/V128,""),"")</f>
        <v>0.109134610120123</v>
      </c>
      <c r="W121" s="38" t="n">
        <f aca="false">IF(AND(ISNUMBER(W130),ISNUMBER(W128)),IFERROR(W130/W128,""),"")</f>
        <v>0.117074014403961</v>
      </c>
      <c r="X121" s="38" t="n">
        <f aca="false">IF(AND(ISNUMBER(X130),ISNUMBER(X128)),IFERROR(X130/X128,""),"")</f>
        <v>0.112164293267753</v>
      </c>
      <c r="Y121" s="38" t="n">
        <f aca="false">IF(AND(ISNUMBER(Y130),ISNUMBER(Y128)),IFERROR(Y130/Y128,""),"")</f>
        <v>0.131503069868656</v>
      </c>
      <c r="Z121" s="38" t="n">
        <f aca="false">IF(AND(ISNUMBER(Z130),ISNUMBER(Z128)),IFERROR(Z130/Z128,""),"")</f>
        <v>0.209907660254604</v>
      </c>
      <c r="AA121" s="38" t="n">
        <f aca="false">IF(AND(ISNUMBER(AA130),ISNUMBER(AA128)),IFERROR(AA130/AA128,""),"")</f>
        <v>0.119433470793292</v>
      </c>
      <c r="AB121" s="38" t="n">
        <f aca="false">IF(AND(ISNUMBER(AB130),ISNUMBER(AB128)),IFERROR(AB130/AB128,""),"")</f>
        <v>0.118506001209206</v>
      </c>
      <c r="AC121" s="38" t="n">
        <f aca="false">IF(AND(ISNUMBER(AC130),ISNUMBER(AC128)),IFERROR(AC130/AC128,""),"")</f>
        <v>0.140486447465433</v>
      </c>
      <c r="AD121" s="38" t="n">
        <f aca="false">IF(AND(ISNUMBER(AD130),ISNUMBER(AD128)),IFERROR(AD130/AD128,""),"")</f>
        <v>0.118258059904734</v>
      </c>
      <c r="AE121" s="38" t="n">
        <f aca="false">IF(AND(ISNUMBER(AE130),ISNUMBER(AE128)),IFERROR(AE130/AE128,""),"")</f>
        <v>0.107479867196226</v>
      </c>
      <c r="AF121" s="38" t="n">
        <f aca="false">IF(AND(ISNUMBER(AF130),ISNUMBER(AF128)),IFERROR(AF130/AF128,""),"")</f>
        <v>0.106259708009595</v>
      </c>
      <c r="AG121" s="38" t="n">
        <f aca="false">IF(AND(ISNUMBER(AG130),ISNUMBER(AG128)),IFERROR(AG130/AG128,""),"")</f>
        <v>0.108918702875537</v>
      </c>
      <c r="AH121" s="38" t="n">
        <f aca="false">IF(AND(ISNUMBER(AH130),ISNUMBER(AH128)),IFERROR(AH130/AH128,""),"")</f>
        <v>0.110061401735627</v>
      </c>
      <c r="AI121" s="38" t="n">
        <f aca="false">IF(AND(ISNUMBER(AI130),ISNUMBER(AI128)),IFERROR(AI130/AI128,""),"")</f>
        <v>0.115169221782409</v>
      </c>
      <c r="AJ121" s="38" t="n">
        <f aca="false">IF(AND(ISNUMBER(AJ130),ISNUMBER(AJ128)),IFERROR(AJ130/AJ128,""),"")</f>
        <v>0.103438959715089</v>
      </c>
      <c r="AK121" s="38" t="n">
        <f aca="false">IF(AND(ISNUMBER(AK130),ISNUMBER(AK128)),IFERROR(AK130/AK128,""),"")</f>
        <v>0.108510588474058</v>
      </c>
      <c r="AL121" s="38" t="n">
        <f aca="false">IF(AND(ISNUMBER(AL130),ISNUMBER(AL128)),IFERROR(AL130/AL128,""),"")</f>
        <v>0.0997089714773026</v>
      </c>
      <c r="AM121" s="38" t="n">
        <f aca="false">IF(AND(ISNUMBER(AM130),ISNUMBER(AM128)),IFERROR(AM130/AM128,""),"")</f>
        <v>0.106519253430013</v>
      </c>
      <c r="AN121" s="38" t="n">
        <f aca="false">IF(AND(ISNUMBER(AN130),ISNUMBER(AN128)),IFERROR(AN130/AN128,""),"")</f>
        <v>0.106525838457317</v>
      </c>
      <c r="AO121" s="38" t="n">
        <f aca="false">IF(AND(ISNUMBER(AO130),ISNUMBER(AO128)),IFERROR(AO130/AO128,""),"")</f>
        <v>0.101971395382287</v>
      </c>
      <c r="AP121" s="38" t="n">
        <f aca="false">IF(AND(ISNUMBER(AP130),ISNUMBER(AP128)),IFERROR(AP130/AP128,""),"")</f>
        <v>0.0976201534361716</v>
      </c>
      <c r="AQ121" s="38" t="n">
        <f aca="false">IF(AND(ISNUMBER(AQ130),ISNUMBER(AQ128)),IFERROR(AQ130/AQ128,""),"")</f>
        <v>0.0999632882022967</v>
      </c>
      <c r="AR121" s="38" t="n">
        <f aca="false">IF(AND(ISNUMBER(AR130),ISNUMBER(AR128)),IFERROR(AR130/AR128,""),"")</f>
        <v>0.101375123662033</v>
      </c>
      <c r="AS121" s="38" t="n">
        <f aca="false">IF(AND(ISNUMBER(AS130),ISNUMBER(AS128)),IFERROR(AS130/AS128,""),"")</f>
        <v>0.100600116533225</v>
      </c>
      <c r="AT121" s="38" t="n">
        <f aca="false">IF(AND(ISNUMBER(AT130),ISNUMBER(AT128)),IFERROR(AT130/AT128,""),"")</f>
        <v>0.101209849729894</v>
      </c>
      <c r="AU121" s="38" t="n">
        <f aca="false">IF(AND(ISNUMBER(AU130),ISNUMBER(AU128)),IFERROR(AU130/AU128,""),"")</f>
        <v>0.0978754303545315</v>
      </c>
      <c r="AV121" s="38" t="n">
        <f aca="false">IF(AND(ISNUMBER(AV130),ISNUMBER(AV128)),IFERROR(AV130/AV128,""),"")</f>
        <v>0.0954184906715603</v>
      </c>
      <c r="AW121" s="38" t="n">
        <f aca="false">IF(AND(ISNUMBER(AW130),ISNUMBER(AW128)),IFERROR(AW130/AW128,""),"")</f>
        <v>0.0987207101004592</v>
      </c>
      <c r="AX121" s="38" t="n">
        <f aca="false">IF(AND(ISNUMBER(AX130),ISNUMBER(AX128)),IFERROR(AX130/AX128,""),"")</f>
        <v>0.10130936672154</v>
      </c>
      <c r="AY121" s="38" t="n">
        <f aca="false">IF(AND(ISNUMBER(AY130),ISNUMBER(AY128)),IFERROR(AY130/AY128,""),"")</f>
        <v>0.102966169925505</v>
      </c>
      <c r="AZ121" s="38" t="n">
        <f aca="false">IF(AND(ISNUMBER(AZ130),ISNUMBER(AZ128)),IFERROR(AZ130/AZ128,""),"")</f>
        <v>0.0973723490578324</v>
      </c>
      <c r="BA121" s="38" t="n">
        <f aca="false">IF(AND(ISNUMBER(BA130),ISNUMBER(BA128)),IFERROR(BA130/BA128,""),"")</f>
        <v>0.0969341613316104</v>
      </c>
      <c r="BB121" s="38" t="n">
        <f aca="false">IF(AND(ISNUMBER(BB130),ISNUMBER(BB128)),IFERROR(BB130/BB128,""),"")</f>
        <v>0.0995449624887891</v>
      </c>
      <c r="BC121" s="38" t="n">
        <f aca="false">IF(AND(ISNUMBER(BC130),ISNUMBER(BC128)),IFERROR(BC130/BC128,""),"")</f>
        <v>0.0992640872768799</v>
      </c>
      <c r="BD121" s="38" t="n">
        <f aca="false">IF(AND(ISNUMBER(BD130),ISNUMBER(BD128)),IFERROR(BD130/BD128,""),"")</f>
        <v>0.092711272354915</v>
      </c>
      <c r="BE121" s="38" t="n">
        <f aca="false">IF(AND(ISNUMBER(BE130),ISNUMBER(BE128)),IFERROR(BE130/BE128,""),"")</f>
        <v>0.0994149589226478</v>
      </c>
      <c r="BF121" s="38" t="n">
        <f aca="false">IF(AND(ISNUMBER(BF130),ISNUMBER(BF128)),IFERROR(BF130/BF128,""),"")</f>
        <v>0.0950954394182638</v>
      </c>
      <c r="BG121" s="38" t="n">
        <f aca="false">IF(AND(ISNUMBER(BG130),ISNUMBER(BG128)),IFERROR(BG130/BG128,""),"")</f>
        <v>0.0965724648804143</v>
      </c>
      <c r="BH121" s="38" t="n">
        <f aca="false">IF(AND(ISNUMBER(BH130),ISNUMBER(BH128)),IFERROR(BH130/BH128,""),"")</f>
        <v>0.101903022515618</v>
      </c>
      <c r="BI121" s="38" t="n">
        <f aca="false">IF(AND(ISNUMBER(BI130),ISNUMBER(BI128)),IFERROR(BI130/BI128,""),"")</f>
        <v>0.107063250366757</v>
      </c>
      <c r="BJ121" s="38" t="n">
        <f aca="false">IF(AND(ISNUMBER(BJ130),ISNUMBER(BJ128)),IFERROR(BJ130/BJ128,""),"")</f>
        <v>0.0950800680374904</v>
      </c>
      <c r="BK121" s="38" t="n">
        <f aca="false">IF(AND(ISNUMBER(BK130),ISNUMBER(BK128)),IFERROR(BK130/BK128,""),"")</f>
        <v>0.0946900902874767</v>
      </c>
      <c r="BL121" s="38" t="n">
        <f aca="false">IF(AND(ISNUMBER(BL130),ISNUMBER(BL128)),IFERROR(BL130/BL128,""),"")</f>
        <v>0.0996165396672206</v>
      </c>
      <c r="BM121" s="38" t="n">
        <f aca="false">IF(AND(ISNUMBER(BM130),ISNUMBER(BM128)),IFERROR(BM130/BM128,""),"")</f>
        <v>0.10649877234636</v>
      </c>
      <c r="BN121" s="38" t="n">
        <f aca="false">IF(AND(ISNUMBER(BN130),ISNUMBER(BN128)),IFERROR(BN130/BN128,""),"")</f>
        <v>0.101793194986491</v>
      </c>
      <c r="BO121" s="38" t="n">
        <f aca="false">IF(AND(ISNUMBER(BO130),ISNUMBER(BO128)),IFERROR(BO130/BO128,""),"")</f>
        <v>0.0951580679481785</v>
      </c>
      <c r="BP121" s="38" t="n">
        <f aca="false">IF(AND(ISNUMBER(BP130),ISNUMBER(BP128)),IFERROR(BP130/BP128,""),"")</f>
        <v>0.0934993538419747</v>
      </c>
      <c r="BQ121" s="38" t="n">
        <f aca="false">IF(AND(ISNUMBER(BQ130),ISNUMBER(BQ128)),IFERROR(BQ130/BQ128,""),"")</f>
        <v>0.0990454607167526</v>
      </c>
      <c r="BR121" s="38" t="n">
        <f aca="false">IF(AND(ISNUMBER(BR130),ISNUMBER(BR128)),IFERROR(BR130/BR128,""),"")</f>
        <v>0.112259534255822</v>
      </c>
      <c r="BS121" s="38" t="n">
        <f aca="false">IF(AND(ISNUMBER(BS130),ISNUMBER(BS128)),IFERROR(BS130/BS128,""),"")</f>
        <v>0.100939114394976</v>
      </c>
      <c r="BT121" s="38" t="n">
        <f aca="false">IF(AND(ISNUMBER(BT130),ISNUMBER(BT128)),IFERROR(BT130/BT128,""),"")</f>
        <v>0.0961918793611072</v>
      </c>
      <c r="BU121" s="38" t="n">
        <f aca="false">IF(AND(ISNUMBER(BU130),ISNUMBER(BU128)),IFERROR(BU130/BU128,""),"")</f>
        <v>0.0968977451706607</v>
      </c>
      <c r="BV121" s="38" t="n">
        <f aca="false">IF(AND(ISNUMBER(BV130),ISNUMBER(BV128)),IFERROR(BV130/BV128,""),"")</f>
        <v>0.101357622837007</v>
      </c>
      <c r="BW121" s="38" t="n">
        <f aca="false">IF(AND(ISNUMBER(BW130),ISNUMBER(BW128)),IFERROR(BW130/BW128,""),"")</f>
        <v>0.105929180880534</v>
      </c>
      <c r="BX121" s="38" t="n">
        <f aca="false">IF(AND(ISNUMBER(BX130),ISNUMBER(BX128)),IFERROR(BX130/BX128,""),"")</f>
        <v>0.10169124303611</v>
      </c>
      <c r="BY121" s="37" t="n">
        <f aca="false">IFERROR(BY130/BY128,"")</f>
        <v>0.0944842074707503</v>
      </c>
      <c r="BZ121" s="37" t="n">
        <f aca="false">IFERROR(BZ130/BZ128,"")</f>
        <v>0.0952124041954089</v>
      </c>
      <c r="CA121" s="37" t="n">
        <f aca="false">IFERROR(CA130/CA128,"")</f>
        <v>0.0992094945985542</v>
      </c>
      <c r="CB121" s="42" t="n">
        <v>0.1</v>
      </c>
      <c r="CC121" s="42" t="n">
        <v>0.1</v>
      </c>
      <c r="CD121" s="42" t="n">
        <v>0.1</v>
      </c>
      <c r="CE121" s="42" t="n">
        <v>0.1</v>
      </c>
      <c r="CF121" s="21" t="s">
        <v>274</v>
      </c>
      <c r="CH121" s="41" t="n">
        <f aca="false">IFERROR(AVERAGE(CA121,CB121,CC121,CD121,CE121),"n/m")</f>
        <v>0.0998418989197109</v>
      </c>
      <c r="CI121" s="41" t="n">
        <f aca="false">IFERROR(AVERAGE(BB121,BG121,BL121,BQ121,BV121),"n/m")</f>
        <v>0.0992274101180366</v>
      </c>
      <c r="CJ121" s="41" t="n">
        <f aca="false">IFERROR(AVERAGE(AC121,AH121,AM121,AR121,AW121,BB121,BG121,BL121,BQ121,BV121),"n/m")</f>
        <v>0.105329998698375</v>
      </c>
      <c r="CK121" s="41" t="n">
        <f aca="false">IFERROR(AVERAGE(C121,D121,E121,F121,G121,H121,I121,N121,S121,X121,AC121,AH121,AM121,AR121,AW121,BB121,BG121,BL121,BQ121,BV121),"n/m")</f>
        <v>0.107709692084921</v>
      </c>
    </row>
    <row r="122" customFormat="false" ht="15" hidden="true" customHeight="true" outlineLevel="2" collapsed="false">
      <c r="B122" s="29" t="s">
        <v>275</v>
      </c>
      <c r="C122" s="38" t="n">
        <f aca="false">IF(AND(ISNUMBER(C131),ISNUMBER(C128)),IFERROR(C131/C128,""),"")</f>
        <v>0.0858672366483331</v>
      </c>
      <c r="D122" s="38" t="n">
        <f aca="false">IF(AND(ISNUMBER(D131),ISNUMBER(D128)),IFERROR(D131/D128,""),"")</f>
        <v>0.0848028409843711</v>
      </c>
      <c r="E122" s="38" t="n">
        <f aca="false">IF(AND(ISNUMBER(E131),ISNUMBER(E128)),IFERROR(E131/E128,""),"")</f>
        <v>0.0867899577268739</v>
      </c>
      <c r="F122" s="38" t="n">
        <f aca="false">IF(AND(ISNUMBER(F131),ISNUMBER(F128)),IFERROR(F131/F128,""),"")</f>
        <v>0.0988724963131393</v>
      </c>
      <c r="G122" s="38" t="n">
        <f aca="false">IF(AND(ISNUMBER(G131),ISNUMBER(G128)),IFERROR(G131/G128,""),"")</f>
        <v>0.10068065560554</v>
      </c>
      <c r="H122" s="38" t="n">
        <f aca="false">IF(AND(ISNUMBER(H131),ISNUMBER(H128)),IFERROR(H131/H128,""),"")</f>
        <v>0.0976745854496515</v>
      </c>
      <c r="I122" s="38" t="n">
        <f aca="false">IF(AND(ISNUMBER(I131),ISNUMBER(I128)),IFERROR(I131/I128,""),"")</f>
        <v>0.10172434338097</v>
      </c>
      <c r="J122" s="38" t="n">
        <f aca="false">IF(AND(ISNUMBER(J131),ISNUMBER(J128)),IFERROR(J131/J128,""),"")</f>
        <v>0.114803108301548</v>
      </c>
      <c r="K122" s="38" t="n">
        <f aca="false">IF(AND(ISNUMBER(K131),ISNUMBER(K128)),IFERROR(K131/K128,""),"")</f>
        <v>0.111908717338842</v>
      </c>
      <c r="L122" s="38" t="n">
        <f aca="false">IF(AND(ISNUMBER(L131),ISNUMBER(L128)),IFERROR(L131/L128,""),"")</f>
        <v>0.110917191837124</v>
      </c>
      <c r="M122" s="38" t="n">
        <f aca="false">IF(AND(ISNUMBER(M131),ISNUMBER(M128)),IFERROR(M131/M128,""),"")</f>
        <v>0.115619796779843</v>
      </c>
      <c r="N122" s="38" t="n">
        <f aca="false">IF(AND(ISNUMBER(N131),ISNUMBER(N128)),IFERROR(N131/N128,""),"")</f>
        <v>0.113259314753512</v>
      </c>
      <c r="O122" s="38" t="n">
        <f aca="false">IF(AND(ISNUMBER(O131),ISNUMBER(O128)),IFERROR(O131/O128,""),"")</f>
        <v>0.115872620456291</v>
      </c>
      <c r="P122" s="38" t="n">
        <f aca="false">IF(AND(ISNUMBER(P131),ISNUMBER(P128)),IFERROR(P131/P128,""),"")</f>
        <v>0.108835071174954</v>
      </c>
      <c r="Q122" s="38" t="n">
        <f aca="false">IF(AND(ISNUMBER(Q131),ISNUMBER(Q128)),IFERROR(Q131/Q128,""),"")</f>
        <v>0.107946010527837</v>
      </c>
      <c r="R122" s="38" t="n">
        <f aca="false">IF(AND(ISNUMBER(R131),ISNUMBER(R128)),IFERROR(R131/R128,""),"")</f>
        <v>0.112167506313983</v>
      </c>
      <c r="S122" s="38" t="n">
        <f aca="false">IF(AND(ISNUMBER(S131),ISNUMBER(S128)),IFERROR(S131/S128,""),"")</f>
        <v>0.111075306156411</v>
      </c>
      <c r="T122" s="38" t="n">
        <f aca="false">IF(AND(ISNUMBER(T131),ISNUMBER(T128)),IFERROR(T131/T128,""),"")</f>
        <v>0.113232562734637</v>
      </c>
      <c r="U122" s="38" t="n">
        <f aca="false">IF(AND(ISNUMBER(U131),ISNUMBER(U128)),IFERROR(U131/U128,""),"")</f>
        <v>0.112248546993104</v>
      </c>
      <c r="V122" s="38" t="n">
        <f aca="false">IF(AND(ISNUMBER(V131),ISNUMBER(V128)),IFERROR(V131/V128,""),"")</f>
        <v>0.112007197894652</v>
      </c>
      <c r="W122" s="38" t="n">
        <f aca="false">IF(AND(ISNUMBER(W131),ISNUMBER(W128)),IFERROR(W131/W128,""),"")</f>
        <v>0.116628472920665</v>
      </c>
      <c r="X122" s="38" t="n">
        <f aca="false">IF(AND(ISNUMBER(X131),ISNUMBER(X128)),IFERROR(X131/X128,""),"")</f>
        <v>0.113521218427166</v>
      </c>
      <c r="Y122" s="38" t="n">
        <f aca="false">IF(AND(ISNUMBER(Y131),ISNUMBER(Y128)),IFERROR(Y131/Y128,""),"")</f>
        <v>0.118320121240382</v>
      </c>
      <c r="Z122" s="38" t="n">
        <f aca="false">IF(AND(ISNUMBER(Z131),ISNUMBER(Z128)),IFERROR(Z131/Z128,""),"")</f>
        <v>0.115920119729701</v>
      </c>
      <c r="AA122" s="38" t="n">
        <f aca="false">IF(AND(ISNUMBER(AA131),ISNUMBER(AA128)),IFERROR(AA131/AA128,""),"")</f>
        <v>0.115901419641228</v>
      </c>
      <c r="AB122" s="38" t="n">
        <f aca="false">IF(AND(ISNUMBER(AB131),ISNUMBER(AB128)),IFERROR(AB131/AB128,""),"")</f>
        <v>0.116926785819866</v>
      </c>
      <c r="AC122" s="38" t="n">
        <f aca="false">IF(AND(ISNUMBER(AC131),ISNUMBER(AC128)),IFERROR(AC131/AC128,""),"")</f>
        <v>0.116592409111389</v>
      </c>
      <c r="AD122" s="38" t="n">
        <f aca="false">IF(AND(ISNUMBER(AD131),ISNUMBER(AD128)),IFERROR(AD131/AD128,""),"")</f>
        <v>0.114765785793748</v>
      </c>
      <c r="AE122" s="38" t="n">
        <f aca="false">IF(AND(ISNUMBER(AE131),ISNUMBER(AE128)),IFERROR(AE131/AE128,""),"")</f>
        <v>0.112989539533622</v>
      </c>
      <c r="AF122" s="38" t="n">
        <f aca="false">IF(AND(ISNUMBER(AF131),ISNUMBER(AF128)),IFERROR(AF131/AF128,""),"")</f>
        <v>0.113504763451965</v>
      </c>
      <c r="AG122" s="38" t="n">
        <f aca="false">IF(AND(ISNUMBER(AG131),ISNUMBER(AG128)),IFERROR(AG131/AG128,""),"")</f>
        <v>0.116818113077106</v>
      </c>
      <c r="AH122" s="38" t="n">
        <f aca="false">IF(AND(ISNUMBER(AH131),ISNUMBER(AH128)),IFERROR(AH131/AH128,""),"")</f>
        <v>0.114499162939198</v>
      </c>
      <c r="AI122" s="38" t="n">
        <f aca="false">IF(AND(ISNUMBER(AI131),ISNUMBER(AI128)),IFERROR(AI131/AI128,""),"")</f>
        <v>0.116815523830156</v>
      </c>
      <c r="AJ122" s="38" t="n">
        <f aca="false">IF(AND(ISNUMBER(AJ131),ISNUMBER(AJ128)),IFERROR(AJ131/AJ128,""),"")</f>
        <v>0.11488199695476</v>
      </c>
      <c r="AK122" s="38" t="n">
        <f aca="false">IF(AND(ISNUMBER(AK131),ISNUMBER(AK128)),IFERROR(AK131/AK128,""),"")</f>
        <v>0.115705911280062</v>
      </c>
      <c r="AL122" s="38" t="n">
        <f aca="false">IF(AND(ISNUMBER(AL131),ISNUMBER(AL128)),IFERROR(AL131/AL128,""),"")</f>
        <v>0.117966414420812</v>
      </c>
      <c r="AM122" s="38" t="n">
        <f aca="false">IF(AND(ISNUMBER(AM131),ISNUMBER(AM128)),IFERROR(AM131/AM128,""),"")</f>
        <v>0.11633452442351</v>
      </c>
      <c r="AN122" s="38" t="n">
        <f aca="false">IF(AND(ISNUMBER(AN131),ISNUMBER(AN128)),IFERROR(AN131/AN128,""),"")</f>
        <v>0.11798379768559</v>
      </c>
      <c r="AO122" s="38" t="n">
        <f aca="false">IF(AND(ISNUMBER(AO131),ISNUMBER(AO128)),IFERROR(AO131/AO128,""),"")</f>
        <v>0.11446519849391</v>
      </c>
      <c r="AP122" s="38" t="n">
        <f aca="false">IF(AND(ISNUMBER(AP131),ISNUMBER(AP128)),IFERROR(AP131/AP128,""),"")</f>
        <v>0.111858594039835</v>
      </c>
      <c r="AQ122" s="38" t="n">
        <f aca="false">IF(AND(ISNUMBER(AQ131),ISNUMBER(AQ128)),IFERROR(AQ131/AQ128,""),"")</f>
        <v>0.115113512878499</v>
      </c>
      <c r="AR122" s="38" t="n">
        <f aca="false">IF(AND(ISNUMBER(AR131),ISNUMBER(AR128)),IFERROR(AR131/AR128,""),"")</f>
        <v>0.114758366568133</v>
      </c>
      <c r="AS122" s="38" t="n">
        <f aca="false">IF(AND(ISNUMBER(AS131),ISNUMBER(AS128)),IFERROR(AS131/AS128,""),"")</f>
        <v>0.111520669859007</v>
      </c>
      <c r="AT122" s="38" t="n">
        <f aca="false">IF(AND(ISNUMBER(AT131),ISNUMBER(AT128)),IFERROR(AT131/AT128,""),"")</f>
        <v>0.115815656824799</v>
      </c>
      <c r="AU122" s="38" t="n">
        <f aca="false">IF(AND(ISNUMBER(AU131),ISNUMBER(AU128)),IFERROR(AU131/AU128,""),"")</f>
        <v>0.113410653217728</v>
      </c>
      <c r="AV122" s="38" t="n">
        <f aca="false">IF(AND(ISNUMBER(AV131),ISNUMBER(AV128)),IFERROR(AV131/AV128,""),"")</f>
        <v>0.115473545164638</v>
      </c>
      <c r="AW122" s="38" t="n">
        <f aca="false">IF(AND(ISNUMBER(AW131),ISNUMBER(AW128)),IFERROR(AW131/AW128,""),"")</f>
        <v>0.114047583634931</v>
      </c>
      <c r="AX122" s="38" t="n">
        <f aca="false">IF(AND(ISNUMBER(AX131),ISNUMBER(AX128)),IFERROR(AX131/AX128,""),"")</f>
        <v>0.112756833736645</v>
      </c>
      <c r="AY122" s="38" t="n">
        <f aca="false">IF(AND(ISNUMBER(AY131),ISNUMBER(AY128)),IFERROR(AY131/AY128,""),"")</f>
        <v>0.110318521498033</v>
      </c>
      <c r="AZ122" s="38" t="n">
        <f aca="false">IF(AND(ISNUMBER(AZ131),ISNUMBER(AZ128)),IFERROR(AZ131/AZ128,""),"")</f>
        <v>0.107668698596516</v>
      </c>
      <c r="BA122" s="38" t="n">
        <f aca="false">IF(AND(ISNUMBER(BA131),ISNUMBER(BA128)),IFERROR(BA131/BA128,""),"")</f>
        <v>0.10782487922631</v>
      </c>
      <c r="BB122" s="38" t="n">
        <f aca="false">IF(AND(ISNUMBER(BB131),ISNUMBER(BB128)),IFERROR(BB131/BB128,""),"")</f>
        <v>0.10952535544573</v>
      </c>
      <c r="BC122" s="38" t="n">
        <f aca="false">IF(AND(ISNUMBER(BC131),ISNUMBER(BC128)),IFERROR(BC131/BC128,""),"")</f>
        <v>0.109308703694142</v>
      </c>
      <c r="BD122" s="38" t="n">
        <f aca="false">IF(AND(ISNUMBER(BD131),ISNUMBER(BD128)),IFERROR(BD131/BD128,""),"")</f>
        <v>0.104015282682838</v>
      </c>
      <c r="BE122" s="38" t="n">
        <f aca="false">IF(AND(ISNUMBER(BE131),ISNUMBER(BE128)),IFERROR(BE131/BE128,""),"")</f>
        <v>0.102819453280762</v>
      </c>
      <c r="BF122" s="38" t="n">
        <f aca="false">IF(AND(ISNUMBER(BF131),ISNUMBER(BF128)),IFERROR(BF131/BF128,""),"")</f>
        <v>0.107586204682927</v>
      </c>
      <c r="BG122" s="38" t="n">
        <f aca="false">IF(AND(ISNUMBER(BG131),ISNUMBER(BG128)),IFERROR(BG131/BG128,""),"")</f>
        <v>0.105837482402249</v>
      </c>
      <c r="BH122" s="38" t="n">
        <f aca="false">IF(AND(ISNUMBER(BH131),ISNUMBER(BH128)),IFERROR(BH131/BH128,""),"")</f>
        <v>0.107371048611868</v>
      </c>
      <c r="BI122" s="38" t="n">
        <f aca="false">IF(AND(ISNUMBER(BI131),ISNUMBER(BI128)),IFERROR(BI131/BI128,""),"")</f>
        <v>0.105547735262321</v>
      </c>
      <c r="BJ122" s="38" t="n">
        <f aca="false">IF(AND(ISNUMBER(BJ131),ISNUMBER(BJ128)),IFERROR(BJ131/BJ128,""),"")</f>
        <v>0.104112664814621</v>
      </c>
      <c r="BK122" s="38" t="n">
        <f aca="false">IF(AND(ISNUMBER(BK131),ISNUMBER(BK128)),IFERROR(BK131/BK128,""),"")</f>
        <v>0.104779945461039</v>
      </c>
      <c r="BL122" s="38" t="n">
        <f aca="false">IF(AND(ISNUMBER(BL131),ISNUMBER(BL128)),IFERROR(BL131/BL128,""),"")</f>
        <v>0.105415503036605</v>
      </c>
      <c r="BM122" s="38" t="n">
        <f aca="false">IF(AND(ISNUMBER(BM131),ISNUMBER(BM128)),IFERROR(BM131/BM128,""),"")</f>
        <v>0.107442490373449</v>
      </c>
      <c r="BN122" s="38" t="n">
        <f aca="false">IF(AND(ISNUMBER(BN131),ISNUMBER(BN128)),IFERROR(BN131/BN128,""),"")</f>
        <v>0.107300350596887</v>
      </c>
      <c r="BO122" s="38" t="n">
        <f aca="false">IF(AND(ISNUMBER(BO131),ISNUMBER(BO128)),IFERROR(BO131/BO128,""),"")</f>
        <v>0.106253698971301</v>
      </c>
      <c r="BP122" s="38" t="n">
        <f aca="false">IF(AND(ISNUMBER(BP131),ISNUMBER(BP128)),IFERROR(BP131/BP128,""),"")</f>
        <v>0.115741701371023</v>
      </c>
      <c r="BQ122" s="38" t="n">
        <f aca="false">IF(AND(ISNUMBER(BQ131),ISNUMBER(BQ128)),IFERROR(BQ131/BQ128,""),"")</f>
        <v>0.109197944165826</v>
      </c>
      <c r="BR122" s="38" t="n">
        <f aca="false">IF(AND(ISNUMBER(BR131),ISNUMBER(BR128)),IFERROR(BR131/BR128,""),"")</f>
        <v>0.108746795585268</v>
      </c>
      <c r="BS122" s="38" t="n">
        <f aca="false">IF(AND(ISNUMBER(BS131),ISNUMBER(BS128)),IFERROR(BS131/BS128,""),"")</f>
        <v>0.106944378088577</v>
      </c>
      <c r="BT122" s="38" t="n">
        <f aca="false">IF(AND(ISNUMBER(BT131),ISNUMBER(BT128)),IFERROR(BT131/BT128,""),"")</f>
        <v>0.107387472553041</v>
      </c>
      <c r="BU122" s="38" t="n">
        <f aca="false">IF(AND(ISNUMBER(BU131),ISNUMBER(BU128)),IFERROR(BU131/BU128,""),"")</f>
        <v>0.112433036447892</v>
      </c>
      <c r="BV122" s="38" t="n">
        <f aca="false">IF(AND(ISNUMBER(BV131),ISNUMBER(BV128)),IFERROR(BV131/BV128,""),"")</f>
        <v>0.108859644350879</v>
      </c>
      <c r="BW122" s="38" t="n">
        <f aca="false">IF(AND(ISNUMBER(BW131),ISNUMBER(BW128)),IFERROR(BW131/BW128,""),"")</f>
        <v>0.112832828052953</v>
      </c>
      <c r="BX122" s="38" t="n">
        <f aca="false">IF(AND(ISNUMBER(BX131),ISNUMBER(BX128)),IFERROR(BX131/BX128,""),"")</f>
        <v>0.108633759979575</v>
      </c>
      <c r="BY122" s="37" t="n">
        <f aca="false">IFERROR(BY131/BY128,"")</f>
        <v>0.10902734833242</v>
      </c>
      <c r="BZ122" s="37" t="n">
        <f aca="false">IFERROR(BZ131/BZ128,"")</f>
        <v>0.112976838943943</v>
      </c>
      <c r="CA122" s="37" t="n">
        <f aca="false">IFERROR(CA131/CA128,"")</f>
        <v>0.110812157448929</v>
      </c>
      <c r="CB122" s="42" t="n">
        <v>0.111</v>
      </c>
      <c r="CC122" s="42" t="n">
        <v>0.111</v>
      </c>
      <c r="CD122" s="42" t="n">
        <v>0.111</v>
      </c>
      <c r="CE122" s="42" t="n">
        <v>0.111</v>
      </c>
      <c r="CF122" s="21" t="s">
        <v>276</v>
      </c>
      <c r="CH122" s="41" t="n">
        <f aca="false">IFERROR(AVERAGE(CA122,CB122,CC122,CD122,CE122),"n/m")</f>
        <v>0.110962431489786</v>
      </c>
      <c r="CI122" s="41" t="n">
        <f aca="false">IFERROR(AVERAGE(BB122,BG122,BL122,BQ122,BV122),"n/m")</f>
        <v>0.107767185880258</v>
      </c>
      <c r="CJ122" s="41" t="n">
        <f aca="false">IFERROR(AVERAGE(AC122,AH122,AM122,AR122,AW122,BB122,BG122,BL122,BQ122,BV122),"n/m")</f>
        <v>0.111506797607845</v>
      </c>
      <c r="CK122" s="41" t="n">
        <f aca="false">IFERROR(AVERAGE(C122,D122,E122,F122,G122,H122,I122,N122,S122,X122,AC122,AH122,AM122,AR122,AW122,BB122,BG122,BL122,BQ122,BV122),"n/m")</f>
        <v>0.105466796576221</v>
      </c>
    </row>
    <row r="123" customFormat="false" ht="15" hidden="true" customHeight="true" outlineLevel="2" collapsed="false">
      <c r="B123" s="29" t="s">
        <v>277</v>
      </c>
      <c r="C123" s="27" t="n">
        <v>4.08</v>
      </c>
      <c r="D123" s="27" t="n">
        <v>4.341</v>
      </c>
      <c r="E123" s="27" t="n">
        <v>6.334</v>
      </c>
      <c r="F123" s="27" t="n">
        <v>12.962</v>
      </c>
      <c r="G123" s="27" t="n">
        <v>14.582</v>
      </c>
      <c r="H123" s="27" t="n">
        <v>20.064</v>
      </c>
      <c r="I123" s="27" t="n">
        <v>24.557</v>
      </c>
      <c r="J123" s="27" t="n">
        <v>6.438</v>
      </c>
      <c r="K123" s="27" t="n">
        <v>6.211</v>
      </c>
      <c r="L123" s="27" t="n">
        <v>6.211</v>
      </c>
      <c r="M123" s="27" t="n">
        <v>6.549</v>
      </c>
      <c r="N123" s="27" t="n">
        <v>25.41</v>
      </c>
      <c r="O123" s="27" t="n">
        <v>6.737</v>
      </c>
      <c r="P123" s="27" t="n">
        <v>6.72</v>
      </c>
      <c r="Q123" s="27" t="n">
        <v>6.702</v>
      </c>
      <c r="R123" s="27" t="n">
        <v>6.842</v>
      </c>
      <c r="S123" s="27" t="n">
        <v>27</v>
      </c>
      <c r="T123" s="27" t="n">
        <v>6.999</v>
      </c>
      <c r="U123" s="27" t="n">
        <v>7.264</v>
      </c>
      <c r="V123" s="27" t="n">
        <v>7.195</v>
      </c>
      <c r="W123" s="27" t="n">
        <v>7.619</v>
      </c>
      <c r="X123" s="27" t="n">
        <v>29.077</v>
      </c>
      <c r="Y123" s="27" t="n">
        <v>7.694</v>
      </c>
      <c r="Z123" s="27" t="n">
        <v>14.081</v>
      </c>
      <c r="AA123" s="27" t="n">
        <v>26.944</v>
      </c>
      <c r="AB123" s="27" t="n">
        <v>21.593</v>
      </c>
      <c r="AC123" s="27" t="n">
        <v>70.312</v>
      </c>
      <c r="AD123" s="27" t="n">
        <v>25.51</v>
      </c>
      <c r="AE123" s="27" t="n">
        <v>24.762</v>
      </c>
      <c r="AF123" s="27" t="n">
        <v>26.613</v>
      </c>
      <c r="AG123" s="27" t="n">
        <v>25.411</v>
      </c>
      <c r="AH123" s="27" t="n">
        <v>102.297</v>
      </c>
      <c r="AI123" s="27" t="n">
        <v>26.098</v>
      </c>
      <c r="AJ123" s="27" t="n">
        <v>26.474</v>
      </c>
      <c r="AK123" s="27" t="n">
        <v>26.871</v>
      </c>
      <c r="AL123" s="27" t="n">
        <v>28.335</v>
      </c>
      <c r="AM123" s="27" t="n">
        <v>107.779</v>
      </c>
      <c r="AN123" s="27" t="n">
        <v>30.542</v>
      </c>
      <c r="AO123" s="27" t="n">
        <v>31.344</v>
      </c>
      <c r="AP123" s="27" t="n">
        <v>31.934</v>
      </c>
      <c r="AQ123" s="27" t="n">
        <v>31.701</v>
      </c>
      <c r="AR123" s="27" t="n">
        <v>125.522</v>
      </c>
      <c r="AS123" s="27" t="n">
        <v>31.638</v>
      </c>
      <c r="AT123" s="27" t="n">
        <v>31.771</v>
      </c>
      <c r="AU123" s="27" t="n">
        <v>32.653</v>
      </c>
      <c r="AV123" s="27" t="n">
        <v>35.24</v>
      </c>
      <c r="AW123" s="27" t="n">
        <v>131.302</v>
      </c>
      <c r="AX123" s="27" t="n">
        <v>32.192</v>
      </c>
      <c r="AY123" s="27" t="n">
        <v>32.707</v>
      </c>
      <c r="AZ123" s="27" t="n">
        <v>35.337</v>
      </c>
      <c r="BA123" s="27" t="n">
        <v>39.042</v>
      </c>
      <c r="BB123" s="27" t="n">
        <v>139.279</v>
      </c>
      <c r="BC123" s="27" t="n">
        <v>37.635</v>
      </c>
      <c r="BD123" s="27" t="n">
        <v>37.462</v>
      </c>
      <c r="BE123" s="27" t="n">
        <v>38.859</v>
      </c>
      <c r="BF123" s="27" t="n">
        <v>41.719</v>
      </c>
      <c r="BG123" s="27" t="n">
        <v>155.675</v>
      </c>
      <c r="BH123" s="27" t="n">
        <v>39.282</v>
      </c>
      <c r="BI123" s="27" t="n">
        <v>39.052</v>
      </c>
      <c r="BJ123" s="27" t="n">
        <v>39.405</v>
      </c>
      <c r="BK123" s="27" t="n">
        <v>39.833</v>
      </c>
      <c r="BL123" s="27" t="n">
        <v>157.573</v>
      </c>
      <c r="BM123" s="27" t="n">
        <v>40.29</v>
      </c>
      <c r="BN123" s="27" t="n">
        <v>44.124</v>
      </c>
      <c r="BO123" s="27" t="n">
        <v>45.17</v>
      </c>
      <c r="BP123" s="27" t="n">
        <v>60.184</v>
      </c>
      <c r="BQ123" s="27" t="n">
        <v>189.768</v>
      </c>
      <c r="BR123" s="27" t="n">
        <v>47.642</v>
      </c>
      <c r="BS123" s="27" t="n">
        <v>50.236</v>
      </c>
      <c r="BT123" s="27" t="n">
        <v>51.331</v>
      </c>
      <c r="BU123" s="27" t="n">
        <v>52.332</v>
      </c>
      <c r="BV123" s="27" t="n">
        <v>201.541</v>
      </c>
      <c r="BW123" s="27" t="n">
        <v>47.264</v>
      </c>
      <c r="BX123" s="27" t="n">
        <v>47.6</v>
      </c>
      <c r="BY123" s="47" t="n">
        <f aca="false">($CP$21-BW132-BX132)/2</f>
        <v>48.568</v>
      </c>
      <c r="BZ123" s="47" t="n">
        <f aca="false">($CP$21-BW132-BX132)/2</f>
        <v>48.568</v>
      </c>
      <c r="CA123" s="47" t="n">
        <f aca="false">SUM(BW123,BX123,BY123,BZ123)</f>
        <v>192</v>
      </c>
      <c r="CB123" s="57" t="n">
        <v>180</v>
      </c>
      <c r="CC123" s="57" t="n">
        <v>168</v>
      </c>
      <c r="CD123" s="57" t="n">
        <v>156</v>
      </c>
      <c r="CE123" s="57" t="n">
        <v>145</v>
      </c>
      <c r="CF123" s="21" t="s">
        <v>278</v>
      </c>
    </row>
    <row r="124" customFormat="false" ht="15" hidden="true" customHeight="true" outlineLevel="2" collapsed="false">
      <c r="B124" s="29" t="s">
        <v>279</v>
      </c>
      <c r="C124" s="38" t="n">
        <f aca="false">IF(AND(ISNUMBER(C149),ISNUMBER(C128)),IFERROR(C149/C128,""),"")</f>
        <v>0.00418630830929431</v>
      </c>
      <c r="D124" s="38" t="n">
        <f aca="false">IF(AND(ISNUMBER(D149),ISNUMBER(D128)),IFERROR(D149/D128,""),"")</f>
        <v>0.00639304943659165</v>
      </c>
      <c r="E124" s="38" t="n">
        <f aca="false">IF(AND(ISNUMBER(E149),ISNUMBER(E128)),IFERROR(E149/E128,""),"")</f>
        <v>0.00748282922209635</v>
      </c>
      <c r="F124" s="38" t="n">
        <f aca="false">IF(AND(ISNUMBER(F149),ISNUMBER(F128)),IFERROR(F149/F128,""),"")</f>
        <v>0.0078362051816655</v>
      </c>
      <c r="G124" s="38" t="n">
        <f aca="false">IF(AND(ISNUMBER(G149),ISNUMBER(G128)),IFERROR(G149/G128,""),"")</f>
        <v>0.00858567145315388</v>
      </c>
      <c r="H124" s="38" t="n">
        <f aca="false">IF(AND(ISNUMBER(H149),ISNUMBER(H128)),IFERROR(H149/H128,""),"")</f>
        <v>0.00789110422315902</v>
      </c>
      <c r="I124" s="38" t="n">
        <f aca="false">IF(AND(ISNUMBER(I149),ISNUMBER(I128)),IFERROR(I149/I128,""),"")</f>
        <v>0.0104049185793606</v>
      </c>
      <c r="J124" s="38" t="n">
        <f aca="false">IF(AND(ISNUMBER(J149),ISNUMBER(J128)),IFERROR(J149/J128,""),"")</f>
        <v>0.0079885839268091</v>
      </c>
      <c r="K124" s="38" t="n">
        <f aca="false">IF(AND(ISNUMBER(K149),ISNUMBER(K128)),IFERROR(K149/K128,""),"")</f>
        <v>0.00787116786307601</v>
      </c>
      <c r="L124" s="38" t="n">
        <f aca="false">IF(AND(ISNUMBER(L149),ISNUMBER(L128)),IFERROR(L149/L128,""),"")</f>
        <v>0.00758866346600589</v>
      </c>
      <c r="M124" s="38" t="n">
        <f aca="false">IF(AND(ISNUMBER(M149),ISNUMBER(M128)),IFERROR(M149/M128,""),"")</f>
        <v>0.00849803551104497</v>
      </c>
      <c r="N124" s="38" t="n">
        <f aca="false">IF(AND(ISNUMBER(N149),ISNUMBER(N128)),IFERROR(N149/N128,""),"")</f>
        <v>0.00798270422725069</v>
      </c>
      <c r="O124" s="38" t="n">
        <f aca="false">IF(AND(ISNUMBER(O149),ISNUMBER(O128)),IFERROR(O149/O128,""),"")</f>
        <v>0.00865458470864213</v>
      </c>
      <c r="P124" s="38" t="n">
        <f aca="false">IF(AND(ISNUMBER(P149),ISNUMBER(P128)),IFERROR(P149/P128,""),"")</f>
        <v>0.0100534979502299</v>
      </c>
      <c r="Q124" s="38" t="n">
        <f aca="false">IF(AND(ISNUMBER(Q149),ISNUMBER(Q128)),IFERROR(Q149/Q128,""),"")</f>
        <v>0.00813281834632084</v>
      </c>
      <c r="R124" s="38" t="n">
        <f aca="false">IF(AND(ISNUMBER(R149),ISNUMBER(R128)),IFERROR(R149/R128,""),"")</f>
        <v>0.00865999129630017</v>
      </c>
      <c r="S124" s="38" t="n">
        <f aca="false">IF(AND(ISNUMBER(S149),ISNUMBER(S128)),IFERROR(S149/S128,""),"")</f>
        <v>0.00887182649196842</v>
      </c>
      <c r="T124" s="38" t="n">
        <f aca="false">IF(AND(ISNUMBER(T149),ISNUMBER(T128)),IFERROR(T149/T128,""),"")</f>
        <v>0.0095257854179016</v>
      </c>
      <c r="U124" s="38" t="n">
        <f aca="false">IF(AND(ISNUMBER(U149),ISNUMBER(U128)),IFERROR(U149/U128,""),"")</f>
        <v>0.00895707230403228</v>
      </c>
      <c r="V124" s="38" t="n">
        <f aca="false">IF(AND(ISNUMBER(V149),ISNUMBER(V128)),IFERROR(V149/V128,""),"")</f>
        <v>0.0088568414674653</v>
      </c>
      <c r="W124" s="38" t="n">
        <f aca="false">IF(AND(ISNUMBER(W149),ISNUMBER(W128)),IFERROR(W149/W128,""),"")</f>
        <v>0.011063340207581</v>
      </c>
      <c r="X124" s="38" t="n">
        <f aca="false">IF(AND(ISNUMBER(X149),ISNUMBER(X128)),IFERROR(X149/X128,""),"")</f>
        <v>0.00959624273893903</v>
      </c>
      <c r="Y124" s="38" t="n">
        <f aca="false">IF(AND(ISNUMBER(Y149),ISNUMBER(Y128)),IFERROR(Y149/Y128,""),"")</f>
        <v>0.01029571772752</v>
      </c>
      <c r="Z124" s="38" t="n">
        <f aca="false">IF(AND(ISNUMBER(Z149),ISNUMBER(Z128)),IFERROR(Z149/Z128,""),"")</f>
        <v>0.0290061417818451</v>
      </c>
      <c r="AA124" s="38" t="n">
        <f aca="false">IF(AND(ISNUMBER(AA149),ISNUMBER(AA128)),IFERROR(AA149/AA128,""),"")</f>
        <v>0.00836096972869939</v>
      </c>
      <c r="AB124" s="38" t="n">
        <f aca="false">IF(AND(ISNUMBER(AB149),ISNUMBER(AB128)),IFERROR(AB149/AB128,""),"")</f>
        <v>0.00886496754788665</v>
      </c>
      <c r="AC124" s="38" t="n">
        <f aca="false">IF(AND(ISNUMBER(AC149),ISNUMBER(AC128)),IFERROR(AC149/AC128,""),"")</f>
        <v>0.0132623865364205</v>
      </c>
      <c r="AD124" s="38" t="n">
        <f aca="false">IF(AND(ISNUMBER(AD149),ISNUMBER(AD128)),IFERROR(AD149/AD128,""),"")</f>
        <v>0.0119026891701932</v>
      </c>
      <c r="AE124" s="38" t="n">
        <f aca="false">IF(AND(ISNUMBER(AE149),ISNUMBER(AE128)),IFERROR(AE149/AE128,""),"")</f>
        <v>0.00882551343221878</v>
      </c>
      <c r="AF124" s="38" t="n">
        <f aca="false">IF(AND(ISNUMBER(AF149),ISNUMBER(AF128)),IFERROR(AF149/AF128,""),"")</f>
        <v>0.0074953708231729</v>
      </c>
      <c r="AG124" s="38" t="n">
        <f aca="false">IF(AND(ISNUMBER(AG149),ISNUMBER(AG128)),IFERROR(AG149/AG128,""),"")</f>
        <v>0.00600946270011018</v>
      </c>
      <c r="AH124" s="38" t="n">
        <f aca="false">IF(AND(ISNUMBER(AH149),ISNUMBER(AH128)),IFERROR(AH149/AH128,""),"")</f>
        <v>0.00850039995784462</v>
      </c>
      <c r="AI124" s="38" t="n">
        <f aca="false">IF(AND(ISNUMBER(AI149),ISNUMBER(AI128)),IFERROR(AI149/AI128,""),"")</f>
        <v>0.00805170633900841</v>
      </c>
      <c r="AJ124" s="38" t="n">
        <f aca="false">IF(AND(ISNUMBER(AJ149),ISNUMBER(AJ128)),IFERROR(AJ149/AJ128,""),"")</f>
        <v>0.00893732741490103</v>
      </c>
      <c r="AK124" s="38" t="n">
        <f aca="false">IF(AND(ISNUMBER(AK149),ISNUMBER(AK128)),IFERROR(AK149/AK128,""),"")</f>
        <v>0.0118428550241587</v>
      </c>
      <c r="AL124" s="38" t="n">
        <f aca="false">IF(AND(ISNUMBER(AL149),ISNUMBER(AL128)),IFERROR(AL149/AL128,""),"")</f>
        <v>0.00663294582367729</v>
      </c>
      <c r="AM124" s="38" t="n">
        <f aca="false">IF(AND(ISNUMBER(AM149),ISNUMBER(AM128)),IFERROR(AM149/AM128,""),"")</f>
        <v>0.00889773003576521</v>
      </c>
      <c r="AN124" s="38" t="n">
        <f aca="false">IF(AND(ISNUMBER(AN149),ISNUMBER(AN128)),IFERROR(AN149/AN128,""),"")</f>
        <v>0.01218668575657</v>
      </c>
      <c r="AO124" s="38" t="n">
        <f aca="false">IF(AND(ISNUMBER(AO149),ISNUMBER(AO128)),IFERROR(AO149/AO128,""),"")</f>
        <v>0.00846573440154669</v>
      </c>
      <c r="AP124" s="38" t="n">
        <f aca="false">IF(AND(ISNUMBER(AP149),ISNUMBER(AP128)),IFERROR(AP149/AP128,""),"")</f>
        <v>0.00619281189201129</v>
      </c>
      <c r="AQ124" s="38" t="n">
        <f aca="false">IF(AND(ISNUMBER(AQ149),ISNUMBER(AQ128)),IFERROR(AQ149/AQ128,""),"")</f>
        <v>0.00525786366706805</v>
      </c>
      <c r="AR124" s="38" t="n">
        <f aca="false">IF(AND(ISNUMBER(AR149),ISNUMBER(AR128)),IFERROR(AR149/AR128,""),"")</f>
        <v>0.00791863831562429</v>
      </c>
      <c r="AS124" s="38" t="n">
        <f aca="false">IF(AND(ISNUMBER(AS149),ISNUMBER(AS128)),IFERROR(AS149/AS128,""),"")</f>
        <v>0.00964652574230777</v>
      </c>
      <c r="AT124" s="38" t="n">
        <f aca="false">IF(AND(ISNUMBER(AT149),ISNUMBER(AT128)),IFERROR(AT149/AT128,""),"")</f>
        <v>0.00888126808303377</v>
      </c>
      <c r="AU124" s="38" t="n">
        <f aca="false">IF(AND(ISNUMBER(AU149),ISNUMBER(AU128)),IFERROR(AU149/AU128,""),"")</f>
        <v>0.00983986205625986</v>
      </c>
      <c r="AV124" s="38" t="n">
        <f aca="false">IF(AND(ISNUMBER(AV149),ISNUMBER(AV128)),IFERROR(AV149/AV128,""),"")</f>
        <v>0.00531735718408211</v>
      </c>
      <c r="AW124" s="38" t="n">
        <f aca="false">IF(AND(ISNUMBER(AW149),ISNUMBER(AW128)),IFERROR(AW149/AW128,""),"")</f>
        <v>0.00840086008237253</v>
      </c>
      <c r="AX124" s="38" t="n">
        <f aca="false">IF(AND(ISNUMBER(AX149),ISNUMBER(AX128)),IFERROR(AX149/AX128,""),"")</f>
        <v>0.00738354458852875</v>
      </c>
      <c r="AY124" s="38" t="n">
        <f aca="false">IF(AND(ISNUMBER(AY149),ISNUMBER(AY128)),IFERROR(AY149/AY128,""),"")</f>
        <v>0.0120064070678538</v>
      </c>
      <c r="AZ124" s="38" t="n">
        <f aca="false">IF(AND(ISNUMBER(AZ149),ISNUMBER(AZ128)),IFERROR(AZ149/AZ128,""),"")</f>
        <v>0.00874673171513579</v>
      </c>
      <c r="BA124" s="38" t="n">
        <f aca="false">IF(AND(ISNUMBER(BA149),ISNUMBER(BA128)),IFERROR(BA149/BA128,""),"")</f>
        <v>0.00955908291413201</v>
      </c>
      <c r="BB124" s="38" t="n">
        <f aca="false">IF(AND(ISNUMBER(BB149),ISNUMBER(BB128)),IFERROR(BB149/BB128,""),"")</f>
        <v>0.00946473471480539</v>
      </c>
      <c r="BC124" s="38" t="n">
        <f aca="false">IF(AND(ISNUMBER(BC149),ISNUMBER(BC128)),IFERROR(BC149/BC128,""),"")</f>
        <v>0.00888987429043496</v>
      </c>
      <c r="BD124" s="38" t="n">
        <f aca="false">IF(AND(ISNUMBER(BD149),ISNUMBER(BD128)),IFERROR(BD149/BD128,""),"")</f>
        <v>0.00720146881116032</v>
      </c>
      <c r="BE124" s="38" t="n">
        <f aca="false">IF(AND(ISNUMBER(BE149),ISNUMBER(BE128)),IFERROR(BE149/BE128,""),"")</f>
        <v>0.011000240442414</v>
      </c>
      <c r="BF124" s="38" t="n">
        <f aca="false">IF(AND(ISNUMBER(BF149),ISNUMBER(BF128)),IFERROR(BF149/BF128,""),"")</f>
        <v>0.00807253620470968</v>
      </c>
      <c r="BG124" s="38" t="n">
        <f aca="false">IF(AND(ISNUMBER(BG149),ISNUMBER(BG128)),IFERROR(BG149/BG128,""),"")</f>
        <v>0.00880286206372032</v>
      </c>
      <c r="BH124" s="38" t="n">
        <f aca="false">IF(AND(ISNUMBER(BH149),ISNUMBER(BH128)),IFERROR(BH149/BH128,""),"")</f>
        <v>0.0097179536154376</v>
      </c>
      <c r="BI124" s="38" t="n">
        <f aca="false">IF(AND(ISNUMBER(BI149),ISNUMBER(BI128)),IFERROR(BI149/BI128,""),"")</f>
        <v>0.0113799697688629</v>
      </c>
      <c r="BJ124" s="38" t="n">
        <f aca="false">IF(AND(ISNUMBER(BJ149),ISNUMBER(BJ128)),IFERROR(BJ149/BJ128,""),"")</f>
        <v>0.00709095171120488</v>
      </c>
      <c r="BK124" s="38" t="n">
        <f aca="false">IF(AND(ISNUMBER(BK149),ISNUMBER(BK128)),IFERROR(BK149/BK128,""),"")</f>
        <v>0.0070376973180999</v>
      </c>
      <c r="BL124" s="38" t="n">
        <f aca="false">IF(AND(ISNUMBER(BL149),ISNUMBER(BL128)),IFERROR(BL149/BL128,""),"")</f>
        <v>0.00878040765893484</v>
      </c>
      <c r="BM124" s="38" t="n">
        <f aca="false">IF(AND(ISNUMBER(BM149),ISNUMBER(BM128)),IFERROR(BM149/BM128,""),"")</f>
        <v>0.0105912567130147</v>
      </c>
      <c r="BN124" s="38" t="n">
        <f aca="false">IF(AND(ISNUMBER(BN149),ISNUMBER(BN128)),IFERROR(BN149/BN128,""),"")</f>
        <v>0.00838950504544593</v>
      </c>
      <c r="BO124" s="38" t="n">
        <f aca="false">IF(AND(ISNUMBER(BO149),ISNUMBER(BO128)),IFERROR(BO149/BO128,""),"")</f>
        <v>0.0087304275241096</v>
      </c>
      <c r="BP124" s="38" t="n">
        <f aca="false">IF(AND(ISNUMBER(BP149),ISNUMBER(BP128)),IFERROR(BP149/BP128,""),"")</f>
        <v>0.00736898875052372</v>
      </c>
      <c r="BQ124" s="38" t="n">
        <f aca="false">IF(AND(ISNUMBER(BQ149),ISNUMBER(BQ128)),IFERROR(BQ149/BQ128,""),"")</f>
        <v>0.00873190261750791</v>
      </c>
      <c r="BR124" s="38" t="n">
        <f aca="false">IF(AND(ISNUMBER(BR149),ISNUMBER(BR128)),IFERROR(BR149/BR128,""),"")</f>
        <v>0.0105189177156562</v>
      </c>
      <c r="BS124" s="38" t="n">
        <f aca="false">IF(AND(ISNUMBER(BS149),ISNUMBER(BS128)),IFERROR(BS149/BS128,""),"")</f>
        <v>0.00769321847652006</v>
      </c>
      <c r="BT124" s="38" t="n">
        <f aca="false">IF(AND(ISNUMBER(BT149),ISNUMBER(BT128)),IFERROR(BT149/BT128,""),"")</f>
        <v>0.0075155244636911</v>
      </c>
      <c r="BU124" s="38" t="n">
        <f aca="false">IF(AND(ISNUMBER(BU149),ISNUMBER(BU128)),IFERROR(BU149/BU128,""),"")</f>
        <v>0.00801245182879915</v>
      </c>
      <c r="BV124" s="38" t="n">
        <f aca="false">IF(AND(ISNUMBER(BV149),ISNUMBER(BV128)),IFERROR(BV149/BV128,""),"")</f>
        <v>0.00839217421937347</v>
      </c>
      <c r="BW124" s="38" t="n">
        <f aca="false">IF(AND(ISNUMBER(BW149),ISNUMBER(BW128)),IFERROR(BW149/BW128,""),"")</f>
        <v>0.00741869991576083</v>
      </c>
      <c r="BX124" s="38" t="n">
        <f aca="false">IF(AND(ISNUMBER(BX149),ISNUMBER(BX128)),IFERROR(BX149/BX128,""),"")</f>
        <v>0.00935038044477549</v>
      </c>
      <c r="BY124" s="42" t="n">
        <v>0.0075</v>
      </c>
      <c r="BZ124" s="42" t="n">
        <v>0.0075</v>
      </c>
      <c r="CA124" s="37" t="n">
        <f aca="false">IFERROR(CA149/CA128,"")</f>
        <v>0.00795313552566019</v>
      </c>
      <c r="CB124" s="42" t="n">
        <v>0.0075</v>
      </c>
      <c r="CC124" s="42" t="n">
        <v>0.0075</v>
      </c>
      <c r="CD124" s="42" t="n">
        <v>0.0075</v>
      </c>
      <c r="CE124" s="42" t="n">
        <v>0.0075</v>
      </c>
      <c r="CF124" s="21"/>
      <c r="CH124" s="41" t="n">
        <f aca="false">IFERROR(AVERAGE(CA124,CB124,CC124,CD124,CE124),"n/m")</f>
        <v>0.00759062710513204</v>
      </c>
      <c r="CI124" s="41" t="n">
        <f aca="false">IFERROR(AVERAGE(BB124,BG124,BL124,BQ124,BV124),"n/m")</f>
        <v>0.00883441625486839</v>
      </c>
      <c r="CJ124" s="41" t="n">
        <f aca="false">IFERROR(AVERAGE(AC124,AH124,AM124,AR124,AW124,BB124,BG124,BL124,BQ124,BV124),"n/m")</f>
        <v>0.00911520962023691</v>
      </c>
      <c r="CK124" s="41" t="n">
        <f aca="false">IFERROR(AVERAGE(C124,D124,E124,F124,G124,H124,I124,N124,S124,X124,AC124,AH124,AM124,AR124,AW124,BB124,BG124,BL124,BQ124,BV124),"n/m")</f>
        <v>0.00851914780329243</v>
      </c>
    </row>
    <row r="125" customFormat="false" ht="15" hidden="true" customHeight="true" outlineLevel="2" collapsed="false">
      <c r="B125" s="29" t="s">
        <v>280</v>
      </c>
      <c r="C125" s="38" t="str">
        <f aca="false">IF(AND(ISNUMBER(C171),ISNUMBER(C128)),IFERROR(C171/C128,""),"")</f>
        <v/>
      </c>
      <c r="D125" s="38" t="str">
        <f aca="false">IF(AND(ISNUMBER(D171),ISNUMBER(D128)),IFERROR(D171/D128,""),"")</f>
        <v/>
      </c>
      <c r="E125" s="38" t="n">
        <f aca="false">IF(AND(ISNUMBER(E171),ISNUMBER(E128)),IFERROR(E171/E128,""),"")</f>
        <v>0.00133383765099757</v>
      </c>
      <c r="F125" s="38" t="n">
        <f aca="false">IF(AND(ISNUMBER(F171),ISNUMBER(F128)),IFERROR(F171/F128,""),"")</f>
        <v>0.00172487164185118</v>
      </c>
      <c r="G125" s="38" t="n">
        <f aca="false">IF(AND(ISNUMBER(G171),ISNUMBER(G128)),IFERROR(G171/G128,""),"")</f>
        <v>0.00133812512454944</v>
      </c>
      <c r="H125" s="38" t="n">
        <f aca="false">IF(AND(ISNUMBER(H171),ISNUMBER(H128)),IFERROR(H171/H128,""),"")</f>
        <v>0.00130665897861384</v>
      </c>
      <c r="I125" s="38" t="n">
        <f aca="false">IF(AND(ISNUMBER(I171),ISNUMBER(I128)),IFERROR(I171/I128,""),"")</f>
        <v>0.00155330527233095</v>
      </c>
      <c r="J125" s="38" t="n">
        <f aca="false">IF(AND(ISNUMBER(J171),ISNUMBER(J128)),IFERROR(J171/J128,""),"")</f>
        <v>0.00169151707520916</v>
      </c>
      <c r="K125" s="38" t="n">
        <f aca="false">IF(AND(ISNUMBER(K171),ISNUMBER(K128)),IFERROR(K171/K128,""),"")</f>
        <v>0.00153867845298448</v>
      </c>
      <c r="L125" s="38" t="n">
        <f aca="false">IF(AND(ISNUMBER(L171),ISNUMBER(L128)),IFERROR(L171/L128,""),"")</f>
        <v>0.00144347418623398</v>
      </c>
      <c r="M125" s="38" t="n">
        <f aca="false">IF(AND(ISNUMBER(M171),ISNUMBER(M128)),IFERROR(M171/M128,""),"")</f>
        <v>0.00149626345762405</v>
      </c>
      <c r="N125" s="38" t="n">
        <f aca="false">IF(AND(ISNUMBER(N171),ISNUMBER(N128)),IFERROR(N171/N128,""),"")</f>
        <v>0.00153826611952022</v>
      </c>
      <c r="O125" s="38" t="n">
        <f aca="false">IF(AND(ISNUMBER(O171),ISNUMBER(O128)),IFERROR(O171/O128,""),"")</f>
        <v>0.00182267339270515</v>
      </c>
      <c r="P125" s="38" t="n">
        <f aca="false">IF(AND(ISNUMBER(P171),ISNUMBER(P128)),IFERROR(P171/P128,""),"")</f>
        <v>0.00164095957064417</v>
      </c>
      <c r="Q125" s="38" t="n">
        <f aca="false">IF(AND(ISNUMBER(Q171),ISNUMBER(Q128)),IFERROR(Q171/Q128,""),"")</f>
        <v>0.00158997056084428</v>
      </c>
      <c r="R125" s="38" t="n">
        <f aca="false">IF(AND(ISNUMBER(R171),ISNUMBER(R128)),IFERROR(R171/R128,""),"")</f>
        <v>0.00193457782304884</v>
      </c>
      <c r="S125" s="38" t="n">
        <f aca="false">IF(AND(ISNUMBER(S171),ISNUMBER(S128)),IFERROR(S171/S128,""),"")</f>
        <v>0.0017444494571381</v>
      </c>
      <c r="T125" s="38" t="n">
        <f aca="false">IF(AND(ISNUMBER(T171),ISNUMBER(T128)),IFERROR(T171/T128,""),"")</f>
        <v>0.00188697885793321</v>
      </c>
      <c r="U125" s="38" t="n">
        <f aca="false">IF(AND(ISNUMBER(U171),ISNUMBER(U128)),IFERROR(U171/U128,""),"")</f>
        <v>0.00185766555244376</v>
      </c>
      <c r="V125" s="38" t="n">
        <f aca="false">IF(AND(ISNUMBER(V171),ISNUMBER(V128)),IFERROR(V171/V128,""),"")</f>
        <v>0.00178487347108614</v>
      </c>
      <c r="W125" s="38" t="n">
        <f aca="false">IF(AND(ISNUMBER(W171),ISNUMBER(W128)),IFERROR(W171/W128,""),"")</f>
        <v>0.00198895733893299</v>
      </c>
      <c r="X125" s="38" t="n">
        <f aca="false">IF(AND(ISNUMBER(X171),ISNUMBER(X128)),IFERROR(X171/X128,""),"")</f>
        <v>0.00187881945149618</v>
      </c>
      <c r="Y125" s="38" t="n">
        <f aca="false">IF(AND(ISNUMBER(Y171),ISNUMBER(Y128)),IFERROR(Y171/Y128,""),"")</f>
        <v>0.00216833760783399</v>
      </c>
      <c r="Z125" s="38" t="n">
        <f aca="false">IF(AND(ISNUMBER(Z171),ISNUMBER(Z128)),IFERROR(Z171/Z128,""),"")</f>
        <v>0.00241603322526693</v>
      </c>
      <c r="AA125" s="38" t="n">
        <f aca="false">IF(AND(ISNUMBER(AA171),ISNUMBER(AA128)),IFERROR(AA171/AA128,""),"")</f>
        <v>0.00279651440380046</v>
      </c>
      <c r="AB125" s="38" t="n">
        <f aca="false">IF(AND(ISNUMBER(AB171),ISNUMBER(AB128)),IFERROR(AB171/AB128,""),"")</f>
        <v>0.00288664552145578</v>
      </c>
      <c r="AC125" s="38" t="n">
        <f aca="false">IF(AND(ISNUMBER(AC171),ISNUMBER(AC128)),IFERROR(AC171/AC128,""),"")</f>
        <v>0.00264702684913458</v>
      </c>
      <c r="AD125" s="38" t="n">
        <f aca="false">IF(AND(ISNUMBER(AD171),ISNUMBER(AD128)),IFERROR(AD171/AD128,""),"")</f>
        <v>0.00267304213638105</v>
      </c>
      <c r="AE125" s="38" t="n">
        <f aca="false">IF(AND(ISNUMBER(AE171),ISNUMBER(AE128)),IFERROR(AE171/AE128,""),"")</f>
        <v>0.00248135158378623</v>
      </c>
      <c r="AF125" s="38" t="n">
        <f aca="false">IF(AND(ISNUMBER(AF171),ISNUMBER(AF128)),IFERROR(AF171/AF128,""),"")</f>
        <v>0.00246253972306167</v>
      </c>
      <c r="AG125" s="38" t="n">
        <f aca="false">IF(AND(ISNUMBER(AG171),ISNUMBER(AG128)),IFERROR(AG171/AG128,""),"")</f>
        <v>0.00257178041350703</v>
      </c>
      <c r="AH125" s="38" t="n">
        <f aca="false">IF(AND(ISNUMBER(AH171),ISNUMBER(AH128)),IFERROR(AH171/AH128,""),"")</f>
        <v>0.00254422428046461</v>
      </c>
      <c r="AI125" s="38" t="n">
        <f aca="false">IF(AND(ISNUMBER(AI171),ISNUMBER(AI128)),IFERROR(AI171/AI128,""),"")</f>
        <v>0.00284002452349774</v>
      </c>
      <c r="AJ125" s="38" t="n">
        <f aca="false">IF(AND(ISNUMBER(AJ171),ISNUMBER(AJ128)),IFERROR(AJ171/AJ128,""),"")</f>
        <v>0.00262748716095899</v>
      </c>
      <c r="AK125" s="38" t="n">
        <f aca="false">IF(AND(ISNUMBER(AK171),ISNUMBER(AK128)),IFERROR(AK171/AK128,""),"")</f>
        <v>0.00253920428378516</v>
      </c>
      <c r="AL125" s="38" t="n">
        <f aca="false">IF(AND(ISNUMBER(AL171),ISNUMBER(AL128)),IFERROR(AL171/AL128,""),"")</f>
        <v>0.00257423922037327</v>
      </c>
      <c r="AM125" s="38" t="n">
        <f aca="false">IF(AND(ISNUMBER(AM171),ISNUMBER(AM128)),IFERROR(AM171/AM128,""),"")</f>
        <v>0.00264008851619388</v>
      </c>
      <c r="AN125" s="38" t="n">
        <f aca="false">IF(AND(ISNUMBER(AN171),ISNUMBER(AN128)),IFERROR(AN171/AN128,""),"")</f>
        <v>0.00280403041207999</v>
      </c>
      <c r="AO125" s="38" t="n">
        <f aca="false">IF(AND(ISNUMBER(AO171),ISNUMBER(AO128)),IFERROR(AO171/AO128,""),"")</f>
        <v>0.00268829961763647</v>
      </c>
      <c r="AP125" s="38" t="n">
        <f aca="false">IF(AND(ISNUMBER(AP171),ISNUMBER(AP128)),IFERROR(AP171/AP128,""),"")</f>
        <v>0.00258346525596767</v>
      </c>
      <c r="AQ125" s="38" t="n">
        <f aca="false">IF(AND(ISNUMBER(AQ171),ISNUMBER(AQ128)),IFERROR(AQ171/AQ128,""),"")</f>
        <v>0.00267922699638756</v>
      </c>
      <c r="AR125" s="38" t="n">
        <f aca="false">IF(AND(ISNUMBER(AR171),ISNUMBER(AR128)),IFERROR(AR171/AR128,""),"")</f>
        <v>0.00268544480010778</v>
      </c>
      <c r="AS125" s="38" t="n">
        <f aca="false">IF(AND(ISNUMBER(AS171),ISNUMBER(AS128)),IFERROR(AS171/AS128,""),"")</f>
        <v>0.00288966906338638</v>
      </c>
      <c r="AT125" s="38" t="n">
        <f aca="false">IF(AND(ISNUMBER(AT171),ISNUMBER(AT128)),IFERROR(AT171/AT128,""),"")</f>
        <v>0.00284044350435218</v>
      </c>
      <c r="AU125" s="38" t="n">
        <f aca="false">IF(AND(ISNUMBER(AU171),ISNUMBER(AU128)),IFERROR(AU171/AU128,""),"")</f>
        <v>0.00267928080417286</v>
      </c>
      <c r="AV125" s="38" t="n">
        <f aca="false">IF(AND(ISNUMBER(AV171),ISNUMBER(AV128)),IFERROR(AV171/AV128,""),"")</f>
        <v>0.00268549781119413</v>
      </c>
      <c r="AW125" s="38" t="n">
        <f aca="false">IF(AND(ISNUMBER(AW171),ISNUMBER(AW128)),IFERROR(AW171/AW128,""),"")</f>
        <v>0.00277176417878109</v>
      </c>
      <c r="AX125" s="38" t="n">
        <f aca="false">IF(AND(ISNUMBER(AX171),ISNUMBER(AX128)),IFERROR(AX171/AX128,""),"")</f>
        <v>0.00265698718141585</v>
      </c>
      <c r="AY125" s="38" t="n">
        <f aca="false">IF(AND(ISNUMBER(AY171),ISNUMBER(AY128)),IFERROR(AY171/AY128,""),"")</f>
        <v>0.00238993800894564</v>
      </c>
      <c r="AZ125" s="38" t="n">
        <f aca="false">IF(AND(ISNUMBER(AZ171),ISNUMBER(AZ128)),IFERROR(AZ171/AZ128,""),"")</f>
        <v>0.00221892750167797</v>
      </c>
      <c r="BA125" s="38" t="n">
        <f aca="false">IF(AND(ISNUMBER(BA171),ISNUMBER(BA128)),IFERROR(BA171/BA128,""),"")</f>
        <v>0.00220338492623678</v>
      </c>
      <c r="BB125" s="38" t="n">
        <f aca="false">IF(AND(ISNUMBER(BB171),ISNUMBER(BB128)),IFERROR(BB171/BB128,""),"")</f>
        <v>0.00235671422958269</v>
      </c>
      <c r="BC125" s="38" t="n">
        <f aca="false">IF(AND(ISNUMBER(BC171),ISNUMBER(BC128)),IFERROR(BC171/BC128,""),"")</f>
        <v>0.00248807141056519</v>
      </c>
      <c r="BD125" s="38" t="n">
        <f aca="false">IF(AND(ISNUMBER(BD171),ISNUMBER(BD128)),IFERROR(BD171/BD128,""),"")</f>
        <v>0.00219771145127681</v>
      </c>
      <c r="BE125" s="38" t="n">
        <f aca="false">IF(AND(ISNUMBER(BE171),ISNUMBER(BE128)),IFERROR(BE171/BE128,""),"")</f>
        <v>0.00216025806067235</v>
      </c>
      <c r="BF125" s="38" t="n">
        <f aca="false">IF(AND(ISNUMBER(BF171),ISNUMBER(BF128)),IFERROR(BF171/BF128,""),"")</f>
        <v>0.0021960080265297</v>
      </c>
      <c r="BG125" s="38" t="n">
        <f aca="false">IF(AND(ISNUMBER(BG171),ISNUMBER(BG128)),IFERROR(BG171/BG128,""),"")</f>
        <v>0.00225364916313533</v>
      </c>
      <c r="BH125" s="38" t="n">
        <f aca="false">IF(AND(ISNUMBER(BH171),ISNUMBER(BH128)),IFERROR(BH171/BH128,""),"")</f>
        <v>0.00237831774009302</v>
      </c>
      <c r="BI125" s="38" t="n">
        <f aca="false">IF(AND(ISNUMBER(BI171),ISNUMBER(BI128)),IFERROR(BI171/BI128,""),"")</f>
        <v>0.00225966617106074</v>
      </c>
      <c r="BJ125" s="38" t="n">
        <f aca="false">IF(AND(ISNUMBER(BJ171),ISNUMBER(BJ128)),IFERROR(BJ171/BJ128,""),"")</f>
        <v>0.00223223799173166</v>
      </c>
      <c r="BK125" s="38" t="n">
        <f aca="false">IF(AND(ISNUMBER(BK171),ISNUMBER(BK128)),IFERROR(BK171/BK128,""),"")</f>
        <v>0.00290281679831441</v>
      </c>
      <c r="BL125" s="38" t="n">
        <f aca="false">IF(AND(ISNUMBER(BL171),ISNUMBER(BL128)),IFERROR(BL171/BL128,""),"")</f>
        <v>0.00244391919122917</v>
      </c>
      <c r="BM125" s="38" t="n">
        <f aca="false">IF(AND(ISNUMBER(BM171),ISNUMBER(BM128)),IFERROR(BM171/BM128,""),"")</f>
        <v>0.00453766259957649</v>
      </c>
      <c r="BN125" s="38" t="n">
        <f aca="false">IF(AND(ISNUMBER(BN171),ISNUMBER(BN128)),IFERROR(BN171/BN128,""),"")</f>
        <v>0.00270754027949893</v>
      </c>
      <c r="BO125" s="38" t="n">
        <f aca="false">IF(AND(ISNUMBER(BO171),ISNUMBER(BO128)),IFERROR(BO171/BO128,""),"")</f>
        <v>0.00315887872847755</v>
      </c>
      <c r="BP125" s="38" t="n">
        <f aca="false">IF(AND(ISNUMBER(BP171),ISNUMBER(BP128)),IFERROR(BP171/BP128,""),"")</f>
        <v>0.00305094539046659</v>
      </c>
      <c r="BQ125" s="38" t="n">
        <f aca="false">IF(AND(ISNUMBER(BQ171),ISNUMBER(BQ128)),IFERROR(BQ171/BQ128,""),"")</f>
        <v>0.00333804543280067</v>
      </c>
      <c r="BR125" s="38" t="n">
        <f aca="false">IF(AND(ISNUMBER(BR171),ISNUMBER(BR128)),IFERROR(BR171/BR128,""),"")</f>
        <v>0.00532902248296364</v>
      </c>
      <c r="BS125" s="38" t="n">
        <f aca="false">IF(AND(ISNUMBER(BS171),ISNUMBER(BS128)),IFERROR(BS171/BS128,""),"")</f>
        <v>0.00496124932749771</v>
      </c>
      <c r="BT125" s="38" t="n">
        <f aca="false">IF(AND(ISNUMBER(BT171),ISNUMBER(BT128)),IFERROR(BT171/BT128,""),"")</f>
        <v>0.00486621666806325</v>
      </c>
      <c r="BU125" s="38" t="n">
        <f aca="false">IF(AND(ISNUMBER(BU171),ISNUMBER(BU128)),IFERROR(BU171/BU128,""),"")</f>
        <v>0.00513039616467493</v>
      </c>
      <c r="BV125" s="38" t="n">
        <f aca="false">IF(AND(ISNUMBER(BV171),ISNUMBER(BV128)),IFERROR(BV171/BV128,""),"")</f>
        <v>0.00506553613294299</v>
      </c>
      <c r="BW125" s="38" t="n">
        <f aca="false">IF(AND(ISNUMBER(BW171),ISNUMBER(BW128)),IFERROR(BW171/BW128,""),"")</f>
        <v>0.0043410383142716</v>
      </c>
      <c r="BX125" s="38" t="n">
        <f aca="false">IF(AND(ISNUMBER(BX171),ISNUMBER(BX128)),IFERROR(BX171/BX128,""),"")</f>
        <v>0.00403184407288081</v>
      </c>
      <c r="BY125" s="39"/>
      <c r="BZ125" s="39"/>
      <c r="CA125" s="37" t="n">
        <f aca="false">IFERROR(CA171/CA128,"")</f>
        <v>0.00404663677130045</v>
      </c>
      <c r="CB125" s="42" t="n">
        <v>0.004</v>
      </c>
      <c r="CC125" s="42" t="n">
        <v>0.004</v>
      </c>
      <c r="CD125" s="42" t="n">
        <v>0.004</v>
      </c>
      <c r="CE125" s="42" t="n">
        <v>0.004</v>
      </c>
      <c r="CF125" s="21" t="s">
        <v>281</v>
      </c>
      <c r="CH125" s="41" t="n">
        <f aca="false">IFERROR(AVERAGE(CA125,CB125,CC125,CD125,CE125),"n/m")</f>
        <v>0.00400932735426009</v>
      </c>
      <c r="CI125" s="41" t="n">
        <f aca="false">IFERROR(AVERAGE(BB125,BG125,BL125,BQ125,BV125),"n/m")</f>
        <v>0.00309157282993817</v>
      </c>
      <c r="CJ125" s="41" t="n">
        <f aca="false">IFERROR(AVERAGE(AC125,AH125,AM125,AR125,AW125,BB125,BG125,BL125,BQ125,BV125),"n/m")</f>
        <v>0.00287464127743728</v>
      </c>
      <c r="CK125" s="41" t="n">
        <f aca="false">IFERROR(AVERAGE(C125,D125,E125,F125,G125,H125,I125,N125,S125,X125,AC125,AH125,AM125,AR125,AW125,BB125,BG125,BL125,BQ125,BV125),"n/m")</f>
        <v>0.00228693035949279</v>
      </c>
    </row>
    <row r="126" customFormat="false" ht="15" hidden="true" customHeight="true" outlineLevel="2" collapsed="false"/>
    <row r="127" customFormat="false" ht="15" hidden="true" customHeight="true" outlineLevel="2" collapsed="false">
      <c r="B127" s="12" t="s">
        <v>282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</row>
    <row r="128" customFormat="false" ht="15" hidden="true" customHeight="true" outlineLevel="2" collapsed="false">
      <c r="B128" s="55" t="s">
        <v>283</v>
      </c>
      <c r="C128" s="58" t="n">
        <v>824.354</v>
      </c>
      <c r="D128" s="58" t="n">
        <v>958.541</v>
      </c>
      <c r="E128" s="58" t="n">
        <v>1049.603</v>
      </c>
      <c r="F128" s="58" t="n">
        <v>1191.393</v>
      </c>
      <c r="G128" s="58" t="n">
        <v>1319.757</v>
      </c>
      <c r="H128" s="58" t="n">
        <v>1505.366</v>
      </c>
      <c r="I128" s="58" t="n">
        <v>1661.618</v>
      </c>
      <c r="J128" s="58" t="n">
        <v>449.892</v>
      </c>
      <c r="K128" s="58" t="n">
        <v>489.381</v>
      </c>
      <c r="L128" s="58" t="n">
        <v>503.646</v>
      </c>
      <c r="M128" s="58" t="n">
        <v>485.877</v>
      </c>
      <c r="N128" s="58" t="n">
        <v>1928.795</v>
      </c>
      <c r="O128" s="58" t="n">
        <v>481.71</v>
      </c>
      <c r="P128" s="58" t="n">
        <v>524.693</v>
      </c>
      <c r="Q128" s="58" t="n">
        <v>546.551</v>
      </c>
      <c r="R128" s="58" t="n">
        <v>526.213</v>
      </c>
      <c r="S128" s="58" t="n">
        <v>2079.166</v>
      </c>
      <c r="T128" s="58" t="n">
        <v>506.1</v>
      </c>
      <c r="U128" s="58" t="n">
        <v>531.312</v>
      </c>
      <c r="V128" s="58" t="n">
        <v>547.938</v>
      </c>
      <c r="W128" s="58" t="n">
        <v>531.937</v>
      </c>
      <c r="X128" s="58" t="n">
        <v>2117.287</v>
      </c>
      <c r="Y128" s="58" t="n">
        <v>514.68</v>
      </c>
      <c r="Z128" s="58" t="n">
        <v>727.639</v>
      </c>
      <c r="AA128" s="58" t="n">
        <v>1084.922</v>
      </c>
      <c r="AB128" s="58" t="n">
        <v>1048.622</v>
      </c>
      <c r="AC128" s="58" t="n">
        <v>3375.863</v>
      </c>
      <c r="AD128" s="58" t="n">
        <v>1091.266</v>
      </c>
      <c r="AE128" s="58" t="n">
        <v>1175.569</v>
      </c>
      <c r="AF128" s="58" t="n">
        <v>1206.478</v>
      </c>
      <c r="AG128" s="58" t="n">
        <v>1157.175</v>
      </c>
      <c r="AH128" s="58" t="n">
        <v>4630.488</v>
      </c>
      <c r="AI128" s="58" t="n">
        <v>1140.131</v>
      </c>
      <c r="AJ128" s="58" t="n">
        <v>1239.968</v>
      </c>
      <c r="AK128" s="58" t="n">
        <v>1281.11</v>
      </c>
      <c r="AL128" s="58" t="n">
        <v>1261.732</v>
      </c>
      <c r="AM128" s="58" t="n">
        <v>4922.941</v>
      </c>
      <c r="AN128" s="58" t="n">
        <v>1244.637</v>
      </c>
      <c r="AO128" s="58" t="n">
        <v>1369.639</v>
      </c>
      <c r="AP128" s="58" t="n">
        <v>1412.444</v>
      </c>
      <c r="AQ128" s="58" t="n">
        <v>1361.96</v>
      </c>
      <c r="AR128" s="58" t="n">
        <v>5388.679</v>
      </c>
      <c r="AS128" s="58" t="n">
        <v>1352.404</v>
      </c>
      <c r="AT128" s="58" t="n">
        <v>1305.782</v>
      </c>
      <c r="AU128" s="58" t="n">
        <v>1389.552</v>
      </c>
      <c r="AV128" s="58" t="n">
        <v>1398.251</v>
      </c>
      <c r="AW128" s="58" t="n">
        <v>5445.99</v>
      </c>
      <c r="AX128" s="58" t="n">
        <v>1395.942</v>
      </c>
      <c r="AY128" s="58" t="n">
        <v>1533.931</v>
      </c>
      <c r="AZ128" s="58" t="n">
        <v>1597.168</v>
      </c>
      <c r="BA128" s="58" t="n">
        <v>1624.319</v>
      </c>
      <c r="BB128" s="58" t="n">
        <v>6151.361</v>
      </c>
      <c r="BC128" s="58" t="n">
        <v>1646.255</v>
      </c>
      <c r="BD128" s="58" t="n">
        <v>1816.435</v>
      </c>
      <c r="BE128" s="58" t="n">
        <v>1879.868</v>
      </c>
      <c r="BF128" s="58" t="n">
        <v>1869.301</v>
      </c>
      <c r="BG128" s="58" t="n">
        <v>7211.859</v>
      </c>
      <c r="BH128" s="58" t="n">
        <v>1900.503</v>
      </c>
      <c r="BI128" s="58" t="n">
        <v>2021.095</v>
      </c>
      <c r="BJ128" s="58" t="n">
        <v>2064.744</v>
      </c>
      <c r="BK128" s="58" t="n">
        <v>2035.609</v>
      </c>
      <c r="BL128" s="58" t="n">
        <v>8021.951</v>
      </c>
      <c r="BM128" s="58" t="n">
        <v>2072.653</v>
      </c>
      <c r="BN128" s="58" t="n">
        <v>2248.166</v>
      </c>
      <c r="BO128" s="58" t="n">
        <v>2338.488</v>
      </c>
      <c r="BP128" s="58" t="n">
        <v>2260.283</v>
      </c>
      <c r="BQ128" s="58" t="n">
        <v>8919.591</v>
      </c>
      <c r="BR128" s="58" t="n">
        <v>2228.176</v>
      </c>
      <c r="BS128" s="58" t="n">
        <v>2407.055</v>
      </c>
      <c r="BT128" s="58" t="n">
        <v>2458.378</v>
      </c>
      <c r="BU128" s="58" t="n">
        <v>2373.306</v>
      </c>
      <c r="BV128" s="58" t="n">
        <v>9466.915</v>
      </c>
      <c r="BW128" s="58" t="n">
        <v>2370.631</v>
      </c>
      <c r="BX128" s="58" t="n">
        <v>2561.607</v>
      </c>
      <c r="BY128" s="56" t="n">
        <f aca="false">BY80</f>
        <v>2596.77048309733</v>
      </c>
      <c r="BZ128" s="56" t="n">
        <f aca="false">BZ80</f>
        <v>2505.99151690267</v>
      </c>
      <c r="CA128" s="56" t="n">
        <f aca="false">CA80</f>
        <v>10035</v>
      </c>
      <c r="CB128" s="56" t="n">
        <f aca="false">CB80</f>
        <v>10653.2703486509</v>
      </c>
      <c r="CC128" s="56" t="n">
        <f aca="false">CC80</f>
        <v>11506.9618439659</v>
      </c>
      <c r="CD128" s="56" t="n">
        <f aca="false">CD80</f>
        <v>12417.9632224828</v>
      </c>
      <c r="CE128" s="56" t="n">
        <f aca="false">CE80</f>
        <v>13346.8734782927</v>
      </c>
      <c r="CF128" s="21" t="s">
        <v>284</v>
      </c>
      <c r="CH128" s="22" t="n">
        <f aca="false">IFERROR((CE128/BV128)^(1/5)-1,"n/m")</f>
        <v>0.0711103433507032</v>
      </c>
      <c r="CI128" s="22" t="n">
        <f aca="false">IFERROR((BV128/AW128)^(1/5)-1,"n/m")</f>
        <v>0.116930955912547</v>
      </c>
      <c r="CJ128" s="22" t="n">
        <f aca="false">IFERROR((BV128/X128)^(1/10)-1,"n/m")</f>
        <v>0.161563280720018</v>
      </c>
      <c r="CK128" s="22" t="n">
        <f aca="false">IFERROR((BV128/C128)^(1/19)-1,"n/m")</f>
        <v>0.137089002914059</v>
      </c>
    </row>
    <row r="129" customFormat="false" ht="15" hidden="true" customHeight="true" outlineLevel="2" collapsed="false">
      <c r="B129" s="29" t="s">
        <v>285</v>
      </c>
      <c r="C129" s="27" t="n">
        <v>492.766</v>
      </c>
      <c r="D129" s="27" t="n">
        <v>566.089</v>
      </c>
      <c r="E129" s="27" t="n">
        <v>628.075</v>
      </c>
      <c r="F129" s="27" t="n">
        <v>692.415</v>
      </c>
      <c r="G129" s="27" t="n">
        <v>749.487</v>
      </c>
      <c r="H129" s="27" t="n">
        <v>857.58</v>
      </c>
      <c r="I129" s="27" t="n">
        <v>956.357</v>
      </c>
      <c r="J129" s="27" t="n">
        <v>251.963</v>
      </c>
      <c r="K129" s="27" t="n">
        <v>268.484</v>
      </c>
      <c r="L129" s="27" t="n">
        <v>274.141</v>
      </c>
      <c r="M129" s="27" t="n">
        <v>270.231</v>
      </c>
      <c r="N129" s="27" t="n">
        <v>1064.819</v>
      </c>
      <c r="O129" s="27" t="n">
        <v>263.061</v>
      </c>
      <c r="P129" s="27" t="n">
        <v>286.95</v>
      </c>
      <c r="Q129" s="27" t="n">
        <v>297.849</v>
      </c>
      <c r="R129" s="27" t="n">
        <v>290.528</v>
      </c>
      <c r="S129" s="27" t="n">
        <v>1138.388</v>
      </c>
      <c r="T129" s="27" t="n">
        <v>281.123</v>
      </c>
      <c r="U129" s="27" t="n">
        <v>297.437</v>
      </c>
      <c r="V129" s="27" t="n">
        <v>300.91</v>
      </c>
      <c r="W129" s="27" t="n">
        <v>297.939</v>
      </c>
      <c r="X129" s="27" t="n">
        <v>1177.409</v>
      </c>
      <c r="Y129" s="27" t="n">
        <v>287.192</v>
      </c>
      <c r="Z129" s="27" t="n">
        <v>416.262</v>
      </c>
      <c r="AA129" s="27" t="n">
        <v>636.31</v>
      </c>
      <c r="AB129" s="27" t="n">
        <v>617.948</v>
      </c>
      <c r="AC129" s="27" t="n">
        <v>1957.712</v>
      </c>
      <c r="AD129" s="27" t="n">
        <v>643.38</v>
      </c>
      <c r="AE129" s="27" t="n">
        <v>685.9</v>
      </c>
      <c r="AF129" s="27" t="n">
        <v>695.122</v>
      </c>
      <c r="AG129" s="27" t="n">
        <v>680.373</v>
      </c>
      <c r="AH129" s="27" t="n">
        <v>2704.775</v>
      </c>
      <c r="AI129" s="27" t="n">
        <v>659.803</v>
      </c>
      <c r="AJ129" s="27" t="n">
        <v>725.022</v>
      </c>
      <c r="AK129" s="27" t="n">
        <v>736.122</v>
      </c>
      <c r="AL129" s="27" t="n">
        <v>744.757</v>
      </c>
      <c r="AM129" s="27" t="n">
        <v>2865.704</v>
      </c>
      <c r="AN129" s="27" t="n">
        <v>733.69</v>
      </c>
      <c r="AO129" s="27" t="n">
        <v>815.819</v>
      </c>
      <c r="AP129" s="27" t="n">
        <v>835.098</v>
      </c>
      <c r="AQ129" s="27" t="n">
        <v>814.15</v>
      </c>
      <c r="AR129" s="27" t="n">
        <v>3198.757</v>
      </c>
      <c r="AS129" s="27" t="n">
        <v>815.424</v>
      </c>
      <c r="AT129" s="27" t="n">
        <v>785.71</v>
      </c>
      <c r="AU129" s="27" t="n">
        <v>828.822</v>
      </c>
      <c r="AV129" s="27" t="n">
        <v>846.851</v>
      </c>
      <c r="AW129" s="27" t="n">
        <v>3276.808</v>
      </c>
      <c r="AX129" s="27" t="n">
        <v>825.92</v>
      </c>
      <c r="AY129" s="27" t="n">
        <v>901.191</v>
      </c>
      <c r="AZ129" s="27" t="n">
        <v>946.098</v>
      </c>
      <c r="BA129" s="27" t="n">
        <v>980.865</v>
      </c>
      <c r="BB129" s="27" t="n">
        <v>3654.074</v>
      </c>
      <c r="BC129" s="27" t="n">
        <v>989.518</v>
      </c>
      <c r="BD129" s="27" t="n">
        <v>1087.892</v>
      </c>
      <c r="BE129" s="27" t="n">
        <v>1120.629</v>
      </c>
      <c r="BF129" s="27" t="n">
        <v>1137.973</v>
      </c>
      <c r="BG129" s="27" t="n">
        <v>4336.012</v>
      </c>
      <c r="BH129" s="27" t="n">
        <v>1146.941</v>
      </c>
      <c r="BI129" s="27" t="n">
        <v>1197.349</v>
      </c>
      <c r="BJ129" s="27" t="n">
        <v>1204.603</v>
      </c>
      <c r="BK129" s="27" t="n">
        <v>1195.62</v>
      </c>
      <c r="BL129" s="27" t="n">
        <v>4744.513</v>
      </c>
      <c r="BM129" s="27" t="n">
        <v>1221.783</v>
      </c>
      <c r="BN129" s="27" t="n">
        <v>1301.07</v>
      </c>
      <c r="BO129" s="27" t="n">
        <v>1344.079</v>
      </c>
      <c r="BP129" s="27" t="n">
        <v>1324.774</v>
      </c>
      <c r="BQ129" s="27" t="n">
        <v>5191.706</v>
      </c>
      <c r="BR129" s="27" t="n">
        <v>1291.443</v>
      </c>
      <c r="BS129" s="27" t="n">
        <v>1392.857</v>
      </c>
      <c r="BT129" s="27" t="n">
        <v>1406.854</v>
      </c>
      <c r="BU129" s="27" t="n">
        <v>1364.229</v>
      </c>
      <c r="BV129" s="27" t="n">
        <v>5455.382</v>
      </c>
      <c r="BW129" s="27" t="n">
        <v>1361.099</v>
      </c>
      <c r="BX129" s="27" t="n">
        <v>1479.217</v>
      </c>
      <c r="BY129" s="47" t="n">
        <f aca="false">BY128*BY119</f>
        <v>1479.36099818584</v>
      </c>
      <c r="BZ129" s="47" t="n">
        <f aca="false">BZ128*BZ119</f>
        <v>1434.04272351767</v>
      </c>
      <c r="CA129" s="47" t="n">
        <f aca="false">SUM(BW129,BX129,BY129,BZ129)</f>
        <v>5753.71972170351</v>
      </c>
      <c r="CB129" s="47" t="n">
        <f aca="false">(CB128-N(CB67))*CB119+N(CB70)</f>
        <v>6075.05755803369</v>
      </c>
      <c r="CC129" s="47" t="n">
        <f aca="false">(CC128-N(CC67))*CC119+N(CC70)</f>
        <v>6588.46767641198</v>
      </c>
      <c r="CD129" s="47" t="n">
        <f aca="false">(CD128-N(CD67))*CD119+N(CD70)</f>
        <v>7134.90943929849</v>
      </c>
      <c r="CE129" s="47" t="n">
        <f aca="false">(CE128-N(CE67))*CE119+N(CE70)</f>
        <v>7692.14189480048</v>
      </c>
      <c r="CF129" s="21" t="s">
        <v>286</v>
      </c>
      <c r="CH129" s="22" t="n">
        <f aca="false">IFERROR((CE129/BV129)^(1/5)-1,"n/m")</f>
        <v>0.0711355271221448</v>
      </c>
      <c r="CI129" s="22" t="n">
        <f aca="false">IFERROR((BV129/AW129)^(1/5)-1,"n/m")</f>
        <v>0.107324309464874</v>
      </c>
      <c r="CJ129" s="22" t="n">
        <f aca="false">IFERROR((BV129/X129)^(1/10)-1,"n/m")</f>
        <v>0.165708012274187</v>
      </c>
      <c r="CK129" s="22" t="n">
        <f aca="false">IFERROR((BV129/C129)^(1/19)-1,"n/m")</f>
        <v>0.134898639423337</v>
      </c>
    </row>
    <row r="130" customFormat="false" ht="15" hidden="true" customHeight="true" outlineLevel="2" collapsed="false">
      <c r="B130" s="29" t="s">
        <v>287</v>
      </c>
      <c r="C130" s="27" t="n">
        <v>84.541</v>
      </c>
      <c r="D130" s="27" t="n">
        <v>99.565</v>
      </c>
      <c r="E130" s="27" t="n">
        <v>111.114</v>
      </c>
      <c r="F130" s="27" t="n">
        <v>138.026</v>
      </c>
      <c r="G130" s="27" t="n">
        <v>149.86</v>
      </c>
      <c r="H130" s="27" t="n">
        <v>161.967</v>
      </c>
      <c r="I130" s="27" t="n">
        <v>197.454</v>
      </c>
      <c r="J130" s="27" t="n">
        <v>53.251</v>
      </c>
      <c r="K130" s="27" t="n">
        <v>52.903</v>
      </c>
      <c r="L130" s="27" t="n">
        <v>53.536</v>
      </c>
      <c r="M130" s="27" t="n">
        <v>52.947</v>
      </c>
      <c r="N130" s="27" t="n">
        <v>212.637</v>
      </c>
      <c r="O130" s="27" t="n">
        <v>55.647</v>
      </c>
      <c r="P130" s="27" t="n">
        <v>56.526</v>
      </c>
      <c r="Q130" s="27" t="n">
        <v>57.991</v>
      </c>
      <c r="R130" s="27" t="n">
        <v>59.311</v>
      </c>
      <c r="S130" s="27" t="n">
        <v>229.474</v>
      </c>
      <c r="T130" s="27" t="n">
        <v>58.144</v>
      </c>
      <c r="U130" s="27" t="n">
        <v>57.264</v>
      </c>
      <c r="V130" s="27" t="n">
        <v>59.799</v>
      </c>
      <c r="W130" s="27" t="n">
        <v>62.276</v>
      </c>
      <c r="X130" s="27" t="n">
        <v>237.484</v>
      </c>
      <c r="Y130" s="27" t="n">
        <v>67.682</v>
      </c>
      <c r="Z130" s="27" t="n">
        <v>152.737</v>
      </c>
      <c r="AA130" s="27" t="n">
        <v>129.576</v>
      </c>
      <c r="AB130" s="27" t="n">
        <v>124.268</v>
      </c>
      <c r="AC130" s="27" t="n">
        <v>474.263</v>
      </c>
      <c r="AD130" s="27" t="n">
        <v>129.051</v>
      </c>
      <c r="AE130" s="27" t="n">
        <v>126.35</v>
      </c>
      <c r="AF130" s="27" t="n">
        <v>128.2</v>
      </c>
      <c r="AG130" s="27" t="n">
        <v>126.038</v>
      </c>
      <c r="AH130" s="27" t="n">
        <v>509.638</v>
      </c>
      <c r="AI130" s="27" t="n">
        <v>131.308</v>
      </c>
      <c r="AJ130" s="27" t="n">
        <v>128.261</v>
      </c>
      <c r="AK130" s="27" t="n">
        <v>139.014</v>
      </c>
      <c r="AL130" s="27" t="n">
        <v>125.806</v>
      </c>
      <c r="AM130" s="27" t="n">
        <v>524.388</v>
      </c>
      <c r="AN130" s="27" t="n">
        <v>132.586</v>
      </c>
      <c r="AO130" s="27" t="n">
        <v>139.664</v>
      </c>
      <c r="AP130" s="27" t="n">
        <v>137.883</v>
      </c>
      <c r="AQ130" s="27" t="n">
        <v>136.146</v>
      </c>
      <c r="AR130" s="27" t="n">
        <v>546.278</v>
      </c>
      <c r="AS130" s="27" t="n">
        <v>136.052</v>
      </c>
      <c r="AT130" s="27" t="n">
        <v>132.158</v>
      </c>
      <c r="AU130" s="27" t="n">
        <v>136.003</v>
      </c>
      <c r="AV130" s="27" t="n">
        <v>133.419</v>
      </c>
      <c r="AW130" s="27" t="n">
        <v>537.632</v>
      </c>
      <c r="AX130" s="27" t="n">
        <v>141.422</v>
      </c>
      <c r="AY130" s="27" t="n">
        <v>157.943</v>
      </c>
      <c r="AZ130" s="27" t="n">
        <v>155.52</v>
      </c>
      <c r="BA130" s="27" t="n">
        <v>157.452</v>
      </c>
      <c r="BB130" s="27" t="n">
        <v>612.337</v>
      </c>
      <c r="BC130" s="27" t="n">
        <v>163.414</v>
      </c>
      <c r="BD130" s="27" t="n">
        <v>168.404</v>
      </c>
      <c r="BE130" s="27" t="n">
        <v>186.887</v>
      </c>
      <c r="BF130" s="27" t="n">
        <v>177.762</v>
      </c>
      <c r="BG130" s="27" t="n">
        <v>696.467</v>
      </c>
      <c r="BH130" s="27" t="n">
        <v>193.667</v>
      </c>
      <c r="BI130" s="27" t="n">
        <v>216.385</v>
      </c>
      <c r="BJ130" s="27" t="n">
        <v>196.316</v>
      </c>
      <c r="BK130" s="27" t="n">
        <v>192.752</v>
      </c>
      <c r="BL130" s="27" t="n">
        <v>799.119</v>
      </c>
      <c r="BM130" s="27" t="n">
        <v>220.735</v>
      </c>
      <c r="BN130" s="27" t="n">
        <v>228.848</v>
      </c>
      <c r="BO130" s="27" t="n">
        <v>222.526</v>
      </c>
      <c r="BP130" s="27" t="n">
        <v>211.335</v>
      </c>
      <c r="BQ130" s="27" t="n">
        <v>883.445</v>
      </c>
      <c r="BR130" s="27" t="n">
        <v>250.134</v>
      </c>
      <c r="BS130" s="27" t="n">
        <v>242.966</v>
      </c>
      <c r="BT130" s="27" t="n">
        <v>236.476</v>
      </c>
      <c r="BU130" s="27" t="n">
        <v>229.968</v>
      </c>
      <c r="BV130" s="27" t="n">
        <v>959.544</v>
      </c>
      <c r="BW130" s="27" t="n">
        <v>251.119</v>
      </c>
      <c r="BX130" s="27" t="n">
        <v>260.493</v>
      </c>
      <c r="BY130" s="47" t="n">
        <f aca="false">BT130*(BW130+BX130)/(BR130+BS130)</f>
        <v>245.353801078889</v>
      </c>
      <c r="BZ130" s="47" t="n">
        <f aca="false">BU130*(BW130+BX130)/(BR130+BS130)</f>
        <v>238.601477217603</v>
      </c>
      <c r="CA130" s="47" t="n">
        <f aca="false">SUM(BW130,BX130,BY130,BZ130)</f>
        <v>995.567278296492</v>
      </c>
      <c r="CB130" s="47" t="n">
        <f aca="false">(CB128-N(CB67))*CB121</f>
        <v>1047.14521668327</v>
      </c>
      <c r="CC130" s="47" t="n">
        <f aca="false">(CC128-N(CC67))*CC121</f>
        <v>1094.33254803296</v>
      </c>
      <c r="CD130" s="47" t="n">
        <f aca="false">(CD128-N(CD67))*CD121</f>
        <v>1145.34177679374</v>
      </c>
      <c r="CE130" s="47" t="n">
        <f aca="false">(CE128-N(CE67))*CE121</f>
        <v>1196.13734782927</v>
      </c>
      <c r="CF130" s="21" t="s">
        <v>288</v>
      </c>
      <c r="CH130" s="22" t="n">
        <f aca="false">IFERROR((CE130/BV130)^(1/5)-1,"n/m")</f>
        <v>0.0450648272359229</v>
      </c>
      <c r="CI130" s="22" t="n">
        <f aca="false">IFERROR((BV130/AW130)^(1/5)-1,"n/m")</f>
        <v>0.122835039280984</v>
      </c>
      <c r="CJ130" s="22" t="n">
        <f aca="false">IFERROR((BV130/X130)^(1/10)-1,"n/m")</f>
        <v>0.149854936084078</v>
      </c>
      <c r="CK130" s="22" t="n">
        <f aca="false">IFERROR((BV130/C130)^(1/19)-1,"n/m")</f>
        <v>0.136386811787578</v>
      </c>
    </row>
    <row r="131" customFormat="false" ht="15" hidden="true" customHeight="true" outlineLevel="2" collapsed="false">
      <c r="B131" s="29" t="s">
        <v>289</v>
      </c>
      <c r="C131" s="27" t="n">
        <v>70.785</v>
      </c>
      <c r="D131" s="27" t="n">
        <v>81.287</v>
      </c>
      <c r="E131" s="27" t="n">
        <v>91.095</v>
      </c>
      <c r="F131" s="27" t="n">
        <v>117.796</v>
      </c>
      <c r="G131" s="27" t="n">
        <v>132.874</v>
      </c>
      <c r="H131" s="27" t="n">
        <v>147.036</v>
      </c>
      <c r="I131" s="27" t="n">
        <v>169.027</v>
      </c>
      <c r="J131" s="27" t="n">
        <v>51.649</v>
      </c>
      <c r="K131" s="27" t="n">
        <v>54.766</v>
      </c>
      <c r="L131" s="27" t="n">
        <v>55.863</v>
      </c>
      <c r="M131" s="27" t="n">
        <v>56.177</v>
      </c>
      <c r="N131" s="27" t="n">
        <v>218.454</v>
      </c>
      <c r="O131" s="27" t="n">
        <v>55.817</v>
      </c>
      <c r="P131" s="27" t="n">
        <v>57.105</v>
      </c>
      <c r="Q131" s="27" t="n">
        <v>58.998</v>
      </c>
      <c r="R131" s="27" t="n">
        <v>59.024</v>
      </c>
      <c r="S131" s="27" t="n">
        <v>230.944</v>
      </c>
      <c r="T131" s="27" t="n">
        <v>57.307</v>
      </c>
      <c r="U131" s="27" t="n">
        <v>59.639</v>
      </c>
      <c r="V131" s="27" t="n">
        <v>61.373</v>
      </c>
      <c r="W131" s="27" t="n">
        <v>62.039</v>
      </c>
      <c r="X131" s="27" t="n">
        <v>240.357</v>
      </c>
      <c r="Y131" s="27" t="n">
        <v>60.897</v>
      </c>
      <c r="Z131" s="27" t="n">
        <v>84.348</v>
      </c>
      <c r="AA131" s="27" t="n">
        <v>125.744</v>
      </c>
      <c r="AB131" s="27" t="n">
        <v>122.612</v>
      </c>
      <c r="AC131" s="27" t="n">
        <v>393.6</v>
      </c>
      <c r="AD131" s="27" t="n">
        <v>125.24</v>
      </c>
      <c r="AE131" s="27" t="n">
        <v>132.827</v>
      </c>
      <c r="AF131" s="27" t="n">
        <v>136.941</v>
      </c>
      <c r="AG131" s="27" t="n">
        <v>135.179</v>
      </c>
      <c r="AH131" s="27" t="n">
        <v>530.187</v>
      </c>
      <c r="AI131" s="27" t="n">
        <v>133.185</v>
      </c>
      <c r="AJ131" s="27" t="n">
        <v>142.45</v>
      </c>
      <c r="AK131" s="27" t="n">
        <v>148.232</v>
      </c>
      <c r="AL131" s="27" t="n">
        <v>148.842</v>
      </c>
      <c r="AM131" s="27" t="n">
        <v>572.708</v>
      </c>
      <c r="AN131" s="27" t="n">
        <v>146.847</v>
      </c>
      <c r="AO131" s="27" t="n">
        <v>156.776</v>
      </c>
      <c r="AP131" s="27" t="n">
        <v>157.994</v>
      </c>
      <c r="AQ131" s="27" t="n">
        <v>156.78</v>
      </c>
      <c r="AR131" s="27" t="n">
        <v>618.396</v>
      </c>
      <c r="AS131" s="27" t="n">
        <v>150.821</v>
      </c>
      <c r="AT131" s="27" t="n">
        <v>151.23</v>
      </c>
      <c r="AU131" s="27" t="n">
        <v>157.59</v>
      </c>
      <c r="AV131" s="27" t="n">
        <v>161.461</v>
      </c>
      <c r="AW131" s="27" t="n">
        <v>621.102</v>
      </c>
      <c r="AX131" s="27" t="n">
        <v>157.402</v>
      </c>
      <c r="AY131" s="27" t="n">
        <v>169.221</v>
      </c>
      <c r="AZ131" s="27" t="n">
        <v>171.965</v>
      </c>
      <c r="BA131" s="27" t="n">
        <v>175.142</v>
      </c>
      <c r="BB131" s="27" t="n">
        <v>673.73</v>
      </c>
      <c r="BC131" s="27" t="n">
        <v>179.95</v>
      </c>
      <c r="BD131" s="27" t="n">
        <v>188.937</v>
      </c>
      <c r="BE131" s="27" t="n">
        <v>193.287</v>
      </c>
      <c r="BF131" s="27" t="n">
        <v>201.111</v>
      </c>
      <c r="BG131" s="27" t="n">
        <v>763.285</v>
      </c>
      <c r="BH131" s="27" t="n">
        <v>204.059</v>
      </c>
      <c r="BI131" s="27" t="n">
        <v>213.322</v>
      </c>
      <c r="BJ131" s="27" t="n">
        <v>214.966</v>
      </c>
      <c r="BK131" s="27" t="n">
        <v>213.291</v>
      </c>
      <c r="BL131" s="27" t="n">
        <v>845.638</v>
      </c>
      <c r="BM131" s="27" t="n">
        <v>222.691</v>
      </c>
      <c r="BN131" s="27" t="n">
        <v>241.229</v>
      </c>
      <c r="BO131" s="27" t="n">
        <v>248.473</v>
      </c>
      <c r="BP131" s="27" t="n">
        <v>261.609</v>
      </c>
      <c r="BQ131" s="27" t="n">
        <v>974.001</v>
      </c>
      <c r="BR131" s="27" t="n">
        <v>242.307</v>
      </c>
      <c r="BS131" s="27" t="n">
        <v>257.421</v>
      </c>
      <c r="BT131" s="27" t="n">
        <v>263.999</v>
      </c>
      <c r="BU131" s="27" t="n">
        <v>266.838</v>
      </c>
      <c r="BV131" s="27" t="n">
        <v>1030.565</v>
      </c>
      <c r="BW131" s="27" t="n">
        <v>267.485</v>
      </c>
      <c r="BX131" s="27" t="n">
        <v>278.277</v>
      </c>
      <c r="BY131" s="47" t="n">
        <f aca="false">($CP$20-BW131-BX131)/2</f>
        <v>283.119</v>
      </c>
      <c r="BZ131" s="47" t="n">
        <f aca="false">($CP$20-BW131-BX131)/2</f>
        <v>283.119</v>
      </c>
      <c r="CA131" s="47" t="n">
        <f aca="false">SUM(BW131,BX131,BY131,BZ131)</f>
        <v>1112</v>
      </c>
      <c r="CB131" s="47" t="n">
        <f aca="false">(CB128-N(CB67))*CB122+N(CB72)</f>
        <v>1178.69482688206</v>
      </c>
      <c r="CC131" s="47" t="n">
        <f aca="false">(CC128-N(CC67))*CC122+N(CC72)</f>
        <v>1265.43640104385</v>
      </c>
      <c r="CD131" s="47" t="n">
        <f aca="false">(CD128-N(CD67))*CD122+N(CD72)</f>
        <v>1358.13846315014</v>
      </c>
      <c r="CE131" s="47" t="n">
        <f aca="false">(CE128-N(CE67))*CE122+N(CE72)</f>
        <v>1452.40745609049</v>
      </c>
      <c r="CF131" s="21" t="s">
        <v>290</v>
      </c>
      <c r="CH131" s="22" t="n">
        <f aca="false">IFERROR((CE131/BV131)^(1/5)-1,"n/m")</f>
        <v>0.0710324178003619</v>
      </c>
      <c r="CI131" s="22" t="n">
        <f aca="false">IFERROR((BV131/AW131)^(1/5)-1,"n/m")</f>
        <v>0.106579173420745</v>
      </c>
      <c r="CJ131" s="22" t="n">
        <f aca="false">IFERROR((BV131/X131)^(1/10)-1,"n/m")</f>
        <v>0.156702998542278</v>
      </c>
      <c r="CK131" s="22" t="n">
        <f aca="false">IFERROR((BV131/C131)^(1/19)-1,"n/m")</f>
        <v>0.151377098805372</v>
      </c>
    </row>
    <row r="132" customFormat="false" ht="15" hidden="true" customHeight="true" outlineLevel="2" collapsed="false">
      <c r="B132" s="29" t="s">
        <v>291</v>
      </c>
      <c r="C132" s="27" t="n">
        <v>4.08</v>
      </c>
      <c r="D132" s="27" t="n">
        <v>4.341</v>
      </c>
      <c r="E132" s="27" t="n">
        <v>6.334</v>
      </c>
      <c r="F132" s="27" t="n">
        <v>12.962</v>
      </c>
      <c r="G132" s="27" t="n">
        <v>14.582</v>
      </c>
      <c r="H132" s="27" t="n">
        <v>20.064</v>
      </c>
      <c r="I132" s="27" t="n">
        <v>24.557</v>
      </c>
      <c r="J132" s="27" t="n">
        <v>6.438</v>
      </c>
      <c r="K132" s="27" t="n">
        <v>6.211</v>
      </c>
      <c r="L132" s="27" t="n">
        <v>6.211</v>
      </c>
      <c r="M132" s="27" t="n">
        <v>6.549</v>
      </c>
      <c r="N132" s="27" t="n">
        <v>25.41</v>
      </c>
      <c r="O132" s="27" t="n">
        <v>6.737</v>
      </c>
      <c r="P132" s="27" t="n">
        <v>6.72</v>
      </c>
      <c r="Q132" s="27" t="n">
        <v>6.702</v>
      </c>
      <c r="R132" s="27" t="n">
        <v>6.842</v>
      </c>
      <c r="S132" s="27" t="n">
        <v>27</v>
      </c>
      <c r="T132" s="27" t="n">
        <v>6.999</v>
      </c>
      <c r="U132" s="27" t="n">
        <v>7.264</v>
      </c>
      <c r="V132" s="27" t="n">
        <v>7.195</v>
      </c>
      <c r="W132" s="27" t="n">
        <v>7.619</v>
      </c>
      <c r="X132" s="27" t="n">
        <v>29.077</v>
      </c>
      <c r="Y132" s="27" t="n">
        <v>7.694</v>
      </c>
      <c r="Z132" s="27" t="n">
        <v>14.081</v>
      </c>
      <c r="AA132" s="27" t="n">
        <v>26.944</v>
      </c>
      <c r="AB132" s="27" t="n">
        <v>21.593</v>
      </c>
      <c r="AC132" s="27" t="n">
        <v>70.312</v>
      </c>
      <c r="AD132" s="27" t="n">
        <v>25.51</v>
      </c>
      <c r="AE132" s="27" t="n">
        <v>24.762</v>
      </c>
      <c r="AF132" s="27" t="n">
        <v>26.613</v>
      </c>
      <c r="AG132" s="27" t="n">
        <v>25.411</v>
      </c>
      <c r="AH132" s="27" t="n">
        <v>102.297</v>
      </c>
      <c r="AI132" s="27" t="n">
        <v>26.098</v>
      </c>
      <c r="AJ132" s="27" t="n">
        <v>26.474</v>
      </c>
      <c r="AK132" s="27" t="n">
        <v>26.871</v>
      </c>
      <c r="AL132" s="27" t="n">
        <v>28.335</v>
      </c>
      <c r="AM132" s="27" t="n">
        <v>107.779</v>
      </c>
      <c r="AN132" s="27" t="n">
        <v>30.542</v>
      </c>
      <c r="AO132" s="27" t="n">
        <v>31.344</v>
      </c>
      <c r="AP132" s="27" t="n">
        <v>31.934</v>
      </c>
      <c r="AQ132" s="27" t="n">
        <v>31.701</v>
      </c>
      <c r="AR132" s="27" t="n">
        <v>125.522</v>
      </c>
      <c r="AS132" s="27" t="n">
        <v>31.638</v>
      </c>
      <c r="AT132" s="27" t="n">
        <v>31.771</v>
      </c>
      <c r="AU132" s="27" t="n">
        <v>32.653</v>
      </c>
      <c r="AV132" s="27" t="n">
        <v>35.24</v>
      </c>
      <c r="AW132" s="27" t="n">
        <v>131.302</v>
      </c>
      <c r="AX132" s="27" t="n">
        <v>32.192</v>
      </c>
      <c r="AY132" s="27" t="n">
        <v>32.707</v>
      </c>
      <c r="AZ132" s="27" t="n">
        <v>35.337</v>
      </c>
      <c r="BA132" s="27" t="n">
        <v>39.042</v>
      </c>
      <c r="BB132" s="27" t="n">
        <v>139.279</v>
      </c>
      <c r="BC132" s="27" t="n">
        <v>37.635</v>
      </c>
      <c r="BD132" s="27" t="n">
        <v>37.462</v>
      </c>
      <c r="BE132" s="27" t="n">
        <v>38.859</v>
      </c>
      <c r="BF132" s="27" t="n">
        <v>41.719</v>
      </c>
      <c r="BG132" s="27" t="n">
        <v>155.675</v>
      </c>
      <c r="BH132" s="27" t="n">
        <v>39.282</v>
      </c>
      <c r="BI132" s="27" t="n">
        <v>39.052</v>
      </c>
      <c r="BJ132" s="27" t="n">
        <v>39.405</v>
      </c>
      <c r="BK132" s="27" t="n">
        <v>39.833</v>
      </c>
      <c r="BL132" s="27" t="n">
        <v>157.573</v>
      </c>
      <c r="BM132" s="27" t="n">
        <v>40.29</v>
      </c>
      <c r="BN132" s="27" t="n">
        <v>44.124</v>
      </c>
      <c r="BO132" s="27" t="n">
        <v>45.17</v>
      </c>
      <c r="BP132" s="27" t="n">
        <v>60.184</v>
      </c>
      <c r="BQ132" s="27" t="n">
        <v>189.768</v>
      </c>
      <c r="BR132" s="27" t="n">
        <v>47.642</v>
      </c>
      <c r="BS132" s="27" t="n">
        <v>50.236</v>
      </c>
      <c r="BT132" s="27" t="n">
        <v>51.331</v>
      </c>
      <c r="BU132" s="27" t="n">
        <v>52.332</v>
      </c>
      <c r="BV132" s="27" t="n">
        <v>201.541</v>
      </c>
      <c r="BW132" s="27" t="n">
        <v>47.264</v>
      </c>
      <c r="BX132" s="27" t="n">
        <v>47.6</v>
      </c>
      <c r="BY132" s="47" t="n">
        <f aca="false">BY123</f>
        <v>48.568</v>
      </c>
      <c r="BZ132" s="47" t="n">
        <f aca="false">BZ123</f>
        <v>48.568</v>
      </c>
      <c r="CA132" s="47" t="n">
        <f aca="false">SUM(BW132,BX132,BY132,BZ132)</f>
        <v>192</v>
      </c>
      <c r="CB132" s="47" t="n">
        <f aca="false">CB123+N(CB77)</f>
        <v>192.5</v>
      </c>
      <c r="CC132" s="47" t="n">
        <f aca="false">CC123+N(CC77)</f>
        <v>205.5</v>
      </c>
      <c r="CD132" s="47" t="n">
        <f aca="false">CD123+N(CD77)</f>
        <v>218.5</v>
      </c>
      <c r="CE132" s="47" t="n">
        <f aca="false">CE123+N(CE77)</f>
        <v>232.5</v>
      </c>
      <c r="CF132" s="21"/>
      <c r="CH132" s="22" t="n">
        <f aca="false">IFERROR((CE132/BV132)^(1/5)-1,"n/m")</f>
        <v>0.0289917898750722</v>
      </c>
      <c r="CI132" s="22" t="n">
        <f aca="false">IFERROR((BV132/AW132)^(1/5)-1,"n/m")</f>
        <v>0.0894778712020192</v>
      </c>
      <c r="CJ132" s="22" t="n">
        <f aca="false">IFERROR((BV132/X132)^(1/10)-1,"n/m")</f>
        <v>0.213616245413559</v>
      </c>
      <c r="CK132" s="22" t="n">
        <f aca="false">IFERROR((BV132/C132)^(1/19)-1,"n/m")</f>
        <v>0.227841409610598</v>
      </c>
    </row>
    <row r="133" customFormat="false" ht="15" hidden="true" customHeight="true" outlineLevel="2" collapsed="false">
      <c r="B133" s="29" t="s">
        <v>292</v>
      </c>
      <c r="C133" s="27" t="n">
        <v>0.796</v>
      </c>
      <c r="D133" s="27" t="n">
        <v>0.25</v>
      </c>
      <c r="E133" s="27" t="n">
        <v>0.629</v>
      </c>
      <c r="F133" s="27" t="n">
        <v>-0.481</v>
      </c>
      <c r="G133" s="27" t="n">
        <v>0.571</v>
      </c>
      <c r="H133" s="27" t="n">
        <v>1.657</v>
      </c>
      <c r="I133" s="27" t="n">
        <v>-1.924</v>
      </c>
      <c r="J133" s="27" t="n">
        <v>-0.322</v>
      </c>
      <c r="K133" s="27" t="n">
        <v>13.943</v>
      </c>
      <c r="L133" s="27" t="n">
        <v>-1.725</v>
      </c>
      <c r="M133" s="27" t="n">
        <v>0.859999999999999</v>
      </c>
      <c r="N133" s="27" t="n">
        <v>12.755</v>
      </c>
      <c r="O133" s="27" t="n">
        <v>-0.141</v>
      </c>
      <c r="P133" s="27" t="n">
        <v>-1.324</v>
      </c>
      <c r="Q133" s="27" t="n">
        <v>9</v>
      </c>
      <c r="R133" s="27" t="n">
        <v>-3.444</v>
      </c>
      <c r="S133" s="27" t="n">
        <v>4.091</v>
      </c>
      <c r="T133" s="27" t="n">
        <v>0.662</v>
      </c>
      <c r="U133" s="27" t="n">
        <v>-0.316</v>
      </c>
      <c r="V133" s="27" t="n">
        <v>493.813</v>
      </c>
      <c r="W133" s="27" t="n">
        <v>0.334000000000003</v>
      </c>
      <c r="X133" s="27" t="n">
        <v>494.492</v>
      </c>
      <c r="Y133" s="27" t="n">
        <v>0.236</v>
      </c>
      <c r="Z133" s="27" t="n">
        <v>-3.284</v>
      </c>
      <c r="AA133" s="27" t="n">
        <v>7.682</v>
      </c>
      <c r="AB133" s="27" t="n">
        <v>23.044</v>
      </c>
      <c r="AC133" s="27" t="n">
        <v>27.678</v>
      </c>
      <c r="AD133" s="27" t="n">
        <v>141.681</v>
      </c>
      <c r="AE133" s="27" t="n">
        <v>-1.18</v>
      </c>
      <c r="AF133" s="27" t="n">
        <v>0.832</v>
      </c>
      <c r="AG133" s="27" t="n">
        <v>15.16</v>
      </c>
      <c r="AH133" s="27" t="n">
        <v>156.493</v>
      </c>
      <c r="AI133" s="27" t="n">
        <v>1.03</v>
      </c>
      <c r="AJ133" s="27" t="n">
        <v>7.073</v>
      </c>
      <c r="AK133" s="27" t="n">
        <v>-1.998</v>
      </c>
      <c r="AL133" s="27" t="n">
        <v>14.012</v>
      </c>
      <c r="AM133" s="27" t="n">
        <v>20.118</v>
      </c>
      <c r="AN133" s="27" t="n">
        <v>16.112</v>
      </c>
      <c r="AO133" s="27" t="n">
        <v>3.902</v>
      </c>
      <c r="AP133" s="27" t="n">
        <v>12.935</v>
      </c>
      <c r="AQ133" s="27" t="n">
        <v>28.999</v>
      </c>
      <c r="AR133" s="27" t="n">
        <v>61.948</v>
      </c>
      <c r="AS133" s="27" t="n">
        <v>1.506</v>
      </c>
      <c r="AT133" s="27" t="n">
        <v>437.27</v>
      </c>
      <c r="AU133" s="27" t="n">
        <v>3.805</v>
      </c>
      <c r="AV133" s="27" t="n">
        <v>24.136</v>
      </c>
      <c r="AW133" s="27" t="n">
        <v>466.718</v>
      </c>
      <c r="AX133" s="27" t="n">
        <v>0.634</v>
      </c>
      <c r="AY133" s="27" t="n">
        <v>6.081</v>
      </c>
      <c r="AZ133" s="27" t="n">
        <v>3.104</v>
      </c>
      <c r="BA133" s="27" t="n">
        <v>22.497</v>
      </c>
      <c r="BB133" s="27" t="n">
        <v>32.316</v>
      </c>
      <c r="BC133" s="27" t="n">
        <v>1.878</v>
      </c>
      <c r="BD133" s="27" t="n">
        <v>4.15</v>
      </c>
      <c r="BE133" s="27" t="n">
        <v>13.438</v>
      </c>
      <c r="BF133" s="27" t="n">
        <v>-1.237</v>
      </c>
      <c r="BG133" s="27" t="n">
        <v>18.23</v>
      </c>
      <c r="BH133" s="27" t="n">
        <v>1.865</v>
      </c>
      <c r="BI133" s="27" t="n">
        <v>10.859</v>
      </c>
      <c r="BJ133" s="27" t="n">
        <v>56.477</v>
      </c>
      <c r="BK133" s="27" t="n">
        <v>169.595</v>
      </c>
      <c r="BL133" s="27" t="n">
        <v>238.796</v>
      </c>
      <c r="BM133" s="27" t="n">
        <v>0.354</v>
      </c>
      <c r="BN133" s="27" t="n">
        <v>8.19</v>
      </c>
      <c r="BO133" s="27" t="n">
        <v>2.897</v>
      </c>
      <c r="BP133" s="27" t="n">
        <v>601.571</v>
      </c>
      <c r="BQ133" s="27" t="n">
        <v>613.012</v>
      </c>
      <c r="BR133" s="27" t="n">
        <v>6.44</v>
      </c>
      <c r="BS133" s="27" t="n">
        <v>4.03</v>
      </c>
      <c r="BT133" s="27" t="n">
        <v>60.127</v>
      </c>
      <c r="BU133" s="27" t="n">
        <v>39.111</v>
      </c>
      <c r="BV133" s="27" t="n">
        <v>109.709</v>
      </c>
      <c r="BW133" s="27" t="n">
        <v>79.584</v>
      </c>
      <c r="BX133" s="27" t="n">
        <v>58.466</v>
      </c>
      <c r="BY133" s="57" t="n">
        <v>0</v>
      </c>
      <c r="BZ133" s="57" t="n">
        <v>0</v>
      </c>
      <c r="CA133" s="47" t="n">
        <f aca="false">SUM(BW133,BX133,BY133,BZ133)</f>
        <v>138.05</v>
      </c>
      <c r="CB133" s="57" t="n">
        <v>0</v>
      </c>
      <c r="CC133" s="57" t="n">
        <v>0</v>
      </c>
      <c r="CD133" s="57" t="n">
        <v>0</v>
      </c>
      <c r="CE133" s="57" t="n">
        <v>0</v>
      </c>
      <c r="CF133" s="21" t="s">
        <v>293</v>
      </c>
    </row>
    <row r="134" customFormat="false" ht="15" hidden="true" customHeight="true" outlineLevel="2" collapsed="false">
      <c r="B134" s="55" t="s">
        <v>294</v>
      </c>
      <c r="C134" s="56" t="n">
        <f aca="false">C128-C129-C130-C131-C132-N(C133)</f>
        <v>171.386</v>
      </c>
      <c r="D134" s="56" t="n">
        <f aca="false">D128-D129-D130-D131-D132-N(D133)</f>
        <v>207.009</v>
      </c>
      <c r="E134" s="56" t="n">
        <f aca="false">E128-E129-E130-E131-E132-N(E133)</f>
        <v>212.356</v>
      </c>
      <c r="F134" s="56" t="n">
        <f aca="false">F128-F129-F130-F131-F132-N(F133)</f>
        <v>230.675</v>
      </c>
      <c r="G134" s="56" t="n">
        <f aca="false">G128-G129-G130-G131-G132-N(G133)</f>
        <v>272.383</v>
      </c>
      <c r="H134" s="56" t="n">
        <f aca="false">H128-H129-H130-H131-H132-N(H133)</f>
        <v>317.062</v>
      </c>
      <c r="I134" s="56" t="n">
        <f aca="false">I128-I129-I130-I131-I132-N(I133)</f>
        <v>316.147</v>
      </c>
      <c r="J134" s="56" t="n">
        <f aca="false">J128-J129-J130-J131-J132-N(J133)</f>
        <v>86.913</v>
      </c>
      <c r="K134" s="56" t="n">
        <f aca="false">K128-K129-K130-K131-K132-N(K133)</f>
        <v>93.074</v>
      </c>
      <c r="L134" s="56" t="n">
        <f aca="false">L128-L129-L130-L131-L132-N(L133)</f>
        <v>115.62</v>
      </c>
      <c r="M134" s="56" t="n">
        <f aca="false">M128-M129-M130-M131-M132-N(M133)</f>
        <v>99.1130000000002</v>
      </c>
      <c r="N134" s="56" t="n">
        <f aca="false">N128-N129-N130-N131-N132-N(N133)</f>
        <v>394.72</v>
      </c>
      <c r="O134" s="56" t="n">
        <f aca="false">O128-O129-O130-O131-O132-N(O133)</f>
        <v>100.589</v>
      </c>
      <c r="P134" s="56" t="n">
        <f aca="false">P128-P129-P130-P131-P132-N(P133)</f>
        <v>118.716</v>
      </c>
      <c r="Q134" s="56" t="n">
        <f aca="false">Q128-Q129-Q130-Q131-Q132-N(Q133)</f>
        <v>116.011</v>
      </c>
      <c r="R134" s="56" t="n">
        <f aca="false">R128-R129-R130-R131-R132-N(R133)</f>
        <v>113.952</v>
      </c>
      <c r="S134" s="56" t="n">
        <f aca="false">S128-S129-S130-S131-S132-N(S133)</f>
        <v>449.269</v>
      </c>
      <c r="T134" s="56" t="n">
        <f aca="false">T128-T129-T130-T131-T132-N(T133)</f>
        <v>101.865</v>
      </c>
      <c r="U134" s="56" t="n">
        <f aca="false">U128-U129-U130-U131-U132-N(U133)</f>
        <v>110.024</v>
      </c>
      <c r="V134" s="56" t="n">
        <f aca="false">V128-V129-V130-V131-V132-N(V133)</f>
        <v>-375.152</v>
      </c>
      <c r="W134" s="56" t="n">
        <f aca="false">W128-W129-W130-W131-W132-N(W133)</f>
        <v>101.73</v>
      </c>
      <c r="X134" s="56" t="n">
        <f aca="false">X128-X129-X130-X131-X132-N(X133)</f>
        <v>-61.5320000000003</v>
      </c>
      <c r="Y134" s="56" t="n">
        <f aca="false">Y128-Y129-Y130-Y131-Y132-N(Y133)</f>
        <v>90.9789999999999</v>
      </c>
      <c r="Z134" s="56" t="n">
        <f aca="false">Z128-Z129-Z130-Z131-Z132-N(Z133)</f>
        <v>63.495</v>
      </c>
      <c r="AA134" s="56" t="n">
        <f aca="false">AA128-AA129-AA130-AA131-AA132-N(AA133)</f>
        <v>158.666</v>
      </c>
      <c r="AB134" s="56" t="n">
        <f aca="false">AB128-AB129-AB130-AB131-AB132-N(AB133)</f>
        <v>139.157</v>
      </c>
      <c r="AC134" s="56" t="n">
        <f aca="false">AC128-AC129-AC130-AC131-AC132-N(AC133)</f>
        <v>452.298</v>
      </c>
      <c r="AD134" s="56" t="n">
        <f aca="false">AD128-AD129-AD130-AD131-AD132-N(AD133)</f>
        <v>26.4040000000001</v>
      </c>
      <c r="AE134" s="56" t="n">
        <f aca="false">AE128-AE129-AE130-AE131-AE132-N(AE133)</f>
        <v>206.91</v>
      </c>
      <c r="AF134" s="56" t="n">
        <f aca="false">AF128-AF129-AF130-AF131-AF132-N(AF133)</f>
        <v>218.77</v>
      </c>
      <c r="AG134" s="56" t="n">
        <f aca="false">AG128-AG129-AG130-AG131-AG132-N(AG133)</f>
        <v>175.014</v>
      </c>
      <c r="AH134" s="56" t="n">
        <f aca="false">AH128-AH129-AH130-AH131-AH132-N(AH133)</f>
        <v>627.098</v>
      </c>
      <c r="AI134" s="56" t="n">
        <f aca="false">AI128-AI129-AI130-AI131-AI132-N(AI133)</f>
        <v>188.707</v>
      </c>
      <c r="AJ134" s="56" t="n">
        <f aca="false">AJ128-AJ129-AJ130-AJ131-AJ132-N(AJ133)</f>
        <v>210.688</v>
      </c>
      <c r="AK134" s="56" t="n">
        <f aca="false">AK128-AK129-AK130-AK131-AK132-N(AK133)</f>
        <v>232.869</v>
      </c>
      <c r="AL134" s="56" t="n">
        <f aca="false">AL128-AL129-AL130-AL131-AL132-N(AL133)</f>
        <v>199.98</v>
      </c>
      <c r="AM134" s="56" t="n">
        <f aca="false">AM128-AM129-AM130-AM131-AM132-N(AM133)</f>
        <v>832.244</v>
      </c>
      <c r="AN134" s="56" t="n">
        <f aca="false">AN128-AN129-AN130-AN131-AN132-N(AN133)</f>
        <v>184.86</v>
      </c>
      <c r="AO134" s="56" t="n">
        <f aca="false">AO128-AO129-AO130-AO131-AO132-N(AO133)</f>
        <v>222.134</v>
      </c>
      <c r="AP134" s="56" t="n">
        <f aca="false">AP128-AP129-AP130-AP131-AP132-N(AP133)</f>
        <v>236.6</v>
      </c>
      <c r="AQ134" s="56" t="n">
        <f aca="false">AQ128-AQ129-AQ130-AQ131-AQ132-N(AQ133)</f>
        <v>194.184</v>
      </c>
      <c r="AR134" s="56" t="n">
        <f aca="false">AR128-AR129-AR130-AR131-AR132-N(AR133)</f>
        <v>837.778</v>
      </c>
      <c r="AS134" s="56" t="n">
        <f aca="false">AS128-AS129-AS130-AS131-AS132-N(AS133)</f>
        <v>216.963</v>
      </c>
      <c r="AT134" s="56" t="n">
        <f aca="false">AT128-AT129-AT130-AT131-AT132-N(AT133)</f>
        <v>-232.357</v>
      </c>
      <c r="AU134" s="56" t="n">
        <f aca="false">AU128-AU129-AU130-AU131-AU132-N(AU133)</f>
        <v>230.679</v>
      </c>
      <c r="AV134" s="56" t="n">
        <f aca="false">AV128-AV129-AV130-AV131-AV132-N(AV133)</f>
        <v>197.144</v>
      </c>
      <c r="AW134" s="56" t="n">
        <f aca="false">AW128-AW129-AW130-AW131-AW132-N(AW133)</f>
        <v>412.428</v>
      </c>
      <c r="AX134" s="56" t="n">
        <f aca="false">AX128-AX129-AX130-AX131-AX132-N(AX133)</f>
        <v>238.372</v>
      </c>
      <c r="AY134" s="56" t="n">
        <f aca="false">AY128-AY129-AY130-AY131-AY132-N(AY133)</f>
        <v>266.788</v>
      </c>
      <c r="AZ134" s="56" t="n">
        <f aca="false">AZ128-AZ129-AZ130-AZ131-AZ132-N(AZ133)</f>
        <v>285.144</v>
      </c>
      <c r="BA134" s="56" t="n">
        <f aca="false">BA128-BA129-BA130-BA131-BA132-N(BA133)</f>
        <v>249.321</v>
      </c>
      <c r="BB134" s="56" t="n">
        <f aca="false">BB128-BB129-BB130-BB131-BB132-N(BB133)</f>
        <v>1039.625</v>
      </c>
      <c r="BC134" s="56" t="n">
        <f aca="false">BC128-BC129-BC130-BC131-BC132-N(BC133)</f>
        <v>273.86</v>
      </c>
      <c r="BD134" s="56" t="n">
        <f aca="false">BD128-BD129-BD130-BD131-BD132-N(BD133)</f>
        <v>329.59</v>
      </c>
      <c r="BE134" s="56" t="n">
        <f aca="false">BE128-BE129-BE130-BE131-BE132-N(BE133)</f>
        <v>326.768</v>
      </c>
      <c r="BF134" s="56" t="n">
        <f aca="false">BF128-BF129-BF130-BF131-BF132-N(BF133)</f>
        <v>311.973</v>
      </c>
      <c r="BG134" s="56" t="n">
        <f aca="false">BG128-BG129-BG130-BG131-BG132-N(BG133)</f>
        <v>1242.19</v>
      </c>
      <c r="BH134" s="56" t="n">
        <f aca="false">BH128-BH129-BH130-BH131-BH132-N(BH133)</f>
        <v>314.689</v>
      </c>
      <c r="BI134" s="56" t="n">
        <f aca="false">BI128-BI129-BI130-BI131-BI132-N(BI133)</f>
        <v>344.128</v>
      </c>
      <c r="BJ134" s="56" t="n">
        <f aca="false">BJ128-BJ129-BJ130-BJ131-BJ132-N(BJ133)</f>
        <v>352.977</v>
      </c>
      <c r="BK134" s="56" t="n">
        <f aca="false">BK128-BK129-BK130-BK131-BK132-N(BK133)</f>
        <v>224.518</v>
      </c>
      <c r="BL134" s="56" t="n">
        <f aca="false">BL128-BL129-BL130-BL131-BL132-N(BL133)</f>
        <v>1236.312</v>
      </c>
      <c r="BM134" s="56" t="n">
        <f aca="false">BM128-BM129-BM130-BM131-BM132-N(BM133)</f>
        <v>366.8</v>
      </c>
      <c r="BN134" s="56" t="n">
        <f aca="false">BN128-BN129-BN130-BN131-BN132-N(BN133)</f>
        <v>424.705</v>
      </c>
      <c r="BO134" s="56" t="n">
        <f aca="false">BO128-BO129-BO130-BO131-BO132-N(BO133)</f>
        <v>475.343</v>
      </c>
      <c r="BP134" s="56" t="n">
        <f aca="false">BP128-BP129-BP130-BP131-BP132-N(BP133)</f>
        <v>-199.19</v>
      </c>
      <c r="BQ134" s="56" t="n">
        <f aca="false">BQ128-BQ129-BQ130-BQ131-BQ132-N(BQ133)</f>
        <v>1067.659</v>
      </c>
      <c r="BR134" s="56" t="n">
        <f aca="false">BR128-BR129-BR130-BR131-BR132-N(BR133)</f>
        <v>390.21</v>
      </c>
      <c r="BS134" s="56" t="n">
        <f aca="false">BS128-BS129-BS130-BS131-BS132-N(BS133)</f>
        <v>459.545</v>
      </c>
      <c r="BT134" s="56" t="n">
        <f aca="false">BT128-BT129-BT130-BT131-BT132-N(BT133)</f>
        <v>439.591</v>
      </c>
      <c r="BU134" s="56" t="n">
        <f aca="false">BU128-BU129-BU130-BU131-BU132-N(BU133)</f>
        <v>420.828</v>
      </c>
      <c r="BV134" s="56" t="n">
        <f aca="false">BV128-BV129-BV130-BV131-BV132-N(BV133)</f>
        <v>1710.174</v>
      </c>
      <c r="BW134" s="56" t="n">
        <f aca="false">BW128-BW129-BW130-BW131-BW132-N(BW133)</f>
        <v>364.08</v>
      </c>
      <c r="BX134" s="56" t="n">
        <f aca="false">BX128-BX129-BX130-BX131-BX132-N(BX133)</f>
        <v>437.554</v>
      </c>
      <c r="BY134" s="56" t="n">
        <f aca="false">BY128-BY129-BY130-BY131-BY132-N(BY133)</f>
        <v>540.368683832602</v>
      </c>
      <c r="BZ134" s="56" t="n">
        <f aca="false">BZ128-BZ129-BZ130-BZ131-BZ132-N(BZ133)</f>
        <v>501.660316167399</v>
      </c>
      <c r="CA134" s="56" t="n">
        <f aca="false">CA128-CA129-CA130-CA131-CA132-N(CA133)</f>
        <v>1843.663</v>
      </c>
      <c r="CB134" s="56" t="n">
        <f aca="false">CB128-CB129-CB130-CB131-CB132-N(CB133)</f>
        <v>2159.87274705184</v>
      </c>
      <c r="CC134" s="56" t="n">
        <f aca="false">CC128-CC129-CC130-CC131-CC132-N(CC133)</f>
        <v>2353.22521847713</v>
      </c>
      <c r="CD134" s="56" t="n">
        <f aca="false">CD128-CD129-CD130-CD131-CD132-N(CD133)</f>
        <v>2561.07354324045</v>
      </c>
      <c r="CE134" s="56" t="n">
        <f aca="false">CE128-CE129-CE130-CE131-CE132-N(CE133)</f>
        <v>2773.68677957243</v>
      </c>
      <c r="CF134" s="21"/>
      <c r="CH134" s="22" t="n">
        <f aca="false">IFERROR((CE134/BV134)^(1/5)-1,"n/m")</f>
        <v>0.101547992646364</v>
      </c>
      <c r="CI134" s="22" t="n">
        <f aca="false">IFERROR((BV134/AW134)^(1/5)-1,"n/m")</f>
        <v>0.329041161087132</v>
      </c>
      <c r="CJ134" s="22" t="str">
        <f aca="false">IFERROR((BV134/X134)^(1/10)-1,"n/m")</f>
        <v>n/m</v>
      </c>
      <c r="CK134" s="22" t="n">
        <f aca="false">IFERROR((BV134/C134)^(1/19)-1,"n/m")</f>
        <v>0.128709982774802</v>
      </c>
    </row>
    <row r="135" customFormat="false" ht="15" hidden="true" customHeight="true" outlineLevel="2" collapsed="false">
      <c r="B135" s="46" t="s">
        <v>295</v>
      </c>
      <c r="C135" s="26" t="n">
        <f aca="false">ROUND(C134-171.386,1)</f>
        <v>0</v>
      </c>
      <c r="D135" s="26" t="n">
        <f aca="false">ROUND(D134-207.009,1)</f>
        <v>0</v>
      </c>
      <c r="E135" s="26" t="n">
        <f aca="false">ROUND(E134-212.356,1)</f>
        <v>0</v>
      </c>
      <c r="F135" s="26" t="n">
        <f aca="false">ROUND(F134-230.675,1)</f>
        <v>0</v>
      </c>
      <c r="G135" s="26" t="n">
        <f aca="false">ROUND(G134-272.383,1)</f>
        <v>0</v>
      </c>
      <c r="H135" s="26" t="n">
        <f aca="false">ROUND(H134-317.062,1)</f>
        <v>0</v>
      </c>
      <c r="I135" s="26" t="n">
        <f aca="false">ROUND(I134-316.147,1)</f>
        <v>0</v>
      </c>
      <c r="J135" s="26" t="n">
        <f aca="false">ROUND(J134-86.913,1)</f>
        <v>0</v>
      </c>
      <c r="K135" s="26" t="n">
        <f aca="false">ROUND(K134-93.074,1)</f>
        <v>0</v>
      </c>
      <c r="L135" s="26" t="n">
        <f aca="false">ROUND(L134-115.62,1)</f>
        <v>0</v>
      </c>
      <c r="M135" s="26" t="n">
        <f aca="false">ROUND(M134-99.113,1)</f>
        <v>0</v>
      </c>
      <c r="N135" s="26" t="n">
        <f aca="false">ROUND(N134-394.72,1)</f>
        <v>0</v>
      </c>
      <c r="O135" s="26" t="n">
        <f aca="false">ROUND(O134-100.589,1)</f>
        <v>0</v>
      </c>
      <c r="P135" s="26" t="n">
        <f aca="false">ROUND(P134-118.716,1)</f>
        <v>0</v>
      </c>
      <c r="Q135" s="26" t="n">
        <f aca="false">ROUND(Q134-116.011,1)</f>
        <v>0</v>
      </c>
      <c r="R135" s="26" t="n">
        <f aca="false">ROUND(R134-113.952,1)</f>
        <v>0</v>
      </c>
      <c r="S135" s="26" t="n">
        <f aca="false">ROUND(S134-449.269,1)</f>
        <v>0</v>
      </c>
      <c r="T135" s="26" t="n">
        <f aca="false">ROUND(T134-101.865,1)</f>
        <v>0</v>
      </c>
      <c r="U135" s="26" t="n">
        <f aca="false">ROUND(U134-110.024,1)</f>
        <v>0</v>
      </c>
      <c r="V135" s="26" t="n">
        <f aca="false">ROUND(V134--375.152,1)</f>
        <v>0</v>
      </c>
      <c r="W135" s="26" t="n">
        <f aca="false">ROUND(W134-101.73,1)</f>
        <v>0</v>
      </c>
      <c r="X135" s="26" t="n">
        <f aca="false">ROUND(X134--61.532,1)</f>
        <v>-0</v>
      </c>
      <c r="Y135" s="26" t="n">
        <f aca="false">ROUND(Y134-90.979,1)</f>
        <v>0</v>
      </c>
      <c r="Z135" s="26" t="n">
        <f aca="false">ROUND(Z134-63.495,1)</f>
        <v>0</v>
      </c>
      <c r="AA135" s="26" t="n">
        <f aca="false">ROUND(AA134-158.666,1)</f>
        <v>0</v>
      </c>
      <c r="AB135" s="26" t="n">
        <f aca="false">ROUND(AB134-139.157,1)</f>
        <v>0</v>
      </c>
      <c r="AC135" s="26" t="n">
        <f aca="false">ROUND(AC134-452.298,1)</f>
        <v>0</v>
      </c>
      <c r="AD135" s="26" t="n">
        <f aca="false">ROUND(AD134-26.404,1)</f>
        <v>0</v>
      </c>
      <c r="AE135" s="26" t="n">
        <f aca="false">ROUND(AE134-206.91,1)</f>
        <v>0</v>
      </c>
      <c r="AF135" s="26" t="n">
        <f aca="false">ROUND(AF134-218.77,1)</f>
        <v>0</v>
      </c>
      <c r="AG135" s="26" t="n">
        <f aca="false">ROUND(AG134-175.014,1)</f>
        <v>0</v>
      </c>
      <c r="AH135" s="26" t="n">
        <f aca="false">ROUND(AH134-627.098,1)</f>
        <v>0</v>
      </c>
      <c r="AI135" s="26" t="n">
        <f aca="false">ROUND(AI134-188.707,1)</f>
        <v>0</v>
      </c>
      <c r="AJ135" s="26" t="n">
        <f aca="false">ROUND(AJ134-210.688,1)</f>
        <v>0</v>
      </c>
      <c r="AK135" s="26" t="n">
        <f aca="false">ROUND(AK134-232.869,1)</f>
        <v>0</v>
      </c>
      <c r="AL135" s="26" t="n">
        <f aca="false">ROUND(AL134-199.98,1)</f>
        <v>0</v>
      </c>
      <c r="AM135" s="26" t="n">
        <f aca="false">ROUND(AM134-832.244,1)</f>
        <v>0</v>
      </c>
      <c r="AN135" s="26" t="n">
        <f aca="false">ROUND(AN134-184.86,1)</f>
        <v>0</v>
      </c>
      <c r="AO135" s="26" t="n">
        <f aca="false">ROUND(AO134-222.134,1)</f>
        <v>0</v>
      </c>
      <c r="AP135" s="26" t="n">
        <f aca="false">ROUND(AP134-236.6,1)</f>
        <v>0</v>
      </c>
      <c r="AQ135" s="26" t="n">
        <f aca="false">ROUND(AQ134-194.184,1)</f>
        <v>0</v>
      </c>
      <c r="AR135" s="26" t="n">
        <f aca="false">ROUND(AR134-837.778,1)</f>
        <v>0</v>
      </c>
      <c r="AS135" s="26" t="n">
        <f aca="false">ROUND(AS134-216.963,1)</f>
        <v>0</v>
      </c>
      <c r="AT135" s="26" t="n">
        <f aca="false">ROUND(AT134--232.357,1)</f>
        <v>0</v>
      </c>
      <c r="AU135" s="26" t="n">
        <f aca="false">ROUND(AU134-230.679,1)</f>
        <v>0</v>
      </c>
      <c r="AV135" s="26" t="n">
        <f aca="false">ROUND(AV134-197.144,1)</f>
        <v>0</v>
      </c>
      <c r="AW135" s="26" t="n">
        <f aca="false">ROUND(AW134-412.428,1)</f>
        <v>0</v>
      </c>
      <c r="AX135" s="26" t="n">
        <f aca="false">ROUND(AX134-238.372,1)</f>
        <v>0</v>
      </c>
      <c r="AY135" s="26" t="n">
        <f aca="false">ROUND(AY134-266.788,1)</f>
        <v>0</v>
      </c>
      <c r="AZ135" s="26" t="n">
        <f aca="false">ROUND(AZ134-285.144,1)</f>
        <v>0</v>
      </c>
      <c r="BA135" s="26" t="n">
        <f aca="false">ROUND(BA134-249.321,1)</f>
        <v>0</v>
      </c>
      <c r="BB135" s="26" t="n">
        <f aca="false">ROUND(BB134-1039.625,1)</f>
        <v>0</v>
      </c>
      <c r="BC135" s="26" t="n">
        <f aca="false">ROUND(BC134-273.86,1)</f>
        <v>0</v>
      </c>
      <c r="BD135" s="26" t="n">
        <f aca="false">ROUND(BD134-329.59,1)</f>
        <v>0</v>
      </c>
      <c r="BE135" s="26" t="n">
        <f aca="false">ROUND(BE134-326.768,1)</f>
        <v>0</v>
      </c>
      <c r="BF135" s="26" t="n">
        <f aca="false">ROUND(BF134-311.973,1)</f>
        <v>0</v>
      </c>
      <c r="BG135" s="26" t="n">
        <f aca="false">ROUND(BG134-1242.19,1)</f>
        <v>0</v>
      </c>
      <c r="BH135" s="26" t="n">
        <f aca="false">ROUND(BH134-314.689,1)</f>
        <v>0</v>
      </c>
      <c r="BI135" s="26" t="n">
        <f aca="false">ROUND(BI134-344.128,1)</f>
        <v>0</v>
      </c>
      <c r="BJ135" s="26" t="n">
        <f aca="false">ROUND(BJ134-352.977,1)</f>
        <v>0</v>
      </c>
      <c r="BK135" s="26" t="n">
        <f aca="false">ROUND(BK134-224.518,1)</f>
        <v>0</v>
      </c>
      <c r="BL135" s="26" t="n">
        <f aca="false">ROUND(BL134-1236.312,1)</f>
        <v>0</v>
      </c>
      <c r="BM135" s="26" t="n">
        <f aca="false">ROUND(BM134-366.8,1)</f>
        <v>0</v>
      </c>
      <c r="BN135" s="26" t="n">
        <f aca="false">ROUND(BN134-424.705,1)</f>
        <v>0</v>
      </c>
      <c r="BO135" s="26" t="n">
        <f aca="false">ROUND(BO134-475.343,1)</f>
        <v>0</v>
      </c>
      <c r="BP135" s="26" t="n">
        <f aca="false">ROUND(BP134--199.19,1)</f>
        <v>0</v>
      </c>
      <c r="BQ135" s="26" t="n">
        <f aca="false">ROUND(BQ134-1067.659,1)</f>
        <v>0</v>
      </c>
      <c r="BR135" s="26" t="n">
        <f aca="false">ROUND(BR134-390.21,1)</f>
        <v>0</v>
      </c>
      <c r="BS135" s="26" t="n">
        <f aca="false">ROUND(BS134-459.545,1)</f>
        <v>0</v>
      </c>
      <c r="BT135" s="26" t="n">
        <f aca="false">ROUND(BT134-439.591,1)</f>
        <v>0</v>
      </c>
      <c r="BU135" s="26" t="n">
        <f aca="false">ROUND(BU134-420.828,1)</f>
        <v>0</v>
      </c>
      <c r="BV135" s="26" t="n">
        <f aca="false">ROUND(BV134-1710.174,1)</f>
        <v>0</v>
      </c>
      <c r="BW135" s="26" t="n">
        <f aca="false">ROUND(BW134-364.08,1)</f>
        <v>0</v>
      </c>
      <c r="BX135" s="26" t="n">
        <f aca="false">ROUND(BX134-437.554,1)</f>
        <v>0</v>
      </c>
      <c r="BY135" s="28"/>
      <c r="BZ135" s="28"/>
      <c r="CA135" s="28"/>
      <c r="CB135" s="28"/>
      <c r="CC135" s="28"/>
      <c r="CD135" s="28"/>
      <c r="CE135" s="28"/>
      <c r="CF135" s="21"/>
    </row>
    <row r="136" customFormat="false" ht="15" hidden="true" customHeight="true" outlineLevel="2" collapsed="false">
      <c r="B136" s="29" t="s">
        <v>296</v>
      </c>
      <c r="C136" s="27" t="n">
        <v>28.97</v>
      </c>
      <c r="D136" s="27" t="n">
        <v>33.43</v>
      </c>
      <c r="E136" s="27" t="n">
        <v>38.824</v>
      </c>
      <c r="F136" s="27" t="n">
        <v>49.161</v>
      </c>
      <c r="G136" s="27" t="n">
        <v>40.134</v>
      </c>
      <c r="H136" s="27" t="n">
        <v>44.52</v>
      </c>
      <c r="I136" s="27" t="n">
        <v>53.037</v>
      </c>
      <c r="J136" s="27" t="n">
        <v>19.012</v>
      </c>
      <c r="K136" s="27" t="n">
        <v>18.928</v>
      </c>
      <c r="L136" s="27" t="n">
        <v>17.911</v>
      </c>
      <c r="M136" s="27" t="n">
        <v>17.728</v>
      </c>
      <c r="N136" s="27" t="n">
        <v>73.579</v>
      </c>
      <c r="O136" s="27" t="n">
        <v>16.91</v>
      </c>
      <c r="P136" s="27" t="n">
        <v>15.94</v>
      </c>
      <c r="Q136" s="27" t="n">
        <v>15.815</v>
      </c>
      <c r="R136" s="27" t="n">
        <v>16.008</v>
      </c>
      <c r="S136" s="27" t="n">
        <v>64.674</v>
      </c>
      <c r="T136" s="27" t="n">
        <v>15.697</v>
      </c>
      <c r="U136" s="27" t="n">
        <v>15.322</v>
      </c>
      <c r="V136" s="27" t="n">
        <v>16.367</v>
      </c>
      <c r="W136" s="27" t="n">
        <v>16.85</v>
      </c>
      <c r="X136" s="27" t="n">
        <v>64.236</v>
      </c>
      <c r="Y136" s="27" t="n">
        <v>17.184</v>
      </c>
      <c r="Z136" s="27" t="n">
        <v>20.485</v>
      </c>
      <c r="AA136" s="27" t="n">
        <v>27.621</v>
      </c>
      <c r="AB136" s="27" t="n">
        <v>27.418</v>
      </c>
      <c r="AC136" s="27" t="n">
        <v>92.709</v>
      </c>
      <c r="AD136" s="27" t="n">
        <v>29.131</v>
      </c>
      <c r="AE136" s="27" t="n">
        <v>31.16</v>
      </c>
      <c r="AF136" s="27" t="n">
        <v>32.471</v>
      </c>
      <c r="AG136" s="27" t="n">
        <v>32.534</v>
      </c>
      <c r="AH136" s="27" t="n">
        <v>125.297</v>
      </c>
      <c r="AI136" s="27" t="n">
        <v>32.37</v>
      </c>
      <c r="AJ136" s="27" t="n">
        <v>32.426</v>
      </c>
      <c r="AK136" s="27" t="n">
        <v>32.078</v>
      </c>
      <c r="AL136" s="27" t="n">
        <v>35.23</v>
      </c>
      <c r="AM136" s="27" t="n">
        <v>132.104</v>
      </c>
      <c r="AN136" s="27" t="n">
        <v>37.287</v>
      </c>
      <c r="AO136" s="27" t="n">
        <v>37.245</v>
      </c>
      <c r="AP136" s="27" t="n">
        <v>36.78</v>
      </c>
      <c r="AQ136" s="27" t="n">
        <v>36.055</v>
      </c>
      <c r="AR136" s="27" t="n">
        <v>147.368</v>
      </c>
      <c r="AS136" s="27" t="n">
        <v>37.99</v>
      </c>
      <c r="AT136" s="27" t="n">
        <v>40.936</v>
      </c>
      <c r="AU136" s="27" t="n">
        <v>40.636</v>
      </c>
      <c r="AV136" s="27" t="n">
        <v>42.813</v>
      </c>
      <c r="AW136" s="27" t="n">
        <v>162.375</v>
      </c>
      <c r="AX136" s="27" t="n">
        <v>42.425</v>
      </c>
      <c r="AY136" s="27" t="n">
        <v>41.328</v>
      </c>
      <c r="AZ136" s="27" t="n">
        <v>40.418</v>
      </c>
      <c r="BA136" s="27" t="n">
        <v>38.625</v>
      </c>
      <c r="BB136" s="27" t="n">
        <v>162.796</v>
      </c>
      <c r="BC136" s="27" t="n">
        <v>41.324</v>
      </c>
      <c r="BD136" s="27" t="n">
        <v>45.079</v>
      </c>
      <c r="BE136" s="27" t="n">
        <v>51.161</v>
      </c>
      <c r="BF136" s="27" t="n">
        <v>64.766</v>
      </c>
      <c r="BG136" s="27" t="n">
        <v>202.331</v>
      </c>
      <c r="BH136" s="27" t="n">
        <v>68.353</v>
      </c>
      <c r="BI136" s="27" t="n">
        <v>67.545</v>
      </c>
      <c r="BJ136" s="27" t="n">
        <v>69.016</v>
      </c>
      <c r="BK136" s="27" t="n">
        <v>69.728</v>
      </c>
      <c r="BL136" s="27" t="n">
        <v>274.642</v>
      </c>
      <c r="BM136" s="27" t="n">
        <v>78.488</v>
      </c>
      <c r="BN136" s="27" t="n">
        <v>82.377</v>
      </c>
      <c r="BO136" s="27" t="n">
        <v>83.52</v>
      </c>
      <c r="BP136" s="27" t="n">
        <v>82.419</v>
      </c>
      <c r="BQ136" s="27" t="n">
        <v>326.804</v>
      </c>
      <c r="BR136" s="27" t="n">
        <v>80.875</v>
      </c>
      <c r="BS136" s="27" t="n">
        <v>82.751</v>
      </c>
      <c r="BT136" s="27" t="n">
        <v>84.449</v>
      </c>
      <c r="BU136" s="27" t="n">
        <v>86.477</v>
      </c>
      <c r="BV136" s="27" t="n">
        <v>334.551</v>
      </c>
      <c r="BW136" s="27" t="n">
        <v>87.719</v>
      </c>
      <c r="BX136" s="27" t="n">
        <v>91.203</v>
      </c>
      <c r="BY136" s="47" t="n">
        <f aca="false">($CP$18-(BW136-BW137)-(BX136-BX137))/2+BY137</f>
        <v>97.2845</v>
      </c>
      <c r="BZ136" s="47" t="n">
        <f aca="false">($CP$18-(BW136-BW137)-(BX136-BX137))/2+BZ137</f>
        <v>97.2845</v>
      </c>
      <c r="CA136" s="47" t="n">
        <f aca="false">SUM(BW136,BX136,BY136,BZ136)</f>
        <v>373.491</v>
      </c>
      <c r="CB136" s="47" t="n">
        <f aca="false">CA378*CB383+CA381*CB384</f>
        <v>361.323023040269</v>
      </c>
      <c r="CC136" s="47" t="n">
        <f aca="false">CB378*CC383+CB381*CC384</f>
        <v>397.341849690443</v>
      </c>
      <c r="CD136" s="47" t="n">
        <f aca="false">CC378*CD383+CC381*CD384</f>
        <v>442.166392426586</v>
      </c>
      <c r="CE136" s="47" t="n">
        <f aca="false">CD378*CE383+CD381*CE384</f>
        <v>489.3801197469</v>
      </c>
      <c r="CF136" s="21" t="s">
        <v>297</v>
      </c>
    </row>
    <row r="137" customFormat="false" ht="15" hidden="true" customHeight="true" outlineLevel="2" collapsed="false">
      <c r="B137" s="29" t="s">
        <v>298</v>
      </c>
      <c r="C137" s="25"/>
      <c r="D137" s="25"/>
      <c r="E137" s="27" t="n">
        <v>3.297</v>
      </c>
      <c r="F137" s="27" t="n">
        <v>1.413</v>
      </c>
      <c r="G137" s="27" t="n">
        <v>0.59</v>
      </c>
      <c r="H137" s="27" t="n">
        <v>0.53</v>
      </c>
      <c r="I137" s="27" t="n">
        <v>0.773</v>
      </c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7" t="n">
        <v>1.656</v>
      </c>
      <c r="AG137" s="27" t="n">
        <v>2.042</v>
      </c>
      <c r="AH137" s="27" t="n">
        <v>5.173</v>
      </c>
      <c r="AI137" s="27" t="n">
        <v>1.155</v>
      </c>
      <c r="AJ137" s="27" t="n">
        <v>1.056</v>
      </c>
      <c r="AK137" s="27" t="n">
        <v>1.467</v>
      </c>
      <c r="AL137" s="27" t="n">
        <v>3.493</v>
      </c>
      <c r="AM137" s="27" t="n">
        <v>7.17</v>
      </c>
      <c r="AN137" s="27" t="n">
        <v>3.311</v>
      </c>
      <c r="AO137" s="27" t="n">
        <v>1.818</v>
      </c>
      <c r="AP137" s="27" t="n">
        <v>2.056</v>
      </c>
      <c r="AQ137" s="27" t="n">
        <v>2.591</v>
      </c>
      <c r="AR137" s="27" t="n">
        <v>9.777</v>
      </c>
      <c r="AS137" s="27" t="n">
        <v>2.175</v>
      </c>
      <c r="AT137" s="27" t="n">
        <v>1.317</v>
      </c>
      <c r="AU137" s="27" t="n">
        <v>0.903</v>
      </c>
      <c r="AV137" s="27" t="n">
        <v>0.857</v>
      </c>
      <c r="AW137" s="27" t="n">
        <v>5.253</v>
      </c>
      <c r="AX137" s="27" t="n">
        <v>1.103</v>
      </c>
      <c r="AY137" s="27" t="n">
        <v>0.744</v>
      </c>
      <c r="AZ137" s="27" t="n">
        <v>0.495</v>
      </c>
      <c r="BA137" s="27" t="n">
        <v>0.574</v>
      </c>
      <c r="BB137" s="27" t="n">
        <v>2.916</v>
      </c>
      <c r="BC137" s="27" t="n">
        <v>0.137</v>
      </c>
      <c r="BD137" s="27" t="n">
        <v>0.652</v>
      </c>
      <c r="BE137" s="27" t="n">
        <v>1.784</v>
      </c>
      <c r="BF137" s="27" t="n">
        <v>3.376</v>
      </c>
      <c r="BG137" s="27" t="n">
        <v>5.95</v>
      </c>
      <c r="BH137" s="27" t="n">
        <v>2.715</v>
      </c>
      <c r="BI137" s="27" t="n">
        <v>1.338</v>
      </c>
      <c r="BJ137" s="27" t="n">
        <v>2.833</v>
      </c>
      <c r="BK137" s="27" t="n">
        <v>2.464</v>
      </c>
      <c r="BL137" s="27" t="n">
        <v>9.35</v>
      </c>
      <c r="BM137" s="27" t="n">
        <v>2.051</v>
      </c>
      <c r="BN137" s="27" t="n">
        <v>4.009</v>
      </c>
      <c r="BO137" s="27" t="n">
        <v>3.331</v>
      </c>
      <c r="BP137" s="27" t="n">
        <v>2.216</v>
      </c>
      <c r="BQ137" s="27" t="n">
        <v>11.607</v>
      </c>
      <c r="BR137" s="27" t="n">
        <v>1.77</v>
      </c>
      <c r="BS137" s="27" t="n">
        <v>2.314</v>
      </c>
      <c r="BT137" s="27" t="n">
        <v>5.09</v>
      </c>
      <c r="BU137" s="27" t="n">
        <v>2.965</v>
      </c>
      <c r="BV137" s="27" t="n">
        <v>12.139</v>
      </c>
      <c r="BW137" s="27" t="n">
        <v>3.113</v>
      </c>
      <c r="BX137" s="27" t="n">
        <v>4.126</v>
      </c>
      <c r="BY137" s="47" t="n">
        <f aca="false">$BX$137</f>
        <v>4.126</v>
      </c>
      <c r="BZ137" s="47" t="n">
        <f aca="false">$BX$137</f>
        <v>4.126</v>
      </c>
      <c r="CA137" s="47" t="n">
        <f aca="false">SUM(BW137,BX137,BY137,BZ137)</f>
        <v>15.491</v>
      </c>
      <c r="CB137" s="47" t="n">
        <f aca="false">CA308*CB385</f>
        <v>4.09806000000001</v>
      </c>
      <c r="CC137" s="47" t="n">
        <f aca="false">CB308*CC385</f>
        <v>4.09806000000001</v>
      </c>
      <c r="CD137" s="47" t="n">
        <f aca="false">CC308*CD385</f>
        <v>4.09806000000001</v>
      </c>
      <c r="CE137" s="47" t="n">
        <f aca="false">CD308*CE385</f>
        <v>4.09806000000001</v>
      </c>
      <c r="CF137" s="21" t="s">
        <v>299</v>
      </c>
    </row>
    <row r="138" customFormat="false" ht="15" hidden="true" customHeight="true" outlineLevel="2" collapsed="false">
      <c r="B138" s="29" t="s">
        <v>300</v>
      </c>
      <c r="C138" s="27" t="n">
        <v>-3.759</v>
      </c>
      <c r="D138" s="27" t="n">
        <v>0.289</v>
      </c>
      <c r="E138" s="27" t="n">
        <v>-0.633</v>
      </c>
      <c r="F138" s="27" t="n">
        <v>-7.551</v>
      </c>
      <c r="G138" s="27" t="n">
        <v>2.83</v>
      </c>
      <c r="H138" s="27" t="n">
        <v>0.057</v>
      </c>
      <c r="I138" s="27" t="n">
        <v>1.22</v>
      </c>
      <c r="J138" s="27" t="n">
        <v>0.742</v>
      </c>
      <c r="K138" s="27" t="n">
        <v>-1.706</v>
      </c>
      <c r="L138" s="27" t="n">
        <v>0.845</v>
      </c>
      <c r="M138" s="27" t="n">
        <v>-0.101</v>
      </c>
      <c r="N138" s="27" t="n">
        <v>-0.22</v>
      </c>
      <c r="O138" s="27" t="n">
        <v>-0.524</v>
      </c>
      <c r="P138" s="27" t="n">
        <v>0.661</v>
      </c>
      <c r="Q138" s="27" t="n">
        <v>-0.389</v>
      </c>
      <c r="R138" s="27" t="n">
        <v>1.319</v>
      </c>
      <c r="S138" s="27" t="n">
        <v>1.067</v>
      </c>
      <c r="T138" s="27" t="n">
        <v>-0.22</v>
      </c>
      <c r="U138" s="27" t="n">
        <v>0.092</v>
      </c>
      <c r="V138" s="27" t="n">
        <v>-1.303</v>
      </c>
      <c r="W138" s="27" t="n">
        <v>0.912</v>
      </c>
      <c r="X138" s="27" t="n">
        <v>-0.518</v>
      </c>
      <c r="Y138" s="27" t="n">
        <v>0.222</v>
      </c>
      <c r="Z138" s="27" t="n">
        <v>-0.714</v>
      </c>
      <c r="AA138" s="27" t="n">
        <v>0.671</v>
      </c>
      <c r="AB138" s="27" t="n">
        <v>0.476</v>
      </c>
      <c r="AC138" s="27" t="n">
        <v>0.655</v>
      </c>
      <c r="AD138" s="27" t="n">
        <v>1.466</v>
      </c>
      <c r="AE138" s="27" t="n">
        <v>1.86</v>
      </c>
      <c r="AF138" s="27" t="n">
        <v>1.709</v>
      </c>
      <c r="AG138" s="27" t="n">
        <v>0.175</v>
      </c>
      <c r="AH138" s="27" t="n">
        <v>3.736</v>
      </c>
      <c r="AI138" s="27" t="n">
        <v>-0.387</v>
      </c>
      <c r="AJ138" s="27" t="n">
        <v>2.031</v>
      </c>
      <c r="AK138" s="27" t="n">
        <v>0.732</v>
      </c>
      <c r="AL138" s="27" t="n">
        <v>-1.113</v>
      </c>
      <c r="AM138" s="27" t="n">
        <v>1.263</v>
      </c>
      <c r="AN138" s="27" t="n">
        <v>2.558</v>
      </c>
      <c r="AO138" s="27" t="n">
        <v>0.805</v>
      </c>
      <c r="AP138" s="27" t="n">
        <v>-0.019</v>
      </c>
      <c r="AQ138" s="27" t="n">
        <v>1.142</v>
      </c>
      <c r="AR138" s="27" t="n">
        <v>5.704</v>
      </c>
      <c r="AS138" s="27" t="n">
        <v>-9.521</v>
      </c>
      <c r="AT138" s="27" t="n">
        <v>5.772</v>
      </c>
      <c r="AU138" s="27" t="n">
        <v>0.702</v>
      </c>
      <c r="AV138" s="27" t="n">
        <v>1.654</v>
      </c>
      <c r="AW138" s="27" t="n">
        <v>-1.392</v>
      </c>
      <c r="AX138" s="27" t="n">
        <v>3.548</v>
      </c>
      <c r="AY138" s="27" t="n">
        <v>-1.235</v>
      </c>
      <c r="AZ138" s="27" t="n">
        <v>3.14</v>
      </c>
      <c r="BA138" s="27" t="n">
        <v>0.833</v>
      </c>
      <c r="BB138" s="27" t="n">
        <v>6.285</v>
      </c>
      <c r="BC138" s="27" t="n">
        <v>-3.466</v>
      </c>
      <c r="BD138" s="27" t="n">
        <v>-2.649</v>
      </c>
      <c r="BE138" s="27" t="n">
        <v>8.487</v>
      </c>
      <c r="BF138" s="27" t="n">
        <v>0.781</v>
      </c>
      <c r="BG138" s="27" t="n">
        <v>3.154</v>
      </c>
      <c r="BH138" s="27" t="n">
        <v>3.174</v>
      </c>
      <c r="BI138" s="27" t="n">
        <v>-0.2</v>
      </c>
      <c r="BJ138" s="27" t="n">
        <v>5.372</v>
      </c>
      <c r="BK138" s="27" t="n">
        <v>4.135</v>
      </c>
      <c r="BL138" s="27" t="n">
        <v>12.481</v>
      </c>
      <c r="BM138" s="27" t="n">
        <v>-1.823</v>
      </c>
      <c r="BN138" s="27" t="n">
        <v>9.647</v>
      </c>
      <c r="BO138" s="27" t="n">
        <v>4.904</v>
      </c>
      <c r="BP138" s="27" t="n">
        <v>-2.256</v>
      </c>
      <c r="BQ138" s="27" t="n">
        <v>10.471</v>
      </c>
      <c r="BR138" s="27" t="n">
        <v>1.872</v>
      </c>
      <c r="BS138" s="27" t="n">
        <v>10.05</v>
      </c>
      <c r="BT138" s="27" t="n">
        <v>14.542</v>
      </c>
      <c r="BU138" s="27" t="n">
        <v>3.691</v>
      </c>
      <c r="BV138" s="27" t="n">
        <v>30.154</v>
      </c>
      <c r="BW138" s="27" t="n">
        <v>4.085</v>
      </c>
      <c r="BX138" s="27" t="n">
        <v>33.253</v>
      </c>
      <c r="BY138" s="57" t="n">
        <v>0</v>
      </c>
      <c r="BZ138" s="57" t="n">
        <v>0</v>
      </c>
      <c r="CA138" s="47" t="n">
        <f aca="false">SUM(BW138,BX138,BY138,BZ138)</f>
        <v>37.338</v>
      </c>
      <c r="CB138" s="57" t="n">
        <v>0</v>
      </c>
      <c r="CC138" s="57" t="n">
        <v>0</v>
      </c>
      <c r="CD138" s="57" t="n">
        <v>0</v>
      </c>
      <c r="CE138" s="57" t="n">
        <v>0</v>
      </c>
      <c r="CF138" s="21" t="s">
        <v>301</v>
      </c>
    </row>
    <row r="139" customFormat="false" ht="15" hidden="true" customHeight="true" outlineLevel="2" collapsed="false">
      <c r="B139" s="29" t="s">
        <v>302</v>
      </c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7" t="n">
        <v>0.689</v>
      </c>
      <c r="AA139" s="27" t="n">
        <v>-0.35</v>
      </c>
      <c r="AB139" s="27" t="n">
        <v>0.782</v>
      </c>
      <c r="AC139" s="27" t="n">
        <v>1.121</v>
      </c>
      <c r="AD139" s="27" t="n">
        <v>-0.59</v>
      </c>
      <c r="AE139" s="27" t="n">
        <v>-1.048</v>
      </c>
      <c r="AF139" s="27" t="n">
        <v>-1.864</v>
      </c>
      <c r="AG139" s="27" t="n">
        <v>1.302</v>
      </c>
      <c r="AH139" s="27" t="n">
        <v>-2.2</v>
      </c>
      <c r="AI139" s="27" t="n">
        <v>-0.221</v>
      </c>
      <c r="AJ139" s="27" t="n">
        <v>0.03</v>
      </c>
      <c r="AK139" s="27" t="n">
        <v>-0.132</v>
      </c>
      <c r="AL139" s="27" t="n">
        <v>-1.11</v>
      </c>
      <c r="AM139" s="27" t="n">
        <v>-1.433</v>
      </c>
      <c r="AN139" s="27" t="n">
        <v>0.103</v>
      </c>
      <c r="AO139" s="27" t="n">
        <v>1.115</v>
      </c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8"/>
      <c r="BZ139" s="28"/>
      <c r="CA139" s="47" t="n">
        <f aca="false">SUM(BW139,BX139,BY139,BZ139)</f>
        <v>0</v>
      </c>
      <c r="CB139" s="28"/>
      <c r="CC139" s="28"/>
      <c r="CD139" s="28"/>
      <c r="CE139" s="28"/>
      <c r="CF139" s="21"/>
    </row>
    <row r="140" customFormat="false" ht="15" hidden="true" customHeight="true" outlineLevel="2" collapsed="false">
      <c r="B140" s="29" t="s">
        <v>303</v>
      </c>
      <c r="C140" s="25"/>
      <c r="D140" s="25"/>
      <c r="E140" s="25"/>
      <c r="F140" s="25"/>
      <c r="G140" s="27" t="n">
        <v>10.193</v>
      </c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7" t="n">
        <v>115.288</v>
      </c>
      <c r="BA140" s="27" t="n">
        <v>0</v>
      </c>
      <c r="BB140" s="27" t="n">
        <v>115.288</v>
      </c>
      <c r="BC140" s="25"/>
      <c r="BD140" s="25"/>
      <c r="BE140" s="27" t="n">
        <v>0</v>
      </c>
      <c r="BF140" s="27" t="n">
        <v>0</v>
      </c>
      <c r="BG140" s="27" t="n">
        <v>0</v>
      </c>
      <c r="BH140" s="25"/>
      <c r="BI140" s="25"/>
      <c r="BJ140" s="25"/>
      <c r="BK140" s="27" t="n">
        <v>0</v>
      </c>
      <c r="BL140" s="27" t="n">
        <v>0</v>
      </c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57" t="n">
        <v>0</v>
      </c>
      <c r="BZ140" s="57" t="n">
        <v>0</v>
      </c>
      <c r="CA140" s="47" t="n">
        <f aca="false">SUM(BW140,BX140,BY140,BZ140)</f>
        <v>0</v>
      </c>
      <c r="CB140" s="57" t="n">
        <v>0</v>
      </c>
      <c r="CC140" s="57" t="n">
        <v>0</v>
      </c>
      <c r="CD140" s="57" t="n">
        <v>0</v>
      </c>
      <c r="CE140" s="57" t="n">
        <v>0</v>
      </c>
      <c r="CF140" s="21"/>
    </row>
    <row r="141" customFormat="false" ht="15" hidden="true" customHeight="true" outlineLevel="2" collapsed="false">
      <c r="B141" s="18" t="s">
        <v>304</v>
      </c>
      <c r="C141" s="32" t="n">
        <f aca="false">C134-C136+N(C137)+N(C138)+N(C139)-N(C140)</f>
        <v>138.657</v>
      </c>
      <c r="D141" s="32" t="n">
        <f aca="false">D134-D136+N(D137)+N(D138)+N(D139)-N(D140)</f>
        <v>173.868</v>
      </c>
      <c r="E141" s="32" t="n">
        <f aca="false">E134-E136+N(E137)+N(E138)+N(E139)-N(E140)</f>
        <v>176.196</v>
      </c>
      <c r="F141" s="32" t="n">
        <f aca="false">F134-F136+N(F137)+N(F138)+N(F139)-N(F140)</f>
        <v>175.376</v>
      </c>
      <c r="G141" s="32" t="n">
        <f aca="false">G134-G136+N(G137)+N(G138)+N(G139)-N(G140)</f>
        <v>225.476</v>
      </c>
      <c r="H141" s="32" t="n">
        <f aca="false">H134-H136+N(H137)+N(H138)+N(H139)-N(H140)</f>
        <v>273.129</v>
      </c>
      <c r="I141" s="32" t="n">
        <f aca="false">I134-I136+N(I137)+N(I138)+N(I139)-N(I140)</f>
        <v>265.103</v>
      </c>
      <c r="J141" s="32" t="n">
        <f aca="false">J134-J136+N(J137)+N(J138)+N(J139)-N(J140)</f>
        <v>68.643</v>
      </c>
      <c r="K141" s="32" t="n">
        <f aca="false">K134-K136+N(K137)+N(K138)+N(K139)-N(K140)</f>
        <v>72.44</v>
      </c>
      <c r="L141" s="32" t="n">
        <f aca="false">L134-L136+N(L137)+N(L138)+N(L139)-N(L140)</f>
        <v>98.554</v>
      </c>
      <c r="M141" s="32" t="n">
        <f aca="false">M134-M136+N(M137)+N(M138)+N(M139)-N(M140)</f>
        <v>81.2840000000002</v>
      </c>
      <c r="N141" s="32" t="n">
        <f aca="false">N134-N136+N(N137)+N(N138)+N(N139)-N(N140)</f>
        <v>320.921</v>
      </c>
      <c r="O141" s="32" t="n">
        <f aca="false">O134-O136+N(O137)+N(O138)+N(O139)-N(O140)</f>
        <v>83.155</v>
      </c>
      <c r="P141" s="32" t="n">
        <f aca="false">P134-P136+N(P137)+N(P138)+N(P139)-N(P140)</f>
        <v>103.437</v>
      </c>
      <c r="Q141" s="32" t="n">
        <f aca="false">Q134-Q136+N(Q137)+N(Q138)+N(Q139)-N(Q140)</f>
        <v>99.8070000000001</v>
      </c>
      <c r="R141" s="32" t="n">
        <f aca="false">R134-R136+N(R137)+N(R138)+N(R139)-N(R140)</f>
        <v>99.2630000000003</v>
      </c>
      <c r="S141" s="32" t="n">
        <f aca="false">S134-S136+N(S137)+N(S138)+N(S139)-N(S140)</f>
        <v>385.662</v>
      </c>
      <c r="T141" s="32" t="n">
        <f aca="false">T134-T136+N(T137)+N(T138)+N(T139)-N(T140)</f>
        <v>85.948</v>
      </c>
      <c r="U141" s="32" t="n">
        <f aca="false">U134-U136+N(U137)+N(U138)+N(U139)-N(U140)</f>
        <v>94.794</v>
      </c>
      <c r="V141" s="32" t="n">
        <f aca="false">V134-V136+N(V137)+N(V138)+N(V139)-N(V140)</f>
        <v>-392.822</v>
      </c>
      <c r="W141" s="32" t="n">
        <f aca="false">W134-W136+N(W137)+N(W138)+N(W139)-N(W140)</f>
        <v>85.7919999999998</v>
      </c>
      <c r="X141" s="32" t="n">
        <f aca="false">X134-X136+N(X137)+N(X138)+N(X139)-N(X140)</f>
        <v>-126.286</v>
      </c>
      <c r="Y141" s="32" t="n">
        <f aca="false">Y134-Y136+N(Y137)+N(Y138)+N(Y139)-N(Y140)</f>
        <v>74.0169999999999</v>
      </c>
      <c r="Z141" s="32" t="n">
        <f aca="false">Z134-Z136+N(Z137)+N(Z138)+N(Z139)-N(Z140)</f>
        <v>42.985</v>
      </c>
      <c r="AA141" s="32" t="n">
        <f aca="false">AA134-AA136+N(AA137)+N(AA138)+N(AA139)-N(AA140)</f>
        <v>131.366</v>
      </c>
      <c r="AB141" s="32" t="n">
        <f aca="false">AB134-AB136+N(AB137)+N(AB138)+N(AB139)-N(AB140)</f>
        <v>112.997</v>
      </c>
      <c r="AC141" s="32" t="n">
        <f aca="false">AC134-AC136+N(AC137)+N(AC138)+N(AC139)-N(AC140)</f>
        <v>361.365</v>
      </c>
      <c r="AD141" s="32" t="n">
        <f aca="false">AD134-AD136+N(AD137)+N(AD138)+N(AD139)-N(AD140)</f>
        <v>-1.85099999999992</v>
      </c>
      <c r="AE141" s="32" t="n">
        <f aca="false">AE134-AE136+N(AE137)+N(AE138)+N(AE139)-N(AE140)</f>
        <v>176.562</v>
      </c>
      <c r="AF141" s="32" t="n">
        <f aca="false">AF134-AF136+N(AF137)+N(AF138)+N(AF139)-N(AF140)</f>
        <v>187.8</v>
      </c>
      <c r="AG141" s="32" t="n">
        <f aca="false">AG134-AG136+N(AG137)+N(AG138)+N(AG139)-N(AG140)</f>
        <v>145.999</v>
      </c>
      <c r="AH141" s="32" t="n">
        <f aca="false">AH134-AH136+N(AH137)+N(AH138)+N(AH139)-N(AH140)</f>
        <v>508.51</v>
      </c>
      <c r="AI141" s="32" t="n">
        <f aca="false">AI134-AI136+N(AI137)+N(AI138)+N(AI139)-N(AI140)</f>
        <v>156.884</v>
      </c>
      <c r="AJ141" s="32" t="n">
        <f aca="false">AJ134-AJ136+N(AJ137)+N(AJ138)+N(AJ139)-N(AJ140)</f>
        <v>181.379</v>
      </c>
      <c r="AK141" s="32" t="n">
        <f aca="false">AK134-AK136+N(AK137)+N(AK138)+N(AK139)-N(AK140)</f>
        <v>202.858</v>
      </c>
      <c r="AL141" s="32" t="n">
        <f aca="false">AL134-AL136+N(AL137)+N(AL138)+N(AL139)-N(AL140)</f>
        <v>166.02</v>
      </c>
      <c r="AM141" s="32" t="n">
        <f aca="false">AM134-AM136+N(AM137)+N(AM138)+N(AM139)-N(AM140)</f>
        <v>707.14</v>
      </c>
      <c r="AN141" s="32" t="n">
        <f aca="false">AN134-AN136+N(AN137)+N(AN138)+N(AN139)-N(AN140)</f>
        <v>153.545</v>
      </c>
      <c r="AO141" s="32" t="n">
        <f aca="false">AO134-AO136+N(AO137)+N(AO138)+N(AO139)-N(AO140)</f>
        <v>188.627</v>
      </c>
      <c r="AP141" s="32" t="n">
        <f aca="false">AP134-AP136+N(AP137)+N(AP138)+N(AP139)-N(AP140)</f>
        <v>201.857</v>
      </c>
      <c r="AQ141" s="32" t="n">
        <f aca="false">AQ134-AQ136+N(AQ137)+N(AQ138)+N(AQ139)-N(AQ140)</f>
        <v>161.862</v>
      </c>
      <c r="AR141" s="32" t="n">
        <f aca="false">AR134-AR136+N(AR137)+N(AR138)+N(AR139)-N(AR140)</f>
        <v>705.891</v>
      </c>
      <c r="AS141" s="32" t="n">
        <f aca="false">AS134-AS136+N(AS137)+N(AS138)+N(AS139)-N(AS140)</f>
        <v>171.627</v>
      </c>
      <c r="AT141" s="32" t="n">
        <f aca="false">AT134-AT136+N(AT137)+N(AT138)+N(AT139)-N(AT140)</f>
        <v>-266.204</v>
      </c>
      <c r="AU141" s="32" t="n">
        <f aca="false">AU134-AU136+N(AU137)+N(AU138)+N(AU139)-N(AU140)</f>
        <v>191.648</v>
      </c>
      <c r="AV141" s="32" t="n">
        <f aca="false">AV134-AV136+N(AV137)+N(AV138)+N(AV139)-N(AV140)</f>
        <v>156.842</v>
      </c>
      <c r="AW141" s="32" t="n">
        <f aca="false">AW134-AW136+N(AW137)+N(AW138)+N(AW139)-N(AW140)</f>
        <v>253.914</v>
      </c>
      <c r="AX141" s="32" t="n">
        <f aca="false">AX134-AX136+N(AX137)+N(AX138)+N(AX139)-N(AX140)</f>
        <v>200.598</v>
      </c>
      <c r="AY141" s="32" t="n">
        <f aca="false">AY134-AY136+N(AY137)+N(AY138)+N(AY139)-N(AY140)</f>
        <v>224.969</v>
      </c>
      <c r="AZ141" s="32" t="n">
        <f aca="false">AZ134-AZ136+N(AZ137)+N(AZ138)+N(AZ139)-N(AZ140)</f>
        <v>133.073</v>
      </c>
      <c r="BA141" s="32" t="n">
        <f aca="false">BA134-BA136+N(BA137)+N(BA138)+N(BA139)-N(BA140)</f>
        <v>212.103</v>
      </c>
      <c r="BB141" s="32" t="n">
        <f aca="false">BB134-BB136+N(BB137)+N(BB138)+N(BB139)-N(BB140)</f>
        <v>770.742</v>
      </c>
      <c r="BC141" s="32" t="n">
        <f aca="false">BC134-BC136+N(BC137)+N(BC138)+N(BC139)-N(BC140)</f>
        <v>229.207</v>
      </c>
      <c r="BD141" s="32" t="n">
        <f aca="false">BD134-BD136+N(BD137)+N(BD138)+N(BD139)-N(BD140)</f>
        <v>282.514</v>
      </c>
      <c r="BE141" s="32" t="n">
        <f aca="false">BE134-BE136+N(BE137)+N(BE138)+N(BE139)-N(BE140)</f>
        <v>285.878</v>
      </c>
      <c r="BF141" s="32" t="n">
        <f aca="false">BF134-BF136+N(BF137)+N(BF138)+N(BF139)-N(BF140)</f>
        <v>251.364</v>
      </c>
      <c r="BG141" s="32" t="n">
        <f aca="false">BG134-BG136+N(BG137)+N(BG138)+N(BG139)-N(BG140)</f>
        <v>1048.963</v>
      </c>
      <c r="BH141" s="32" t="n">
        <f aca="false">BH134-BH136+N(BH137)+N(BH138)+N(BH139)-N(BH140)</f>
        <v>252.225</v>
      </c>
      <c r="BI141" s="32" t="n">
        <f aca="false">BI134-BI136+N(BI137)+N(BI138)+N(BI139)-N(BI140)</f>
        <v>277.721</v>
      </c>
      <c r="BJ141" s="32" t="n">
        <f aca="false">BJ134-BJ136+N(BJ137)+N(BJ138)+N(BJ139)-N(BJ140)</f>
        <v>292.166</v>
      </c>
      <c r="BK141" s="32" t="n">
        <f aca="false">BK134-BK136+N(BK137)+N(BK138)+N(BK139)-N(BK140)</f>
        <v>161.389</v>
      </c>
      <c r="BL141" s="32" t="n">
        <f aca="false">BL134-BL136+N(BL137)+N(BL138)+N(BL139)-N(BL140)</f>
        <v>983.501</v>
      </c>
      <c r="BM141" s="32" t="n">
        <f aca="false">BM134-BM136+N(BM137)+N(BM138)+N(BM139)-N(BM140)</f>
        <v>288.54</v>
      </c>
      <c r="BN141" s="32" t="n">
        <f aca="false">BN134-BN136+N(BN137)+N(BN138)+N(BN139)-N(BN140)</f>
        <v>355.984</v>
      </c>
      <c r="BO141" s="32" t="n">
        <f aca="false">BO134-BO136+N(BO137)+N(BO138)+N(BO139)-N(BO140)</f>
        <v>400.058</v>
      </c>
      <c r="BP141" s="32" t="n">
        <f aca="false">BP134-BP136+N(BP137)+N(BP138)+N(BP139)-N(BP140)</f>
        <v>-281.649</v>
      </c>
      <c r="BQ141" s="32" t="n">
        <f aca="false">BQ134-BQ136+N(BQ137)+N(BQ138)+N(BQ139)-N(BQ140)</f>
        <v>762.933</v>
      </c>
      <c r="BR141" s="32" t="n">
        <f aca="false">BR134-BR136+N(BR137)+N(BR138)+N(BR139)-N(BR140)</f>
        <v>312.977</v>
      </c>
      <c r="BS141" s="32" t="n">
        <f aca="false">BS134-BS136+N(BS137)+N(BS138)+N(BS139)-N(BS140)</f>
        <v>389.158</v>
      </c>
      <c r="BT141" s="32" t="n">
        <f aca="false">BT134-BT136+N(BT137)+N(BT138)+N(BT139)-N(BT140)</f>
        <v>374.774</v>
      </c>
      <c r="BU141" s="32" t="n">
        <f aca="false">BU134-BU136+N(BU137)+N(BU138)+N(BU139)-N(BU140)</f>
        <v>341.007</v>
      </c>
      <c r="BV141" s="32" t="n">
        <f aca="false">BV134-BV136+N(BV137)+N(BV138)+N(BV139)-N(BV140)</f>
        <v>1417.916</v>
      </c>
      <c r="BW141" s="32" t="n">
        <f aca="false">BW134-BW136+N(BW137)+N(BW138)+N(BW139)-N(BW140)</f>
        <v>283.559</v>
      </c>
      <c r="BX141" s="32" t="n">
        <f aca="false">BX134-BX136+N(BX137)+N(BX138)+N(BX139)-N(BX140)</f>
        <v>383.73</v>
      </c>
      <c r="BY141" s="20" t="n">
        <f aca="false">BY134-BY136+N(BY137)+N(BY138)+N(BY139)-N(BY140)</f>
        <v>447.210183832602</v>
      </c>
      <c r="BZ141" s="20" t="n">
        <f aca="false">BZ134-BZ136+N(BZ137)+N(BZ138)+N(BZ139)-N(BZ140)</f>
        <v>408.501816167399</v>
      </c>
      <c r="CA141" s="20" t="n">
        <f aca="false">CA134-CA136+N(CA137)+N(CA138)+N(CA139)-N(CA140)</f>
        <v>1523.001</v>
      </c>
      <c r="CB141" s="20" t="n">
        <f aca="false">CB134-CB136+N(CB137)+N(CB138)+N(CB139)-N(CB140)</f>
        <v>1802.64778401157</v>
      </c>
      <c r="CC141" s="20" t="n">
        <f aca="false">CC134-CC136+N(CC137)+N(CC138)+N(CC139)-N(CC140)</f>
        <v>1959.98142878669</v>
      </c>
      <c r="CD141" s="20" t="n">
        <f aca="false">CD134-CD136+N(CD137)+N(CD138)+N(CD139)-N(CD140)</f>
        <v>2123.00521081387</v>
      </c>
      <c r="CE141" s="20" t="n">
        <f aca="false">CE134-CE136+N(CE137)+N(CE138)+N(CE139)-N(CE140)</f>
        <v>2288.40471982553</v>
      </c>
      <c r="CF141" s="21" t="s">
        <v>305</v>
      </c>
      <c r="CH141" s="22" t="n">
        <f aca="false">IFERROR((CE141/BV141)^(1/5)-1,"n/m")</f>
        <v>0.100465587462203</v>
      </c>
      <c r="CI141" s="22" t="n">
        <f aca="false">IFERROR((BV141/AW141)^(1/5)-1,"n/m")</f>
        <v>0.410563920418009</v>
      </c>
      <c r="CJ141" s="22" t="str">
        <f aca="false">IFERROR((BV141/X141)^(1/10)-1,"n/m")</f>
        <v>n/m</v>
      </c>
      <c r="CK141" s="22" t="n">
        <f aca="false">IFERROR((BV141/C141)^(1/19)-1,"n/m")</f>
        <v>0.130166847157238</v>
      </c>
    </row>
    <row r="142" customFormat="false" ht="15" hidden="true" customHeight="true" outlineLevel="2" collapsed="false">
      <c r="B142" s="29" t="s">
        <v>306</v>
      </c>
      <c r="C142" s="27" t="n">
        <v>48.329</v>
      </c>
      <c r="D142" s="27" t="n">
        <v>59.917</v>
      </c>
      <c r="E142" s="27" t="n">
        <v>58.4</v>
      </c>
      <c r="F142" s="27" t="n">
        <v>64.565</v>
      </c>
      <c r="G142" s="27" t="n">
        <v>89.334</v>
      </c>
      <c r="H142" s="27" t="n">
        <v>106.958</v>
      </c>
      <c r="I142" s="27" t="n">
        <v>105.443</v>
      </c>
      <c r="J142" s="27" t="n">
        <v>26.963</v>
      </c>
      <c r="K142" s="27" t="n">
        <v>28.445</v>
      </c>
      <c r="L142" s="27" t="n">
        <v>37.641</v>
      </c>
      <c r="M142" s="27" t="n">
        <v>31.867</v>
      </c>
      <c r="N142" s="27" t="n">
        <v>124.916</v>
      </c>
      <c r="O142" s="27" t="n">
        <v>33.932</v>
      </c>
      <c r="P142" s="27" t="n">
        <v>40.537</v>
      </c>
      <c r="Q142" s="27" t="n">
        <v>39.523</v>
      </c>
      <c r="R142" s="27" t="n">
        <v>38.343</v>
      </c>
      <c r="S142" s="27" t="n">
        <v>152.335</v>
      </c>
      <c r="T142" s="27" t="n">
        <v>33.867</v>
      </c>
      <c r="U142" s="27" t="n">
        <v>37.153</v>
      </c>
      <c r="V142" s="27" t="n">
        <v>-136.017</v>
      </c>
      <c r="W142" s="27" t="n">
        <v>33.404</v>
      </c>
      <c r="X142" s="27" t="n">
        <v>-31.592</v>
      </c>
      <c r="Y142" s="27" t="n">
        <v>29</v>
      </c>
      <c r="Z142" s="27" t="n">
        <v>15.265</v>
      </c>
      <c r="AA142" s="27" t="n">
        <v>42.485</v>
      </c>
      <c r="AB142" s="27" t="n">
        <v>27.294</v>
      </c>
      <c r="AC142" s="27" t="n">
        <v>114.044</v>
      </c>
      <c r="AD142" s="27" t="n">
        <v>-16.871</v>
      </c>
      <c r="AE142" s="27" t="n">
        <v>52.675</v>
      </c>
      <c r="AF142" s="27" t="n">
        <v>64.39</v>
      </c>
      <c r="AG142" s="27" t="n">
        <v>-169.13</v>
      </c>
      <c r="AH142" s="27" t="n">
        <v>-68.91</v>
      </c>
      <c r="AI142" s="27" t="n">
        <v>31.852</v>
      </c>
      <c r="AJ142" s="27" t="n">
        <v>42.565</v>
      </c>
      <c r="AK142" s="27" t="n">
        <v>52.092</v>
      </c>
      <c r="AL142" s="27" t="n">
        <v>33.477</v>
      </c>
      <c r="AM142" s="27" t="n">
        <v>159.986</v>
      </c>
      <c r="AN142" s="27" t="n">
        <v>27.968</v>
      </c>
      <c r="AO142" s="27" t="n">
        <v>39.788</v>
      </c>
      <c r="AP142" s="27" t="n">
        <v>42.783</v>
      </c>
      <c r="AQ142" s="27" t="n">
        <v>28.671</v>
      </c>
      <c r="AR142" s="27" t="n">
        <v>139.21</v>
      </c>
      <c r="AS142" s="27" t="n">
        <v>28.734</v>
      </c>
      <c r="AT142" s="27" t="n">
        <v>-38.737</v>
      </c>
      <c r="AU142" s="27" t="n">
        <v>33.657</v>
      </c>
      <c r="AV142" s="27" t="n">
        <v>26.268</v>
      </c>
      <c r="AW142" s="27" t="n">
        <v>49.922</v>
      </c>
      <c r="AX142" s="27" t="n">
        <v>40.291</v>
      </c>
      <c r="AY142" s="27" t="n">
        <v>47.868</v>
      </c>
      <c r="AZ142" s="27" t="n">
        <v>18.419</v>
      </c>
      <c r="BA142" s="27" t="n">
        <v>45.675</v>
      </c>
      <c r="BB142" s="27" t="n">
        <v>152.253</v>
      </c>
      <c r="BC142" s="27" t="n">
        <v>48.839</v>
      </c>
      <c r="BD142" s="27" t="n">
        <v>58.307</v>
      </c>
      <c r="BE142" s="27" t="n">
        <v>48.753</v>
      </c>
      <c r="BF142" s="27" t="n">
        <v>57.063</v>
      </c>
      <c r="BG142" s="27" t="n">
        <v>212.962</v>
      </c>
      <c r="BH142" s="27" t="n">
        <v>54.389</v>
      </c>
      <c r="BI142" s="27" t="n">
        <v>68.551</v>
      </c>
      <c r="BJ142" s="27" t="n">
        <v>62.975</v>
      </c>
      <c r="BK142" s="27" t="n">
        <v>34.76</v>
      </c>
      <c r="BL142" s="27" t="n">
        <v>220.675</v>
      </c>
      <c r="BM142" s="27" t="n">
        <v>59.413</v>
      </c>
      <c r="BN142" s="27" t="n">
        <v>80.584</v>
      </c>
      <c r="BO142" s="27" t="n">
        <v>92.012</v>
      </c>
      <c r="BP142" s="27" t="n">
        <v>-85.645</v>
      </c>
      <c r="BQ142" s="27" t="n">
        <v>146.363</v>
      </c>
      <c r="BR142" s="27" t="n">
        <v>71.467</v>
      </c>
      <c r="BS142" s="27" t="n">
        <v>98.882</v>
      </c>
      <c r="BT142" s="27" t="n">
        <v>88.503</v>
      </c>
      <c r="BU142" s="27" t="n">
        <v>82.507</v>
      </c>
      <c r="BV142" s="27" t="n">
        <v>341.359</v>
      </c>
      <c r="BW142" s="27" t="n">
        <v>64.215</v>
      </c>
      <c r="BX142" s="27" t="n">
        <v>87.331</v>
      </c>
      <c r="BY142" s="47" t="n">
        <f aca="false">BY141*BY143</f>
        <v>103.305552465331</v>
      </c>
      <c r="BZ142" s="47" t="n">
        <f aca="false">BZ141*BZ143</f>
        <v>94.3639195346692</v>
      </c>
      <c r="CA142" s="47" t="n">
        <f aca="false">SUM(BW142,BX142,BY142,BZ142)</f>
        <v>349.215472</v>
      </c>
      <c r="CB142" s="47" t="n">
        <f aca="false">CB141*CB143</f>
        <v>432.635468162778</v>
      </c>
      <c r="CC142" s="47" t="n">
        <f aca="false">CC141*CC143</f>
        <v>470.395542908805</v>
      </c>
      <c r="CD142" s="47" t="n">
        <f aca="false">CD141*CD143</f>
        <v>509.521250595328</v>
      </c>
      <c r="CE142" s="47" t="n">
        <f aca="false">CE141*CE143</f>
        <v>549.217132758128</v>
      </c>
      <c r="CF142" s="21" t="s">
        <v>307</v>
      </c>
    </row>
    <row r="143" customFormat="false" ht="15" hidden="true" customHeight="true" outlineLevel="2" collapsed="false">
      <c r="B143" s="29" t="s">
        <v>308</v>
      </c>
      <c r="C143" s="38" t="n">
        <f aca="false">IF(AND(ISNUMBER(C142),ISNUMBER(C141)),IFERROR(C142/C141,""),"")</f>
        <v>0.348550740316032</v>
      </c>
      <c r="D143" s="38" t="n">
        <f aca="false">IF(AND(ISNUMBER(D142),ISNUMBER(D141)),IFERROR(D142/D141,""),"")</f>
        <v>0.344612004509168</v>
      </c>
      <c r="E143" s="38" t="n">
        <f aca="false">IF(AND(ISNUMBER(E142),ISNUMBER(E141)),IFERROR(E142/E141,""),"")</f>
        <v>0.331449068083271</v>
      </c>
      <c r="F143" s="38" t="n">
        <f aca="false">IF(AND(ISNUMBER(F142),ISNUMBER(F141)),IFERROR(F142/F141,""),"")</f>
        <v>0.368151856582428</v>
      </c>
      <c r="G143" s="38" t="n">
        <f aca="false">IF(AND(ISNUMBER(G142),ISNUMBER(G141)),IFERROR(G142/G141,""),"")</f>
        <v>0.396201813053274</v>
      </c>
      <c r="H143" s="38" t="n">
        <f aca="false">IF(AND(ISNUMBER(H142),ISNUMBER(H141)),IFERROR(H142/H141,""),"")</f>
        <v>0.39160250284664</v>
      </c>
      <c r="I143" s="38" t="n">
        <f aca="false">IF(AND(ISNUMBER(I142),ISNUMBER(I141)),IFERROR(I142/I141,""),"")</f>
        <v>0.397743518556938</v>
      </c>
      <c r="J143" s="38" t="n">
        <f aca="false">IF(AND(ISNUMBER(J142),ISNUMBER(J141)),IFERROR(J142/J141,""),"")</f>
        <v>0.392800431216584</v>
      </c>
      <c r="K143" s="38" t="n">
        <f aca="false">IF(AND(ISNUMBER(K142),ISNUMBER(K141)),IFERROR(K142/K141,""),"")</f>
        <v>0.392669795692987</v>
      </c>
      <c r="L143" s="38" t="n">
        <f aca="false">IF(AND(ISNUMBER(L142),ISNUMBER(L141)),IFERROR(L142/L141,""),"")</f>
        <v>0.381932747529273</v>
      </c>
      <c r="M143" s="38" t="n">
        <f aca="false">IF(AND(ISNUMBER(M142),ISNUMBER(M141)),IFERROR(M142/M141,""),"")</f>
        <v>0.392045174942177</v>
      </c>
      <c r="N143" s="38" t="n">
        <f aca="false">IF(AND(ISNUMBER(N142),ISNUMBER(N141)),IFERROR(N142/N141,""),"")</f>
        <v>0.389242212257845</v>
      </c>
      <c r="O143" s="38" t="n">
        <f aca="false">IF(AND(ISNUMBER(O142),ISNUMBER(O141)),IFERROR(O142/O141,""),"")</f>
        <v>0.408057242498948</v>
      </c>
      <c r="P143" s="38" t="n">
        <f aca="false">IF(AND(ISNUMBER(P142),ISNUMBER(P141)),IFERROR(P142/P141,""),"")</f>
        <v>0.391900383808502</v>
      </c>
      <c r="Q143" s="38" t="n">
        <f aca="false">IF(AND(ISNUMBER(Q142),ISNUMBER(Q141)),IFERROR(Q142/Q141,""),"")</f>
        <v>0.395994268939052</v>
      </c>
      <c r="R143" s="38" t="n">
        <f aca="false">IF(AND(ISNUMBER(R142),ISNUMBER(R141)),IFERROR(R142/R141,""),"")</f>
        <v>0.386276860461601</v>
      </c>
      <c r="S143" s="38" t="n">
        <f aca="false">IF(AND(ISNUMBER(S142),ISNUMBER(S141)),IFERROR(S142/S141,""),"")</f>
        <v>0.39499613651332</v>
      </c>
      <c r="T143" s="38" t="n">
        <f aca="false">IF(AND(ISNUMBER(T142),ISNUMBER(T141)),IFERROR(T142/T141,""),"")</f>
        <v>0.394040582677898</v>
      </c>
      <c r="U143" s="38" t="n">
        <f aca="false">IF(AND(ISNUMBER(U142),ISNUMBER(U141)),IFERROR(U142/U141,""),"")</f>
        <v>0.3919340886554</v>
      </c>
      <c r="V143" s="38" t="n">
        <f aca="false">IF(AND(ISNUMBER(V142),ISNUMBER(V141)),IFERROR(V142/V141,""),"")</f>
        <v>0.346256065088004</v>
      </c>
      <c r="W143" s="38" t="n">
        <f aca="false">IF(AND(ISNUMBER(W142),ISNUMBER(W141)),IFERROR(W142/W141,""),"")</f>
        <v>0.389360313315928</v>
      </c>
      <c r="X143" s="38" t="n">
        <f aca="false">IF(AND(ISNUMBER(X142),ISNUMBER(X141)),IFERROR(X142/X141,""),"")</f>
        <v>0.250162329949479</v>
      </c>
      <c r="Y143" s="38" t="n">
        <f aca="false">IF(AND(ISNUMBER(Y142),ISNUMBER(Y141)),IFERROR(Y142/Y141,""),"")</f>
        <v>0.391801883351122</v>
      </c>
      <c r="Z143" s="38" t="n">
        <f aca="false">IF(AND(ISNUMBER(Z142),ISNUMBER(Z141)),IFERROR(Z142/Z141,""),"")</f>
        <v>0.355123880423403</v>
      </c>
      <c r="AA143" s="38" t="n">
        <f aca="false">IF(AND(ISNUMBER(AA142),ISNUMBER(AA141)),IFERROR(AA142/AA141,""),"")</f>
        <v>0.323409405782318</v>
      </c>
      <c r="AB143" s="38" t="n">
        <f aca="false">IF(AND(ISNUMBER(AB142),ISNUMBER(AB141)),IFERROR(AB142/AB141,""),"")</f>
        <v>0.241546235740772</v>
      </c>
      <c r="AC143" s="38" t="n">
        <f aca="false">IF(AND(ISNUMBER(AC142),ISNUMBER(AC141)),IFERROR(AC142/AC141,""),"")</f>
        <v>0.315592268205277</v>
      </c>
      <c r="AD143" s="38" t="n">
        <f aca="false">IF(AND(ISNUMBER(AD142),ISNUMBER(AD141)),IFERROR(AD142/AD141,""),"")</f>
        <v>9.11453268503552</v>
      </c>
      <c r="AE143" s="38" t="n">
        <f aca="false">IF(AND(ISNUMBER(AE142),ISNUMBER(AE141)),IFERROR(AE142/AE141,""),"")</f>
        <v>0.298337128034345</v>
      </c>
      <c r="AF143" s="38" t="n">
        <f aca="false">IF(AND(ISNUMBER(AF142),ISNUMBER(AF141)),IFERROR(AF142/AF141,""),"")</f>
        <v>0.342864749733759</v>
      </c>
      <c r="AG143" s="38" t="n">
        <f aca="false">IF(AND(ISNUMBER(AG142),ISNUMBER(AG141)),IFERROR(AG142/AG141,""),"")</f>
        <v>-1.15843259200406</v>
      </c>
      <c r="AH143" s="38" t="n">
        <f aca="false">IF(AND(ISNUMBER(AH142),ISNUMBER(AH141)),IFERROR(AH142/AH141,""),"")</f>
        <v>-0.135513559222041</v>
      </c>
      <c r="AI143" s="38" t="n">
        <f aca="false">IF(AND(ISNUMBER(AI142),ISNUMBER(AI141)),IFERROR(AI142/AI141,""),"")</f>
        <v>0.203028989571913</v>
      </c>
      <c r="AJ143" s="38" t="n">
        <f aca="false">IF(AND(ISNUMBER(AJ142),ISNUMBER(AJ141)),IFERROR(AJ142/AJ141,""),"")</f>
        <v>0.234674355906693</v>
      </c>
      <c r="AK143" s="38" t="n">
        <f aca="false">IF(AND(ISNUMBER(AK142),ISNUMBER(AK141)),IFERROR(AK142/AK141,""),"")</f>
        <v>0.256790464265644</v>
      </c>
      <c r="AL143" s="38" t="n">
        <f aca="false">IF(AND(ISNUMBER(AL142),ISNUMBER(AL141)),IFERROR(AL142/AL141,""),"")</f>
        <v>0.201644380195157</v>
      </c>
      <c r="AM143" s="38" t="n">
        <f aca="false">IF(AND(ISNUMBER(AM142),ISNUMBER(AM141)),IFERROR(AM142/AM141,""),"")</f>
        <v>0.226243742398959</v>
      </c>
      <c r="AN143" s="38" t="n">
        <f aca="false">IF(AND(ISNUMBER(AN142),ISNUMBER(AN141)),IFERROR(AN142/AN141,""),"")</f>
        <v>0.182148555797975</v>
      </c>
      <c r="AO143" s="38" t="n">
        <f aca="false">IF(AND(ISNUMBER(AO142),ISNUMBER(AO141)),IFERROR(AO142/AO141,""),"")</f>
        <v>0.210934807848293</v>
      </c>
      <c r="AP143" s="38" t="n">
        <f aca="false">IF(AND(ISNUMBER(AP142),ISNUMBER(AP141)),IFERROR(AP142/AP141,""),"")</f>
        <v>0.211947071441664</v>
      </c>
      <c r="AQ143" s="38" t="n">
        <f aca="false">IF(AND(ISNUMBER(AQ142),ISNUMBER(AQ141)),IFERROR(AQ142/AQ141,""),"")</f>
        <v>0.17713237202061</v>
      </c>
      <c r="AR143" s="38" t="n">
        <f aca="false">IF(AND(ISNUMBER(AR142),ISNUMBER(AR141)),IFERROR(AR142/AR141,""),"")</f>
        <v>0.197211750822719</v>
      </c>
      <c r="AS143" s="38" t="n">
        <f aca="false">IF(AND(ISNUMBER(AS142),ISNUMBER(AS141)),IFERROR(AS142/AS141,""),"")</f>
        <v>0.167421209949483</v>
      </c>
      <c r="AT143" s="38" t="n">
        <f aca="false">IF(AND(ISNUMBER(AT142),ISNUMBER(AT141)),IFERROR(AT142/AT141,""),"")</f>
        <v>0.145516220642815</v>
      </c>
      <c r="AU143" s="38" t="n">
        <f aca="false">IF(AND(ISNUMBER(AU142),ISNUMBER(AU141)),IFERROR(AU142/AU141,""),"")</f>
        <v>0.175618842878611</v>
      </c>
      <c r="AV143" s="38" t="n">
        <f aca="false">IF(AND(ISNUMBER(AV142),ISNUMBER(AV141)),IFERROR(AV142/AV141,""),"")</f>
        <v>0.167480649315872</v>
      </c>
      <c r="AW143" s="38" t="n">
        <f aca="false">IF(AND(ISNUMBER(AW142),ISNUMBER(AW141)),IFERROR(AW142/AW141,""),"")</f>
        <v>0.196609875784715</v>
      </c>
      <c r="AX143" s="38" t="n">
        <f aca="false">IF(AND(ISNUMBER(AX142),ISNUMBER(AX141)),IFERROR(AX142/AX141,""),"")</f>
        <v>0.200854445208826</v>
      </c>
      <c r="AY143" s="38" t="n">
        <f aca="false">IF(AND(ISNUMBER(AY142),ISNUMBER(AY141)),IFERROR(AY142/AY141,""),"")</f>
        <v>0.212775982468696</v>
      </c>
      <c r="AZ143" s="38" t="n">
        <f aca="false">IF(AND(ISNUMBER(AZ142),ISNUMBER(AZ141)),IFERROR(AZ142/AZ141,""),"")</f>
        <v>0.138412750896125</v>
      </c>
      <c r="BA143" s="38" t="n">
        <f aca="false">IF(AND(ISNUMBER(BA142),ISNUMBER(BA141)),IFERROR(BA142/BA141,""),"")</f>
        <v>0.215343488776679</v>
      </c>
      <c r="BB143" s="38" t="n">
        <f aca="false">IF(AND(ISNUMBER(BB142),ISNUMBER(BB141)),IFERROR(BB142/BB141,""),"")</f>
        <v>0.197540811322077</v>
      </c>
      <c r="BC143" s="38" t="n">
        <f aca="false">IF(AND(ISNUMBER(BC142),ISNUMBER(BC141)),IFERROR(BC142/BC141,""),"")</f>
        <v>0.213078134611945</v>
      </c>
      <c r="BD143" s="38" t="n">
        <f aca="false">IF(AND(ISNUMBER(BD142),ISNUMBER(BD141)),IFERROR(BD142/BD141,""),"")</f>
        <v>0.206386232186724</v>
      </c>
      <c r="BE143" s="38" t="n">
        <f aca="false">IF(AND(ISNUMBER(BE142),ISNUMBER(BE141)),IFERROR(BE142/BE141,""),"")</f>
        <v>0.170537781850999</v>
      </c>
      <c r="BF143" s="38" t="n">
        <f aca="false">IF(AND(ISNUMBER(BF142),ISNUMBER(BF141)),IFERROR(BF142/BF141,""),"")</f>
        <v>0.227013414808803</v>
      </c>
      <c r="BG143" s="38" t="n">
        <f aca="false">IF(AND(ISNUMBER(BG142),ISNUMBER(BG141)),IFERROR(BG142/BG141,""),"")</f>
        <v>0.203021460242163</v>
      </c>
      <c r="BH143" s="38" t="n">
        <f aca="false">IF(AND(ISNUMBER(BH142),ISNUMBER(BH141)),IFERROR(BH142/BH141,""),"")</f>
        <v>0.215636832193478</v>
      </c>
      <c r="BI143" s="38" t="n">
        <f aca="false">IF(AND(ISNUMBER(BI142),ISNUMBER(BI141)),IFERROR(BI142/BI141,""),"")</f>
        <v>0.246834052880409</v>
      </c>
      <c r="BJ143" s="38" t="n">
        <f aca="false">IF(AND(ISNUMBER(BJ142),ISNUMBER(BJ141)),IFERROR(BJ142/BJ141,""),"")</f>
        <v>0.215545272208265</v>
      </c>
      <c r="BK143" s="38" t="n">
        <f aca="false">IF(AND(ISNUMBER(BK142),ISNUMBER(BK141)),IFERROR(BK142/BK141,""),"")</f>
        <v>0.215380230375057</v>
      </c>
      <c r="BL143" s="38" t="n">
        <f aca="false">IF(AND(ISNUMBER(BL142),ISNUMBER(BL141)),IFERROR(BL142/BL141,""),"")</f>
        <v>0.22437699605796</v>
      </c>
      <c r="BM143" s="38" t="n">
        <f aca="false">IF(AND(ISNUMBER(BM142),ISNUMBER(BM141)),IFERROR(BM142/BM141,""),"")</f>
        <v>0.205909059402509</v>
      </c>
      <c r="BN143" s="38" t="n">
        <f aca="false">IF(AND(ISNUMBER(BN142),ISNUMBER(BN141)),IFERROR(BN142/BN141,""),"")</f>
        <v>0.226369724481999</v>
      </c>
      <c r="BO143" s="38" t="n">
        <f aca="false">IF(AND(ISNUMBER(BO142),ISNUMBER(BO141)),IFERROR(BO142/BO141,""),"")</f>
        <v>0.22999665048568</v>
      </c>
      <c r="BP143" s="38" t="n">
        <f aca="false">IF(AND(ISNUMBER(BP142),ISNUMBER(BP141)),IFERROR(BP142/BP141,""),"")</f>
        <v>0.304084161491786</v>
      </c>
      <c r="BQ143" s="38" t="n">
        <f aca="false">IF(AND(ISNUMBER(BQ142),ISNUMBER(BQ141)),IFERROR(BQ142/BQ141,""),"")</f>
        <v>0.191842534010195</v>
      </c>
      <c r="BR143" s="38" t="n">
        <f aca="false">IF(AND(ISNUMBER(BR142),ISNUMBER(BR141)),IFERROR(BR142/BR141,""),"")</f>
        <v>0.228345852890149</v>
      </c>
      <c r="BS143" s="38" t="n">
        <f aca="false">IF(AND(ISNUMBER(BS142),ISNUMBER(BS141)),IFERROR(BS142/BS141,""),"")</f>
        <v>0.254092168219592</v>
      </c>
      <c r="BT143" s="38" t="n">
        <f aca="false">IF(AND(ISNUMBER(BT142),ISNUMBER(BT141)),IFERROR(BT142/BT141,""),"")</f>
        <v>0.236150319926142</v>
      </c>
      <c r="BU143" s="38" t="n">
        <f aca="false">IF(AND(ISNUMBER(BU142),ISNUMBER(BU141)),IFERROR(BU142/BU141,""),"")</f>
        <v>0.241951044993211</v>
      </c>
      <c r="BV143" s="38" t="n">
        <f aca="false">IF(AND(ISNUMBER(BV142),ISNUMBER(BV141)),IFERROR(BV142/BV141,""),"")</f>
        <v>0.240746983601285</v>
      </c>
      <c r="BW143" s="38" t="n">
        <f aca="false">IF(AND(ISNUMBER(BW142),ISNUMBER(BW141)),IFERROR(BW142/BW141,""),"")</f>
        <v>0.226460807098347</v>
      </c>
      <c r="BX143" s="38" t="n">
        <f aca="false">IF(AND(ISNUMBER(BX142),ISNUMBER(BX141)),IFERROR(BX142/BX141,""),"")</f>
        <v>0.22758449951789</v>
      </c>
      <c r="BY143" s="37" t="n">
        <f aca="false">$CP$19</f>
        <v>0.231</v>
      </c>
      <c r="BZ143" s="37" t="n">
        <f aca="false">$CP$19</f>
        <v>0.231</v>
      </c>
      <c r="CA143" s="37" t="n">
        <f aca="false">IFERROR(CA142/CA141,"")</f>
        <v>0.229294315630784</v>
      </c>
      <c r="CB143" s="42" t="n">
        <v>0.24</v>
      </c>
      <c r="CC143" s="42" t="n">
        <v>0.24</v>
      </c>
      <c r="CD143" s="42" t="n">
        <v>0.24</v>
      </c>
      <c r="CE143" s="42" t="n">
        <v>0.24</v>
      </c>
      <c r="CF143" s="21" t="s">
        <v>309</v>
      </c>
      <c r="CH143" s="41" t="n">
        <f aca="false">IFERROR(AVERAGE(CA143,CB143,CC143,CD143,CE143),"n/m")</f>
        <v>0.237858863126157</v>
      </c>
      <c r="CI143" s="41" t="n">
        <f aca="false">IFERROR(AVERAGE(BB143,BG143,BL143,BQ143,BV143),"n/m")</f>
        <v>0.211505757046736</v>
      </c>
      <c r="CJ143" s="41" t="n">
        <f aca="false">IFERROR(AVERAGE(AC143,AH143,AM143,AR143,AW143,BB143,BG143,BL143,BQ143,BV143),"n/m")</f>
        <v>0.185767286322331</v>
      </c>
      <c r="CK143" s="41" t="n">
        <f aca="false">IFERROR(AVERAGE(C143,D143,E143,F143,G143,H143,I143,N143,S143,X143,AC143,AH143,AM143,AR143,AW143,BB143,BG143,BL143,BQ143,BV143),"n/m")</f>
        <v>0.273519252294585</v>
      </c>
    </row>
    <row r="144" customFormat="false" ht="15" hidden="true" customHeight="true" outlineLevel="2" collapsed="false">
      <c r="B144" s="18" t="s">
        <v>310</v>
      </c>
      <c r="C144" s="32" t="n">
        <f aca="false">C141-C142</f>
        <v>90.328</v>
      </c>
      <c r="D144" s="32" t="n">
        <f aca="false">D141-D142</f>
        <v>113.951</v>
      </c>
      <c r="E144" s="32" t="n">
        <f aca="false">E141-E142</f>
        <v>117.796</v>
      </c>
      <c r="F144" s="32" t="n">
        <f aca="false">F141-F142</f>
        <v>110.811</v>
      </c>
      <c r="G144" s="32" t="n">
        <f aca="false">G141-G142</f>
        <v>136.142</v>
      </c>
      <c r="H144" s="32" t="n">
        <f aca="false">H141-H142</f>
        <v>166.171</v>
      </c>
      <c r="I144" s="32" t="n">
        <f aca="false">I141-I142</f>
        <v>159.66</v>
      </c>
      <c r="J144" s="32" t="n">
        <f aca="false">J141-J142</f>
        <v>41.68</v>
      </c>
      <c r="K144" s="32" t="n">
        <f aca="false">K141-K142</f>
        <v>43.995</v>
      </c>
      <c r="L144" s="32" t="n">
        <f aca="false">L141-L142</f>
        <v>60.913</v>
      </c>
      <c r="M144" s="32" t="n">
        <f aca="false">M141-M142</f>
        <v>49.4170000000002</v>
      </c>
      <c r="N144" s="32" t="n">
        <f aca="false">N141-N142</f>
        <v>196.005</v>
      </c>
      <c r="O144" s="32" t="n">
        <f aca="false">O141-O142</f>
        <v>49.223</v>
      </c>
      <c r="P144" s="32" t="n">
        <f aca="false">P141-P142</f>
        <v>62.9</v>
      </c>
      <c r="Q144" s="32" t="n">
        <f aca="false">Q141-Q142</f>
        <v>60.2840000000001</v>
      </c>
      <c r="R144" s="32" t="n">
        <f aca="false">R141-R142</f>
        <v>60.9200000000003</v>
      </c>
      <c r="S144" s="32" t="n">
        <f aca="false">S141-S142</f>
        <v>233.327</v>
      </c>
      <c r="T144" s="32" t="n">
        <f aca="false">T141-T142</f>
        <v>52.081</v>
      </c>
      <c r="U144" s="32" t="n">
        <f aca="false">U141-U142</f>
        <v>57.641</v>
      </c>
      <c r="V144" s="32" t="n">
        <f aca="false">V141-V142</f>
        <v>-256.805</v>
      </c>
      <c r="W144" s="32" t="n">
        <f aca="false">W141-W142</f>
        <v>52.3879999999998</v>
      </c>
      <c r="X144" s="32" t="n">
        <f aca="false">X141-X142</f>
        <v>-94.6940000000003</v>
      </c>
      <c r="Y144" s="32" t="n">
        <f aca="false">Y141-Y142</f>
        <v>45.0169999999999</v>
      </c>
      <c r="Z144" s="32" t="n">
        <f aca="false">Z141-Z142</f>
        <v>27.72</v>
      </c>
      <c r="AA144" s="32" t="n">
        <f aca="false">AA141-AA142</f>
        <v>88.8810000000001</v>
      </c>
      <c r="AB144" s="32" t="n">
        <f aca="false">AB141-AB142</f>
        <v>85.703</v>
      </c>
      <c r="AC144" s="32" t="n">
        <f aca="false">AC141-AC142</f>
        <v>247.321</v>
      </c>
      <c r="AD144" s="32" t="n">
        <f aca="false">AD141-AD142</f>
        <v>15.0200000000001</v>
      </c>
      <c r="AE144" s="32" t="n">
        <f aca="false">AE141-AE142</f>
        <v>123.887</v>
      </c>
      <c r="AF144" s="32" t="n">
        <f aca="false">AF141-AF142</f>
        <v>123.41</v>
      </c>
      <c r="AG144" s="32" t="n">
        <f aca="false">AG141-AG142</f>
        <v>315.129</v>
      </c>
      <c r="AH144" s="32" t="n">
        <f aca="false">AH141-AH142</f>
        <v>577.42</v>
      </c>
      <c r="AI144" s="32" t="n">
        <f aca="false">AI141-AI142</f>
        <v>125.032</v>
      </c>
      <c r="AJ144" s="32" t="n">
        <f aca="false">AJ141-AJ142</f>
        <v>138.814</v>
      </c>
      <c r="AK144" s="32" t="n">
        <f aca="false">AK141-AK142</f>
        <v>150.766</v>
      </c>
      <c r="AL144" s="32" t="n">
        <f aca="false">AL141-AL142</f>
        <v>132.543</v>
      </c>
      <c r="AM144" s="32" t="n">
        <f aca="false">AM141-AM142</f>
        <v>547.154</v>
      </c>
      <c r="AN144" s="32" t="n">
        <f aca="false">AN141-AN142</f>
        <v>125.577</v>
      </c>
      <c r="AO144" s="32" t="n">
        <f aca="false">AO141-AO142</f>
        <v>148.839</v>
      </c>
      <c r="AP144" s="32" t="n">
        <f aca="false">AP141-AP142</f>
        <v>159.074</v>
      </c>
      <c r="AQ144" s="32" t="n">
        <f aca="false">AQ141-AQ142</f>
        <v>133.191</v>
      </c>
      <c r="AR144" s="32" t="n">
        <f aca="false">AR141-AR142</f>
        <v>566.681</v>
      </c>
      <c r="AS144" s="32" t="n">
        <f aca="false">AS141-AS142</f>
        <v>142.893</v>
      </c>
      <c r="AT144" s="32" t="n">
        <f aca="false">AT141-AT142</f>
        <v>-227.467</v>
      </c>
      <c r="AU144" s="32" t="n">
        <f aca="false">AU141-AU142</f>
        <v>157.991</v>
      </c>
      <c r="AV144" s="32" t="n">
        <f aca="false">AV141-AV142</f>
        <v>130.574</v>
      </c>
      <c r="AW144" s="32" t="n">
        <f aca="false">AW141-AW142</f>
        <v>203.992</v>
      </c>
      <c r="AX144" s="32" t="n">
        <f aca="false">AX141-AX142</f>
        <v>160.307</v>
      </c>
      <c r="AY144" s="32" t="n">
        <f aca="false">AY141-AY142</f>
        <v>177.101</v>
      </c>
      <c r="AZ144" s="32" t="n">
        <f aca="false">AZ141-AZ142</f>
        <v>114.654</v>
      </c>
      <c r="BA144" s="32" t="n">
        <f aca="false">BA141-BA142</f>
        <v>166.428</v>
      </c>
      <c r="BB144" s="32" t="n">
        <f aca="false">BB141-BB142</f>
        <v>618.489</v>
      </c>
      <c r="BC144" s="32" t="n">
        <f aca="false">BC141-BC142</f>
        <v>180.368</v>
      </c>
      <c r="BD144" s="32" t="n">
        <f aca="false">BD141-BD142</f>
        <v>224.207</v>
      </c>
      <c r="BE144" s="32" t="n">
        <f aca="false">BE141-BE142</f>
        <v>237.125</v>
      </c>
      <c r="BF144" s="32" t="n">
        <f aca="false">BF141-BF142</f>
        <v>194.301</v>
      </c>
      <c r="BG144" s="32" t="n">
        <f aca="false">BG141-BG142</f>
        <v>836.001000000001</v>
      </c>
      <c r="BH144" s="32" t="n">
        <f aca="false">BH141-BH142</f>
        <v>197.836</v>
      </c>
      <c r="BI144" s="32" t="n">
        <f aca="false">BI141-BI142</f>
        <v>209.17</v>
      </c>
      <c r="BJ144" s="32" t="n">
        <f aca="false">BJ141-BJ142</f>
        <v>229.191</v>
      </c>
      <c r="BK144" s="32" t="n">
        <f aca="false">BK141-BK142</f>
        <v>126.629</v>
      </c>
      <c r="BL144" s="32" t="n">
        <f aca="false">BL141-BL142</f>
        <v>762.826</v>
      </c>
      <c r="BM144" s="32" t="n">
        <f aca="false">BM141-BM142</f>
        <v>229.127</v>
      </c>
      <c r="BN144" s="32" t="n">
        <f aca="false">BN141-BN142</f>
        <v>275.4</v>
      </c>
      <c r="BO144" s="32" t="n">
        <f aca="false">BO141-BO142</f>
        <v>308.046</v>
      </c>
      <c r="BP144" s="32" t="n">
        <f aca="false">BP141-BP142</f>
        <v>-196.004</v>
      </c>
      <c r="BQ144" s="32" t="n">
        <f aca="false">BQ141-BQ142</f>
        <v>616.57</v>
      </c>
      <c r="BR144" s="32" t="n">
        <f aca="false">BR141-BR142</f>
        <v>241.51</v>
      </c>
      <c r="BS144" s="32" t="n">
        <f aca="false">BS141-BS142</f>
        <v>290.276</v>
      </c>
      <c r="BT144" s="32" t="n">
        <f aca="false">BT141-BT142</f>
        <v>286.271</v>
      </c>
      <c r="BU144" s="32" t="n">
        <f aca="false">BU141-BU142</f>
        <v>258.5</v>
      </c>
      <c r="BV144" s="32" t="n">
        <f aca="false">BV141-BV142</f>
        <v>1076.557</v>
      </c>
      <c r="BW144" s="32" t="n">
        <f aca="false">BW141-BW142</f>
        <v>219.344</v>
      </c>
      <c r="BX144" s="32" t="n">
        <f aca="false">BX141-BX142</f>
        <v>296.399</v>
      </c>
      <c r="BY144" s="20" t="n">
        <f aca="false">BY141-BY142</f>
        <v>343.904631367271</v>
      </c>
      <c r="BZ144" s="20" t="n">
        <f aca="false">BZ141-BZ142</f>
        <v>314.13789663273</v>
      </c>
      <c r="CA144" s="20" t="n">
        <f aca="false">CA141-CA142</f>
        <v>1173.785528</v>
      </c>
      <c r="CB144" s="20" t="n">
        <f aca="false">CB141-CB142</f>
        <v>1370.0123158488</v>
      </c>
      <c r="CC144" s="20" t="n">
        <f aca="false">CC141-CC142</f>
        <v>1489.58588587788</v>
      </c>
      <c r="CD144" s="20" t="n">
        <f aca="false">CD141-CD142</f>
        <v>1613.48396021854</v>
      </c>
      <c r="CE144" s="20" t="n">
        <f aca="false">CE141-CE142</f>
        <v>1739.1875870674</v>
      </c>
      <c r="CF144" s="21"/>
      <c r="CH144" s="22" t="n">
        <f aca="false">IFERROR((CE144/BV144)^(1/5)-1,"n/m")</f>
        <v>0.100682038743225</v>
      </c>
      <c r="CI144" s="22" t="n">
        <f aca="false">IFERROR((BV144/AW144)^(1/5)-1,"n/m")</f>
        <v>0.394712774248039</v>
      </c>
      <c r="CJ144" s="22" t="str">
        <f aca="false">IFERROR((BV144/X144)^(1/10)-1,"n/m")</f>
        <v>n/m</v>
      </c>
      <c r="CK144" s="22" t="n">
        <f aca="false">IFERROR((BV144/C144)^(1/19)-1,"n/m")</f>
        <v>0.13931253471835</v>
      </c>
    </row>
    <row r="145" customFormat="false" ht="15" hidden="true" customHeight="true" outlineLevel="2" collapsed="false">
      <c r="B145" s="29" t="s">
        <v>311</v>
      </c>
      <c r="C145" s="27" t="n">
        <v>12.905</v>
      </c>
      <c r="D145" s="27" t="n">
        <v>14.87</v>
      </c>
      <c r="E145" s="27" t="n">
        <v>12.24</v>
      </c>
      <c r="F145" s="27" t="n">
        <v>0.986</v>
      </c>
      <c r="G145" s="27" t="n">
        <v>1.038</v>
      </c>
      <c r="H145" s="27" t="n">
        <v>0.932</v>
      </c>
      <c r="I145" s="27" t="n">
        <v>0.567</v>
      </c>
      <c r="J145" s="27" t="n">
        <v>0.124</v>
      </c>
      <c r="K145" s="27" t="n">
        <v>0.028</v>
      </c>
      <c r="L145" s="27" t="n">
        <v>0.207</v>
      </c>
      <c r="M145" s="27" t="n">
        <v>-0.00900000000000001</v>
      </c>
      <c r="N145" s="27" t="n">
        <v>0.35</v>
      </c>
      <c r="O145" s="27" t="n">
        <v>0.208</v>
      </c>
      <c r="P145" s="27" t="n">
        <v>0.236</v>
      </c>
      <c r="Q145" s="27" t="n">
        <v>0.2</v>
      </c>
      <c r="R145" s="27" t="n">
        <v>0.158</v>
      </c>
      <c r="S145" s="27" t="n">
        <v>0.802</v>
      </c>
      <c r="T145" s="27" t="n">
        <v>0.257</v>
      </c>
      <c r="U145" s="27" t="n">
        <v>0.281</v>
      </c>
      <c r="V145" s="27" t="n">
        <v>0.204</v>
      </c>
      <c r="W145" s="27" t="n">
        <v>0.327</v>
      </c>
      <c r="X145" s="27" t="n">
        <v>1.07</v>
      </c>
      <c r="Y145" s="27" t="n">
        <v>0.175</v>
      </c>
      <c r="Z145" s="27" t="n">
        <v>0.231</v>
      </c>
      <c r="AA145" s="27" t="n">
        <v>0.264</v>
      </c>
      <c r="AB145" s="27" t="n">
        <v>0.111</v>
      </c>
      <c r="AC145" s="27" t="n">
        <v>0.781</v>
      </c>
      <c r="AD145" s="27" t="n">
        <v>0.146</v>
      </c>
      <c r="AE145" s="27" t="n">
        <v>0.231</v>
      </c>
      <c r="AF145" s="27" t="n">
        <v>0.183</v>
      </c>
      <c r="AG145" s="27" t="n">
        <v>0.0439999999999999</v>
      </c>
      <c r="AH145" s="27" t="n">
        <v>0.603</v>
      </c>
      <c r="AI145" s="27" t="n">
        <v>0.163</v>
      </c>
      <c r="AJ145" s="27" t="n">
        <v>0.132</v>
      </c>
      <c r="AK145" s="27" t="n">
        <v>-0.077</v>
      </c>
      <c r="AL145" s="27" t="n">
        <v>0.065</v>
      </c>
      <c r="AM145" s="27" t="n">
        <v>0.283</v>
      </c>
      <c r="AN145" s="27" t="n">
        <v>-0.045</v>
      </c>
      <c r="AO145" s="27" t="n">
        <v>-0.009</v>
      </c>
      <c r="AP145" s="27" t="n">
        <v>-0.035</v>
      </c>
      <c r="AQ145" s="27" t="n">
        <v>-0.071</v>
      </c>
      <c r="AR145" s="27" t="n">
        <v>-0.16</v>
      </c>
      <c r="AS145" s="27" t="n">
        <v>-0.142</v>
      </c>
      <c r="AT145" s="27" t="n">
        <v>-0.395</v>
      </c>
      <c r="AU145" s="27" t="n">
        <v>-0.058</v>
      </c>
      <c r="AV145" s="27" t="n">
        <v>-0.0910000000000001</v>
      </c>
      <c r="AW145" s="27" t="n">
        <v>-0.685</v>
      </c>
      <c r="AX145" s="27" t="n">
        <v>-0.002</v>
      </c>
      <c r="AY145" s="27" t="n">
        <v>0.054</v>
      </c>
      <c r="AZ145" s="27" t="n">
        <v>0.273</v>
      </c>
      <c r="BA145" s="27" t="n">
        <v>0.117</v>
      </c>
      <c r="BB145" s="27" t="n">
        <v>0.442</v>
      </c>
      <c r="BC145" s="27" t="n">
        <v>0.044</v>
      </c>
      <c r="BD145" s="27" t="n">
        <v>0.133</v>
      </c>
      <c r="BE145" s="27" t="n">
        <v>0.213</v>
      </c>
      <c r="BF145" s="27" t="n">
        <v>-0.051</v>
      </c>
      <c r="BG145" s="27" t="n">
        <v>0.339</v>
      </c>
      <c r="BH145" s="27" t="n">
        <v>0.023</v>
      </c>
      <c r="BI145" s="27" t="n">
        <v>-0.038</v>
      </c>
      <c r="BJ145" s="27" t="n">
        <v>0.165</v>
      </c>
      <c r="BK145" s="27" t="n">
        <v>-0.124</v>
      </c>
      <c r="BL145" s="27" t="n">
        <v>0.026</v>
      </c>
      <c r="BM145" s="27" t="n">
        <v>-0.927</v>
      </c>
      <c r="BN145" s="27" t="n">
        <v>-0.077</v>
      </c>
      <c r="BO145" s="27" t="n">
        <v>0</v>
      </c>
      <c r="BP145" s="27" t="n">
        <v>0</v>
      </c>
      <c r="BQ145" s="27" t="n">
        <v>-1.003</v>
      </c>
      <c r="BR145" s="27" t="n">
        <v>0</v>
      </c>
      <c r="BS145" s="27" t="n">
        <v>0</v>
      </c>
      <c r="BT145" s="27" t="n">
        <v>0</v>
      </c>
      <c r="BU145" s="27" t="n">
        <v>0</v>
      </c>
      <c r="BV145" s="27" t="n">
        <v>0</v>
      </c>
      <c r="BW145" s="25"/>
      <c r="BX145" s="25"/>
      <c r="BY145" s="57" t="n">
        <v>0</v>
      </c>
      <c r="BZ145" s="57" t="n">
        <v>0</v>
      </c>
      <c r="CA145" s="47" t="n">
        <f aca="false">SUM(BW145,BX145,BY145,BZ145)</f>
        <v>0</v>
      </c>
      <c r="CB145" s="57" t="n">
        <v>0</v>
      </c>
      <c r="CC145" s="57" t="n">
        <v>0</v>
      </c>
      <c r="CD145" s="57" t="n">
        <v>0</v>
      </c>
      <c r="CE145" s="57" t="n">
        <v>0</v>
      </c>
      <c r="CF145" s="21" t="s">
        <v>312</v>
      </c>
    </row>
    <row r="146" customFormat="false" ht="15" hidden="true" customHeight="true" outlineLevel="2" collapsed="false">
      <c r="B146" s="55" t="s">
        <v>313</v>
      </c>
      <c r="C146" s="56" t="n">
        <f aca="false">C144-N(C145)</f>
        <v>77.423</v>
      </c>
      <c r="D146" s="56" t="n">
        <f aca="false">D144-N(D145)</f>
        <v>99.081</v>
      </c>
      <c r="E146" s="56" t="n">
        <f aca="false">E144-N(E145)</f>
        <v>105.556</v>
      </c>
      <c r="F146" s="56" t="n">
        <f aca="false">F144-N(F145)</f>
        <v>109.825</v>
      </c>
      <c r="G146" s="56" t="n">
        <f aca="false">G144-N(G145)</f>
        <v>135.104</v>
      </c>
      <c r="H146" s="56" t="n">
        <f aca="false">H144-N(H145)</f>
        <v>165.239</v>
      </c>
      <c r="I146" s="56" t="n">
        <f aca="false">I144-N(I145)</f>
        <v>159.093</v>
      </c>
      <c r="J146" s="56" t="n">
        <f aca="false">J144-N(J145)</f>
        <v>41.556</v>
      </c>
      <c r="K146" s="56" t="n">
        <f aca="false">K144-N(K145)</f>
        <v>43.967</v>
      </c>
      <c r="L146" s="56" t="n">
        <f aca="false">L144-N(L145)</f>
        <v>60.706</v>
      </c>
      <c r="M146" s="56" t="n">
        <f aca="false">M144-N(M145)</f>
        <v>49.4260000000002</v>
      </c>
      <c r="N146" s="56" t="n">
        <f aca="false">N144-N(N145)</f>
        <v>195.655</v>
      </c>
      <c r="O146" s="56" t="n">
        <f aca="false">O144-N(O145)</f>
        <v>49.015</v>
      </c>
      <c r="P146" s="56" t="n">
        <f aca="false">P144-N(P145)</f>
        <v>62.664</v>
      </c>
      <c r="Q146" s="56" t="n">
        <f aca="false">Q144-N(Q145)</f>
        <v>60.0840000000001</v>
      </c>
      <c r="R146" s="56" t="n">
        <f aca="false">R144-N(R145)</f>
        <v>60.7620000000003</v>
      </c>
      <c r="S146" s="56" t="n">
        <f aca="false">S144-N(S145)</f>
        <v>232.525</v>
      </c>
      <c r="T146" s="56" t="n">
        <f aca="false">T144-N(T145)</f>
        <v>51.824</v>
      </c>
      <c r="U146" s="56" t="n">
        <f aca="false">U144-N(U145)</f>
        <v>57.36</v>
      </c>
      <c r="V146" s="56" t="n">
        <f aca="false">V144-N(V145)</f>
        <v>-257.009</v>
      </c>
      <c r="W146" s="56" t="n">
        <f aca="false">W144-N(W145)</f>
        <v>52.0609999999998</v>
      </c>
      <c r="X146" s="56" t="n">
        <f aca="false">X144-N(X145)</f>
        <v>-95.7640000000003</v>
      </c>
      <c r="Y146" s="56" t="n">
        <f aca="false">Y144-N(Y145)</f>
        <v>44.8419999999999</v>
      </c>
      <c r="Z146" s="56" t="n">
        <f aca="false">Z144-N(Z145)</f>
        <v>27.489</v>
      </c>
      <c r="AA146" s="56" t="n">
        <f aca="false">AA144-N(AA145)</f>
        <v>88.6170000000001</v>
      </c>
      <c r="AB146" s="56" t="n">
        <f aca="false">AB144-N(AB145)</f>
        <v>85.5919999999999</v>
      </c>
      <c r="AC146" s="56" t="n">
        <f aca="false">AC144-N(AC145)</f>
        <v>246.54</v>
      </c>
      <c r="AD146" s="56" t="n">
        <f aca="false">AD144-N(AD145)</f>
        <v>14.8740000000001</v>
      </c>
      <c r="AE146" s="56" t="n">
        <f aca="false">AE144-N(AE145)</f>
        <v>123.656</v>
      </c>
      <c r="AF146" s="56" t="n">
        <f aca="false">AF144-N(AF145)</f>
        <v>123.227</v>
      </c>
      <c r="AG146" s="56" t="n">
        <f aca="false">AG144-N(AG145)</f>
        <v>315.085</v>
      </c>
      <c r="AH146" s="56" t="n">
        <f aca="false">AH144-N(AH145)</f>
        <v>576.817</v>
      </c>
      <c r="AI146" s="56" t="n">
        <f aca="false">AI144-N(AI145)</f>
        <v>124.869</v>
      </c>
      <c r="AJ146" s="56" t="n">
        <f aca="false">AJ144-N(AJ145)</f>
        <v>138.682</v>
      </c>
      <c r="AK146" s="56" t="n">
        <f aca="false">AK144-N(AK145)</f>
        <v>150.843</v>
      </c>
      <c r="AL146" s="56" t="n">
        <f aca="false">AL144-N(AL145)</f>
        <v>132.478</v>
      </c>
      <c r="AM146" s="56" t="n">
        <f aca="false">AM144-N(AM145)</f>
        <v>546.871</v>
      </c>
      <c r="AN146" s="56" t="n">
        <f aca="false">AN144-N(AN145)</f>
        <v>125.622</v>
      </c>
      <c r="AO146" s="56" t="n">
        <f aca="false">AO144-N(AO145)</f>
        <v>148.848</v>
      </c>
      <c r="AP146" s="56" t="n">
        <f aca="false">AP144-N(AP145)</f>
        <v>159.109</v>
      </c>
      <c r="AQ146" s="56" t="n">
        <f aca="false">AQ144-N(AQ145)</f>
        <v>133.262</v>
      </c>
      <c r="AR146" s="56" t="n">
        <f aca="false">AR144-N(AR145)</f>
        <v>566.841</v>
      </c>
      <c r="AS146" s="56" t="n">
        <f aca="false">AS144-N(AS145)</f>
        <v>143.035</v>
      </c>
      <c r="AT146" s="56" t="n">
        <f aca="false">AT144-N(AT145)</f>
        <v>-227.072</v>
      </c>
      <c r="AU146" s="56" t="n">
        <f aca="false">AU144-N(AU145)</f>
        <v>158.049</v>
      </c>
      <c r="AV146" s="56" t="n">
        <f aca="false">AV144-N(AV145)</f>
        <v>130.665</v>
      </c>
      <c r="AW146" s="56" t="n">
        <f aca="false">AW144-N(AW145)</f>
        <v>204.677</v>
      </c>
      <c r="AX146" s="56" t="n">
        <f aca="false">AX144-N(AX145)</f>
        <v>160.309</v>
      </c>
      <c r="AY146" s="56" t="n">
        <f aca="false">AY144-N(AY145)</f>
        <v>177.047</v>
      </c>
      <c r="AZ146" s="56" t="n">
        <f aca="false">AZ144-N(AZ145)</f>
        <v>114.381</v>
      </c>
      <c r="BA146" s="56" t="n">
        <f aca="false">BA144-N(BA145)</f>
        <v>166.311</v>
      </c>
      <c r="BB146" s="56" t="n">
        <f aca="false">BB144-N(BB145)</f>
        <v>618.047</v>
      </c>
      <c r="BC146" s="56" t="n">
        <f aca="false">BC144-N(BC145)</f>
        <v>180.324</v>
      </c>
      <c r="BD146" s="56" t="n">
        <f aca="false">BD144-N(BD145)</f>
        <v>224.074</v>
      </c>
      <c r="BE146" s="56" t="n">
        <f aca="false">BE144-N(BE145)</f>
        <v>236.912</v>
      </c>
      <c r="BF146" s="56" t="n">
        <f aca="false">BF144-N(BF145)</f>
        <v>194.352</v>
      </c>
      <c r="BG146" s="56" t="n">
        <f aca="false">BG144-N(BG145)</f>
        <v>835.662000000001</v>
      </c>
      <c r="BH146" s="56" t="n">
        <f aca="false">BH144-N(BH145)</f>
        <v>197.813</v>
      </c>
      <c r="BI146" s="56" t="n">
        <f aca="false">BI144-N(BI145)</f>
        <v>209.208</v>
      </c>
      <c r="BJ146" s="56" t="n">
        <f aca="false">BJ144-N(BJ145)</f>
        <v>229.026</v>
      </c>
      <c r="BK146" s="56" t="n">
        <f aca="false">BK144-N(BK145)</f>
        <v>126.753</v>
      </c>
      <c r="BL146" s="56" t="n">
        <f aca="false">BL144-N(BL145)</f>
        <v>762.8</v>
      </c>
      <c r="BM146" s="56" t="n">
        <f aca="false">BM144-N(BM145)</f>
        <v>230.054</v>
      </c>
      <c r="BN146" s="56" t="n">
        <f aca="false">BN144-N(BN145)</f>
        <v>275.477</v>
      </c>
      <c r="BO146" s="56" t="n">
        <f aca="false">BO144-N(BO145)</f>
        <v>308.046</v>
      </c>
      <c r="BP146" s="56" t="n">
        <f aca="false">BP144-N(BP145)</f>
        <v>-196.004</v>
      </c>
      <c r="BQ146" s="56" t="n">
        <f aca="false">BQ144-N(BQ145)</f>
        <v>617.573</v>
      </c>
      <c r="BR146" s="56" t="n">
        <f aca="false">BR144-N(BR145)</f>
        <v>241.51</v>
      </c>
      <c r="BS146" s="56" t="n">
        <f aca="false">BS144-N(BS145)</f>
        <v>290.276</v>
      </c>
      <c r="BT146" s="56" t="n">
        <f aca="false">BT144-N(BT145)</f>
        <v>286.271</v>
      </c>
      <c r="BU146" s="56" t="n">
        <f aca="false">BU144-N(BU145)</f>
        <v>258.5</v>
      </c>
      <c r="BV146" s="56" t="n">
        <f aca="false">BV144-N(BV145)</f>
        <v>1076.557</v>
      </c>
      <c r="BW146" s="56" t="n">
        <f aca="false">BW144-N(BW145)</f>
        <v>219.344</v>
      </c>
      <c r="BX146" s="56" t="n">
        <f aca="false">BX144-N(BX145)</f>
        <v>296.399</v>
      </c>
      <c r="BY146" s="56" t="n">
        <f aca="false">BY144-N(BY145)</f>
        <v>343.904631367271</v>
      </c>
      <c r="BZ146" s="56" t="n">
        <f aca="false">BZ144-N(BZ145)</f>
        <v>314.13789663273</v>
      </c>
      <c r="CA146" s="56" t="n">
        <f aca="false">CA144-N(CA145)</f>
        <v>1173.785528</v>
      </c>
      <c r="CB146" s="56" t="n">
        <f aca="false">CB144-N(CB145)</f>
        <v>1370.0123158488</v>
      </c>
      <c r="CC146" s="56" t="n">
        <f aca="false">CC144-N(CC145)</f>
        <v>1489.58588587788</v>
      </c>
      <c r="CD146" s="56" t="n">
        <f aca="false">CD144-N(CD145)</f>
        <v>1613.48396021854</v>
      </c>
      <c r="CE146" s="56" t="n">
        <f aca="false">CE144-N(CE145)</f>
        <v>1739.1875870674</v>
      </c>
      <c r="CF146" s="21"/>
      <c r="CH146" s="22" t="n">
        <f aca="false">IFERROR((CE146/BV146)^(1/5)-1,"n/m")</f>
        <v>0.100682038743225</v>
      </c>
      <c r="CI146" s="22" t="n">
        <f aca="false">IFERROR((BV146/AW146)^(1/5)-1,"n/m")</f>
        <v>0.393777974749975</v>
      </c>
      <c r="CJ146" s="22" t="str">
        <f aca="false">IFERROR((BV146/X146)^(1/10)-1,"n/m")</f>
        <v>n/m</v>
      </c>
      <c r="CK146" s="22" t="n">
        <f aca="false">IFERROR((BV146/C146)^(1/19)-1,"n/m")</f>
        <v>0.148594377386235</v>
      </c>
    </row>
    <row r="147" customFormat="false" ht="15" hidden="true" customHeight="true" outlineLevel="2" collapsed="false">
      <c r="B147" s="46" t="s">
        <v>314</v>
      </c>
      <c r="C147" s="26" t="n">
        <f aca="false">IF(ISNUMBER(C148),ROUND(C146-C148,1),"")</f>
        <v>0</v>
      </c>
      <c r="D147" s="26" t="n">
        <f aca="false">IF(ISNUMBER(D148),ROUND(D146-D148,1),"")</f>
        <v>0</v>
      </c>
      <c r="E147" s="26" t="n">
        <f aca="false">IF(ISNUMBER(E148),ROUND(E146-E148,1),"")</f>
        <v>0</v>
      </c>
      <c r="F147" s="26" t="n">
        <f aca="false">IF(ISNUMBER(F148),ROUND(F146-F148,1),"")</f>
        <v>0</v>
      </c>
      <c r="G147" s="26" t="n">
        <f aca="false">IF(ISNUMBER(G148),ROUND(G146-G148,1),"")</f>
        <v>0</v>
      </c>
      <c r="H147" s="26" t="n">
        <f aca="false">IF(ISNUMBER(H148),ROUND(H146-H148,1),"")</f>
        <v>0</v>
      </c>
      <c r="I147" s="26" t="n">
        <f aca="false">IF(ISNUMBER(I148),ROUND(I146-I148,1),"")</f>
        <v>0</v>
      </c>
      <c r="J147" s="26" t="n">
        <f aca="false">IF(ISNUMBER(J148),ROUND(J146-J148,1),"")</f>
        <v>0</v>
      </c>
      <c r="K147" s="26" t="n">
        <f aca="false">IF(ISNUMBER(K148),ROUND(K146-K148,1),"")</f>
        <v>0</v>
      </c>
      <c r="L147" s="26" t="n">
        <f aca="false">IF(ISNUMBER(L148),ROUND(L146-L148,1),"")</f>
        <v>0</v>
      </c>
      <c r="M147" s="26" t="n">
        <f aca="false">IF(ISNUMBER(M148),ROUND(M146-M148,1),"")</f>
        <v>0</v>
      </c>
      <c r="N147" s="26" t="n">
        <f aca="false">IF(ISNUMBER(N148),ROUND(N146-N148,1),"")</f>
        <v>0</v>
      </c>
      <c r="O147" s="26" t="n">
        <f aca="false">IF(ISNUMBER(O148),ROUND(O146-O148,1),"")</f>
        <v>0</v>
      </c>
      <c r="P147" s="26" t="n">
        <f aca="false">IF(ISNUMBER(P148),ROUND(P146-P148,1),"")</f>
        <v>0</v>
      </c>
      <c r="Q147" s="26" t="n">
        <f aca="false">IF(ISNUMBER(Q148),ROUND(Q146-Q148,1),"")</f>
        <v>0</v>
      </c>
      <c r="R147" s="26" t="n">
        <f aca="false">IF(ISNUMBER(R148),ROUND(R146-R148,1),"")</f>
        <v>0</v>
      </c>
      <c r="S147" s="26" t="n">
        <f aca="false">IF(ISNUMBER(S148),ROUND(S146-S148,1),"")</f>
        <v>0</v>
      </c>
      <c r="T147" s="26" t="n">
        <f aca="false">IF(ISNUMBER(T148),ROUND(T146-T148,1),"")</f>
        <v>0</v>
      </c>
      <c r="U147" s="26" t="n">
        <f aca="false">IF(ISNUMBER(U148),ROUND(U146-U148,1),"")</f>
        <v>0</v>
      </c>
      <c r="V147" s="26" t="n">
        <f aca="false">IF(ISNUMBER(V148),ROUND(V146-V148,1),"")</f>
        <v>0</v>
      </c>
      <c r="W147" s="26" t="n">
        <f aca="false">IF(ISNUMBER(W148),ROUND(W146-W148,1),"")</f>
        <v>0</v>
      </c>
      <c r="X147" s="26" t="n">
        <f aca="false">IF(ISNUMBER(X148),ROUND(X146-X148,1),"")</f>
        <v>0</v>
      </c>
      <c r="Y147" s="26" t="n">
        <f aca="false">IF(ISNUMBER(Y148),ROUND(Y146-Y148,1),"")</f>
        <v>0</v>
      </c>
      <c r="Z147" s="26" t="n">
        <f aca="false">IF(ISNUMBER(Z148),ROUND(Z146-Z148,1),"")</f>
        <v>0</v>
      </c>
      <c r="AA147" s="26" t="n">
        <f aca="false">IF(ISNUMBER(AA148),ROUND(AA146-AA148,1),"")</f>
        <v>0</v>
      </c>
      <c r="AB147" s="26" t="n">
        <f aca="false">IF(ISNUMBER(AB148),ROUND(AB146-AB148,1),"")</f>
        <v>0</v>
      </c>
      <c r="AC147" s="26" t="n">
        <f aca="false">IF(ISNUMBER(AC148),ROUND(AC146-AC148,1),"")</f>
        <v>0</v>
      </c>
      <c r="AD147" s="26" t="n">
        <f aca="false">IF(ISNUMBER(AD148),ROUND(AD146-AD148,1),"")</f>
        <v>0</v>
      </c>
      <c r="AE147" s="26" t="n">
        <f aca="false">IF(ISNUMBER(AE148),ROUND(AE146-AE148,1),"")</f>
        <v>0</v>
      </c>
      <c r="AF147" s="26" t="n">
        <f aca="false">IF(ISNUMBER(AF148),ROUND(AF146-AF148,1),"")</f>
        <v>0</v>
      </c>
      <c r="AG147" s="26" t="n">
        <f aca="false">IF(ISNUMBER(AG148),ROUND(AG146-AG148,1),"")</f>
        <v>0</v>
      </c>
      <c r="AH147" s="26" t="n">
        <f aca="false">IF(ISNUMBER(AH148),ROUND(AH146-AH148,1),"")</f>
        <v>0</v>
      </c>
      <c r="AI147" s="26" t="n">
        <f aca="false">IF(ISNUMBER(AI148),ROUND(AI146-AI148,1),"")</f>
        <v>0</v>
      </c>
      <c r="AJ147" s="26" t="n">
        <f aca="false">IF(ISNUMBER(AJ148),ROUND(AJ146-AJ148,1),"")</f>
        <v>0</v>
      </c>
      <c r="AK147" s="26" t="n">
        <f aca="false">IF(ISNUMBER(AK148),ROUND(AK146-AK148,1),"")</f>
        <v>0</v>
      </c>
      <c r="AL147" s="26" t="n">
        <f aca="false">IF(ISNUMBER(AL148),ROUND(AL146-AL148,1),"")</f>
        <v>0</v>
      </c>
      <c r="AM147" s="26" t="n">
        <f aca="false">IF(ISNUMBER(AM148),ROUND(AM146-AM148,1),"")</f>
        <v>0</v>
      </c>
      <c r="AN147" s="26" t="n">
        <f aca="false">IF(ISNUMBER(AN148),ROUND(AN146-AN148,1),"")</f>
        <v>0</v>
      </c>
      <c r="AO147" s="26" t="n">
        <f aca="false">IF(ISNUMBER(AO148),ROUND(AO146-AO148,1),"")</f>
        <v>0</v>
      </c>
      <c r="AP147" s="26" t="n">
        <f aca="false">IF(ISNUMBER(AP148),ROUND(AP146-AP148,1),"")</f>
        <v>0</v>
      </c>
      <c r="AQ147" s="26" t="n">
        <f aca="false">IF(ISNUMBER(AQ148),ROUND(AQ146-AQ148,1),"")</f>
        <v>0</v>
      </c>
      <c r="AR147" s="26" t="n">
        <f aca="false">IF(ISNUMBER(AR148),ROUND(AR146-AR148,1),"")</f>
        <v>0</v>
      </c>
      <c r="AS147" s="26" t="n">
        <f aca="false">IF(ISNUMBER(AS148),ROUND(AS146-AS148,1),"")</f>
        <v>0</v>
      </c>
      <c r="AT147" s="26" t="n">
        <f aca="false">IF(ISNUMBER(AT148),ROUND(AT146-AT148,1),"")</f>
        <v>0</v>
      </c>
      <c r="AU147" s="26" t="n">
        <f aca="false">IF(ISNUMBER(AU148),ROUND(AU146-AU148,1),"")</f>
        <v>0</v>
      </c>
      <c r="AV147" s="26" t="n">
        <f aca="false">IF(ISNUMBER(AV148),ROUND(AV146-AV148,1),"")</f>
        <v>0</v>
      </c>
      <c r="AW147" s="26" t="n">
        <f aca="false">IF(ISNUMBER(AW148),ROUND(AW146-AW148,1),"")</f>
        <v>0</v>
      </c>
      <c r="AX147" s="26" t="n">
        <f aca="false">IF(ISNUMBER(AX148),ROUND(AX146-AX148,1),"")</f>
        <v>0</v>
      </c>
      <c r="AY147" s="26" t="n">
        <f aca="false">IF(ISNUMBER(AY148),ROUND(AY146-AY148,1),"")</f>
        <v>0</v>
      </c>
      <c r="AZ147" s="26" t="n">
        <f aca="false">IF(ISNUMBER(AZ148),ROUND(AZ146-AZ148,1),"")</f>
        <v>0</v>
      </c>
      <c r="BA147" s="26" t="n">
        <f aca="false">IF(ISNUMBER(BA148),ROUND(BA146-BA148,1),"")</f>
        <v>0</v>
      </c>
      <c r="BB147" s="26" t="n">
        <f aca="false">IF(ISNUMBER(BB148),ROUND(BB146-BB148,1),"")</f>
        <v>0</v>
      </c>
      <c r="BC147" s="26" t="n">
        <f aca="false">IF(ISNUMBER(BC148),ROUND(BC146-BC148,1),"")</f>
        <v>0</v>
      </c>
      <c r="BD147" s="26" t="n">
        <f aca="false">IF(ISNUMBER(BD148),ROUND(BD146-BD148,1),"")</f>
        <v>0</v>
      </c>
      <c r="BE147" s="26" t="n">
        <f aca="false">IF(ISNUMBER(BE148),ROUND(BE146-BE148,1),"")</f>
        <v>0</v>
      </c>
      <c r="BF147" s="26" t="n">
        <f aca="false">IF(ISNUMBER(BF148),ROUND(BF146-BF148,1),"")</f>
        <v>0</v>
      </c>
      <c r="BG147" s="26" t="n">
        <f aca="false">IF(ISNUMBER(BG148),ROUND(BG146-BG148,1),"")</f>
        <v>0</v>
      </c>
      <c r="BH147" s="26" t="n">
        <f aca="false">IF(ISNUMBER(BH148),ROUND(BH146-BH148,1),"")</f>
        <v>0</v>
      </c>
      <c r="BI147" s="26" t="n">
        <f aca="false">IF(ISNUMBER(BI148),ROUND(BI146-BI148,1),"")</f>
        <v>0</v>
      </c>
      <c r="BJ147" s="26" t="n">
        <f aca="false">IF(ISNUMBER(BJ148),ROUND(BJ146-BJ148,1),"")</f>
        <v>0</v>
      </c>
      <c r="BK147" s="26" t="n">
        <f aca="false">IF(ISNUMBER(BK148),ROUND(BK146-BK148,1),"")</f>
        <v>0</v>
      </c>
      <c r="BL147" s="26" t="n">
        <f aca="false">IF(ISNUMBER(BL148),ROUND(BL146-BL148,1),"")</f>
        <v>0</v>
      </c>
      <c r="BM147" s="26" t="n">
        <f aca="false">IF(ISNUMBER(BM148),ROUND(BM146-BM148,1),"")</f>
        <v>0</v>
      </c>
      <c r="BN147" s="26" t="n">
        <f aca="false">IF(ISNUMBER(BN148),ROUND(BN146-BN148,1),"")</f>
        <v>0</v>
      </c>
      <c r="BO147" s="26" t="n">
        <f aca="false">IF(ISNUMBER(BO148),ROUND(BO146-BO148,1),"")</f>
        <v>0</v>
      </c>
      <c r="BP147" s="26" t="n">
        <f aca="false">IF(ISNUMBER(BP148),ROUND(BP146-BP148,1),"")</f>
        <v>0</v>
      </c>
      <c r="BQ147" s="26" t="n">
        <f aca="false">IF(ISNUMBER(BQ148),ROUND(BQ146-BQ148,1),"")</f>
        <v>0</v>
      </c>
      <c r="BR147" s="26" t="n">
        <f aca="false">IF(ISNUMBER(BR148),ROUND(BR146-BR148,1),"")</f>
        <v>0</v>
      </c>
      <c r="BS147" s="26" t="n">
        <f aca="false">IF(ISNUMBER(BS148),ROUND(BS146-BS148,1),"")</f>
        <v>0</v>
      </c>
      <c r="BT147" s="26" t="n">
        <f aca="false">IF(ISNUMBER(BT148),ROUND(BT146-BT148,1),"")</f>
        <v>0</v>
      </c>
      <c r="BU147" s="26" t="n">
        <f aca="false">IF(ISNUMBER(BU148),ROUND(BU146-BU148,1),"")</f>
        <v>0</v>
      </c>
      <c r="BV147" s="26" t="n">
        <f aca="false">IF(ISNUMBER(BV148),ROUND(BV146-BV148,1),"")</f>
        <v>0</v>
      </c>
      <c r="BW147" s="26" t="n">
        <f aca="false">IF(ISNUMBER(BW148),ROUND(BW146-BW148,1),"")</f>
        <v>0</v>
      </c>
      <c r="BX147" s="26" t="n">
        <f aca="false">IF(ISNUMBER(BX148),ROUND(BX146-BX148,1),"")</f>
        <v>0</v>
      </c>
      <c r="BY147" s="28"/>
      <c r="BZ147" s="28"/>
      <c r="CA147" s="28"/>
      <c r="CB147" s="28"/>
      <c r="CC147" s="28"/>
      <c r="CD147" s="28"/>
      <c r="CE147" s="28"/>
      <c r="CF147" s="21"/>
    </row>
    <row r="148" customFormat="false" ht="15" hidden="true" customHeight="true" outlineLevel="2" collapsed="false">
      <c r="B148" s="24" t="s">
        <v>315</v>
      </c>
      <c r="C148" s="27" t="n">
        <v>77.423</v>
      </c>
      <c r="D148" s="27" t="n">
        <v>99.081</v>
      </c>
      <c r="E148" s="27" t="n">
        <v>105.556</v>
      </c>
      <c r="F148" s="27" t="n">
        <v>109.825</v>
      </c>
      <c r="G148" s="27" t="n">
        <v>135.104</v>
      </c>
      <c r="H148" s="27" t="n">
        <v>165.239</v>
      </c>
      <c r="I148" s="27" t="n">
        <v>159.093</v>
      </c>
      <c r="J148" s="27" t="n">
        <v>41.556</v>
      </c>
      <c r="K148" s="27" t="n">
        <v>43.967</v>
      </c>
      <c r="L148" s="27" t="n">
        <v>60.706</v>
      </c>
      <c r="M148" s="27" t="n">
        <v>49.426</v>
      </c>
      <c r="N148" s="27" t="n">
        <v>195.655</v>
      </c>
      <c r="O148" s="27" t="n">
        <v>49.015</v>
      </c>
      <c r="P148" s="27" t="n">
        <v>62.664</v>
      </c>
      <c r="Q148" s="27" t="n">
        <v>60.084</v>
      </c>
      <c r="R148" s="27" t="n">
        <v>60.762</v>
      </c>
      <c r="S148" s="27" t="n">
        <v>232.525</v>
      </c>
      <c r="T148" s="27" t="n">
        <v>51.824</v>
      </c>
      <c r="U148" s="27" t="n">
        <v>57.36</v>
      </c>
      <c r="V148" s="27" t="n">
        <v>-257.009</v>
      </c>
      <c r="W148" s="27" t="n">
        <v>52.061</v>
      </c>
      <c r="X148" s="27" t="n">
        <v>-95.764</v>
      </c>
      <c r="Y148" s="27" t="n">
        <v>44.842</v>
      </c>
      <c r="Z148" s="27" t="n">
        <v>27.489</v>
      </c>
      <c r="AA148" s="27" t="n">
        <v>88.617</v>
      </c>
      <c r="AB148" s="27" t="n">
        <v>85.592</v>
      </c>
      <c r="AC148" s="27" t="n">
        <v>246.54</v>
      </c>
      <c r="AD148" s="27" t="n">
        <v>14.874</v>
      </c>
      <c r="AE148" s="27" t="n">
        <v>123.656</v>
      </c>
      <c r="AF148" s="27" t="n">
        <v>123.227</v>
      </c>
      <c r="AG148" s="27" t="n">
        <v>315.085</v>
      </c>
      <c r="AH148" s="27" t="n">
        <v>576.817</v>
      </c>
      <c r="AI148" s="27" t="n">
        <v>124.869</v>
      </c>
      <c r="AJ148" s="27" t="n">
        <v>138.682</v>
      </c>
      <c r="AK148" s="27" t="n">
        <v>150.843</v>
      </c>
      <c r="AL148" s="27" t="n">
        <v>132.478</v>
      </c>
      <c r="AM148" s="27" t="n">
        <v>546.871</v>
      </c>
      <c r="AN148" s="27" t="n">
        <v>125.622</v>
      </c>
      <c r="AO148" s="27" t="n">
        <v>148.848</v>
      </c>
      <c r="AP148" s="27" t="n">
        <v>159.109</v>
      </c>
      <c r="AQ148" s="27" t="n">
        <v>133.262</v>
      </c>
      <c r="AR148" s="27" t="n">
        <v>566.841</v>
      </c>
      <c r="AS148" s="27" t="n">
        <v>143.035</v>
      </c>
      <c r="AT148" s="27" t="n">
        <v>-227.072</v>
      </c>
      <c r="AU148" s="27" t="n">
        <v>158.049</v>
      </c>
      <c r="AV148" s="27" t="n">
        <v>130.665</v>
      </c>
      <c r="AW148" s="27" t="n">
        <v>204.677</v>
      </c>
      <c r="AX148" s="27" t="n">
        <v>160.309</v>
      </c>
      <c r="AY148" s="27" t="n">
        <v>177.047</v>
      </c>
      <c r="AZ148" s="27" t="n">
        <v>114.381</v>
      </c>
      <c r="BA148" s="27" t="n">
        <v>166.311</v>
      </c>
      <c r="BB148" s="27" t="n">
        <v>618.047</v>
      </c>
      <c r="BC148" s="27" t="n">
        <v>180.324</v>
      </c>
      <c r="BD148" s="27" t="n">
        <v>224.074</v>
      </c>
      <c r="BE148" s="27" t="n">
        <v>236.912</v>
      </c>
      <c r="BF148" s="27" t="n">
        <v>194.352</v>
      </c>
      <c r="BG148" s="27" t="n">
        <v>835.662</v>
      </c>
      <c r="BH148" s="27" t="n">
        <v>197.813</v>
      </c>
      <c r="BI148" s="27" t="n">
        <v>209.208</v>
      </c>
      <c r="BJ148" s="27" t="n">
        <v>229.026</v>
      </c>
      <c r="BK148" s="27" t="n">
        <v>126.753</v>
      </c>
      <c r="BL148" s="27" t="n">
        <v>762.8</v>
      </c>
      <c r="BM148" s="27" t="n">
        <v>230.054</v>
      </c>
      <c r="BN148" s="27" t="n">
        <v>275.477</v>
      </c>
      <c r="BO148" s="27" t="n">
        <v>308.046</v>
      </c>
      <c r="BP148" s="27" t="n">
        <v>-196.004</v>
      </c>
      <c r="BQ148" s="27" t="n">
        <v>617.573</v>
      </c>
      <c r="BR148" s="27" t="n">
        <v>241.51</v>
      </c>
      <c r="BS148" s="27" t="n">
        <v>290.276</v>
      </c>
      <c r="BT148" s="27" t="n">
        <v>286.271</v>
      </c>
      <c r="BU148" s="27" t="n">
        <v>258.5</v>
      </c>
      <c r="BV148" s="27" t="n">
        <v>1076.557</v>
      </c>
      <c r="BW148" s="27" t="n">
        <v>219.344</v>
      </c>
      <c r="BX148" s="27" t="n">
        <v>296.399</v>
      </c>
      <c r="BY148" s="28"/>
      <c r="BZ148" s="28"/>
      <c r="CA148" s="28"/>
      <c r="CB148" s="28"/>
      <c r="CC148" s="28"/>
      <c r="CD148" s="28"/>
      <c r="CE148" s="28"/>
      <c r="CF148" s="21" t="s">
        <v>316</v>
      </c>
    </row>
    <row r="149" customFormat="false" ht="15" hidden="true" customHeight="true" outlineLevel="2" collapsed="false">
      <c r="B149" s="24" t="s">
        <v>317</v>
      </c>
      <c r="C149" s="27" t="n">
        <v>3.451</v>
      </c>
      <c r="D149" s="27" t="n">
        <v>6.128</v>
      </c>
      <c r="E149" s="27" t="n">
        <v>7.854</v>
      </c>
      <c r="F149" s="27" t="n">
        <v>9.336</v>
      </c>
      <c r="G149" s="27" t="n">
        <v>11.331</v>
      </c>
      <c r="H149" s="27" t="n">
        <v>11.879</v>
      </c>
      <c r="I149" s="27" t="n">
        <v>17.289</v>
      </c>
      <c r="J149" s="27" t="n">
        <v>3.594</v>
      </c>
      <c r="K149" s="27" t="n">
        <v>3.852</v>
      </c>
      <c r="L149" s="27" t="n">
        <v>3.822</v>
      </c>
      <c r="M149" s="27" t="n">
        <v>4.129</v>
      </c>
      <c r="N149" s="27" t="n">
        <v>15.397</v>
      </c>
      <c r="O149" s="27" t="n">
        <v>4.169</v>
      </c>
      <c r="P149" s="27" t="n">
        <v>5.275</v>
      </c>
      <c r="Q149" s="27" t="n">
        <v>4.445</v>
      </c>
      <c r="R149" s="27" t="n">
        <v>4.557</v>
      </c>
      <c r="S149" s="27" t="n">
        <v>18.446</v>
      </c>
      <c r="T149" s="27" t="n">
        <v>4.821</v>
      </c>
      <c r="U149" s="27" t="n">
        <v>4.759</v>
      </c>
      <c r="V149" s="27" t="n">
        <v>4.853</v>
      </c>
      <c r="W149" s="27" t="n">
        <v>5.885</v>
      </c>
      <c r="X149" s="27" t="n">
        <v>20.318</v>
      </c>
      <c r="Y149" s="27" t="n">
        <v>5.299</v>
      </c>
      <c r="Z149" s="27" t="n">
        <v>21.106</v>
      </c>
      <c r="AA149" s="27" t="n">
        <v>9.071</v>
      </c>
      <c r="AB149" s="27" t="n">
        <v>9.296</v>
      </c>
      <c r="AC149" s="27" t="n">
        <v>44.772</v>
      </c>
      <c r="AD149" s="27" t="n">
        <v>12.989</v>
      </c>
      <c r="AE149" s="27" t="n">
        <v>10.375</v>
      </c>
      <c r="AF149" s="27" t="n">
        <v>9.043</v>
      </c>
      <c r="AG149" s="27" t="n">
        <v>6.954</v>
      </c>
      <c r="AH149" s="27" t="n">
        <v>39.361</v>
      </c>
      <c r="AI149" s="27" t="n">
        <v>9.18</v>
      </c>
      <c r="AJ149" s="27" t="n">
        <v>11.082</v>
      </c>
      <c r="AK149" s="27" t="n">
        <v>15.172</v>
      </c>
      <c r="AL149" s="27" t="n">
        <v>8.369</v>
      </c>
      <c r="AM149" s="27" t="n">
        <v>43.803</v>
      </c>
      <c r="AN149" s="27" t="n">
        <v>15.168</v>
      </c>
      <c r="AO149" s="27" t="n">
        <v>11.595</v>
      </c>
      <c r="AP149" s="27" t="n">
        <v>8.747</v>
      </c>
      <c r="AQ149" s="27" t="n">
        <v>7.161</v>
      </c>
      <c r="AR149" s="27" t="n">
        <v>42.671</v>
      </c>
      <c r="AS149" s="27" t="n">
        <v>13.046</v>
      </c>
      <c r="AT149" s="27" t="n">
        <v>11.597</v>
      </c>
      <c r="AU149" s="27" t="n">
        <v>13.673</v>
      </c>
      <c r="AV149" s="27" t="n">
        <v>7.435</v>
      </c>
      <c r="AW149" s="27" t="n">
        <v>45.751</v>
      </c>
      <c r="AX149" s="27" t="n">
        <v>10.307</v>
      </c>
      <c r="AY149" s="27" t="n">
        <v>18.417</v>
      </c>
      <c r="AZ149" s="27" t="n">
        <v>13.97</v>
      </c>
      <c r="BA149" s="27" t="n">
        <v>15.527</v>
      </c>
      <c r="BB149" s="27" t="n">
        <v>58.221</v>
      </c>
      <c r="BC149" s="27" t="n">
        <v>14.635</v>
      </c>
      <c r="BD149" s="27" t="n">
        <v>13.081</v>
      </c>
      <c r="BE149" s="27" t="n">
        <v>20.679</v>
      </c>
      <c r="BF149" s="27" t="n">
        <v>15.09</v>
      </c>
      <c r="BG149" s="27" t="n">
        <v>63.485</v>
      </c>
      <c r="BH149" s="27" t="n">
        <v>18.469</v>
      </c>
      <c r="BI149" s="27" t="n">
        <v>23</v>
      </c>
      <c r="BJ149" s="27" t="n">
        <v>14.641</v>
      </c>
      <c r="BK149" s="27" t="n">
        <v>14.326</v>
      </c>
      <c r="BL149" s="27" t="n">
        <v>70.436</v>
      </c>
      <c r="BM149" s="27" t="n">
        <v>21.952</v>
      </c>
      <c r="BN149" s="27" t="n">
        <v>18.861</v>
      </c>
      <c r="BO149" s="27" t="n">
        <v>20.416</v>
      </c>
      <c r="BP149" s="27" t="n">
        <v>16.656</v>
      </c>
      <c r="BQ149" s="27" t="n">
        <v>77.885</v>
      </c>
      <c r="BR149" s="27" t="n">
        <v>23.438</v>
      </c>
      <c r="BS149" s="27" t="n">
        <v>18.518</v>
      </c>
      <c r="BT149" s="27" t="n">
        <v>18.476</v>
      </c>
      <c r="BU149" s="27" t="n">
        <v>19.016</v>
      </c>
      <c r="BV149" s="27" t="n">
        <v>79.448</v>
      </c>
      <c r="BW149" s="27" t="n">
        <v>17.587</v>
      </c>
      <c r="BX149" s="27" t="n">
        <v>23.952</v>
      </c>
      <c r="BY149" s="47" t="n">
        <f aca="false">BY128*BY124</f>
        <v>19.47577862323</v>
      </c>
      <c r="BZ149" s="47" t="n">
        <f aca="false">BZ128*BZ124</f>
        <v>18.79493637677</v>
      </c>
      <c r="CA149" s="47" t="n">
        <f aca="false">SUM(BW149,BX149,BY149,BZ149)</f>
        <v>79.809715</v>
      </c>
      <c r="CB149" s="47" t="n">
        <f aca="false">CB128*CB124</f>
        <v>79.8995276148815</v>
      </c>
      <c r="CC149" s="47" t="n">
        <f aca="false">CC128*CC124</f>
        <v>86.3022138297444</v>
      </c>
      <c r="CD149" s="47" t="n">
        <f aca="false">CD128*CD124</f>
        <v>93.1347241686211</v>
      </c>
      <c r="CE149" s="47" t="n">
        <f aca="false">CE128*CE124</f>
        <v>100.101551087195</v>
      </c>
      <c r="CF149" s="21"/>
    </row>
    <row r="150" customFormat="false" ht="15" hidden="true" customHeight="true" outlineLevel="2" collapsed="false">
      <c r="B150" s="29" t="s">
        <v>318</v>
      </c>
      <c r="BY150" s="7"/>
      <c r="BZ150" s="7"/>
      <c r="CA150" s="7"/>
      <c r="CB150" s="7"/>
      <c r="CC150" s="7"/>
      <c r="CD150" s="7"/>
      <c r="CE150" s="7"/>
      <c r="CF150" s="21"/>
    </row>
    <row r="151" customFormat="false" ht="15" hidden="true" customHeight="true" outlineLevel="2" collapsed="false">
      <c r="B151" s="29" t="s">
        <v>319</v>
      </c>
      <c r="C151" s="59" t="n">
        <v>3.375</v>
      </c>
      <c r="D151" s="59" t="n">
        <v>2.25</v>
      </c>
      <c r="E151" s="59" t="n">
        <v>2.25</v>
      </c>
      <c r="F151" s="59" t="n">
        <v>2.25</v>
      </c>
      <c r="G151" s="59" t="n">
        <v>1.5</v>
      </c>
      <c r="H151" s="59" t="n">
        <v>1.5</v>
      </c>
      <c r="I151" s="59" t="n">
        <v>1.5</v>
      </c>
      <c r="J151" s="59" t="n">
        <v>1.5</v>
      </c>
      <c r="K151" s="59" t="n">
        <v>1.5</v>
      </c>
      <c r="L151" s="59" t="n">
        <v>1.5</v>
      </c>
      <c r="M151" s="59" t="n">
        <v>1.5</v>
      </c>
      <c r="N151" s="59" t="n">
        <v>1.5</v>
      </c>
      <c r="O151" s="59" t="n">
        <v>1.5</v>
      </c>
      <c r="P151" s="59" t="n">
        <v>1.5</v>
      </c>
      <c r="Q151" s="59" t="n">
        <v>1.5</v>
      </c>
      <c r="R151" s="59" t="n">
        <v>1.5</v>
      </c>
      <c r="S151" s="59" t="n">
        <v>1.5</v>
      </c>
      <c r="T151" s="59" t="n">
        <v>1.5</v>
      </c>
      <c r="U151" s="59" t="n">
        <v>1.5</v>
      </c>
      <c r="V151" s="59" t="n">
        <v>1.5</v>
      </c>
      <c r="W151" s="59" t="n">
        <v>1.5</v>
      </c>
      <c r="X151" s="59" t="n">
        <v>1.5</v>
      </c>
      <c r="Y151" s="59" t="n">
        <v>1.5</v>
      </c>
      <c r="Z151" s="59" t="n">
        <v>1.5</v>
      </c>
      <c r="AA151" s="59" t="n">
        <v>1.5</v>
      </c>
      <c r="AB151" s="59" t="n">
        <v>1.5</v>
      </c>
      <c r="AC151" s="59" t="n">
        <v>1.5</v>
      </c>
      <c r="AD151" s="59" t="n">
        <v>1.5</v>
      </c>
      <c r="AE151" s="59" t="n">
        <v>1</v>
      </c>
      <c r="AF151" s="59" t="n">
        <v>1</v>
      </c>
      <c r="AG151" s="59" t="n">
        <v>1</v>
      </c>
      <c r="AH151" s="59" t="n">
        <v>1</v>
      </c>
      <c r="AI151" s="59" t="n">
        <v>1</v>
      </c>
      <c r="AJ151" s="59" t="n">
        <v>1</v>
      </c>
      <c r="AK151" s="59" t="n">
        <v>1</v>
      </c>
      <c r="AL151" s="59" t="n">
        <v>1</v>
      </c>
      <c r="AM151" s="59" t="n">
        <v>1</v>
      </c>
      <c r="AN151" s="59" t="n">
        <v>1</v>
      </c>
      <c r="AO151" s="59" t="n">
        <v>1</v>
      </c>
      <c r="AP151" s="59" t="n">
        <v>1</v>
      </c>
      <c r="AQ151" s="59" t="n">
        <v>1</v>
      </c>
      <c r="AR151" s="59" t="n">
        <v>1</v>
      </c>
      <c r="AS151" s="59" t="n">
        <v>1</v>
      </c>
      <c r="AT151" s="59" t="n">
        <v>1</v>
      </c>
      <c r="AU151" s="59" t="n">
        <v>1</v>
      </c>
      <c r="AV151" s="59" t="n">
        <v>1</v>
      </c>
      <c r="AW151" s="59" t="n">
        <v>1</v>
      </c>
      <c r="AX151" s="59" t="n">
        <v>1</v>
      </c>
      <c r="AY151" s="59" t="n">
        <v>1</v>
      </c>
      <c r="AZ151" s="59" t="n">
        <v>1</v>
      </c>
      <c r="BA151" s="59" t="n">
        <v>1</v>
      </c>
      <c r="BB151" s="59" t="n">
        <v>1</v>
      </c>
      <c r="BC151" s="59" t="n">
        <v>1</v>
      </c>
      <c r="BD151" s="59" t="n">
        <v>1</v>
      </c>
      <c r="BE151" s="59" t="n">
        <v>1</v>
      </c>
      <c r="BF151" s="59" t="n">
        <v>1</v>
      </c>
      <c r="BG151" s="59" t="n">
        <v>1</v>
      </c>
      <c r="BH151" s="59" t="n">
        <v>1</v>
      </c>
      <c r="BI151" s="59" t="n">
        <v>1</v>
      </c>
      <c r="BJ151" s="59" t="n">
        <v>1</v>
      </c>
      <c r="BK151" s="59" t="n">
        <v>1</v>
      </c>
      <c r="BL151" s="59" t="n">
        <v>1</v>
      </c>
      <c r="BM151" s="59" t="n">
        <v>1</v>
      </c>
      <c r="BN151" s="59" t="n">
        <v>1</v>
      </c>
      <c r="BO151" s="59" t="n">
        <v>1</v>
      </c>
      <c r="BP151" s="59" t="n">
        <v>1</v>
      </c>
      <c r="BQ151" s="59" t="n">
        <v>1</v>
      </c>
      <c r="BR151" s="59" t="n">
        <v>1</v>
      </c>
      <c r="BS151" s="59" t="n">
        <v>1</v>
      </c>
      <c r="BT151" s="59" t="n">
        <v>1</v>
      </c>
      <c r="BU151" s="59" t="n">
        <v>1</v>
      </c>
      <c r="BV151" s="59" t="n">
        <v>1</v>
      </c>
      <c r="BW151" s="59" t="n">
        <v>1</v>
      </c>
      <c r="BX151" s="59" t="n">
        <v>1</v>
      </c>
      <c r="BY151" s="60"/>
      <c r="BZ151" s="60"/>
      <c r="CA151" s="60"/>
      <c r="CB151" s="60"/>
      <c r="CC151" s="60"/>
      <c r="CD151" s="60"/>
      <c r="CE151" s="60"/>
      <c r="CF151" s="21" t="s">
        <v>320</v>
      </c>
    </row>
    <row r="152" customFormat="false" ht="15" hidden="true" customHeight="true" outlineLevel="2" collapsed="false">
      <c r="B152" s="29" t="s">
        <v>321</v>
      </c>
      <c r="C152" s="61" t="n">
        <v>153.3062835</v>
      </c>
      <c r="D152" s="61" t="n">
        <v>153.53667675</v>
      </c>
      <c r="E152" s="61" t="n">
        <v>157.5559665</v>
      </c>
      <c r="F152" s="61" t="n">
        <v>178.67940075</v>
      </c>
      <c r="G152" s="61" t="n">
        <v>173.4692595</v>
      </c>
      <c r="H152" s="61" t="n">
        <v>169.080666</v>
      </c>
      <c r="I152" s="61" t="n">
        <v>181.7585715</v>
      </c>
      <c r="J152" s="61" t="n">
        <v>185.0711985</v>
      </c>
      <c r="K152" s="61" t="n">
        <v>185.4164535</v>
      </c>
      <c r="L152" s="61" t="n">
        <v>185.515404</v>
      </c>
      <c r="M152" s="61" t="n">
        <v>185.5753275</v>
      </c>
      <c r="N152" s="61" t="n">
        <v>185.39631</v>
      </c>
      <c r="O152" s="61" t="n">
        <v>185.9445015</v>
      </c>
      <c r="P152" s="61" t="n">
        <v>186.345858</v>
      </c>
      <c r="Q152" s="61" t="n">
        <v>186.5137395</v>
      </c>
      <c r="R152" s="61" t="n">
        <v>186.482673</v>
      </c>
      <c r="S152" s="61" t="n">
        <v>186.323019</v>
      </c>
      <c r="T152" s="61" t="n">
        <v>186.0130305</v>
      </c>
      <c r="U152" s="61" t="n">
        <v>186.118776</v>
      </c>
      <c r="V152" s="61" t="n">
        <v>184.904853</v>
      </c>
      <c r="W152" s="61" t="n">
        <v>183.9432615</v>
      </c>
      <c r="X152" s="61" t="n">
        <v>185.2378965</v>
      </c>
      <c r="Y152" s="61" t="n">
        <v>184.167435</v>
      </c>
      <c r="Z152" s="61" t="n">
        <v>210.3053355</v>
      </c>
      <c r="AA152" s="61" t="n">
        <v>263.0054505</v>
      </c>
      <c r="AB152" s="61" t="n">
        <v>263.0973</v>
      </c>
      <c r="AC152" s="61" t="n">
        <v>230.325012</v>
      </c>
      <c r="AD152" s="61" t="n">
        <v>263.061945</v>
      </c>
      <c r="AE152" s="61" t="n">
        <v>263.387338</v>
      </c>
      <c r="AF152" s="61" t="n">
        <v>263.443064</v>
      </c>
      <c r="AG152" s="61" t="n">
        <v>263.82506</v>
      </c>
      <c r="AH152" s="61" t="n">
        <v>263.682608</v>
      </c>
      <c r="AI152" s="61" t="n">
        <v>263.827963</v>
      </c>
      <c r="AJ152" s="61" t="n">
        <v>263.691172</v>
      </c>
      <c r="AK152" s="61" t="n">
        <v>263.628838</v>
      </c>
      <c r="AL152" s="61" t="n">
        <v>263.628941</v>
      </c>
      <c r="AM152" s="61" t="n">
        <v>263.650155</v>
      </c>
      <c r="AN152" s="61" t="n">
        <v>263.603418</v>
      </c>
      <c r="AO152" s="61" t="n">
        <v>263.84697</v>
      </c>
      <c r="AP152" s="61" t="n">
        <v>263.853681</v>
      </c>
      <c r="AQ152" s="61" t="n">
        <v>263.865203</v>
      </c>
      <c r="AR152" s="61" t="n">
        <v>263.792693</v>
      </c>
      <c r="AS152" s="61" t="n">
        <v>263.790364</v>
      </c>
      <c r="AT152" s="61" t="n">
        <v>262.994275</v>
      </c>
      <c r="AU152" s="61" t="n">
        <v>262.998317</v>
      </c>
      <c r="AV152" s="61" t="n">
        <v>263.001985</v>
      </c>
      <c r="AW152" s="61" t="n">
        <v>263.189699</v>
      </c>
      <c r="AX152" s="61" t="n">
        <v>262.697487</v>
      </c>
      <c r="AY152" s="61" t="n">
        <v>260.951405</v>
      </c>
      <c r="AZ152" s="61" t="n">
        <v>260.550774</v>
      </c>
      <c r="BA152" s="61" t="n">
        <v>260.547806</v>
      </c>
      <c r="BB152" s="61" t="n">
        <v>261.166723</v>
      </c>
      <c r="BC152" s="61" t="n">
        <v>258.946933</v>
      </c>
      <c r="BD152" s="61" t="n">
        <v>257.179434</v>
      </c>
      <c r="BE152" s="61" t="n">
        <v>257.19701</v>
      </c>
      <c r="BF152" s="61" t="n">
        <v>257.219843</v>
      </c>
      <c r="BG152" s="61" t="n">
        <v>257.383578</v>
      </c>
      <c r="BH152" s="61" t="n">
        <v>257.372942</v>
      </c>
      <c r="BI152" s="61" t="n">
        <v>257.596993</v>
      </c>
      <c r="BJ152" s="61" t="n">
        <v>257.633703</v>
      </c>
      <c r="BK152" s="61" t="n">
        <v>257.636138</v>
      </c>
      <c r="BL152" s="61" t="n">
        <v>257.551129</v>
      </c>
      <c r="BM152" s="61" t="n">
        <v>257.801116</v>
      </c>
      <c r="BN152" s="61" t="n">
        <v>257.994105</v>
      </c>
      <c r="BO152" s="61" t="n">
        <v>258.023661</v>
      </c>
      <c r="BP152" s="61" t="n">
        <v>258.043117</v>
      </c>
      <c r="BQ152" s="61" t="n">
        <v>257.965871</v>
      </c>
      <c r="BR152" s="61" t="n">
        <v>258.193975</v>
      </c>
      <c r="BS152" s="61" t="n">
        <v>258.377345</v>
      </c>
      <c r="BT152" s="61" t="n">
        <v>256.948902</v>
      </c>
      <c r="BU152" s="61" t="n">
        <v>255.80453</v>
      </c>
      <c r="BV152" s="61" t="n">
        <v>257.323595</v>
      </c>
      <c r="BW152" s="61" t="n">
        <v>255.347786</v>
      </c>
      <c r="BX152" s="61" t="n">
        <v>253.457489</v>
      </c>
      <c r="BY152" s="62" t="n">
        <f aca="false">$BX$152-CA299*0.25</f>
        <v>252.812327709677</v>
      </c>
      <c r="BZ152" s="62" t="n">
        <f aca="false">$BX$152-CA299*0.75</f>
        <v>251.522005129032</v>
      </c>
      <c r="CA152" s="62" t="n">
        <f aca="false">AVERAGE(BW152,BX152,BY152,BZ152)</f>
        <v>253.284901959677</v>
      </c>
      <c r="CB152" s="62" t="n">
        <f aca="false">AVERAGE(CB301,CB302)</f>
        <v>246.944115358807</v>
      </c>
      <c r="CC152" s="62" t="n">
        <f aca="false">AVERAGE(CC301,CC302)</f>
        <v>240.846431138304</v>
      </c>
      <c r="CD152" s="62" t="n">
        <f aca="false">AVERAGE(CD301,CD302)</f>
        <v>234.339769806979</v>
      </c>
      <c r="CE152" s="62" t="n">
        <f aca="false">AVERAGE(CE301,CE302)</f>
        <v>227.626584485951</v>
      </c>
      <c r="CF152" s="21" t="s">
        <v>322</v>
      </c>
    </row>
    <row r="153" customFormat="false" ht="15" hidden="true" customHeight="true" outlineLevel="2" collapsed="false">
      <c r="B153" s="29" t="s">
        <v>323</v>
      </c>
      <c r="C153" s="61" t="n">
        <v>158.419513125</v>
      </c>
      <c r="D153" s="61" t="n">
        <v>157.48810425</v>
      </c>
      <c r="E153" s="61" t="n">
        <v>160.694352</v>
      </c>
      <c r="F153" s="61" t="n">
        <v>180.75924225</v>
      </c>
      <c r="G153" s="61" t="n">
        <v>175.341306</v>
      </c>
      <c r="H153" s="61" t="n">
        <v>170.375229</v>
      </c>
      <c r="I153" s="61" t="n">
        <v>182.7365235</v>
      </c>
      <c r="J153" s="61" t="n">
        <v>185.8573935</v>
      </c>
      <c r="K153" s="61" t="n">
        <v>186.1206345</v>
      </c>
      <c r="L153" s="61" t="n">
        <v>186.419499</v>
      </c>
      <c r="M153" s="61" t="n">
        <v>186.580134</v>
      </c>
      <c r="N153" s="61" t="n">
        <v>186.247578</v>
      </c>
      <c r="O153" s="61" t="n">
        <v>187.0711455</v>
      </c>
      <c r="P153" s="61" t="n">
        <v>187.2725265</v>
      </c>
      <c r="Q153" s="61" t="n">
        <v>187.1549715</v>
      </c>
      <c r="R153" s="61" t="n">
        <v>187.2204585</v>
      </c>
      <c r="S153" s="61" t="n">
        <v>187.1811315</v>
      </c>
      <c r="T153" s="61" t="n">
        <v>186.551502</v>
      </c>
      <c r="U153" s="61" t="n">
        <v>186.528093</v>
      </c>
      <c r="V153" s="61" t="n">
        <v>184.904853</v>
      </c>
      <c r="W153" s="61" t="n">
        <v>184.7122545</v>
      </c>
      <c r="X153" s="61" t="n">
        <v>185.2378965</v>
      </c>
      <c r="Y153" s="61" t="n">
        <v>185.175876</v>
      </c>
      <c r="Z153" s="61" t="n">
        <v>210.8807325</v>
      </c>
      <c r="AA153" s="61" t="n">
        <v>263.6501385</v>
      </c>
      <c r="AB153" s="61" t="n">
        <v>263.894715</v>
      </c>
      <c r="AC153" s="61" t="n">
        <v>231.0814965</v>
      </c>
      <c r="AD153" s="61" t="n">
        <v>263.903223</v>
      </c>
      <c r="AE153" s="61" t="n">
        <v>264.109594</v>
      </c>
      <c r="AF153" s="61" t="n">
        <v>264.299472</v>
      </c>
      <c r="AG153" s="61" t="n">
        <v>264.610894</v>
      </c>
      <c r="AH153" s="61" t="n">
        <v>264.302411</v>
      </c>
      <c r="AI153" s="61" t="n">
        <v>264.588069</v>
      </c>
      <c r="AJ153" s="61" t="n">
        <v>264.332029</v>
      </c>
      <c r="AK153" s="61" t="n">
        <v>264.394757</v>
      </c>
      <c r="AL153" s="61" t="n">
        <v>264.453655</v>
      </c>
      <c r="AM153" s="61" t="n">
        <v>264.395618</v>
      </c>
      <c r="AN153" s="61" t="n">
        <v>264.33693</v>
      </c>
      <c r="AO153" s="61" t="n">
        <v>264.494943</v>
      </c>
      <c r="AP153" s="61" t="n">
        <v>264.587456</v>
      </c>
      <c r="AQ153" s="61" t="n">
        <v>264.636883</v>
      </c>
      <c r="AR153" s="61" t="n">
        <v>264.526561</v>
      </c>
      <c r="AS153" s="61" t="n">
        <v>264.353158</v>
      </c>
      <c r="AT153" s="61" t="n">
        <v>262.994275</v>
      </c>
      <c r="AU153" s="61" t="n">
        <v>263.507486</v>
      </c>
      <c r="AV153" s="61" t="n">
        <v>263.598602</v>
      </c>
      <c r="AW153" s="61" t="n">
        <v>263.687539</v>
      </c>
      <c r="AX153" s="61" t="n">
        <v>263.156655</v>
      </c>
      <c r="AY153" s="61" t="n">
        <v>261.418573</v>
      </c>
      <c r="AZ153" s="61" t="n">
        <v>261.14522</v>
      </c>
      <c r="BA153" s="61" t="n">
        <v>261.258425</v>
      </c>
      <c r="BB153" s="61" t="n">
        <v>261.72847</v>
      </c>
      <c r="BC153" s="61" t="n">
        <v>259.560983</v>
      </c>
      <c r="BD153" s="61" t="n">
        <v>257.736745</v>
      </c>
      <c r="BE153" s="61" t="n">
        <v>257.891635</v>
      </c>
      <c r="BF153" s="61" t="n">
        <v>257.974749</v>
      </c>
      <c r="BG153" s="61" t="n">
        <v>258.038801</v>
      </c>
      <c r="BH153" s="61" t="n">
        <v>257.988971</v>
      </c>
      <c r="BI153" s="61" t="n">
        <v>258.110491</v>
      </c>
      <c r="BJ153" s="61" t="n">
        <v>258.229404</v>
      </c>
      <c r="BK153" s="61" t="n">
        <v>258.30337</v>
      </c>
      <c r="BL153" s="61" t="n">
        <v>258.149244</v>
      </c>
      <c r="BM153" s="61" t="n">
        <v>258.482473</v>
      </c>
      <c r="BN153" s="61" t="n">
        <v>258.565246</v>
      </c>
      <c r="BO153" s="61" t="n">
        <v>258.756528</v>
      </c>
      <c r="BP153" s="61" t="n">
        <v>258.842751</v>
      </c>
      <c r="BQ153" s="61" t="n">
        <v>258.66219</v>
      </c>
      <c r="BR153" s="61" t="n">
        <v>258.904806</v>
      </c>
      <c r="BS153" s="61" t="n">
        <v>258.982647</v>
      </c>
      <c r="BT153" s="61" t="n">
        <v>257.580321</v>
      </c>
      <c r="BU153" s="61" t="n">
        <v>256.469561</v>
      </c>
      <c r="BV153" s="61" t="n">
        <v>257.976741</v>
      </c>
      <c r="BW153" s="61" t="n">
        <v>255.873686</v>
      </c>
      <c r="BX153" s="61" t="n">
        <v>253.856582</v>
      </c>
      <c r="BY153" s="62" t="n">
        <f aca="false">BY152+($BX$153-$BX$152)</f>
        <v>253.211420709677</v>
      </c>
      <c r="BZ153" s="62" t="n">
        <f aca="false">BZ152+($BX$153-$BX$152)</f>
        <v>251.921098129032</v>
      </c>
      <c r="CA153" s="62" t="n">
        <f aca="false">AVERAGE(BW153,BX153,BY153,BZ153)</f>
        <v>253.715696709677</v>
      </c>
      <c r="CB153" s="62" t="n">
        <f aca="false">CB152+CB371</f>
        <v>247.343208358807</v>
      </c>
      <c r="CC153" s="62" t="n">
        <f aca="false">CC152+CC371</f>
        <v>241.245524138304</v>
      </c>
      <c r="CD153" s="62" t="n">
        <f aca="false">CD152+CD371</f>
        <v>234.738862806979</v>
      </c>
      <c r="CE153" s="62" t="n">
        <f aca="false">CE152+CE371</f>
        <v>228.025677485951</v>
      </c>
      <c r="CF153" s="21"/>
    </row>
    <row r="154" customFormat="false" ht="15" hidden="true" customHeight="true" outlineLevel="2" collapsed="false">
      <c r="B154" s="29" t="s">
        <v>324</v>
      </c>
      <c r="C154" s="63" t="n">
        <f aca="false">IF(AND(ISNUMBER(C146),ISNUMBER(C152)),IFERROR(C146/C152,""),"")</f>
        <v>0.505021700561934</v>
      </c>
      <c r="D154" s="63" t="n">
        <f aca="false">IF(AND(ISNUMBER(D146),ISNUMBER(D152)),IFERROR(D146/D152,""),"")</f>
        <v>0.645324635763291</v>
      </c>
      <c r="E154" s="63" t="n">
        <f aca="false">IF(AND(ISNUMBER(E146),ISNUMBER(E152)),IFERROR(E146/E152,""),"")</f>
        <v>0.669958760336759</v>
      </c>
      <c r="F154" s="63" t="n">
        <f aca="false">IF(AND(ISNUMBER(F146),ISNUMBER(F152)),IFERROR(F146/F152,""),"")</f>
        <v>0.614648356436242</v>
      </c>
      <c r="G154" s="63" t="n">
        <f aca="false">IF(AND(ISNUMBER(G146),ISNUMBER(G152)),IFERROR(G146/G152,""),"")</f>
        <v>0.778835399363655</v>
      </c>
      <c r="H154" s="63" t="n">
        <f aca="false">IF(AND(ISNUMBER(H146),ISNUMBER(H152)),IFERROR(H146/H152,""),"")</f>
        <v>0.977279093518593</v>
      </c>
      <c r="I154" s="63" t="n">
        <f aca="false">IF(AND(ISNUMBER(I146),ISNUMBER(I152)),IFERROR(I146/I152,""),"")</f>
        <v>0.875298472512478</v>
      </c>
      <c r="J154" s="63" t="n">
        <f aca="false">IF(AND(ISNUMBER(J146),ISNUMBER(J152)),IFERROR(J146/J152,""),"")</f>
        <v>0.224540611055696</v>
      </c>
      <c r="K154" s="63" t="n">
        <f aca="false">IF(AND(ISNUMBER(K146),ISNUMBER(K152)),IFERROR(K146/K152,""),"")</f>
        <v>0.237125665873013</v>
      </c>
      <c r="L154" s="63" t="n">
        <f aca="false">IF(AND(ISNUMBER(L146),ISNUMBER(L152)),IFERROR(L146/L152,""),"")</f>
        <v>0.327228891461757</v>
      </c>
      <c r="M154" s="63" t="n">
        <f aca="false">IF(AND(ISNUMBER(M146),ISNUMBER(M152)),IFERROR(M146/M152,""),"")</f>
        <v>0.266339284784505</v>
      </c>
      <c r="N154" s="63" t="n">
        <f aca="false">IF(AND(ISNUMBER(N146),ISNUMBER(N152)),IFERROR(N146/N152,""),"")</f>
        <v>1.05533384132618</v>
      </c>
      <c r="O154" s="63" t="n">
        <f aca="false">IF(AND(ISNUMBER(O146),ISNUMBER(O152)),IFERROR(O146/O152,""),"")</f>
        <v>0.263600158136432</v>
      </c>
      <c r="P154" s="63" t="n">
        <f aca="false">IF(AND(ISNUMBER(P146),ISNUMBER(P152)),IFERROR(P146/P152,""),"")</f>
        <v>0.336277933261066</v>
      </c>
      <c r="Q154" s="63" t="n">
        <f aca="false">IF(AND(ISNUMBER(Q146),ISNUMBER(Q152)),IFERROR(Q146/Q152,""),"")</f>
        <v>0.322142487524358</v>
      </c>
      <c r="R154" s="63" t="n">
        <f aca="false">IF(AND(ISNUMBER(R146),ISNUMBER(R152)),IFERROR(R146/R152,""),"")</f>
        <v>0.325831880369927</v>
      </c>
      <c r="S154" s="63" t="n">
        <f aca="false">IF(AND(ISNUMBER(S146),ISNUMBER(S152)),IFERROR(S146/S152,""),"")</f>
        <v>1.24796711242641</v>
      </c>
      <c r="T154" s="63" t="n">
        <f aca="false">IF(AND(ISNUMBER(T146),ISNUMBER(T152)),IFERROR(T146/T152,""),"")</f>
        <v>0.278604137896673</v>
      </c>
      <c r="U154" s="63" t="n">
        <f aca="false">IF(AND(ISNUMBER(U146),ISNUMBER(U152)),IFERROR(U146/U152,""),"")</f>
        <v>0.308190292418429</v>
      </c>
      <c r="V154" s="63" t="n">
        <f aca="false">IF(AND(ISNUMBER(V146),ISNUMBER(V152)),IFERROR(V146/V152,""),"")</f>
        <v>-1.38995270178225</v>
      </c>
      <c r="W154" s="63" t="n">
        <f aca="false">IF(AND(ISNUMBER(W146),ISNUMBER(W152)),IFERROR(W146/W152,""),"")</f>
        <v>0.283027492148713</v>
      </c>
      <c r="X154" s="63" t="n">
        <f aca="false">IF(AND(ISNUMBER(X146),ISNUMBER(X152)),IFERROR(X146/X152,""),"")</f>
        <v>-0.516978446686261</v>
      </c>
      <c r="Y154" s="63" t="n">
        <f aca="false">IF(AND(ISNUMBER(Y146),ISNUMBER(Y152)),IFERROR(Y146/Y152,""),"")</f>
        <v>0.243484957044658</v>
      </c>
      <c r="Z154" s="63" t="n">
        <f aca="false">IF(AND(ISNUMBER(Z146),ISNUMBER(Z152)),IFERROR(Z146/Z152,""),"")</f>
        <v>0.130709950532853</v>
      </c>
      <c r="AA154" s="63" t="n">
        <f aca="false">IF(AND(ISNUMBER(AA146),ISNUMBER(AA152)),IFERROR(AA146/AA152,""),"")</f>
        <v>0.336939785207988</v>
      </c>
      <c r="AB154" s="63" t="n">
        <f aca="false">IF(AND(ISNUMBER(AB146),ISNUMBER(AB152)),IFERROR(AB146/AB152,""),"")</f>
        <v>0.325324509221493</v>
      </c>
      <c r="AC154" s="63" t="n">
        <f aca="false">IF(AND(ISNUMBER(AC146),ISNUMBER(AC152)),IFERROR(AC146/AC152,""),"")</f>
        <v>1.07040046523475</v>
      </c>
      <c r="AD154" s="63" t="n">
        <f aca="false">IF(AND(ISNUMBER(AD146),ISNUMBER(AD152)),IFERROR(AD146/AD152,""),"")</f>
        <v>0.0565418156548644</v>
      </c>
      <c r="AE154" s="63" t="n">
        <f aca="false">IF(AND(ISNUMBER(AE146),ISNUMBER(AE152)),IFERROR(AE146/AE152,""),"")</f>
        <v>0.469483464691078</v>
      </c>
      <c r="AF154" s="63" t="n">
        <f aca="false">IF(AND(ISNUMBER(AF146),ISNUMBER(AF152)),IFERROR(AF146/AF152,""),"")</f>
        <v>0.467755719695092</v>
      </c>
      <c r="AG154" s="63" t="n">
        <f aca="false">IF(AND(ISNUMBER(AG146),ISNUMBER(AG152)),IFERROR(AG146/AG152,""),"")</f>
        <v>1.19429518939558</v>
      </c>
      <c r="AH154" s="63" t="n">
        <f aca="false">IF(AND(ISNUMBER(AH146),ISNUMBER(AH152)),IFERROR(AH146/AH152,""),"")</f>
        <v>2.18754283558967</v>
      </c>
      <c r="AI154" s="63" t="n">
        <f aca="false">IF(AND(ISNUMBER(AI146),ISNUMBER(AI152)),IFERROR(AI146/AI152,""),"")</f>
        <v>0.473297062904587</v>
      </c>
      <c r="AJ154" s="63" t="n">
        <f aca="false">IF(AND(ISNUMBER(AJ146),ISNUMBER(AJ152)),IFERROR(AJ146/AJ152,""),"")</f>
        <v>0.525925835696919</v>
      </c>
      <c r="AK154" s="63" t="n">
        <f aca="false">IF(AND(ISNUMBER(AK146),ISNUMBER(AK152)),IFERROR(AK146/AK152,""),"")</f>
        <v>0.572179436606249</v>
      </c>
      <c r="AL154" s="63" t="n">
        <f aca="false">IF(AND(ISNUMBER(AL146),ISNUMBER(AL152)),IFERROR(AL146/AL152,""),"")</f>
        <v>0.502516906897562</v>
      </c>
      <c r="AM154" s="63" t="n">
        <f aca="false">IF(AND(ISNUMBER(AM146),ISNUMBER(AM152)),IFERROR(AM146/AM152,""),"")</f>
        <v>2.07422976861136</v>
      </c>
      <c r="AN154" s="63" t="n">
        <f aca="false">IF(AND(ISNUMBER(AN146),ISNUMBER(AN152)),IFERROR(AN146/AN152,""),"")</f>
        <v>0.476556794874336</v>
      </c>
      <c r="AO154" s="63" t="n">
        <f aca="false">IF(AND(ISNUMBER(AO146),ISNUMBER(AO152)),IFERROR(AO146/AO152,""),"")</f>
        <v>0.564145193708307</v>
      </c>
      <c r="AP154" s="63" t="n">
        <f aca="false">IF(AND(ISNUMBER(AP146),ISNUMBER(AP152)),IFERROR(AP146/AP152,""),"")</f>
        <v>0.603019822944975</v>
      </c>
      <c r="AQ154" s="63" t="n">
        <f aca="false">IF(AND(ISNUMBER(AQ146),ISNUMBER(AQ152)),IFERROR(AQ146/AQ152,""),"")</f>
        <v>0.505038172843124</v>
      </c>
      <c r="AR154" s="63" t="n">
        <f aca="false">IF(AND(ISNUMBER(AR146),ISNUMBER(AR152)),IFERROR(AR146/AR152,""),"")</f>
        <v>2.14881236304752</v>
      </c>
      <c r="AS154" s="63" t="n">
        <f aca="false">IF(AND(ISNUMBER(AS146),ISNUMBER(AS152)),IFERROR(AS146/AS152,""),"")</f>
        <v>0.542229813974554</v>
      </c>
      <c r="AT154" s="63" t="n">
        <f aca="false">IF(AND(ISNUMBER(AT146),ISNUMBER(AT152)),IFERROR(AT146/AT152,""),"")</f>
        <v>-0.86341042975175</v>
      </c>
      <c r="AU154" s="63" t="n">
        <f aca="false">IF(AND(ISNUMBER(AU146),ISNUMBER(AU152)),IFERROR(AU146/AU152,""),"")</f>
        <v>0.600950613687767</v>
      </c>
      <c r="AV154" s="63" t="n">
        <f aca="false">IF(AND(ISNUMBER(AV146),ISNUMBER(AV152)),IFERROR(AV146/AV152,""),"")</f>
        <v>0.496821345283763</v>
      </c>
      <c r="AW154" s="63" t="n">
        <f aca="false">IF(AND(ISNUMBER(AW146),ISNUMBER(AW152)),IFERROR(AW146/AW152,""),"")</f>
        <v>0.777678612718045</v>
      </c>
      <c r="AX154" s="63" t="n">
        <f aca="false">IF(AND(ISNUMBER(AX146),ISNUMBER(AX152)),IFERROR(AX146/AX152,""),"")</f>
        <v>0.610241848259478</v>
      </c>
      <c r="AY154" s="63" t="n">
        <f aca="false">IF(AND(ISNUMBER(AY146),ISNUMBER(AY152)),IFERROR(AY146/AY152,""),"")</f>
        <v>0.678467318464907</v>
      </c>
      <c r="AZ154" s="63" t="n">
        <f aca="false">IF(AND(ISNUMBER(AZ146),ISNUMBER(AZ152)),IFERROR(AZ146/AZ152,""),"")</f>
        <v>0.438996968782752</v>
      </c>
      <c r="BA154" s="63" t="n">
        <f aca="false">IF(AND(ISNUMBER(BA146),ISNUMBER(BA152)),IFERROR(BA146/BA152,""),"")</f>
        <v>0.638312801605398</v>
      </c>
      <c r="BB154" s="63" t="n">
        <f aca="false">IF(AND(ISNUMBER(BB146),ISNUMBER(BB152)),IFERROR(BB146/BB152,""),"")</f>
        <v>2.36648449274297</v>
      </c>
      <c r="BC154" s="63" t="n">
        <f aca="false">IF(AND(ISNUMBER(BC146),ISNUMBER(BC152)),IFERROR(BC146/BC152,""),"")</f>
        <v>0.696374341687994</v>
      </c>
      <c r="BD154" s="63" t="n">
        <f aca="false">IF(AND(ISNUMBER(BD146),ISNUMBER(BD152)),IFERROR(BD146/BD152,""),"")</f>
        <v>0.871274955834921</v>
      </c>
      <c r="BE154" s="63" t="n">
        <f aca="false">IF(AND(ISNUMBER(BE146),ISNUMBER(BE152)),IFERROR(BE146/BE152,""),"")</f>
        <v>0.921130459487069</v>
      </c>
      <c r="BF154" s="63" t="n">
        <f aca="false">IF(AND(ISNUMBER(BF146),ISNUMBER(BF152)),IFERROR(BF146/BF152,""),"")</f>
        <v>0.755587118525689</v>
      </c>
      <c r="BG154" s="63" t="n">
        <f aca="false">IF(AND(ISNUMBER(BG146),ISNUMBER(BG152)),IFERROR(BG146/BG152,""),"")</f>
        <v>3.24675725814955</v>
      </c>
      <c r="BH154" s="63" t="n">
        <f aca="false">IF(AND(ISNUMBER(BH146),ISNUMBER(BH152)),IFERROR(BH146/BH152,""),"")</f>
        <v>0.768585067500996</v>
      </c>
      <c r="BI154" s="63" t="n">
        <f aca="false">IF(AND(ISNUMBER(BI146),ISNUMBER(BI152)),IFERROR(BI146/BI152,""),"")</f>
        <v>0.812152337508071</v>
      </c>
      <c r="BJ154" s="63" t="n">
        <f aca="false">IF(AND(ISNUMBER(BJ146),ISNUMBER(BJ152)),IFERROR(BJ146/BJ152,""),"")</f>
        <v>0.888959780234965</v>
      </c>
      <c r="BK154" s="63" t="n">
        <f aca="false">IF(AND(ISNUMBER(BK146),ISNUMBER(BK152)),IFERROR(BK146/BK152,""),"")</f>
        <v>0.491984552260288</v>
      </c>
      <c r="BL154" s="63" t="n">
        <f aca="false">IF(AND(ISNUMBER(BL146),ISNUMBER(BL152)),IFERROR(BL146/BL152,""),"")</f>
        <v>2.96174201589308</v>
      </c>
      <c r="BM154" s="63" t="n">
        <f aca="false">IF(AND(ISNUMBER(BM146),ISNUMBER(BM152)),IFERROR(BM146/BM152,""),"")</f>
        <v>0.892370070267655</v>
      </c>
      <c r="BN154" s="63" t="n">
        <f aca="false">IF(AND(ISNUMBER(BN146),ISNUMBER(BN152)),IFERROR(BN146/BN152,""),"")</f>
        <v>1.06776470725949</v>
      </c>
      <c r="BO154" s="63" t="n">
        <f aca="false">IF(AND(ISNUMBER(BO146),ISNUMBER(BO152)),IFERROR(BO146/BO152,""),"")</f>
        <v>1.19386725545298</v>
      </c>
      <c r="BP154" s="63" t="n">
        <f aca="false">IF(AND(ISNUMBER(BP146),ISNUMBER(BP152)),IFERROR(BP146/BP152,""),"")</f>
        <v>-0.75957848548233</v>
      </c>
      <c r="BQ154" s="63" t="n">
        <f aca="false">IF(AND(ISNUMBER(BQ146),ISNUMBER(BQ152)),IFERROR(BQ146/BQ152,""),"")</f>
        <v>2.39401048520872</v>
      </c>
      <c r="BR154" s="63" t="n">
        <f aca="false">IF(AND(ISNUMBER(BR146),ISNUMBER(BR152)),IFERROR(BR146/BR152,""),"")</f>
        <v>0.935382012690265</v>
      </c>
      <c r="BS154" s="63" t="n">
        <f aca="false">IF(AND(ISNUMBER(BS146),ISNUMBER(BS152)),IFERROR(BS146/BS152,""),"")</f>
        <v>1.12345763131826</v>
      </c>
      <c r="BT154" s="63" t="n">
        <f aca="false">IF(AND(ISNUMBER(BT146),ISNUMBER(BT152)),IFERROR(BT146/BT152,""),"")</f>
        <v>1.11411645573017</v>
      </c>
      <c r="BU154" s="63" t="n">
        <f aca="false">IF(AND(ISNUMBER(BU146),ISNUMBER(BU152)),IFERROR(BU146/BU152,""),"")</f>
        <v>1.01053722543537</v>
      </c>
      <c r="BV154" s="63" t="n">
        <f aca="false">IF(AND(ISNUMBER(BV146),ISNUMBER(BV152)),IFERROR(BV146/BV152,""),"")</f>
        <v>4.18366998175974</v>
      </c>
      <c r="BW154" s="63" t="n">
        <f aca="false">IF(AND(ISNUMBER(BW146),ISNUMBER(BW152)),IFERROR(BW146/BW152,""),"")</f>
        <v>0.859000986207885</v>
      </c>
      <c r="BX154" s="63" t="n">
        <f aca="false">IF(AND(ISNUMBER(BX146),ISNUMBER(BX152)),IFERROR(BX146/BX152,""),"")</f>
        <v>1.16942293230089</v>
      </c>
      <c r="BY154" s="64" t="n">
        <f aca="false">IFERROR(BY146/BY152,"")</f>
        <v>1.36031590897023</v>
      </c>
      <c r="BZ154" s="64" t="n">
        <f aca="false">IFERROR(BZ146/BZ152,"")</f>
        <v>1.24894796569221</v>
      </c>
      <c r="CA154" s="64" t="n">
        <f aca="false">IFERROR(CA146/CA152,"")</f>
        <v>4.63424988587304</v>
      </c>
      <c r="CB154" s="64" t="n">
        <f aca="false">IFERROR(CB146/CB152,"")</f>
        <v>5.54786379038911</v>
      </c>
      <c r="CC154" s="64" t="n">
        <f aca="false">IFERROR(CC146/CC152,"")</f>
        <v>6.18479534381184</v>
      </c>
      <c r="CD154" s="64" t="n">
        <f aca="false">IFERROR(CD146/CD152,"")</f>
        <v>6.88523318746765</v>
      </c>
      <c r="CE154" s="64" t="n">
        <f aca="false">IFERROR(CE146/CE152,"")</f>
        <v>7.6405292949196</v>
      </c>
      <c r="CF154" s="21"/>
    </row>
    <row r="155" customFormat="false" ht="15" hidden="true" customHeight="true" outlineLevel="2" collapsed="false">
      <c r="B155" s="55" t="s">
        <v>325</v>
      </c>
      <c r="C155" s="65" t="n">
        <f aca="false">IF(AND(ISNUMBER(C146),ISNUMBER(C153)),IFERROR(C146/C153,""),"")</f>
        <v>0.48872136059975</v>
      </c>
      <c r="D155" s="65" t="n">
        <f aca="false">IF(AND(ISNUMBER(D146),ISNUMBER(D153)),IFERROR(D146/D153,""),"")</f>
        <v>0.629133231819952</v>
      </c>
      <c r="E155" s="65" t="n">
        <f aca="false">IF(AND(ISNUMBER(E146),ISNUMBER(E153)),IFERROR(E146/E153,""),"")</f>
        <v>0.656874362329797</v>
      </c>
      <c r="F155" s="65" t="n">
        <f aca="false">IF(AND(ISNUMBER(F146),ISNUMBER(F153)),IFERROR(F146/F153,""),"")</f>
        <v>0.607576125198102</v>
      </c>
      <c r="G155" s="65" t="n">
        <f aca="false">IF(AND(ISNUMBER(G146),ISNUMBER(G153)),IFERROR(G146/G153,""),"")</f>
        <v>0.770520096388469</v>
      </c>
      <c r="H155" s="65" t="n">
        <f aca="false">IF(AND(ISNUMBER(H146),ISNUMBER(H153)),IFERROR(H146/H153,""),"")</f>
        <v>0.969853428634276</v>
      </c>
      <c r="I155" s="65" t="n">
        <f aca="false">IF(AND(ISNUMBER(I146),ISNUMBER(I153)),IFERROR(I146/I153,""),"")</f>
        <v>0.870614133140166</v>
      </c>
      <c r="J155" s="65" t="n">
        <f aca="false">IF(AND(ISNUMBER(J146),ISNUMBER(J153)),IFERROR(J146/J153,""),"")</f>
        <v>0.223590782252093</v>
      </c>
      <c r="K155" s="65" t="n">
        <f aca="false">IF(AND(ISNUMBER(K146),ISNUMBER(K153)),IFERROR(K146/K153,""),"")</f>
        <v>0.236228509096341</v>
      </c>
      <c r="L155" s="65" t="n">
        <f aca="false">IF(AND(ISNUMBER(L146),ISNUMBER(L153)),IFERROR(L146/L153,""),"")</f>
        <v>0.325641900797083</v>
      </c>
      <c r="M155" s="65" t="n">
        <f aca="false">IF(AND(ISNUMBER(M146),ISNUMBER(M153)),IFERROR(M146/M153,""),"")</f>
        <v>0.264904944274508</v>
      </c>
      <c r="N155" s="65" t="n">
        <f aca="false">IF(AND(ISNUMBER(N146),ISNUMBER(N153)),IFERROR(N146/N153,""),"")</f>
        <v>1.05051030515951</v>
      </c>
      <c r="O155" s="65" t="n">
        <f aca="false">IF(AND(ISNUMBER(O146),ISNUMBER(O153)),IFERROR(O146/O153,""),"")</f>
        <v>0.262012614874377</v>
      </c>
      <c r="P155" s="65" t="n">
        <f aca="false">IF(AND(ISNUMBER(P146),ISNUMBER(P153)),IFERROR(P146/P153,""),"")</f>
        <v>0.334613950968403</v>
      </c>
      <c r="Q155" s="65" t="n">
        <f aca="false">IF(AND(ISNUMBER(Q146),ISNUMBER(Q153)),IFERROR(Q146/Q153,""),"")</f>
        <v>0.321038760116506</v>
      </c>
      <c r="R155" s="65" t="n">
        <f aca="false">IF(AND(ISNUMBER(R146),ISNUMBER(R153)),IFERROR(R146/R153,""),"")</f>
        <v>0.324547864516635</v>
      </c>
      <c r="S155" s="65" t="n">
        <f aca="false">IF(AND(ISNUMBER(S146),ISNUMBER(S153)),IFERROR(S146/S153,""),"")</f>
        <v>1.24224593652486</v>
      </c>
      <c r="T155" s="65" t="n">
        <f aca="false">IF(AND(ISNUMBER(T146),ISNUMBER(T153)),IFERROR(T146/T153,""),"")</f>
        <v>0.277799961106719</v>
      </c>
      <c r="U155" s="65" t="n">
        <f aca="false">IF(AND(ISNUMBER(U146),ISNUMBER(U153)),IFERROR(U146/U153,""),"")</f>
        <v>0.307514000049312</v>
      </c>
      <c r="V155" s="65" t="n">
        <f aca="false">IF(AND(ISNUMBER(V146),ISNUMBER(V153)),IFERROR(V146/V153,""),"")</f>
        <v>-1.38995270178225</v>
      </c>
      <c r="W155" s="65" t="n">
        <f aca="false">IF(AND(ISNUMBER(W146),ISNUMBER(W153)),IFERROR(W146/W153,""),"")</f>
        <v>0.281849193714431</v>
      </c>
      <c r="X155" s="65" t="n">
        <f aca="false">IF(AND(ISNUMBER(X146),ISNUMBER(X153)),IFERROR(X146/X153,""),"")</f>
        <v>-0.516978446686261</v>
      </c>
      <c r="Y155" s="65" t="n">
        <f aca="false">IF(AND(ISNUMBER(Y146),ISNUMBER(Y153)),IFERROR(Y146/Y153,""),"")</f>
        <v>0.242158973234721</v>
      </c>
      <c r="Z155" s="65" t="n">
        <f aca="false">IF(AND(ISNUMBER(Z146),ISNUMBER(Z153)),IFERROR(Z146/Z153,""),"")</f>
        <v>0.1303533029031</v>
      </c>
      <c r="AA155" s="65" t="n">
        <f aca="false">IF(AND(ISNUMBER(AA146),ISNUMBER(AA153)),IFERROR(AA146/AA153,""),"")</f>
        <v>0.336115886394651</v>
      </c>
      <c r="AB155" s="65" t="n">
        <f aca="false">IF(AND(ISNUMBER(AB146),ISNUMBER(AB153)),IFERROR(AB146/AB153,""),"")</f>
        <v>0.324341470802096</v>
      </c>
      <c r="AC155" s="65" t="n">
        <f aca="false">IF(AND(ISNUMBER(AC146),ISNUMBER(AC153)),IFERROR(AC146/AC153,""),"")</f>
        <v>1.06689632763392</v>
      </c>
      <c r="AD155" s="65" t="n">
        <f aca="false">IF(AND(ISNUMBER(AD146),ISNUMBER(AD153)),IFERROR(AD146/AD153,""),"")</f>
        <v>0.056361570089654</v>
      </c>
      <c r="AE155" s="65" t="n">
        <f aca="false">IF(AND(ISNUMBER(AE146),ISNUMBER(AE153)),IFERROR(AE146/AE153,""),"")</f>
        <v>0.468199576271356</v>
      </c>
      <c r="AF155" s="65" t="n">
        <f aca="false">IF(AND(ISNUMBER(AF146),ISNUMBER(AF153)),IFERROR(AF146/AF153,""),"")</f>
        <v>0.466240053631284</v>
      </c>
      <c r="AG155" s="65" t="n">
        <f aca="false">IF(AND(ISNUMBER(AG146),ISNUMBER(AG153)),IFERROR(AG146/AG153,""),"")</f>
        <v>1.19074840509023</v>
      </c>
      <c r="AH155" s="65" t="n">
        <f aca="false">IF(AND(ISNUMBER(AH146),ISNUMBER(AH153)),IFERROR(AH146/AH153,""),"")</f>
        <v>2.1824129330398</v>
      </c>
      <c r="AI155" s="65" t="n">
        <f aca="false">IF(AND(ISNUMBER(AI146),ISNUMBER(AI153)),IFERROR(AI146/AI153,""),"")</f>
        <v>0.471937379761444</v>
      </c>
      <c r="AJ155" s="65" t="n">
        <f aca="false">IF(AND(ISNUMBER(AJ146),ISNUMBER(AJ153)),IFERROR(AJ146/AJ153,""),"")</f>
        <v>0.524650760351104</v>
      </c>
      <c r="AK155" s="65" t="n">
        <f aca="false">IF(AND(ISNUMBER(AK146),ISNUMBER(AK153)),IFERROR(AK146/AK153,""),"")</f>
        <v>0.570521903352266</v>
      </c>
      <c r="AL155" s="65" t="n">
        <f aca="false">IF(AND(ISNUMBER(AL146),ISNUMBER(AL153)),IFERROR(AL146/AL153,""),"")</f>
        <v>0.50094977889415</v>
      </c>
      <c r="AM155" s="65" t="n">
        <f aca="false">IF(AND(ISNUMBER(AM146),ISNUMBER(AM153)),IFERROR(AM146/AM153,""),"")</f>
        <v>2.06838148126948</v>
      </c>
      <c r="AN155" s="65" t="n">
        <f aca="false">IF(AND(ISNUMBER(AN146),ISNUMBER(AN153)),IFERROR(AN146/AN153,""),"")</f>
        <v>0.475234391199141</v>
      </c>
      <c r="AO155" s="65" t="n">
        <f aca="false">IF(AND(ISNUMBER(AO146),ISNUMBER(AO153)),IFERROR(AO146/AO153,""),"")</f>
        <v>0.562763122469226</v>
      </c>
      <c r="AP155" s="65" t="n">
        <f aca="false">IF(AND(ISNUMBER(AP146),ISNUMBER(AP153)),IFERROR(AP146/AP153,""),"")</f>
        <v>0.601347480358252</v>
      </c>
      <c r="AQ155" s="65" t="n">
        <f aca="false">IF(AND(ISNUMBER(AQ146),ISNUMBER(AQ153)),IFERROR(AQ146/AQ153,""),"")</f>
        <v>0.503565483727376</v>
      </c>
      <c r="AR155" s="65" t="n">
        <f aca="false">IF(AND(ISNUMBER(AR146),ISNUMBER(AR153)),IFERROR(AR146/AR153,""),"")</f>
        <v>2.14285097820479</v>
      </c>
      <c r="AS155" s="65" t="n">
        <f aca="false">IF(AND(ISNUMBER(AS146),ISNUMBER(AS153)),IFERROR(AS146/AS153,""),"")</f>
        <v>0.541075435157086</v>
      </c>
      <c r="AT155" s="65" t="n">
        <f aca="false">IF(AND(ISNUMBER(AT146),ISNUMBER(AT153)),IFERROR(AT146/AT153,""),"")</f>
        <v>-0.86341042975175</v>
      </c>
      <c r="AU155" s="65" t="n">
        <f aca="false">IF(AND(ISNUMBER(AU146),ISNUMBER(AU153)),IFERROR(AU146/AU153,""),"")</f>
        <v>0.599789411675386</v>
      </c>
      <c r="AV155" s="65" t="n">
        <f aca="false">IF(AND(ISNUMBER(AV146),ISNUMBER(AV153)),IFERROR(AV146/AV153,""),"")</f>
        <v>0.495696862610827</v>
      </c>
      <c r="AW155" s="65" t="n">
        <f aca="false">IF(AND(ISNUMBER(AW146),ISNUMBER(AW153)),IFERROR(AW146/AW153,""),"")</f>
        <v>0.776210361612877</v>
      </c>
      <c r="AX155" s="65" t="n">
        <f aca="false">IF(AND(ISNUMBER(AX146),ISNUMBER(AX153)),IFERROR(AX146/AX153,""),"")</f>
        <v>0.609177069833176</v>
      </c>
      <c r="AY155" s="65" t="n">
        <f aca="false">IF(AND(ISNUMBER(AY146),ISNUMBER(AY153)),IFERROR(AY146/AY153,""),"")</f>
        <v>0.677254863601447</v>
      </c>
      <c r="AZ155" s="65" t="n">
        <f aca="false">IF(AND(ISNUMBER(AZ146),ISNUMBER(AZ153)),IFERROR(AZ146/AZ153,""),"")</f>
        <v>0.437997678073525</v>
      </c>
      <c r="BA155" s="65" t="n">
        <f aca="false">IF(AND(ISNUMBER(BA146),ISNUMBER(BA153)),IFERROR(BA146/BA153,""),"")</f>
        <v>0.636576600352696</v>
      </c>
      <c r="BB155" s="65" t="n">
        <f aca="false">IF(AND(ISNUMBER(BB146),ISNUMBER(BB153)),IFERROR(BB146/BB153,""),"")</f>
        <v>2.36140531444669</v>
      </c>
      <c r="BC155" s="65" t="n">
        <f aca="false">IF(AND(ISNUMBER(BC146),ISNUMBER(BC153)),IFERROR(BC146/BC153,""),"")</f>
        <v>0.694726911247674</v>
      </c>
      <c r="BD155" s="65" t="n">
        <f aca="false">IF(AND(ISNUMBER(BD146),ISNUMBER(BD153)),IFERROR(BD146/BD153,""),"")</f>
        <v>0.869390974887961</v>
      </c>
      <c r="BE155" s="65" t="n">
        <f aca="false">IF(AND(ISNUMBER(BE146),ISNUMBER(BE153)),IFERROR(BE146/BE153,""),"")</f>
        <v>0.918649416449666</v>
      </c>
      <c r="BF155" s="65" t="n">
        <f aca="false">IF(AND(ISNUMBER(BF146),ISNUMBER(BF153)),IFERROR(BF146/BF153,""),"")</f>
        <v>0.753376060073229</v>
      </c>
      <c r="BG155" s="65" t="n">
        <f aca="false">IF(AND(ISNUMBER(BG146),ISNUMBER(BG153)),IFERROR(BG146/BG153,""),"")</f>
        <v>3.23851295526676</v>
      </c>
      <c r="BH155" s="65" t="n">
        <f aca="false">IF(AND(ISNUMBER(BH146),ISNUMBER(BH153)),IFERROR(BH146/BH153,""),"")</f>
        <v>0.766749831332906</v>
      </c>
      <c r="BI155" s="65" t="n">
        <f aca="false">IF(AND(ISNUMBER(BI146),ISNUMBER(BI153)),IFERROR(BI146/BI153,""),"")</f>
        <v>0.810536600776914</v>
      </c>
      <c r="BJ155" s="65" t="n">
        <f aca="false">IF(AND(ISNUMBER(BJ146),ISNUMBER(BJ153)),IFERROR(BJ146/BJ153,""),"")</f>
        <v>0.886909067876717</v>
      </c>
      <c r="BK155" s="65" t="n">
        <f aca="false">IF(AND(ISNUMBER(BK146),ISNUMBER(BK153)),IFERROR(BK146/BK153,""),"")</f>
        <v>0.490713690649873</v>
      </c>
      <c r="BL155" s="65" t="n">
        <f aca="false">IF(AND(ISNUMBER(BL146),ISNUMBER(BL153)),IFERROR(BL146/BL153,""),"")</f>
        <v>2.95487985236943</v>
      </c>
      <c r="BM155" s="65" t="n">
        <f aca="false">IF(AND(ISNUMBER(BM146),ISNUMBER(BM153)),IFERROR(BM146/BM153,""),"")</f>
        <v>0.890017792424943</v>
      </c>
      <c r="BN155" s="65" t="n">
        <f aca="false">IF(AND(ISNUMBER(BN146),ISNUMBER(BN153)),IFERROR(BN146/BN153,""),"")</f>
        <v>1.06540613737393</v>
      </c>
      <c r="BO155" s="65" t="n">
        <f aca="false">IF(AND(ISNUMBER(BO146),ISNUMBER(BO153)),IFERROR(BO146/BO153,""),"")</f>
        <v>1.19048590727728</v>
      </c>
      <c r="BP155" s="65" t="n">
        <f aca="false">IF(AND(ISNUMBER(BP146),ISNUMBER(BP153)),IFERROR(BP146/BP153,""),"")</f>
        <v>-0.757231945815627</v>
      </c>
      <c r="BQ155" s="65" t="n">
        <f aca="false">IF(AND(ISNUMBER(BQ146),ISNUMBER(BQ153)),IFERROR(BQ146/BQ153,""),"")</f>
        <v>2.38756580542367</v>
      </c>
      <c r="BR155" s="65" t="n">
        <f aca="false">IF(AND(ISNUMBER(BR146),ISNUMBER(BR153)),IFERROR(BR146/BR153,""),"")</f>
        <v>0.932813892995095</v>
      </c>
      <c r="BS155" s="65" t="n">
        <f aca="false">IF(AND(ISNUMBER(BS146),ISNUMBER(BS153)),IFERROR(BS146/BS153,""),"")</f>
        <v>1.12083185249087</v>
      </c>
      <c r="BT155" s="65" t="n">
        <f aca="false">IF(AND(ISNUMBER(BT146),ISNUMBER(BT153)),IFERROR(BT146/BT153,""),"")</f>
        <v>1.11138536860508</v>
      </c>
      <c r="BU155" s="65" t="n">
        <f aca="false">IF(AND(ISNUMBER(BU146),ISNUMBER(BU153)),IFERROR(BU146/BU153,""),"")</f>
        <v>1.00791688102121</v>
      </c>
      <c r="BV155" s="65" t="n">
        <f aca="false">IF(AND(ISNUMBER(BV146),ISNUMBER(BV153)),IFERROR(BV146/BV153,""),"")</f>
        <v>4.17307775819992</v>
      </c>
      <c r="BW155" s="65" t="n">
        <f aca="false">IF(AND(ISNUMBER(BW146),ISNUMBER(BW153)),IFERROR(BW146/BW153,""),"")</f>
        <v>0.857235472036776</v>
      </c>
      <c r="BX155" s="65" t="n">
        <f aca="false">IF(AND(ISNUMBER(BX146),ISNUMBER(BX153)),IFERROR(BX146/BX153,""),"")</f>
        <v>1.16758445916521</v>
      </c>
      <c r="BY155" s="65" t="n">
        <f aca="false">IFERROR(BY146/BY153,"")</f>
        <v>1.35817188025487</v>
      </c>
      <c r="BZ155" s="65" t="n">
        <f aca="false">IFERROR(BZ146/BZ153,"")</f>
        <v>1.24696938432616</v>
      </c>
      <c r="CA155" s="65" t="n">
        <f aca="false">IFERROR(CA146/CA153,"")</f>
        <v>4.62638119447195</v>
      </c>
      <c r="CB155" s="65" t="n">
        <f aca="false">IFERROR(CB146/CB153,"")</f>
        <v>5.53891220599596</v>
      </c>
      <c r="CC155" s="65" t="n">
        <f aca="false">IFERROR(CC146/CC153,"")</f>
        <v>6.17456382330192</v>
      </c>
      <c r="CD155" s="65" t="n">
        <f aca="false">IFERROR(CD146/CD153,"")</f>
        <v>6.87352720774351</v>
      </c>
      <c r="CE155" s="65" t="n">
        <f aca="false">IFERROR(CE146/CE153,"")</f>
        <v>7.62715675814429</v>
      </c>
      <c r="CF155" s="21"/>
      <c r="CH155" s="22" t="n">
        <f aca="false">IFERROR((CE155/BV155)^(1/5)-1,"n/m")</f>
        <v>0.128187384385993</v>
      </c>
      <c r="CI155" s="22" t="n">
        <f aca="false">IFERROR((BV155/AW155)^(1/5)-1,"n/m")</f>
        <v>0.39989482557892</v>
      </c>
      <c r="CJ155" s="22" t="str">
        <f aca="false">IFERROR((BV155/X155)^(1/10)-1,"n/m")</f>
        <v>n/m</v>
      </c>
      <c r="CK155" s="22" t="n">
        <f aca="false">IFERROR((BV155/C155)^(1/19)-1,"n/m")</f>
        <v>0.11949149287179</v>
      </c>
    </row>
    <row r="156" customFormat="false" ht="15" hidden="false" customHeight="true" outlineLevel="0" collapsed="true">
      <c r="B156" s="34" t="s">
        <v>326</v>
      </c>
      <c r="C156" s="35"/>
      <c r="D156" s="36" t="n">
        <f aca="false">IF(AND(ISNUMBER(D155),ISNUMBER(C155)),IFERROR(D155/C155-1,""),"")</f>
        <v>0.287304551304838</v>
      </c>
      <c r="E156" s="36" t="n">
        <f aca="false">IF(AND(ISNUMBER(E155),ISNUMBER(D155)),IFERROR(E155/D155-1,""),"")</f>
        <v>0.0440942062933096</v>
      </c>
      <c r="F156" s="36" t="n">
        <f aca="false">IF(AND(ISNUMBER(F155),ISNUMBER(E155)),IFERROR(F155/E155-1,""),"")</f>
        <v>-0.0750497202491574</v>
      </c>
      <c r="G156" s="36" t="n">
        <f aca="false">IF(AND(ISNUMBER(G155),ISNUMBER(F155)),IFERROR(G155/F155-1,""),"")</f>
        <v>0.268186922481916</v>
      </c>
      <c r="H156" s="36" t="n">
        <f aca="false">IF(AND(ISNUMBER(H155),ISNUMBER(G155)),IFERROR(H155/G155-1,""),"")</f>
        <v>0.258699718774513</v>
      </c>
      <c r="I156" s="36" t="n">
        <f aca="false">IF(AND(ISNUMBER(I155),ISNUMBER(H155)),IFERROR(I155/H155-1,""),"")</f>
        <v>-0.102324013674785</v>
      </c>
      <c r="J156" s="35"/>
      <c r="K156" s="35"/>
      <c r="L156" s="35"/>
      <c r="M156" s="35"/>
      <c r="N156" s="36" t="n">
        <f aca="false">IF(AND(ISNUMBER(N155),ISNUMBER(I155)),IFERROR(N155/I155-1,""),"")</f>
        <v>0.206631348115715</v>
      </c>
      <c r="O156" s="36" t="n">
        <f aca="false">IF(AND(ISNUMBER(O155),ISNUMBER(J155)),IFERROR(O155/J155-1,""),"")</f>
        <v>0.171839966904202</v>
      </c>
      <c r="P156" s="36" t="n">
        <f aca="false">IF(AND(ISNUMBER(P155),ISNUMBER(K155)),IFERROR(P155/K155-1,""),"")</f>
        <v>0.41648420103239</v>
      </c>
      <c r="Q156" s="36" t="n">
        <f aca="false">IF(AND(ISNUMBER(Q155),ISNUMBER(L155)),IFERROR(Q155/L155-1,""),"")</f>
        <v>-0.0141355908723964</v>
      </c>
      <c r="R156" s="36" t="n">
        <f aca="false">IF(AND(ISNUMBER(R155),ISNUMBER(M155)),IFERROR(R155/M155-1,""),"")</f>
        <v>0.225148384472289</v>
      </c>
      <c r="S156" s="36" t="n">
        <f aca="false">IF(AND(ISNUMBER(S155),ISNUMBER(N155)),IFERROR(S155/N155-1,""),"")</f>
        <v>0.182516659211861</v>
      </c>
      <c r="T156" s="36" t="n">
        <f aca="false">IF(AND(ISNUMBER(T155),ISNUMBER(O155)),IFERROR(T155/O155-1,""),"")</f>
        <v>0.0602541455491048</v>
      </c>
      <c r="U156" s="36" t="n">
        <f aca="false">IF(AND(ISNUMBER(U155),ISNUMBER(P155)),IFERROR(U155/P155-1,""),"")</f>
        <v>-0.0809887060616034</v>
      </c>
      <c r="V156" s="36" t="n">
        <f aca="false">IF(AND(ISNUMBER(V155),ISNUMBER(Q155)),IFERROR(V155/Q155-1,""),"")</f>
        <v>-5.32954793769398</v>
      </c>
      <c r="W156" s="36" t="n">
        <f aca="false">IF(AND(ISNUMBER(W155),ISNUMBER(R155)),IFERROR(W155/R155-1,""),"")</f>
        <v>-0.131563554934484</v>
      </c>
      <c r="X156" s="36" t="n">
        <f aca="false">IF(AND(ISNUMBER(X155),ISNUMBER(S155)),IFERROR(X155/S155-1,""),"")</f>
        <v>-1.41616432904783</v>
      </c>
      <c r="Y156" s="36" t="n">
        <f aca="false">IF(AND(ISNUMBER(Y155),ISNUMBER(T155)),IFERROR(Y155/T155-1,""),"")</f>
        <v>-0.128297310518005</v>
      </c>
      <c r="Z156" s="36" t="n">
        <f aca="false">IF(AND(ISNUMBER(Z155),ISNUMBER(U155)),IFERROR(Z155/U155-1,""),"")</f>
        <v>-0.576106119128896</v>
      </c>
      <c r="AA156" s="36" t="n">
        <f aca="false">IF(AND(ISNUMBER(AA155),ISNUMBER(V155)),IFERROR(AA155/V155-1,""),"")</f>
        <v>-1.24181821868015</v>
      </c>
      <c r="AB156" s="36" t="n">
        <f aca="false">IF(AND(ISNUMBER(AB155),ISNUMBER(W155)),IFERROR(AB155/W155-1,""),"")</f>
        <v>0.150762457496038</v>
      </c>
      <c r="AC156" s="36" t="n">
        <f aca="false">IF(AND(ISNUMBER(AC155),ISNUMBER(X155)),IFERROR(AC155/X155-1,""),"")</f>
        <v>-3.06371529504282</v>
      </c>
      <c r="AD156" s="36" t="n">
        <f aca="false">IF(AND(ISNUMBER(AD155),ISNUMBER(Y155)),IFERROR(AD155/Y155-1,""),"")</f>
        <v>-0.767253844295815</v>
      </c>
      <c r="AE156" s="36" t="n">
        <f aca="false">IF(AND(ISNUMBER(AE155),ISNUMBER(Z155)),IFERROR(AE155/Z155-1,""),"")</f>
        <v>2.59177378588865</v>
      </c>
      <c r="AF156" s="36" t="n">
        <f aca="false">IF(AND(ISNUMBER(AF155),ISNUMBER(AA155)),IFERROR(AF155/AA155-1,""),"")</f>
        <v>0.387140782402196</v>
      </c>
      <c r="AG156" s="36" t="n">
        <f aca="false">IF(AND(ISNUMBER(AG155),ISNUMBER(AB155)),IFERROR(AG155/AB155-1,""),"")</f>
        <v>2.67128015466388</v>
      </c>
      <c r="AH156" s="36" t="n">
        <f aca="false">IF(AND(ISNUMBER(AH155),ISNUMBER(AC155)),IFERROR(AH155/AC155-1,""),"")</f>
        <v>1.04557169849838</v>
      </c>
      <c r="AI156" s="36" t="n">
        <f aca="false">IF(AND(ISNUMBER(AI155),ISNUMBER(AD155)),IFERROR(AI155/AD155-1,""),"")</f>
        <v>7.37338951009946</v>
      </c>
      <c r="AJ156" s="36" t="n">
        <f aca="false">IF(AND(ISNUMBER(AJ155),ISNUMBER(AE155)),IFERROR(AJ155/AE155-1,""),"")</f>
        <v>0.120570771399054</v>
      </c>
      <c r="AK156" s="36" t="n">
        <f aca="false">IF(AND(ISNUMBER(AK155),ISNUMBER(AF155)),IFERROR(AK155/AF155-1,""),"")</f>
        <v>0.223665575080452</v>
      </c>
      <c r="AL156" s="36" t="n">
        <f aca="false">IF(AND(ISNUMBER(AL155),ISNUMBER(AG155)),IFERROR(AL155/AG155-1,""),"")</f>
        <v>-0.579298383476575</v>
      </c>
      <c r="AM156" s="36" t="n">
        <f aca="false">IF(AND(ISNUMBER(AM155),ISNUMBER(AH155)),IFERROR(AM155/AH155-1,""),"")</f>
        <v>-0.0522501722950697</v>
      </c>
      <c r="AN156" s="36" t="n">
        <f aca="false">IF(AND(ISNUMBER(AN155),ISNUMBER(AI155)),IFERROR(AN155/AI155-1,""),"")</f>
        <v>0.00698612057252945</v>
      </c>
      <c r="AO156" s="36" t="n">
        <f aca="false">IF(AND(ISNUMBER(AO155),ISNUMBER(AJ155)),IFERROR(AO155/AJ155-1,""),"")</f>
        <v>0.0726432991207653</v>
      </c>
      <c r="AP156" s="36" t="n">
        <f aca="false">IF(AND(ISNUMBER(AP155),ISNUMBER(AK155)),IFERROR(AP155/AK155-1,""),"")</f>
        <v>0.0540304882684808</v>
      </c>
      <c r="AQ156" s="36" t="n">
        <f aca="false">IF(AND(ISNUMBER(AQ155),ISNUMBER(AL155)),IFERROR(AQ155/AL155-1,""),"")</f>
        <v>0.00522149114228521</v>
      </c>
      <c r="AR156" s="36" t="n">
        <f aca="false">IF(AND(ISNUMBER(AR155),ISNUMBER(AM155)),IFERROR(AR155/AM155-1,""),"")</f>
        <v>0.0360037534708573</v>
      </c>
      <c r="AS156" s="36" t="n">
        <f aca="false">IF(AND(ISNUMBER(AS155),ISNUMBER(AN155)),IFERROR(AS155/AN155-1,""),"")</f>
        <v>0.138544358693847</v>
      </c>
      <c r="AT156" s="36" t="n">
        <f aca="false">IF(AND(ISNUMBER(AT155),ISNUMBER(AO155)),IFERROR(AT155/AO155-1,""),"")</f>
        <v>-2.53423420135168</v>
      </c>
      <c r="AU156" s="36" t="n">
        <f aca="false">IF(AND(ISNUMBER(AU155),ISNUMBER(AP155)),IFERROR(AU155/AP155-1,""),"")</f>
        <v>-0.00259096235331102</v>
      </c>
      <c r="AV156" s="36" t="n">
        <f aca="false">IF(AND(ISNUMBER(AV155),ISNUMBER(AQ155)),IFERROR(AV155/AQ155-1,""),"")</f>
        <v>-0.0156258150544908</v>
      </c>
      <c r="AW156" s="36" t="n">
        <f aca="false">IF(AND(ISNUMBER(AW155),ISNUMBER(AR155)),IFERROR(AW155/AR155-1,""),"")</f>
        <v>-0.637767455829728</v>
      </c>
      <c r="AX156" s="36" t="n">
        <f aca="false">IF(AND(ISNUMBER(AX155),ISNUMBER(AS155)),IFERROR(AX155/AS155-1,""),"")</f>
        <v>0.125863475314341</v>
      </c>
      <c r="AY156" s="36" t="n">
        <f aca="false">IF(AND(ISNUMBER(AY155),ISNUMBER(AT155)),IFERROR(AY155/AT155-1,""),"")</f>
        <v>-1.78439504581404</v>
      </c>
      <c r="AZ156" s="36" t="n">
        <f aca="false">IF(AND(ISNUMBER(AZ155),ISNUMBER(AU155)),IFERROR(AZ155/AU155-1,""),"")</f>
        <v>-0.269747565482907</v>
      </c>
      <c r="BA156" s="36" t="n">
        <f aca="false">IF(AND(ISNUMBER(BA155),ISNUMBER(AV155)),IFERROR(BA155/AV155-1,""),"")</f>
        <v>0.28420542546882</v>
      </c>
      <c r="BB156" s="36" t="n">
        <f aca="false">IF(AND(ISNUMBER(BB155),ISNUMBER(AW155)),IFERROR(BB155/AW155-1,""),"")</f>
        <v>2.04222338586147</v>
      </c>
      <c r="BC156" s="36" t="n">
        <f aca="false">IF(AND(ISNUMBER(BC155),ISNUMBER(AX155)),IFERROR(BC155/AX155-1,""),"")</f>
        <v>0.140435097857386</v>
      </c>
      <c r="BD156" s="36" t="n">
        <f aca="false">IF(AND(ISNUMBER(BD155),ISNUMBER(AY155)),IFERROR(BD155/AY155-1,""),"")</f>
        <v>0.283698385368234</v>
      </c>
      <c r="BE156" s="36" t="n">
        <f aca="false">IF(AND(ISNUMBER(BE155),ISNUMBER(AZ155)),IFERROR(BE155/AZ155-1,""),"")</f>
        <v>1.09738421557444</v>
      </c>
      <c r="BF156" s="36" t="n">
        <f aca="false">IF(AND(ISNUMBER(BF155),ISNUMBER(BA155)),IFERROR(BF155/BA155-1,""),"")</f>
        <v>0.183480604935557</v>
      </c>
      <c r="BG156" s="36" t="n">
        <f aca="false">IF(AND(ISNUMBER(BG155),ISNUMBER(BB155)),IFERROR(BG155/BB155-1,""),"")</f>
        <v>0.371434601020873</v>
      </c>
      <c r="BH156" s="36" t="n">
        <f aca="false">IF(AND(ISNUMBER(BH155),ISNUMBER(BC155)),IFERROR(BH155/BC155-1,""),"")</f>
        <v>0.103670836582225</v>
      </c>
      <c r="BI156" s="36" t="n">
        <f aca="false">IF(AND(ISNUMBER(BI155),ISNUMBER(BD155)),IFERROR(BI155/BD155-1,""),"")</f>
        <v>-0.0676960950953423</v>
      </c>
      <c r="BJ156" s="36" t="n">
        <f aca="false">IF(AND(ISNUMBER(BJ155),ISNUMBER(BE155)),IFERROR(BJ155/BE155-1,""),"")</f>
        <v>-0.0345511007840363</v>
      </c>
      <c r="BK156" s="36" t="n">
        <f aca="false">IF(AND(ISNUMBER(BK155),ISNUMBER(BF155)),IFERROR(BK155/BF155-1,""),"")</f>
        <v>-0.34864708788042</v>
      </c>
      <c r="BL156" s="36" t="n">
        <f aca="false">IF(AND(ISNUMBER(BL155),ISNUMBER(BG155)),IFERROR(BL155/BG155-1,""),"")</f>
        <v>-0.0875812778318702</v>
      </c>
      <c r="BM156" s="36" t="n">
        <f aca="false">IF(AND(ISNUMBER(BM155),ISNUMBER(BH155)),IFERROR(BM155/BH155-1,""),"")</f>
        <v>0.160766857786913</v>
      </c>
      <c r="BN156" s="36" t="n">
        <f aca="false">IF(AND(ISNUMBER(BN155),ISNUMBER(BI155)),IFERROR(BN155/BI155-1,""),"")</f>
        <v>0.314445438185913</v>
      </c>
      <c r="BO156" s="36" t="n">
        <f aca="false">IF(AND(ISNUMBER(BO155),ISNUMBER(BJ155)),IFERROR(BO155/BJ155-1,""),"")</f>
        <v>0.342286318176155</v>
      </c>
      <c r="BP156" s="36" t="n">
        <f aca="false">IF(AND(ISNUMBER(BP155),ISNUMBER(BK155)),IFERROR(BP155/BK155-1,""),"")</f>
        <v>-2.54312374047032</v>
      </c>
      <c r="BQ156" s="36" t="n">
        <f aca="false">IF(AND(ISNUMBER(BQ155),ISNUMBER(BL155)),IFERROR(BQ155/BL155-1,""),"")</f>
        <v>-0.19199225528268</v>
      </c>
      <c r="BR156" s="36" t="n">
        <f aca="false">IF(AND(ISNUMBER(BR155),ISNUMBER(BM155)),IFERROR(BR155/BM155-1,""),"")</f>
        <v>0.0480845449769614</v>
      </c>
      <c r="BS156" s="36" t="n">
        <f aca="false">IF(AND(ISNUMBER(BS155),ISNUMBER(BN155)),IFERROR(BS155/BN155-1,""),"")</f>
        <v>0.0520230860069562</v>
      </c>
      <c r="BT156" s="36" t="n">
        <f aca="false">IF(AND(ISNUMBER(BT155),ISNUMBER(BO155)),IFERROR(BT155/BO155-1,""),"")</f>
        <v>-0.0664439101619533</v>
      </c>
      <c r="BU156" s="36" t="n">
        <f aca="false">IF(AND(ISNUMBER(BU155),ISNUMBER(BP155)),IFERROR(BU155/BP155-1,""),"")</f>
        <v>-2.3310543573747</v>
      </c>
      <c r="BV156" s="36" t="n">
        <f aca="false">IF(AND(ISNUMBER(BV155),ISNUMBER(BQ155)),IFERROR(BV155/BQ155-1,""),"")</f>
        <v>0.747837797274624</v>
      </c>
      <c r="BW156" s="36" t="n">
        <f aca="false">IF(AND(ISNUMBER(BW155),ISNUMBER(BR155)),IFERROR(BW155/BR155-1,""),"")</f>
        <v>-0.0810219718272535</v>
      </c>
      <c r="BX156" s="36" t="n">
        <f aca="false">IF(AND(ISNUMBER(BX155),ISNUMBER(BS155)),IFERROR(BX155/BS155-1,""),"")</f>
        <v>0.041712417942477</v>
      </c>
      <c r="BY156" s="37" t="n">
        <f aca="false">IFERROR(BY155/BT155-1,"")</f>
        <v>0.222053050742912</v>
      </c>
      <c r="BZ156" s="37" t="n">
        <f aca="false">IFERROR(BZ155/BU155-1,"")</f>
        <v>0.237174818485768</v>
      </c>
      <c r="CA156" s="37" t="n">
        <f aca="false">IFERROR(CA155/BV155-1,"")</f>
        <v>0.108625686492734</v>
      </c>
      <c r="CB156" s="37" t="n">
        <f aca="false">IFERROR(CB155/CA155-1,"")</f>
        <v>0.197245097877882</v>
      </c>
      <c r="CC156" s="37" t="n">
        <f aca="false">IFERROR(CC155/CB155-1,"")</f>
        <v>0.114761092731866</v>
      </c>
      <c r="CD156" s="37" t="n">
        <f aca="false">IFERROR(CD155/CC155-1,"")</f>
        <v>0.11320044693745</v>
      </c>
      <c r="CE156" s="37" t="n">
        <f aca="false">IFERROR(CE155/CD155-1,"")</f>
        <v>0.109642331749522</v>
      </c>
      <c r="CF156" s="21"/>
    </row>
    <row r="157" customFormat="false" ht="15" hidden="false" customHeight="true" outlineLevel="0" collapsed="false">
      <c r="B157" s="24" t="s">
        <v>327</v>
      </c>
      <c r="C157" s="66" t="n">
        <v>0.488889</v>
      </c>
      <c r="D157" s="66" t="n">
        <v>0.631111</v>
      </c>
      <c r="E157" s="66" t="n">
        <v>0.657778</v>
      </c>
      <c r="F157" s="66" t="n">
        <v>0.608889</v>
      </c>
      <c r="G157" s="66" t="n">
        <v>0.773333</v>
      </c>
      <c r="H157" s="66" t="n">
        <v>0.966667</v>
      </c>
      <c r="I157" s="66" t="n">
        <v>0.873333</v>
      </c>
      <c r="J157" s="66" t="n">
        <v>0.226667</v>
      </c>
      <c r="K157" s="66" t="n">
        <v>0.233333</v>
      </c>
      <c r="L157" s="66" t="n">
        <v>0.326667</v>
      </c>
      <c r="M157" s="66" t="n">
        <v>0.266667</v>
      </c>
      <c r="N157" s="66" t="n">
        <v>1.053333</v>
      </c>
      <c r="O157" s="66" t="n">
        <v>0.26</v>
      </c>
      <c r="P157" s="66" t="n">
        <v>0.333333</v>
      </c>
      <c r="Q157" s="66" t="n">
        <v>0.32</v>
      </c>
      <c r="R157" s="66" t="n">
        <v>0.326667</v>
      </c>
      <c r="S157" s="66" t="n">
        <v>1.24</v>
      </c>
      <c r="T157" s="66" t="n">
        <v>0.28</v>
      </c>
      <c r="U157" s="66" t="n">
        <v>0.306667</v>
      </c>
      <c r="V157" s="66" t="n">
        <v>-1.386667</v>
      </c>
      <c r="W157" s="66" t="n">
        <v>0.28</v>
      </c>
      <c r="X157" s="66" t="n">
        <v>-0.52</v>
      </c>
      <c r="Y157" s="66" t="n">
        <v>0.24</v>
      </c>
      <c r="Z157" s="66" t="n">
        <v>0.133333</v>
      </c>
      <c r="AA157" s="66" t="n">
        <v>0.333333</v>
      </c>
      <c r="AB157" s="66" t="n">
        <v>0.326667</v>
      </c>
      <c r="AC157" s="66" t="n">
        <v>1.066667</v>
      </c>
      <c r="AD157" s="66" t="n">
        <v>0.053333</v>
      </c>
      <c r="AE157" s="66" t="n">
        <v>0.47</v>
      </c>
      <c r="AF157" s="66" t="n">
        <v>0.47</v>
      </c>
      <c r="AG157" s="66" t="n">
        <v>1.19</v>
      </c>
      <c r="AH157" s="66" t="n">
        <v>2.18</v>
      </c>
      <c r="AI157" s="66" t="n">
        <v>0.47</v>
      </c>
      <c r="AJ157" s="66" t="n">
        <v>0.52</v>
      </c>
      <c r="AK157" s="66" t="n">
        <v>0.57</v>
      </c>
      <c r="AL157" s="66" t="n">
        <v>0.5</v>
      </c>
      <c r="AM157" s="66" t="n">
        <v>2.07</v>
      </c>
      <c r="AN157" s="66" t="n">
        <v>0.48</v>
      </c>
      <c r="AO157" s="66" t="n">
        <v>0.56</v>
      </c>
      <c r="AP157" s="66" t="n">
        <v>0.6</v>
      </c>
      <c r="AQ157" s="66" t="n">
        <v>0.5</v>
      </c>
      <c r="AR157" s="66" t="n">
        <v>2.14</v>
      </c>
      <c r="AS157" s="66" t="n">
        <v>0.54</v>
      </c>
      <c r="AT157" s="66" t="n">
        <v>-0.86</v>
      </c>
      <c r="AU157" s="66" t="n">
        <v>0.6</v>
      </c>
      <c r="AV157" s="66" t="n">
        <v>0.5</v>
      </c>
      <c r="AW157" s="66" t="n">
        <v>0.78</v>
      </c>
      <c r="AX157" s="66" t="n">
        <v>0.61</v>
      </c>
      <c r="AY157" s="66" t="n">
        <v>0.68</v>
      </c>
      <c r="AZ157" s="66" t="n">
        <v>0.44</v>
      </c>
      <c r="BA157" s="66" t="n">
        <v>0.64</v>
      </c>
      <c r="BB157" s="66" t="n">
        <v>2.36</v>
      </c>
      <c r="BC157" s="66" t="n">
        <v>0.69</v>
      </c>
      <c r="BD157" s="66" t="n">
        <v>0.87</v>
      </c>
      <c r="BE157" s="66" t="n">
        <v>0.92</v>
      </c>
      <c r="BF157" s="66" t="n">
        <v>0.75</v>
      </c>
      <c r="BG157" s="66" t="n">
        <v>3.24</v>
      </c>
      <c r="BH157" s="66" t="n">
        <v>0.77</v>
      </c>
      <c r="BI157" s="66" t="n">
        <v>0.81</v>
      </c>
      <c r="BJ157" s="66" t="n">
        <v>0.89</v>
      </c>
      <c r="BK157" s="66" t="n">
        <v>0.49</v>
      </c>
      <c r="BL157" s="66" t="n">
        <v>2.95</v>
      </c>
      <c r="BM157" s="66" t="n">
        <v>0.89</v>
      </c>
      <c r="BN157" s="66" t="n">
        <v>1.07</v>
      </c>
      <c r="BO157" s="66" t="n">
        <v>1.19</v>
      </c>
      <c r="BP157" s="66" t="n">
        <v>-0.76</v>
      </c>
      <c r="BQ157" s="66" t="n">
        <v>2.39</v>
      </c>
      <c r="BR157" s="66" t="n">
        <v>0.93</v>
      </c>
      <c r="BS157" s="66" t="n">
        <v>1.12</v>
      </c>
      <c r="BT157" s="66" t="n">
        <v>1.11</v>
      </c>
      <c r="BU157" s="66" t="n">
        <v>1.01</v>
      </c>
      <c r="BV157" s="66" t="n">
        <v>4.17</v>
      </c>
      <c r="BW157" s="66" t="n">
        <v>0.86</v>
      </c>
      <c r="BX157" s="66" t="n">
        <v>1.17</v>
      </c>
      <c r="BY157" s="67"/>
      <c r="BZ157" s="67"/>
      <c r="CA157" s="67"/>
      <c r="CB157" s="67"/>
      <c r="CC157" s="67"/>
      <c r="CD157" s="67"/>
      <c r="CE157" s="67"/>
      <c r="CF157" s="21" t="s">
        <v>328</v>
      </c>
    </row>
    <row r="158" customFormat="false" ht="15" hidden="false" customHeight="true" outlineLevel="0" collapsed="false">
      <c r="B158" s="46" t="s">
        <v>329</v>
      </c>
      <c r="C158" s="63" t="n">
        <f aca="false">IF(AND(ISNUMBER(C157),ISNUMBER(C155)),ROUND(C155-C157,2),"")</f>
        <v>-0</v>
      </c>
      <c r="D158" s="63" t="n">
        <f aca="false">IF(AND(ISNUMBER(D157),ISNUMBER(D155)),ROUND(D155-D157,2),"")</f>
        <v>-0</v>
      </c>
      <c r="E158" s="63" t="n">
        <f aca="false">IF(AND(ISNUMBER(E157),ISNUMBER(E155)),ROUND(E155-E157,2),"")</f>
        <v>-0</v>
      </c>
      <c r="F158" s="63" t="n">
        <f aca="false">IF(AND(ISNUMBER(F157),ISNUMBER(F155)),ROUND(F155-F157,2),"")</f>
        <v>-0</v>
      </c>
      <c r="G158" s="63" t="n">
        <f aca="false">IF(AND(ISNUMBER(G157),ISNUMBER(G155)),ROUND(G155-G157,2),"")</f>
        <v>-0</v>
      </c>
      <c r="H158" s="63" t="n">
        <f aca="false">IF(AND(ISNUMBER(H157),ISNUMBER(H155)),ROUND(H155-H157,2),"")</f>
        <v>0</v>
      </c>
      <c r="I158" s="63" t="n">
        <f aca="false">IF(AND(ISNUMBER(I157),ISNUMBER(I155)),ROUND(I155-I157,2),"")</f>
        <v>-0</v>
      </c>
      <c r="J158" s="63" t="n">
        <f aca="false">IF(AND(ISNUMBER(J157),ISNUMBER(J155)),ROUND(J155-J157,2),"")</f>
        <v>-0</v>
      </c>
      <c r="K158" s="63" t="n">
        <f aca="false">IF(AND(ISNUMBER(K157),ISNUMBER(K155)),ROUND(K155-K157,2),"")</f>
        <v>0</v>
      </c>
      <c r="L158" s="63" t="n">
        <f aca="false">IF(AND(ISNUMBER(L157),ISNUMBER(L155)),ROUND(L155-L157,2),"")</f>
        <v>-0</v>
      </c>
      <c r="M158" s="63" t="n">
        <f aca="false">IF(AND(ISNUMBER(M157),ISNUMBER(M155)),ROUND(M155-M157,2),"")</f>
        <v>-0</v>
      </c>
      <c r="N158" s="63" t="n">
        <f aca="false">IF(AND(ISNUMBER(N157),ISNUMBER(N155)),ROUND(N155-N157,2),"")</f>
        <v>-0</v>
      </c>
      <c r="O158" s="63" t="n">
        <f aca="false">IF(AND(ISNUMBER(O157),ISNUMBER(O155)),ROUND(O155-O157,2),"")</f>
        <v>0</v>
      </c>
      <c r="P158" s="63" t="n">
        <f aca="false">IF(AND(ISNUMBER(P157),ISNUMBER(P155)),ROUND(P155-P157,2),"")</f>
        <v>0</v>
      </c>
      <c r="Q158" s="63" t="n">
        <f aca="false">IF(AND(ISNUMBER(Q157),ISNUMBER(Q155)),ROUND(Q155-Q157,2),"")</f>
        <v>0</v>
      </c>
      <c r="R158" s="63" t="n">
        <f aca="false">IF(AND(ISNUMBER(R157),ISNUMBER(R155)),ROUND(R155-R157,2),"")</f>
        <v>-0</v>
      </c>
      <c r="S158" s="63" t="n">
        <f aca="false">IF(AND(ISNUMBER(S157),ISNUMBER(S155)),ROUND(S155-S157,2),"")</f>
        <v>0</v>
      </c>
      <c r="T158" s="63" t="n">
        <f aca="false">IF(AND(ISNUMBER(T157),ISNUMBER(T155)),ROUND(T155-T157,2),"")</f>
        <v>-0</v>
      </c>
      <c r="U158" s="63" t="n">
        <f aca="false">IF(AND(ISNUMBER(U157),ISNUMBER(U155)),ROUND(U155-U157,2),"")</f>
        <v>0</v>
      </c>
      <c r="V158" s="63" t="n">
        <f aca="false">IF(AND(ISNUMBER(V157),ISNUMBER(V155)),ROUND(V155-V157,2),"")</f>
        <v>-0</v>
      </c>
      <c r="W158" s="63" t="n">
        <f aca="false">IF(AND(ISNUMBER(W157),ISNUMBER(W155)),ROUND(W155-W157,2),"")</f>
        <v>0</v>
      </c>
      <c r="X158" s="63" t="n">
        <f aca="false">IF(AND(ISNUMBER(X157),ISNUMBER(X155)),ROUND(X155-X157,2),"")</f>
        <v>0</v>
      </c>
      <c r="Y158" s="63" t="n">
        <f aca="false">IF(AND(ISNUMBER(Y157),ISNUMBER(Y155)),ROUND(Y155-Y157,2),"")</f>
        <v>0</v>
      </c>
      <c r="Z158" s="63" t="n">
        <f aca="false">IF(AND(ISNUMBER(Z157),ISNUMBER(Z155)),ROUND(Z155-Z157,2),"")</f>
        <v>-0</v>
      </c>
      <c r="AA158" s="63" t="n">
        <f aca="false">IF(AND(ISNUMBER(AA157),ISNUMBER(AA155)),ROUND(AA155-AA157,2),"")</f>
        <v>0</v>
      </c>
      <c r="AB158" s="63" t="n">
        <f aca="false">IF(AND(ISNUMBER(AB157),ISNUMBER(AB155)),ROUND(AB155-AB157,2),"")</f>
        <v>-0</v>
      </c>
      <c r="AC158" s="63" t="n">
        <f aca="false">IF(AND(ISNUMBER(AC157),ISNUMBER(AC155)),ROUND(AC155-AC157,2),"")</f>
        <v>0</v>
      </c>
      <c r="AD158" s="63" t="n">
        <f aca="false">IF(AND(ISNUMBER(AD157),ISNUMBER(AD155)),ROUND(AD155-AD157,2),"")</f>
        <v>0</v>
      </c>
      <c r="AE158" s="63" t="n">
        <f aca="false">IF(AND(ISNUMBER(AE157),ISNUMBER(AE155)),ROUND(AE155-AE157,2),"")</f>
        <v>-0</v>
      </c>
      <c r="AF158" s="63" t="n">
        <f aca="false">IF(AND(ISNUMBER(AF157),ISNUMBER(AF155)),ROUND(AF155-AF157,2),"")</f>
        <v>-0</v>
      </c>
      <c r="AG158" s="63" t="n">
        <f aca="false">IF(AND(ISNUMBER(AG157),ISNUMBER(AG155)),ROUND(AG155-AG157,2),"")</f>
        <v>0</v>
      </c>
      <c r="AH158" s="63" t="n">
        <f aca="false">IF(AND(ISNUMBER(AH157),ISNUMBER(AH155)),ROUND(AH155-AH157,2),"")</f>
        <v>0</v>
      </c>
      <c r="AI158" s="63" t="n">
        <f aca="false">IF(AND(ISNUMBER(AI157),ISNUMBER(AI155)),ROUND(AI155-AI157,2),"")</f>
        <v>0</v>
      </c>
      <c r="AJ158" s="63" t="n">
        <f aca="false">IF(AND(ISNUMBER(AJ157),ISNUMBER(AJ155)),ROUND(AJ155-AJ157,2),"")</f>
        <v>0</v>
      </c>
      <c r="AK158" s="63" t="n">
        <f aca="false">IF(AND(ISNUMBER(AK157),ISNUMBER(AK155)),ROUND(AK155-AK157,2),"")</f>
        <v>0</v>
      </c>
      <c r="AL158" s="63" t="n">
        <f aca="false">IF(AND(ISNUMBER(AL157),ISNUMBER(AL155)),ROUND(AL155-AL157,2),"")</f>
        <v>0</v>
      </c>
      <c r="AM158" s="63" t="n">
        <f aca="false">IF(AND(ISNUMBER(AM157),ISNUMBER(AM155)),ROUND(AM155-AM157,2),"")</f>
        <v>-0</v>
      </c>
      <c r="AN158" s="63" t="n">
        <f aca="false">IF(AND(ISNUMBER(AN157),ISNUMBER(AN155)),ROUND(AN155-AN157,2),"")</f>
        <v>-0</v>
      </c>
      <c r="AO158" s="63" t="n">
        <f aca="false">IF(AND(ISNUMBER(AO157),ISNUMBER(AO155)),ROUND(AO155-AO157,2),"")</f>
        <v>0</v>
      </c>
      <c r="AP158" s="63" t="n">
        <f aca="false">IF(AND(ISNUMBER(AP157),ISNUMBER(AP155)),ROUND(AP155-AP157,2),"")</f>
        <v>0</v>
      </c>
      <c r="AQ158" s="63" t="n">
        <f aca="false">IF(AND(ISNUMBER(AQ157),ISNUMBER(AQ155)),ROUND(AQ155-AQ157,2),"")</f>
        <v>0</v>
      </c>
      <c r="AR158" s="63" t="n">
        <f aca="false">IF(AND(ISNUMBER(AR157),ISNUMBER(AR155)),ROUND(AR155-AR157,2),"")</f>
        <v>0</v>
      </c>
      <c r="AS158" s="63" t="n">
        <f aca="false">IF(AND(ISNUMBER(AS157),ISNUMBER(AS155)),ROUND(AS155-AS157,2),"")</f>
        <v>0</v>
      </c>
      <c r="AT158" s="63" t="n">
        <f aca="false">IF(AND(ISNUMBER(AT157),ISNUMBER(AT155)),ROUND(AT155-AT157,2),"")</f>
        <v>-0</v>
      </c>
      <c r="AU158" s="63" t="n">
        <f aca="false">IF(AND(ISNUMBER(AU157),ISNUMBER(AU155)),ROUND(AU155-AU157,2),"")</f>
        <v>-0</v>
      </c>
      <c r="AV158" s="63" t="n">
        <f aca="false">IF(AND(ISNUMBER(AV157),ISNUMBER(AV155)),ROUND(AV155-AV157,2),"")</f>
        <v>-0</v>
      </c>
      <c r="AW158" s="63" t="n">
        <f aca="false">IF(AND(ISNUMBER(AW157),ISNUMBER(AW155)),ROUND(AW155-AW157,2),"")</f>
        <v>-0</v>
      </c>
      <c r="AX158" s="63" t="n">
        <f aca="false">IF(AND(ISNUMBER(AX157),ISNUMBER(AX155)),ROUND(AX155-AX157,2),"")</f>
        <v>-0</v>
      </c>
      <c r="AY158" s="63" t="n">
        <f aca="false">IF(AND(ISNUMBER(AY157),ISNUMBER(AY155)),ROUND(AY155-AY157,2),"")</f>
        <v>-0</v>
      </c>
      <c r="AZ158" s="63" t="n">
        <f aca="false">IF(AND(ISNUMBER(AZ157),ISNUMBER(AZ155)),ROUND(AZ155-AZ157,2),"")</f>
        <v>-0</v>
      </c>
      <c r="BA158" s="63" t="n">
        <f aca="false">IF(AND(ISNUMBER(BA157),ISNUMBER(BA155)),ROUND(BA155-BA157,2),"")</f>
        <v>-0</v>
      </c>
      <c r="BB158" s="63" t="n">
        <f aca="false">IF(AND(ISNUMBER(BB157),ISNUMBER(BB155)),ROUND(BB155-BB157,2),"")</f>
        <v>0</v>
      </c>
      <c r="BC158" s="63" t="n">
        <f aca="false">IF(AND(ISNUMBER(BC157),ISNUMBER(BC155)),ROUND(BC155-BC157,2),"")</f>
        <v>0</v>
      </c>
      <c r="BD158" s="63" t="n">
        <f aca="false">IF(AND(ISNUMBER(BD157),ISNUMBER(BD155)),ROUND(BD155-BD157,2),"")</f>
        <v>-0</v>
      </c>
      <c r="BE158" s="63" t="n">
        <f aca="false">IF(AND(ISNUMBER(BE157),ISNUMBER(BE155)),ROUND(BE155-BE157,2),"")</f>
        <v>-0</v>
      </c>
      <c r="BF158" s="63" t="n">
        <f aca="false">IF(AND(ISNUMBER(BF157),ISNUMBER(BF155)),ROUND(BF155-BF157,2),"")</f>
        <v>0</v>
      </c>
      <c r="BG158" s="63" t="n">
        <f aca="false">IF(AND(ISNUMBER(BG157),ISNUMBER(BG155)),ROUND(BG155-BG157,2),"")</f>
        <v>-0</v>
      </c>
      <c r="BH158" s="63" t="n">
        <f aca="false">IF(AND(ISNUMBER(BH157),ISNUMBER(BH155)),ROUND(BH155-BH157,2),"")</f>
        <v>-0</v>
      </c>
      <c r="BI158" s="63" t="n">
        <f aca="false">IF(AND(ISNUMBER(BI157),ISNUMBER(BI155)),ROUND(BI155-BI157,2),"")</f>
        <v>0</v>
      </c>
      <c r="BJ158" s="63" t="n">
        <f aca="false">IF(AND(ISNUMBER(BJ157),ISNUMBER(BJ155)),ROUND(BJ155-BJ157,2),"")</f>
        <v>-0</v>
      </c>
      <c r="BK158" s="63" t="n">
        <f aca="false">IF(AND(ISNUMBER(BK157),ISNUMBER(BK155)),ROUND(BK155-BK157,2),"")</f>
        <v>0</v>
      </c>
      <c r="BL158" s="63" t="n">
        <f aca="false">IF(AND(ISNUMBER(BL157),ISNUMBER(BL155)),ROUND(BL155-BL157,2),"")</f>
        <v>0</v>
      </c>
      <c r="BM158" s="63" t="n">
        <f aca="false">IF(AND(ISNUMBER(BM157),ISNUMBER(BM155)),ROUND(BM155-BM157,2),"")</f>
        <v>0</v>
      </c>
      <c r="BN158" s="63" t="n">
        <f aca="false">IF(AND(ISNUMBER(BN157),ISNUMBER(BN155)),ROUND(BN155-BN157,2),"")</f>
        <v>-0</v>
      </c>
      <c r="BO158" s="63" t="n">
        <f aca="false">IF(AND(ISNUMBER(BO157),ISNUMBER(BO155)),ROUND(BO155-BO157,2),"")</f>
        <v>0</v>
      </c>
      <c r="BP158" s="63" t="n">
        <f aca="false">IF(AND(ISNUMBER(BP157),ISNUMBER(BP155)),ROUND(BP155-BP157,2),"")</f>
        <v>0</v>
      </c>
      <c r="BQ158" s="63" t="n">
        <f aca="false">IF(AND(ISNUMBER(BQ157),ISNUMBER(BQ155)),ROUND(BQ155-BQ157,2),"")</f>
        <v>-0</v>
      </c>
      <c r="BR158" s="63" t="n">
        <f aca="false">IF(AND(ISNUMBER(BR157),ISNUMBER(BR155)),ROUND(BR155-BR157,2),"")</f>
        <v>0</v>
      </c>
      <c r="BS158" s="63" t="n">
        <f aca="false">IF(AND(ISNUMBER(BS157),ISNUMBER(BS155)),ROUND(BS155-BS157,2),"")</f>
        <v>0</v>
      </c>
      <c r="BT158" s="63" t="n">
        <f aca="false">IF(AND(ISNUMBER(BT157),ISNUMBER(BT155)),ROUND(BT155-BT157,2),"")</f>
        <v>0</v>
      </c>
      <c r="BU158" s="63" t="n">
        <f aca="false">IF(AND(ISNUMBER(BU157),ISNUMBER(BU155)),ROUND(BU155-BU157,2),"")</f>
        <v>-0</v>
      </c>
      <c r="BV158" s="63" t="n">
        <f aca="false">IF(AND(ISNUMBER(BV157),ISNUMBER(BV155)),ROUND(BV155-BV157,2),"")</f>
        <v>0</v>
      </c>
      <c r="BW158" s="63" t="n">
        <f aca="false">IF(AND(ISNUMBER(BW157),ISNUMBER(BW155)),ROUND(BW155-BW157,2),"")</f>
        <v>-0</v>
      </c>
      <c r="BX158" s="63" t="n">
        <f aca="false">IF(AND(ISNUMBER(BX157),ISNUMBER(BX155)),ROUND(BX155-BX157,2),"")</f>
        <v>-0</v>
      </c>
      <c r="BY158" s="67"/>
      <c r="BZ158" s="67"/>
      <c r="CA158" s="67"/>
      <c r="CB158" s="67"/>
      <c r="CC158" s="67"/>
      <c r="CD158" s="67"/>
      <c r="CE158" s="67"/>
      <c r="CF158" s="21"/>
    </row>
    <row r="159" customFormat="false" ht="15" hidden="false" customHeight="true" outlineLevel="0" collapsed="false">
      <c r="B159" s="24" t="s">
        <v>330</v>
      </c>
      <c r="C159" s="66" t="n">
        <v>1.65</v>
      </c>
      <c r="D159" s="66" t="n">
        <v>1.42</v>
      </c>
      <c r="E159" s="66" t="n">
        <v>1.48</v>
      </c>
      <c r="F159" s="66" t="n">
        <v>1.37</v>
      </c>
      <c r="G159" s="66" t="n">
        <v>1.16</v>
      </c>
      <c r="H159" s="66" t="n">
        <v>1.45</v>
      </c>
      <c r="I159" s="66" t="n">
        <v>1.31</v>
      </c>
      <c r="J159" s="66" t="n">
        <v>0.34</v>
      </c>
      <c r="K159" s="66" t="n">
        <v>0.35</v>
      </c>
      <c r="L159" s="66" t="n">
        <v>0.49</v>
      </c>
      <c r="M159" s="66" t="n">
        <v>0.4</v>
      </c>
      <c r="N159" s="66" t="n">
        <v>1.58</v>
      </c>
      <c r="O159" s="66" t="n">
        <v>0.39</v>
      </c>
      <c r="P159" s="66" t="n">
        <v>0.5</v>
      </c>
      <c r="Q159" s="66" t="n">
        <v>0.48</v>
      </c>
      <c r="R159" s="66" t="n">
        <v>0.49</v>
      </c>
      <c r="S159" s="66" t="n">
        <v>1.86</v>
      </c>
      <c r="T159" s="66" t="n">
        <v>0.42</v>
      </c>
      <c r="U159" s="66" t="n">
        <v>0.46</v>
      </c>
      <c r="V159" s="66" t="n">
        <v>-2.08</v>
      </c>
      <c r="W159" s="66" t="n">
        <v>0.42</v>
      </c>
      <c r="X159" s="66" t="n">
        <v>-0.78</v>
      </c>
      <c r="Y159" s="66" t="n">
        <v>0.36</v>
      </c>
      <c r="Z159" s="66" t="n">
        <v>0.2</v>
      </c>
      <c r="AA159" s="66" t="n">
        <v>0.5</v>
      </c>
      <c r="AB159" s="66" t="n">
        <v>0.49</v>
      </c>
      <c r="AC159" s="66" t="n">
        <v>1.6</v>
      </c>
      <c r="AD159" s="66" t="n">
        <v>0.08</v>
      </c>
      <c r="AE159" s="66" t="n">
        <v>0.47</v>
      </c>
      <c r="AF159" s="66" t="n">
        <v>0.47</v>
      </c>
      <c r="AG159" s="66" t="n">
        <v>1.19</v>
      </c>
      <c r="AH159" s="66" t="n">
        <v>2.18</v>
      </c>
      <c r="AI159" s="66" t="n">
        <v>0.47</v>
      </c>
      <c r="AJ159" s="66" t="n">
        <v>0.52</v>
      </c>
      <c r="AK159" s="66" t="n">
        <v>0.57</v>
      </c>
      <c r="AL159" s="66" t="n">
        <v>0.5</v>
      </c>
      <c r="AM159" s="66" t="n">
        <v>2.07</v>
      </c>
      <c r="AN159" s="66" t="n">
        <v>0.48</v>
      </c>
      <c r="AO159" s="66" t="n">
        <v>0.56</v>
      </c>
      <c r="AP159" s="66" t="n">
        <v>0.6</v>
      </c>
      <c r="AQ159" s="66" t="n">
        <v>0.5</v>
      </c>
      <c r="AR159" s="66" t="n">
        <v>2.14</v>
      </c>
      <c r="AS159" s="66" t="n">
        <v>0.54</v>
      </c>
      <c r="AT159" s="66" t="n">
        <v>-0.86</v>
      </c>
      <c r="AU159" s="66" t="n">
        <v>0.6</v>
      </c>
      <c r="AV159" s="66" t="n">
        <v>0.5</v>
      </c>
      <c r="AW159" s="66" t="n">
        <v>0.78</v>
      </c>
      <c r="AX159" s="66" t="n">
        <v>0.61</v>
      </c>
      <c r="AY159" s="66" t="n">
        <v>0.68</v>
      </c>
      <c r="AZ159" s="66" t="n">
        <v>0.44</v>
      </c>
      <c r="BA159" s="66" t="n">
        <v>0.64</v>
      </c>
      <c r="BB159" s="66" t="n">
        <v>2.36</v>
      </c>
      <c r="BC159" s="66" t="n">
        <v>0.69</v>
      </c>
      <c r="BD159" s="66" t="n">
        <v>0.87</v>
      </c>
      <c r="BE159" s="66" t="n">
        <v>0.92</v>
      </c>
      <c r="BF159" s="66" t="n">
        <v>0.75</v>
      </c>
      <c r="BG159" s="66" t="n">
        <v>3.24</v>
      </c>
      <c r="BH159" s="66" t="n">
        <v>0.77</v>
      </c>
      <c r="BI159" s="66" t="n">
        <v>0.81</v>
      </c>
      <c r="BJ159" s="66" t="n">
        <v>0.89</v>
      </c>
      <c r="BK159" s="66" t="n">
        <v>0.49</v>
      </c>
      <c r="BL159" s="66" t="n">
        <v>2.95</v>
      </c>
      <c r="BM159" s="66" t="n">
        <v>0.89</v>
      </c>
      <c r="BN159" s="66" t="n">
        <v>1.07</v>
      </c>
      <c r="BO159" s="66" t="n">
        <v>1.19</v>
      </c>
      <c r="BP159" s="66" t="n">
        <v>-0.76</v>
      </c>
      <c r="BQ159" s="66" t="n">
        <v>2.39</v>
      </c>
      <c r="BR159" s="66" t="n">
        <v>0.93</v>
      </c>
      <c r="BS159" s="66" t="n">
        <v>1.12</v>
      </c>
      <c r="BT159" s="66" t="n">
        <v>1.11</v>
      </c>
      <c r="BU159" s="66" t="n">
        <v>1.01</v>
      </c>
      <c r="BV159" s="66" t="n">
        <v>4.17</v>
      </c>
      <c r="BW159" s="66" t="n">
        <v>0.86</v>
      </c>
      <c r="BX159" s="66" t="n">
        <v>1.17</v>
      </c>
      <c r="BY159" s="67"/>
      <c r="BZ159" s="67"/>
      <c r="CA159" s="67"/>
      <c r="CB159" s="67"/>
      <c r="CC159" s="67"/>
      <c r="CD159" s="67"/>
      <c r="CE159" s="67"/>
      <c r="CF159" s="21"/>
    </row>
    <row r="160" customFormat="false" ht="15" hidden="false" customHeight="true" outlineLevel="0" collapsed="false">
      <c r="B160" s="29" t="s">
        <v>331</v>
      </c>
      <c r="C160" s="66" t="n">
        <v>0</v>
      </c>
      <c r="D160" s="66" t="n">
        <v>0</v>
      </c>
      <c r="E160" s="66" t="n">
        <v>0</v>
      </c>
      <c r="F160" s="66" t="n">
        <v>0</v>
      </c>
      <c r="G160" s="66" t="n">
        <v>0.05</v>
      </c>
      <c r="H160" s="66" t="n">
        <v>0.21</v>
      </c>
      <c r="I160" s="66" t="n">
        <v>0.246667</v>
      </c>
      <c r="J160" s="66" t="n">
        <v>0.066667</v>
      </c>
      <c r="K160" s="66" t="n">
        <v>0.066667</v>
      </c>
      <c r="L160" s="66" t="n">
        <v>0.066667</v>
      </c>
      <c r="M160" s="66" t="n">
        <v>0.076667</v>
      </c>
      <c r="N160" s="66" t="n">
        <v>0.276667</v>
      </c>
      <c r="O160" s="66" t="n">
        <v>0.076667</v>
      </c>
      <c r="P160" s="66" t="n">
        <v>0.076667</v>
      </c>
      <c r="Q160" s="66" t="n">
        <v>0.076667</v>
      </c>
      <c r="R160" s="66" t="n">
        <v>0.086667</v>
      </c>
      <c r="S160" s="66" t="n">
        <v>0.316667</v>
      </c>
      <c r="T160" s="66" t="n">
        <v>0.086667</v>
      </c>
      <c r="U160" s="66" t="n">
        <v>0.086667</v>
      </c>
      <c r="V160" s="66" t="n">
        <v>0.086667</v>
      </c>
      <c r="W160" s="66" t="n">
        <v>0.096667</v>
      </c>
      <c r="X160" s="66" t="n">
        <v>0.356667</v>
      </c>
      <c r="Y160" s="66" t="n">
        <v>0.096667</v>
      </c>
      <c r="Z160" s="66" t="n">
        <v>0.096667</v>
      </c>
      <c r="AA160" s="66" t="n">
        <v>0.096667</v>
      </c>
      <c r="AB160" s="66" t="n">
        <v>0.12</v>
      </c>
      <c r="AC160" s="66" t="n">
        <v>0.41</v>
      </c>
      <c r="AD160" s="66" t="n">
        <v>0.12</v>
      </c>
      <c r="AE160" s="66" t="n">
        <v>0.12</v>
      </c>
      <c r="AF160" s="66" t="n">
        <v>0.12</v>
      </c>
      <c r="AG160" s="66" t="n">
        <v>0.14</v>
      </c>
      <c r="AH160" s="66" t="n">
        <v>0.5</v>
      </c>
      <c r="AI160" s="66" t="n">
        <v>0.14</v>
      </c>
      <c r="AJ160" s="66" t="n">
        <v>0.14</v>
      </c>
      <c r="AK160" s="66" t="n">
        <v>0.14</v>
      </c>
      <c r="AL160" s="66" t="n">
        <v>0.16</v>
      </c>
      <c r="AM160" s="66" t="n">
        <v>0.58</v>
      </c>
      <c r="AN160" s="66" t="n">
        <v>0.16</v>
      </c>
      <c r="AO160" s="66" t="n">
        <v>0.16</v>
      </c>
      <c r="AP160" s="66" t="n">
        <v>0.16</v>
      </c>
      <c r="AQ160" s="66" t="n">
        <v>0.185</v>
      </c>
      <c r="AR160" s="66" t="n">
        <v>0.665</v>
      </c>
      <c r="AS160" s="66" t="n">
        <v>0.185</v>
      </c>
      <c r="AT160" s="66" t="n">
        <v>0.185</v>
      </c>
      <c r="AU160" s="66" t="n">
        <v>0.185</v>
      </c>
      <c r="AV160" s="66" t="n">
        <v>0.205</v>
      </c>
      <c r="AW160" s="66" t="n">
        <v>0.76</v>
      </c>
      <c r="AX160" s="66" t="n">
        <v>0.205</v>
      </c>
      <c r="AY160" s="66" t="n">
        <v>0.205</v>
      </c>
      <c r="AZ160" s="66" t="n">
        <v>0.205</v>
      </c>
      <c r="BA160" s="66" t="n">
        <v>0.23</v>
      </c>
      <c r="BB160" s="66" t="n">
        <v>0.845</v>
      </c>
      <c r="BC160" s="66" t="n">
        <v>0.23</v>
      </c>
      <c r="BD160" s="66" t="n">
        <v>0.23</v>
      </c>
      <c r="BE160" s="66" t="n">
        <v>0.23</v>
      </c>
      <c r="BF160" s="66" t="n">
        <v>0.255</v>
      </c>
      <c r="BG160" s="66" t="n">
        <v>0.945</v>
      </c>
      <c r="BH160" s="66" t="n">
        <v>0.255</v>
      </c>
      <c r="BI160" s="66" t="n">
        <v>0.255</v>
      </c>
      <c r="BJ160" s="66" t="n">
        <v>0.255</v>
      </c>
      <c r="BK160" s="66" t="n">
        <v>0.285</v>
      </c>
      <c r="BL160" s="66" t="n">
        <v>1.05</v>
      </c>
      <c r="BM160" s="66" t="n">
        <v>0.285</v>
      </c>
      <c r="BN160" s="66" t="n">
        <v>0.285</v>
      </c>
      <c r="BO160" s="66" t="n">
        <v>0.285</v>
      </c>
      <c r="BP160" s="66" t="n">
        <v>0.315</v>
      </c>
      <c r="BQ160" s="66" t="n">
        <v>1.17</v>
      </c>
      <c r="BR160" s="66" t="n">
        <v>0.315</v>
      </c>
      <c r="BS160" s="66" t="n">
        <v>0.315</v>
      </c>
      <c r="BT160" s="66" t="n">
        <v>0.315</v>
      </c>
      <c r="BU160" s="66" t="n">
        <v>0.35</v>
      </c>
      <c r="BV160" s="66" t="n">
        <v>1.295</v>
      </c>
      <c r="BW160" s="66" t="n">
        <v>0.35</v>
      </c>
      <c r="BX160" s="66" t="n">
        <v>0.35</v>
      </c>
      <c r="BY160" s="64" t="n">
        <f aca="false">$BX$160</f>
        <v>0.35</v>
      </c>
      <c r="BZ160" s="64" t="n">
        <f aca="false">$BX$160*(1+CA161)</f>
        <v>0.385</v>
      </c>
      <c r="CA160" s="64" t="n">
        <f aca="false">SUM(BW160,BX160,BY160,BZ160)</f>
        <v>1.435</v>
      </c>
      <c r="CB160" s="64" t="n">
        <f aca="false">CA160*(1+CB161)</f>
        <v>1.5785</v>
      </c>
      <c r="CC160" s="64" t="n">
        <f aca="false">CB160*(1+CC161)</f>
        <v>1.73635</v>
      </c>
      <c r="CD160" s="64" t="n">
        <f aca="false">CC160*(1+CD161)</f>
        <v>1.909985</v>
      </c>
      <c r="CE160" s="64" t="n">
        <f aca="false">CD160*(1+CE161)</f>
        <v>2.1009835</v>
      </c>
      <c r="CF160" s="21" t="s">
        <v>332</v>
      </c>
      <c r="CH160" s="22" t="n">
        <f aca="false">IFERROR((CE160/BV160)^(1/5)-1,"n/m")</f>
        <v>0.101616861464485</v>
      </c>
      <c r="CI160" s="22" t="n">
        <f aca="false">IFERROR((BV160/AW160)^(1/5)-1,"n/m")</f>
        <v>0.112477497815114</v>
      </c>
      <c r="CJ160" s="22" t="n">
        <f aca="false">IFERROR((BV160/X160)^(1/10)-1,"n/m")</f>
        <v>0.137629077438802</v>
      </c>
      <c r="CK160" s="22" t="str">
        <f aca="false">IFERROR((BV160/C160)^(1/19)-1,"n/m")</f>
        <v>n/m</v>
      </c>
    </row>
    <row r="161" customFormat="false" ht="15" hidden="false" customHeight="true" outlineLevel="0" collapsed="false">
      <c r="B161" s="34" t="s">
        <v>333</v>
      </c>
      <c r="C161" s="35"/>
      <c r="D161" s="36" t="str">
        <f aca="false">IF(AND(ISNUMBER(D160),ISNUMBER(C160)),IFERROR(D160/C160-1,""),"")</f>
        <v/>
      </c>
      <c r="E161" s="36" t="str">
        <f aca="false">IF(AND(ISNUMBER(E160),ISNUMBER(D160)),IFERROR(E160/D160-1,""),"")</f>
        <v/>
      </c>
      <c r="F161" s="36" t="str">
        <f aca="false">IF(AND(ISNUMBER(F160),ISNUMBER(E160)),IFERROR(F160/E160-1,""),"")</f>
        <v/>
      </c>
      <c r="G161" s="36" t="str">
        <f aca="false">IF(AND(ISNUMBER(G160),ISNUMBER(F160)),IFERROR(G160/F160-1,""),"")</f>
        <v/>
      </c>
      <c r="H161" s="36" t="n">
        <f aca="false">IF(AND(ISNUMBER(H160),ISNUMBER(G160)),IFERROR(H160/G160-1,""),"")</f>
        <v>3.2</v>
      </c>
      <c r="I161" s="36" t="n">
        <f aca="false">IF(AND(ISNUMBER(I160),ISNUMBER(H160)),IFERROR(I160/H160-1,""),"")</f>
        <v>0.174604761904762</v>
      </c>
      <c r="J161" s="35"/>
      <c r="K161" s="35"/>
      <c r="L161" s="35"/>
      <c r="M161" s="35"/>
      <c r="N161" s="36" t="n">
        <f aca="false">IF(AND(ISNUMBER(N160),ISNUMBER(I160)),IFERROR(N160/I160-1,""),"")</f>
        <v>0.121621457268301</v>
      </c>
      <c r="O161" s="36" t="n">
        <f aca="false">IF(AND(ISNUMBER(O160),ISNUMBER(J160)),IFERROR(O160/J160-1,""),"")</f>
        <v>0.14999925000375</v>
      </c>
      <c r="P161" s="36" t="n">
        <f aca="false">IF(AND(ISNUMBER(P160),ISNUMBER(K160)),IFERROR(P160/K160-1,""),"")</f>
        <v>0.14999925000375</v>
      </c>
      <c r="Q161" s="36" t="n">
        <f aca="false">IF(AND(ISNUMBER(Q160),ISNUMBER(L160)),IFERROR(Q160/L160-1,""),"")</f>
        <v>0.14999925000375</v>
      </c>
      <c r="R161" s="36" t="n">
        <f aca="false">IF(AND(ISNUMBER(R160),ISNUMBER(M160)),IFERROR(R160/M160-1,""),"")</f>
        <v>0.130434215503411</v>
      </c>
      <c r="S161" s="36" t="n">
        <f aca="false">IF(AND(ISNUMBER(S160),ISNUMBER(N160)),IFERROR(S160/N160-1,""),"")</f>
        <v>0.144578139062483</v>
      </c>
      <c r="T161" s="36" t="n">
        <f aca="false">IF(AND(ISNUMBER(T160),ISNUMBER(O160)),IFERROR(T160/O160-1,""),"")</f>
        <v>0.130434215503411</v>
      </c>
      <c r="U161" s="36" t="n">
        <f aca="false">IF(AND(ISNUMBER(U160),ISNUMBER(P160)),IFERROR(U160/P160-1,""),"")</f>
        <v>0.130434215503411</v>
      </c>
      <c r="V161" s="36" t="n">
        <f aca="false">IF(AND(ISNUMBER(V160),ISNUMBER(Q160)),IFERROR(V160/Q160-1,""),"")</f>
        <v>0.130434215503411</v>
      </c>
      <c r="W161" s="36" t="n">
        <f aca="false">IF(AND(ISNUMBER(W160),ISNUMBER(R160)),IFERROR(W160/R160-1,""),"")</f>
        <v>0.11538417159934</v>
      </c>
      <c r="X161" s="36" t="n">
        <f aca="false">IF(AND(ISNUMBER(X160),ISNUMBER(S160)),IFERROR(X160/S160-1,""),"")</f>
        <v>0.126315656509835</v>
      </c>
      <c r="Y161" s="36" t="n">
        <f aca="false">IF(AND(ISNUMBER(Y160),ISNUMBER(T160)),IFERROR(Y160/T160-1,""),"")</f>
        <v>0.11538417159934</v>
      </c>
      <c r="Z161" s="36" t="n">
        <f aca="false">IF(AND(ISNUMBER(Z160),ISNUMBER(U160)),IFERROR(Z160/U160-1,""),"")</f>
        <v>0.11538417159934</v>
      </c>
      <c r="AA161" s="36" t="n">
        <f aca="false">IF(AND(ISNUMBER(AA160),ISNUMBER(V160)),IFERROR(AA160/V160-1,""),"")</f>
        <v>0.11538417159934</v>
      </c>
      <c r="AB161" s="36" t="n">
        <f aca="false">IF(AND(ISNUMBER(AB160),ISNUMBER(W160)),IFERROR(AB160/W160-1,""),"")</f>
        <v>0.241375029741277</v>
      </c>
      <c r="AC161" s="36" t="n">
        <f aca="false">IF(AND(ISNUMBER(AC160),ISNUMBER(X160)),IFERROR(AC160/X160-1,""),"")</f>
        <v>0.149531635951742</v>
      </c>
      <c r="AD161" s="36" t="n">
        <f aca="false">IF(AND(ISNUMBER(AD160),ISNUMBER(Y160)),IFERROR(AD160/Y160-1,""),"")</f>
        <v>0.241375029741277</v>
      </c>
      <c r="AE161" s="36" t="n">
        <f aca="false">IF(AND(ISNUMBER(AE160),ISNUMBER(Z160)),IFERROR(AE160/Z160-1,""),"")</f>
        <v>0.241375029741277</v>
      </c>
      <c r="AF161" s="36" t="n">
        <f aca="false">IF(AND(ISNUMBER(AF160),ISNUMBER(AA160)),IFERROR(AF160/AA160-1,""),"")</f>
        <v>0.241375029741277</v>
      </c>
      <c r="AG161" s="36" t="n">
        <f aca="false">IF(AND(ISNUMBER(AG160),ISNUMBER(AB160)),IFERROR(AG160/AB160-1,""),"")</f>
        <v>0.166666666666667</v>
      </c>
      <c r="AH161" s="36" t="n">
        <f aca="false">IF(AND(ISNUMBER(AH160),ISNUMBER(AC160)),IFERROR(AH160/AC160-1,""),"")</f>
        <v>0.219512195121951</v>
      </c>
      <c r="AI161" s="36" t="n">
        <f aca="false">IF(AND(ISNUMBER(AI160),ISNUMBER(AD160)),IFERROR(AI160/AD160-1,""),"")</f>
        <v>0.166666666666667</v>
      </c>
      <c r="AJ161" s="36" t="n">
        <f aca="false">IF(AND(ISNUMBER(AJ160),ISNUMBER(AE160)),IFERROR(AJ160/AE160-1,""),"")</f>
        <v>0.166666666666667</v>
      </c>
      <c r="AK161" s="36" t="n">
        <f aca="false">IF(AND(ISNUMBER(AK160),ISNUMBER(AF160)),IFERROR(AK160/AF160-1,""),"")</f>
        <v>0.166666666666667</v>
      </c>
      <c r="AL161" s="36" t="n">
        <f aca="false">IF(AND(ISNUMBER(AL160),ISNUMBER(AG160)),IFERROR(AL160/AG160-1,""),"")</f>
        <v>0.142857142857143</v>
      </c>
      <c r="AM161" s="36" t="n">
        <f aca="false">IF(AND(ISNUMBER(AM160),ISNUMBER(AH160)),IFERROR(AM160/AH160-1,""),"")</f>
        <v>0.16</v>
      </c>
      <c r="AN161" s="36" t="n">
        <f aca="false">IF(AND(ISNUMBER(AN160),ISNUMBER(AI160)),IFERROR(AN160/AI160-1,""),"")</f>
        <v>0.142857142857143</v>
      </c>
      <c r="AO161" s="36" t="n">
        <f aca="false">IF(AND(ISNUMBER(AO160),ISNUMBER(AJ160)),IFERROR(AO160/AJ160-1,""),"")</f>
        <v>0.142857142857143</v>
      </c>
      <c r="AP161" s="36" t="n">
        <f aca="false">IF(AND(ISNUMBER(AP160),ISNUMBER(AK160)),IFERROR(AP160/AK160-1,""),"")</f>
        <v>0.142857142857143</v>
      </c>
      <c r="AQ161" s="36" t="n">
        <f aca="false">IF(AND(ISNUMBER(AQ160),ISNUMBER(AL160)),IFERROR(AQ160/AL160-1,""),"")</f>
        <v>0.15625</v>
      </c>
      <c r="AR161" s="36" t="n">
        <f aca="false">IF(AND(ISNUMBER(AR160),ISNUMBER(AM160)),IFERROR(AR160/AM160-1,""),"")</f>
        <v>0.146551724137931</v>
      </c>
      <c r="AS161" s="36" t="n">
        <f aca="false">IF(AND(ISNUMBER(AS160),ISNUMBER(AN160)),IFERROR(AS160/AN160-1,""),"")</f>
        <v>0.15625</v>
      </c>
      <c r="AT161" s="36" t="n">
        <f aca="false">IF(AND(ISNUMBER(AT160),ISNUMBER(AO160)),IFERROR(AT160/AO160-1,""),"")</f>
        <v>0.15625</v>
      </c>
      <c r="AU161" s="36" t="n">
        <f aca="false">IF(AND(ISNUMBER(AU160),ISNUMBER(AP160)),IFERROR(AU160/AP160-1,""),"")</f>
        <v>0.15625</v>
      </c>
      <c r="AV161" s="36" t="n">
        <f aca="false">IF(AND(ISNUMBER(AV160),ISNUMBER(AQ160)),IFERROR(AV160/AQ160-1,""),"")</f>
        <v>0.108108108108108</v>
      </c>
      <c r="AW161" s="36" t="n">
        <f aca="false">IF(AND(ISNUMBER(AW160),ISNUMBER(AR160)),IFERROR(AW160/AR160-1,""),"")</f>
        <v>0.142857142857143</v>
      </c>
      <c r="AX161" s="36" t="n">
        <f aca="false">IF(AND(ISNUMBER(AX160),ISNUMBER(AS160)),IFERROR(AX160/AS160-1,""),"")</f>
        <v>0.108108108108108</v>
      </c>
      <c r="AY161" s="36" t="n">
        <f aca="false">IF(AND(ISNUMBER(AY160),ISNUMBER(AT160)),IFERROR(AY160/AT160-1,""),"")</f>
        <v>0.108108108108108</v>
      </c>
      <c r="AZ161" s="36" t="n">
        <f aca="false">IF(AND(ISNUMBER(AZ160),ISNUMBER(AU160)),IFERROR(AZ160/AU160-1,""),"")</f>
        <v>0.108108108108108</v>
      </c>
      <c r="BA161" s="36" t="n">
        <f aca="false">IF(AND(ISNUMBER(BA160),ISNUMBER(AV160)),IFERROR(BA160/AV160-1,""),"")</f>
        <v>0.121951219512195</v>
      </c>
      <c r="BB161" s="36" t="n">
        <f aca="false">IF(AND(ISNUMBER(BB160),ISNUMBER(AW160)),IFERROR(BB160/AW160-1,""),"")</f>
        <v>0.111842105263158</v>
      </c>
      <c r="BC161" s="36" t="n">
        <f aca="false">IF(AND(ISNUMBER(BC160),ISNUMBER(AX160)),IFERROR(BC160/AX160-1,""),"")</f>
        <v>0.121951219512195</v>
      </c>
      <c r="BD161" s="36" t="n">
        <f aca="false">IF(AND(ISNUMBER(BD160),ISNUMBER(AY160)),IFERROR(BD160/AY160-1,""),"")</f>
        <v>0.121951219512195</v>
      </c>
      <c r="BE161" s="36" t="n">
        <f aca="false">IF(AND(ISNUMBER(BE160),ISNUMBER(AZ160)),IFERROR(BE160/AZ160-1,""),"")</f>
        <v>0.121951219512195</v>
      </c>
      <c r="BF161" s="36" t="n">
        <f aca="false">IF(AND(ISNUMBER(BF160),ISNUMBER(BA160)),IFERROR(BF160/BA160-1,""),"")</f>
        <v>0.108695652173913</v>
      </c>
      <c r="BG161" s="36" t="n">
        <f aca="false">IF(AND(ISNUMBER(BG160),ISNUMBER(BB160)),IFERROR(BG160/BB160-1,""),"")</f>
        <v>0.118343195266272</v>
      </c>
      <c r="BH161" s="36" t="n">
        <f aca="false">IF(AND(ISNUMBER(BH160),ISNUMBER(BC160)),IFERROR(BH160/BC160-1,""),"")</f>
        <v>0.108695652173913</v>
      </c>
      <c r="BI161" s="36" t="n">
        <f aca="false">IF(AND(ISNUMBER(BI160),ISNUMBER(BD160)),IFERROR(BI160/BD160-1,""),"")</f>
        <v>0.108695652173913</v>
      </c>
      <c r="BJ161" s="36" t="n">
        <f aca="false">IF(AND(ISNUMBER(BJ160),ISNUMBER(BE160)),IFERROR(BJ160/BE160-1,""),"")</f>
        <v>0.108695652173913</v>
      </c>
      <c r="BK161" s="36" t="n">
        <f aca="false">IF(AND(ISNUMBER(BK160),ISNUMBER(BF160)),IFERROR(BK160/BF160-1,""),"")</f>
        <v>0.117647058823529</v>
      </c>
      <c r="BL161" s="36" t="n">
        <f aca="false">IF(AND(ISNUMBER(BL160),ISNUMBER(BG160)),IFERROR(BL160/BG160-1,""),"")</f>
        <v>0.111111111111111</v>
      </c>
      <c r="BM161" s="36" t="n">
        <f aca="false">IF(AND(ISNUMBER(BM160),ISNUMBER(BH160)),IFERROR(BM160/BH160-1,""),"")</f>
        <v>0.117647058823529</v>
      </c>
      <c r="BN161" s="36" t="n">
        <f aca="false">IF(AND(ISNUMBER(BN160),ISNUMBER(BI160)),IFERROR(BN160/BI160-1,""),"")</f>
        <v>0.117647058823529</v>
      </c>
      <c r="BO161" s="36" t="n">
        <f aca="false">IF(AND(ISNUMBER(BO160),ISNUMBER(BJ160)),IFERROR(BO160/BJ160-1,""),"")</f>
        <v>0.117647058823529</v>
      </c>
      <c r="BP161" s="36" t="n">
        <f aca="false">IF(AND(ISNUMBER(BP160),ISNUMBER(BK160)),IFERROR(BP160/BK160-1,""),"")</f>
        <v>0.105263157894737</v>
      </c>
      <c r="BQ161" s="36" t="n">
        <f aca="false">IF(AND(ISNUMBER(BQ160),ISNUMBER(BL160)),IFERROR(BQ160/BL160-1,""),"")</f>
        <v>0.114285714285714</v>
      </c>
      <c r="BR161" s="36" t="n">
        <f aca="false">IF(AND(ISNUMBER(BR160),ISNUMBER(BM160)),IFERROR(BR160/BM160-1,""),"")</f>
        <v>0.105263157894737</v>
      </c>
      <c r="BS161" s="36" t="n">
        <f aca="false">IF(AND(ISNUMBER(BS160),ISNUMBER(BN160)),IFERROR(BS160/BN160-1,""),"")</f>
        <v>0.105263157894737</v>
      </c>
      <c r="BT161" s="36" t="n">
        <f aca="false">IF(AND(ISNUMBER(BT160),ISNUMBER(BO160)),IFERROR(BT160/BO160-1,""),"")</f>
        <v>0.105263157894737</v>
      </c>
      <c r="BU161" s="36" t="n">
        <f aca="false">IF(AND(ISNUMBER(BU160),ISNUMBER(BP160)),IFERROR(BU160/BP160-1,""),"")</f>
        <v>0.111111111111111</v>
      </c>
      <c r="BV161" s="36" t="n">
        <f aca="false">IF(AND(ISNUMBER(BV160),ISNUMBER(BQ160)),IFERROR(BV160/BQ160-1,""),"")</f>
        <v>0.106837606837607</v>
      </c>
      <c r="BW161" s="36" t="n">
        <f aca="false">IF(AND(ISNUMBER(BW160),ISNUMBER(BR160)),IFERROR(BW160/BR160-1,""),"")</f>
        <v>0.111111111111111</v>
      </c>
      <c r="BX161" s="36" t="n">
        <f aca="false">IF(AND(ISNUMBER(BX160),ISNUMBER(BS160)),IFERROR(BX160/BS160-1,""),"")</f>
        <v>0.111111111111111</v>
      </c>
      <c r="BY161" s="39"/>
      <c r="BZ161" s="39"/>
      <c r="CA161" s="42" t="n">
        <v>0.1</v>
      </c>
      <c r="CB161" s="42" t="n">
        <v>0.1</v>
      </c>
      <c r="CC161" s="42" t="n">
        <v>0.1</v>
      </c>
      <c r="CD161" s="42" t="n">
        <v>0.1</v>
      </c>
      <c r="CE161" s="42" t="n">
        <v>0.1</v>
      </c>
      <c r="CF161" s="21"/>
    </row>
    <row r="162" customFormat="false" ht="15" hidden="false" customHeight="true" outlineLevel="0" collapsed="false"/>
    <row r="163" customFormat="false" ht="15" hidden="false" customHeight="true" outlineLevel="0" collapsed="false">
      <c r="B163" s="12" t="s">
        <v>334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</row>
    <row r="164" customFormat="false" ht="15" hidden="false" customHeight="true" outlineLevel="0" collapsed="false">
      <c r="B164" s="18" t="s">
        <v>335</v>
      </c>
      <c r="C164" s="32" t="n">
        <f aca="false">C146</f>
        <v>77.423</v>
      </c>
      <c r="D164" s="32" t="n">
        <f aca="false">D146</f>
        <v>99.081</v>
      </c>
      <c r="E164" s="32" t="n">
        <f aca="false">E146</f>
        <v>105.556</v>
      </c>
      <c r="F164" s="32" t="n">
        <f aca="false">F146</f>
        <v>109.825</v>
      </c>
      <c r="G164" s="32" t="n">
        <f aca="false">G146</f>
        <v>135.104</v>
      </c>
      <c r="H164" s="32" t="n">
        <f aca="false">H146</f>
        <v>165.239</v>
      </c>
      <c r="I164" s="32" t="n">
        <f aca="false">I146</f>
        <v>159.093</v>
      </c>
      <c r="J164" s="32" t="n">
        <f aca="false">J146</f>
        <v>41.556</v>
      </c>
      <c r="K164" s="32" t="n">
        <f aca="false">K146</f>
        <v>43.967</v>
      </c>
      <c r="L164" s="32" t="n">
        <f aca="false">L146</f>
        <v>60.706</v>
      </c>
      <c r="M164" s="32" t="n">
        <f aca="false">M146</f>
        <v>49.4260000000002</v>
      </c>
      <c r="N164" s="32" t="n">
        <f aca="false">N146</f>
        <v>195.655</v>
      </c>
      <c r="O164" s="32" t="n">
        <f aca="false">O146</f>
        <v>49.015</v>
      </c>
      <c r="P164" s="32" t="n">
        <f aca="false">P146</f>
        <v>62.664</v>
      </c>
      <c r="Q164" s="32" t="n">
        <f aca="false">Q146</f>
        <v>60.0840000000001</v>
      </c>
      <c r="R164" s="32" t="n">
        <f aca="false">R146</f>
        <v>60.7620000000003</v>
      </c>
      <c r="S164" s="32" t="n">
        <f aca="false">S146</f>
        <v>232.525</v>
      </c>
      <c r="T164" s="32" t="n">
        <f aca="false">T146</f>
        <v>51.824</v>
      </c>
      <c r="U164" s="32" t="n">
        <f aca="false">U146</f>
        <v>57.36</v>
      </c>
      <c r="V164" s="32" t="n">
        <f aca="false">V146</f>
        <v>-257.009</v>
      </c>
      <c r="W164" s="32" t="n">
        <f aca="false">W146</f>
        <v>52.0609999999998</v>
      </c>
      <c r="X164" s="32" t="n">
        <f aca="false">X146</f>
        <v>-95.7640000000003</v>
      </c>
      <c r="Y164" s="32" t="n">
        <f aca="false">Y146</f>
        <v>44.8419999999999</v>
      </c>
      <c r="Z164" s="32" t="n">
        <f aca="false">Z146</f>
        <v>27.489</v>
      </c>
      <c r="AA164" s="32" t="n">
        <f aca="false">AA146</f>
        <v>88.6170000000001</v>
      </c>
      <c r="AB164" s="32" t="n">
        <f aca="false">AB146</f>
        <v>85.5919999999999</v>
      </c>
      <c r="AC164" s="32" t="n">
        <f aca="false">AC146</f>
        <v>246.54</v>
      </c>
      <c r="AD164" s="32" t="n">
        <f aca="false">AD146</f>
        <v>14.8740000000001</v>
      </c>
      <c r="AE164" s="32" t="n">
        <f aca="false">AE146</f>
        <v>123.656</v>
      </c>
      <c r="AF164" s="32" t="n">
        <f aca="false">AF146</f>
        <v>123.227</v>
      </c>
      <c r="AG164" s="32" t="n">
        <f aca="false">AG146</f>
        <v>315.085</v>
      </c>
      <c r="AH164" s="32" t="n">
        <f aca="false">AH146</f>
        <v>576.817</v>
      </c>
      <c r="AI164" s="32" t="n">
        <f aca="false">AI146</f>
        <v>124.869</v>
      </c>
      <c r="AJ164" s="32" t="n">
        <f aca="false">AJ146</f>
        <v>138.682</v>
      </c>
      <c r="AK164" s="32" t="n">
        <f aca="false">AK146</f>
        <v>150.843</v>
      </c>
      <c r="AL164" s="32" t="n">
        <f aca="false">AL146</f>
        <v>132.478</v>
      </c>
      <c r="AM164" s="32" t="n">
        <f aca="false">AM146</f>
        <v>546.871</v>
      </c>
      <c r="AN164" s="32" t="n">
        <f aca="false">AN146</f>
        <v>125.622</v>
      </c>
      <c r="AO164" s="32" t="n">
        <f aca="false">AO146</f>
        <v>148.848</v>
      </c>
      <c r="AP164" s="32" t="n">
        <f aca="false">AP146</f>
        <v>159.109</v>
      </c>
      <c r="AQ164" s="32" t="n">
        <f aca="false">AQ146</f>
        <v>133.262</v>
      </c>
      <c r="AR164" s="32" t="n">
        <f aca="false">AR146</f>
        <v>566.841</v>
      </c>
      <c r="AS164" s="32" t="n">
        <f aca="false">AS146</f>
        <v>143.035</v>
      </c>
      <c r="AT164" s="32" t="n">
        <f aca="false">AT146</f>
        <v>-227.072</v>
      </c>
      <c r="AU164" s="32" t="n">
        <f aca="false">AU146</f>
        <v>158.049</v>
      </c>
      <c r="AV164" s="32" t="n">
        <f aca="false">AV146</f>
        <v>130.665</v>
      </c>
      <c r="AW164" s="32" t="n">
        <f aca="false">AW146</f>
        <v>204.677</v>
      </c>
      <c r="AX164" s="32" t="n">
        <f aca="false">AX146</f>
        <v>160.309</v>
      </c>
      <c r="AY164" s="32" t="n">
        <f aca="false">AY146</f>
        <v>177.047</v>
      </c>
      <c r="AZ164" s="32" t="n">
        <f aca="false">AZ146</f>
        <v>114.381</v>
      </c>
      <c r="BA164" s="32" t="n">
        <f aca="false">BA146</f>
        <v>166.311</v>
      </c>
      <c r="BB164" s="32" t="n">
        <f aca="false">BB146</f>
        <v>618.047</v>
      </c>
      <c r="BC164" s="32" t="n">
        <f aca="false">BC146</f>
        <v>180.324</v>
      </c>
      <c r="BD164" s="32" t="n">
        <f aca="false">BD146</f>
        <v>224.074</v>
      </c>
      <c r="BE164" s="32" t="n">
        <f aca="false">BE146</f>
        <v>236.912</v>
      </c>
      <c r="BF164" s="32" t="n">
        <f aca="false">BF146</f>
        <v>194.352</v>
      </c>
      <c r="BG164" s="32" t="n">
        <f aca="false">BG146</f>
        <v>835.662000000001</v>
      </c>
      <c r="BH164" s="32" t="n">
        <f aca="false">BH146</f>
        <v>197.813</v>
      </c>
      <c r="BI164" s="32" t="n">
        <f aca="false">BI146</f>
        <v>209.208</v>
      </c>
      <c r="BJ164" s="32" t="n">
        <f aca="false">BJ146</f>
        <v>229.026</v>
      </c>
      <c r="BK164" s="32" t="n">
        <f aca="false">BK146</f>
        <v>126.753</v>
      </c>
      <c r="BL164" s="32" t="n">
        <f aca="false">BL146</f>
        <v>762.8</v>
      </c>
      <c r="BM164" s="32" t="n">
        <f aca="false">BM146</f>
        <v>230.054</v>
      </c>
      <c r="BN164" s="32" t="n">
        <f aca="false">BN146</f>
        <v>275.477</v>
      </c>
      <c r="BO164" s="32" t="n">
        <f aca="false">BO146</f>
        <v>308.046</v>
      </c>
      <c r="BP164" s="32" t="n">
        <f aca="false">BP146</f>
        <v>-196.004</v>
      </c>
      <c r="BQ164" s="32" t="n">
        <f aca="false">BQ146</f>
        <v>617.573</v>
      </c>
      <c r="BR164" s="32" t="n">
        <f aca="false">BR146</f>
        <v>241.51</v>
      </c>
      <c r="BS164" s="32" t="n">
        <f aca="false">BS146</f>
        <v>290.276</v>
      </c>
      <c r="BT164" s="32" t="n">
        <f aca="false">BT146</f>
        <v>286.271</v>
      </c>
      <c r="BU164" s="32" t="n">
        <f aca="false">BU146</f>
        <v>258.5</v>
      </c>
      <c r="BV164" s="32" t="n">
        <f aca="false">BV146</f>
        <v>1076.557</v>
      </c>
      <c r="BW164" s="32" t="n">
        <f aca="false">BW146</f>
        <v>219.344</v>
      </c>
      <c r="BX164" s="32" t="n">
        <f aca="false">BX146</f>
        <v>296.399</v>
      </c>
      <c r="BY164" s="20" t="n">
        <f aca="false">BY146</f>
        <v>343.904631367271</v>
      </c>
      <c r="BZ164" s="20" t="n">
        <f aca="false">BZ146</f>
        <v>314.13789663273</v>
      </c>
      <c r="CA164" s="20" t="n">
        <f aca="false">CA146</f>
        <v>1173.785528</v>
      </c>
      <c r="CB164" s="20" t="n">
        <f aca="false">CB146</f>
        <v>1370.0123158488</v>
      </c>
      <c r="CC164" s="20" t="n">
        <f aca="false">CC146</f>
        <v>1489.58588587788</v>
      </c>
      <c r="CD164" s="20" t="n">
        <f aca="false">CD146</f>
        <v>1613.48396021854</v>
      </c>
      <c r="CE164" s="20" t="n">
        <f aca="false">CE146</f>
        <v>1739.1875870674</v>
      </c>
      <c r="CF164" s="21"/>
    </row>
    <row r="165" customFormat="false" ht="15" hidden="false" customHeight="true" outlineLevel="0" collapsed="false">
      <c r="B165" s="29" t="s">
        <v>336</v>
      </c>
      <c r="C165" s="26" t="n">
        <f aca="false">N(C145)</f>
        <v>12.905</v>
      </c>
      <c r="D165" s="26" t="n">
        <f aca="false">N(D145)</f>
        <v>14.87</v>
      </c>
      <c r="E165" s="26" t="n">
        <f aca="false">N(E145)</f>
        <v>12.24</v>
      </c>
      <c r="F165" s="26" t="n">
        <f aca="false">N(F145)</f>
        <v>0.986</v>
      </c>
      <c r="G165" s="26" t="n">
        <f aca="false">N(G145)</f>
        <v>1.038</v>
      </c>
      <c r="H165" s="26" t="n">
        <f aca="false">N(H145)</f>
        <v>0.932</v>
      </c>
      <c r="I165" s="26" t="n">
        <f aca="false">N(I145)</f>
        <v>0.567</v>
      </c>
      <c r="J165" s="26" t="n">
        <f aca="false">N(J145)</f>
        <v>0.124</v>
      </c>
      <c r="K165" s="26" t="n">
        <f aca="false">N(K145)</f>
        <v>0.028</v>
      </c>
      <c r="L165" s="26" t="n">
        <f aca="false">N(L145)</f>
        <v>0.207</v>
      </c>
      <c r="M165" s="26" t="n">
        <f aca="false">N(M145)</f>
        <v>-0.00900000000000001</v>
      </c>
      <c r="N165" s="26" t="n">
        <f aca="false">N(N145)</f>
        <v>0.35</v>
      </c>
      <c r="O165" s="26" t="n">
        <f aca="false">N(O145)</f>
        <v>0.208</v>
      </c>
      <c r="P165" s="26" t="n">
        <f aca="false">N(P145)</f>
        <v>0.236</v>
      </c>
      <c r="Q165" s="26" t="n">
        <f aca="false">N(Q145)</f>
        <v>0.2</v>
      </c>
      <c r="R165" s="26" t="n">
        <f aca="false">N(R145)</f>
        <v>0.158</v>
      </c>
      <c r="S165" s="26" t="n">
        <f aca="false">N(S145)</f>
        <v>0.802</v>
      </c>
      <c r="T165" s="26" t="n">
        <f aca="false">N(T145)</f>
        <v>0.257</v>
      </c>
      <c r="U165" s="26" t="n">
        <f aca="false">N(U145)</f>
        <v>0.281</v>
      </c>
      <c r="V165" s="26" t="n">
        <f aca="false">N(V145)</f>
        <v>0.204</v>
      </c>
      <c r="W165" s="26" t="n">
        <f aca="false">N(W145)</f>
        <v>0.327</v>
      </c>
      <c r="X165" s="26" t="n">
        <f aca="false">N(X145)</f>
        <v>1.07</v>
      </c>
      <c r="Y165" s="26" t="n">
        <f aca="false">N(Y145)</f>
        <v>0.175</v>
      </c>
      <c r="Z165" s="26" t="n">
        <f aca="false">N(Z145)</f>
        <v>0.231</v>
      </c>
      <c r="AA165" s="26" t="n">
        <f aca="false">N(AA145)</f>
        <v>0.264</v>
      </c>
      <c r="AB165" s="26" t="n">
        <f aca="false">N(AB145)</f>
        <v>0.111</v>
      </c>
      <c r="AC165" s="26" t="n">
        <f aca="false">N(AC145)</f>
        <v>0.781</v>
      </c>
      <c r="AD165" s="26" t="n">
        <f aca="false">N(AD145)</f>
        <v>0.146</v>
      </c>
      <c r="AE165" s="26" t="n">
        <f aca="false">N(AE145)</f>
        <v>0.231</v>
      </c>
      <c r="AF165" s="26" t="n">
        <f aca="false">N(AF145)</f>
        <v>0.183</v>
      </c>
      <c r="AG165" s="26" t="n">
        <f aca="false">N(AG145)</f>
        <v>0.0439999999999999</v>
      </c>
      <c r="AH165" s="26" t="n">
        <f aca="false">N(AH145)</f>
        <v>0.603</v>
      </c>
      <c r="AI165" s="26" t="n">
        <f aca="false">N(AI145)</f>
        <v>0.163</v>
      </c>
      <c r="AJ165" s="26" t="n">
        <f aca="false">N(AJ145)</f>
        <v>0.132</v>
      </c>
      <c r="AK165" s="26" t="n">
        <f aca="false">N(AK145)</f>
        <v>-0.077</v>
      </c>
      <c r="AL165" s="26" t="n">
        <f aca="false">N(AL145)</f>
        <v>0.065</v>
      </c>
      <c r="AM165" s="26" t="n">
        <f aca="false">N(AM145)</f>
        <v>0.283</v>
      </c>
      <c r="AN165" s="26" t="n">
        <f aca="false">N(AN145)</f>
        <v>-0.045</v>
      </c>
      <c r="AO165" s="26" t="n">
        <f aca="false">N(AO145)</f>
        <v>-0.009</v>
      </c>
      <c r="AP165" s="26" t="n">
        <f aca="false">N(AP145)</f>
        <v>-0.035</v>
      </c>
      <c r="AQ165" s="26" t="n">
        <f aca="false">N(AQ145)</f>
        <v>-0.071</v>
      </c>
      <c r="AR165" s="26" t="n">
        <f aca="false">N(AR145)</f>
        <v>-0.16</v>
      </c>
      <c r="AS165" s="26" t="n">
        <f aca="false">N(AS145)</f>
        <v>-0.142</v>
      </c>
      <c r="AT165" s="26" t="n">
        <f aca="false">N(AT145)</f>
        <v>-0.395</v>
      </c>
      <c r="AU165" s="26" t="n">
        <f aca="false">N(AU145)</f>
        <v>-0.058</v>
      </c>
      <c r="AV165" s="26" t="n">
        <f aca="false">N(AV145)</f>
        <v>-0.0910000000000001</v>
      </c>
      <c r="AW165" s="26" t="n">
        <f aca="false">N(AW145)</f>
        <v>-0.685</v>
      </c>
      <c r="AX165" s="26" t="n">
        <f aca="false">N(AX145)</f>
        <v>-0.002</v>
      </c>
      <c r="AY165" s="26" t="n">
        <f aca="false">N(AY145)</f>
        <v>0.054</v>
      </c>
      <c r="AZ165" s="26" t="n">
        <f aca="false">N(AZ145)</f>
        <v>0.273</v>
      </c>
      <c r="BA165" s="26" t="n">
        <f aca="false">N(BA145)</f>
        <v>0.117</v>
      </c>
      <c r="BB165" s="26" t="n">
        <f aca="false">N(BB145)</f>
        <v>0.442</v>
      </c>
      <c r="BC165" s="26" t="n">
        <f aca="false">N(BC145)</f>
        <v>0.044</v>
      </c>
      <c r="BD165" s="26" t="n">
        <f aca="false">N(BD145)</f>
        <v>0.133</v>
      </c>
      <c r="BE165" s="26" t="n">
        <f aca="false">N(BE145)</f>
        <v>0.213</v>
      </c>
      <c r="BF165" s="26" t="n">
        <f aca="false">N(BF145)</f>
        <v>-0.051</v>
      </c>
      <c r="BG165" s="26" t="n">
        <f aca="false">N(BG145)</f>
        <v>0.339</v>
      </c>
      <c r="BH165" s="26" t="n">
        <f aca="false">N(BH145)</f>
        <v>0.023</v>
      </c>
      <c r="BI165" s="26" t="n">
        <f aca="false">N(BI145)</f>
        <v>-0.038</v>
      </c>
      <c r="BJ165" s="26" t="n">
        <f aca="false">N(BJ145)</f>
        <v>0.165</v>
      </c>
      <c r="BK165" s="26" t="n">
        <f aca="false">N(BK145)</f>
        <v>-0.124</v>
      </c>
      <c r="BL165" s="26" t="n">
        <f aca="false">N(BL145)</f>
        <v>0.026</v>
      </c>
      <c r="BM165" s="26" t="n">
        <f aca="false">N(BM145)</f>
        <v>-0.927</v>
      </c>
      <c r="BN165" s="26" t="n">
        <f aca="false">N(BN145)</f>
        <v>-0.077</v>
      </c>
      <c r="BO165" s="26" t="n">
        <f aca="false">N(BO145)</f>
        <v>0</v>
      </c>
      <c r="BP165" s="26" t="n">
        <f aca="false">N(BP145)</f>
        <v>0</v>
      </c>
      <c r="BQ165" s="26" t="n">
        <f aca="false">N(BQ145)</f>
        <v>-1.003</v>
      </c>
      <c r="BR165" s="26" t="n">
        <f aca="false">N(BR145)</f>
        <v>0</v>
      </c>
      <c r="BS165" s="26" t="n">
        <f aca="false">N(BS145)</f>
        <v>0</v>
      </c>
      <c r="BT165" s="26" t="n">
        <f aca="false">N(BT145)</f>
        <v>0</v>
      </c>
      <c r="BU165" s="26" t="n">
        <f aca="false">N(BU145)</f>
        <v>0</v>
      </c>
      <c r="BV165" s="26" t="n">
        <f aca="false">N(BV145)</f>
        <v>0</v>
      </c>
      <c r="BW165" s="26" t="n">
        <f aca="false">N(BW145)</f>
        <v>0</v>
      </c>
      <c r="BX165" s="26" t="n">
        <f aca="false">N(BX145)</f>
        <v>0</v>
      </c>
      <c r="BY165" s="47" t="n">
        <f aca="false">N(BY145)</f>
        <v>0</v>
      </c>
      <c r="BZ165" s="47" t="n">
        <f aca="false">N(BZ145)</f>
        <v>0</v>
      </c>
      <c r="CA165" s="47" t="n">
        <f aca="false">N(CA145)</f>
        <v>0</v>
      </c>
      <c r="CB165" s="47" t="n">
        <f aca="false">N(CB145)</f>
        <v>0</v>
      </c>
      <c r="CC165" s="47" t="n">
        <f aca="false">N(CC145)</f>
        <v>0</v>
      </c>
      <c r="CD165" s="47" t="n">
        <f aca="false">N(CD145)</f>
        <v>0</v>
      </c>
      <c r="CE165" s="47" t="n">
        <f aca="false">N(CE145)</f>
        <v>0</v>
      </c>
      <c r="CF165" s="21"/>
    </row>
    <row r="166" customFormat="false" ht="15" hidden="false" customHeight="true" outlineLevel="0" collapsed="false">
      <c r="B166" s="29" t="s">
        <v>337</v>
      </c>
      <c r="C166" s="26" t="n">
        <f aca="false">C142</f>
        <v>48.329</v>
      </c>
      <c r="D166" s="26" t="n">
        <f aca="false">D142</f>
        <v>59.917</v>
      </c>
      <c r="E166" s="26" t="n">
        <f aca="false">E142</f>
        <v>58.4</v>
      </c>
      <c r="F166" s="26" t="n">
        <f aca="false">F142</f>
        <v>64.565</v>
      </c>
      <c r="G166" s="26" t="n">
        <f aca="false">G142</f>
        <v>89.334</v>
      </c>
      <c r="H166" s="26" t="n">
        <f aca="false">H142</f>
        <v>106.958</v>
      </c>
      <c r="I166" s="26" t="n">
        <f aca="false">I142</f>
        <v>105.443</v>
      </c>
      <c r="J166" s="26" t="n">
        <f aca="false">J142</f>
        <v>26.963</v>
      </c>
      <c r="K166" s="26" t="n">
        <f aca="false">K142</f>
        <v>28.445</v>
      </c>
      <c r="L166" s="26" t="n">
        <f aca="false">L142</f>
        <v>37.641</v>
      </c>
      <c r="M166" s="26" t="n">
        <f aca="false">M142</f>
        <v>31.867</v>
      </c>
      <c r="N166" s="26" t="n">
        <f aca="false">N142</f>
        <v>124.916</v>
      </c>
      <c r="O166" s="26" t="n">
        <f aca="false">O142</f>
        <v>33.932</v>
      </c>
      <c r="P166" s="26" t="n">
        <f aca="false">P142</f>
        <v>40.537</v>
      </c>
      <c r="Q166" s="26" t="n">
        <f aca="false">Q142</f>
        <v>39.523</v>
      </c>
      <c r="R166" s="26" t="n">
        <f aca="false">R142</f>
        <v>38.343</v>
      </c>
      <c r="S166" s="26" t="n">
        <f aca="false">S142</f>
        <v>152.335</v>
      </c>
      <c r="T166" s="26" t="n">
        <f aca="false">T142</f>
        <v>33.867</v>
      </c>
      <c r="U166" s="26" t="n">
        <f aca="false">U142</f>
        <v>37.153</v>
      </c>
      <c r="V166" s="26" t="n">
        <f aca="false">V142</f>
        <v>-136.017</v>
      </c>
      <c r="W166" s="26" t="n">
        <f aca="false">W142</f>
        <v>33.404</v>
      </c>
      <c r="X166" s="26" t="n">
        <f aca="false">X142</f>
        <v>-31.592</v>
      </c>
      <c r="Y166" s="26" t="n">
        <f aca="false">Y142</f>
        <v>29</v>
      </c>
      <c r="Z166" s="26" t="n">
        <f aca="false">Z142</f>
        <v>15.265</v>
      </c>
      <c r="AA166" s="26" t="n">
        <f aca="false">AA142</f>
        <v>42.485</v>
      </c>
      <c r="AB166" s="26" t="n">
        <f aca="false">AB142</f>
        <v>27.294</v>
      </c>
      <c r="AC166" s="26" t="n">
        <f aca="false">AC142</f>
        <v>114.044</v>
      </c>
      <c r="AD166" s="26" t="n">
        <f aca="false">AD142</f>
        <v>-16.871</v>
      </c>
      <c r="AE166" s="26" t="n">
        <f aca="false">AE142</f>
        <v>52.675</v>
      </c>
      <c r="AF166" s="26" t="n">
        <f aca="false">AF142</f>
        <v>64.39</v>
      </c>
      <c r="AG166" s="26" t="n">
        <f aca="false">AG142</f>
        <v>-169.13</v>
      </c>
      <c r="AH166" s="26" t="n">
        <f aca="false">AH142</f>
        <v>-68.91</v>
      </c>
      <c r="AI166" s="26" t="n">
        <f aca="false">AI142</f>
        <v>31.852</v>
      </c>
      <c r="AJ166" s="26" t="n">
        <f aca="false">AJ142</f>
        <v>42.565</v>
      </c>
      <c r="AK166" s="26" t="n">
        <f aca="false">AK142</f>
        <v>52.092</v>
      </c>
      <c r="AL166" s="26" t="n">
        <f aca="false">AL142</f>
        <v>33.477</v>
      </c>
      <c r="AM166" s="26" t="n">
        <f aca="false">AM142</f>
        <v>159.986</v>
      </c>
      <c r="AN166" s="26" t="n">
        <f aca="false">AN142</f>
        <v>27.968</v>
      </c>
      <c r="AO166" s="26" t="n">
        <f aca="false">AO142</f>
        <v>39.788</v>
      </c>
      <c r="AP166" s="26" t="n">
        <f aca="false">AP142</f>
        <v>42.783</v>
      </c>
      <c r="AQ166" s="26" t="n">
        <f aca="false">AQ142</f>
        <v>28.671</v>
      </c>
      <c r="AR166" s="26" t="n">
        <f aca="false">AR142</f>
        <v>139.21</v>
      </c>
      <c r="AS166" s="26" t="n">
        <f aca="false">AS142</f>
        <v>28.734</v>
      </c>
      <c r="AT166" s="26" t="n">
        <f aca="false">AT142</f>
        <v>-38.737</v>
      </c>
      <c r="AU166" s="26" t="n">
        <f aca="false">AU142</f>
        <v>33.657</v>
      </c>
      <c r="AV166" s="26" t="n">
        <f aca="false">AV142</f>
        <v>26.268</v>
      </c>
      <c r="AW166" s="26" t="n">
        <f aca="false">AW142</f>
        <v>49.922</v>
      </c>
      <c r="AX166" s="26" t="n">
        <f aca="false">AX142</f>
        <v>40.291</v>
      </c>
      <c r="AY166" s="26" t="n">
        <f aca="false">AY142</f>
        <v>47.868</v>
      </c>
      <c r="AZ166" s="26" t="n">
        <f aca="false">AZ142</f>
        <v>18.419</v>
      </c>
      <c r="BA166" s="26" t="n">
        <f aca="false">BA142</f>
        <v>45.675</v>
      </c>
      <c r="BB166" s="26" t="n">
        <f aca="false">BB142</f>
        <v>152.253</v>
      </c>
      <c r="BC166" s="26" t="n">
        <f aca="false">BC142</f>
        <v>48.839</v>
      </c>
      <c r="BD166" s="26" t="n">
        <f aca="false">BD142</f>
        <v>58.307</v>
      </c>
      <c r="BE166" s="26" t="n">
        <f aca="false">BE142</f>
        <v>48.753</v>
      </c>
      <c r="BF166" s="26" t="n">
        <f aca="false">BF142</f>
        <v>57.063</v>
      </c>
      <c r="BG166" s="26" t="n">
        <f aca="false">BG142</f>
        <v>212.962</v>
      </c>
      <c r="BH166" s="26" t="n">
        <f aca="false">BH142</f>
        <v>54.389</v>
      </c>
      <c r="BI166" s="26" t="n">
        <f aca="false">BI142</f>
        <v>68.551</v>
      </c>
      <c r="BJ166" s="26" t="n">
        <f aca="false">BJ142</f>
        <v>62.975</v>
      </c>
      <c r="BK166" s="26" t="n">
        <f aca="false">BK142</f>
        <v>34.76</v>
      </c>
      <c r="BL166" s="26" t="n">
        <f aca="false">BL142</f>
        <v>220.675</v>
      </c>
      <c r="BM166" s="26" t="n">
        <f aca="false">BM142</f>
        <v>59.413</v>
      </c>
      <c r="BN166" s="26" t="n">
        <f aca="false">BN142</f>
        <v>80.584</v>
      </c>
      <c r="BO166" s="26" t="n">
        <f aca="false">BO142</f>
        <v>92.012</v>
      </c>
      <c r="BP166" s="26" t="n">
        <f aca="false">BP142</f>
        <v>-85.645</v>
      </c>
      <c r="BQ166" s="26" t="n">
        <f aca="false">BQ142</f>
        <v>146.363</v>
      </c>
      <c r="BR166" s="26" t="n">
        <f aca="false">BR142</f>
        <v>71.467</v>
      </c>
      <c r="BS166" s="26" t="n">
        <f aca="false">BS142</f>
        <v>98.882</v>
      </c>
      <c r="BT166" s="26" t="n">
        <f aca="false">BT142</f>
        <v>88.503</v>
      </c>
      <c r="BU166" s="26" t="n">
        <f aca="false">BU142</f>
        <v>82.507</v>
      </c>
      <c r="BV166" s="26" t="n">
        <f aca="false">BV142</f>
        <v>341.359</v>
      </c>
      <c r="BW166" s="26" t="n">
        <f aca="false">BW142</f>
        <v>64.215</v>
      </c>
      <c r="BX166" s="26" t="n">
        <f aca="false">BX142</f>
        <v>87.331</v>
      </c>
      <c r="BY166" s="47" t="n">
        <f aca="false">BY142</f>
        <v>103.305552465331</v>
      </c>
      <c r="BZ166" s="47" t="n">
        <f aca="false">BZ142</f>
        <v>94.3639195346692</v>
      </c>
      <c r="CA166" s="47" t="n">
        <f aca="false">CA142</f>
        <v>349.215472</v>
      </c>
      <c r="CB166" s="47" t="n">
        <f aca="false">CB142</f>
        <v>432.635468162778</v>
      </c>
      <c r="CC166" s="47" t="n">
        <f aca="false">CC142</f>
        <v>470.395542908805</v>
      </c>
      <c r="CD166" s="47" t="n">
        <f aca="false">CD142</f>
        <v>509.521250595328</v>
      </c>
      <c r="CE166" s="47" t="n">
        <f aca="false">CE142</f>
        <v>549.217132758128</v>
      </c>
      <c r="CF166" s="21"/>
    </row>
    <row r="167" customFormat="false" ht="15" hidden="false" customHeight="true" outlineLevel="0" collapsed="false">
      <c r="B167" s="29" t="s">
        <v>338</v>
      </c>
      <c r="C167" s="26" t="n">
        <f aca="false">C136</f>
        <v>28.97</v>
      </c>
      <c r="D167" s="26" t="n">
        <f aca="false">D136</f>
        <v>33.43</v>
      </c>
      <c r="E167" s="26" t="n">
        <f aca="false">E136</f>
        <v>38.824</v>
      </c>
      <c r="F167" s="26" t="n">
        <f aca="false">F136</f>
        <v>49.161</v>
      </c>
      <c r="G167" s="26" t="n">
        <f aca="false">G136</f>
        <v>40.134</v>
      </c>
      <c r="H167" s="26" t="n">
        <f aca="false">H136</f>
        <v>44.52</v>
      </c>
      <c r="I167" s="26" t="n">
        <f aca="false">I136</f>
        <v>53.037</v>
      </c>
      <c r="J167" s="26" t="n">
        <f aca="false">J136</f>
        <v>19.012</v>
      </c>
      <c r="K167" s="26" t="n">
        <f aca="false">K136</f>
        <v>18.928</v>
      </c>
      <c r="L167" s="26" t="n">
        <f aca="false">L136</f>
        <v>17.911</v>
      </c>
      <c r="M167" s="26" t="n">
        <f aca="false">M136</f>
        <v>17.728</v>
      </c>
      <c r="N167" s="26" t="n">
        <f aca="false">N136</f>
        <v>73.579</v>
      </c>
      <c r="O167" s="26" t="n">
        <f aca="false">O136</f>
        <v>16.91</v>
      </c>
      <c r="P167" s="26" t="n">
        <f aca="false">P136</f>
        <v>15.94</v>
      </c>
      <c r="Q167" s="26" t="n">
        <f aca="false">Q136</f>
        <v>15.815</v>
      </c>
      <c r="R167" s="26" t="n">
        <f aca="false">R136</f>
        <v>16.008</v>
      </c>
      <c r="S167" s="26" t="n">
        <f aca="false">S136</f>
        <v>64.674</v>
      </c>
      <c r="T167" s="26" t="n">
        <f aca="false">T136</f>
        <v>15.697</v>
      </c>
      <c r="U167" s="26" t="n">
        <f aca="false">U136</f>
        <v>15.322</v>
      </c>
      <c r="V167" s="26" t="n">
        <f aca="false">V136</f>
        <v>16.367</v>
      </c>
      <c r="W167" s="26" t="n">
        <f aca="false">W136</f>
        <v>16.85</v>
      </c>
      <c r="X167" s="26" t="n">
        <f aca="false">X136</f>
        <v>64.236</v>
      </c>
      <c r="Y167" s="26" t="n">
        <f aca="false">Y136</f>
        <v>17.184</v>
      </c>
      <c r="Z167" s="26" t="n">
        <f aca="false">Z136</f>
        <v>20.485</v>
      </c>
      <c r="AA167" s="26" t="n">
        <f aca="false">AA136</f>
        <v>27.621</v>
      </c>
      <c r="AB167" s="26" t="n">
        <f aca="false">AB136</f>
        <v>27.418</v>
      </c>
      <c r="AC167" s="26" t="n">
        <f aca="false">AC136</f>
        <v>92.709</v>
      </c>
      <c r="AD167" s="26" t="n">
        <f aca="false">AD136</f>
        <v>29.131</v>
      </c>
      <c r="AE167" s="26" t="n">
        <f aca="false">AE136</f>
        <v>31.16</v>
      </c>
      <c r="AF167" s="26" t="n">
        <f aca="false">AF136</f>
        <v>32.471</v>
      </c>
      <c r="AG167" s="26" t="n">
        <f aca="false">AG136</f>
        <v>32.534</v>
      </c>
      <c r="AH167" s="26" t="n">
        <f aca="false">AH136</f>
        <v>125.297</v>
      </c>
      <c r="AI167" s="26" t="n">
        <f aca="false">AI136</f>
        <v>32.37</v>
      </c>
      <c r="AJ167" s="26" t="n">
        <f aca="false">AJ136</f>
        <v>32.426</v>
      </c>
      <c r="AK167" s="26" t="n">
        <f aca="false">AK136</f>
        <v>32.078</v>
      </c>
      <c r="AL167" s="26" t="n">
        <f aca="false">AL136</f>
        <v>35.23</v>
      </c>
      <c r="AM167" s="26" t="n">
        <f aca="false">AM136</f>
        <v>132.104</v>
      </c>
      <c r="AN167" s="26" t="n">
        <f aca="false">AN136</f>
        <v>37.287</v>
      </c>
      <c r="AO167" s="26" t="n">
        <f aca="false">AO136</f>
        <v>37.245</v>
      </c>
      <c r="AP167" s="26" t="n">
        <f aca="false">AP136</f>
        <v>36.78</v>
      </c>
      <c r="AQ167" s="26" t="n">
        <f aca="false">AQ136</f>
        <v>36.055</v>
      </c>
      <c r="AR167" s="26" t="n">
        <f aca="false">AR136</f>
        <v>147.368</v>
      </c>
      <c r="AS167" s="26" t="n">
        <f aca="false">AS136</f>
        <v>37.99</v>
      </c>
      <c r="AT167" s="26" t="n">
        <f aca="false">AT136</f>
        <v>40.936</v>
      </c>
      <c r="AU167" s="26" t="n">
        <f aca="false">AU136</f>
        <v>40.636</v>
      </c>
      <c r="AV167" s="26" t="n">
        <f aca="false">AV136</f>
        <v>42.813</v>
      </c>
      <c r="AW167" s="26" t="n">
        <f aca="false">AW136</f>
        <v>162.375</v>
      </c>
      <c r="AX167" s="26" t="n">
        <f aca="false">AX136</f>
        <v>42.425</v>
      </c>
      <c r="AY167" s="26" t="n">
        <f aca="false">AY136</f>
        <v>41.328</v>
      </c>
      <c r="AZ167" s="26" t="n">
        <f aca="false">AZ136</f>
        <v>40.418</v>
      </c>
      <c r="BA167" s="26" t="n">
        <f aca="false">BA136</f>
        <v>38.625</v>
      </c>
      <c r="BB167" s="26" t="n">
        <f aca="false">BB136</f>
        <v>162.796</v>
      </c>
      <c r="BC167" s="26" t="n">
        <f aca="false">BC136</f>
        <v>41.324</v>
      </c>
      <c r="BD167" s="26" t="n">
        <f aca="false">BD136</f>
        <v>45.079</v>
      </c>
      <c r="BE167" s="26" t="n">
        <f aca="false">BE136</f>
        <v>51.161</v>
      </c>
      <c r="BF167" s="26" t="n">
        <f aca="false">BF136</f>
        <v>64.766</v>
      </c>
      <c r="BG167" s="26" t="n">
        <f aca="false">BG136</f>
        <v>202.331</v>
      </c>
      <c r="BH167" s="26" t="n">
        <f aca="false">BH136</f>
        <v>68.353</v>
      </c>
      <c r="BI167" s="26" t="n">
        <f aca="false">BI136</f>
        <v>67.545</v>
      </c>
      <c r="BJ167" s="26" t="n">
        <f aca="false">BJ136</f>
        <v>69.016</v>
      </c>
      <c r="BK167" s="26" t="n">
        <f aca="false">BK136</f>
        <v>69.728</v>
      </c>
      <c r="BL167" s="26" t="n">
        <f aca="false">BL136</f>
        <v>274.642</v>
      </c>
      <c r="BM167" s="26" t="n">
        <f aca="false">BM136</f>
        <v>78.488</v>
      </c>
      <c r="BN167" s="26" t="n">
        <f aca="false">BN136</f>
        <v>82.377</v>
      </c>
      <c r="BO167" s="26" t="n">
        <f aca="false">BO136</f>
        <v>83.52</v>
      </c>
      <c r="BP167" s="26" t="n">
        <f aca="false">BP136</f>
        <v>82.419</v>
      </c>
      <c r="BQ167" s="26" t="n">
        <f aca="false">BQ136</f>
        <v>326.804</v>
      </c>
      <c r="BR167" s="26" t="n">
        <f aca="false">BR136</f>
        <v>80.875</v>
      </c>
      <c r="BS167" s="26" t="n">
        <f aca="false">BS136</f>
        <v>82.751</v>
      </c>
      <c r="BT167" s="26" t="n">
        <f aca="false">BT136</f>
        <v>84.449</v>
      </c>
      <c r="BU167" s="26" t="n">
        <f aca="false">BU136</f>
        <v>86.477</v>
      </c>
      <c r="BV167" s="26" t="n">
        <f aca="false">BV136</f>
        <v>334.551</v>
      </c>
      <c r="BW167" s="26" t="n">
        <f aca="false">BW136</f>
        <v>87.719</v>
      </c>
      <c r="BX167" s="26" t="n">
        <f aca="false">BX136</f>
        <v>91.203</v>
      </c>
      <c r="BY167" s="47" t="n">
        <f aca="false">BY136</f>
        <v>97.2845</v>
      </c>
      <c r="BZ167" s="47" t="n">
        <f aca="false">BZ136</f>
        <v>97.2845</v>
      </c>
      <c r="CA167" s="47" t="n">
        <f aca="false">CA136</f>
        <v>373.491</v>
      </c>
      <c r="CB167" s="47" t="n">
        <f aca="false">CB136</f>
        <v>361.323023040269</v>
      </c>
      <c r="CC167" s="47" t="n">
        <f aca="false">CC136</f>
        <v>397.341849690443</v>
      </c>
      <c r="CD167" s="47" t="n">
        <f aca="false">CD136</f>
        <v>442.166392426586</v>
      </c>
      <c r="CE167" s="47" t="n">
        <f aca="false">CE136</f>
        <v>489.3801197469</v>
      </c>
      <c r="CF167" s="21"/>
    </row>
    <row r="168" customFormat="false" ht="15" hidden="false" customHeight="true" outlineLevel="0" collapsed="false">
      <c r="B168" s="29" t="s">
        <v>339</v>
      </c>
      <c r="C168" s="26" t="n">
        <f aca="false">-N(C137)</f>
        <v>-0</v>
      </c>
      <c r="D168" s="26" t="n">
        <f aca="false">-N(D137)</f>
        <v>-0</v>
      </c>
      <c r="E168" s="26" t="n">
        <f aca="false">-N(E137)</f>
        <v>-3.297</v>
      </c>
      <c r="F168" s="26" t="n">
        <f aca="false">-N(F137)</f>
        <v>-1.413</v>
      </c>
      <c r="G168" s="26" t="n">
        <f aca="false">-N(G137)</f>
        <v>-0.59</v>
      </c>
      <c r="H168" s="26" t="n">
        <f aca="false">-N(H137)</f>
        <v>-0.53</v>
      </c>
      <c r="I168" s="26" t="n">
        <f aca="false">-N(I137)</f>
        <v>-0.773</v>
      </c>
      <c r="J168" s="26" t="n">
        <f aca="false">-N(J137)</f>
        <v>-0</v>
      </c>
      <c r="K168" s="26" t="n">
        <f aca="false">-N(K137)</f>
        <v>-0</v>
      </c>
      <c r="L168" s="26" t="n">
        <f aca="false">-N(L137)</f>
        <v>-0</v>
      </c>
      <c r="M168" s="26" t="n">
        <f aca="false">-N(M137)</f>
        <v>-0</v>
      </c>
      <c r="N168" s="26" t="n">
        <f aca="false">-N(N137)</f>
        <v>-0</v>
      </c>
      <c r="O168" s="26" t="n">
        <f aca="false">-N(O137)</f>
        <v>-0</v>
      </c>
      <c r="P168" s="26" t="n">
        <f aca="false">-N(P137)</f>
        <v>-0</v>
      </c>
      <c r="Q168" s="26" t="n">
        <f aca="false">-N(Q137)</f>
        <v>-0</v>
      </c>
      <c r="R168" s="26" t="n">
        <f aca="false">-N(R137)</f>
        <v>-0</v>
      </c>
      <c r="S168" s="26" t="n">
        <f aca="false">-N(S137)</f>
        <v>-0</v>
      </c>
      <c r="T168" s="26" t="n">
        <f aca="false">-N(T137)</f>
        <v>-0</v>
      </c>
      <c r="U168" s="26" t="n">
        <f aca="false">-N(U137)</f>
        <v>-0</v>
      </c>
      <c r="V168" s="26" t="n">
        <f aca="false">-N(V137)</f>
        <v>-0</v>
      </c>
      <c r="W168" s="26" t="n">
        <f aca="false">-N(W137)</f>
        <v>-0</v>
      </c>
      <c r="X168" s="26" t="n">
        <f aca="false">-N(X137)</f>
        <v>-0</v>
      </c>
      <c r="Y168" s="26" t="n">
        <f aca="false">-N(Y137)</f>
        <v>-0</v>
      </c>
      <c r="Z168" s="26" t="n">
        <f aca="false">-N(Z137)</f>
        <v>-0</v>
      </c>
      <c r="AA168" s="26" t="n">
        <f aca="false">-N(AA137)</f>
        <v>-0</v>
      </c>
      <c r="AB168" s="26" t="n">
        <f aca="false">-N(AB137)</f>
        <v>-0</v>
      </c>
      <c r="AC168" s="26" t="n">
        <f aca="false">-N(AC137)</f>
        <v>-0</v>
      </c>
      <c r="AD168" s="26" t="n">
        <f aca="false">-N(AD137)</f>
        <v>-0</v>
      </c>
      <c r="AE168" s="26" t="n">
        <f aca="false">-N(AE137)</f>
        <v>-0</v>
      </c>
      <c r="AF168" s="26" t="n">
        <f aca="false">-N(AF137)</f>
        <v>-1.656</v>
      </c>
      <c r="AG168" s="26" t="n">
        <f aca="false">-N(AG137)</f>
        <v>-2.042</v>
      </c>
      <c r="AH168" s="26" t="n">
        <f aca="false">-N(AH137)</f>
        <v>-5.173</v>
      </c>
      <c r="AI168" s="26" t="n">
        <f aca="false">-N(AI137)</f>
        <v>-1.155</v>
      </c>
      <c r="AJ168" s="26" t="n">
        <f aca="false">-N(AJ137)</f>
        <v>-1.056</v>
      </c>
      <c r="AK168" s="26" t="n">
        <f aca="false">-N(AK137)</f>
        <v>-1.467</v>
      </c>
      <c r="AL168" s="26" t="n">
        <f aca="false">-N(AL137)</f>
        <v>-3.493</v>
      </c>
      <c r="AM168" s="26" t="n">
        <f aca="false">-N(AM137)</f>
        <v>-7.17</v>
      </c>
      <c r="AN168" s="26" t="n">
        <f aca="false">-N(AN137)</f>
        <v>-3.311</v>
      </c>
      <c r="AO168" s="26" t="n">
        <f aca="false">-N(AO137)</f>
        <v>-1.818</v>
      </c>
      <c r="AP168" s="26" t="n">
        <f aca="false">-N(AP137)</f>
        <v>-2.056</v>
      </c>
      <c r="AQ168" s="26" t="n">
        <f aca="false">-N(AQ137)</f>
        <v>-2.591</v>
      </c>
      <c r="AR168" s="26" t="n">
        <f aca="false">-N(AR137)</f>
        <v>-9.777</v>
      </c>
      <c r="AS168" s="26" t="n">
        <f aca="false">-N(AS137)</f>
        <v>-2.175</v>
      </c>
      <c r="AT168" s="26" t="n">
        <f aca="false">-N(AT137)</f>
        <v>-1.317</v>
      </c>
      <c r="AU168" s="26" t="n">
        <f aca="false">-N(AU137)</f>
        <v>-0.903</v>
      </c>
      <c r="AV168" s="26" t="n">
        <f aca="false">-N(AV137)</f>
        <v>-0.857</v>
      </c>
      <c r="AW168" s="26" t="n">
        <f aca="false">-N(AW137)</f>
        <v>-5.253</v>
      </c>
      <c r="AX168" s="26" t="n">
        <f aca="false">-N(AX137)</f>
        <v>-1.103</v>
      </c>
      <c r="AY168" s="26" t="n">
        <f aca="false">-N(AY137)</f>
        <v>-0.744</v>
      </c>
      <c r="AZ168" s="26" t="n">
        <f aca="false">-N(AZ137)</f>
        <v>-0.495</v>
      </c>
      <c r="BA168" s="26" t="n">
        <f aca="false">-N(BA137)</f>
        <v>-0.574</v>
      </c>
      <c r="BB168" s="26" t="n">
        <f aca="false">-N(BB137)</f>
        <v>-2.916</v>
      </c>
      <c r="BC168" s="26" t="n">
        <f aca="false">-N(BC137)</f>
        <v>-0.137</v>
      </c>
      <c r="BD168" s="26" t="n">
        <f aca="false">-N(BD137)</f>
        <v>-0.652</v>
      </c>
      <c r="BE168" s="26" t="n">
        <f aca="false">-N(BE137)</f>
        <v>-1.784</v>
      </c>
      <c r="BF168" s="26" t="n">
        <f aca="false">-N(BF137)</f>
        <v>-3.376</v>
      </c>
      <c r="BG168" s="26" t="n">
        <f aca="false">-N(BG137)</f>
        <v>-5.95</v>
      </c>
      <c r="BH168" s="26" t="n">
        <f aca="false">-N(BH137)</f>
        <v>-2.715</v>
      </c>
      <c r="BI168" s="26" t="n">
        <f aca="false">-N(BI137)</f>
        <v>-1.338</v>
      </c>
      <c r="BJ168" s="26" t="n">
        <f aca="false">-N(BJ137)</f>
        <v>-2.833</v>
      </c>
      <c r="BK168" s="26" t="n">
        <f aca="false">-N(BK137)</f>
        <v>-2.464</v>
      </c>
      <c r="BL168" s="26" t="n">
        <f aca="false">-N(BL137)</f>
        <v>-9.35</v>
      </c>
      <c r="BM168" s="26" t="n">
        <f aca="false">-N(BM137)</f>
        <v>-2.051</v>
      </c>
      <c r="BN168" s="26" t="n">
        <f aca="false">-N(BN137)</f>
        <v>-4.009</v>
      </c>
      <c r="BO168" s="26" t="n">
        <f aca="false">-N(BO137)</f>
        <v>-3.331</v>
      </c>
      <c r="BP168" s="26" t="n">
        <f aca="false">-N(BP137)</f>
        <v>-2.216</v>
      </c>
      <c r="BQ168" s="26" t="n">
        <f aca="false">-N(BQ137)</f>
        <v>-11.607</v>
      </c>
      <c r="BR168" s="26" t="n">
        <f aca="false">-N(BR137)</f>
        <v>-1.77</v>
      </c>
      <c r="BS168" s="26" t="n">
        <f aca="false">-N(BS137)</f>
        <v>-2.314</v>
      </c>
      <c r="BT168" s="26" t="n">
        <f aca="false">-N(BT137)</f>
        <v>-5.09</v>
      </c>
      <c r="BU168" s="26" t="n">
        <f aca="false">-N(BU137)</f>
        <v>-2.965</v>
      </c>
      <c r="BV168" s="26" t="n">
        <f aca="false">-N(BV137)</f>
        <v>-12.139</v>
      </c>
      <c r="BW168" s="26" t="n">
        <f aca="false">-N(BW137)</f>
        <v>-3.113</v>
      </c>
      <c r="BX168" s="26" t="n">
        <f aca="false">-N(BX137)</f>
        <v>-4.126</v>
      </c>
      <c r="BY168" s="47" t="n">
        <f aca="false">-N(BY137)</f>
        <v>-4.126</v>
      </c>
      <c r="BZ168" s="47" t="n">
        <f aca="false">-N(BZ137)</f>
        <v>-4.126</v>
      </c>
      <c r="CA168" s="47" t="n">
        <f aca="false">-N(CA137)</f>
        <v>-15.491</v>
      </c>
      <c r="CB168" s="47" t="n">
        <f aca="false">-N(CB137)</f>
        <v>-4.09806000000001</v>
      </c>
      <c r="CC168" s="47" t="n">
        <f aca="false">-N(CC137)</f>
        <v>-4.09806000000001</v>
      </c>
      <c r="CD168" s="47" t="n">
        <f aca="false">-N(CD137)</f>
        <v>-4.09806000000001</v>
      </c>
      <c r="CE168" s="47" t="n">
        <f aca="false">-N(CE137)</f>
        <v>-4.09806000000001</v>
      </c>
      <c r="CF168" s="21"/>
    </row>
    <row r="169" customFormat="false" ht="15" hidden="false" customHeight="true" outlineLevel="0" collapsed="false">
      <c r="B169" s="29" t="s">
        <v>340</v>
      </c>
      <c r="C169" s="26" t="n">
        <f aca="false">C131+C132</f>
        <v>74.865</v>
      </c>
      <c r="D169" s="26" t="n">
        <f aca="false">D131+D132</f>
        <v>85.628</v>
      </c>
      <c r="E169" s="26" t="n">
        <f aca="false">E131+E132</f>
        <v>97.429</v>
      </c>
      <c r="F169" s="26" t="n">
        <f aca="false">F131+F132</f>
        <v>130.758</v>
      </c>
      <c r="G169" s="26" t="n">
        <f aca="false">G131+G132</f>
        <v>147.456</v>
      </c>
      <c r="H169" s="26" t="n">
        <f aca="false">H131+H132</f>
        <v>167.1</v>
      </c>
      <c r="I169" s="26" t="n">
        <f aca="false">I131+I132</f>
        <v>193.584</v>
      </c>
      <c r="J169" s="26" t="n">
        <f aca="false">J131+J132</f>
        <v>58.087</v>
      </c>
      <c r="K169" s="26" t="n">
        <f aca="false">K131+K132</f>
        <v>60.977</v>
      </c>
      <c r="L169" s="26" t="n">
        <f aca="false">L131+L132</f>
        <v>62.074</v>
      </c>
      <c r="M169" s="26" t="n">
        <f aca="false">M131+M132</f>
        <v>62.726</v>
      </c>
      <c r="N169" s="26" t="n">
        <f aca="false">N131+N132</f>
        <v>243.864</v>
      </c>
      <c r="O169" s="26" t="n">
        <f aca="false">O131+O132</f>
        <v>62.554</v>
      </c>
      <c r="P169" s="26" t="n">
        <f aca="false">P131+P132</f>
        <v>63.825</v>
      </c>
      <c r="Q169" s="26" t="n">
        <f aca="false">Q131+Q132</f>
        <v>65.7</v>
      </c>
      <c r="R169" s="26" t="n">
        <f aca="false">R131+R132</f>
        <v>65.866</v>
      </c>
      <c r="S169" s="26" t="n">
        <f aca="false">S131+S132</f>
        <v>257.944</v>
      </c>
      <c r="T169" s="26" t="n">
        <f aca="false">T131+T132</f>
        <v>64.306</v>
      </c>
      <c r="U169" s="26" t="n">
        <f aca="false">U131+U132</f>
        <v>66.903</v>
      </c>
      <c r="V169" s="26" t="n">
        <f aca="false">V131+V132</f>
        <v>68.568</v>
      </c>
      <c r="W169" s="26" t="n">
        <f aca="false">W131+W132</f>
        <v>69.658</v>
      </c>
      <c r="X169" s="26" t="n">
        <f aca="false">X131+X132</f>
        <v>269.434</v>
      </c>
      <c r="Y169" s="26" t="n">
        <f aca="false">Y131+Y132</f>
        <v>68.591</v>
      </c>
      <c r="Z169" s="26" t="n">
        <f aca="false">Z131+Z132</f>
        <v>98.429</v>
      </c>
      <c r="AA169" s="26" t="n">
        <f aca="false">AA131+AA132</f>
        <v>152.688</v>
      </c>
      <c r="AB169" s="26" t="n">
        <f aca="false">AB131+AB132</f>
        <v>144.205</v>
      </c>
      <c r="AC169" s="26" t="n">
        <f aca="false">AC131+AC132</f>
        <v>463.912</v>
      </c>
      <c r="AD169" s="26" t="n">
        <f aca="false">AD131+AD132</f>
        <v>150.75</v>
      </c>
      <c r="AE169" s="26" t="n">
        <f aca="false">AE131+AE132</f>
        <v>157.589</v>
      </c>
      <c r="AF169" s="26" t="n">
        <f aca="false">AF131+AF132</f>
        <v>163.554</v>
      </c>
      <c r="AG169" s="26" t="n">
        <f aca="false">AG131+AG132</f>
        <v>160.59</v>
      </c>
      <c r="AH169" s="26" t="n">
        <f aca="false">AH131+AH132</f>
        <v>632.484</v>
      </c>
      <c r="AI169" s="26" t="n">
        <f aca="false">AI131+AI132</f>
        <v>159.283</v>
      </c>
      <c r="AJ169" s="26" t="n">
        <f aca="false">AJ131+AJ132</f>
        <v>168.924</v>
      </c>
      <c r="AK169" s="26" t="n">
        <f aca="false">AK131+AK132</f>
        <v>175.103</v>
      </c>
      <c r="AL169" s="26" t="n">
        <f aca="false">AL131+AL132</f>
        <v>177.177</v>
      </c>
      <c r="AM169" s="26" t="n">
        <f aca="false">AM131+AM132</f>
        <v>680.487</v>
      </c>
      <c r="AN169" s="26" t="n">
        <f aca="false">AN131+AN132</f>
        <v>177.389</v>
      </c>
      <c r="AO169" s="26" t="n">
        <f aca="false">AO131+AO132</f>
        <v>188.12</v>
      </c>
      <c r="AP169" s="26" t="n">
        <f aca="false">AP131+AP132</f>
        <v>189.928</v>
      </c>
      <c r="AQ169" s="26" t="n">
        <f aca="false">AQ131+AQ132</f>
        <v>188.481</v>
      </c>
      <c r="AR169" s="26" t="n">
        <f aca="false">AR131+AR132</f>
        <v>743.918</v>
      </c>
      <c r="AS169" s="26" t="n">
        <f aca="false">AS131+AS132</f>
        <v>182.459</v>
      </c>
      <c r="AT169" s="26" t="n">
        <f aca="false">AT131+AT132</f>
        <v>183.001</v>
      </c>
      <c r="AU169" s="26" t="n">
        <f aca="false">AU131+AU132</f>
        <v>190.243</v>
      </c>
      <c r="AV169" s="26" t="n">
        <f aca="false">AV131+AV132</f>
        <v>196.701</v>
      </c>
      <c r="AW169" s="26" t="n">
        <f aca="false">AW131+AW132</f>
        <v>752.404</v>
      </c>
      <c r="AX169" s="26" t="n">
        <f aca="false">AX131+AX132</f>
        <v>189.594</v>
      </c>
      <c r="AY169" s="26" t="n">
        <f aca="false">AY131+AY132</f>
        <v>201.928</v>
      </c>
      <c r="AZ169" s="26" t="n">
        <f aca="false">AZ131+AZ132</f>
        <v>207.302</v>
      </c>
      <c r="BA169" s="26" t="n">
        <f aca="false">BA131+BA132</f>
        <v>214.184</v>
      </c>
      <c r="BB169" s="26" t="n">
        <f aca="false">BB131+BB132</f>
        <v>813.009</v>
      </c>
      <c r="BC169" s="26" t="n">
        <f aca="false">BC131+BC132</f>
        <v>217.585</v>
      </c>
      <c r="BD169" s="26" t="n">
        <f aca="false">BD131+BD132</f>
        <v>226.399</v>
      </c>
      <c r="BE169" s="26" t="n">
        <f aca="false">BE131+BE132</f>
        <v>232.146</v>
      </c>
      <c r="BF169" s="26" t="n">
        <f aca="false">BF131+BF132</f>
        <v>242.83</v>
      </c>
      <c r="BG169" s="26" t="n">
        <f aca="false">BG131+BG132</f>
        <v>918.96</v>
      </c>
      <c r="BH169" s="26" t="n">
        <f aca="false">BH131+BH132</f>
        <v>243.341</v>
      </c>
      <c r="BI169" s="26" t="n">
        <f aca="false">BI131+BI132</f>
        <v>252.374</v>
      </c>
      <c r="BJ169" s="26" t="n">
        <f aca="false">BJ131+BJ132</f>
        <v>254.371</v>
      </c>
      <c r="BK169" s="26" t="n">
        <f aca="false">BK131+BK132</f>
        <v>253.124</v>
      </c>
      <c r="BL169" s="26" t="n">
        <f aca="false">BL131+BL132</f>
        <v>1003.211</v>
      </c>
      <c r="BM169" s="26" t="n">
        <f aca="false">BM131+BM132</f>
        <v>262.981</v>
      </c>
      <c r="BN169" s="26" t="n">
        <f aca="false">BN131+BN132</f>
        <v>285.353</v>
      </c>
      <c r="BO169" s="26" t="n">
        <f aca="false">BO131+BO132</f>
        <v>293.643</v>
      </c>
      <c r="BP169" s="26" t="n">
        <f aca="false">BP131+BP132</f>
        <v>321.793</v>
      </c>
      <c r="BQ169" s="26" t="n">
        <f aca="false">BQ131+BQ132</f>
        <v>1163.769</v>
      </c>
      <c r="BR169" s="26" t="n">
        <f aca="false">BR131+BR132</f>
        <v>289.949</v>
      </c>
      <c r="BS169" s="26" t="n">
        <f aca="false">BS131+BS132</f>
        <v>307.657</v>
      </c>
      <c r="BT169" s="26" t="n">
        <f aca="false">BT131+BT132</f>
        <v>315.33</v>
      </c>
      <c r="BU169" s="26" t="n">
        <f aca="false">BU131+BU132</f>
        <v>319.17</v>
      </c>
      <c r="BV169" s="26" t="n">
        <f aca="false">BV131+BV132</f>
        <v>1232.106</v>
      </c>
      <c r="BW169" s="26" t="n">
        <f aca="false">BW131+BW132</f>
        <v>314.749</v>
      </c>
      <c r="BX169" s="26" t="n">
        <f aca="false">BX131+BX132</f>
        <v>325.877</v>
      </c>
      <c r="BY169" s="47" t="n">
        <f aca="false">BY131+BY132</f>
        <v>331.687</v>
      </c>
      <c r="BZ169" s="47" t="n">
        <f aca="false">BZ131+BZ132</f>
        <v>331.687</v>
      </c>
      <c r="CA169" s="47" t="n">
        <f aca="false">CA131+CA132</f>
        <v>1304</v>
      </c>
      <c r="CB169" s="47" t="n">
        <f aca="false">CB131+CB132</f>
        <v>1371.19482688206</v>
      </c>
      <c r="CC169" s="47" t="n">
        <f aca="false">CC131+CC132</f>
        <v>1470.93640104385</v>
      </c>
      <c r="CD169" s="47" t="n">
        <f aca="false">CD131+CD132</f>
        <v>1576.63846315014</v>
      </c>
      <c r="CE169" s="47" t="n">
        <f aca="false">CE131+CE132</f>
        <v>1684.90745609049</v>
      </c>
      <c r="CF169" s="21"/>
    </row>
    <row r="170" customFormat="false" ht="15" hidden="false" customHeight="true" outlineLevel="0" collapsed="false">
      <c r="B170" s="55" t="s">
        <v>341</v>
      </c>
      <c r="C170" s="56" t="n">
        <f aca="false">SUM(C164:C169)</f>
        <v>242.492</v>
      </c>
      <c r="D170" s="56" t="n">
        <f aca="false">SUM(D164:D169)</f>
        <v>292.926</v>
      </c>
      <c r="E170" s="56" t="n">
        <f aca="false">SUM(E164:E169)</f>
        <v>309.152</v>
      </c>
      <c r="F170" s="56" t="n">
        <f aca="false">SUM(F164:F169)</f>
        <v>353.882</v>
      </c>
      <c r="G170" s="56" t="n">
        <f aca="false">SUM(G164:G169)</f>
        <v>412.476</v>
      </c>
      <c r="H170" s="56" t="n">
        <f aca="false">SUM(H164:H169)</f>
        <v>484.219</v>
      </c>
      <c r="I170" s="56" t="n">
        <f aca="false">SUM(I164:I169)</f>
        <v>510.951</v>
      </c>
      <c r="J170" s="56" t="n">
        <f aca="false">SUM(J164:J169)</f>
        <v>145.742</v>
      </c>
      <c r="K170" s="56" t="n">
        <f aca="false">SUM(K164:K169)</f>
        <v>152.345</v>
      </c>
      <c r="L170" s="56" t="n">
        <f aca="false">SUM(L164:L169)</f>
        <v>178.539</v>
      </c>
      <c r="M170" s="56" t="n">
        <f aca="false">SUM(M164:M169)</f>
        <v>161.738</v>
      </c>
      <c r="N170" s="56" t="n">
        <f aca="false">SUM(N164:N169)</f>
        <v>638.364</v>
      </c>
      <c r="O170" s="56" t="n">
        <f aca="false">SUM(O164:O169)</f>
        <v>162.619</v>
      </c>
      <c r="P170" s="56" t="n">
        <f aca="false">SUM(P164:P169)</f>
        <v>183.202</v>
      </c>
      <c r="Q170" s="56" t="n">
        <f aca="false">SUM(Q164:Q169)</f>
        <v>181.322</v>
      </c>
      <c r="R170" s="56" t="n">
        <f aca="false">SUM(R164:R169)</f>
        <v>181.137</v>
      </c>
      <c r="S170" s="56" t="n">
        <f aca="false">SUM(S164:S169)</f>
        <v>708.28</v>
      </c>
      <c r="T170" s="56" t="n">
        <f aca="false">SUM(T164:T169)</f>
        <v>165.951</v>
      </c>
      <c r="U170" s="56" t="n">
        <f aca="false">SUM(U164:U169)</f>
        <v>177.019</v>
      </c>
      <c r="V170" s="56" t="n">
        <f aca="false">SUM(V164:V169)</f>
        <v>-307.887</v>
      </c>
      <c r="W170" s="56" t="n">
        <f aca="false">SUM(W164:W169)</f>
        <v>172.3</v>
      </c>
      <c r="X170" s="56" t="n">
        <f aca="false">SUM(X164:X169)</f>
        <v>207.384</v>
      </c>
      <c r="Y170" s="56" t="n">
        <f aca="false">SUM(Y164:Y169)</f>
        <v>159.792</v>
      </c>
      <c r="Z170" s="56" t="n">
        <f aca="false">SUM(Z164:Z169)</f>
        <v>161.899</v>
      </c>
      <c r="AA170" s="56" t="n">
        <f aca="false">SUM(AA164:AA169)</f>
        <v>311.675</v>
      </c>
      <c r="AB170" s="56" t="n">
        <f aca="false">SUM(AB164:AB169)</f>
        <v>284.62</v>
      </c>
      <c r="AC170" s="56" t="n">
        <f aca="false">SUM(AC164:AC169)</f>
        <v>917.986</v>
      </c>
      <c r="AD170" s="56" t="n">
        <f aca="false">SUM(AD164:AD169)</f>
        <v>178.03</v>
      </c>
      <c r="AE170" s="56" t="n">
        <f aca="false">SUM(AE164:AE169)</f>
        <v>365.311</v>
      </c>
      <c r="AF170" s="56" t="n">
        <f aca="false">SUM(AF164:AF169)</f>
        <v>382.169</v>
      </c>
      <c r="AG170" s="56" t="n">
        <f aca="false">SUM(AG164:AG169)</f>
        <v>337.081</v>
      </c>
      <c r="AH170" s="56" t="n">
        <f aca="false">SUM(AH164:AH169)</f>
        <v>1261.118</v>
      </c>
      <c r="AI170" s="56" t="n">
        <f aca="false">SUM(AI164:AI169)</f>
        <v>347.382</v>
      </c>
      <c r="AJ170" s="56" t="n">
        <f aca="false">SUM(AJ164:AJ169)</f>
        <v>381.673</v>
      </c>
      <c r="AK170" s="56" t="n">
        <f aca="false">SUM(AK164:AK169)</f>
        <v>408.572</v>
      </c>
      <c r="AL170" s="56" t="n">
        <f aca="false">SUM(AL164:AL169)</f>
        <v>374.934</v>
      </c>
      <c r="AM170" s="56" t="n">
        <f aca="false">SUM(AM164:AM169)</f>
        <v>1512.561</v>
      </c>
      <c r="AN170" s="56" t="n">
        <f aca="false">SUM(AN164:AN169)</f>
        <v>364.91</v>
      </c>
      <c r="AO170" s="56" t="n">
        <f aca="false">SUM(AO164:AO169)</f>
        <v>412.174</v>
      </c>
      <c r="AP170" s="56" t="n">
        <f aca="false">SUM(AP164:AP169)</f>
        <v>426.509</v>
      </c>
      <c r="AQ170" s="56" t="n">
        <f aca="false">SUM(AQ164:AQ169)</f>
        <v>383.807</v>
      </c>
      <c r="AR170" s="56" t="n">
        <f aca="false">SUM(AR164:AR169)</f>
        <v>1587.4</v>
      </c>
      <c r="AS170" s="56" t="n">
        <f aca="false">SUM(AS164:AS169)</f>
        <v>389.901</v>
      </c>
      <c r="AT170" s="56" t="n">
        <f aca="false">SUM(AT164:AT169)</f>
        <v>-43.5840000000001</v>
      </c>
      <c r="AU170" s="56" t="n">
        <f aca="false">SUM(AU164:AU169)</f>
        <v>421.624</v>
      </c>
      <c r="AV170" s="56" t="n">
        <f aca="false">SUM(AV164:AV169)</f>
        <v>395.499</v>
      </c>
      <c r="AW170" s="56" t="n">
        <f aca="false">SUM(AW164:AW169)</f>
        <v>1163.44</v>
      </c>
      <c r="AX170" s="56" t="n">
        <f aca="false">SUM(AX164:AX169)</f>
        <v>431.514</v>
      </c>
      <c r="AY170" s="56" t="n">
        <f aca="false">SUM(AY164:AY169)</f>
        <v>467.481</v>
      </c>
      <c r="AZ170" s="56" t="n">
        <f aca="false">SUM(AZ164:AZ169)</f>
        <v>380.298</v>
      </c>
      <c r="BA170" s="56" t="n">
        <f aca="false">SUM(BA164:BA169)</f>
        <v>464.338</v>
      </c>
      <c r="BB170" s="56" t="n">
        <f aca="false">SUM(BB164:BB169)</f>
        <v>1743.631</v>
      </c>
      <c r="BC170" s="56" t="n">
        <f aca="false">SUM(BC164:BC169)</f>
        <v>487.979</v>
      </c>
      <c r="BD170" s="56" t="n">
        <f aca="false">SUM(BD164:BD169)</f>
        <v>553.34</v>
      </c>
      <c r="BE170" s="56" t="n">
        <f aca="false">SUM(BE164:BE169)</f>
        <v>567.401</v>
      </c>
      <c r="BF170" s="56" t="n">
        <f aca="false">SUM(BF164:BF169)</f>
        <v>555.584</v>
      </c>
      <c r="BG170" s="56" t="n">
        <f aca="false">SUM(BG164:BG169)</f>
        <v>2164.304</v>
      </c>
      <c r="BH170" s="56" t="n">
        <f aca="false">SUM(BH164:BH169)</f>
        <v>561.204</v>
      </c>
      <c r="BI170" s="56" t="n">
        <f aca="false">SUM(BI164:BI169)</f>
        <v>596.302</v>
      </c>
      <c r="BJ170" s="56" t="n">
        <f aca="false">SUM(BJ164:BJ169)</f>
        <v>612.72</v>
      </c>
      <c r="BK170" s="56" t="n">
        <f aca="false">SUM(BK164:BK169)</f>
        <v>481.777</v>
      </c>
      <c r="BL170" s="56" t="n">
        <f aca="false">SUM(BL164:BL169)</f>
        <v>2252.004</v>
      </c>
      <c r="BM170" s="56" t="n">
        <f aca="false">SUM(BM164:BM169)</f>
        <v>627.958</v>
      </c>
      <c r="BN170" s="56" t="n">
        <f aca="false">SUM(BN164:BN169)</f>
        <v>719.705</v>
      </c>
      <c r="BO170" s="56" t="n">
        <f aca="false">SUM(BO164:BO169)</f>
        <v>773.89</v>
      </c>
      <c r="BP170" s="56" t="n">
        <f aca="false">SUM(BP164:BP169)</f>
        <v>120.347</v>
      </c>
      <c r="BQ170" s="56" t="n">
        <f aca="false">SUM(BQ164:BQ169)</f>
        <v>2241.899</v>
      </c>
      <c r="BR170" s="56" t="n">
        <f aca="false">SUM(BR164:BR169)</f>
        <v>682.031</v>
      </c>
      <c r="BS170" s="56" t="n">
        <f aca="false">SUM(BS164:BS169)</f>
        <v>777.252</v>
      </c>
      <c r="BT170" s="56" t="n">
        <f aca="false">SUM(BT164:BT169)</f>
        <v>769.463</v>
      </c>
      <c r="BU170" s="56" t="n">
        <f aca="false">SUM(BU164:BU169)</f>
        <v>743.689</v>
      </c>
      <c r="BV170" s="56" t="n">
        <f aca="false">SUM(BV164:BV169)</f>
        <v>2972.434</v>
      </c>
      <c r="BW170" s="56" t="n">
        <f aca="false">SUM(BW164:BW169)</f>
        <v>682.914</v>
      </c>
      <c r="BX170" s="56" t="n">
        <f aca="false">SUM(BX164:BX169)</f>
        <v>796.684</v>
      </c>
      <c r="BY170" s="56" t="n">
        <f aca="false">SUM(BY164:BY169)</f>
        <v>872.055683832602</v>
      </c>
      <c r="BZ170" s="56" t="n">
        <f aca="false">SUM(BZ164:BZ169)</f>
        <v>833.347316167399</v>
      </c>
      <c r="CA170" s="56" t="n">
        <f aca="false">SUM(CA164:CA169)</f>
        <v>3185.001</v>
      </c>
      <c r="CB170" s="56" t="n">
        <f aca="false">SUM(CB164:CB169)</f>
        <v>3531.06757393391</v>
      </c>
      <c r="CC170" s="56" t="n">
        <f aca="false">SUM(CC164:CC169)</f>
        <v>3824.16161952098</v>
      </c>
      <c r="CD170" s="56" t="n">
        <f aca="false">SUM(CD164:CD169)</f>
        <v>4137.71200639059</v>
      </c>
      <c r="CE170" s="56" t="n">
        <f aca="false">SUM(CE164:CE169)</f>
        <v>4458.59423566292</v>
      </c>
      <c r="CF170" s="21"/>
      <c r="CH170" s="22" t="n">
        <f aca="false">IFERROR((CE170/BV170)^(1/5)-1,"n/m")</f>
        <v>0.0844690098407468</v>
      </c>
      <c r="CI170" s="22" t="n">
        <f aca="false">IFERROR((BV170/AW170)^(1/5)-1,"n/m")</f>
        <v>0.206350881352396</v>
      </c>
      <c r="CJ170" s="22" t="n">
        <f aca="false">IFERROR((BV170/X170)^(1/10)-1,"n/m")</f>
        <v>0.305069671872882</v>
      </c>
      <c r="CK170" s="22" t="n">
        <f aca="false">IFERROR((BV170/C170)^(1/19)-1,"n/m")</f>
        <v>0.140998279969293</v>
      </c>
    </row>
    <row r="171" customFormat="false" ht="15" hidden="false" customHeight="true" outlineLevel="0" collapsed="false">
      <c r="B171" s="29" t="s">
        <v>342</v>
      </c>
      <c r="C171" s="25"/>
      <c r="D171" s="25"/>
      <c r="E171" s="27" t="n">
        <v>1.4</v>
      </c>
      <c r="F171" s="27" t="n">
        <v>2.055</v>
      </c>
      <c r="G171" s="27" t="n">
        <v>1.766</v>
      </c>
      <c r="H171" s="27" t="n">
        <v>1.967</v>
      </c>
      <c r="I171" s="27" t="n">
        <v>2.581</v>
      </c>
      <c r="J171" s="27" t="n">
        <v>0.761</v>
      </c>
      <c r="K171" s="27" t="n">
        <v>0.753</v>
      </c>
      <c r="L171" s="27" t="n">
        <v>0.727</v>
      </c>
      <c r="M171" s="27" t="n">
        <v>0.727</v>
      </c>
      <c r="N171" s="27" t="n">
        <v>2.967</v>
      </c>
      <c r="O171" s="27" t="n">
        <v>0.878</v>
      </c>
      <c r="P171" s="27" t="n">
        <v>0.861</v>
      </c>
      <c r="Q171" s="27" t="n">
        <v>0.869</v>
      </c>
      <c r="R171" s="27" t="n">
        <v>1.018</v>
      </c>
      <c r="S171" s="27" t="n">
        <v>3.627</v>
      </c>
      <c r="T171" s="27" t="n">
        <v>0.955</v>
      </c>
      <c r="U171" s="27" t="n">
        <v>0.987</v>
      </c>
      <c r="V171" s="27" t="n">
        <v>0.978</v>
      </c>
      <c r="W171" s="27" t="n">
        <v>1.058</v>
      </c>
      <c r="X171" s="27" t="n">
        <v>3.978</v>
      </c>
      <c r="Y171" s="27" t="n">
        <v>1.116</v>
      </c>
      <c r="Z171" s="27" t="n">
        <v>1.758</v>
      </c>
      <c r="AA171" s="27" t="n">
        <v>3.034</v>
      </c>
      <c r="AB171" s="27" t="n">
        <v>3.027</v>
      </c>
      <c r="AC171" s="27" t="n">
        <v>8.936</v>
      </c>
      <c r="AD171" s="27" t="n">
        <v>2.917</v>
      </c>
      <c r="AE171" s="27" t="n">
        <v>2.917</v>
      </c>
      <c r="AF171" s="27" t="n">
        <v>2.971</v>
      </c>
      <c r="AG171" s="27" t="n">
        <v>2.976</v>
      </c>
      <c r="AH171" s="27" t="n">
        <v>11.781</v>
      </c>
      <c r="AI171" s="27" t="n">
        <v>3.238</v>
      </c>
      <c r="AJ171" s="27" t="n">
        <v>3.258</v>
      </c>
      <c r="AK171" s="27" t="n">
        <v>3.253</v>
      </c>
      <c r="AL171" s="27" t="n">
        <v>3.248</v>
      </c>
      <c r="AM171" s="27" t="n">
        <v>12.997</v>
      </c>
      <c r="AN171" s="27" t="n">
        <v>3.49</v>
      </c>
      <c r="AO171" s="27" t="n">
        <v>3.682</v>
      </c>
      <c r="AP171" s="27" t="n">
        <v>3.649</v>
      </c>
      <c r="AQ171" s="27" t="n">
        <v>3.649</v>
      </c>
      <c r="AR171" s="27" t="n">
        <v>14.471</v>
      </c>
      <c r="AS171" s="27" t="n">
        <v>3.908</v>
      </c>
      <c r="AT171" s="27" t="n">
        <v>3.709</v>
      </c>
      <c r="AU171" s="27" t="n">
        <v>3.723</v>
      </c>
      <c r="AV171" s="27" t="n">
        <v>3.755</v>
      </c>
      <c r="AW171" s="27" t="n">
        <v>15.095</v>
      </c>
      <c r="AX171" s="27" t="n">
        <v>3.709</v>
      </c>
      <c r="AY171" s="27" t="n">
        <v>3.666</v>
      </c>
      <c r="AZ171" s="27" t="n">
        <v>3.544</v>
      </c>
      <c r="BA171" s="27" t="n">
        <v>3.579</v>
      </c>
      <c r="BB171" s="27" t="n">
        <v>14.497</v>
      </c>
      <c r="BC171" s="27" t="n">
        <v>4.096</v>
      </c>
      <c r="BD171" s="27" t="n">
        <v>3.992</v>
      </c>
      <c r="BE171" s="27" t="n">
        <v>4.061</v>
      </c>
      <c r="BF171" s="27" t="n">
        <v>4.105</v>
      </c>
      <c r="BG171" s="27" t="n">
        <v>16.253</v>
      </c>
      <c r="BH171" s="27" t="n">
        <v>4.52</v>
      </c>
      <c r="BI171" s="27" t="n">
        <v>4.567</v>
      </c>
      <c r="BJ171" s="27" t="n">
        <v>4.609</v>
      </c>
      <c r="BK171" s="27" t="n">
        <v>5.909</v>
      </c>
      <c r="BL171" s="27" t="n">
        <v>19.605</v>
      </c>
      <c r="BM171" s="27" t="n">
        <v>9.405</v>
      </c>
      <c r="BN171" s="27" t="n">
        <v>6.087</v>
      </c>
      <c r="BO171" s="27" t="n">
        <v>7.387</v>
      </c>
      <c r="BP171" s="27" t="n">
        <v>6.896</v>
      </c>
      <c r="BQ171" s="27" t="n">
        <v>29.774</v>
      </c>
      <c r="BR171" s="27" t="n">
        <v>11.874</v>
      </c>
      <c r="BS171" s="27" t="n">
        <v>11.942</v>
      </c>
      <c r="BT171" s="27" t="n">
        <v>11.963</v>
      </c>
      <c r="BU171" s="27" t="n">
        <v>12.176</v>
      </c>
      <c r="BV171" s="27" t="n">
        <v>47.955</v>
      </c>
      <c r="BW171" s="27" t="n">
        <v>10.291</v>
      </c>
      <c r="BX171" s="27" t="n">
        <v>10.328</v>
      </c>
      <c r="BY171" s="47" t="n">
        <f aca="false">($CP$23-BW171-BX171)/2</f>
        <v>9.9945</v>
      </c>
      <c r="BZ171" s="47" t="n">
        <f aca="false">($CP$23-BW171-BX171)/2</f>
        <v>9.9945</v>
      </c>
      <c r="CA171" s="47" t="n">
        <f aca="false">SUM(BW171,BX171,BY171,BZ171)</f>
        <v>40.608</v>
      </c>
      <c r="CB171" s="47" t="n">
        <f aca="false">CB128*CB125</f>
        <v>42.6130813946035</v>
      </c>
      <c r="CC171" s="47" t="n">
        <f aca="false">CC128*CC125</f>
        <v>46.0278473758637</v>
      </c>
      <c r="CD171" s="47" t="n">
        <f aca="false">CD128*CD125</f>
        <v>49.6718528899313</v>
      </c>
      <c r="CE171" s="47" t="n">
        <f aca="false">CE128*CE125</f>
        <v>53.3874939131706</v>
      </c>
      <c r="CF171" s="21" t="s">
        <v>343</v>
      </c>
    </row>
    <row r="172" customFormat="false" ht="15" hidden="false" customHeight="true" outlineLevel="0" collapsed="false">
      <c r="B172" s="29" t="s">
        <v>344</v>
      </c>
      <c r="C172" s="26" t="n">
        <f aca="false">N(C133)</f>
        <v>0.796</v>
      </c>
      <c r="D172" s="26" t="n">
        <f aca="false">N(D133)</f>
        <v>0.25</v>
      </c>
      <c r="E172" s="26" t="n">
        <f aca="false">N(E133)</f>
        <v>0.629</v>
      </c>
      <c r="F172" s="26" t="n">
        <f aca="false">N(F133)</f>
        <v>-0.481</v>
      </c>
      <c r="G172" s="26" t="n">
        <f aca="false">N(G133)</f>
        <v>0.571</v>
      </c>
      <c r="H172" s="26" t="n">
        <f aca="false">N(H133)</f>
        <v>1.657</v>
      </c>
      <c r="I172" s="26" t="n">
        <f aca="false">N(I133)</f>
        <v>-1.924</v>
      </c>
      <c r="J172" s="26" t="n">
        <f aca="false">N(J133)</f>
        <v>-0.322</v>
      </c>
      <c r="K172" s="26" t="n">
        <f aca="false">N(K133)</f>
        <v>13.943</v>
      </c>
      <c r="L172" s="26" t="n">
        <f aca="false">N(L133)</f>
        <v>-1.725</v>
      </c>
      <c r="M172" s="26" t="n">
        <f aca="false">N(M133)</f>
        <v>0.859999999999999</v>
      </c>
      <c r="N172" s="26" t="n">
        <f aca="false">N(N133)</f>
        <v>12.755</v>
      </c>
      <c r="O172" s="26" t="n">
        <f aca="false">N(O133)</f>
        <v>-0.141</v>
      </c>
      <c r="P172" s="26" t="n">
        <f aca="false">N(P133)</f>
        <v>-1.324</v>
      </c>
      <c r="Q172" s="26" t="n">
        <f aca="false">N(Q133)</f>
        <v>9</v>
      </c>
      <c r="R172" s="26" t="n">
        <f aca="false">N(R133)</f>
        <v>-3.444</v>
      </c>
      <c r="S172" s="26" t="n">
        <f aca="false">N(S133)</f>
        <v>4.091</v>
      </c>
      <c r="T172" s="26" t="n">
        <f aca="false">N(T133)</f>
        <v>0.662</v>
      </c>
      <c r="U172" s="26" t="n">
        <f aca="false">N(U133)</f>
        <v>-0.316</v>
      </c>
      <c r="V172" s="26" t="n">
        <f aca="false">N(V133)</f>
        <v>493.813</v>
      </c>
      <c r="W172" s="26" t="n">
        <f aca="false">N(W133)</f>
        <v>0.334000000000003</v>
      </c>
      <c r="X172" s="26" t="n">
        <f aca="false">N(X133)</f>
        <v>494.492</v>
      </c>
      <c r="Y172" s="26" t="n">
        <f aca="false">N(Y133)</f>
        <v>0.236</v>
      </c>
      <c r="Z172" s="26" t="n">
        <f aca="false">N(Z133)</f>
        <v>-3.284</v>
      </c>
      <c r="AA172" s="26" t="n">
        <f aca="false">N(AA133)</f>
        <v>7.682</v>
      </c>
      <c r="AB172" s="26" t="n">
        <f aca="false">N(AB133)</f>
        <v>23.044</v>
      </c>
      <c r="AC172" s="26" t="n">
        <f aca="false">N(AC133)</f>
        <v>27.678</v>
      </c>
      <c r="AD172" s="26" t="n">
        <f aca="false">N(AD133)</f>
        <v>141.681</v>
      </c>
      <c r="AE172" s="26" t="n">
        <f aca="false">N(AE133)</f>
        <v>-1.18</v>
      </c>
      <c r="AF172" s="26" t="n">
        <f aca="false">N(AF133)</f>
        <v>0.832</v>
      </c>
      <c r="AG172" s="26" t="n">
        <f aca="false">N(AG133)</f>
        <v>15.16</v>
      </c>
      <c r="AH172" s="26" t="n">
        <f aca="false">N(AH133)</f>
        <v>156.493</v>
      </c>
      <c r="AI172" s="26" t="n">
        <f aca="false">N(AI133)</f>
        <v>1.03</v>
      </c>
      <c r="AJ172" s="26" t="n">
        <f aca="false">N(AJ133)</f>
        <v>7.073</v>
      </c>
      <c r="AK172" s="26" t="n">
        <f aca="false">N(AK133)</f>
        <v>-1.998</v>
      </c>
      <c r="AL172" s="26" t="n">
        <f aca="false">N(AL133)</f>
        <v>14.012</v>
      </c>
      <c r="AM172" s="26" t="n">
        <f aca="false">N(AM133)</f>
        <v>20.118</v>
      </c>
      <c r="AN172" s="26" t="n">
        <f aca="false">N(AN133)</f>
        <v>16.112</v>
      </c>
      <c r="AO172" s="26" t="n">
        <f aca="false">N(AO133)</f>
        <v>3.902</v>
      </c>
      <c r="AP172" s="26" t="n">
        <f aca="false">N(AP133)</f>
        <v>12.935</v>
      </c>
      <c r="AQ172" s="26" t="n">
        <f aca="false">N(AQ133)</f>
        <v>28.999</v>
      </c>
      <c r="AR172" s="26" t="n">
        <f aca="false">N(AR133)</f>
        <v>61.948</v>
      </c>
      <c r="AS172" s="26" t="n">
        <f aca="false">N(AS133)</f>
        <v>1.506</v>
      </c>
      <c r="AT172" s="26" t="n">
        <f aca="false">N(AT133)</f>
        <v>437.27</v>
      </c>
      <c r="AU172" s="26" t="n">
        <f aca="false">N(AU133)</f>
        <v>3.805</v>
      </c>
      <c r="AV172" s="26" t="n">
        <f aca="false">N(AV133)</f>
        <v>24.136</v>
      </c>
      <c r="AW172" s="26" t="n">
        <f aca="false">N(AW133)</f>
        <v>466.718</v>
      </c>
      <c r="AX172" s="26" t="n">
        <f aca="false">N(AX133)</f>
        <v>0.634</v>
      </c>
      <c r="AY172" s="26" t="n">
        <f aca="false">N(AY133)</f>
        <v>6.081</v>
      </c>
      <c r="AZ172" s="26" t="n">
        <f aca="false">N(AZ133)</f>
        <v>3.104</v>
      </c>
      <c r="BA172" s="26" t="n">
        <f aca="false">N(BA133)</f>
        <v>22.497</v>
      </c>
      <c r="BB172" s="26" t="n">
        <f aca="false">N(BB133)</f>
        <v>32.316</v>
      </c>
      <c r="BC172" s="26" t="n">
        <f aca="false">N(BC133)</f>
        <v>1.878</v>
      </c>
      <c r="BD172" s="26" t="n">
        <f aca="false">N(BD133)</f>
        <v>4.15</v>
      </c>
      <c r="BE172" s="26" t="n">
        <f aca="false">N(BE133)</f>
        <v>13.438</v>
      </c>
      <c r="BF172" s="26" t="n">
        <f aca="false">N(BF133)</f>
        <v>-1.237</v>
      </c>
      <c r="BG172" s="26" t="n">
        <f aca="false">N(BG133)</f>
        <v>18.23</v>
      </c>
      <c r="BH172" s="26" t="n">
        <f aca="false">N(BH133)</f>
        <v>1.865</v>
      </c>
      <c r="BI172" s="26" t="n">
        <f aca="false">N(BI133)</f>
        <v>10.859</v>
      </c>
      <c r="BJ172" s="26" t="n">
        <f aca="false">N(BJ133)</f>
        <v>56.477</v>
      </c>
      <c r="BK172" s="26" t="n">
        <f aca="false">N(BK133)</f>
        <v>169.595</v>
      </c>
      <c r="BL172" s="26" t="n">
        <f aca="false">N(BL133)</f>
        <v>238.796</v>
      </c>
      <c r="BM172" s="26" t="n">
        <f aca="false">N(BM133)</f>
        <v>0.354</v>
      </c>
      <c r="BN172" s="26" t="n">
        <f aca="false">N(BN133)</f>
        <v>8.19</v>
      </c>
      <c r="BO172" s="26" t="n">
        <f aca="false">N(BO133)</f>
        <v>2.897</v>
      </c>
      <c r="BP172" s="26" t="n">
        <f aca="false">N(BP133)</f>
        <v>601.571</v>
      </c>
      <c r="BQ172" s="26" t="n">
        <f aca="false">N(BQ133)</f>
        <v>613.012</v>
      </c>
      <c r="BR172" s="26" t="n">
        <f aca="false">N(BR133)</f>
        <v>6.44</v>
      </c>
      <c r="BS172" s="26" t="n">
        <f aca="false">N(BS133)</f>
        <v>4.03</v>
      </c>
      <c r="BT172" s="26" t="n">
        <f aca="false">N(BT133)</f>
        <v>60.127</v>
      </c>
      <c r="BU172" s="26" t="n">
        <f aca="false">N(BU133)</f>
        <v>39.111</v>
      </c>
      <c r="BV172" s="26" t="n">
        <f aca="false">N(BV133)</f>
        <v>109.709</v>
      </c>
      <c r="BW172" s="26" t="n">
        <f aca="false">N(BW133)</f>
        <v>79.584</v>
      </c>
      <c r="BX172" s="26" t="n">
        <f aca="false">N(BX133)</f>
        <v>58.466</v>
      </c>
      <c r="BY172" s="47" t="n">
        <f aca="false">N(BY133)</f>
        <v>0</v>
      </c>
      <c r="BZ172" s="47" t="n">
        <f aca="false">N(BZ133)</f>
        <v>0</v>
      </c>
      <c r="CA172" s="47" t="n">
        <f aca="false">N(CA133)</f>
        <v>138.05</v>
      </c>
      <c r="CB172" s="47" t="n">
        <f aca="false">N(CB133)</f>
        <v>0</v>
      </c>
      <c r="CC172" s="47" t="n">
        <f aca="false">N(CC133)</f>
        <v>0</v>
      </c>
      <c r="CD172" s="47" t="n">
        <f aca="false">N(CD133)</f>
        <v>0</v>
      </c>
      <c r="CE172" s="47" t="n">
        <f aca="false">N(CE133)</f>
        <v>0</v>
      </c>
      <c r="CF172" s="21"/>
    </row>
    <row r="173" customFormat="false" ht="15" hidden="false" customHeight="true" outlineLevel="0" collapsed="false">
      <c r="B173" s="29" t="s">
        <v>345</v>
      </c>
      <c r="C173" s="26" t="n">
        <f aca="false">-N(C138)-N(C139)+N(C140)</f>
        <v>3.759</v>
      </c>
      <c r="D173" s="26" t="n">
        <f aca="false">-N(D138)-N(D139)+N(D140)</f>
        <v>-0.289</v>
      </c>
      <c r="E173" s="26" t="n">
        <f aca="false">-N(E138)-N(E139)+N(E140)</f>
        <v>0.633</v>
      </c>
      <c r="F173" s="26" t="n">
        <f aca="false">-N(F138)-N(F139)+N(F140)</f>
        <v>7.551</v>
      </c>
      <c r="G173" s="26" t="n">
        <f aca="false">-N(G138)-N(G139)+N(G140)</f>
        <v>7.363</v>
      </c>
      <c r="H173" s="26" t="n">
        <f aca="false">-N(H138)-N(H139)+N(H140)</f>
        <v>-0.057</v>
      </c>
      <c r="I173" s="26" t="n">
        <f aca="false">-N(I138)-N(I139)+N(I140)</f>
        <v>-1.22</v>
      </c>
      <c r="J173" s="26" t="n">
        <f aca="false">-N(J138)-N(J139)+N(J140)</f>
        <v>-0.742</v>
      </c>
      <c r="K173" s="26" t="n">
        <f aca="false">-N(K138)-N(K139)+N(K140)</f>
        <v>1.706</v>
      </c>
      <c r="L173" s="26" t="n">
        <f aca="false">-N(L138)-N(L139)+N(L140)</f>
        <v>-0.845</v>
      </c>
      <c r="M173" s="26" t="n">
        <f aca="false">-N(M138)-N(M139)+N(M140)</f>
        <v>0.101</v>
      </c>
      <c r="N173" s="26" t="n">
        <f aca="false">-N(N138)-N(N139)+N(N140)</f>
        <v>0.22</v>
      </c>
      <c r="O173" s="26" t="n">
        <f aca="false">-N(O138)-N(O139)+N(O140)</f>
        <v>0.524</v>
      </c>
      <c r="P173" s="26" t="n">
        <f aca="false">-N(P138)-N(P139)+N(P140)</f>
        <v>-0.661</v>
      </c>
      <c r="Q173" s="26" t="n">
        <f aca="false">-N(Q138)-N(Q139)+N(Q140)</f>
        <v>0.389</v>
      </c>
      <c r="R173" s="26" t="n">
        <f aca="false">-N(R138)-N(R139)+N(R140)</f>
        <v>-1.319</v>
      </c>
      <c r="S173" s="26" t="n">
        <f aca="false">-N(S138)-N(S139)+N(S140)</f>
        <v>-1.067</v>
      </c>
      <c r="T173" s="26" t="n">
        <f aca="false">-N(T138)-N(T139)+N(T140)</f>
        <v>0.22</v>
      </c>
      <c r="U173" s="26" t="n">
        <f aca="false">-N(U138)-N(U139)+N(U140)</f>
        <v>-0.092</v>
      </c>
      <c r="V173" s="26" t="n">
        <f aca="false">-N(V138)-N(V139)+N(V140)</f>
        <v>1.303</v>
      </c>
      <c r="W173" s="26" t="n">
        <f aca="false">-N(W138)-N(W139)+N(W140)</f>
        <v>-0.912</v>
      </c>
      <c r="X173" s="26" t="n">
        <f aca="false">-N(X138)-N(X139)+N(X140)</f>
        <v>0.518</v>
      </c>
      <c r="Y173" s="26" t="n">
        <f aca="false">-N(Y138)-N(Y139)+N(Y140)</f>
        <v>-0.222</v>
      </c>
      <c r="Z173" s="26" t="n">
        <f aca="false">-N(Z138)-N(Z139)+N(Z140)</f>
        <v>0.025</v>
      </c>
      <c r="AA173" s="26" t="n">
        <f aca="false">-N(AA138)-N(AA139)+N(AA140)</f>
        <v>-0.321</v>
      </c>
      <c r="AB173" s="26" t="n">
        <f aca="false">-N(AB138)-N(AB139)+N(AB140)</f>
        <v>-1.258</v>
      </c>
      <c r="AC173" s="26" t="n">
        <f aca="false">-N(AC138)-N(AC139)+N(AC140)</f>
        <v>-1.776</v>
      </c>
      <c r="AD173" s="26" t="n">
        <f aca="false">-N(AD138)-N(AD139)+N(AD140)</f>
        <v>-0.876</v>
      </c>
      <c r="AE173" s="26" t="n">
        <f aca="false">-N(AE138)-N(AE139)+N(AE140)</f>
        <v>-0.812</v>
      </c>
      <c r="AF173" s="26" t="n">
        <f aca="false">-N(AF138)-N(AF139)+N(AF140)</f>
        <v>0.155</v>
      </c>
      <c r="AG173" s="26" t="n">
        <f aca="false">-N(AG138)-N(AG139)+N(AG140)</f>
        <v>-1.477</v>
      </c>
      <c r="AH173" s="26" t="n">
        <f aca="false">-N(AH138)-N(AH139)+N(AH140)</f>
        <v>-1.536</v>
      </c>
      <c r="AI173" s="26" t="n">
        <f aca="false">-N(AI138)-N(AI139)+N(AI140)</f>
        <v>0.608</v>
      </c>
      <c r="AJ173" s="26" t="n">
        <f aca="false">-N(AJ138)-N(AJ139)+N(AJ140)</f>
        <v>-2.061</v>
      </c>
      <c r="AK173" s="26" t="n">
        <f aca="false">-N(AK138)-N(AK139)+N(AK140)</f>
        <v>-0.6</v>
      </c>
      <c r="AL173" s="26" t="n">
        <f aca="false">-N(AL138)-N(AL139)+N(AL140)</f>
        <v>2.223</v>
      </c>
      <c r="AM173" s="26" t="n">
        <f aca="false">-N(AM138)-N(AM139)+N(AM140)</f>
        <v>0.17</v>
      </c>
      <c r="AN173" s="26" t="n">
        <f aca="false">-N(AN138)-N(AN139)+N(AN140)</f>
        <v>-2.661</v>
      </c>
      <c r="AO173" s="26" t="n">
        <f aca="false">-N(AO138)-N(AO139)+N(AO140)</f>
        <v>-1.92</v>
      </c>
      <c r="AP173" s="26" t="n">
        <f aca="false">-N(AP138)-N(AP139)+N(AP140)</f>
        <v>0.019</v>
      </c>
      <c r="AQ173" s="26" t="n">
        <f aca="false">-N(AQ138)-N(AQ139)+N(AQ140)</f>
        <v>-1.142</v>
      </c>
      <c r="AR173" s="26" t="n">
        <f aca="false">-N(AR138)-N(AR139)+N(AR140)</f>
        <v>-5.704</v>
      </c>
      <c r="AS173" s="26" t="n">
        <f aca="false">-N(AS138)-N(AS139)+N(AS140)</f>
        <v>9.521</v>
      </c>
      <c r="AT173" s="26" t="n">
        <f aca="false">-N(AT138)-N(AT139)+N(AT140)</f>
        <v>-5.772</v>
      </c>
      <c r="AU173" s="26" t="n">
        <f aca="false">-N(AU138)-N(AU139)+N(AU140)</f>
        <v>-0.702</v>
      </c>
      <c r="AV173" s="26" t="n">
        <f aca="false">-N(AV138)-N(AV139)+N(AV140)</f>
        <v>-1.654</v>
      </c>
      <c r="AW173" s="26" t="n">
        <f aca="false">-N(AW138)-N(AW139)+N(AW140)</f>
        <v>1.392</v>
      </c>
      <c r="AX173" s="26" t="n">
        <f aca="false">-N(AX138)-N(AX139)+N(AX140)</f>
        <v>-3.548</v>
      </c>
      <c r="AY173" s="26" t="n">
        <f aca="false">-N(AY138)-N(AY139)+N(AY140)</f>
        <v>1.235</v>
      </c>
      <c r="AZ173" s="26" t="n">
        <f aca="false">-N(AZ138)-N(AZ139)+N(AZ140)</f>
        <v>112.148</v>
      </c>
      <c r="BA173" s="26" t="n">
        <f aca="false">-N(BA138)-N(BA139)+N(BA140)</f>
        <v>-0.833</v>
      </c>
      <c r="BB173" s="26" t="n">
        <f aca="false">-N(BB138)-N(BB139)+N(BB140)</f>
        <v>109.003</v>
      </c>
      <c r="BC173" s="26" t="n">
        <f aca="false">-N(BC138)-N(BC139)+N(BC140)</f>
        <v>3.466</v>
      </c>
      <c r="BD173" s="26" t="n">
        <f aca="false">-N(BD138)-N(BD139)+N(BD140)</f>
        <v>2.649</v>
      </c>
      <c r="BE173" s="26" t="n">
        <f aca="false">-N(BE138)-N(BE139)+N(BE140)</f>
        <v>-8.487</v>
      </c>
      <c r="BF173" s="26" t="n">
        <f aca="false">-N(BF138)-N(BF139)+N(BF140)</f>
        <v>-0.781</v>
      </c>
      <c r="BG173" s="26" t="n">
        <f aca="false">-N(BG138)-N(BG139)+N(BG140)</f>
        <v>-3.154</v>
      </c>
      <c r="BH173" s="26" t="n">
        <f aca="false">-N(BH138)-N(BH139)+N(BH140)</f>
        <v>-3.174</v>
      </c>
      <c r="BI173" s="26" t="n">
        <f aca="false">-N(BI138)-N(BI139)+N(BI140)</f>
        <v>0.2</v>
      </c>
      <c r="BJ173" s="26" t="n">
        <f aca="false">-N(BJ138)-N(BJ139)+N(BJ140)</f>
        <v>-5.372</v>
      </c>
      <c r="BK173" s="26" t="n">
        <f aca="false">-N(BK138)-N(BK139)+N(BK140)</f>
        <v>-4.135</v>
      </c>
      <c r="BL173" s="26" t="n">
        <f aca="false">-N(BL138)-N(BL139)+N(BL140)</f>
        <v>-12.481</v>
      </c>
      <c r="BM173" s="26" t="n">
        <f aca="false">-N(BM138)-N(BM139)+N(BM140)</f>
        <v>1.823</v>
      </c>
      <c r="BN173" s="26" t="n">
        <f aca="false">-N(BN138)-N(BN139)+N(BN140)</f>
        <v>-9.647</v>
      </c>
      <c r="BO173" s="26" t="n">
        <f aca="false">-N(BO138)-N(BO139)+N(BO140)</f>
        <v>-4.904</v>
      </c>
      <c r="BP173" s="26" t="n">
        <f aca="false">-N(BP138)-N(BP139)+N(BP140)</f>
        <v>2.256</v>
      </c>
      <c r="BQ173" s="26" t="n">
        <f aca="false">-N(BQ138)-N(BQ139)+N(BQ140)</f>
        <v>-10.471</v>
      </c>
      <c r="BR173" s="26" t="n">
        <f aca="false">-N(BR138)-N(BR139)+N(BR140)</f>
        <v>-1.872</v>
      </c>
      <c r="BS173" s="26" t="n">
        <f aca="false">-N(BS138)-N(BS139)+N(BS140)</f>
        <v>-10.05</v>
      </c>
      <c r="BT173" s="26" t="n">
        <f aca="false">-N(BT138)-N(BT139)+N(BT140)</f>
        <v>-14.542</v>
      </c>
      <c r="BU173" s="26" t="n">
        <f aca="false">-N(BU138)-N(BU139)+N(BU140)</f>
        <v>-3.691</v>
      </c>
      <c r="BV173" s="26" t="n">
        <f aca="false">-N(BV138)-N(BV139)+N(BV140)</f>
        <v>-30.154</v>
      </c>
      <c r="BW173" s="26" t="n">
        <f aca="false">-N(BW138)-N(BW139)+N(BW140)</f>
        <v>-4.085</v>
      </c>
      <c r="BX173" s="26" t="n">
        <f aca="false">-N(BX138)-N(BX139)+N(BX140)</f>
        <v>-33.253</v>
      </c>
      <c r="BY173" s="47" t="n">
        <f aca="false">-N(BY138)-N(BY139)+N(BY140)</f>
        <v>0</v>
      </c>
      <c r="BZ173" s="47" t="n">
        <f aca="false">-N(BZ138)-N(BZ139)+N(BZ140)</f>
        <v>0</v>
      </c>
      <c r="CA173" s="47" t="n">
        <f aca="false">-N(CA138)-N(CA139)+N(CA140)</f>
        <v>-37.338</v>
      </c>
      <c r="CB173" s="47" t="n">
        <f aca="false">-N(CB138)-N(CB139)+N(CB140)</f>
        <v>0</v>
      </c>
      <c r="CC173" s="47" t="n">
        <f aca="false">-N(CC138)-N(CC139)+N(CC140)</f>
        <v>0</v>
      </c>
      <c r="CD173" s="47" t="n">
        <f aca="false">-N(CD138)-N(CD139)+N(CD140)</f>
        <v>0</v>
      </c>
      <c r="CE173" s="47" t="n">
        <f aca="false">-N(CE138)-N(CE139)+N(CE140)</f>
        <v>0</v>
      </c>
      <c r="CF173" s="21"/>
    </row>
    <row r="174" customFormat="false" ht="15" hidden="false" customHeight="true" outlineLevel="0" collapsed="false">
      <c r="B174" s="29" t="s">
        <v>346</v>
      </c>
      <c r="C174" s="25"/>
      <c r="D174" s="25"/>
      <c r="E174" s="27" t="n">
        <v>1.5</v>
      </c>
      <c r="F174" s="27" t="n">
        <v>3.987</v>
      </c>
      <c r="G174" s="27" t="n">
        <v>2.081</v>
      </c>
      <c r="H174" s="27" t="n">
        <v>1.744</v>
      </c>
      <c r="I174" s="27" t="n">
        <v>6.415</v>
      </c>
      <c r="J174" s="27" t="n">
        <v>0.473</v>
      </c>
      <c r="K174" s="27" t="n">
        <v>0.333</v>
      </c>
      <c r="L174" s="27" t="n">
        <v>0.167</v>
      </c>
      <c r="M174" s="27" t="n">
        <v>0.972</v>
      </c>
      <c r="N174" s="27" t="n">
        <v>1.946</v>
      </c>
      <c r="O174" s="27" t="n">
        <v>0.258</v>
      </c>
      <c r="P174" s="27" t="n">
        <v>0.39</v>
      </c>
      <c r="Q174" s="27" t="n">
        <v>0.736</v>
      </c>
      <c r="R174" s="27" t="n">
        <v>0.763</v>
      </c>
      <c r="S174" s="27" t="n">
        <v>2.147</v>
      </c>
      <c r="T174" s="27" t="n">
        <v>0.512</v>
      </c>
      <c r="U174" s="27" t="n">
        <v>0.082</v>
      </c>
      <c r="V174" s="27" t="n">
        <v>0.777</v>
      </c>
      <c r="W174" s="27" t="n">
        <v>2.863</v>
      </c>
      <c r="X174" s="27" t="n">
        <v>4.235</v>
      </c>
      <c r="Y174" s="27" t="n">
        <v>8.815</v>
      </c>
      <c r="Z174" s="27" t="n">
        <v>37.702</v>
      </c>
      <c r="AA174" s="27" t="n">
        <v>0.31</v>
      </c>
      <c r="AB174" s="27" t="n">
        <v>1.015</v>
      </c>
      <c r="AC174" s="27" t="n">
        <v>47.842</v>
      </c>
      <c r="AD174" s="27" t="n">
        <v>1.744</v>
      </c>
      <c r="AE174" s="27" t="n">
        <v>0.715</v>
      </c>
      <c r="AF174" s="27" t="n">
        <v>1.958</v>
      </c>
      <c r="AG174" s="27" t="n">
        <v>1.282</v>
      </c>
      <c r="AH174" s="27" t="n">
        <v>5.7</v>
      </c>
      <c r="AI174" s="27" t="n">
        <v>2.385</v>
      </c>
      <c r="AJ174" s="27" t="n">
        <v>2.199</v>
      </c>
      <c r="AK174" s="27" t="n">
        <v>0.323</v>
      </c>
      <c r="AL174" s="27" t="n">
        <v>3.701</v>
      </c>
      <c r="AM174" s="27" t="n">
        <v>8.607</v>
      </c>
      <c r="AN174" s="27" t="n">
        <v>0.837</v>
      </c>
      <c r="AO174" s="27" t="n">
        <v>6.184</v>
      </c>
      <c r="AP174" s="27" t="n">
        <v>1.036</v>
      </c>
      <c r="AQ174" s="27" t="n">
        <v>4.278</v>
      </c>
      <c r="AR174" s="27" t="n">
        <v>12.335</v>
      </c>
      <c r="AS174" s="27" t="n">
        <v>1.146</v>
      </c>
      <c r="AT174" s="27" t="n">
        <v>1.016</v>
      </c>
      <c r="AU174" s="27" t="n">
        <v>2.335</v>
      </c>
      <c r="AV174" s="27" t="n">
        <v>5.306</v>
      </c>
      <c r="AW174" s="27" t="n">
        <v>9.803</v>
      </c>
      <c r="AX174" s="27" t="n">
        <v>0.526</v>
      </c>
      <c r="AY174" s="27" t="n">
        <v>0.057</v>
      </c>
      <c r="AZ174" s="27" t="n">
        <v>5.637</v>
      </c>
      <c r="BA174" s="27" t="n">
        <v>5.098</v>
      </c>
      <c r="BB174" s="27" t="n">
        <v>11.318</v>
      </c>
      <c r="BC174" s="27" t="n">
        <v>4.54</v>
      </c>
      <c r="BD174" s="27" t="n">
        <v>3.692</v>
      </c>
      <c r="BE174" s="27" t="n">
        <v>10.461</v>
      </c>
      <c r="BF174" s="27" t="n">
        <v>6.239</v>
      </c>
      <c r="BG174" s="27" t="n">
        <v>24.933</v>
      </c>
      <c r="BH174" s="27" t="n">
        <v>2.081</v>
      </c>
      <c r="BI174" s="27" t="n">
        <v>1.824</v>
      </c>
      <c r="BJ174" s="27" t="n">
        <v>3.108</v>
      </c>
      <c r="BK174" s="27" t="n">
        <v>3.639</v>
      </c>
      <c r="BL174" s="27" t="n">
        <v>10.653</v>
      </c>
      <c r="BM174" s="27" t="n">
        <v>9.847</v>
      </c>
      <c r="BN174" s="27" t="n">
        <v>7.256</v>
      </c>
      <c r="BO174" s="27" t="n">
        <v>8.067</v>
      </c>
      <c r="BP174" s="27" t="n">
        <v>0.89</v>
      </c>
      <c r="BQ174" s="27" t="n">
        <v>26.059</v>
      </c>
      <c r="BR174" s="27" t="n">
        <v>11.97</v>
      </c>
      <c r="BS174" s="27" t="n">
        <v>3.973</v>
      </c>
      <c r="BT174" s="27" t="n">
        <v>3.835</v>
      </c>
      <c r="BU174" s="27" t="n">
        <v>4.4</v>
      </c>
      <c r="BV174" s="27" t="n">
        <v>24.178</v>
      </c>
      <c r="BW174" s="27" t="n">
        <v>2.36</v>
      </c>
      <c r="BX174" s="27" t="n">
        <v>7.588</v>
      </c>
      <c r="BY174" s="57" t="n">
        <v>0</v>
      </c>
      <c r="BZ174" s="57" t="n">
        <v>0</v>
      </c>
      <c r="CA174" s="47" t="n">
        <f aca="false">SUM(BW174,BX174,BY174,BZ174)</f>
        <v>9.948</v>
      </c>
      <c r="CB174" s="57" t="n">
        <v>0</v>
      </c>
      <c r="CC174" s="57" t="n">
        <v>0</v>
      </c>
      <c r="CD174" s="57" t="n">
        <v>0</v>
      </c>
      <c r="CE174" s="57" t="n">
        <v>0</v>
      </c>
      <c r="CF174" s="21" t="s">
        <v>347</v>
      </c>
    </row>
    <row r="175" customFormat="false" ht="15" hidden="false" customHeight="true" outlineLevel="0" collapsed="false">
      <c r="B175" s="29" t="s">
        <v>348</v>
      </c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7" t="n">
        <v>5.357</v>
      </c>
      <c r="AA175" s="27" t="n">
        <v>4.466</v>
      </c>
      <c r="AB175" s="27" t="n">
        <v>4.466</v>
      </c>
      <c r="AC175" s="27" t="n">
        <v>14.289</v>
      </c>
      <c r="AD175" s="27" t="n">
        <v>6.475</v>
      </c>
      <c r="AE175" s="27" t="n">
        <v>4.103</v>
      </c>
      <c r="AF175" s="27" t="n">
        <v>2.369</v>
      </c>
      <c r="AG175" s="27" t="n">
        <v>3.033</v>
      </c>
      <c r="AH175" s="27" t="n">
        <v>16.357</v>
      </c>
      <c r="AI175" s="27" t="n">
        <v>1.163</v>
      </c>
      <c r="AJ175" s="27" t="n">
        <v>2.058</v>
      </c>
      <c r="AK175" s="27" t="n">
        <v>6.88</v>
      </c>
      <c r="AL175" s="27" t="n">
        <v>-0.896</v>
      </c>
      <c r="AM175" s="27" t="n">
        <v>9.205</v>
      </c>
      <c r="AN175" s="27" t="n">
        <v>3.021</v>
      </c>
      <c r="AO175" s="27" t="n">
        <v>1.262</v>
      </c>
      <c r="AP175" s="27" t="n">
        <v>-0.589</v>
      </c>
      <c r="AQ175" s="27" t="n">
        <v>-0.589</v>
      </c>
      <c r="AR175" s="27" t="n">
        <v>3.104</v>
      </c>
      <c r="AS175" s="27" t="n">
        <v>2.541</v>
      </c>
      <c r="AT175" s="27" t="n">
        <v>1.683</v>
      </c>
      <c r="AU175" s="27" t="n">
        <v>1.798</v>
      </c>
      <c r="AV175" s="27" t="n">
        <v>-0.485</v>
      </c>
      <c r="AW175" s="27" t="n">
        <v>5.536</v>
      </c>
      <c r="AX175" s="27" t="n">
        <v>0.339</v>
      </c>
      <c r="AY175" s="27" t="n">
        <v>6.385</v>
      </c>
      <c r="AZ175" s="27" t="n">
        <v>0.914</v>
      </c>
      <c r="BA175" s="27" t="n">
        <v>0.755</v>
      </c>
      <c r="BB175" s="27" t="n">
        <v>8.393</v>
      </c>
      <c r="BC175" s="27" t="n">
        <v>0.161</v>
      </c>
      <c r="BD175" s="27" t="n">
        <v>-1.009</v>
      </c>
      <c r="BE175" s="27" t="n">
        <v>1.196</v>
      </c>
      <c r="BF175" s="27" t="n">
        <v>-0.263</v>
      </c>
      <c r="BG175" s="27" t="n">
        <v>0.086</v>
      </c>
      <c r="BH175" s="27" t="n">
        <v>0.373</v>
      </c>
      <c r="BI175" s="27" t="n">
        <v>0.072</v>
      </c>
      <c r="BJ175" s="27" t="n">
        <v>-0.379</v>
      </c>
      <c r="BK175" s="27" t="n">
        <v>-1.791</v>
      </c>
      <c r="BL175" s="27" t="n">
        <v>-1.726</v>
      </c>
      <c r="BM175" s="27" t="n">
        <v>1.286</v>
      </c>
      <c r="BN175" s="27" t="n">
        <v>0.222</v>
      </c>
      <c r="BO175" s="27" t="n">
        <v>0.099</v>
      </c>
      <c r="BP175" s="27" t="n">
        <v>-0.011</v>
      </c>
      <c r="BQ175" s="27" t="n">
        <v>1.592</v>
      </c>
      <c r="BR175" s="27" t="n">
        <v>1.77</v>
      </c>
      <c r="BS175" s="27" t="n">
        <v>-0.734</v>
      </c>
      <c r="BT175" s="27" t="n">
        <v>-0.509</v>
      </c>
      <c r="BU175" s="27" t="n">
        <v>-0.094</v>
      </c>
      <c r="BV175" s="27" t="n">
        <v>0.433</v>
      </c>
      <c r="BW175" s="27" t="n">
        <v>-1.536</v>
      </c>
      <c r="BX175" s="27" t="n">
        <v>0.267</v>
      </c>
      <c r="BY175" s="57" t="n">
        <v>0</v>
      </c>
      <c r="BZ175" s="57" t="n">
        <v>0</v>
      </c>
      <c r="CA175" s="47" t="n">
        <f aca="false">SUM(BW175,BX175,BY175,BZ175)</f>
        <v>-1.269</v>
      </c>
      <c r="CB175" s="57" t="n">
        <v>0</v>
      </c>
      <c r="CC175" s="57" t="n">
        <v>0</v>
      </c>
      <c r="CD175" s="57" t="n">
        <v>0</v>
      </c>
      <c r="CE175" s="57" t="n">
        <v>0</v>
      </c>
      <c r="CF175" s="21"/>
    </row>
    <row r="176" customFormat="false" ht="15" hidden="false" customHeight="true" outlineLevel="0" collapsed="false">
      <c r="B176" s="29" t="s">
        <v>349</v>
      </c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7" t="n">
        <v>30.122</v>
      </c>
      <c r="AA176" s="27" t="n">
        <v>15.478</v>
      </c>
      <c r="AB176" s="27" t="n">
        <v>10.534</v>
      </c>
      <c r="AC176" s="27" t="n">
        <v>56.134</v>
      </c>
      <c r="AD176" s="27" t="n">
        <v>2.828</v>
      </c>
      <c r="AE176" s="27" t="n">
        <v>2.594</v>
      </c>
      <c r="AF176" s="27" t="n">
        <v>2.922</v>
      </c>
      <c r="AG176" s="27" t="n">
        <v>2.645</v>
      </c>
      <c r="AH176" s="27" t="n">
        <v>10.612</v>
      </c>
      <c r="AI176" s="27" t="n">
        <v>1.11</v>
      </c>
      <c r="AJ176" s="27" t="n">
        <v>1.306</v>
      </c>
      <c r="AK176" s="27" t="n">
        <v>0.379</v>
      </c>
      <c r="AL176" s="27" t="n">
        <v>-0.035</v>
      </c>
      <c r="AM176" s="27" t="n">
        <v>2.76</v>
      </c>
      <c r="AN176" s="27" t="n">
        <v>0</v>
      </c>
      <c r="AO176" s="27" t="n">
        <v>0</v>
      </c>
      <c r="AP176" s="27" t="n">
        <v>0</v>
      </c>
      <c r="AQ176" s="27" t="n">
        <v>0</v>
      </c>
      <c r="AR176" s="27" t="n">
        <v>0</v>
      </c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8"/>
      <c r="BZ176" s="28"/>
      <c r="CA176" s="47" t="n">
        <f aca="false">SUM(BW176,BX176,BY176,BZ176)</f>
        <v>0</v>
      </c>
      <c r="CB176" s="28"/>
      <c r="CC176" s="28"/>
      <c r="CD176" s="28"/>
      <c r="CE176" s="28"/>
      <c r="CF176" s="21"/>
    </row>
    <row r="177" customFormat="false" ht="15" hidden="false" customHeight="true" outlineLevel="0" collapsed="false">
      <c r="B177" s="29" t="s">
        <v>350</v>
      </c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7" t="n">
        <v>15.063</v>
      </c>
      <c r="BJ177" s="27" t="n">
        <v>0</v>
      </c>
      <c r="BK177" s="27" t="n">
        <v>1.042</v>
      </c>
      <c r="BL177" s="27" t="n">
        <v>16.105</v>
      </c>
      <c r="BM177" s="25"/>
      <c r="BN177" s="27" t="n">
        <v>0</v>
      </c>
      <c r="BO177" s="27" t="n">
        <v>0</v>
      </c>
      <c r="BP177" s="27" t="n">
        <v>0</v>
      </c>
      <c r="BQ177" s="27" t="n">
        <v>0</v>
      </c>
      <c r="BR177" s="25"/>
      <c r="BS177" s="25"/>
      <c r="BT177" s="25"/>
      <c r="BU177" s="25"/>
      <c r="BV177" s="25"/>
      <c r="BW177" s="25"/>
      <c r="BX177" s="25"/>
      <c r="BY177" s="28"/>
      <c r="BZ177" s="28"/>
      <c r="CA177" s="47" t="n">
        <f aca="false">SUM(BW177,BX177,BY177,BZ177)</f>
        <v>0</v>
      </c>
      <c r="CB177" s="28"/>
      <c r="CC177" s="28"/>
      <c r="CD177" s="28"/>
      <c r="CE177" s="28"/>
      <c r="CF177" s="21"/>
    </row>
    <row r="178" customFormat="false" ht="15" hidden="false" customHeight="true" outlineLevel="0" collapsed="false">
      <c r="B178" s="29" t="s">
        <v>351</v>
      </c>
      <c r="C178" s="25"/>
      <c r="D178" s="25"/>
      <c r="E178" s="27" t="n">
        <v>0</v>
      </c>
      <c r="F178" s="27" t="n">
        <v>1.839</v>
      </c>
      <c r="G178" s="27" t="n">
        <v>0</v>
      </c>
      <c r="H178" s="25"/>
      <c r="I178" s="27" t="n">
        <v>11.616</v>
      </c>
      <c r="J178" s="27" t="n">
        <v>0.152</v>
      </c>
      <c r="K178" s="27" t="n">
        <v>0.27</v>
      </c>
      <c r="L178" s="27" t="n">
        <v>0.215</v>
      </c>
      <c r="M178" s="27" t="n">
        <v>0.113</v>
      </c>
      <c r="N178" s="27" t="n">
        <v>0.75</v>
      </c>
      <c r="O178" s="27" t="n">
        <v>0</v>
      </c>
      <c r="P178" s="27" t="n">
        <v>0</v>
      </c>
      <c r="Q178" s="27" t="n">
        <v>0</v>
      </c>
      <c r="R178" s="27" t="n">
        <v>0</v>
      </c>
      <c r="S178" s="27" t="n">
        <v>0</v>
      </c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8"/>
      <c r="BZ178" s="28"/>
      <c r="CA178" s="28"/>
      <c r="CB178" s="28"/>
      <c r="CC178" s="28"/>
      <c r="CD178" s="28"/>
      <c r="CE178" s="28"/>
      <c r="CF178" s="21"/>
    </row>
    <row r="179" customFormat="false" ht="15" hidden="false" customHeight="true" outlineLevel="0" collapsed="false">
      <c r="B179" s="18" t="s">
        <v>352</v>
      </c>
      <c r="C179" s="32" t="n">
        <f aca="false">SUM(C171:C178)</f>
        <v>4.555</v>
      </c>
      <c r="D179" s="32" t="n">
        <f aca="false">SUM(D171:D178)</f>
        <v>-0.039</v>
      </c>
      <c r="E179" s="32" t="n">
        <f aca="false">SUM(E171:E178)</f>
        <v>4.162</v>
      </c>
      <c r="F179" s="32" t="n">
        <f aca="false">SUM(F171:F178)</f>
        <v>14.951</v>
      </c>
      <c r="G179" s="32" t="n">
        <f aca="false">SUM(G171:G178)</f>
        <v>11.781</v>
      </c>
      <c r="H179" s="32" t="n">
        <f aca="false">SUM(H171:H178)</f>
        <v>5.311</v>
      </c>
      <c r="I179" s="32" t="n">
        <f aca="false">SUM(I171:I178)</f>
        <v>17.468</v>
      </c>
      <c r="J179" s="32" t="n">
        <f aca="false">SUM(J171:J178)</f>
        <v>0.322</v>
      </c>
      <c r="K179" s="32" t="n">
        <f aca="false">SUM(K171:K178)</f>
        <v>17.005</v>
      </c>
      <c r="L179" s="32" t="n">
        <f aca="false">SUM(L171:L178)</f>
        <v>-1.461</v>
      </c>
      <c r="M179" s="32" t="n">
        <f aca="false">SUM(M171:M178)</f>
        <v>2.773</v>
      </c>
      <c r="N179" s="32" t="n">
        <f aca="false">SUM(N171:N178)</f>
        <v>18.638</v>
      </c>
      <c r="O179" s="32" t="n">
        <f aca="false">SUM(O171:O178)</f>
        <v>1.519</v>
      </c>
      <c r="P179" s="32" t="n">
        <f aca="false">SUM(P171:P178)</f>
        <v>-0.734</v>
      </c>
      <c r="Q179" s="32" t="n">
        <f aca="false">SUM(Q171:Q178)</f>
        <v>10.994</v>
      </c>
      <c r="R179" s="32" t="n">
        <f aca="false">SUM(R171:R178)</f>
        <v>-2.982</v>
      </c>
      <c r="S179" s="32" t="n">
        <f aca="false">SUM(S171:S178)</f>
        <v>8.798</v>
      </c>
      <c r="T179" s="32" t="n">
        <f aca="false">SUM(T171:T178)</f>
        <v>2.349</v>
      </c>
      <c r="U179" s="32" t="n">
        <f aca="false">SUM(U171:U178)</f>
        <v>0.661</v>
      </c>
      <c r="V179" s="32" t="n">
        <f aca="false">SUM(V171:V178)</f>
        <v>496.871</v>
      </c>
      <c r="W179" s="32" t="n">
        <f aca="false">SUM(W171:W178)</f>
        <v>3.343</v>
      </c>
      <c r="X179" s="32" t="n">
        <f aca="false">SUM(X171:X178)</f>
        <v>503.223</v>
      </c>
      <c r="Y179" s="32" t="n">
        <f aca="false">SUM(Y171:Y178)</f>
        <v>9.945</v>
      </c>
      <c r="Z179" s="32" t="n">
        <f aca="false">SUM(Z171:Z178)</f>
        <v>71.68</v>
      </c>
      <c r="AA179" s="32" t="n">
        <f aca="false">SUM(AA171:AA178)</f>
        <v>30.649</v>
      </c>
      <c r="AB179" s="32" t="n">
        <f aca="false">SUM(AB171:AB178)</f>
        <v>40.828</v>
      </c>
      <c r="AC179" s="32" t="n">
        <f aca="false">SUM(AC171:AC178)</f>
        <v>153.103</v>
      </c>
      <c r="AD179" s="32" t="n">
        <f aca="false">SUM(AD171:AD178)</f>
        <v>154.769</v>
      </c>
      <c r="AE179" s="32" t="n">
        <f aca="false">SUM(AE171:AE178)</f>
        <v>8.337</v>
      </c>
      <c r="AF179" s="32" t="n">
        <f aca="false">SUM(AF171:AF178)</f>
        <v>11.207</v>
      </c>
      <c r="AG179" s="32" t="n">
        <f aca="false">SUM(AG171:AG178)</f>
        <v>23.619</v>
      </c>
      <c r="AH179" s="32" t="n">
        <f aca="false">SUM(AH171:AH178)</f>
        <v>199.407</v>
      </c>
      <c r="AI179" s="32" t="n">
        <f aca="false">SUM(AI171:AI178)</f>
        <v>9.534</v>
      </c>
      <c r="AJ179" s="32" t="n">
        <f aca="false">SUM(AJ171:AJ178)</f>
        <v>13.833</v>
      </c>
      <c r="AK179" s="32" t="n">
        <f aca="false">SUM(AK171:AK178)</f>
        <v>8.237</v>
      </c>
      <c r="AL179" s="32" t="n">
        <f aca="false">SUM(AL171:AL178)</f>
        <v>22.253</v>
      </c>
      <c r="AM179" s="32" t="n">
        <f aca="false">SUM(AM171:AM178)</f>
        <v>53.857</v>
      </c>
      <c r="AN179" s="32" t="n">
        <f aca="false">SUM(AN171:AN178)</f>
        <v>20.799</v>
      </c>
      <c r="AO179" s="32" t="n">
        <f aca="false">SUM(AO171:AO178)</f>
        <v>13.11</v>
      </c>
      <c r="AP179" s="32" t="n">
        <f aca="false">SUM(AP171:AP178)</f>
        <v>17.05</v>
      </c>
      <c r="AQ179" s="32" t="n">
        <f aca="false">SUM(AQ171:AQ178)</f>
        <v>35.195</v>
      </c>
      <c r="AR179" s="32" t="n">
        <f aca="false">SUM(AR171:AR178)</f>
        <v>86.154</v>
      </c>
      <c r="AS179" s="32" t="n">
        <f aca="false">SUM(AS171:AS178)</f>
        <v>18.622</v>
      </c>
      <c r="AT179" s="32" t="n">
        <f aca="false">SUM(AT171:AT178)</f>
        <v>437.906</v>
      </c>
      <c r="AU179" s="32" t="n">
        <f aca="false">SUM(AU171:AU178)</f>
        <v>10.959</v>
      </c>
      <c r="AV179" s="32" t="n">
        <f aca="false">SUM(AV171:AV178)</f>
        <v>31.058</v>
      </c>
      <c r="AW179" s="32" t="n">
        <f aca="false">SUM(AW171:AW178)</f>
        <v>498.544</v>
      </c>
      <c r="AX179" s="32" t="n">
        <f aca="false">SUM(AX171:AX178)</f>
        <v>1.66</v>
      </c>
      <c r="AY179" s="32" t="n">
        <f aca="false">SUM(AY171:AY178)</f>
        <v>17.424</v>
      </c>
      <c r="AZ179" s="32" t="n">
        <f aca="false">SUM(AZ171:AZ178)</f>
        <v>125.347</v>
      </c>
      <c r="BA179" s="32" t="n">
        <f aca="false">SUM(BA171:BA178)</f>
        <v>31.096</v>
      </c>
      <c r="BB179" s="32" t="n">
        <f aca="false">SUM(BB171:BB178)</f>
        <v>175.527</v>
      </c>
      <c r="BC179" s="32" t="n">
        <f aca="false">SUM(BC171:BC178)</f>
        <v>14.141</v>
      </c>
      <c r="BD179" s="32" t="n">
        <f aca="false">SUM(BD171:BD178)</f>
        <v>13.474</v>
      </c>
      <c r="BE179" s="32" t="n">
        <f aca="false">SUM(BE171:BE178)</f>
        <v>20.669</v>
      </c>
      <c r="BF179" s="32" t="n">
        <f aca="false">SUM(BF171:BF178)</f>
        <v>8.063</v>
      </c>
      <c r="BG179" s="32" t="n">
        <f aca="false">SUM(BG171:BG178)</f>
        <v>56.348</v>
      </c>
      <c r="BH179" s="32" t="n">
        <f aca="false">SUM(BH171:BH178)</f>
        <v>5.665</v>
      </c>
      <c r="BI179" s="32" t="n">
        <f aca="false">SUM(BI171:BI178)</f>
        <v>32.585</v>
      </c>
      <c r="BJ179" s="32" t="n">
        <f aca="false">SUM(BJ171:BJ178)</f>
        <v>58.443</v>
      </c>
      <c r="BK179" s="32" t="n">
        <f aca="false">SUM(BK171:BK178)</f>
        <v>174.259</v>
      </c>
      <c r="BL179" s="32" t="n">
        <f aca="false">SUM(BL171:BL178)</f>
        <v>270.952</v>
      </c>
      <c r="BM179" s="32" t="n">
        <f aca="false">SUM(BM171:BM178)</f>
        <v>22.715</v>
      </c>
      <c r="BN179" s="32" t="n">
        <f aca="false">SUM(BN171:BN178)</f>
        <v>12.108</v>
      </c>
      <c r="BO179" s="32" t="n">
        <f aca="false">SUM(BO171:BO178)</f>
        <v>13.546</v>
      </c>
      <c r="BP179" s="32" t="n">
        <f aca="false">SUM(BP171:BP178)</f>
        <v>611.602</v>
      </c>
      <c r="BQ179" s="32" t="n">
        <f aca="false">SUM(BQ171:BQ178)</f>
        <v>659.966</v>
      </c>
      <c r="BR179" s="32" t="n">
        <f aca="false">SUM(BR171:BR178)</f>
        <v>30.182</v>
      </c>
      <c r="BS179" s="32" t="n">
        <f aca="false">SUM(BS171:BS178)</f>
        <v>9.161</v>
      </c>
      <c r="BT179" s="32" t="n">
        <f aca="false">SUM(BT171:BT178)</f>
        <v>60.874</v>
      </c>
      <c r="BU179" s="32" t="n">
        <f aca="false">SUM(BU171:BU178)</f>
        <v>51.902</v>
      </c>
      <c r="BV179" s="32" t="n">
        <f aca="false">SUM(BV171:BV178)</f>
        <v>152.121</v>
      </c>
      <c r="BW179" s="32" t="n">
        <f aca="false">SUM(BW171:BW178)</f>
        <v>86.614</v>
      </c>
      <c r="BX179" s="32" t="n">
        <f aca="false">SUM(BX171:BX178)</f>
        <v>43.396</v>
      </c>
      <c r="BY179" s="20" t="n">
        <f aca="false">SUM(BY171:BY178)</f>
        <v>9.9945</v>
      </c>
      <c r="BZ179" s="20" t="n">
        <f aca="false">SUM(BZ171:BZ178)</f>
        <v>9.9945</v>
      </c>
      <c r="CA179" s="20" t="n">
        <f aca="false">SUM(CA171:CA178)</f>
        <v>149.999</v>
      </c>
      <c r="CB179" s="20" t="n">
        <f aca="false">SUM(CB171:CB178)</f>
        <v>42.6130813946035</v>
      </c>
      <c r="CC179" s="20" t="n">
        <f aca="false">SUM(CC171:CC178)</f>
        <v>46.0278473758637</v>
      </c>
      <c r="CD179" s="20" t="n">
        <f aca="false">SUM(CD171:CD178)</f>
        <v>49.6718528899313</v>
      </c>
      <c r="CE179" s="20" t="n">
        <f aca="false">SUM(CE171:CE178)</f>
        <v>53.3874939131706</v>
      </c>
      <c r="CF179" s="21"/>
    </row>
    <row r="180" customFormat="false" ht="15" hidden="false" customHeight="true" outlineLevel="0" collapsed="false">
      <c r="B180" s="55" t="s">
        <v>353</v>
      </c>
      <c r="C180" s="56" t="n">
        <f aca="false">C170+C179</f>
        <v>247.047</v>
      </c>
      <c r="D180" s="56" t="n">
        <f aca="false">D170+D179</f>
        <v>292.887</v>
      </c>
      <c r="E180" s="56" t="n">
        <f aca="false">E170+E179</f>
        <v>313.314</v>
      </c>
      <c r="F180" s="56" t="n">
        <f aca="false">F170+F179</f>
        <v>368.833</v>
      </c>
      <c r="G180" s="56" t="n">
        <f aca="false">G170+G179</f>
        <v>424.257</v>
      </c>
      <c r="H180" s="56" t="n">
        <f aca="false">H170+H179</f>
        <v>489.53</v>
      </c>
      <c r="I180" s="56" t="n">
        <f aca="false">I170+I179</f>
        <v>528.419</v>
      </c>
      <c r="J180" s="56" t="n">
        <f aca="false">J170+J179</f>
        <v>146.064</v>
      </c>
      <c r="K180" s="56" t="n">
        <f aca="false">K170+K179</f>
        <v>169.35</v>
      </c>
      <c r="L180" s="56" t="n">
        <f aca="false">L170+L179</f>
        <v>177.078</v>
      </c>
      <c r="M180" s="56" t="n">
        <f aca="false">M170+M179</f>
        <v>164.511</v>
      </c>
      <c r="N180" s="56" t="n">
        <f aca="false">N170+N179</f>
        <v>657.002</v>
      </c>
      <c r="O180" s="56" t="n">
        <f aca="false">O170+O179</f>
        <v>164.138</v>
      </c>
      <c r="P180" s="56" t="n">
        <f aca="false">P170+P179</f>
        <v>182.468</v>
      </c>
      <c r="Q180" s="56" t="n">
        <f aca="false">Q170+Q179</f>
        <v>192.316</v>
      </c>
      <c r="R180" s="56" t="n">
        <f aca="false">R170+R179</f>
        <v>178.155</v>
      </c>
      <c r="S180" s="56" t="n">
        <f aca="false">S170+S179</f>
        <v>717.078</v>
      </c>
      <c r="T180" s="56" t="n">
        <f aca="false">T170+T179</f>
        <v>168.3</v>
      </c>
      <c r="U180" s="56" t="n">
        <f aca="false">U170+U179</f>
        <v>177.68</v>
      </c>
      <c r="V180" s="56" t="n">
        <f aca="false">V170+V179</f>
        <v>188.984</v>
      </c>
      <c r="W180" s="56" t="n">
        <f aca="false">W170+W179</f>
        <v>175.643</v>
      </c>
      <c r="X180" s="56" t="n">
        <f aca="false">X170+X179</f>
        <v>710.607</v>
      </c>
      <c r="Y180" s="56" t="n">
        <f aca="false">Y170+Y179</f>
        <v>169.737</v>
      </c>
      <c r="Z180" s="56" t="n">
        <f aca="false">Z170+Z179</f>
        <v>233.579</v>
      </c>
      <c r="AA180" s="56" t="n">
        <f aca="false">AA170+AA179</f>
        <v>342.324</v>
      </c>
      <c r="AB180" s="56" t="n">
        <f aca="false">AB170+AB179</f>
        <v>325.448</v>
      </c>
      <c r="AC180" s="56" t="n">
        <f aca="false">AC170+AC179</f>
        <v>1071.089</v>
      </c>
      <c r="AD180" s="56" t="n">
        <f aca="false">AD170+AD179</f>
        <v>332.799</v>
      </c>
      <c r="AE180" s="56" t="n">
        <f aca="false">AE170+AE179</f>
        <v>373.648</v>
      </c>
      <c r="AF180" s="56" t="n">
        <f aca="false">AF170+AF179</f>
        <v>393.376</v>
      </c>
      <c r="AG180" s="56" t="n">
        <f aca="false">AG170+AG179</f>
        <v>360.7</v>
      </c>
      <c r="AH180" s="56" t="n">
        <f aca="false">AH170+AH179</f>
        <v>1460.525</v>
      </c>
      <c r="AI180" s="56" t="n">
        <f aca="false">AI170+AI179</f>
        <v>356.916</v>
      </c>
      <c r="AJ180" s="56" t="n">
        <f aca="false">AJ170+AJ179</f>
        <v>395.506</v>
      </c>
      <c r="AK180" s="56" t="n">
        <f aca="false">AK170+AK179</f>
        <v>416.809</v>
      </c>
      <c r="AL180" s="56" t="n">
        <f aca="false">AL170+AL179</f>
        <v>397.187</v>
      </c>
      <c r="AM180" s="56" t="n">
        <f aca="false">AM170+AM179</f>
        <v>1566.418</v>
      </c>
      <c r="AN180" s="56" t="n">
        <f aca="false">AN170+AN179</f>
        <v>385.709</v>
      </c>
      <c r="AO180" s="56" t="n">
        <f aca="false">AO170+AO179</f>
        <v>425.284</v>
      </c>
      <c r="AP180" s="56" t="n">
        <f aca="false">AP170+AP179</f>
        <v>443.559</v>
      </c>
      <c r="AQ180" s="56" t="n">
        <f aca="false">AQ170+AQ179</f>
        <v>419.002</v>
      </c>
      <c r="AR180" s="56" t="n">
        <f aca="false">AR170+AR179</f>
        <v>1673.554</v>
      </c>
      <c r="AS180" s="56" t="n">
        <f aca="false">AS170+AS179</f>
        <v>408.523</v>
      </c>
      <c r="AT180" s="56" t="n">
        <f aca="false">AT170+AT179</f>
        <v>394.322</v>
      </c>
      <c r="AU180" s="56" t="n">
        <f aca="false">AU170+AU179</f>
        <v>432.583</v>
      </c>
      <c r="AV180" s="56" t="n">
        <f aca="false">AV170+AV179</f>
        <v>426.557</v>
      </c>
      <c r="AW180" s="56" t="n">
        <f aca="false">AW170+AW179</f>
        <v>1661.984</v>
      </c>
      <c r="AX180" s="56" t="n">
        <f aca="false">AX170+AX179</f>
        <v>433.174</v>
      </c>
      <c r="AY180" s="56" t="n">
        <f aca="false">AY170+AY179</f>
        <v>484.905</v>
      </c>
      <c r="AZ180" s="56" t="n">
        <f aca="false">AZ170+AZ179</f>
        <v>505.645</v>
      </c>
      <c r="BA180" s="56" t="n">
        <f aca="false">BA170+BA179</f>
        <v>495.434</v>
      </c>
      <c r="BB180" s="56" t="n">
        <f aca="false">BB170+BB179</f>
        <v>1919.158</v>
      </c>
      <c r="BC180" s="56" t="n">
        <f aca="false">BC170+BC179</f>
        <v>502.12</v>
      </c>
      <c r="BD180" s="56" t="n">
        <f aca="false">BD170+BD179</f>
        <v>566.814</v>
      </c>
      <c r="BE180" s="56" t="n">
        <f aca="false">BE170+BE179</f>
        <v>588.07</v>
      </c>
      <c r="BF180" s="56" t="n">
        <f aca="false">BF170+BF179</f>
        <v>563.647</v>
      </c>
      <c r="BG180" s="56" t="n">
        <f aca="false">BG170+BG179</f>
        <v>2220.652</v>
      </c>
      <c r="BH180" s="56" t="n">
        <f aca="false">BH170+BH179</f>
        <v>566.869</v>
      </c>
      <c r="BI180" s="56" t="n">
        <f aca="false">BI170+BI179</f>
        <v>628.887</v>
      </c>
      <c r="BJ180" s="56" t="n">
        <f aca="false">BJ170+BJ179</f>
        <v>671.163</v>
      </c>
      <c r="BK180" s="56" t="n">
        <f aca="false">BK170+BK179</f>
        <v>656.036</v>
      </c>
      <c r="BL180" s="56" t="n">
        <f aca="false">BL170+BL179</f>
        <v>2522.956</v>
      </c>
      <c r="BM180" s="56" t="n">
        <f aca="false">BM170+BM179</f>
        <v>650.673</v>
      </c>
      <c r="BN180" s="56" t="n">
        <f aca="false">BN170+BN179</f>
        <v>731.813</v>
      </c>
      <c r="BO180" s="56" t="n">
        <f aca="false">BO170+BO179</f>
        <v>787.436</v>
      </c>
      <c r="BP180" s="56" t="n">
        <f aca="false">BP170+BP179</f>
        <v>731.949</v>
      </c>
      <c r="BQ180" s="56" t="n">
        <f aca="false">BQ170+BQ179</f>
        <v>2901.865</v>
      </c>
      <c r="BR180" s="56" t="n">
        <f aca="false">BR170+BR179</f>
        <v>712.213</v>
      </c>
      <c r="BS180" s="56" t="n">
        <f aca="false">BS170+BS179</f>
        <v>786.413</v>
      </c>
      <c r="BT180" s="56" t="n">
        <f aca="false">BT170+BT179</f>
        <v>830.337</v>
      </c>
      <c r="BU180" s="56" t="n">
        <f aca="false">BU170+BU179</f>
        <v>795.591</v>
      </c>
      <c r="BV180" s="56" t="n">
        <f aca="false">BV170+BV179</f>
        <v>3124.555</v>
      </c>
      <c r="BW180" s="56" t="n">
        <f aca="false">BW170+BW179</f>
        <v>769.528</v>
      </c>
      <c r="BX180" s="56" t="n">
        <f aca="false">BX170+BX179</f>
        <v>840.08</v>
      </c>
      <c r="BY180" s="56" t="n">
        <f aca="false">BY170+BY179</f>
        <v>882.050183832602</v>
      </c>
      <c r="BZ180" s="56" t="n">
        <f aca="false">BZ170+BZ179</f>
        <v>843.341816167399</v>
      </c>
      <c r="CA180" s="56" t="n">
        <f aca="false">CA170+CA179</f>
        <v>3335</v>
      </c>
      <c r="CB180" s="56" t="n">
        <f aca="false">CB170+CB179</f>
        <v>3573.68065532851</v>
      </c>
      <c r="CC180" s="56" t="n">
        <f aca="false">CC170+CC179</f>
        <v>3870.18946689685</v>
      </c>
      <c r="CD180" s="56" t="n">
        <f aca="false">CD170+CD179</f>
        <v>4187.38385928052</v>
      </c>
      <c r="CE180" s="56" t="n">
        <f aca="false">CE170+CE179</f>
        <v>4511.98172957609</v>
      </c>
      <c r="CF180" s="21" t="s">
        <v>354</v>
      </c>
      <c r="CH180" s="22" t="n">
        <f aca="false">IFERROR((CE180/BV180)^(1/5)-1,"n/m")</f>
        <v>0.0762566099267559</v>
      </c>
      <c r="CI180" s="22" t="n">
        <f aca="false">IFERROR((BV180/AW180)^(1/5)-1,"n/m")</f>
        <v>0.134572537127301</v>
      </c>
      <c r="CJ180" s="22" t="n">
        <f aca="false">IFERROR((BV180/X180)^(1/10)-1,"n/m")</f>
        <v>0.159620459815979</v>
      </c>
      <c r="CK180" s="22" t="n">
        <f aca="false">IFERROR((BV180/C180)^(1/19)-1,"n/m")</f>
        <v>0.14287952444397</v>
      </c>
    </row>
    <row r="181" customFormat="false" ht="15" hidden="false" customHeight="true" outlineLevel="0" collapsed="false">
      <c r="B181" s="29" t="s">
        <v>355</v>
      </c>
      <c r="C181" s="38" t="n">
        <f aca="false">IF(AND(ISNUMBER(C180),ISNUMBER(C128)),IFERROR(C180/C128,""),"")</f>
        <v>0.299685571975147</v>
      </c>
      <c r="D181" s="38" t="n">
        <f aca="false">IF(AND(ISNUMBER(D180),ISNUMBER(D128)),IFERROR(D180/D128,""),"")</f>
        <v>0.305555004950232</v>
      </c>
      <c r="E181" s="38" t="n">
        <f aca="false">IF(AND(ISNUMBER(E180),ISNUMBER(E128)),IFERROR(E180/E128,""),"")</f>
        <v>0.29850714984618</v>
      </c>
      <c r="F181" s="38" t="n">
        <f aca="false">IF(AND(ISNUMBER(F180),ISNUMBER(F128)),IFERROR(F180/F128,""),"")</f>
        <v>0.309581305245205</v>
      </c>
      <c r="G181" s="38" t="n">
        <f aca="false">IF(AND(ISNUMBER(G180),ISNUMBER(G128)),IFERROR(G180/G128,""),"")</f>
        <v>0.321465997149475</v>
      </c>
      <c r="H181" s="38" t="n">
        <f aca="false">IF(AND(ISNUMBER(H180),ISNUMBER(H128)),IFERROR(H180/H128,""),"")</f>
        <v>0.325190020234282</v>
      </c>
      <c r="I181" s="38" t="n">
        <f aca="false">IF(AND(ISNUMBER(I180),ISNUMBER(I128)),IFERROR(I180/I128,""),"")</f>
        <v>0.318014730220785</v>
      </c>
      <c r="J181" s="38" t="n">
        <f aca="false">IF(AND(ISNUMBER(J180),ISNUMBER(J128)),IFERROR(J180/J128,""),"")</f>
        <v>0.324664586167347</v>
      </c>
      <c r="K181" s="38" t="n">
        <f aca="false">IF(AND(ISNUMBER(K180),ISNUMBER(K128)),IFERROR(K180/K128,""),"")</f>
        <v>0.346049397095515</v>
      </c>
      <c r="L181" s="38" t="n">
        <f aca="false">IF(AND(ISNUMBER(L180),ISNUMBER(L128)),IFERROR(L180/L128,""),"")</f>
        <v>0.351592189752326</v>
      </c>
      <c r="M181" s="38" t="n">
        <f aca="false">IF(AND(ISNUMBER(M180),ISNUMBER(M128)),IFERROR(M180/M128,""),"")</f>
        <v>0.338585691440427</v>
      </c>
      <c r="N181" s="38" t="n">
        <f aca="false">IF(AND(ISNUMBER(N180),ISNUMBER(N128)),IFERROR(N180/N128,""),"")</f>
        <v>0.34062821606236</v>
      </c>
      <c r="O181" s="38" t="n">
        <f aca="false">IF(AND(ISNUMBER(O180),ISNUMBER(O128)),IFERROR(O180/O128,""),"")</f>
        <v>0.340740279421229</v>
      </c>
      <c r="P181" s="38" t="n">
        <f aca="false">IF(AND(ISNUMBER(P180),ISNUMBER(P128)),IFERROR(P180/P128,""),"")</f>
        <v>0.347761452887689</v>
      </c>
      <c r="Q181" s="38" t="n">
        <f aca="false">IF(AND(ISNUMBER(Q180),ISNUMBER(Q128)),IFERROR(Q180/Q128,""),"")</f>
        <v>0.351872011943991</v>
      </c>
      <c r="R181" s="38" t="n">
        <f aca="false">IF(AND(ISNUMBER(R180),ISNUMBER(R128)),IFERROR(R180/R128,""),"")</f>
        <v>0.33856062088926</v>
      </c>
      <c r="S181" s="38" t="n">
        <f aca="false">IF(AND(ISNUMBER(S180),ISNUMBER(S128)),IFERROR(S180/S128,""),"")</f>
        <v>0.344887325013972</v>
      </c>
      <c r="T181" s="38" t="n">
        <f aca="false">IF(AND(ISNUMBER(T180),ISNUMBER(T128)),IFERROR(T180/T128,""),"")</f>
        <v>0.332542975696503</v>
      </c>
      <c r="U181" s="38" t="n">
        <f aca="false">IF(AND(ISNUMBER(U180),ISNUMBER(U128)),IFERROR(U180/U128,""),"")</f>
        <v>0.33441744210558</v>
      </c>
      <c r="V181" s="38" t="n">
        <f aca="false">IF(AND(ISNUMBER(V180),ISNUMBER(V128)),IFERROR(V180/V128,""),"")</f>
        <v>0.344900335439411</v>
      </c>
      <c r="W181" s="38" t="n">
        <f aca="false">IF(AND(ISNUMBER(W180),ISNUMBER(W128)),IFERROR(W180/W128,""),"")</f>
        <v>0.330195117090934</v>
      </c>
      <c r="X181" s="38" t="n">
        <f aca="false">IF(AND(ISNUMBER(X180),ISNUMBER(X128)),IFERROR(X180/X128,""),"")</f>
        <v>0.335621481641365</v>
      </c>
      <c r="Y181" s="38" t="n">
        <f aca="false">IF(AND(ISNUMBER(Y180),ISNUMBER(Y128)),IFERROR(Y180/Y128,""),"")</f>
        <v>0.329791326649569</v>
      </c>
      <c r="Z181" s="38" t="n">
        <f aca="false">IF(AND(ISNUMBER(Z180),ISNUMBER(Z128)),IFERROR(Z180/Z128,""),"")</f>
        <v>0.321009456612414</v>
      </c>
      <c r="AA181" s="38" t="n">
        <f aca="false">IF(AND(ISNUMBER(AA180),ISNUMBER(AA128)),IFERROR(AA180/AA128,""),"")</f>
        <v>0.315528673950754</v>
      </c>
      <c r="AB181" s="38" t="n">
        <f aca="false">IF(AND(ISNUMBER(AB180),ISNUMBER(AB128)),IFERROR(AB180/AB128,""),"")</f>
        <v>0.310357783834404</v>
      </c>
      <c r="AC181" s="38" t="n">
        <f aca="false">IF(AND(ISNUMBER(AC180),ISNUMBER(AC128)),IFERROR(AC180/AC128,""),"")</f>
        <v>0.317278574397125</v>
      </c>
      <c r="AD181" s="38" t="n">
        <f aca="false">IF(AND(ISNUMBER(AD180),ISNUMBER(AD128)),IFERROR(AD180/AD128,""),"")</f>
        <v>0.304965975298415</v>
      </c>
      <c r="AE181" s="38" t="n">
        <f aca="false">IF(AND(ISNUMBER(AE180),ISNUMBER(AE128)),IFERROR(AE180/AE128,""),"")</f>
        <v>0.317844380040644</v>
      </c>
      <c r="AF181" s="38" t="n">
        <f aca="false">IF(AND(ISNUMBER(AF180),ISNUMBER(AF128)),IFERROR(AF180/AF128,""),"")</f>
        <v>0.326053189531844</v>
      </c>
      <c r="AG181" s="38" t="n">
        <f aca="false">IF(AND(ISNUMBER(AG180),ISNUMBER(AG128)),IFERROR(AG180/AG128,""),"")</f>
        <v>0.311707390844081</v>
      </c>
      <c r="AH181" s="38" t="n">
        <f aca="false">IF(AND(ISNUMBER(AH180),ISNUMBER(AH128)),IFERROR(AH180/AH128,""),"")</f>
        <v>0.315414919550596</v>
      </c>
      <c r="AI181" s="38" t="n">
        <f aca="false">IF(AND(ISNUMBER(AI180),ISNUMBER(AI128)),IFERROR(AI180/AI128,""),"")</f>
        <v>0.313048237439382</v>
      </c>
      <c r="AJ181" s="38" t="n">
        <f aca="false">IF(AND(ISNUMBER(AJ180),ISNUMBER(AJ128)),IFERROR(AJ180/AJ128,""),"")</f>
        <v>0.31896468295956</v>
      </c>
      <c r="AK181" s="38" t="n">
        <f aca="false">IF(AND(ISNUMBER(AK180),ISNUMBER(AK128)),IFERROR(AK180/AK128,""),"")</f>
        <v>0.325349891890626</v>
      </c>
      <c r="AL181" s="38" t="n">
        <f aca="false">IF(AND(ISNUMBER(AL180),ISNUMBER(AL128)),IFERROR(AL180/AL128,""),"")</f>
        <v>0.314795059489654</v>
      </c>
      <c r="AM181" s="38" t="n">
        <f aca="false">IF(AND(ISNUMBER(AM180),ISNUMBER(AM128)),IFERROR(AM180/AM128,""),"")</f>
        <v>0.318187441206385</v>
      </c>
      <c r="AN181" s="38" t="n">
        <f aca="false">IF(AND(ISNUMBER(AN180),ISNUMBER(AN128)),IFERROR(AN180/AN128,""),"")</f>
        <v>0.309896781149845</v>
      </c>
      <c r="AO181" s="38" t="n">
        <f aca="false">IF(AND(ISNUMBER(AO180),ISNUMBER(AO128)),IFERROR(AO180/AO128,""),"")</f>
        <v>0.310508097389166</v>
      </c>
      <c r="AP181" s="38" t="n">
        <f aca="false">IF(AND(ISNUMBER(AP180),ISNUMBER(AP128)),IFERROR(AP180/AP128,""),"")</f>
        <v>0.314036521093934</v>
      </c>
      <c r="AQ181" s="38" t="n">
        <f aca="false">IF(AND(ISNUMBER(AQ180),ISNUMBER(AQ128)),IFERROR(AQ180/AQ128,""),"")</f>
        <v>0.307646333225645</v>
      </c>
      <c r="AR181" s="38" t="n">
        <f aca="false">IF(AND(ISNUMBER(AR180),ISNUMBER(AR128)),IFERROR(AR180/AR128,""),"")</f>
        <v>0.310568508534281</v>
      </c>
      <c r="AS181" s="38" t="n">
        <f aca="false">IF(AND(ISNUMBER(AS180),ISNUMBER(AS128)),IFERROR(AS180/AS128,""),"")</f>
        <v>0.30207171821438</v>
      </c>
      <c r="AT181" s="38" t="n">
        <f aca="false">IF(AND(ISNUMBER(AT180),ISNUMBER(AT128)),IFERROR(AT180/AT128,""),"")</f>
        <v>0.301981494613955</v>
      </c>
      <c r="AU181" s="38" t="n">
        <f aca="false">IF(AND(ISNUMBER(AU180),ISNUMBER(AU128)),IFERROR(AU180/AU128,""),"")</f>
        <v>0.311311127615231</v>
      </c>
      <c r="AV181" s="38" t="n">
        <f aca="false">IF(AND(ISNUMBER(AV180),ISNUMBER(AV128)),IFERROR(AV180/AV128,""),"")</f>
        <v>0.305064684380701</v>
      </c>
      <c r="AW181" s="38" t="n">
        <f aca="false">IF(AND(ISNUMBER(AW180),ISNUMBER(AW128)),IFERROR(AW180/AW128,""),"")</f>
        <v>0.305175734806711</v>
      </c>
      <c r="AX181" s="38" t="n">
        <f aca="false">IF(AND(ISNUMBER(AX180),ISNUMBER(AX128)),IFERROR(AX180/AX128,""),"")</f>
        <v>0.310309454117721</v>
      </c>
      <c r="AY181" s="38" t="n">
        <f aca="false">IF(AND(ISNUMBER(AY180),ISNUMBER(AY128)),IFERROR(AY180/AY128,""),"")</f>
        <v>0.316119173548223</v>
      </c>
      <c r="AZ181" s="38" t="n">
        <f aca="false">IF(AND(ISNUMBER(AZ180),ISNUMBER(AZ128)),IFERROR(AZ180/AZ128,""),"")</f>
        <v>0.31658848662132</v>
      </c>
      <c r="BA181" s="38" t="n">
        <f aca="false">IF(AND(ISNUMBER(BA180),ISNUMBER(BA128)),IFERROR(BA180/BA128,""),"")</f>
        <v>0.305010284309917</v>
      </c>
      <c r="BB181" s="38" t="n">
        <f aca="false">IF(AND(ISNUMBER(BB180),ISNUMBER(BB128)),IFERROR(BB180/BB128,""),"")</f>
        <v>0.311989167925602</v>
      </c>
      <c r="BC181" s="38" t="n">
        <f aca="false">IF(AND(ISNUMBER(BC180),ISNUMBER(BC128)),IFERROR(BC180/BC128,""),"")</f>
        <v>0.305007425945555</v>
      </c>
      <c r="BD181" s="38" t="n">
        <f aca="false">IF(AND(ISNUMBER(BD180),ISNUMBER(BD128)),IFERROR(BD180/BD128,""),"")</f>
        <v>0.312047499635275</v>
      </c>
      <c r="BE181" s="38" t="n">
        <f aca="false">IF(AND(ISNUMBER(BE180),ISNUMBER(BE128)),IFERROR(BE180/BE128,""),"")</f>
        <v>0.312825155808812</v>
      </c>
      <c r="BF181" s="38" t="n">
        <f aca="false">IF(AND(ISNUMBER(BF180),ISNUMBER(BF128)),IFERROR(BF180/BF128,""),"")</f>
        <v>0.301528218301921</v>
      </c>
      <c r="BG181" s="38" t="n">
        <f aca="false">IF(AND(ISNUMBER(BG180),ISNUMBER(BG128)),IFERROR(BG180/BG128,""),"")</f>
        <v>0.307916724384101</v>
      </c>
      <c r="BH181" s="38" t="n">
        <f aca="false">IF(AND(ISNUMBER(BH180),ISNUMBER(BH128)),IFERROR(BH180/BH128,""),"")</f>
        <v>0.298273141373626</v>
      </c>
      <c r="BI181" s="38" t="n">
        <f aca="false">IF(AND(ISNUMBER(BI180),ISNUMBER(BI128)),IFERROR(BI180/BI128,""),"")</f>
        <v>0.31116152382743</v>
      </c>
      <c r="BJ181" s="38" t="n">
        <f aca="false">IF(AND(ISNUMBER(BJ180),ISNUMBER(BJ128)),IFERROR(BJ180/BJ128,""),"")</f>
        <v>0.325058699771013</v>
      </c>
      <c r="BK181" s="38" t="n">
        <f aca="false">IF(AND(ISNUMBER(BK180),ISNUMBER(BK128)),IFERROR(BK180/BK128,""),"")</f>
        <v>0.322279966339312</v>
      </c>
      <c r="BL181" s="38" t="n">
        <f aca="false">IF(AND(ISNUMBER(BL180),ISNUMBER(BL128)),IFERROR(BL180/BL128,""),"")</f>
        <v>0.314506533385706</v>
      </c>
      <c r="BM181" s="38" t="n">
        <f aca="false">IF(AND(ISNUMBER(BM180),ISNUMBER(BM128)),IFERROR(BM180/BM128,""),"")</f>
        <v>0.313932433456059</v>
      </c>
      <c r="BN181" s="38" t="n">
        <f aca="false">IF(AND(ISNUMBER(BN180),ISNUMBER(BN128)),IFERROR(BN180/BN128,""),"")</f>
        <v>0.325515553566774</v>
      </c>
      <c r="BO181" s="38" t="n">
        <f aca="false">IF(AND(ISNUMBER(BO180),ISNUMBER(BO128)),IFERROR(BO180/BO128,""),"")</f>
        <v>0.336728689649038</v>
      </c>
      <c r="BP181" s="38" t="n">
        <f aca="false">IF(AND(ISNUMBER(BP180),ISNUMBER(BP128)),IFERROR(BP180/BP128,""),"")</f>
        <v>0.323830688458038</v>
      </c>
      <c r="BQ181" s="38" t="n">
        <f aca="false">IF(AND(ISNUMBER(BQ180),ISNUMBER(BQ128)),IFERROR(BQ180/BQ128,""),"")</f>
        <v>0.325336105657759</v>
      </c>
      <c r="BR181" s="38" t="n">
        <f aca="false">IF(AND(ISNUMBER(BR180),ISNUMBER(BR128)),IFERROR(BR180/BR128,""),"")</f>
        <v>0.319639471926814</v>
      </c>
      <c r="BS181" s="38" t="n">
        <f aca="false">IF(AND(ISNUMBER(BS180),ISNUMBER(BS128)),IFERROR(BS180/BS128,""),"")</f>
        <v>0.32671168710312</v>
      </c>
      <c r="BT181" s="38" t="n">
        <f aca="false">IF(AND(ISNUMBER(BT180),ISNUMBER(BT128)),IFERROR(BT180/BT128,""),"")</f>
        <v>0.337758066497504</v>
      </c>
      <c r="BU181" s="38" t="n">
        <f aca="false">IF(AND(ISNUMBER(BU180),ISNUMBER(BU128)),IFERROR(BU180/BU128,""),"")</f>
        <v>0.335224787701207</v>
      </c>
      <c r="BV181" s="38" t="n">
        <f aca="false">IF(AND(ISNUMBER(BV180),ISNUMBER(BV128)),IFERROR(BV180/BV128,""),"")</f>
        <v>0.330049968759622</v>
      </c>
      <c r="BW181" s="38" t="n">
        <f aca="false">IF(AND(ISNUMBER(BW180),ISNUMBER(BW128)),IFERROR(BW180/BW128,""),"")</f>
        <v>0.324608933233388</v>
      </c>
      <c r="BX181" s="38" t="n">
        <f aca="false">IF(AND(ISNUMBER(BX180),ISNUMBER(BX128)),IFERROR(BX180/BX128,""),"")</f>
        <v>0.327950384270499</v>
      </c>
      <c r="BY181" s="37" t="n">
        <f aca="false">IFERROR(BY180/BY128,"")</f>
        <v>0.339671984710996</v>
      </c>
      <c r="BZ181" s="37" t="n">
        <f aca="false">IFERROR(BZ180/BZ128,"")</f>
        <v>0.336530195924104</v>
      </c>
      <c r="CA181" s="37" t="n">
        <f aca="false">IFERROR(CA180/CA128,"")</f>
        <v>0.332336821126059</v>
      </c>
      <c r="CB181" s="37" t="n">
        <f aca="false">IFERROR(CB180/CB128,"")</f>
        <v>0.33545385955413</v>
      </c>
      <c r="CC181" s="37" t="n">
        <f aca="false">IFERROR(CC180/CC128,"")</f>
        <v>0.336334605030981</v>
      </c>
      <c r="CD181" s="37" t="n">
        <f aca="false">IFERROR(CD180/CD128,"")</f>
        <v>0.337203757513086</v>
      </c>
      <c r="CE181" s="37" t="n">
        <f aca="false">IFERROR(CE180/CE128,"")</f>
        <v>0.338055330854404</v>
      </c>
      <c r="CF181" s="21"/>
      <c r="CH181" s="41" t="n">
        <f aca="false">IFERROR(AVERAGE(CA181,CB181,CC181,CD181,CE181),"n/m")</f>
        <v>0.335876874815732</v>
      </c>
      <c r="CI181" s="41" t="n">
        <f aca="false">IFERROR(AVERAGE(BB181,BG181,BL181,BQ181,BV181),"n/m")</f>
        <v>0.317959700022558</v>
      </c>
      <c r="CJ181" s="41" t="n">
        <f aca="false">IFERROR(AVERAGE(AC181,AH181,AM181,AR181,AW181,BB181,BG181,BL181,BQ181,BV181),"n/m")</f>
        <v>0.315642367860789</v>
      </c>
      <c r="CK181" s="41" t="n">
        <f aca="false">IFERROR(AVERAGE(C181,D181,E181,F181,G181,H181,I181,N181,S181,X181,AC181,AH181,AM181,AR181,AW181,BB181,BG181,BL181,BQ181,BV181),"n/m")</f>
        <v>0.317778024047345</v>
      </c>
    </row>
    <row r="182" customFormat="false" ht="15" hidden="false" customHeight="true" outlineLevel="0" collapsed="false">
      <c r="B182" s="24" t="s">
        <v>356</v>
      </c>
      <c r="C182" s="25"/>
      <c r="D182" s="25"/>
      <c r="E182" s="27" t="n">
        <v>313.314</v>
      </c>
      <c r="F182" s="27" t="n">
        <v>368.833</v>
      </c>
      <c r="G182" s="27" t="n">
        <v>424.257</v>
      </c>
      <c r="H182" s="27" t="n">
        <v>489.53</v>
      </c>
      <c r="I182" s="27" t="n">
        <v>528.419</v>
      </c>
      <c r="J182" s="27" t="n">
        <v>146.064</v>
      </c>
      <c r="K182" s="27" t="n">
        <v>169.35</v>
      </c>
      <c r="L182" s="27" t="n">
        <v>177.078</v>
      </c>
      <c r="M182" s="27" t="n">
        <v>164.51</v>
      </c>
      <c r="N182" s="27" t="n">
        <v>657.002</v>
      </c>
      <c r="O182" s="27" t="n">
        <v>164.138</v>
      </c>
      <c r="P182" s="27" t="n">
        <v>182.468</v>
      </c>
      <c r="Q182" s="27" t="n">
        <v>192.316</v>
      </c>
      <c r="R182" s="27" t="n">
        <v>178.155</v>
      </c>
      <c r="S182" s="27" t="n">
        <v>717.078</v>
      </c>
      <c r="T182" s="27" t="n">
        <v>168.3</v>
      </c>
      <c r="U182" s="27" t="n">
        <v>177.68</v>
      </c>
      <c r="V182" s="27" t="n">
        <v>188.984</v>
      </c>
      <c r="W182" s="27" t="n">
        <v>175.643</v>
      </c>
      <c r="X182" s="27" t="n">
        <v>710.607</v>
      </c>
      <c r="Y182" s="27" t="n">
        <v>169.737</v>
      </c>
      <c r="Z182" s="27" t="n">
        <v>233.579</v>
      </c>
      <c r="AA182" s="27" t="n">
        <v>342.324</v>
      </c>
      <c r="AB182" s="27" t="n">
        <v>325.449</v>
      </c>
      <c r="AC182" s="27" t="n">
        <v>1071.089</v>
      </c>
      <c r="AD182" s="27" t="n">
        <v>332.799</v>
      </c>
      <c r="AE182" s="27" t="n">
        <v>373.648</v>
      </c>
      <c r="AF182" s="27" t="n">
        <v>393.376</v>
      </c>
      <c r="AG182" s="27" t="n">
        <v>360.7</v>
      </c>
      <c r="AH182" s="27" t="n">
        <v>1460.525</v>
      </c>
      <c r="AI182" s="27" t="n">
        <v>356.916</v>
      </c>
      <c r="AJ182" s="27" t="n">
        <v>395.506</v>
      </c>
      <c r="AK182" s="27" t="n">
        <v>416.809</v>
      </c>
      <c r="AL182" s="27" t="n">
        <v>397.187</v>
      </c>
      <c r="AM182" s="27" t="n">
        <v>1566.418</v>
      </c>
      <c r="AN182" s="27" t="n">
        <v>385.709</v>
      </c>
      <c r="AO182" s="27" t="n">
        <v>425.284</v>
      </c>
      <c r="AP182" s="27" t="n">
        <v>443.559</v>
      </c>
      <c r="AQ182" s="27" t="n">
        <v>419.001</v>
      </c>
      <c r="AR182" s="27" t="n">
        <v>1673.554</v>
      </c>
      <c r="AS182" s="27" t="n">
        <v>408.523</v>
      </c>
      <c r="AT182" s="27" t="n">
        <v>394.322</v>
      </c>
      <c r="AU182" s="27" t="n">
        <v>432.583</v>
      </c>
      <c r="AV182" s="27" t="n">
        <v>426.557</v>
      </c>
      <c r="AW182" s="27" t="n">
        <v>1661.984</v>
      </c>
      <c r="AX182" s="27" t="n">
        <v>433.174</v>
      </c>
      <c r="AY182" s="27" t="n">
        <v>484.905</v>
      </c>
      <c r="AZ182" s="27" t="n">
        <v>505.645</v>
      </c>
      <c r="BA182" s="27" t="n">
        <v>495.434</v>
      </c>
      <c r="BB182" s="27" t="n">
        <v>1919.158</v>
      </c>
      <c r="BC182" s="27" t="n">
        <v>502.12</v>
      </c>
      <c r="BD182" s="27" t="n">
        <v>566.814</v>
      </c>
      <c r="BE182" s="27" t="n">
        <v>588.07</v>
      </c>
      <c r="BF182" s="27" t="n">
        <v>563.647</v>
      </c>
      <c r="BG182" s="27" t="n">
        <v>2220.652</v>
      </c>
      <c r="BH182" s="27" t="n">
        <v>566.869</v>
      </c>
      <c r="BI182" s="27" t="n">
        <v>628.887</v>
      </c>
      <c r="BJ182" s="27" t="n">
        <v>671.163</v>
      </c>
      <c r="BK182" s="27" t="n">
        <v>656.036</v>
      </c>
      <c r="BL182" s="27" t="n">
        <v>2522.956</v>
      </c>
      <c r="BM182" s="27" t="n">
        <v>650.673</v>
      </c>
      <c r="BN182" s="27" t="n">
        <v>731.813</v>
      </c>
      <c r="BO182" s="27" t="n">
        <v>787.436</v>
      </c>
      <c r="BP182" s="27" t="n">
        <v>731.949</v>
      </c>
      <c r="BQ182" s="27" t="n">
        <v>2901.865</v>
      </c>
      <c r="BR182" s="27" t="n">
        <v>712.213</v>
      </c>
      <c r="BS182" s="27" t="n">
        <v>786.413</v>
      </c>
      <c r="BT182" s="27" t="n">
        <v>830.337</v>
      </c>
      <c r="BU182" s="27" t="n">
        <v>795.591</v>
      </c>
      <c r="BV182" s="27" t="n">
        <v>3124.555</v>
      </c>
      <c r="BW182" s="27" t="n">
        <v>769.528</v>
      </c>
      <c r="BX182" s="27" t="n">
        <v>840.08</v>
      </c>
      <c r="BY182" s="28"/>
      <c r="BZ182" s="28"/>
      <c r="CA182" s="28"/>
      <c r="CB182" s="28"/>
      <c r="CC182" s="28"/>
      <c r="CD182" s="28"/>
      <c r="CE182" s="28"/>
      <c r="CF182" s="21" t="s">
        <v>357</v>
      </c>
    </row>
    <row r="183" customFormat="false" ht="15" hidden="false" customHeight="true" outlineLevel="0" collapsed="false">
      <c r="B183" s="46" t="s">
        <v>358</v>
      </c>
      <c r="C183" s="26" t="str">
        <f aca="false">IF(ISNUMBER(C182),ROUND(C180-C182,1),"n/p")</f>
        <v>n/p</v>
      </c>
      <c r="D183" s="26" t="str">
        <f aca="false">IF(ISNUMBER(D182),ROUND(D180-D182,1),"n/p")</f>
        <v>n/p</v>
      </c>
      <c r="E183" s="26" t="n">
        <f aca="false">IF(ISNUMBER(E182),ROUND(E180-E182,1),"n/p")</f>
        <v>0</v>
      </c>
      <c r="F183" s="26" t="n">
        <f aca="false">IF(ISNUMBER(F182),ROUND(F180-F182,1),"n/p")</f>
        <v>0</v>
      </c>
      <c r="G183" s="26" t="n">
        <f aca="false">IF(ISNUMBER(G182),ROUND(G180-G182,1),"n/p")</f>
        <v>0</v>
      </c>
      <c r="H183" s="26" t="n">
        <f aca="false">IF(ISNUMBER(H182),ROUND(H180-H182,1),"n/p")</f>
        <v>0</v>
      </c>
      <c r="I183" s="26" t="n">
        <f aca="false">IF(ISNUMBER(I182),ROUND(I180-I182,1),"n/p")</f>
        <v>0</v>
      </c>
      <c r="J183" s="26" t="n">
        <f aca="false">IF(ISNUMBER(J182),ROUND(J180-J182,1),"n/p")</f>
        <v>0</v>
      </c>
      <c r="K183" s="26" t="n">
        <f aca="false">IF(ISNUMBER(K182),ROUND(K180-K182,1),"n/p")</f>
        <v>0</v>
      </c>
      <c r="L183" s="26" t="n">
        <f aca="false">IF(ISNUMBER(L182),ROUND(L180-L182,1),"n/p")</f>
        <v>0</v>
      </c>
      <c r="M183" s="26" t="n">
        <f aca="false">IF(ISNUMBER(M182),ROUND(M180-M182,1),"n/p")</f>
        <v>0</v>
      </c>
      <c r="N183" s="26" t="n">
        <f aca="false">IF(ISNUMBER(N182),ROUND(N180-N182,1),"n/p")</f>
        <v>0</v>
      </c>
      <c r="O183" s="26" t="n">
        <f aca="false">IF(ISNUMBER(O182),ROUND(O180-O182,1),"n/p")</f>
        <v>0</v>
      </c>
      <c r="P183" s="26" t="n">
        <f aca="false">IF(ISNUMBER(P182),ROUND(P180-P182,1),"n/p")</f>
        <v>0</v>
      </c>
      <c r="Q183" s="26" t="n">
        <f aca="false">IF(ISNUMBER(Q182),ROUND(Q180-Q182,1),"n/p")</f>
        <v>0</v>
      </c>
      <c r="R183" s="26" t="n">
        <f aca="false">IF(ISNUMBER(R182),ROUND(R180-R182,1),"n/p")</f>
        <v>0</v>
      </c>
      <c r="S183" s="26" t="n">
        <f aca="false">IF(ISNUMBER(S182),ROUND(S180-S182,1),"n/p")</f>
        <v>0</v>
      </c>
      <c r="T183" s="26" t="n">
        <f aca="false">IF(ISNUMBER(T182),ROUND(T180-T182,1),"n/p")</f>
        <v>0</v>
      </c>
      <c r="U183" s="26" t="n">
        <f aca="false">IF(ISNUMBER(U182),ROUND(U180-U182,1),"n/p")</f>
        <v>0</v>
      </c>
      <c r="V183" s="26" t="n">
        <f aca="false">IF(ISNUMBER(V182),ROUND(V180-V182,1),"n/p")</f>
        <v>0</v>
      </c>
      <c r="W183" s="26" t="n">
        <f aca="false">IF(ISNUMBER(W182),ROUND(W180-W182,1),"n/p")</f>
        <v>0</v>
      </c>
      <c r="X183" s="26" t="n">
        <f aca="false">IF(ISNUMBER(X182),ROUND(X180-X182,1),"n/p")</f>
        <v>0</v>
      </c>
      <c r="Y183" s="26" t="n">
        <f aca="false">IF(ISNUMBER(Y182),ROUND(Y180-Y182,1),"n/p")</f>
        <v>0</v>
      </c>
      <c r="Z183" s="26" t="n">
        <f aca="false">IF(ISNUMBER(Z182),ROUND(Z180-Z182,1),"n/p")</f>
        <v>0</v>
      </c>
      <c r="AA183" s="26" t="n">
        <f aca="false">IF(ISNUMBER(AA182),ROUND(AA180-AA182,1),"n/p")</f>
        <v>0</v>
      </c>
      <c r="AB183" s="26" t="n">
        <f aca="false">IF(ISNUMBER(AB182),ROUND(AB180-AB182,1),"n/p")</f>
        <v>-0</v>
      </c>
      <c r="AC183" s="26" t="n">
        <f aca="false">IF(ISNUMBER(AC182),ROUND(AC180-AC182,1),"n/p")</f>
        <v>0</v>
      </c>
      <c r="AD183" s="26" t="n">
        <f aca="false">IF(ISNUMBER(AD182),ROUND(AD180-AD182,1),"n/p")</f>
        <v>0</v>
      </c>
      <c r="AE183" s="26" t="n">
        <f aca="false">IF(ISNUMBER(AE182),ROUND(AE180-AE182,1),"n/p")</f>
        <v>0</v>
      </c>
      <c r="AF183" s="26" t="n">
        <f aca="false">IF(ISNUMBER(AF182),ROUND(AF180-AF182,1),"n/p")</f>
        <v>0</v>
      </c>
      <c r="AG183" s="26" t="n">
        <f aca="false">IF(ISNUMBER(AG182),ROUND(AG180-AG182,1),"n/p")</f>
        <v>0</v>
      </c>
      <c r="AH183" s="26" t="n">
        <f aca="false">IF(ISNUMBER(AH182),ROUND(AH180-AH182,1),"n/p")</f>
        <v>0</v>
      </c>
      <c r="AI183" s="26" t="n">
        <f aca="false">IF(ISNUMBER(AI182),ROUND(AI180-AI182,1),"n/p")</f>
        <v>0</v>
      </c>
      <c r="AJ183" s="26" t="n">
        <f aca="false">IF(ISNUMBER(AJ182),ROUND(AJ180-AJ182,1),"n/p")</f>
        <v>0</v>
      </c>
      <c r="AK183" s="26" t="n">
        <f aca="false">IF(ISNUMBER(AK182),ROUND(AK180-AK182,1),"n/p")</f>
        <v>0</v>
      </c>
      <c r="AL183" s="26" t="n">
        <f aca="false">IF(ISNUMBER(AL182),ROUND(AL180-AL182,1),"n/p")</f>
        <v>0</v>
      </c>
      <c r="AM183" s="26" t="n">
        <f aca="false">IF(ISNUMBER(AM182),ROUND(AM180-AM182,1),"n/p")</f>
        <v>0</v>
      </c>
      <c r="AN183" s="26" t="n">
        <f aca="false">IF(ISNUMBER(AN182),ROUND(AN180-AN182,1),"n/p")</f>
        <v>0</v>
      </c>
      <c r="AO183" s="26" t="n">
        <f aca="false">IF(ISNUMBER(AO182),ROUND(AO180-AO182,1),"n/p")</f>
        <v>0</v>
      </c>
      <c r="AP183" s="26" t="n">
        <f aca="false">IF(ISNUMBER(AP182),ROUND(AP180-AP182,1),"n/p")</f>
        <v>0</v>
      </c>
      <c r="AQ183" s="26" t="n">
        <f aca="false">IF(ISNUMBER(AQ182),ROUND(AQ180-AQ182,1),"n/p")</f>
        <v>0</v>
      </c>
      <c r="AR183" s="26" t="n">
        <f aca="false">IF(ISNUMBER(AR182),ROUND(AR180-AR182,1),"n/p")</f>
        <v>0</v>
      </c>
      <c r="AS183" s="26" t="n">
        <f aca="false">IF(ISNUMBER(AS182),ROUND(AS180-AS182,1),"n/p")</f>
        <v>0</v>
      </c>
      <c r="AT183" s="26" t="n">
        <f aca="false">IF(ISNUMBER(AT182),ROUND(AT180-AT182,1),"n/p")</f>
        <v>0</v>
      </c>
      <c r="AU183" s="26" t="n">
        <f aca="false">IF(ISNUMBER(AU182),ROUND(AU180-AU182,1),"n/p")</f>
        <v>0</v>
      </c>
      <c r="AV183" s="26" t="n">
        <f aca="false">IF(ISNUMBER(AV182),ROUND(AV180-AV182,1),"n/p")</f>
        <v>0</v>
      </c>
      <c r="AW183" s="26" t="n">
        <f aca="false">IF(ISNUMBER(AW182),ROUND(AW180-AW182,1),"n/p")</f>
        <v>0</v>
      </c>
      <c r="AX183" s="26" t="n">
        <f aca="false">IF(ISNUMBER(AX182),ROUND(AX180-AX182,1),"n/p")</f>
        <v>0</v>
      </c>
      <c r="AY183" s="26" t="n">
        <f aca="false">IF(ISNUMBER(AY182),ROUND(AY180-AY182,1),"n/p")</f>
        <v>0</v>
      </c>
      <c r="AZ183" s="26" t="n">
        <f aca="false">IF(ISNUMBER(AZ182),ROUND(AZ180-AZ182,1),"n/p")</f>
        <v>0</v>
      </c>
      <c r="BA183" s="26" t="n">
        <f aca="false">IF(ISNUMBER(BA182),ROUND(BA180-BA182,1),"n/p")</f>
        <v>0</v>
      </c>
      <c r="BB183" s="26" t="n">
        <f aca="false">IF(ISNUMBER(BB182),ROUND(BB180-BB182,1),"n/p")</f>
        <v>0</v>
      </c>
      <c r="BC183" s="26" t="n">
        <f aca="false">IF(ISNUMBER(BC182),ROUND(BC180-BC182,1),"n/p")</f>
        <v>0</v>
      </c>
      <c r="BD183" s="26" t="n">
        <f aca="false">IF(ISNUMBER(BD182),ROUND(BD180-BD182,1),"n/p")</f>
        <v>0</v>
      </c>
      <c r="BE183" s="26" t="n">
        <f aca="false">IF(ISNUMBER(BE182),ROUND(BE180-BE182,1),"n/p")</f>
        <v>0</v>
      </c>
      <c r="BF183" s="26" t="n">
        <f aca="false">IF(ISNUMBER(BF182),ROUND(BF180-BF182,1),"n/p")</f>
        <v>0</v>
      </c>
      <c r="BG183" s="26" t="n">
        <f aca="false">IF(ISNUMBER(BG182),ROUND(BG180-BG182,1),"n/p")</f>
        <v>0</v>
      </c>
      <c r="BH183" s="26" t="n">
        <f aca="false">IF(ISNUMBER(BH182),ROUND(BH180-BH182,1),"n/p")</f>
        <v>0</v>
      </c>
      <c r="BI183" s="26" t="n">
        <f aca="false">IF(ISNUMBER(BI182),ROUND(BI180-BI182,1),"n/p")</f>
        <v>0</v>
      </c>
      <c r="BJ183" s="26" t="n">
        <f aca="false">IF(ISNUMBER(BJ182),ROUND(BJ180-BJ182,1),"n/p")</f>
        <v>0</v>
      </c>
      <c r="BK183" s="26" t="n">
        <f aca="false">IF(ISNUMBER(BK182),ROUND(BK180-BK182,1),"n/p")</f>
        <v>0</v>
      </c>
      <c r="BL183" s="26" t="n">
        <f aca="false">IF(ISNUMBER(BL182),ROUND(BL180-BL182,1),"n/p")</f>
        <v>0</v>
      </c>
      <c r="BM183" s="26" t="n">
        <f aca="false">IF(ISNUMBER(BM182),ROUND(BM180-BM182,1),"n/p")</f>
        <v>0</v>
      </c>
      <c r="BN183" s="26" t="n">
        <f aca="false">IF(ISNUMBER(BN182),ROUND(BN180-BN182,1),"n/p")</f>
        <v>0</v>
      </c>
      <c r="BO183" s="26" t="n">
        <f aca="false">IF(ISNUMBER(BO182),ROUND(BO180-BO182,1),"n/p")</f>
        <v>0</v>
      </c>
      <c r="BP183" s="26" t="n">
        <f aca="false">IF(ISNUMBER(BP182),ROUND(BP180-BP182,1),"n/p")</f>
        <v>0</v>
      </c>
      <c r="BQ183" s="26" t="n">
        <f aca="false">IF(ISNUMBER(BQ182),ROUND(BQ180-BQ182,1),"n/p")</f>
        <v>0</v>
      </c>
      <c r="BR183" s="26" t="n">
        <f aca="false">IF(ISNUMBER(BR182),ROUND(BR180-BR182,1),"n/p")</f>
        <v>0</v>
      </c>
      <c r="BS183" s="26" t="n">
        <f aca="false">IF(ISNUMBER(BS182),ROUND(BS180-BS182,1),"n/p")</f>
        <v>0</v>
      </c>
      <c r="BT183" s="26" t="n">
        <f aca="false">IF(ISNUMBER(BT182),ROUND(BT180-BT182,1),"n/p")</f>
        <v>0</v>
      </c>
      <c r="BU183" s="26" t="n">
        <f aca="false">IF(ISNUMBER(BU182),ROUND(BU180-BU182,1),"n/p")</f>
        <v>0</v>
      </c>
      <c r="BV183" s="26" t="n">
        <f aca="false">IF(ISNUMBER(BV182),ROUND(BV180-BV182,1),"n/p")</f>
        <v>0</v>
      </c>
      <c r="BW183" s="26" t="n">
        <f aca="false">IF(ISNUMBER(BW182),ROUND(BW180-BW182,1),"n/p")</f>
        <v>0</v>
      </c>
      <c r="BX183" s="26" t="n">
        <f aca="false">IF(ISNUMBER(BX182),ROUND(BX180-BX182,1),"n/p")</f>
        <v>0</v>
      </c>
      <c r="BY183" s="28"/>
      <c r="BZ183" s="28"/>
      <c r="CA183" s="28"/>
      <c r="CB183" s="28"/>
      <c r="CC183" s="28"/>
      <c r="CD183" s="28"/>
      <c r="CE183" s="28"/>
      <c r="CF183" s="21"/>
    </row>
    <row r="184" customFormat="false" ht="15" hidden="false" customHeight="true" outlineLevel="0" collapsed="false">
      <c r="B184" s="68" t="s">
        <v>359</v>
      </c>
      <c r="C184" s="69"/>
      <c r="D184" s="69"/>
      <c r="E184" s="70" t="s">
        <v>360</v>
      </c>
      <c r="F184" s="69"/>
      <c r="G184" s="69"/>
      <c r="H184" s="69"/>
      <c r="I184" s="70" t="s">
        <v>361</v>
      </c>
      <c r="J184" s="70" t="s">
        <v>362</v>
      </c>
      <c r="K184" s="69"/>
      <c r="L184" s="69"/>
      <c r="M184" s="70" t="s">
        <v>363</v>
      </c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70" t="s">
        <v>364</v>
      </c>
      <c r="AA184" s="69"/>
      <c r="AB184" s="69"/>
      <c r="AC184" s="69"/>
      <c r="AD184" s="69"/>
      <c r="AE184" s="69"/>
      <c r="AF184" s="70" t="s">
        <v>365</v>
      </c>
      <c r="AG184" s="69"/>
      <c r="AH184" s="69"/>
      <c r="AI184" s="69"/>
      <c r="AJ184" s="69"/>
      <c r="AK184" s="70" t="s">
        <v>366</v>
      </c>
      <c r="AL184" s="69"/>
      <c r="AM184" s="69"/>
      <c r="AN184" s="69"/>
      <c r="AO184" s="69"/>
      <c r="AP184" s="70" t="s">
        <v>367</v>
      </c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70" t="s">
        <v>368</v>
      </c>
      <c r="BJ184" s="69"/>
      <c r="BK184" s="69"/>
      <c r="BL184" s="69"/>
      <c r="BM184" s="69"/>
      <c r="BN184" s="69"/>
      <c r="BO184" s="69"/>
      <c r="BP184" s="69"/>
      <c r="BQ184" s="69"/>
      <c r="BR184" s="69"/>
      <c r="BS184" s="69"/>
      <c r="BT184" s="69"/>
      <c r="BU184" s="69"/>
      <c r="BV184" s="69"/>
      <c r="BW184" s="69"/>
      <c r="BX184" s="69"/>
      <c r="BY184" s="71"/>
      <c r="BZ184" s="71"/>
      <c r="CA184" s="71"/>
      <c r="CB184" s="71"/>
      <c r="CC184" s="71"/>
      <c r="CD184" s="71"/>
      <c r="CE184" s="71"/>
      <c r="CF184" s="21"/>
    </row>
    <row r="185" customFormat="false" ht="15" hidden="false" customHeight="true" outlineLevel="0" collapsed="false">
      <c r="B185" s="29" t="s">
        <v>369</v>
      </c>
      <c r="BY185" s="7"/>
      <c r="BZ185" s="7"/>
      <c r="CA185" s="7"/>
      <c r="CB185" s="7"/>
      <c r="CC185" s="7"/>
      <c r="CD185" s="7"/>
      <c r="CE185" s="7"/>
      <c r="CF185" s="21"/>
    </row>
    <row r="186" customFormat="false" ht="15" hidden="false" customHeight="true" outlineLevel="0" collapsed="false">
      <c r="B186" s="29" t="s">
        <v>370</v>
      </c>
      <c r="C186" s="26" t="n">
        <f aca="false">-C169</f>
        <v>-74.865</v>
      </c>
      <c r="D186" s="26" t="n">
        <f aca="false">-D169</f>
        <v>-85.628</v>
      </c>
      <c r="E186" s="26" t="n">
        <f aca="false">-E169</f>
        <v>-97.429</v>
      </c>
      <c r="F186" s="26" t="n">
        <f aca="false">-F169</f>
        <v>-130.758</v>
      </c>
      <c r="G186" s="26" t="n">
        <f aca="false">-G169</f>
        <v>-147.456</v>
      </c>
      <c r="H186" s="26" t="n">
        <f aca="false">-H169</f>
        <v>-167.1</v>
      </c>
      <c r="I186" s="26" t="n">
        <f aca="false">-I169</f>
        <v>-193.584</v>
      </c>
      <c r="J186" s="26" t="n">
        <f aca="false">-J169</f>
        <v>-58.087</v>
      </c>
      <c r="K186" s="26" t="n">
        <f aca="false">-K169</f>
        <v>-60.977</v>
      </c>
      <c r="L186" s="26" t="n">
        <f aca="false">-L169</f>
        <v>-62.074</v>
      </c>
      <c r="M186" s="26" t="n">
        <f aca="false">-M169</f>
        <v>-62.726</v>
      </c>
      <c r="N186" s="26" t="n">
        <f aca="false">-N169</f>
        <v>-243.864</v>
      </c>
      <c r="O186" s="26" t="n">
        <f aca="false">-O169</f>
        <v>-62.554</v>
      </c>
      <c r="P186" s="26" t="n">
        <f aca="false">-P169</f>
        <v>-63.825</v>
      </c>
      <c r="Q186" s="26" t="n">
        <f aca="false">-Q169</f>
        <v>-65.7</v>
      </c>
      <c r="R186" s="26" t="n">
        <f aca="false">-R169</f>
        <v>-65.866</v>
      </c>
      <c r="S186" s="26" t="n">
        <f aca="false">-S169</f>
        <v>-257.944</v>
      </c>
      <c r="T186" s="26" t="n">
        <f aca="false">-T169</f>
        <v>-64.306</v>
      </c>
      <c r="U186" s="26" t="n">
        <f aca="false">-U169</f>
        <v>-66.903</v>
      </c>
      <c r="V186" s="26" t="n">
        <f aca="false">-V169</f>
        <v>-68.568</v>
      </c>
      <c r="W186" s="26" t="n">
        <f aca="false">-W169</f>
        <v>-69.658</v>
      </c>
      <c r="X186" s="26" t="n">
        <f aca="false">-X169</f>
        <v>-269.434</v>
      </c>
      <c r="Y186" s="26" t="n">
        <f aca="false">-Y169</f>
        <v>-68.591</v>
      </c>
      <c r="Z186" s="26" t="n">
        <f aca="false">-Z169</f>
        <v>-98.429</v>
      </c>
      <c r="AA186" s="26" t="n">
        <f aca="false">-AA169</f>
        <v>-152.688</v>
      </c>
      <c r="AB186" s="26" t="n">
        <f aca="false">-AB169</f>
        <v>-144.205</v>
      </c>
      <c r="AC186" s="26" t="n">
        <f aca="false">-AC169</f>
        <v>-463.912</v>
      </c>
      <c r="AD186" s="26" t="n">
        <f aca="false">-AD169</f>
        <v>-150.75</v>
      </c>
      <c r="AE186" s="26" t="n">
        <f aca="false">-AE169</f>
        <v>-157.589</v>
      </c>
      <c r="AF186" s="26" t="n">
        <f aca="false">-AF169</f>
        <v>-163.554</v>
      </c>
      <c r="AG186" s="26" t="n">
        <f aca="false">-AG169</f>
        <v>-160.59</v>
      </c>
      <c r="AH186" s="26" t="n">
        <f aca="false">-AH169</f>
        <v>-632.484</v>
      </c>
      <c r="AI186" s="26" t="n">
        <f aca="false">-AI169</f>
        <v>-159.283</v>
      </c>
      <c r="AJ186" s="26" t="n">
        <f aca="false">-AJ169</f>
        <v>-168.924</v>
      </c>
      <c r="AK186" s="26" t="n">
        <f aca="false">-AK169</f>
        <v>-175.103</v>
      </c>
      <c r="AL186" s="26" t="n">
        <f aca="false">-AL169</f>
        <v>-177.177</v>
      </c>
      <c r="AM186" s="26" t="n">
        <f aca="false">-AM169</f>
        <v>-680.487</v>
      </c>
      <c r="AN186" s="26" t="n">
        <f aca="false">-AN169</f>
        <v>-177.389</v>
      </c>
      <c r="AO186" s="26" t="n">
        <f aca="false">-AO169</f>
        <v>-188.12</v>
      </c>
      <c r="AP186" s="26" t="n">
        <f aca="false">-AP169</f>
        <v>-189.928</v>
      </c>
      <c r="AQ186" s="26" t="n">
        <f aca="false">-AQ169</f>
        <v>-188.481</v>
      </c>
      <c r="AR186" s="26" t="n">
        <f aca="false">-AR169</f>
        <v>-743.918</v>
      </c>
      <c r="AS186" s="26" t="n">
        <f aca="false">-AS169</f>
        <v>-182.459</v>
      </c>
      <c r="AT186" s="26" t="n">
        <f aca="false">-AT169</f>
        <v>-183.001</v>
      </c>
      <c r="AU186" s="26" t="n">
        <f aca="false">-AU169</f>
        <v>-190.243</v>
      </c>
      <c r="AV186" s="26" t="n">
        <f aca="false">-AV169</f>
        <v>-196.701</v>
      </c>
      <c r="AW186" s="26" t="n">
        <f aca="false">-AW169</f>
        <v>-752.404</v>
      </c>
      <c r="AX186" s="26" t="n">
        <f aca="false">-AX169</f>
        <v>-189.594</v>
      </c>
      <c r="AY186" s="26" t="n">
        <f aca="false">-AY169</f>
        <v>-201.928</v>
      </c>
      <c r="AZ186" s="26" t="n">
        <f aca="false">-AZ169</f>
        <v>-207.302</v>
      </c>
      <c r="BA186" s="26" t="n">
        <f aca="false">-BA169</f>
        <v>-214.184</v>
      </c>
      <c r="BB186" s="26" t="n">
        <f aca="false">-BB169</f>
        <v>-813.009</v>
      </c>
      <c r="BC186" s="26" t="n">
        <f aca="false">-BC169</f>
        <v>-217.585</v>
      </c>
      <c r="BD186" s="26" t="n">
        <f aca="false">-BD169</f>
        <v>-226.399</v>
      </c>
      <c r="BE186" s="26" t="n">
        <f aca="false">-BE169</f>
        <v>-232.146</v>
      </c>
      <c r="BF186" s="26" t="n">
        <f aca="false">-BF169</f>
        <v>-242.83</v>
      </c>
      <c r="BG186" s="26" t="n">
        <f aca="false">-BG169</f>
        <v>-918.96</v>
      </c>
      <c r="BH186" s="26" t="n">
        <f aca="false">-BH169</f>
        <v>-243.341</v>
      </c>
      <c r="BI186" s="26" t="n">
        <f aca="false">-BI169</f>
        <v>-252.374</v>
      </c>
      <c r="BJ186" s="26" t="n">
        <f aca="false">-BJ169</f>
        <v>-254.371</v>
      </c>
      <c r="BK186" s="26" t="n">
        <f aca="false">-BK169</f>
        <v>-253.124</v>
      </c>
      <c r="BL186" s="26" t="n">
        <f aca="false">-BL169</f>
        <v>-1003.211</v>
      </c>
      <c r="BM186" s="26" t="n">
        <f aca="false">-BM169</f>
        <v>-262.981</v>
      </c>
      <c r="BN186" s="26" t="n">
        <f aca="false">-BN169</f>
        <v>-285.353</v>
      </c>
      <c r="BO186" s="26" t="n">
        <f aca="false">-BO169</f>
        <v>-293.643</v>
      </c>
      <c r="BP186" s="26" t="n">
        <f aca="false">-BP169</f>
        <v>-321.793</v>
      </c>
      <c r="BQ186" s="26" t="n">
        <f aca="false">-BQ169</f>
        <v>-1163.769</v>
      </c>
      <c r="BR186" s="26" t="n">
        <f aca="false">-BR169</f>
        <v>-289.949</v>
      </c>
      <c r="BS186" s="26" t="n">
        <f aca="false">-BS169</f>
        <v>-307.657</v>
      </c>
      <c r="BT186" s="26" t="n">
        <f aca="false">-BT169</f>
        <v>-315.33</v>
      </c>
      <c r="BU186" s="26" t="n">
        <f aca="false">-BU169</f>
        <v>-319.17</v>
      </c>
      <c r="BV186" s="26" t="n">
        <f aca="false">-BV169</f>
        <v>-1232.106</v>
      </c>
      <c r="BW186" s="26" t="n">
        <f aca="false">-BW169</f>
        <v>-314.749</v>
      </c>
      <c r="BX186" s="26" t="n">
        <f aca="false">-BX169</f>
        <v>-325.877</v>
      </c>
      <c r="BY186" s="47" t="n">
        <f aca="false">-BY169</f>
        <v>-331.687</v>
      </c>
      <c r="BZ186" s="47" t="n">
        <f aca="false">-BZ169</f>
        <v>-331.687</v>
      </c>
      <c r="CA186" s="47" t="n">
        <f aca="false">-CA169</f>
        <v>-1304</v>
      </c>
      <c r="CB186" s="47" t="n">
        <f aca="false">-CB169</f>
        <v>-1371.19482688206</v>
      </c>
      <c r="CC186" s="47" t="n">
        <f aca="false">-CC169</f>
        <v>-1470.93640104385</v>
      </c>
      <c r="CD186" s="47" t="n">
        <f aca="false">-CD169</f>
        <v>-1576.63846315014</v>
      </c>
      <c r="CE186" s="47" t="n">
        <f aca="false">-CE169</f>
        <v>-1684.90745609049</v>
      </c>
      <c r="CF186" s="21"/>
    </row>
    <row r="187" customFormat="false" ht="15" hidden="false" customHeight="true" outlineLevel="0" collapsed="false">
      <c r="B187" s="55" t="s">
        <v>371</v>
      </c>
      <c r="C187" s="56" t="n">
        <f aca="false">C180+C186</f>
        <v>172.182</v>
      </c>
      <c r="D187" s="56" t="n">
        <f aca="false">D180+D186</f>
        <v>207.259</v>
      </c>
      <c r="E187" s="56" t="n">
        <f aca="false">E180+E186</f>
        <v>215.885</v>
      </c>
      <c r="F187" s="56" t="n">
        <f aca="false">F180+F186</f>
        <v>238.075</v>
      </c>
      <c r="G187" s="56" t="n">
        <f aca="false">G180+G186</f>
        <v>276.801</v>
      </c>
      <c r="H187" s="56" t="n">
        <f aca="false">H180+H186</f>
        <v>322.43</v>
      </c>
      <c r="I187" s="56" t="n">
        <f aca="false">I180+I186</f>
        <v>334.835</v>
      </c>
      <c r="J187" s="56" t="n">
        <f aca="false">J180+J186</f>
        <v>87.977</v>
      </c>
      <c r="K187" s="56" t="n">
        <f aca="false">K180+K186</f>
        <v>108.373</v>
      </c>
      <c r="L187" s="56" t="n">
        <f aca="false">L180+L186</f>
        <v>115.004</v>
      </c>
      <c r="M187" s="56" t="n">
        <f aca="false">M180+M186</f>
        <v>101.785</v>
      </c>
      <c r="N187" s="56" t="n">
        <f aca="false">N180+N186</f>
        <v>413.138</v>
      </c>
      <c r="O187" s="56" t="n">
        <f aca="false">O180+O186</f>
        <v>101.584</v>
      </c>
      <c r="P187" s="56" t="n">
        <f aca="false">P180+P186</f>
        <v>118.643</v>
      </c>
      <c r="Q187" s="56" t="n">
        <f aca="false">Q180+Q186</f>
        <v>126.616</v>
      </c>
      <c r="R187" s="56" t="n">
        <f aca="false">R180+R186</f>
        <v>112.289</v>
      </c>
      <c r="S187" s="56" t="n">
        <f aca="false">S180+S186</f>
        <v>459.134</v>
      </c>
      <c r="T187" s="56" t="n">
        <f aca="false">T180+T186</f>
        <v>103.994</v>
      </c>
      <c r="U187" s="56" t="n">
        <f aca="false">U180+U186</f>
        <v>110.777</v>
      </c>
      <c r="V187" s="56" t="n">
        <f aca="false">V180+V186</f>
        <v>120.416</v>
      </c>
      <c r="W187" s="56" t="n">
        <f aca="false">W180+W186</f>
        <v>105.985</v>
      </c>
      <c r="X187" s="56" t="n">
        <f aca="false">X180+X186</f>
        <v>441.173</v>
      </c>
      <c r="Y187" s="56" t="n">
        <f aca="false">Y180+Y186</f>
        <v>101.146</v>
      </c>
      <c r="Z187" s="56" t="n">
        <f aca="false">Z180+Z186</f>
        <v>135.15</v>
      </c>
      <c r="AA187" s="56" t="n">
        <f aca="false">AA180+AA186</f>
        <v>189.636</v>
      </c>
      <c r="AB187" s="56" t="n">
        <f aca="false">AB180+AB186</f>
        <v>181.243</v>
      </c>
      <c r="AC187" s="56" t="n">
        <f aca="false">AC180+AC186</f>
        <v>607.177</v>
      </c>
      <c r="AD187" s="56" t="n">
        <f aca="false">AD180+AD186</f>
        <v>182.049</v>
      </c>
      <c r="AE187" s="56" t="n">
        <f aca="false">AE180+AE186</f>
        <v>216.059</v>
      </c>
      <c r="AF187" s="56" t="n">
        <f aca="false">AF180+AF186</f>
        <v>229.822</v>
      </c>
      <c r="AG187" s="56" t="n">
        <f aca="false">AG180+AG186</f>
        <v>200.11</v>
      </c>
      <c r="AH187" s="56" t="n">
        <f aca="false">AH180+AH186</f>
        <v>828.041</v>
      </c>
      <c r="AI187" s="56" t="n">
        <f aca="false">AI180+AI186</f>
        <v>197.633</v>
      </c>
      <c r="AJ187" s="56" t="n">
        <f aca="false">AJ180+AJ186</f>
        <v>226.582</v>
      </c>
      <c r="AK187" s="56" t="n">
        <f aca="false">AK180+AK186</f>
        <v>241.706</v>
      </c>
      <c r="AL187" s="56" t="n">
        <f aca="false">AL180+AL186</f>
        <v>220.01</v>
      </c>
      <c r="AM187" s="56" t="n">
        <f aca="false">AM180+AM186</f>
        <v>885.931</v>
      </c>
      <c r="AN187" s="56" t="n">
        <f aca="false">AN180+AN186</f>
        <v>208.32</v>
      </c>
      <c r="AO187" s="56" t="n">
        <f aca="false">AO180+AO186</f>
        <v>237.164</v>
      </c>
      <c r="AP187" s="56" t="n">
        <f aca="false">AP180+AP186</f>
        <v>253.631</v>
      </c>
      <c r="AQ187" s="56" t="n">
        <f aca="false">AQ180+AQ186</f>
        <v>230.521</v>
      </c>
      <c r="AR187" s="56" t="n">
        <f aca="false">AR180+AR186</f>
        <v>929.636</v>
      </c>
      <c r="AS187" s="56" t="n">
        <f aca="false">AS180+AS186</f>
        <v>226.064</v>
      </c>
      <c r="AT187" s="56" t="n">
        <f aca="false">AT180+AT186</f>
        <v>211.321</v>
      </c>
      <c r="AU187" s="56" t="n">
        <f aca="false">AU180+AU186</f>
        <v>242.34</v>
      </c>
      <c r="AV187" s="56" t="n">
        <f aca="false">AV180+AV186</f>
        <v>229.856</v>
      </c>
      <c r="AW187" s="56" t="n">
        <f aca="false">AW180+AW186</f>
        <v>909.58</v>
      </c>
      <c r="AX187" s="56" t="n">
        <f aca="false">AX180+AX186</f>
        <v>243.58</v>
      </c>
      <c r="AY187" s="56" t="n">
        <f aca="false">AY180+AY186</f>
        <v>282.977</v>
      </c>
      <c r="AZ187" s="56" t="n">
        <f aca="false">AZ180+AZ186</f>
        <v>298.343</v>
      </c>
      <c r="BA187" s="56" t="n">
        <f aca="false">BA180+BA186</f>
        <v>281.25</v>
      </c>
      <c r="BB187" s="56" t="n">
        <f aca="false">BB180+BB186</f>
        <v>1106.149</v>
      </c>
      <c r="BC187" s="56" t="n">
        <f aca="false">BC180+BC186</f>
        <v>284.535</v>
      </c>
      <c r="BD187" s="56" t="n">
        <f aca="false">BD180+BD186</f>
        <v>340.415</v>
      </c>
      <c r="BE187" s="56" t="n">
        <f aca="false">BE180+BE186</f>
        <v>355.924</v>
      </c>
      <c r="BF187" s="56" t="n">
        <f aca="false">BF180+BF186</f>
        <v>320.817</v>
      </c>
      <c r="BG187" s="56" t="n">
        <f aca="false">BG180+BG186</f>
        <v>1301.692</v>
      </c>
      <c r="BH187" s="56" t="n">
        <f aca="false">BH180+BH186</f>
        <v>323.528</v>
      </c>
      <c r="BI187" s="56" t="n">
        <f aca="false">BI180+BI186</f>
        <v>376.513</v>
      </c>
      <c r="BJ187" s="56" t="n">
        <f aca="false">BJ180+BJ186</f>
        <v>416.792</v>
      </c>
      <c r="BK187" s="56" t="n">
        <f aca="false">BK180+BK186</f>
        <v>402.912</v>
      </c>
      <c r="BL187" s="56" t="n">
        <f aca="false">BL180+BL186</f>
        <v>1519.745</v>
      </c>
      <c r="BM187" s="56" t="n">
        <f aca="false">BM180+BM186</f>
        <v>387.692</v>
      </c>
      <c r="BN187" s="56" t="n">
        <f aca="false">BN180+BN186</f>
        <v>446.46</v>
      </c>
      <c r="BO187" s="56" t="n">
        <f aca="false">BO180+BO186</f>
        <v>493.793</v>
      </c>
      <c r="BP187" s="56" t="n">
        <f aca="false">BP180+BP186</f>
        <v>410.156</v>
      </c>
      <c r="BQ187" s="56" t="n">
        <f aca="false">BQ180+BQ186</f>
        <v>1738.096</v>
      </c>
      <c r="BR187" s="56" t="n">
        <f aca="false">BR180+BR186</f>
        <v>422.264</v>
      </c>
      <c r="BS187" s="56" t="n">
        <f aca="false">BS180+BS186</f>
        <v>478.756</v>
      </c>
      <c r="BT187" s="56" t="n">
        <f aca="false">BT180+BT186</f>
        <v>515.007</v>
      </c>
      <c r="BU187" s="56" t="n">
        <f aca="false">BU180+BU186</f>
        <v>476.421</v>
      </c>
      <c r="BV187" s="56" t="n">
        <f aca="false">BV180+BV186</f>
        <v>1892.449</v>
      </c>
      <c r="BW187" s="56" t="n">
        <f aca="false">BW180+BW186</f>
        <v>454.779</v>
      </c>
      <c r="BX187" s="56" t="n">
        <f aca="false">BX180+BX186</f>
        <v>514.203</v>
      </c>
      <c r="BY187" s="56" t="n">
        <f aca="false">BY180+BY186</f>
        <v>550.363183832602</v>
      </c>
      <c r="BZ187" s="56" t="n">
        <f aca="false">BZ180+BZ186</f>
        <v>511.654816167399</v>
      </c>
      <c r="CA187" s="56" t="n">
        <f aca="false">CA180+CA186</f>
        <v>2031</v>
      </c>
      <c r="CB187" s="56" t="n">
        <f aca="false">CB180+CB186</f>
        <v>2202.48582844645</v>
      </c>
      <c r="CC187" s="56" t="n">
        <f aca="false">CC180+CC186</f>
        <v>2399.25306585299</v>
      </c>
      <c r="CD187" s="56" t="n">
        <f aca="false">CD180+CD186</f>
        <v>2610.74539613038</v>
      </c>
      <c r="CE187" s="56" t="n">
        <f aca="false">CE180+CE186</f>
        <v>2827.0742734856</v>
      </c>
      <c r="CF187" s="21"/>
      <c r="CH187" s="22" t="n">
        <f aca="false">IFERROR((CE187/BV187)^(1/5)-1,"n/m")</f>
        <v>0.0835840576817177</v>
      </c>
      <c r="CI187" s="22" t="n">
        <f aca="false">IFERROR((BV187/AW187)^(1/5)-1,"n/m")</f>
        <v>0.157808294195402</v>
      </c>
      <c r="CJ187" s="22" t="n">
        <f aca="false">IFERROR((BV187/X187)^(1/10)-1,"n/m")</f>
        <v>0.156755374232191</v>
      </c>
      <c r="CK187" s="22" t="n">
        <f aca="false">IFERROR((BV187/C187)^(1/19)-1,"n/m")</f>
        <v>0.13446575653217</v>
      </c>
    </row>
    <row r="188" customFormat="false" ht="15" hidden="false" customHeight="true" outlineLevel="0" collapsed="false">
      <c r="B188" s="29" t="s">
        <v>372</v>
      </c>
      <c r="C188" s="38" t="n">
        <f aca="false">IF(AND(ISNUMBER(C187),ISNUMBER(C128)),IFERROR(C187/C128,""),"")</f>
        <v>0.208869005305973</v>
      </c>
      <c r="D188" s="38" t="n">
        <f aca="false">IF(AND(ISNUMBER(D187),ISNUMBER(D128)),IFERROR(D187/D128,""),"")</f>
        <v>0.216223406197544</v>
      </c>
      <c r="E188" s="38" t="n">
        <f aca="false">IF(AND(ISNUMBER(E187),ISNUMBER(E128)),IFERROR(E187/E128,""),"")</f>
        <v>0.205682529489721</v>
      </c>
      <c r="F188" s="38" t="n">
        <f aca="false">IF(AND(ISNUMBER(F187),ISNUMBER(F128)),IFERROR(F187/F128,""),"")</f>
        <v>0.199829107607649</v>
      </c>
      <c r="G188" s="38" t="n">
        <f aca="false">IF(AND(ISNUMBER(G187),ISNUMBER(G128)),IFERROR(G187/G128,""),"")</f>
        <v>0.209736337825827</v>
      </c>
      <c r="H188" s="38" t="n">
        <f aca="false">IF(AND(ISNUMBER(H187),ISNUMBER(H128)),IFERROR(H187/H128,""),"")</f>
        <v>0.214187114628602</v>
      </c>
      <c r="I188" s="38" t="n">
        <f aca="false">IF(AND(ISNUMBER(I187),ISNUMBER(I128)),IFERROR(I187/I128,""),"")</f>
        <v>0.201511418388583</v>
      </c>
      <c r="J188" s="38" t="n">
        <f aca="false">IF(AND(ISNUMBER(J187),ISNUMBER(J128)),IFERROR(J187/J128,""),"")</f>
        <v>0.19555137677487</v>
      </c>
      <c r="K188" s="38" t="n">
        <f aca="false">IF(AND(ISNUMBER(K187),ISNUMBER(K128)),IFERROR(K187/K128,""),"")</f>
        <v>0.22144913676665</v>
      </c>
      <c r="L188" s="38" t="n">
        <f aca="false">IF(AND(ISNUMBER(L187),ISNUMBER(L128)),IFERROR(L187/L128,""),"")</f>
        <v>0.228342923402549</v>
      </c>
      <c r="M188" s="38" t="n">
        <f aca="false">IF(AND(ISNUMBER(M187),ISNUMBER(M128)),IFERROR(M187/M128,""),"")</f>
        <v>0.20948717473764</v>
      </c>
      <c r="N188" s="38" t="n">
        <f aca="false">IF(AND(ISNUMBER(N187),ISNUMBER(N128)),IFERROR(N187/N128,""),"")</f>
        <v>0.214194872964727</v>
      </c>
      <c r="O188" s="38" t="n">
        <f aca="false">IF(AND(ISNUMBER(O187),ISNUMBER(O128)),IFERROR(O187/O128,""),"")</f>
        <v>0.210882065973304</v>
      </c>
      <c r="P188" s="38" t="n">
        <f aca="false">IF(AND(ISNUMBER(P187),ISNUMBER(P128)),IFERROR(P187/P128,""),"")</f>
        <v>0.226118892380878</v>
      </c>
      <c r="Q188" s="38" t="n">
        <f aca="false">IF(AND(ISNUMBER(Q187),ISNUMBER(Q128)),IFERROR(Q187/Q128,""),"")</f>
        <v>0.231663650784648</v>
      </c>
      <c r="R188" s="38" t="n">
        <f aca="false">IF(AND(ISNUMBER(R187),ISNUMBER(R128)),IFERROR(R187/R128,""),"")</f>
        <v>0.213390775218401</v>
      </c>
      <c r="S188" s="38" t="n">
        <f aca="false">IF(AND(ISNUMBER(S187),ISNUMBER(S128)),IFERROR(S187/S128,""),"")</f>
        <v>0.220826042749834</v>
      </c>
      <c r="T188" s="38" t="n">
        <f aca="false">IF(AND(ISNUMBER(T187),ISNUMBER(T128)),IFERROR(T187/T128,""),"")</f>
        <v>0.205481130211421</v>
      </c>
      <c r="U188" s="38" t="n">
        <f aca="false">IF(AND(ISNUMBER(U187),ISNUMBER(U128)),IFERROR(U187/U128,""),"")</f>
        <v>0.208497078929141</v>
      </c>
      <c r="V188" s="38" t="n">
        <f aca="false">IF(AND(ISNUMBER(V187),ISNUMBER(V128)),IFERROR(V187/V128,""),"")</f>
        <v>0.219762089871482</v>
      </c>
      <c r="W188" s="38" t="n">
        <f aca="false">IF(AND(ISNUMBER(W187),ISNUMBER(W128)),IFERROR(W187/W128,""),"")</f>
        <v>0.199243519439332</v>
      </c>
      <c r="X188" s="38" t="n">
        <f aca="false">IF(AND(ISNUMBER(X187),ISNUMBER(X128)),IFERROR(X187/X128,""),"")</f>
        <v>0.208367122643269</v>
      </c>
      <c r="Y188" s="38" t="n">
        <f aca="false">IF(AND(ISNUMBER(Y187),ISNUMBER(Y128)),IFERROR(Y187/Y128,""),"")</f>
        <v>0.196522110826144</v>
      </c>
      <c r="Z188" s="38" t="n">
        <f aca="false">IF(AND(ISNUMBER(Z187),ISNUMBER(Z128)),IFERROR(Z187/Z128,""),"")</f>
        <v>0.185737707846886</v>
      </c>
      <c r="AA188" s="38" t="n">
        <f aca="false">IF(AND(ISNUMBER(AA187),ISNUMBER(AA128)),IFERROR(AA187/AA128,""),"")</f>
        <v>0.174792289215262</v>
      </c>
      <c r="AB188" s="38" t="n">
        <f aca="false">IF(AND(ISNUMBER(AB187),ISNUMBER(AB128)),IFERROR(AB187/AB128,""),"")</f>
        <v>0.172839211841827</v>
      </c>
      <c r="AC188" s="38" t="n">
        <f aca="false">IF(AND(ISNUMBER(AC187),ISNUMBER(AC128)),IFERROR(AC187/AC128,""),"")</f>
        <v>0.179858305861346</v>
      </c>
      <c r="AD188" s="38" t="n">
        <f aca="false">IF(AND(ISNUMBER(AD187),ISNUMBER(AD128)),IFERROR(AD187/AD128,""),"")</f>
        <v>0.166823670855685</v>
      </c>
      <c r="AE188" s="38" t="n">
        <f aca="false">IF(AND(ISNUMBER(AE187),ISNUMBER(AE128)),IFERROR(AE187/AE128,""),"")</f>
        <v>0.183790998231495</v>
      </c>
      <c r="AF188" s="38" t="n">
        <f aca="false">IF(AND(ISNUMBER(AF187),ISNUMBER(AF128)),IFERROR(AF187/AF128,""),"")</f>
        <v>0.190490004790804</v>
      </c>
      <c r="AG188" s="38" t="n">
        <f aca="false">IF(AND(ISNUMBER(AG187),ISNUMBER(AG128)),IFERROR(AG187/AG128,""),"")</f>
        <v>0.172929764296671</v>
      </c>
      <c r="AH188" s="38" t="n">
        <f aca="false">IF(AND(ISNUMBER(AH187),ISNUMBER(AH128)),IFERROR(AH187/AH128,""),"")</f>
        <v>0.178823700655309</v>
      </c>
      <c r="AI188" s="38" t="n">
        <f aca="false">IF(AND(ISNUMBER(AI187),ISNUMBER(AI128)),IFERROR(AI187/AI128,""),"")</f>
        <v>0.173342361535648</v>
      </c>
      <c r="AJ188" s="38" t="n">
        <f aca="false">IF(AND(ISNUMBER(AJ187),ISNUMBER(AJ128)),IFERROR(AJ187/AJ128,""),"")</f>
        <v>0.182732135022839</v>
      </c>
      <c r="AK188" s="38" t="n">
        <f aca="false">IF(AND(ISNUMBER(AK187),ISNUMBER(AK128)),IFERROR(AK187/AK128,""),"")</f>
        <v>0.188669200927321</v>
      </c>
      <c r="AL188" s="38" t="n">
        <f aca="false">IF(AND(ISNUMBER(AL187),ISNUMBER(AL128)),IFERROR(AL187/AL128,""),"")</f>
        <v>0.174371419604163</v>
      </c>
      <c r="AM188" s="38" t="n">
        <f aca="false">IF(AND(ISNUMBER(AM187),ISNUMBER(AM128)),IFERROR(AM187/AM128,""),"")</f>
        <v>0.179959702949924</v>
      </c>
      <c r="AN188" s="38" t="n">
        <f aca="false">IF(AND(ISNUMBER(AN187),ISNUMBER(AN128)),IFERROR(AN187/AN128,""),"")</f>
        <v>0.167374101846562</v>
      </c>
      <c r="AO188" s="38" t="n">
        <f aca="false">IF(AND(ISNUMBER(AO187),ISNUMBER(AO128)),IFERROR(AO187/AO128,""),"")</f>
        <v>0.173158036533714</v>
      </c>
      <c r="AP188" s="38" t="n">
        <f aca="false">IF(AND(ISNUMBER(AP187),ISNUMBER(AP128)),IFERROR(AP187/AP128,""),"")</f>
        <v>0.17956888910286</v>
      </c>
      <c r="AQ188" s="38" t="n">
        <f aca="false">IF(AND(ISNUMBER(AQ187),ISNUMBER(AQ128)),IFERROR(AQ187/AQ128,""),"")</f>
        <v>0.169256806367294</v>
      </c>
      <c r="AR188" s="38" t="n">
        <f aca="false">IF(AND(ISNUMBER(AR187),ISNUMBER(AR128)),IFERROR(AR187/AR128,""),"")</f>
        <v>0.172516492446479</v>
      </c>
      <c r="AS188" s="38" t="n">
        <f aca="false">IF(AND(ISNUMBER(AS187),ISNUMBER(AS128)),IFERROR(AS187/AS128,""),"")</f>
        <v>0.16715715126545</v>
      </c>
      <c r="AT188" s="38" t="n">
        <f aca="false">IF(AND(ISNUMBER(AT187),ISNUMBER(AT128)),IFERROR(AT187/AT128,""),"")</f>
        <v>0.161834823883313</v>
      </c>
      <c r="AU188" s="38" t="n">
        <f aca="false">IF(AND(ISNUMBER(AU187),ISNUMBER(AU128)),IFERROR(AU187/AU128,""),"")</f>
        <v>0.174401533731735</v>
      </c>
      <c r="AV188" s="38" t="n">
        <f aca="false">IF(AND(ISNUMBER(AV187),ISNUMBER(AV128)),IFERROR(AV187/AV128,""),"")</f>
        <v>0.164388225003951</v>
      </c>
      <c r="AW188" s="38" t="n">
        <f aca="false">IF(AND(ISNUMBER(AW187),ISNUMBER(AW128)),IFERROR(AW187/AW128,""),"")</f>
        <v>0.167018301539298</v>
      </c>
      <c r="AX188" s="38" t="n">
        <f aca="false">IF(AND(ISNUMBER(AX187),ISNUMBER(AX128)),IFERROR(AX187/AX128,""),"")</f>
        <v>0.174491490334126</v>
      </c>
      <c r="AY188" s="38" t="n">
        <f aca="false">IF(AND(ISNUMBER(AY187),ISNUMBER(AY128)),IFERROR(AY187/AY128,""),"")</f>
        <v>0.184478310954013</v>
      </c>
      <c r="AZ188" s="38" t="n">
        <f aca="false">IF(AND(ISNUMBER(AZ187),ISNUMBER(AZ128)),IFERROR(AZ187/AZ128,""),"")</f>
        <v>0.186795002153812</v>
      </c>
      <c r="BA188" s="38" t="n">
        <f aca="false">IF(AND(ISNUMBER(BA187),ISNUMBER(BA128)),IFERROR(BA187/BA128,""),"")</f>
        <v>0.173149486030761</v>
      </c>
      <c r="BB188" s="38" t="n">
        <f aca="false">IF(AND(ISNUMBER(BB187),ISNUMBER(BB128)),IFERROR(BB187/BB128,""),"")</f>
        <v>0.179821831298797</v>
      </c>
      <c r="BC188" s="38" t="n">
        <f aca="false">IF(AND(ISNUMBER(BC187),ISNUMBER(BC128)),IFERROR(BC187/BC128,""),"")</f>
        <v>0.172837743848918</v>
      </c>
      <c r="BD188" s="38" t="n">
        <f aca="false">IF(AND(ISNUMBER(BD187),ISNUMBER(BD128)),IFERROR(BD187/BD128,""),"")</f>
        <v>0.187408302526652</v>
      </c>
      <c r="BE188" s="38" t="n">
        <f aca="false">IF(AND(ISNUMBER(BE187),ISNUMBER(BE128)),IFERROR(BE187/BE128,""),"")</f>
        <v>0.189334570299617</v>
      </c>
      <c r="BF188" s="38" t="n">
        <f aca="false">IF(AND(ISNUMBER(BF187),ISNUMBER(BF128)),IFERROR(BF187/BF128,""),"")</f>
        <v>0.171624045565695</v>
      </c>
      <c r="BG188" s="38" t="n">
        <f aca="false">IF(AND(ISNUMBER(BG187),ISNUMBER(BG128)),IFERROR(BG187/BG128,""),"")</f>
        <v>0.180493268101886</v>
      </c>
      <c r="BH188" s="38" t="n">
        <f aca="false">IF(AND(ISNUMBER(BH187),ISNUMBER(BH128)),IFERROR(BH187/BH128,""),"")</f>
        <v>0.170232827835578</v>
      </c>
      <c r="BI188" s="38" t="n">
        <f aca="false">IF(AND(ISNUMBER(BI187),ISNUMBER(BI128)),IFERROR(BI187/BI128,""),"")</f>
        <v>0.186291589460169</v>
      </c>
      <c r="BJ188" s="38" t="n">
        <f aca="false">IF(AND(ISNUMBER(BJ187),ISNUMBER(BJ128)),IFERROR(BJ187/BJ128,""),"")</f>
        <v>0.201861344554095</v>
      </c>
      <c r="BK188" s="38" t="n">
        <f aca="false">IF(AND(ISNUMBER(BK187),ISNUMBER(BK128)),IFERROR(BK187/BK128,""),"")</f>
        <v>0.197931921110586</v>
      </c>
      <c r="BL188" s="38" t="n">
        <f aca="false">IF(AND(ISNUMBER(BL187),ISNUMBER(BL128)),IFERROR(BL187/BL128,""),"")</f>
        <v>0.189448302538871</v>
      </c>
      <c r="BM188" s="38" t="n">
        <f aca="false">IF(AND(ISNUMBER(BM187),ISNUMBER(BM128)),IFERROR(BM187/BM128,""),"")</f>
        <v>0.187051088628921</v>
      </c>
      <c r="BN188" s="38" t="n">
        <f aca="false">IF(AND(ISNUMBER(BN187),ISNUMBER(BN128)),IFERROR(BN187/BN128,""),"")</f>
        <v>0.198588538390848</v>
      </c>
      <c r="BO188" s="38" t="n">
        <f aca="false">IF(AND(ISNUMBER(BO187),ISNUMBER(BO128)),IFERROR(BO187/BO128,""),"")</f>
        <v>0.211159090831341</v>
      </c>
      <c r="BP188" s="38" t="n">
        <f aca="false">IF(AND(ISNUMBER(BP187),ISNUMBER(BP128)),IFERROR(BP187/BP128,""),"")</f>
        <v>0.181462232826597</v>
      </c>
      <c r="BQ188" s="38" t="n">
        <f aca="false">IF(AND(ISNUMBER(BQ187),ISNUMBER(BQ128)),IFERROR(BQ187/BQ128,""),"")</f>
        <v>0.194862746509341</v>
      </c>
      <c r="BR188" s="38" t="n">
        <f aca="false">IF(AND(ISNUMBER(BR187),ISNUMBER(BR128)),IFERROR(BR187/BR128,""),"")</f>
        <v>0.189511061962789</v>
      </c>
      <c r="BS188" s="38" t="n">
        <f aca="false">IF(AND(ISNUMBER(BS187),ISNUMBER(BS128)),IFERROR(BS187/BS128,""),"")</f>
        <v>0.198896992382808</v>
      </c>
      <c r="BT188" s="38" t="n">
        <f aca="false">IF(AND(ISNUMBER(BT187),ISNUMBER(BT128)),IFERROR(BT187/BT128,""),"")</f>
        <v>0.209490566544282</v>
      </c>
      <c r="BU188" s="38" t="n">
        <f aca="false">IF(AND(ISNUMBER(BU187),ISNUMBER(BU128)),IFERROR(BU187/BU128,""),"")</f>
        <v>0.200741497303761</v>
      </c>
      <c r="BV188" s="38" t="n">
        <f aca="false">IF(AND(ISNUMBER(BV187),ISNUMBER(BV128)),IFERROR(BV187/BV128,""),"")</f>
        <v>0.199901340616241</v>
      </c>
      <c r="BW188" s="38" t="n">
        <f aca="false">IF(AND(ISNUMBER(BW187),ISNUMBER(BW128)),IFERROR(BW187/BW128,""),"")</f>
        <v>0.191838797349735</v>
      </c>
      <c r="BX188" s="38" t="n">
        <f aca="false">IF(AND(ISNUMBER(BX187),ISNUMBER(BX128)),IFERROR(BX187/BX128,""),"")</f>
        <v>0.20073453890468</v>
      </c>
      <c r="BY188" s="37" t="n">
        <f aca="false">IFERROR(BY187/BY128,"")</f>
        <v>0.211941404685157</v>
      </c>
      <c r="BZ188" s="37" t="n">
        <f aca="false">IFERROR(BZ187/BZ128,"")</f>
        <v>0.204172605021341</v>
      </c>
      <c r="CA188" s="37" t="n">
        <f aca="false">IFERROR(CA187/CA128,"")</f>
        <v>0.202391629297459</v>
      </c>
      <c r="CB188" s="37" t="n">
        <f aca="false">IFERROR(CB187/CB128,"")</f>
        <v>0.206742695563468</v>
      </c>
      <c r="CC188" s="37" t="n">
        <f aca="false">IFERROR(CC187/CC128,"")</f>
        <v>0.208504477410006</v>
      </c>
      <c r="CD188" s="37" t="n">
        <f aca="false">IFERROR(CD187/CD128,"")</f>
        <v>0.210239420857972</v>
      </c>
      <c r="CE188" s="37" t="n">
        <f aca="false">IFERROR(CE187/CE128,"")</f>
        <v>0.211815469599195</v>
      </c>
      <c r="CF188" s="21"/>
      <c r="CH188" s="41" t="n">
        <f aca="false">IFERROR(AVERAGE(CA188,CB188,CC188,CD188,CE188),"n/m")</f>
        <v>0.20793873854562</v>
      </c>
      <c r="CI188" s="41" t="n">
        <f aca="false">IFERROR(AVERAGE(BB188,BG188,BL188,BQ188,BV188),"n/m")</f>
        <v>0.188905497813027</v>
      </c>
      <c r="CJ188" s="41" t="n">
        <f aca="false">IFERROR(AVERAGE(AC188,AH188,AM188,AR188,AW188,BB188,BG188,BL188,BQ188,BV188),"n/m")</f>
        <v>0.182270399251749</v>
      </c>
      <c r="CK188" s="41" t="n">
        <f aca="false">IFERROR(AVERAGE(C188,D188,E188,F188,G188,H188,I188,N188,S188,X188,AC188,AH188,AM188,AR188,AW188,BB188,BG188,BL188,BQ188,BV188),"n/m")</f>
        <v>0.196106547515961</v>
      </c>
    </row>
    <row r="189" customFormat="false" ht="15" hidden="false" customHeight="true" outlineLevel="0" collapsed="false">
      <c r="B189" s="24" t="s">
        <v>373</v>
      </c>
      <c r="C189" s="26" t="n">
        <f aca="false">C187+C132</f>
        <v>176.262</v>
      </c>
      <c r="D189" s="26" t="n">
        <f aca="false">D187+D132</f>
        <v>211.6</v>
      </c>
      <c r="E189" s="26" t="n">
        <f aca="false">E187+E132</f>
        <v>222.219</v>
      </c>
      <c r="F189" s="26" t="n">
        <f aca="false">F187+F132</f>
        <v>251.037</v>
      </c>
      <c r="G189" s="26" t="n">
        <f aca="false">G187+G132</f>
        <v>291.383</v>
      </c>
      <c r="H189" s="26" t="n">
        <f aca="false">H187+H132</f>
        <v>342.494</v>
      </c>
      <c r="I189" s="26" t="n">
        <f aca="false">I187+I132</f>
        <v>359.392</v>
      </c>
      <c r="J189" s="26" t="n">
        <f aca="false">J187+J132</f>
        <v>94.415</v>
      </c>
      <c r="K189" s="26" t="n">
        <f aca="false">K187+K132</f>
        <v>114.584</v>
      </c>
      <c r="L189" s="26" t="n">
        <f aca="false">L187+L132</f>
        <v>121.215</v>
      </c>
      <c r="M189" s="26" t="n">
        <f aca="false">M187+M132</f>
        <v>108.334</v>
      </c>
      <c r="N189" s="26" t="n">
        <f aca="false">N187+N132</f>
        <v>438.548</v>
      </c>
      <c r="O189" s="26" t="n">
        <f aca="false">O187+O132</f>
        <v>108.321</v>
      </c>
      <c r="P189" s="26" t="n">
        <f aca="false">P187+P132</f>
        <v>125.363</v>
      </c>
      <c r="Q189" s="26" t="n">
        <f aca="false">Q187+Q132</f>
        <v>133.318</v>
      </c>
      <c r="R189" s="26" t="n">
        <f aca="false">R187+R132</f>
        <v>119.131</v>
      </c>
      <c r="S189" s="26" t="n">
        <f aca="false">S187+S132</f>
        <v>486.134</v>
      </c>
      <c r="T189" s="26" t="n">
        <f aca="false">T187+T132</f>
        <v>110.993</v>
      </c>
      <c r="U189" s="26" t="n">
        <f aca="false">U187+U132</f>
        <v>118.041</v>
      </c>
      <c r="V189" s="26" t="n">
        <f aca="false">V187+V132</f>
        <v>127.611</v>
      </c>
      <c r="W189" s="26" t="n">
        <f aca="false">W187+W132</f>
        <v>113.604</v>
      </c>
      <c r="X189" s="26" t="n">
        <f aca="false">X187+X132</f>
        <v>470.25</v>
      </c>
      <c r="Y189" s="26" t="n">
        <f aca="false">Y187+Y132</f>
        <v>108.84</v>
      </c>
      <c r="Z189" s="26" t="n">
        <f aca="false">Z187+Z132</f>
        <v>149.231</v>
      </c>
      <c r="AA189" s="26" t="n">
        <f aca="false">AA187+AA132</f>
        <v>216.58</v>
      </c>
      <c r="AB189" s="26" t="n">
        <f aca="false">AB187+AB132</f>
        <v>202.836</v>
      </c>
      <c r="AC189" s="26" t="n">
        <f aca="false">AC187+AC132</f>
        <v>677.489</v>
      </c>
      <c r="AD189" s="26" t="n">
        <f aca="false">AD187+AD132</f>
        <v>207.559</v>
      </c>
      <c r="AE189" s="26" t="n">
        <f aca="false">AE187+AE132</f>
        <v>240.821</v>
      </c>
      <c r="AF189" s="26" t="n">
        <f aca="false">AF187+AF132</f>
        <v>256.435</v>
      </c>
      <c r="AG189" s="26" t="n">
        <f aca="false">AG187+AG132</f>
        <v>225.521</v>
      </c>
      <c r="AH189" s="26" t="n">
        <f aca="false">AH187+AH132</f>
        <v>930.338</v>
      </c>
      <c r="AI189" s="26" t="n">
        <f aca="false">AI187+AI132</f>
        <v>223.731</v>
      </c>
      <c r="AJ189" s="26" t="n">
        <f aca="false">AJ187+AJ132</f>
        <v>253.056</v>
      </c>
      <c r="AK189" s="26" t="n">
        <f aca="false">AK187+AK132</f>
        <v>268.577</v>
      </c>
      <c r="AL189" s="26" t="n">
        <f aca="false">AL187+AL132</f>
        <v>248.345</v>
      </c>
      <c r="AM189" s="26" t="n">
        <f aca="false">AM187+AM132</f>
        <v>993.71</v>
      </c>
      <c r="AN189" s="26" t="n">
        <f aca="false">AN187+AN132</f>
        <v>238.862</v>
      </c>
      <c r="AO189" s="26" t="n">
        <f aca="false">AO187+AO132</f>
        <v>268.508</v>
      </c>
      <c r="AP189" s="26" t="n">
        <f aca="false">AP187+AP132</f>
        <v>285.565</v>
      </c>
      <c r="AQ189" s="26" t="n">
        <f aca="false">AQ187+AQ132</f>
        <v>262.222</v>
      </c>
      <c r="AR189" s="26" t="n">
        <f aca="false">AR187+AR132</f>
        <v>1055.158</v>
      </c>
      <c r="AS189" s="26" t="n">
        <f aca="false">AS187+AS132</f>
        <v>257.702</v>
      </c>
      <c r="AT189" s="26" t="n">
        <f aca="false">AT187+AT132</f>
        <v>243.092</v>
      </c>
      <c r="AU189" s="26" t="n">
        <f aca="false">AU187+AU132</f>
        <v>274.993</v>
      </c>
      <c r="AV189" s="26" t="n">
        <f aca="false">AV187+AV132</f>
        <v>265.096</v>
      </c>
      <c r="AW189" s="26" t="n">
        <f aca="false">AW187+AW132</f>
        <v>1040.882</v>
      </c>
      <c r="AX189" s="26" t="n">
        <f aca="false">AX187+AX132</f>
        <v>275.772</v>
      </c>
      <c r="AY189" s="26" t="n">
        <f aca="false">AY187+AY132</f>
        <v>315.684</v>
      </c>
      <c r="AZ189" s="26" t="n">
        <f aca="false">AZ187+AZ132</f>
        <v>333.68</v>
      </c>
      <c r="BA189" s="26" t="n">
        <f aca="false">BA187+BA132</f>
        <v>320.292</v>
      </c>
      <c r="BB189" s="26" t="n">
        <f aca="false">BB187+BB132</f>
        <v>1245.428</v>
      </c>
      <c r="BC189" s="26" t="n">
        <f aca="false">BC187+BC132</f>
        <v>322.17</v>
      </c>
      <c r="BD189" s="26" t="n">
        <f aca="false">BD187+BD132</f>
        <v>377.877</v>
      </c>
      <c r="BE189" s="26" t="n">
        <f aca="false">BE187+BE132</f>
        <v>394.783</v>
      </c>
      <c r="BF189" s="26" t="n">
        <f aca="false">BF187+BF132</f>
        <v>362.536</v>
      </c>
      <c r="BG189" s="26" t="n">
        <f aca="false">BG187+BG132</f>
        <v>1457.367</v>
      </c>
      <c r="BH189" s="26" t="n">
        <f aca="false">BH187+BH132</f>
        <v>362.81</v>
      </c>
      <c r="BI189" s="26" t="n">
        <f aca="false">BI187+BI132</f>
        <v>415.565</v>
      </c>
      <c r="BJ189" s="26" t="n">
        <f aca="false">BJ187+BJ132</f>
        <v>456.197</v>
      </c>
      <c r="BK189" s="26" t="n">
        <f aca="false">BK187+BK132</f>
        <v>442.745</v>
      </c>
      <c r="BL189" s="26" t="n">
        <f aca="false">BL187+BL132</f>
        <v>1677.318</v>
      </c>
      <c r="BM189" s="26" t="n">
        <f aca="false">BM187+BM132</f>
        <v>427.982</v>
      </c>
      <c r="BN189" s="26" t="n">
        <f aca="false">BN187+BN132</f>
        <v>490.584</v>
      </c>
      <c r="BO189" s="26" t="n">
        <f aca="false">BO187+BO132</f>
        <v>538.963</v>
      </c>
      <c r="BP189" s="26" t="n">
        <f aca="false">BP187+BP132</f>
        <v>470.34</v>
      </c>
      <c r="BQ189" s="26" t="n">
        <f aca="false">BQ187+BQ132</f>
        <v>1927.864</v>
      </c>
      <c r="BR189" s="26" t="n">
        <f aca="false">BR187+BR132</f>
        <v>469.906</v>
      </c>
      <c r="BS189" s="26" t="n">
        <f aca="false">BS187+BS132</f>
        <v>528.992</v>
      </c>
      <c r="BT189" s="26" t="n">
        <f aca="false">BT187+BT132</f>
        <v>566.338</v>
      </c>
      <c r="BU189" s="26" t="n">
        <f aca="false">BU187+BU132</f>
        <v>528.753</v>
      </c>
      <c r="BV189" s="26" t="n">
        <f aca="false">BV187+BV132</f>
        <v>2093.99</v>
      </c>
      <c r="BW189" s="26" t="n">
        <f aca="false">BW187+BW132</f>
        <v>502.043</v>
      </c>
      <c r="BX189" s="26" t="n">
        <f aca="false">BX187+BX132</f>
        <v>561.803</v>
      </c>
      <c r="BY189" s="47" t="n">
        <f aca="false">BY187+BY132</f>
        <v>598.931183832602</v>
      </c>
      <c r="BZ189" s="47" t="n">
        <f aca="false">BZ187+BZ132</f>
        <v>560.222816167399</v>
      </c>
      <c r="CA189" s="47" t="n">
        <f aca="false">CA187+CA132</f>
        <v>2223</v>
      </c>
      <c r="CB189" s="47" t="n">
        <f aca="false">CB187+CB132</f>
        <v>2394.98582844645</v>
      </c>
      <c r="CC189" s="47" t="n">
        <f aca="false">CC187+CC132</f>
        <v>2604.75306585299</v>
      </c>
      <c r="CD189" s="47" t="n">
        <f aca="false">CD187+CD132</f>
        <v>2829.24539613038</v>
      </c>
      <c r="CE189" s="47" t="n">
        <f aca="false">CE187+CE132</f>
        <v>3059.5742734856</v>
      </c>
      <c r="CF189" s="21" t="s">
        <v>374</v>
      </c>
    </row>
    <row r="190" customFormat="false" ht="15" hidden="false" customHeight="true" outlineLevel="0" collapsed="false"/>
    <row r="191" customFormat="false" ht="15" hidden="false" customHeight="true" outlineLevel="0" collapsed="false">
      <c r="B191" s="12" t="s">
        <v>375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</row>
    <row r="192" customFormat="false" ht="15" hidden="false" customHeight="true" outlineLevel="0" collapsed="false">
      <c r="B192" s="18" t="s">
        <v>335</v>
      </c>
      <c r="C192" s="32" t="n">
        <f aca="false">C146</f>
        <v>77.423</v>
      </c>
      <c r="D192" s="32" t="n">
        <f aca="false">D146</f>
        <v>99.081</v>
      </c>
      <c r="E192" s="32" t="n">
        <f aca="false">E146</f>
        <v>105.556</v>
      </c>
      <c r="F192" s="32" t="n">
        <f aca="false">F146</f>
        <v>109.825</v>
      </c>
      <c r="G192" s="32" t="n">
        <f aca="false">G146</f>
        <v>135.104</v>
      </c>
      <c r="H192" s="32" t="n">
        <f aca="false">H146</f>
        <v>165.239</v>
      </c>
      <c r="I192" s="32" t="n">
        <f aca="false">I146</f>
        <v>159.093</v>
      </c>
      <c r="J192" s="32" t="n">
        <f aca="false">J146</f>
        <v>41.556</v>
      </c>
      <c r="K192" s="32" t="n">
        <f aca="false">K146</f>
        <v>43.967</v>
      </c>
      <c r="L192" s="32" t="n">
        <f aca="false">L146</f>
        <v>60.706</v>
      </c>
      <c r="M192" s="32" t="n">
        <f aca="false">M146</f>
        <v>49.4260000000002</v>
      </c>
      <c r="N192" s="32" t="n">
        <f aca="false">N146</f>
        <v>195.655</v>
      </c>
      <c r="O192" s="32" t="n">
        <f aca="false">O146</f>
        <v>49.015</v>
      </c>
      <c r="P192" s="32" t="n">
        <f aca="false">P146</f>
        <v>62.664</v>
      </c>
      <c r="Q192" s="32" t="n">
        <f aca="false">Q146</f>
        <v>60.0840000000001</v>
      </c>
      <c r="R192" s="32" t="n">
        <f aca="false">R146</f>
        <v>60.7620000000003</v>
      </c>
      <c r="S192" s="32" t="n">
        <f aca="false">S146</f>
        <v>232.525</v>
      </c>
      <c r="T192" s="32" t="n">
        <f aca="false">T146</f>
        <v>51.824</v>
      </c>
      <c r="U192" s="32" t="n">
        <f aca="false">U146</f>
        <v>57.36</v>
      </c>
      <c r="V192" s="32" t="n">
        <f aca="false">V146</f>
        <v>-257.009</v>
      </c>
      <c r="W192" s="32" t="n">
        <f aca="false">W146</f>
        <v>52.0609999999998</v>
      </c>
      <c r="X192" s="32" t="n">
        <f aca="false">X146</f>
        <v>-95.7640000000003</v>
      </c>
      <c r="Y192" s="32" t="n">
        <f aca="false">Y146</f>
        <v>44.8419999999999</v>
      </c>
      <c r="Z192" s="32" t="n">
        <f aca="false">Z146</f>
        <v>27.489</v>
      </c>
      <c r="AA192" s="32" t="n">
        <f aca="false">AA146</f>
        <v>88.6170000000001</v>
      </c>
      <c r="AB192" s="32" t="n">
        <f aca="false">AB146</f>
        <v>85.5919999999999</v>
      </c>
      <c r="AC192" s="32" t="n">
        <f aca="false">AC146</f>
        <v>246.54</v>
      </c>
      <c r="AD192" s="32" t="n">
        <f aca="false">AD146</f>
        <v>14.8740000000001</v>
      </c>
      <c r="AE192" s="32" t="n">
        <f aca="false">AE146</f>
        <v>123.656</v>
      </c>
      <c r="AF192" s="32" t="n">
        <f aca="false">AF146</f>
        <v>123.227</v>
      </c>
      <c r="AG192" s="32" t="n">
        <f aca="false">AG146</f>
        <v>315.085</v>
      </c>
      <c r="AH192" s="32" t="n">
        <f aca="false">AH146</f>
        <v>576.817</v>
      </c>
      <c r="AI192" s="32" t="n">
        <f aca="false">AI146</f>
        <v>124.869</v>
      </c>
      <c r="AJ192" s="32" t="n">
        <f aca="false">AJ146</f>
        <v>138.682</v>
      </c>
      <c r="AK192" s="32" t="n">
        <f aca="false">AK146</f>
        <v>150.843</v>
      </c>
      <c r="AL192" s="32" t="n">
        <f aca="false">AL146</f>
        <v>132.478</v>
      </c>
      <c r="AM192" s="32" t="n">
        <f aca="false">AM146</f>
        <v>546.871</v>
      </c>
      <c r="AN192" s="32" t="n">
        <f aca="false">AN146</f>
        <v>125.622</v>
      </c>
      <c r="AO192" s="32" t="n">
        <f aca="false">AO146</f>
        <v>148.848</v>
      </c>
      <c r="AP192" s="32" t="n">
        <f aca="false">AP146</f>
        <v>159.109</v>
      </c>
      <c r="AQ192" s="32" t="n">
        <f aca="false">AQ146</f>
        <v>133.262</v>
      </c>
      <c r="AR192" s="32" t="n">
        <f aca="false">AR146</f>
        <v>566.841</v>
      </c>
      <c r="AS192" s="32" t="n">
        <f aca="false">AS146</f>
        <v>143.035</v>
      </c>
      <c r="AT192" s="32" t="n">
        <f aca="false">AT146</f>
        <v>-227.072</v>
      </c>
      <c r="AU192" s="32" t="n">
        <f aca="false">AU146</f>
        <v>158.049</v>
      </c>
      <c r="AV192" s="32" t="n">
        <f aca="false">AV146</f>
        <v>130.665</v>
      </c>
      <c r="AW192" s="32" t="n">
        <f aca="false">AW146</f>
        <v>204.677</v>
      </c>
      <c r="AX192" s="32" t="n">
        <f aca="false">AX146</f>
        <v>160.309</v>
      </c>
      <c r="AY192" s="32" t="n">
        <f aca="false">AY146</f>
        <v>177.047</v>
      </c>
      <c r="AZ192" s="32" t="n">
        <f aca="false">AZ146</f>
        <v>114.381</v>
      </c>
      <c r="BA192" s="32" t="n">
        <f aca="false">BA146</f>
        <v>166.311</v>
      </c>
      <c r="BB192" s="32" t="n">
        <f aca="false">BB146</f>
        <v>618.047</v>
      </c>
      <c r="BC192" s="32" t="n">
        <f aca="false">BC146</f>
        <v>180.324</v>
      </c>
      <c r="BD192" s="32" t="n">
        <f aca="false">BD146</f>
        <v>224.074</v>
      </c>
      <c r="BE192" s="32" t="n">
        <f aca="false">BE146</f>
        <v>236.912</v>
      </c>
      <c r="BF192" s="32" t="n">
        <f aca="false">BF146</f>
        <v>194.352</v>
      </c>
      <c r="BG192" s="32" t="n">
        <f aca="false">BG146</f>
        <v>835.662000000001</v>
      </c>
      <c r="BH192" s="32" t="n">
        <f aca="false">BH146</f>
        <v>197.813</v>
      </c>
      <c r="BI192" s="32" t="n">
        <f aca="false">BI146</f>
        <v>209.208</v>
      </c>
      <c r="BJ192" s="32" t="n">
        <f aca="false">BJ146</f>
        <v>229.026</v>
      </c>
      <c r="BK192" s="32" t="n">
        <f aca="false">BK146</f>
        <v>126.753</v>
      </c>
      <c r="BL192" s="32" t="n">
        <f aca="false">BL146</f>
        <v>762.8</v>
      </c>
      <c r="BM192" s="32" t="n">
        <f aca="false">BM146</f>
        <v>230.054</v>
      </c>
      <c r="BN192" s="32" t="n">
        <f aca="false">BN146</f>
        <v>275.477</v>
      </c>
      <c r="BO192" s="32" t="n">
        <f aca="false">BO146</f>
        <v>308.046</v>
      </c>
      <c r="BP192" s="32" t="n">
        <f aca="false">BP146</f>
        <v>-196.004</v>
      </c>
      <c r="BQ192" s="32" t="n">
        <f aca="false">BQ146</f>
        <v>617.573</v>
      </c>
      <c r="BR192" s="32" t="n">
        <f aca="false">BR146</f>
        <v>241.51</v>
      </c>
      <c r="BS192" s="32" t="n">
        <f aca="false">BS146</f>
        <v>290.276</v>
      </c>
      <c r="BT192" s="32" t="n">
        <f aca="false">BT146</f>
        <v>286.271</v>
      </c>
      <c r="BU192" s="32" t="n">
        <f aca="false">BU146</f>
        <v>258.5</v>
      </c>
      <c r="BV192" s="32" t="n">
        <f aca="false">BV146</f>
        <v>1076.557</v>
      </c>
      <c r="BW192" s="32" t="n">
        <f aca="false">BW146</f>
        <v>219.344</v>
      </c>
      <c r="BX192" s="32" t="n">
        <f aca="false">BX146</f>
        <v>296.399</v>
      </c>
      <c r="BY192" s="20" t="n">
        <f aca="false">BY146</f>
        <v>343.904631367271</v>
      </c>
      <c r="BZ192" s="20" t="n">
        <f aca="false">BZ146</f>
        <v>314.13789663273</v>
      </c>
      <c r="CA192" s="20" t="n">
        <f aca="false">CA146</f>
        <v>1173.785528</v>
      </c>
      <c r="CB192" s="20" t="n">
        <f aca="false">CB146</f>
        <v>1370.0123158488</v>
      </c>
      <c r="CC192" s="20" t="n">
        <f aca="false">CC146</f>
        <v>1489.58588587788</v>
      </c>
      <c r="CD192" s="20" t="n">
        <f aca="false">CD146</f>
        <v>1613.48396021854</v>
      </c>
      <c r="CE192" s="20" t="n">
        <f aca="false">CE146</f>
        <v>1739.1875870674</v>
      </c>
      <c r="CF192" s="21"/>
    </row>
    <row r="193" customFormat="false" ht="15" hidden="false" customHeight="true" outlineLevel="0" collapsed="false">
      <c r="B193" s="29" t="s">
        <v>376</v>
      </c>
      <c r="C193" s="25"/>
      <c r="D193" s="25"/>
      <c r="E193" s="25"/>
      <c r="F193" s="25"/>
      <c r="G193" s="25"/>
      <c r="H193" s="25"/>
      <c r="I193" s="25"/>
      <c r="J193" s="25"/>
      <c r="K193" s="25"/>
      <c r="L193" s="27" t="n">
        <v>6.211</v>
      </c>
      <c r="M193" s="27" t="n">
        <v>6.55</v>
      </c>
      <c r="N193" s="27" t="n">
        <v>25.41</v>
      </c>
      <c r="O193" s="27" t="n">
        <v>6.737</v>
      </c>
      <c r="P193" s="27" t="n">
        <v>6.72</v>
      </c>
      <c r="Q193" s="27" t="n">
        <v>6.702</v>
      </c>
      <c r="R193" s="27" t="n">
        <v>6.842</v>
      </c>
      <c r="S193" s="27" t="n">
        <v>27</v>
      </c>
      <c r="T193" s="27" t="n">
        <v>6.999</v>
      </c>
      <c r="U193" s="27" t="n">
        <v>7.264</v>
      </c>
      <c r="V193" s="27" t="n">
        <v>7.195</v>
      </c>
      <c r="W193" s="27" t="n">
        <v>7.619</v>
      </c>
      <c r="X193" s="27" t="n">
        <v>29.077</v>
      </c>
      <c r="Y193" s="27" t="n">
        <v>7.694</v>
      </c>
      <c r="Z193" s="27" t="n">
        <v>14.081</v>
      </c>
      <c r="AA193" s="27" t="n">
        <v>26.944</v>
      </c>
      <c r="AB193" s="27" t="n">
        <v>21.593</v>
      </c>
      <c r="AC193" s="27" t="n">
        <v>70.312</v>
      </c>
      <c r="AD193" s="27" t="n">
        <v>25.51</v>
      </c>
      <c r="AE193" s="27" t="n">
        <v>24.762</v>
      </c>
      <c r="AF193" s="27" t="n">
        <v>26.613</v>
      </c>
      <c r="AG193" s="27" t="n">
        <v>25.411</v>
      </c>
      <c r="AH193" s="27" t="n">
        <v>102.297</v>
      </c>
      <c r="AI193" s="27" t="n">
        <v>26.098</v>
      </c>
      <c r="AJ193" s="27" t="n">
        <v>26.474</v>
      </c>
      <c r="AK193" s="27" t="n">
        <v>26.871</v>
      </c>
      <c r="AL193" s="27" t="n">
        <v>28.336</v>
      </c>
      <c r="AM193" s="27" t="n">
        <v>107.779</v>
      </c>
      <c r="AN193" s="27" t="n">
        <v>30.542</v>
      </c>
      <c r="AO193" s="27" t="n">
        <v>31.344</v>
      </c>
      <c r="AP193" s="27" t="n">
        <v>31.934</v>
      </c>
      <c r="AQ193" s="27" t="n">
        <v>31.701</v>
      </c>
      <c r="AR193" s="27" t="n">
        <v>125.522</v>
      </c>
      <c r="AS193" s="27" t="n">
        <v>31.638</v>
      </c>
      <c r="AT193" s="27" t="n">
        <v>31.771</v>
      </c>
      <c r="AU193" s="27" t="n">
        <v>32.653</v>
      </c>
      <c r="AV193" s="27" t="n">
        <v>35.239</v>
      </c>
      <c r="AW193" s="27" t="n">
        <v>131.302</v>
      </c>
      <c r="AX193" s="27" t="n">
        <v>32.192</v>
      </c>
      <c r="AY193" s="27" t="n">
        <v>32.707</v>
      </c>
      <c r="AZ193" s="27" t="n">
        <v>35.337</v>
      </c>
      <c r="BA193" s="27" t="n">
        <v>39.042</v>
      </c>
      <c r="BB193" s="27" t="n">
        <v>139.279</v>
      </c>
      <c r="BC193" s="27" t="n">
        <v>37.635</v>
      </c>
      <c r="BD193" s="27" t="n">
        <v>37.462</v>
      </c>
      <c r="BE193" s="27" t="n">
        <v>38.859</v>
      </c>
      <c r="BF193" s="27" t="n">
        <v>41.719</v>
      </c>
      <c r="BG193" s="27" t="n">
        <v>155.675</v>
      </c>
      <c r="BH193" s="27" t="n">
        <v>39.282</v>
      </c>
      <c r="BI193" s="27" t="n">
        <v>39.052</v>
      </c>
      <c r="BJ193" s="27" t="n">
        <v>39.405</v>
      </c>
      <c r="BK193" s="27" t="n">
        <v>39.833</v>
      </c>
      <c r="BL193" s="27" t="n">
        <v>157.573</v>
      </c>
      <c r="BM193" s="27" t="n">
        <v>40.29</v>
      </c>
      <c r="BN193" s="27" t="n">
        <v>44.124</v>
      </c>
      <c r="BO193" s="27" t="n">
        <v>45.17</v>
      </c>
      <c r="BP193" s="27" t="n">
        <v>60.184</v>
      </c>
      <c r="BQ193" s="27" t="n">
        <v>189.768</v>
      </c>
      <c r="BR193" s="27" t="n">
        <v>47.642</v>
      </c>
      <c r="BS193" s="27" t="n">
        <v>50.236</v>
      </c>
      <c r="BT193" s="27" t="n">
        <v>51.331</v>
      </c>
      <c r="BU193" s="27" t="n">
        <v>52.332</v>
      </c>
      <c r="BV193" s="27" t="n">
        <v>201.541</v>
      </c>
      <c r="BW193" s="27" t="n">
        <v>47.264</v>
      </c>
      <c r="BX193" s="27" t="n">
        <v>47.6</v>
      </c>
      <c r="BY193" s="47" t="n">
        <f aca="false">BY132</f>
        <v>48.568</v>
      </c>
      <c r="BZ193" s="47" t="n">
        <f aca="false">BZ132</f>
        <v>48.568</v>
      </c>
      <c r="CA193" s="47" t="n">
        <f aca="false">CA132</f>
        <v>192</v>
      </c>
      <c r="CB193" s="47" t="n">
        <f aca="false">CB132</f>
        <v>192.5</v>
      </c>
      <c r="CC193" s="47" t="n">
        <f aca="false">CC132</f>
        <v>205.5</v>
      </c>
      <c r="CD193" s="47" t="n">
        <f aca="false">CD132</f>
        <v>218.5</v>
      </c>
      <c r="CE193" s="47" t="n">
        <f aca="false">CE132</f>
        <v>232.5</v>
      </c>
      <c r="CF193" s="21" t="s">
        <v>377</v>
      </c>
    </row>
    <row r="194" customFormat="false" ht="15" hidden="false" customHeight="true" outlineLevel="0" collapsed="false">
      <c r="B194" s="29" t="s">
        <v>378</v>
      </c>
      <c r="C194" s="25"/>
      <c r="D194" s="25"/>
      <c r="E194" s="25"/>
      <c r="F194" s="25"/>
      <c r="G194" s="25"/>
      <c r="H194" s="25"/>
      <c r="I194" s="25"/>
      <c r="J194" s="25"/>
      <c r="K194" s="25"/>
      <c r="L194" s="27" t="n">
        <v>-1.725</v>
      </c>
      <c r="M194" s="27" t="n">
        <v>0.86</v>
      </c>
      <c r="N194" s="27" t="n">
        <v>12.755</v>
      </c>
      <c r="O194" s="27" t="n">
        <v>-0.141</v>
      </c>
      <c r="P194" s="27" t="n">
        <v>-1.324</v>
      </c>
      <c r="Q194" s="27" t="n">
        <v>9</v>
      </c>
      <c r="R194" s="27" t="n">
        <v>-3.444</v>
      </c>
      <c r="S194" s="27" t="n">
        <v>4.091</v>
      </c>
      <c r="T194" s="27" t="n">
        <v>0.662</v>
      </c>
      <c r="U194" s="27" t="n">
        <v>-0.316</v>
      </c>
      <c r="V194" s="27" t="n">
        <v>0.44</v>
      </c>
      <c r="W194" s="27" t="n">
        <v>0.334</v>
      </c>
      <c r="X194" s="27" t="n">
        <v>494.492</v>
      </c>
      <c r="Y194" s="27" t="n">
        <v>0.236</v>
      </c>
      <c r="Z194" s="27" t="n">
        <v>-3.284</v>
      </c>
      <c r="AA194" s="27" t="n">
        <v>7.682</v>
      </c>
      <c r="AB194" s="27" t="n">
        <v>23.045</v>
      </c>
      <c r="AC194" s="27" t="n">
        <v>27.678</v>
      </c>
      <c r="AD194" s="27" t="n">
        <v>141.681</v>
      </c>
      <c r="AE194" s="27" t="n">
        <v>-1.18</v>
      </c>
      <c r="AF194" s="27" t="n">
        <v>0.832</v>
      </c>
      <c r="AG194" s="27" t="n">
        <v>15.16</v>
      </c>
      <c r="AH194" s="27" t="n">
        <v>156.493</v>
      </c>
      <c r="AI194" s="27" t="n">
        <v>1.03</v>
      </c>
      <c r="AJ194" s="27" t="n">
        <v>7.073</v>
      </c>
      <c r="AK194" s="27" t="n">
        <v>-1.998</v>
      </c>
      <c r="AL194" s="27" t="n">
        <v>14.012</v>
      </c>
      <c r="AM194" s="27" t="n">
        <v>20.118</v>
      </c>
      <c r="AN194" s="27" t="n">
        <v>16.112</v>
      </c>
      <c r="AO194" s="27" t="n">
        <v>3.902</v>
      </c>
      <c r="AP194" s="27" t="n">
        <v>12.935</v>
      </c>
      <c r="AQ194" s="27" t="n">
        <v>28.999</v>
      </c>
      <c r="AR194" s="27" t="n">
        <v>61.948</v>
      </c>
      <c r="AS194" s="27" t="n">
        <v>1.506</v>
      </c>
      <c r="AT194" s="27" t="n">
        <v>437.27</v>
      </c>
      <c r="AU194" s="27" t="n">
        <v>3.805</v>
      </c>
      <c r="AV194" s="27" t="n">
        <v>24.136</v>
      </c>
      <c r="AW194" s="27" t="n">
        <v>466.718</v>
      </c>
      <c r="AX194" s="27" t="n">
        <v>0.634</v>
      </c>
      <c r="AY194" s="27" t="n">
        <v>6.081</v>
      </c>
      <c r="AZ194" s="27" t="n">
        <v>3.104</v>
      </c>
      <c r="BA194" s="27" t="n">
        <v>22.497</v>
      </c>
      <c r="BB194" s="27" t="n">
        <v>32.316</v>
      </c>
      <c r="BC194" s="27" t="n">
        <v>1.878</v>
      </c>
      <c r="BD194" s="27" t="n">
        <v>4.15</v>
      </c>
      <c r="BE194" s="27" t="n">
        <v>13.438</v>
      </c>
      <c r="BF194" s="27" t="n">
        <v>-1.237</v>
      </c>
      <c r="BG194" s="27" t="n">
        <v>18.23</v>
      </c>
      <c r="BH194" s="27" t="n">
        <v>1.865</v>
      </c>
      <c r="BI194" s="27" t="n">
        <v>10.859</v>
      </c>
      <c r="BJ194" s="27" t="n">
        <v>56.477</v>
      </c>
      <c r="BK194" s="27" t="n">
        <v>169.595</v>
      </c>
      <c r="BL194" s="27" t="n">
        <v>238.796</v>
      </c>
      <c r="BM194" s="27" t="n">
        <v>0.354</v>
      </c>
      <c r="BN194" s="27" t="n">
        <v>8.19</v>
      </c>
      <c r="BO194" s="27" t="n">
        <v>2.897</v>
      </c>
      <c r="BP194" s="27" t="n">
        <v>601.57</v>
      </c>
      <c r="BQ194" s="27" t="n">
        <v>613.012</v>
      </c>
      <c r="BR194" s="27" t="n">
        <v>6.44</v>
      </c>
      <c r="BS194" s="27" t="n">
        <v>4.03</v>
      </c>
      <c r="BT194" s="27" t="n">
        <v>60.127</v>
      </c>
      <c r="BU194" s="27" t="n">
        <v>39.111</v>
      </c>
      <c r="BV194" s="27" t="n">
        <v>109.709</v>
      </c>
      <c r="BW194" s="27" t="n">
        <v>79.584</v>
      </c>
      <c r="BX194" s="27" t="n">
        <v>58.466</v>
      </c>
      <c r="BY194" s="47" t="n">
        <f aca="false">N(BY133)</f>
        <v>0</v>
      </c>
      <c r="BZ194" s="47" t="n">
        <f aca="false">N(BZ133)</f>
        <v>0</v>
      </c>
      <c r="CA194" s="47" t="n">
        <f aca="false">N(CA133)</f>
        <v>138.05</v>
      </c>
      <c r="CB194" s="47" t="n">
        <f aca="false">N(CB133)</f>
        <v>0</v>
      </c>
      <c r="CC194" s="47" t="n">
        <f aca="false">N(CC133)</f>
        <v>0</v>
      </c>
      <c r="CD194" s="47" t="n">
        <f aca="false">N(CD133)</f>
        <v>0</v>
      </c>
      <c r="CE194" s="47" t="n">
        <f aca="false">N(CE133)</f>
        <v>0</v>
      </c>
      <c r="CF194" s="21"/>
    </row>
    <row r="195" customFormat="false" ht="15" hidden="false" customHeight="true" outlineLevel="0" collapsed="false">
      <c r="B195" s="29" t="s">
        <v>346</v>
      </c>
      <c r="C195" s="25"/>
      <c r="D195" s="25"/>
      <c r="E195" s="25"/>
      <c r="F195" s="25"/>
      <c r="G195" s="25"/>
      <c r="H195" s="25"/>
      <c r="I195" s="25"/>
      <c r="J195" s="25"/>
      <c r="K195" s="25"/>
      <c r="L195" s="27" t="n">
        <v>0.167</v>
      </c>
      <c r="M195" s="27" t="n">
        <v>0.722</v>
      </c>
      <c r="N195" s="27" t="n">
        <v>3.383</v>
      </c>
      <c r="O195" s="27" t="n">
        <v>0.258</v>
      </c>
      <c r="P195" s="27" t="n">
        <v>0.39</v>
      </c>
      <c r="Q195" s="27" t="n">
        <v>0.736</v>
      </c>
      <c r="R195" s="27" t="n">
        <v>0.763</v>
      </c>
      <c r="S195" s="27" t="n">
        <v>2.147</v>
      </c>
      <c r="T195" s="27" t="n">
        <v>0.512</v>
      </c>
      <c r="U195" s="27" t="n">
        <v>0.082</v>
      </c>
      <c r="V195" s="27" t="n">
        <v>0.777</v>
      </c>
      <c r="W195" s="27" t="n">
        <v>2.863</v>
      </c>
      <c r="X195" s="27" t="n">
        <v>4.235</v>
      </c>
      <c r="Y195" s="27" t="n">
        <v>8.815</v>
      </c>
      <c r="Z195" s="27" t="n">
        <v>37.702</v>
      </c>
      <c r="AA195" s="27" t="n">
        <v>0.31</v>
      </c>
      <c r="AB195" s="27" t="n">
        <v>1.015</v>
      </c>
      <c r="AC195" s="27" t="n">
        <v>47.842</v>
      </c>
      <c r="AD195" s="27" t="n">
        <v>1.744</v>
      </c>
      <c r="AE195" s="27" t="n">
        <v>0.715</v>
      </c>
      <c r="AF195" s="27" t="n">
        <v>1.958</v>
      </c>
      <c r="AG195" s="27" t="n">
        <v>1.282</v>
      </c>
      <c r="AH195" s="27" t="n">
        <v>5.7</v>
      </c>
      <c r="AI195" s="27" t="n">
        <v>2.385</v>
      </c>
      <c r="AJ195" s="27" t="n">
        <v>2.199</v>
      </c>
      <c r="AK195" s="27" t="n">
        <v>0.323</v>
      </c>
      <c r="AL195" s="27" t="n">
        <v>3.701</v>
      </c>
      <c r="AM195" s="27" t="n">
        <v>8.607</v>
      </c>
      <c r="AN195" s="27" t="n">
        <v>0.837</v>
      </c>
      <c r="AO195" s="27" t="n">
        <v>6.184</v>
      </c>
      <c r="AP195" s="27" t="n">
        <v>1.036</v>
      </c>
      <c r="AQ195" s="27" t="n">
        <v>4.278</v>
      </c>
      <c r="AR195" s="27" t="n">
        <v>12.335</v>
      </c>
      <c r="AS195" s="27" t="n">
        <v>1.146</v>
      </c>
      <c r="AT195" s="27" t="n">
        <v>1.016</v>
      </c>
      <c r="AU195" s="27" t="n">
        <v>2.335</v>
      </c>
      <c r="AV195" s="27" t="n">
        <v>5.306</v>
      </c>
      <c r="AW195" s="27" t="n">
        <v>9.803</v>
      </c>
      <c r="AX195" s="27" t="n">
        <v>0.526</v>
      </c>
      <c r="AY195" s="27" t="n">
        <v>0.057</v>
      </c>
      <c r="AZ195" s="27" t="n">
        <v>5.637</v>
      </c>
      <c r="BA195" s="27" t="n">
        <v>5.098</v>
      </c>
      <c r="BB195" s="27" t="n">
        <v>11.318</v>
      </c>
      <c r="BC195" s="27" t="n">
        <v>4.54</v>
      </c>
      <c r="BD195" s="27" t="n">
        <v>3.692</v>
      </c>
      <c r="BE195" s="27" t="n">
        <v>10.461</v>
      </c>
      <c r="BF195" s="27" t="n">
        <v>6.239</v>
      </c>
      <c r="BG195" s="27" t="n">
        <v>24.933</v>
      </c>
      <c r="BH195" s="27" t="n">
        <v>2.081</v>
      </c>
      <c r="BI195" s="27" t="n">
        <v>1.824</v>
      </c>
      <c r="BJ195" s="27" t="n">
        <v>3.108</v>
      </c>
      <c r="BK195" s="27" t="n">
        <v>3.639</v>
      </c>
      <c r="BL195" s="27" t="n">
        <v>10.653</v>
      </c>
      <c r="BM195" s="27" t="n">
        <v>9.847</v>
      </c>
      <c r="BN195" s="27" t="n">
        <v>7.256</v>
      </c>
      <c r="BO195" s="27" t="n">
        <v>8.067</v>
      </c>
      <c r="BP195" s="27" t="n">
        <v>0.89</v>
      </c>
      <c r="BQ195" s="27" t="n">
        <v>26.059</v>
      </c>
      <c r="BR195" s="27" t="n">
        <v>11.97</v>
      </c>
      <c r="BS195" s="27" t="n">
        <v>3.973</v>
      </c>
      <c r="BT195" s="27" t="n">
        <v>3.835</v>
      </c>
      <c r="BU195" s="27" t="n">
        <v>4.4</v>
      </c>
      <c r="BV195" s="27" t="n">
        <v>24.178</v>
      </c>
      <c r="BW195" s="27" t="n">
        <v>2.36</v>
      </c>
      <c r="BX195" s="27" t="n">
        <v>7.588</v>
      </c>
      <c r="BY195" s="47" t="n">
        <f aca="false">N(BY174)</f>
        <v>0</v>
      </c>
      <c r="BZ195" s="47" t="n">
        <f aca="false">N(BZ174)</f>
        <v>0</v>
      </c>
      <c r="CA195" s="47" t="n">
        <f aca="false">N(CA174)</f>
        <v>9.948</v>
      </c>
      <c r="CB195" s="47" t="n">
        <f aca="false">N(CB174)</f>
        <v>0</v>
      </c>
      <c r="CC195" s="47" t="n">
        <f aca="false">N(CC174)</f>
        <v>0</v>
      </c>
      <c r="CD195" s="47" t="n">
        <f aca="false">N(CD174)</f>
        <v>0</v>
      </c>
      <c r="CE195" s="47" t="n">
        <f aca="false">N(CE174)</f>
        <v>0</v>
      </c>
      <c r="CF195" s="21"/>
    </row>
    <row r="196" customFormat="false" ht="15" hidden="true" customHeight="true" outlineLevel="1" collapsed="false">
      <c r="B196" s="29" t="s">
        <v>379</v>
      </c>
      <c r="C196" s="25"/>
      <c r="D196" s="25"/>
      <c r="E196" s="25"/>
      <c r="F196" s="25"/>
      <c r="G196" s="25"/>
      <c r="H196" s="25"/>
      <c r="I196" s="25"/>
      <c r="J196" s="25"/>
      <c r="K196" s="25"/>
      <c r="L196" s="27" t="n">
        <v>0</v>
      </c>
      <c r="M196" s="27" t="n">
        <v>0</v>
      </c>
      <c r="N196" s="27" t="n">
        <v>0</v>
      </c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7" t="n">
        <v>5.357</v>
      </c>
      <c r="AA196" s="27" t="n">
        <v>4.466</v>
      </c>
      <c r="AB196" s="27" t="n">
        <v>4.466</v>
      </c>
      <c r="AC196" s="27" t="n">
        <v>14.289</v>
      </c>
      <c r="AD196" s="27" t="n">
        <v>6.475</v>
      </c>
      <c r="AE196" s="27" t="n">
        <v>4.103</v>
      </c>
      <c r="AF196" s="27" t="n">
        <v>2.369</v>
      </c>
      <c r="AG196" s="27" t="n">
        <v>3.033</v>
      </c>
      <c r="AH196" s="27" t="n">
        <v>16.357</v>
      </c>
      <c r="AI196" s="27" t="n">
        <v>1.163</v>
      </c>
      <c r="AJ196" s="27" t="n">
        <v>2.058</v>
      </c>
      <c r="AK196" s="27" t="n">
        <v>6.88</v>
      </c>
      <c r="AL196" s="27" t="n">
        <v>-0.896</v>
      </c>
      <c r="AM196" s="27" t="n">
        <v>9.205</v>
      </c>
      <c r="AN196" s="27" t="n">
        <v>3.021</v>
      </c>
      <c r="AO196" s="27" t="n">
        <v>1.262</v>
      </c>
      <c r="AP196" s="27" t="n">
        <v>-0.589</v>
      </c>
      <c r="AQ196" s="27" t="n">
        <v>-0.589</v>
      </c>
      <c r="AR196" s="27" t="n">
        <v>3.104</v>
      </c>
      <c r="AS196" s="27" t="n">
        <v>2.541</v>
      </c>
      <c r="AT196" s="27" t="n">
        <v>1.683</v>
      </c>
      <c r="AU196" s="27" t="n">
        <v>1.798</v>
      </c>
      <c r="AV196" s="27" t="n">
        <v>-0.485</v>
      </c>
      <c r="AW196" s="27" t="n">
        <v>5.536</v>
      </c>
      <c r="AX196" s="27" t="n">
        <v>0.339</v>
      </c>
      <c r="AY196" s="27" t="n">
        <v>6.385</v>
      </c>
      <c r="AZ196" s="27" t="n">
        <v>0.914</v>
      </c>
      <c r="BA196" s="27" t="n">
        <v>0.755</v>
      </c>
      <c r="BB196" s="27" t="n">
        <v>8.393</v>
      </c>
      <c r="BC196" s="27" t="n">
        <v>0.161</v>
      </c>
      <c r="BD196" s="27" t="n">
        <v>-1.009</v>
      </c>
      <c r="BE196" s="27" t="n">
        <v>1.196</v>
      </c>
      <c r="BF196" s="27" t="n">
        <v>-0.263</v>
      </c>
      <c r="BG196" s="27" t="n">
        <v>0.086</v>
      </c>
      <c r="BH196" s="27" t="n">
        <v>0.373</v>
      </c>
      <c r="BI196" s="27" t="n">
        <v>0.072</v>
      </c>
      <c r="BJ196" s="27" t="n">
        <v>-0.379</v>
      </c>
      <c r="BK196" s="27" t="n">
        <v>-1.791</v>
      </c>
      <c r="BL196" s="27" t="n">
        <v>-1.726</v>
      </c>
      <c r="BM196" s="27" t="n">
        <v>1.286</v>
      </c>
      <c r="BN196" s="27" t="n">
        <v>0.222</v>
      </c>
      <c r="BO196" s="27" t="n">
        <v>0.099</v>
      </c>
      <c r="BP196" s="27" t="n">
        <v>-0.011</v>
      </c>
      <c r="BQ196" s="27" t="n">
        <v>1.592</v>
      </c>
      <c r="BR196" s="27" t="n">
        <v>1.77</v>
      </c>
      <c r="BS196" s="27" t="n">
        <v>-0.734</v>
      </c>
      <c r="BT196" s="27" t="n">
        <v>-0.509</v>
      </c>
      <c r="BU196" s="27" t="n">
        <v>-0.094</v>
      </c>
      <c r="BV196" s="27" t="n">
        <v>0.433</v>
      </c>
      <c r="BW196" s="27" t="n">
        <v>-1.536</v>
      </c>
      <c r="BX196" s="27" t="n">
        <v>0.267</v>
      </c>
      <c r="BY196" s="47" t="n">
        <f aca="false">N(BY175)</f>
        <v>0</v>
      </c>
      <c r="BZ196" s="47" t="n">
        <f aca="false">N(BZ175)</f>
        <v>0</v>
      </c>
      <c r="CA196" s="47" t="n">
        <f aca="false">N(CA175)</f>
        <v>-1.269</v>
      </c>
      <c r="CB196" s="47" t="n">
        <f aca="false">N(CB175)</f>
        <v>0</v>
      </c>
      <c r="CC196" s="47" t="n">
        <f aca="false">N(CC175)</f>
        <v>0</v>
      </c>
      <c r="CD196" s="47" t="n">
        <f aca="false">N(CD175)</f>
        <v>0</v>
      </c>
      <c r="CE196" s="47" t="n">
        <f aca="false">N(CE175)</f>
        <v>0</v>
      </c>
      <c r="CF196" s="21"/>
    </row>
    <row r="197" customFormat="false" ht="15" hidden="true" customHeight="true" outlineLevel="1" collapsed="false">
      <c r="B197" s="29" t="s">
        <v>380</v>
      </c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7" t="n">
        <v>30.122</v>
      </c>
      <c r="AA197" s="27" t="n">
        <v>15.478</v>
      </c>
      <c r="AB197" s="27" t="n">
        <v>10.534</v>
      </c>
      <c r="AC197" s="27" t="n">
        <v>56.134</v>
      </c>
      <c r="AD197" s="27" t="n">
        <v>2.828</v>
      </c>
      <c r="AE197" s="27" t="n">
        <v>2.594</v>
      </c>
      <c r="AF197" s="27" t="n">
        <v>2.922</v>
      </c>
      <c r="AG197" s="27" t="n">
        <v>2.645</v>
      </c>
      <c r="AH197" s="27" t="n">
        <v>10.612</v>
      </c>
      <c r="AI197" s="27" t="n">
        <v>1.11</v>
      </c>
      <c r="AJ197" s="27" t="n">
        <v>1.306</v>
      </c>
      <c r="AK197" s="27" t="n">
        <v>0.379</v>
      </c>
      <c r="AL197" s="27" t="n">
        <v>-0.035</v>
      </c>
      <c r="AM197" s="27" t="n">
        <v>2.76</v>
      </c>
      <c r="AN197" s="27" t="n">
        <v>0</v>
      </c>
      <c r="AO197" s="27" t="n">
        <v>0</v>
      </c>
      <c r="AP197" s="27" t="n">
        <v>0</v>
      </c>
      <c r="AQ197" s="27" t="n">
        <v>0</v>
      </c>
      <c r="AR197" s="27" t="n">
        <v>0</v>
      </c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47" t="n">
        <f aca="false">N(BY176)</f>
        <v>0</v>
      </c>
      <c r="BZ197" s="47" t="n">
        <f aca="false">N(BZ176)</f>
        <v>0</v>
      </c>
      <c r="CA197" s="47" t="n">
        <f aca="false">N(CA176)</f>
        <v>0</v>
      </c>
      <c r="CB197" s="47" t="n">
        <f aca="false">N(CB176)</f>
        <v>0</v>
      </c>
      <c r="CC197" s="47" t="n">
        <f aca="false">N(CC176)</f>
        <v>0</v>
      </c>
      <c r="CD197" s="47" t="n">
        <f aca="false">N(CD176)</f>
        <v>0</v>
      </c>
      <c r="CE197" s="47" t="n">
        <f aca="false">N(CE176)</f>
        <v>0</v>
      </c>
      <c r="CF197" s="21"/>
    </row>
    <row r="198" customFormat="false" ht="15" hidden="true" customHeight="true" outlineLevel="1" collapsed="false">
      <c r="B198" s="29" t="s">
        <v>381</v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7" t="n">
        <v>15.063</v>
      </c>
      <c r="BJ198" s="27" t="n">
        <v>0</v>
      </c>
      <c r="BK198" s="27" t="n">
        <v>1.042</v>
      </c>
      <c r="BL198" s="27" t="n">
        <v>16.105</v>
      </c>
      <c r="BM198" s="25"/>
      <c r="BN198" s="27" t="n">
        <v>0</v>
      </c>
      <c r="BO198" s="27" t="n">
        <v>0</v>
      </c>
      <c r="BP198" s="27" t="n">
        <v>0</v>
      </c>
      <c r="BQ198" s="27" t="n">
        <v>0</v>
      </c>
      <c r="BR198" s="25"/>
      <c r="BS198" s="25"/>
      <c r="BT198" s="25"/>
      <c r="BU198" s="25"/>
      <c r="BV198" s="25"/>
      <c r="BW198" s="25"/>
      <c r="BX198" s="25"/>
      <c r="BY198" s="47" t="n">
        <f aca="false">N(BY177)</f>
        <v>0</v>
      </c>
      <c r="BZ198" s="47" t="n">
        <f aca="false">N(BZ177)</f>
        <v>0</v>
      </c>
      <c r="CA198" s="47" t="n">
        <f aca="false">N(CA177)</f>
        <v>0</v>
      </c>
      <c r="CB198" s="47" t="n">
        <f aca="false">N(CB177)</f>
        <v>0</v>
      </c>
      <c r="CC198" s="47" t="n">
        <f aca="false">N(CC177)</f>
        <v>0</v>
      </c>
      <c r="CD198" s="47" t="n">
        <f aca="false">N(CD177)</f>
        <v>0</v>
      </c>
      <c r="CE198" s="47" t="n">
        <f aca="false">N(CE177)</f>
        <v>0</v>
      </c>
      <c r="CF198" s="21"/>
    </row>
    <row r="199" customFormat="false" ht="15" hidden="true" customHeight="true" outlineLevel="1" collapsed="false">
      <c r="B199" s="29" t="s">
        <v>382</v>
      </c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7" t="n">
        <v>115.288</v>
      </c>
      <c r="BA199" s="27" t="n">
        <v>0</v>
      </c>
      <c r="BB199" s="27" t="n">
        <v>115.288</v>
      </c>
      <c r="BC199" s="25"/>
      <c r="BD199" s="25"/>
      <c r="BE199" s="27" t="n">
        <v>0</v>
      </c>
      <c r="BF199" s="27" t="n">
        <v>0</v>
      </c>
      <c r="BG199" s="27" t="n">
        <v>0</v>
      </c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47" t="n">
        <f aca="false">N(BY140)</f>
        <v>0</v>
      </c>
      <c r="BZ199" s="47" t="n">
        <f aca="false">N(BZ140)</f>
        <v>0</v>
      </c>
      <c r="CA199" s="47" t="n">
        <f aca="false">N(CA140)</f>
        <v>0</v>
      </c>
      <c r="CB199" s="47" t="n">
        <f aca="false">N(CB140)</f>
        <v>0</v>
      </c>
      <c r="CC199" s="47" t="n">
        <f aca="false">N(CC140)</f>
        <v>0</v>
      </c>
      <c r="CD199" s="47" t="n">
        <f aca="false">N(CD140)</f>
        <v>0</v>
      </c>
      <c r="CE199" s="47" t="n">
        <f aca="false">N(CE140)</f>
        <v>0</v>
      </c>
      <c r="CF199" s="21"/>
    </row>
    <row r="200" customFormat="false" ht="15" hidden="true" customHeight="true" outlineLevel="1" collapsed="false">
      <c r="B200" s="29" t="s">
        <v>383</v>
      </c>
      <c r="C200" s="25"/>
      <c r="D200" s="25"/>
      <c r="E200" s="25"/>
      <c r="F200" s="25"/>
      <c r="G200" s="25"/>
      <c r="H200" s="25"/>
      <c r="I200" s="25"/>
      <c r="J200" s="25"/>
      <c r="K200" s="25"/>
      <c r="L200" s="27" t="n">
        <v>0.215</v>
      </c>
      <c r="M200" s="27" t="n">
        <v>0.113</v>
      </c>
      <c r="N200" s="27" t="n">
        <v>0.75</v>
      </c>
      <c r="O200" s="27" t="n">
        <v>0</v>
      </c>
      <c r="P200" s="27" t="n">
        <v>0</v>
      </c>
      <c r="Q200" s="27" t="n">
        <v>0</v>
      </c>
      <c r="R200" s="27" t="n">
        <v>0</v>
      </c>
      <c r="S200" s="27" t="n">
        <v>0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8"/>
      <c r="BZ200" s="28"/>
      <c r="CA200" s="28"/>
      <c r="CB200" s="28"/>
      <c r="CC200" s="28"/>
      <c r="CD200" s="28"/>
      <c r="CE200" s="28"/>
      <c r="CF200" s="21"/>
    </row>
    <row r="201" customFormat="false" ht="15" hidden="true" customHeight="true" outlineLevel="1" collapsed="false">
      <c r="B201" s="18" t="s">
        <v>384</v>
      </c>
      <c r="C201" s="32" t="n">
        <f aca="false">SUM(C193:C200)</f>
        <v>0</v>
      </c>
      <c r="D201" s="32" t="n">
        <f aca="false">SUM(D193:D200)</f>
        <v>0</v>
      </c>
      <c r="E201" s="32" t="n">
        <f aca="false">SUM(E193:E200)</f>
        <v>0</v>
      </c>
      <c r="F201" s="32" t="n">
        <f aca="false">SUM(F193:F200)</f>
        <v>0</v>
      </c>
      <c r="G201" s="32" t="n">
        <f aca="false">SUM(G193:G200)</f>
        <v>0</v>
      </c>
      <c r="H201" s="32" t="n">
        <f aca="false">SUM(H193:H200)</f>
        <v>0</v>
      </c>
      <c r="I201" s="32" t="n">
        <f aca="false">SUM(I193:I200)</f>
        <v>0</v>
      </c>
      <c r="J201" s="32" t="n">
        <f aca="false">SUM(J193:J200)</f>
        <v>0</v>
      </c>
      <c r="K201" s="32" t="n">
        <f aca="false">SUM(K193:K200)</f>
        <v>0</v>
      </c>
      <c r="L201" s="32" t="n">
        <f aca="false">SUM(L193:L200)</f>
        <v>4.868</v>
      </c>
      <c r="M201" s="32" t="n">
        <f aca="false">SUM(M193:M200)</f>
        <v>8.245</v>
      </c>
      <c r="N201" s="32" t="n">
        <f aca="false">SUM(N193:N200)</f>
        <v>42.298</v>
      </c>
      <c r="O201" s="32" t="n">
        <f aca="false">SUM(O193:O200)</f>
        <v>6.854</v>
      </c>
      <c r="P201" s="32" t="n">
        <f aca="false">SUM(P193:P200)</f>
        <v>5.786</v>
      </c>
      <c r="Q201" s="32" t="n">
        <f aca="false">SUM(Q193:Q200)</f>
        <v>16.438</v>
      </c>
      <c r="R201" s="32" t="n">
        <f aca="false">SUM(R193:R200)</f>
        <v>4.161</v>
      </c>
      <c r="S201" s="32" t="n">
        <f aca="false">SUM(S193:S200)</f>
        <v>33.238</v>
      </c>
      <c r="T201" s="32" t="n">
        <f aca="false">SUM(T193:T200)</f>
        <v>8.173</v>
      </c>
      <c r="U201" s="32" t="n">
        <f aca="false">SUM(U193:U200)</f>
        <v>7.03</v>
      </c>
      <c r="V201" s="32" t="n">
        <f aca="false">SUM(V193:V200)</f>
        <v>8.412</v>
      </c>
      <c r="W201" s="32" t="n">
        <f aca="false">SUM(W193:W200)</f>
        <v>10.816</v>
      </c>
      <c r="X201" s="32" t="n">
        <f aca="false">SUM(X193:X200)</f>
        <v>527.804</v>
      </c>
      <c r="Y201" s="32" t="n">
        <f aca="false">SUM(Y193:Y200)</f>
        <v>16.745</v>
      </c>
      <c r="Z201" s="32" t="n">
        <f aca="false">SUM(Z193:Z200)</f>
        <v>83.978</v>
      </c>
      <c r="AA201" s="32" t="n">
        <f aca="false">SUM(AA193:AA200)</f>
        <v>54.88</v>
      </c>
      <c r="AB201" s="32" t="n">
        <f aca="false">SUM(AB193:AB200)</f>
        <v>60.653</v>
      </c>
      <c r="AC201" s="32" t="n">
        <f aca="false">SUM(AC193:AC200)</f>
        <v>216.255</v>
      </c>
      <c r="AD201" s="32" t="n">
        <f aca="false">SUM(AD193:AD200)</f>
        <v>178.238</v>
      </c>
      <c r="AE201" s="32" t="n">
        <f aca="false">SUM(AE193:AE200)</f>
        <v>30.994</v>
      </c>
      <c r="AF201" s="32" t="n">
        <f aca="false">SUM(AF193:AF200)</f>
        <v>34.694</v>
      </c>
      <c r="AG201" s="32" t="n">
        <f aca="false">SUM(AG193:AG200)</f>
        <v>47.531</v>
      </c>
      <c r="AH201" s="32" t="n">
        <f aca="false">SUM(AH193:AH200)</f>
        <v>291.459</v>
      </c>
      <c r="AI201" s="32" t="n">
        <f aca="false">SUM(AI193:AI200)</f>
        <v>31.786</v>
      </c>
      <c r="AJ201" s="32" t="n">
        <f aca="false">SUM(AJ193:AJ200)</f>
        <v>39.11</v>
      </c>
      <c r="AK201" s="32" t="n">
        <f aca="false">SUM(AK193:AK200)</f>
        <v>32.455</v>
      </c>
      <c r="AL201" s="32" t="n">
        <f aca="false">SUM(AL193:AL200)</f>
        <v>45.118</v>
      </c>
      <c r="AM201" s="32" t="n">
        <f aca="false">SUM(AM193:AM200)</f>
        <v>148.469</v>
      </c>
      <c r="AN201" s="32" t="n">
        <f aca="false">SUM(AN193:AN200)</f>
        <v>50.512</v>
      </c>
      <c r="AO201" s="32" t="n">
        <f aca="false">SUM(AO193:AO200)</f>
        <v>42.692</v>
      </c>
      <c r="AP201" s="32" t="n">
        <f aca="false">SUM(AP193:AP200)</f>
        <v>45.316</v>
      </c>
      <c r="AQ201" s="32" t="n">
        <f aca="false">SUM(AQ193:AQ200)</f>
        <v>64.389</v>
      </c>
      <c r="AR201" s="32" t="n">
        <f aca="false">SUM(AR193:AR200)</f>
        <v>202.909</v>
      </c>
      <c r="AS201" s="32" t="n">
        <f aca="false">SUM(AS193:AS200)</f>
        <v>36.831</v>
      </c>
      <c r="AT201" s="32" t="n">
        <f aca="false">SUM(AT193:AT200)</f>
        <v>471.74</v>
      </c>
      <c r="AU201" s="32" t="n">
        <f aca="false">SUM(AU193:AU200)</f>
        <v>40.591</v>
      </c>
      <c r="AV201" s="32" t="n">
        <f aca="false">SUM(AV193:AV200)</f>
        <v>64.196</v>
      </c>
      <c r="AW201" s="32" t="n">
        <f aca="false">SUM(AW193:AW200)</f>
        <v>613.359</v>
      </c>
      <c r="AX201" s="32" t="n">
        <f aca="false">SUM(AX193:AX200)</f>
        <v>33.691</v>
      </c>
      <c r="AY201" s="32" t="n">
        <f aca="false">SUM(AY193:AY200)</f>
        <v>45.23</v>
      </c>
      <c r="AZ201" s="32" t="n">
        <f aca="false">SUM(AZ193:AZ200)</f>
        <v>160.28</v>
      </c>
      <c r="BA201" s="32" t="n">
        <f aca="false">SUM(BA193:BA200)</f>
        <v>67.392</v>
      </c>
      <c r="BB201" s="32" t="n">
        <f aca="false">SUM(BB193:BB200)</f>
        <v>306.594</v>
      </c>
      <c r="BC201" s="32" t="n">
        <f aca="false">SUM(BC193:BC200)</f>
        <v>44.214</v>
      </c>
      <c r="BD201" s="32" t="n">
        <f aca="false">SUM(BD193:BD200)</f>
        <v>44.295</v>
      </c>
      <c r="BE201" s="32" t="n">
        <f aca="false">SUM(BE193:BE200)</f>
        <v>63.954</v>
      </c>
      <c r="BF201" s="32" t="n">
        <f aca="false">SUM(BF193:BF200)</f>
        <v>46.458</v>
      </c>
      <c r="BG201" s="32" t="n">
        <f aca="false">SUM(BG193:BG200)</f>
        <v>198.924</v>
      </c>
      <c r="BH201" s="32" t="n">
        <f aca="false">SUM(BH193:BH200)</f>
        <v>43.601</v>
      </c>
      <c r="BI201" s="32" t="n">
        <f aca="false">SUM(BI193:BI200)</f>
        <v>66.87</v>
      </c>
      <c r="BJ201" s="32" t="n">
        <f aca="false">SUM(BJ193:BJ200)</f>
        <v>98.611</v>
      </c>
      <c r="BK201" s="32" t="n">
        <f aca="false">SUM(BK193:BK200)</f>
        <v>212.318</v>
      </c>
      <c r="BL201" s="32" t="n">
        <f aca="false">SUM(BL193:BL200)</f>
        <v>421.401</v>
      </c>
      <c r="BM201" s="32" t="n">
        <f aca="false">SUM(BM193:BM200)</f>
        <v>51.777</v>
      </c>
      <c r="BN201" s="32" t="n">
        <f aca="false">SUM(BN193:BN200)</f>
        <v>59.792</v>
      </c>
      <c r="BO201" s="32" t="n">
        <f aca="false">SUM(BO193:BO200)</f>
        <v>56.233</v>
      </c>
      <c r="BP201" s="32" t="n">
        <f aca="false">SUM(BP193:BP200)</f>
        <v>662.633</v>
      </c>
      <c r="BQ201" s="32" t="n">
        <f aca="false">SUM(BQ193:BQ200)</f>
        <v>830.431</v>
      </c>
      <c r="BR201" s="32" t="n">
        <f aca="false">SUM(BR193:BR200)</f>
        <v>67.822</v>
      </c>
      <c r="BS201" s="32" t="n">
        <f aca="false">SUM(BS193:BS200)</f>
        <v>57.505</v>
      </c>
      <c r="BT201" s="32" t="n">
        <f aca="false">SUM(BT193:BT200)</f>
        <v>114.784</v>
      </c>
      <c r="BU201" s="32" t="n">
        <f aca="false">SUM(BU193:BU200)</f>
        <v>95.749</v>
      </c>
      <c r="BV201" s="32" t="n">
        <f aca="false">SUM(BV193:BV200)</f>
        <v>335.861</v>
      </c>
      <c r="BW201" s="32" t="n">
        <f aca="false">SUM(BW193:BW200)</f>
        <v>127.672</v>
      </c>
      <c r="BX201" s="32" t="n">
        <f aca="false">SUM(BX193:BX200)</f>
        <v>113.921</v>
      </c>
      <c r="BY201" s="20" t="n">
        <f aca="false">SUM(BY193:BY200)</f>
        <v>48.568</v>
      </c>
      <c r="BZ201" s="20" t="n">
        <f aca="false">SUM(BZ193:BZ200)</f>
        <v>48.568</v>
      </c>
      <c r="CA201" s="20" t="n">
        <f aca="false">SUM(CA193:CA200)</f>
        <v>338.729</v>
      </c>
      <c r="CB201" s="20" t="n">
        <f aca="false">SUM(CB193:CB200)</f>
        <v>192.5</v>
      </c>
      <c r="CC201" s="20" t="n">
        <f aca="false">SUM(CC193:CC200)</f>
        <v>205.5</v>
      </c>
      <c r="CD201" s="20" t="n">
        <f aca="false">SUM(CD193:CD200)</f>
        <v>218.5</v>
      </c>
      <c r="CE201" s="20" t="n">
        <f aca="false">SUM(CE193:CE200)</f>
        <v>232.5</v>
      </c>
      <c r="CF201" s="21"/>
    </row>
    <row r="202" customFormat="false" ht="15" hidden="true" customHeight="true" outlineLevel="1" collapsed="false">
      <c r="B202" s="29" t="s">
        <v>385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7" t="n">
        <v>-1.862</v>
      </c>
      <c r="M202" s="27" t="n">
        <v>-3.154</v>
      </c>
      <c r="N202" s="27" t="n">
        <v>-16.179</v>
      </c>
      <c r="O202" s="27" t="n">
        <v>-2.629</v>
      </c>
      <c r="P202" s="27" t="n">
        <v>-2.219</v>
      </c>
      <c r="Q202" s="27" t="n">
        <v>-6.304</v>
      </c>
      <c r="R202" s="27" t="n">
        <v>-1.596</v>
      </c>
      <c r="S202" s="27" t="n">
        <v>-12.747</v>
      </c>
      <c r="T202" s="27" t="n">
        <v>-3.134</v>
      </c>
      <c r="U202" s="27" t="n">
        <v>-2.696</v>
      </c>
      <c r="V202" s="27" t="n">
        <v>-3.226</v>
      </c>
      <c r="W202" s="27" t="n">
        <v>-3.062</v>
      </c>
      <c r="X202" s="27" t="n">
        <v>-182.945</v>
      </c>
      <c r="Y202" s="27" t="n">
        <v>-6.371</v>
      </c>
      <c r="Z202" s="27" t="n">
        <v>-18.257</v>
      </c>
      <c r="AA202" s="27" t="n">
        <v>-19.001</v>
      </c>
      <c r="AB202" s="27" t="n">
        <v>-25.951</v>
      </c>
      <c r="AC202" s="27" t="n">
        <v>-69.581</v>
      </c>
      <c r="AD202" s="27" t="n">
        <v>-62.763</v>
      </c>
      <c r="AE202" s="27" t="n">
        <v>-9.188</v>
      </c>
      <c r="AF202" s="27" t="n">
        <v>-3.575</v>
      </c>
      <c r="AG202" s="27" t="n">
        <v>-16.151</v>
      </c>
      <c r="AH202" s="27" t="n">
        <v>-91.979</v>
      </c>
      <c r="AI202" s="27" t="n">
        <v>-8.044</v>
      </c>
      <c r="AJ202" s="27" t="n">
        <v>-7.971</v>
      </c>
      <c r="AK202" s="27" t="n">
        <v>-8.006</v>
      </c>
      <c r="AL202" s="27" t="n">
        <v>-11.383</v>
      </c>
      <c r="AM202" s="27" t="n">
        <v>-37.165</v>
      </c>
      <c r="AN202" s="27" t="n">
        <v>-12.197</v>
      </c>
      <c r="AO202" s="27" t="n">
        <v>-10.272</v>
      </c>
      <c r="AP202" s="27" t="n">
        <v>-11.486</v>
      </c>
      <c r="AQ202" s="27" t="n">
        <v>-16.234</v>
      </c>
      <c r="AR202" s="27" t="n">
        <v>-50.189</v>
      </c>
      <c r="AS202" s="27" t="n">
        <v>-9.304</v>
      </c>
      <c r="AT202" s="27" t="n">
        <v>-118.22</v>
      </c>
      <c r="AU202" s="27" t="n">
        <v>-10</v>
      </c>
      <c r="AV202" s="27" t="n">
        <v>-16.235</v>
      </c>
      <c r="AW202" s="27" t="n">
        <v>-153.758</v>
      </c>
      <c r="AX202" s="27" t="n">
        <v>-8.543</v>
      </c>
      <c r="AY202" s="27" t="n">
        <v>-11.393</v>
      </c>
      <c r="AZ202" s="27" t="n">
        <v>-41.531</v>
      </c>
      <c r="BA202" s="27" t="n">
        <v>-16.574</v>
      </c>
      <c r="BB202" s="27" t="n">
        <v>-78.041</v>
      </c>
      <c r="BC202" s="27" t="n">
        <v>-11.092</v>
      </c>
      <c r="BD202" s="27" t="n">
        <v>-11.224</v>
      </c>
      <c r="BE202" s="27" t="n">
        <v>-15.944</v>
      </c>
      <c r="BF202" s="27" t="n">
        <v>-11.053</v>
      </c>
      <c r="BG202" s="27" t="n">
        <v>-49.312</v>
      </c>
      <c r="BH202" s="27" t="n">
        <v>-11.024</v>
      </c>
      <c r="BI202" s="27" t="n">
        <v>-13.746</v>
      </c>
      <c r="BJ202" s="27" t="n">
        <v>-24.586</v>
      </c>
      <c r="BK202" s="27" t="n">
        <v>-53.592</v>
      </c>
      <c r="BL202" s="27" t="n">
        <v>-102.948</v>
      </c>
      <c r="BM202" s="27" t="n">
        <v>-13.162</v>
      </c>
      <c r="BN202" s="27" t="n">
        <v>-15.222</v>
      </c>
      <c r="BO202" s="27" t="n">
        <v>-14.275</v>
      </c>
      <c r="BP202" s="27" t="n">
        <v>-166.051</v>
      </c>
      <c r="BQ202" s="27" t="n">
        <v>-208.711</v>
      </c>
      <c r="BR202" s="27" t="n">
        <v>-16.212</v>
      </c>
      <c r="BS202" s="27" t="n">
        <v>-14.687</v>
      </c>
      <c r="BT202" s="27" t="n">
        <v>-29.005</v>
      </c>
      <c r="BU202" s="27" t="n">
        <v>-24.181</v>
      </c>
      <c r="BV202" s="27" t="n">
        <v>-84.084</v>
      </c>
      <c r="BW202" s="27" t="n">
        <v>-32.136</v>
      </c>
      <c r="BX202" s="27" t="n">
        <v>-28.629</v>
      </c>
      <c r="BY202" s="47" t="n">
        <f aca="false">-BY201*BY203</f>
        <v>-12.142</v>
      </c>
      <c r="BZ202" s="47" t="n">
        <f aca="false">-BZ201*BZ203</f>
        <v>-12.142</v>
      </c>
      <c r="CA202" s="47" t="n">
        <f aca="false">SUM(BW202,BX202,BY202,BZ202)</f>
        <v>-85.049</v>
      </c>
      <c r="CB202" s="47" t="n">
        <f aca="false">-CB201*CB203</f>
        <v>-48.125</v>
      </c>
      <c r="CC202" s="47" t="n">
        <f aca="false">-CC201*CC203</f>
        <v>-51.375</v>
      </c>
      <c r="CD202" s="47" t="n">
        <f aca="false">-CD201*CD203</f>
        <v>-54.625</v>
      </c>
      <c r="CE202" s="47" t="n">
        <f aca="false">-CE201*CE203</f>
        <v>-58.125</v>
      </c>
      <c r="CF202" s="21"/>
    </row>
    <row r="203" customFormat="false" ht="15" hidden="true" customHeight="true" outlineLevel="1" collapsed="false">
      <c r="B203" s="29" t="s">
        <v>386</v>
      </c>
      <c r="C203" s="38" t="str">
        <f aca="false">IFERROR(-C202/C201,"")</f>
        <v/>
      </c>
      <c r="D203" s="38" t="str">
        <f aca="false">IFERROR(-D202/D201,"")</f>
        <v/>
      </c>
      <c r="E203" s="38" t="str">
        <f aca="false">IFERROR(-E202/E201,"")</f>
        <v/>
      </c>
      <c r="F203" s="38" t="str">
        <f aca="false">IFERROR(-F202/F201,"")</f>
        <v/>
      </c>
      <c r="G203" s="38" t="str">
        <f aca="false">IFERROR(-G202/G201,"")</f>
        <v/>
      </c>
      <c r="H203" s="38" t="str">
        <f aca="false">IFERROR(-H202/H201,"")</f>
        <v/>
      </c>
      <c r="I203" s="38" t="str">
        <f aca="false">IFERROR(-I202/I201,"")</f>
        <v/>
      </c>
      <c r="J203" s="38" t="str">
        <f aca="false">IFERROR(-J202/J201,"")</f>
        <v/>
      </c>
      <c r="K203" s="38" t="str">
        <f aca="false">IFERROR(-K202/K201,"")</f>
        <v/>
      </c>
      <c r="L203" s="38" t="n">
        <f aca="false">IFERROR(-L202/L201,"")</f>
        <v>0.382497945768283</v>
      </c>
      <c r="M203" s="38" t="n">
        <f aca="false">IFERROR(-M202/M201,"")</f>
        <v>0.38253486961795</v>
      </c>
      <c r="N203" s="38" t="n">
        <f aca="false">IFERROR(-N202/N201,"")</f>
        <v>0.382500354626696</v>
      </c>
      <c r="O203" s="38" t="n">
        <f aca="false">IFERROR(-O202/O201,"")</f>
        <v>0.383571637000292</v>
      </c>
      <c r="P203" s="38" t="n">
        <f aca="false">IFERROR(-P202/P201,"")</f>
        <v>0.38351192533702</v>
      </c>
      <c r="Q203" s="38" t="n">
        <f aca="false">IFERROR(-Q202/Q201,"")</f>
        <v>0.383501642535588</v>
      </c>
      <c r="R203" s="38" t="n">
        <f aca="false">IFERROR(-R202/R201,"")</f>
        <v>0.383561643835617</v>
      </c>
      <c r="S203" s="38" t="n">
        <f aca="false">IFERROR(-S202/S201,"")</f>
        <v>0.383506829532463</v>
      </c>
      <c r="T203" s="38" t="n">
        <f aca="false">IFERROR(-T202/T201,"")</f>
        <v>0.383457726660957</v>
      </c>
      <c r="U203" s="38" t="n">
        <f aca="false">IFERROR(-U202/U201,"")</f>
        <v>0.383499288762447</v>
      </c>
      <c r="V203" s="38" t="n">
        <f aca="false">IFERROR(-V202/V201,"")</f>
        <v>0.383499762244413</v>
      </c>
      <c r="W203" s="38" t="n">
        <f aca="false">IFERROR(-W202/W201,"")</f>
        <v>0.283099112426036</v>
      </c>
      <c r="X203" s="38" t="n">
        <f aca="false">IFERROR(-X202/X201,"")</f>
        <v>0.346615410265932</v>
      </c>
      <c r="Y203" s="38" t="n">
        <f aca="false">IFERROR(-Y202/Y201,"")</f>
        <v>0.380471782621678</v>
      </c>
      <c r="Z203" s="38" t="n">
        <f aca="false">IFERROR(-Z202/Z201,"")</f>
        <v>0.21740217676058</v>
      </c>
      <c r="AA203" s="38" t="n">
        <f aca="false">IFERROR(-AA202/AA201,"")</f>
        <v>0.346228134110787</v>
      </c>
      <c r="AB203" s="38" t="n">
        <f aca="false">IFERROR(-AB202/AB201,"")</f>
        <v>0.427860122335251</v>
      </c>
      <c r="AC203" s="38" t="n">
        <f aca="false">IFERROR(-AC202/AC201,"")</f>
        <v>0.321754410302652</v>
      </c>
      <c r="AD203" s="38" t="n">
        <f aca="false">IFERROR(-AD202/AD201,"")</f>
        <v>0.35213029769185</v>
      </c>
      <c r="AE203" s="38" t="n">
        <f aca="false">IFERROR(-AE202/AE201,"")</f>
        <v>0.29644447312383</v>
      </c>
      <c r="AF203" s="38" t="n">
        <f aca="false">IFERROR(-AF202/AF201,"")</f>
        <v>0.103043753963221</v>
      </c>
      <c r="AG203" s="38" t="n">
        <f aca="false">IFERROR(-AG202/AG201,"")</f>
        <v>0.339799288885149</v>
      </c>
      <c r="AH203" s="38" t="n">
        <f aca="false">IFERROR(-AH202/AH201,"")</f>
        <v>0.315581265289458</v>
      </c>
      <c r="AI203" s="38" t="n">
        <f aca="false">IFERROR(-AI202/AI201,"")</f>
        <v>0.253067388158309</v>
      </c>
      <c r="AJ203" s="38" t="n">
        <f aca="false">IFERROR(-AJ202/AJ201,"")</f>
        <v>0.203809767322935</v>
      </c>
      <c r="AK203" s="38" t="n">
        <f aca="false">IFERROR(-AK202/AK201,"")</f>
        <v>0.246680018487136</v>
      </c>
      <c r="AL203" s="38" t="n">
        <f aca="false">IFERROR(-AL202/AL201,"")</f>
        <v>0.252293984662441</v>
      </c>
      <c r="AM203" s="38" t="n">
        <f aca="false">IFERROR(-AM202/AM201,"")</f>
        <v>0.250321615960234</v>
      </c>
      <c r="AN203" s="38" t="n">
        <f aca="false">IFERROR(-AN202/AN201,"")</f>
        <v>0.241467374089325</v>
      </c>
      <c r="AO203" s="38" t="n">
        <f aca="false">IFERROR(-AO202/AO201,"")</f>
        <v>0.240607139510915</v>
      </c>
      <c r="AP203" s="38" t="n">
        <f aca="false">IFERROR(-AP202/AP201,"")</f>
        <v>0.253464559978815</v>
      </c>
      <c r="AQ203" s="38" t="n">
        <f aca="false">IFERROR(-AQ202/AQ201,"")</f>
        <v>0.252123809967541</v>
      </c>
      <c r="AR203" s="38" t="n">
        <f aca="false">IFERROR(-AR202/AR201,"")</f>
        <v>0.24734733304092</v>
      </c>
      <c r="AS203" s="38" t="n">
        <f aca="false">IFERROR(-AS202/AS201,"")</f>
        <v>0.252613287719584</v>
      </c>
      <c r="AT203" s="38" t="n">
        <f aca="false">IFERROR(-AT202/AT201,"")</f>
        <v>0.250604146351804</v>
      </c>
      <c r="AU203" s="38" t="n">
        <f aca="false">IFERROR(-AU202/AU201,"")</f>
        <v>0.246360030548644</v>
      </c>
      <c r="AV203" s="38" t="n">
        <f aca="false">IFERROR(-AV202/AV201,"")</f>
        <v>0.2528973767836</v>
      </c>
      <c r="AW203" s="38" t="n">
        <f aca="false">IFERROR(-AW202/AW201,"")</f>
        <v>0.25068190081176</v>
      </c>
      <c r="AX203" s="38" t="n">
        <f aca="false">IFERROR(-AX202/AX201,"")</f>
        <v>0.25356920245763</v>
      </c>
      <c r="AY203" s="38" t="n">
        <f aca="false">IFERROR(-AY202/AY201,"")</f>
        <v>0.251890338271059</v>
      </c>
      <c r="AZ203" s="38" t="n">
        <f aca="false">IFERROR(-AZ202/AZ201,"")</f>
        <v>0.259115298228101</v>
      </c>
      <c r="BA203" s="38" t="n">
        <f aca="false">IFERROR(-BA202/BA201,"")</f>
        <v>0.245934235517569</v>
      </c>
      <c r="BB203" s="38" t="n">
        <f aca="false">IFERROR(-BB202/BB201,"")</f>
        <v>0.254541837087484</v>
      </c>
      <c r="BC203" s="38" t="n">
        <f aca="false">IFERROR(-BC202/BC201,"")</f>
        <v>0.25087076491609</v>
      </c>
      <c r="BD203" s="38" t="n">
        <f aca="false">IFERROR(-BD202/BD201,"")</f>
        <v>0.25339203070324</v>
      </c>
      <c r="BE203" s="38" t="n">
        <f aca="false">IFERROR(-BE202/BE201,"")</f>
        <v>0.249304187384683</v>
      </c>
      <c r="BF203" s="38" t="n">
        <f aca="false">IFERROR(-BF202/BF201,"")</f>
        <v>0.237913814628266</v>
      </c>
      <c r="BG203" s="38" t="n">
        <f aca="false">IFERROR(-BG202/BG201,"")</f>
        <v>0.247893667933482</v>
      </c>
      <c r="BH203" s="38" t="n">
        <f aca="false">IFERROR(-BH202/BH201,"")</f>
        <v>0.2528382376551</v>
      </c>
      <c r="BI203" s="38" t="n">
        <f aca="false">IFERROR(-BI202/BI201,"")</f>
        <v>0.205563032750112</v>
      </c>
      <c r="BJ203" s="38" t="n">
        <f aca="false">IFERROR(-BJ202/BJ201,"")</f>
        <v>0.249323097828843</v>
      </c>
      <c r="BK203" s="38" t="n">
        <f aca="false">IFERROR(-BK202/BK201,"")</f>
        <v>0.252413832082066</v>
      </c>
      <c r="BL203" s="38" t="n">
        <f aca="false">IFERROR(-BL202/BL201,"")</f>
        <v>0.244299372806424</v>
      </c>
      <c r="BM203" s="38" t="n">
        <f aca="false">IFERROR(-BM202/BM201,"")</f>
        <v>0.254205535276281</v>
      </c>
      <c r="BN203" s="38" t="n">
        <f aca="false">IFERROR(-BN202/BN201,"")</f>
        <v>0.25458255284988</v>
      </c>
      <c r="BO203" s="38" t="n">
        <f aca="false">IFERROR(-BO202/BO201,"")</f>
        <v>0.25385449824836</v>
      </c>
      <c r="BP203" s="38" t="n">
        <f aca="false">IFERROR(-BP202/BP201,"")</f>
        <v>0.25059271119911</v>
      </c>
      <c r="BQ203" s="38" t="n">
        <f aca="false">IFERROR(-BQ202/BQ201,"")</f>
        <v>0.251328526993814</v>
      </c>
      <c r="BR203" s="38" t="n">
        <f aca="false">IFERROR(-BR202/BR201,"")</f>
        <v>0.239037480463566</v>
      </c>
      <c r="BS203" s="38" t="n">
        <f aca="false">IFERROR(-BS202/BS201,"")</f>
        <v>0.255403877923659</v>
      </c>
      <c r="BT203" s="38" t="n">
        <f aca="false">IFERROR(-BT202/BT201,"")</f>
        <v>0.252692012824087</v>
      </c>
      <c r="BU203" s="38" t="n">
        <f aca="false">IFERROR(-BU202/BU201,"")</f>
        <v>0.252545718493144</v>
      </c>
      <c r="BV203" s="38" t="n">
        <f aca="false">IFERROR(-BV202/BV201,"")</f>
        <v>0.250353568887129</v>
      </c>
      <c r="BW203" s="38" t="n">
        <f aca="false">IFERROR(-BW202/BW201,"")</f>
        <v>0.251707500469954</v>
      </c>
      <c r="BX203" s="38" t="n">
        <f aca="false">IFERROR(-BX202/BX201,"")</f>
        <v>0.251305729408976</v>
      </c>
      <c r="BY203" s="42" t="n">
        <v>0.25</v>
      </c>
      <c r="BZ203" s="42" t="n">
        <v>0.25</v>
      </c>
      <c r="CA203" s="37" t="n">
        <f aca="false">IFERROR(-CA202/CA201,"")</f>
        <v>0.251082723947462</v>
      </c>
      <c r="CB203" s="42" t="n">
        <v>0.25</v>
      </c>
      <c r="CC203" s="42" t="n">
        <v>0.25</v>
      </c>
      <c r="CD203" s="42" t="n">
        <v>0.25</v>
      </c>
      <c r="CE203" s="42" t="n">
        <v>0.25</v>
      </c>
      <c r="CF203" s="21" t="s">
        <v>387</v>
      </c>
    </row>
    <row r="204" customFormat="false" ht="15" hidden="true" customHeight="true" outlineLevel="1" collapsed="false">
      <c r="B204" s="29" t="s">
        <v>388</v>
      </c>
      <c r="C204" s="25"/>
      <c r="D204" s="25"/>
      <c r="E204" s="27" t="n">
        <v>-3.931</v>
      </c>
      <c r="F204" s="27" t="n">
        <v>-1.142</v>
      </c>
      <c r="G204" s="27" t="n">
        <v>1.547</v>
      </c>
      <c r="H204" s="27" t="n">
        <v>0</v>
      </c>
      <c r="I204" s="27" t="n">
        <v>2.602</v>
      </c>
      <c r="J204" s="25"/>
      <c r="K204" s="25"/>
      <c r="L204" s="25"/>
      <c r="M204" s="27" t="n">
        <v>0</v>
      </c>
      <c r="N204" s="27" t="n">
        <v>0</v>
      </c>
      <c r="O204" s="27" t="n">
        <v>1.22</v>
      </c>
      <c r="P204" s="27" t="n">
        <v>0</v>
      </c>
      <c r="Q204" s="27" t="n">
        <v>0</v>
      </c>
      <c r="R204" s="27" t="n">
        <v>0</v>
      </c>
      <c r="S204" s="27" t="n">
        <v>1.22</v>
      </c>
      <c r="T204" s="27" t="n">
        <v>0</v>
      </c>
      <c r="U204" s="27" t="n">
        <v>0</v>
      </c>
      <c r="V204" s="27" t="n">
        <v>0</v>
      </c>
      <c r="W204" s="27" t="n">
        <v>0</v>
      </c>
      <c r="X204" s="27" t="n">
        <v>-4.198</v>
      </c>
      <c r="Y204" s="25"/>
      <c r="Z204" s="25"/>
      <c r="AA204" s="27" t="n">
        <v>1.964</v>
      </c>
      <c r="AB204" s="27" t="n">
        <v>0</v>
      </c>
      <c r="AC204" s="27" t="n">
        <v>1.964</v>
      </c>
      <c r="AD204" s="25"/>
      <c r="AE204" s="25"/>
      <c r="AF204" s="27" t="n">
        <v>3.787</v>
      </c>
      <c r="AG204" s="27" t="n">
        <v>-209.418</v>
      </c>
      <c r="AH204" s="27" t="n">
        <v>-205.631</v>
      </c>
      <c r="AI204" s="25"/>
      <c r="AJ204" s="27" t="n">
        <v>2.515</v>
      </c>
      <c r="AK204" s="27" t="n">
        <v>6.578</v>
      </c>
      <c r="AL204" s="27" t="n">
        <v>0</v>
      </c>
      <c r="AM204" s="27" t="n">
        <v>9.093</v>
      </c>
      <c r="AN204" s="25"/>
      <c r="AO204" s="27" t="n">
        <v>0</v>
      </c>
      <c r="AP204" s="27" t="n">
        <v>0</v>
      </c>
      <c r="AQ204" s="27" t="n">
        <v>0</v>
      </c>
      <c r="AR204" s="27" t="n">
        <v>0</v>
      </c>
      <c r="AS204" s="25"/>
      <c r="AT204" s="27" t="n">
        <v>31.508</v>
      </c>
      <c r="AU204" s="27" t="n">
        <v>0</v>
      </c>
      <c r="AV204" s="27" t="n">
        <v>0</v>
      </c>
      <c r="AW204" s="27" t="n">
        <v>31.508</v>
      </c>
      <c r="AX204" s="25"/>
      <c r="AY204" s="27" t="n">
        <v>0</v>
      </c>
      <c r="AZ204" s="27" t="n">
        <v>0</v>
      </c>
      <c r="BA204" s="27" t="n">
        <v>0</v>
      </c>
      <c r="BB204" s="27" t="n">
        <v>0</v>
      </c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8"/>
      <c r="BZ204" s="28"/>
      <c r="CA204" s="28"/>
      <c r="CB204" s="28"/>
      <c r="CC204" s="28"/>
      <c r="CD204" s="28"/>
      <c r="CE204" s="28"/>
      <c r="CF204" s="21"/>
    </row>
    <row r="205" customFormat="false" ht="15" hidden="true" customHeight="true" outlineLevel="1" collapsed="false">
      <c r="B205" s="29" t="s">
        <v>389</v>
      </c>
      <c r="C205" s="25"/>
      <c r="D205" s="25"/>
      <c r="E205" s="27" t="n">
        <v>1.306</v>
      </c>
      <c r="F205" s="27" t="n">
        <v>9.228</v>
      </c>
      <c r="G205" s="27" t="n">
        <v>8.386</v>
      </c>
      <c r="H205" s="27" t="n">
        <v>2.354</v>
      </c>
      <c r="I205" s="27" t="n">
        <v>26.355</v>
      </c>
      <c r="J205" s="27" t="n">
        <v>4.162</v>
      </c>
      <c r="K205" s="27" t="n">
        <v>13.86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8"/>
      <c r="BZ205" s="28"/>
      <c r="CA205" s="28"/>
      <c r="CB205" s="28"/>
      <c r="CC205" s="28"/>
      <c r="CD205" s="28"/>
      <c r="CE205" s="28"/>
      <c r="CF205" s="21"/>
    </row>
    <row r="206" customFormat="false" ht="15" hidden="true" customHeight="true" outlineLevel="1" collapsed="false">
      <c r="B206" s="55" t="s">
        <v>390</v>
      </c>
      <c r="C206" s="56" t="n">
        <f aca="false">C192+C201+N(C202)+N(C204)+N(C205)</f>
        <v>77.423</v>
      </c>
      <c r="D206" s="56" t="n">
        <f aca="false">D192+D201+N(D202)+N(D204)+N(D205)</f>
        <v>99.081</v>
      </c>
      <c r="E206" s="56" t="n">
        <f aca="false">E192+E201+N(E202)+N(E204)+N(E205)</f>
        <v>102.931</v>
      </c>
      <c r="F206" s="56" t="n">
        <f aca="false">F192+F201+N(F202)+N(F204)+N(F205)</f>
        <v>117.911</v>
      </c>
      <c r="G206" s="56" t="n">
        <f aca="false">G192+G201+N(G202)+N(G204)+N(G205)</f>
        <v>145.037</v>
      </c>
      <c r="H206" s="56" t="n">
        <f aca="false">H192+H201+N(H202)+N(H204)+N(H205)</f>
        <v>167.593</v>
      </c>
      <c r="I206" s="56" t="n">
        <f aca="false">I192+I201+N(I202)+N(I204)+N(I205)</f>
        <v>188.05</v>
      </c>
      <c r="J206" s="56" t="n">
        <f aca="false">J192+J201+N(J202)+N(J204)+N(J205)</f>
        <v>45.718</v>
      </c>
      <c r="K206" s="56" t="n">
        <f aca="false">K192+K201+N(K202)+N(K204)+N(K205)</f>
        <v>57.827</v>
      </c>
      <c r="L206" s="56" t="n">
        <f aca="false">L192+L201+N(L202)+N(L204)+N(L205)</f>
        <v>63.712</v>
      </c>
      <c r="M206" s="56" t="n">
        <f aca="false">M192+M201+N(M202)+N(M204)+N(M205)</f>
        <v>54.5170000000002</v>
      </c>
      <c r="N206" s="56" t="n">
        <f aca="false">N192+N201+N(N202)+N(N204)+N(N205)</f>
        <v>221.774</v>
      </c>
      <c r="O206" s="56" t="n">
        <f aca="false">O192+O201+N(O202)+N(O204)+N(O205)</f>
        <v>54.46</v>
      </c>
      <c r="P206" s="56" t="n">
        <f aca="false">P192+P201+N(P202)+N(P204)+N(P205)</f>
        <v>66.231</v>
      </c>
      <c r="Q206" s="56" t="n">
        <f aca="false">Q192+Q201+N(Q202)+N(Q204)+N(Q205)</f>
        <v>70.2180000000001</v>
      </c>
      <c r="R206" s="56" t="n">
        <f aca="false">R192+R201+N(R202)+N(R204)+N(R205)</f>
        <v>63.3270000000003</v>
      </c>
      <c r="S206" s="56" t="n">
        <f aca="false">S192+S201+N(S202)+N(S204)+N(S205)</f>
        <v>254.236</v>
      </c>
      <c r="T206" s="56" t="n">
        <f aca="false">T192+T201+N(T202)+N(T204)+N(T205)</f>
        <v>56.863</v>
      </c>
      <c r="U206" s="56" t="n">
        <f aca="false">U192+U201+N(U202)+N(U204)+N(U205)</f>
        <v>61.694</v>
      </c>
      <c r="V206" s="56" t="n">
        <f aca="false">V192+V201+N(V202)+N(V204)+N(V205)</f>
        <v>-251.823</v>
      </c>
      <c r="W206" s="56" t="n">
        <f aca="false">W192+W201+N(W202)+N(W204)+N(W205)</f>
        <v>59.8149999999998</v>
      </c>
      <c r="X206" s="56" t="n">
        <f aca="false">X192+X201+N(X202)+N(X204)+N(X205)</f>
        <v>244.897</v>
      </c>
      <c r="Y206" s="56" t="n">
        <f aca="false">Y192+Y201+N(Y202)+N(Y204)+N(Y205)</f>
        <v>55.2159999999999</v>
      </c>
      <c r="Z206" s="56" t="n">
        <f aca="false">Z192+Z201+N(Z202)+N(Z204)+N(Z205)</f>
        <v>93.21</v>
      </c>
      <c r="AA206" s="56" t="n">
        <f aca="false">AA192+AA201+N(AA202)+N(AA204)+N(AA205)</f>
        <v>126.46</v>
      </c>
      <c r="AB206" s="56" t="n">
        <f aca="false">AB192+AB201+N(AB202)+N(AB204)+N(AB205)</f>
        <v>120.294</v>
      </c>
      <c r="AC206" s="56" t="n">
        <f aca="false">AC192+AC201+N(AC202)+N(AC204)+N(AC205)</f>
        <v>395.178</v>
      </c>
      <c r="AD206" s="56" t="n">
        <f aca="false">AD192+AD201+N(AD202)+N(AD204)+N(AD205)</f>
        <v>130.349</v>
      </c>
      <c r="AE206" s="56" t="n">
        <f aca="false">AE192+AE201+N(AE202)+N(AE204)+N(AE205)</f>
        <v>145.462</v>
      </c>
      <c r="AF206" s="56" t="n">
        <f aca="false">AF192+AF201+N(AF202)+N(AF204)+N(AF205)</f>
        <v>158.133</v>
      </c>
      <c r="AG206" s="56" t="n">
        <f aca="false">AG192+AG201+N(AG202)+N(AG204)+N(AG205)</f>
        <v>137.047</v>
      </c>
      <c r="AH206" s="56" t="n">
        <f aca="false">AH192+AH201+N(AH202)+N(AH204)+N(AH205)</f>
        <v>570.666</v>
      </c>
      <c r="AI206" s="56" t="n">
        <f aca="false">AI192+AI201+N(AI202)+N(AI204)+N(AI205)</f>
        <v>148.611</v>
      </c>
      <c r="AJ206" s="56" t="n">
        <f aca="false">AJ192+AJ201+N(AJ202)+N(AJ204)+N(AJ205)</f>
        <v>172.336</v>
      </c>
      <c r="AK206" s="56" t="n">
        <f aca="false">AK192+AK201+N(AK202)+N(AK204)+N(AK205)</f>
        <v>181.87</v>
      </c>
      <c r="AL206" s="56" t="n">
        <f aca="false">AL192+AL201+N(AL202)+N(AL204)+N(AL205)</f>
        <v>166.213</v>
      </c>
      <c r="AM206" s="56" t="n">
        <f aca="false">AM192+AM201+N(AM202)+N(AM204)+N(AM205)</f>
        <v>667.268</v>
      </c>
      <c r="AN206" s="56" t="n">
        <f aca="false">AN192+AN201+N(AN202)+N(AN204)+N(AN205)</f>
        <v>163.937</v>
      </c>
      <c r="AO206" s="56" t="n">
        <f aca="false">AO192+AO201+N(AO202)+N(AO204)+N(AO205)</f>
        <v>181.268</v>
      </c>
      <c r="AP206" s="56" t="n">
        <f aca="false">AP192+AP201+N(AP202)+N(AP204)+N(AP205)</f>
        <v>192.939</v>
      </c>
      <c r="AQ206" s="56" t="n">
        <f aca="false">AQ192+AQ201+N(AQ202)+N(AQ204)+N(AQ205)</f>
        <v>181.417</v>
      </c>
      <c r="AR206" s="56" t="n">
        <f aca="false">AR192+AR201+N(AR202)+N(AR204)+N(AR205)</f>
        <v>719.561</v>
      </c>
      <c r="AS206" s="56" t="n">
        <f aca="false">AS192+AS201+N(AS202)+N(AS204)+N(AS205)</f>
        <v>170.562</v>
      </c>
      <c r="AT206" s="56" t="n">
        <f aca="false">AT192+AT201+N(AT202)+N(AT204)+N(AT205)</f>
        <v>157.956</v>
      </c>
      <c r="AU206" s="56" t="n">
        <f aca="false">AU192+AU201+N(AU202)+N(AU204)+N(AU205)</f>
        <v>188.64</v>
      </c>
      <c r="AV206" s="56" t="n">
        <f aca="false">AV192+AV201+N(AV202)+N(AV204)+N(AV205)</f>
        <v>178.626</v>
      </c>
      <c r="AW206" s="56" t="n">
        <f aca="false">AW192+AW201+N(AW202)+N(AW204)+N(AW205)</f>
        <v>695.786</v>
      </c>
      <c r="AX206" s="56" t="n">
        <f aca="false">AX192+AX201+N(AX202)+N(AX204)+N(AX205)</f>
        <v>185.457</v>
      </c>
      <c r="AY206" s="56" t="n">
        <f aca="false">AY192+AY201+N(AY202)+N(AY204)+N(AY205)</f>
        <v>210.884</v>
      </c>
      <c r="AZ206" s="56" t="n">
        <f aca="false">AZ192+AZ201+N(AZ202)+N(AZ204)+N(AZ205)</f>
        <v>233.13</v>
      </c>
      <c r="BA206" s="56" t="n">
        <f aca="false">BA192+BA201+N(BA202)+N(BA204)+N(BA205)</f>
        <v>217.129</v>
      </c>
      <c r="BB206" s="56" t="n">
        <f aca="false">BB192+BB201+N(BB202)+N(BB204)+N(BB205)</f>
        <v>846.6</v>
      </c>
      <c r="BC206" s="56" t="n">
        <f aca="false">BC192+BC201+N(BC202)+N(BC204)+N(BC205)</f>
        <v>213.446</v>
      </c>
      <c r="BD206" s="56" t="n">
        <f aca="false">BD192+BD201+N(BD202)+N(BD204)+N(BD205)</f>
        <v>257.145</v>
      </c>
      <c r="BE206" s="56" t="n">
        <f aca="false">BE192+BE201+N(BE202)+N(BE204)+N(BE205)</f>
        <v>284.922</v>
      </c>
      <c r="BF206" s="56" t="n">
        <f aca="false">BF192+BF201+N(BF202)+N(BF204)+N(BF205)</f>
        <v>229.757</v>
      </c>
      <c r="BG206" s="56" t="n">
        <f aca="false">BG192+BG201+N(BG202)+N(BG204)+N(BG205)</f>
        <v>985.274000000001</v>
      </c>
      <c r="BH206" s="56" t="n">
        <f aca="false">BH192+BH201+N(BH202)+N(BH204)+N(BH205)</f>
        <v>230.39</v>
      </c>
      <c r="BI206" s="56" t="n">
        <f aca="false">BI192+BI201+N(BI202)+N(BI204)+N(BI205)</f>
        <v>262.332</v>
      </c>
      <c r="BJ206" s="56" t="n">
        <f aca="false">BJ192+BJ201+N(BJ202)+N(BJ204)+N(BJ205)</f>
        <v>303.051</v>
      </c>
      <c r="BK206" s="56" t="n">
        <f aca="false">BK192+BK201+N(BK202)+N(BK204)+N(BK205)</f>
        <v>285.479</v>
      </c>
      <c r="BL206" s="56" t="n">
        <f aca="false">BL192+BL201+N(BL202)+N(BL204)+N(BL205)</f>
        <v>1081.253</v>
      </c>
      <c r="BM206" s="56" t="n">
        <f aca="false">BM192+BM201+N(BM202)+N(BM204)+N(BM205)</f>
        <v>268.669</v>
      </c>
      <c r="BN206" s="56" t="n">
        <f aca="false">BN192+BN201+N(BN202)+N(BN204)+N(BN205)</f>
        <v>320.047</v>
      </c>
      <c r="BO206" s="56" t="n">
        <f aca="false">BO192+BO201+N(BO202)+N(BO204)+N(BO205)</f>
        <v>350.004</v>
      </c>
      <c r="BP206" s="56" t="n">
        <f aca="false">BP192+BP201+N(BP202)+N(BP204)+N(BP205)</f>
        <v>300.578</v>
      </c>
      <c r="BQ206" s="56" t="n">
        <f aca="false">BQ192+BQ201+N(BQ202)+N(BQ204)+N(BQ205)</f>
        <v>1239.293</v>
      </c>
      <c r="BR206" s="56" t="n">
        <f aca="false">BR192+BR201+N(BR202)+N(BR204)+N(BR205)</f>
        <v>293.12</v>
      </c>
      <c r="BS206" s="56" t="n">
        <f aca="false">BS192+BS201+N(BS202)+N(BS204)+N(BS205)</f>
        <v>333.094</v>
      </c>
      <c r="BT206" s="56" t="n">
        <f aca="false">BT192+BT201+N(BT202)+N(BT204)+N(BT205)</f>
        <v>372.05</v>
      </c>
      <c r="BU206" s="56" t="n">
        <f aca="false">BU192+BU201+N(BU202)+N(BU204)+N(BU205)</f>
        <v>330.068</v>
      </c>
      <c r="BV206" s="56" t="n">
        <f aca="false">BV192+BV201+N(BV202)+N(BV204)+N(BV205)</f>
        <v>1328.334</v>
      </c>
      <c r="BW206" s="56" t="n">
        <f aca="false">BW192+BW201+N(BW202)+N(BW204)+N(BW205)</f>
        <v>314.88</v>
      </c>
      <c r="BX206" s="56" t="n">
        <f aca="false">BX192+BX201+N(BX202)+N(BX204)+N(BX205)</f>
        <v>381.691</v>
      </c>
      <c r="BY206" s="56" t="n">
        <f aca="false">BY192+BY201+N(BY202)+N(BY204)+N(BY205)</f>
        <v>380.330631367271</v>
      </c>
      <c r="BZ206" s="56" t="n">
        <f aca="false">BZ192+BZ201+N(BZ202)+N(BZ204)+N(BZ205)</f>
        <v>350.56389663273</v>
      </c>
      <c r="CA206" s="56" t="n">
        <f aca="false">CA192+CA201+N(CA202)+N(CA204)+N(CA205)</f>
        <v>1427.465528</v>
      </c>
      <c r="CB206" s="56" t="n">
        <f aca="false">CB192+CB201+N(CB202)+N(CB204)+N(CB205)</f>
        <v>1514.3873158488</v>
      </c>
      <c r="CC206" s="56" t="n">
        <f aca="false">CC192+CC201+N(CC202)+N(CC204)+N(CC205)</f>
        <v>1643.71088587788</v>
      </c>
      <c r="CD206" s="56" t="n">
        <f aca="false">CD192+CD201+N(CD202)+N(CD204)+N(CD205)</f>
        <v>1777.35896021854</v>
      </c>
      <c r="CE206" s="56" t="n">
        <f aca="false">CE192+CE201+N(CE202)+N(CE204)+N(CE205)</f>
        <v>1913.5625870674</v>
      </c>
      <c r="CF206" s="21"/>
      <c r="CH206" s="22" t="n">
        <f aca="false">IFERROR((CE206/BV206)^(1/5)-1,"n/m")</f>
        <v>0.0757394027037375</v>
      </c>
      <c r="CI206" s="22" t="n">
        <f aca="false">IFERROR((BV206/AW206)^(1/5)-1,"n/m")</f>
        <v>0.138063043333347</v>
      </c>
      <c r="CJ206" s="22" t="n">
        <f aca="false">IFERROR((BV206/X206)^(1/10)-1,"n/m")</f>
        <v>0.184219975170889</v>
      </c>
      <c r="CK206" s="22" t="n">
        <f aca="false">IFERROR((BV206/C206)^(1/19)-1,"n/m")</f>
        <v>0.161369413112328</v>
      </c>
    </row>
    <row r="207" customFormat="false" ht="15" hidden="true" customHeight="true" outlineLevel="1" collapsed="false">
      <c r="B207" s="24" t="s">
        <v>391</v>
      </c>
      <c r="C207" s="25"/>
      <c r="D207" s="25"/>
      <c r="E207" s="27" t="n">
        <v>100.278</v>
      </c>
      <c r="F207" s="27" t="n">
        <v>117.911</v>
      </c>
      <c r="G207" s="27" t="n">
        <v>145.037</v>
      </c>
      <c r="H207" s="27" t="n">
        <v>167.593</v>
      </c>
      <c r="I207" s="27" t="n">
        <v>188.05</v>
      </c>
      <c r="J207" s="27" t="n">
        <v>45.718</v>
      </c>
      <c r="K207" s="27" t="n">
        <v>57.827</v>
      </c>
      <c r="L207" s="27" t="n">
        <v>63.712</v>
      </c>
      <c r="M207" s="27" t="n">
        <v>54.517</v>
      </c>
      <c r="N207" s="27" t="n">
        <v>221.774</v>
      </c>
      <c r="O207" s="27" t="n">
        <v>54.46</v>
      </c>
      <c r="P207" s="27" t="n">
        <v>66.231</v>
      </c>
      <c r="Q207" s="27" t="n">
        <v>70.218</v>
      </c>
      <c r="R207" s="27" t="n">
        <v>63.327</v>
      </c>
      <c r="S207" s="27" t="n">
        <v>254.236</v>
      </c>
      <c r="T207" s="27" t="n">
        <v>56.863</v>
      </c>
      <c r="U207" s="27" t="n">
        <v>61.694</v>
      </c>
      <c r="V207" s="27" t="n">
        <v>66.525</v>
      </c>
      <c r="W207" s="27" t="n">
        <v>59.815</v>
      </c>
      <c r="X207" s="27" t="n">
        <v>244.897</v>
      </c>
      <c r="Y207" s="27" t="n">
        <v>55.216</v>
      </c>
      <c r="Z207" s="27" t="n">
        <v>93.21</v>
      </c>
      <c r="AA207" s="27" t="n">
        <v>126.46</v>
      </c>
      <c r="AB207" s="27" t="n">
        <v>120.294</v>
      </c>
      <c r="AC207" s="27" t="n">
        <v>395.178</v>
      </c>
      <c r="AD207" s="27" t="n">
        <v>130.349</v>
      </c>
      <c r="AE207" s="27" t="n">
        <v>145.462</v>
      </c>
      <c r="AF207" s="27" t="n">
        <v>158.133</v>
      </c>
      <c r="AG207" s="27" t="n">
        <v>137.048</v>
      </c>
      <c r="AH207" s="27" t="n">
        <v>570.666</v>
      </c>
      <c r="AI207" s="27" t="n">
        <v>148.611</v>
      </c>
      <c r="AJ207" s="27" t="n">
        <v>172.336</v>
      </c>
      <c r="AK207" s="27" t="n">
        <v>181.87</v>
      </c>
      <c r="AL207" s="27" t="n">
        <v>166.213</v>
      </c>
      <c r="AM207" s="27" t="n">
        <v>667.268</v>
      </c>
      <c r="AN207" s="27" t="n">
        <v>163.937</v>
      </c>
      <c r="AO207" s="27" t="n">
        <v>181.268</v>
      </c>
      <c r="AP207" s="27" t="n">
        <v>192.939</v>
      </c>
      <c r="AQ207" s="27" t="n">
        <v>181.417</v>
      </c>
      <c r="AR207" s="27" t="n">
        <v>719.561</v>
      </c>
      <c r="AS207" s="27" t="n">
        <v>170.562</v>
      </c>
      <c r="AT207" s="27" t="n">
        <v>157.956</v>
      </c>
      <c r="AU207" s="27" t="n">
        <v>188.64</v>
      </c>
      <c r="AV207" s="27" t="n">
        <v>178.625</v>
      </c>
      <c r="AW207" s="27" t="n">
        <v>695.786</v>
      </c>
      <c r="AX207" s="27" t="n">
        <v>185.457</v>
      </c>
      <c r="AY207" s="27" t="n">
        <v>210.884</v>
      </c>
      <c r="AZ207" s="27" t="n">
        <v>233.13</v>
      </c>
      <c r="BA207" s="27" t="n">
        <v>217.128</v>
      </c>
      <c r="BB207" s="27" t="n">
        <v>846.6</v>
      </c>
      <c r="BC207" s="27" t="n">
        <v>213.446</v>
      </c>
      <c r="BD207" s="27" t="n">
        <v>257.145</v>
      </c>
      <c r="BE207" s="27" t="n">
        <v>284.922</v>
      </c>
      <c r="BF207" s="27" t="n">
        <v>229.757</v>
      </c>
      <c r="BG207" s="27" t="n">
        <v>985.274</v>
      </c>
      <c r="BH207" s="27" t="n">
        <v>230.39</v>
      </c>
      <c r="BI207" s="27" t="n">
        <v>262.332</v>
      </c>
      <c r="BJ207" s="27" t="n">
        <v>303.051</v>
      </c>
      <c r="BK207" s="27" t="n">
        <v>285.479</v>
      </c>
      <c r="BL207" s="27" t="n">
        <v>1081.253</v>
      </c>
      <c r="BM207" s="27" t="n">
        <v>268.669</v>
      </c>
      <c r="BN207" s="27" t="n">
        <v>320.047</v>
      </c>
      <c r="BO207" s="27" t="n">
        <v>350.004</v>
      </c>
      <c r="BP207" s="27" t="n">
        <v>300.578</v>
      </c>
      <c r="BQ207" s="27" t="n">
        <v>1239.293</v>
      </c>
      <c r="BR207" s="27" t="n">
        <v>293.12</v>
      </c>
      <c r="BS207" s="27" t="n">
        <v>333.094</v>
      </c>
      <c r="BT207" s="27" t="n">
        <v>372.05</v>
      </c>
      <c r="BU207" s="27" t="n">
        <v>330.067</v>
      </c>
      <c r="BV207" s="27" t="n">
        <v>1328.334</v>
      </c>
      <c r="BW207" s="27" t="n">
        <v>314.88</v>
      </c>
      <c r="BX207" s="27" t="n">
        <v>381.691</v>
      </c>
      <c r="BY207" s="28"/>
      <c r="BZ207" s="28"/>
      <c r="CA207" s="28"/>
      <c r="CB207" s="28"/>
      <c r="CC207" s="28"/>
      <c r="CD207" s="28"/>
      <c r="CE207" s="28"/>
      <c r="CF207" s="21"/>
    </row>
    <row r="208" customFormat="false" ht="15" hidden="true" customHeight="true" outlineLevel="1" collapsed="false">
      <c r="B208" s="46" t="s">
        <v>392</v>
      </c>
      <c r="C208" s="26" t="str">
        <f aca="false">IF(ISNUMBER(C207),ROUND(C206-C207,1),"n/p")</f>
        <v>n/p</v>
      </c>
      <c r="D208" s="26" t="str">
        <f aca="false">IF(ISNUMBER(D207),ROUND(D206-D207,1),"n/p")</f>
        <v>n/p</v>
      </c>
      <c r="E208" s="26" t="n">
        <f aca="false">IF(ISNUMBER(E207),ROUND(E206-E207,1),"n/p")</f>
        <v>2.7</v>
      </c>
      <c r="F208" s="26" t="n">
        <f aca="false">IF(ISNUMBER(F207),ROUND(F206-F207,1),"n/p")</f>
        <v>0</v>
      </c>
      <c r="G208" s="26" t="n">
        <f aca="false">IF(ISNUMBER(G207),ROUND(G206-G207,1),"n/p")</f>
        <v>0</v>
      </c>
      <c r="H208" s="26" t="n">
        <f aca="false">IF(ISNUMBER(H207),ROUND(H206-H207,1),"n/p")</f>
        <v>0</v>
      </c>
      <c r="I208" s="26" t="n">
        <f aca="false">IF(ISNUMBER(I207),ROUND(I206-I207,1),"n/p")</f>
        <v>0</v>
      </c>
      <c r="J208" s="26" t="n">
        <f aca="false">IF(ISNUMBER(J207),ROUND(J206-J207,1),"n/p")</f>
        <v>0</v>
      </c>
      <c r="K208" s="26" t="n">
        <f aca="false">IF(ISNUMBER(K207),ROUND(K206-K207,1),"n/p")</f>
        <v>0</v>
      </c>
      <c r="L208" s="26" t="n">
        <f aca="false">IF(ISNUMBER(L207),ROUND(L206-L207,1),"n/p")</f>
        <v>0</v>
      </c>
      <c r="M208" s="26" t="n">
        <f aca="false">IF(ISNUMBER(M207),ROUND(M206-M207,1),"n/p")</f>
        <v>0</v>
      </c>
      <c r="N208" s="26" t="n">
        <f aca="false">IF(ISNUMBER(N207),ROUND(N206-N207,1),"n/p")</f>
        <v>0</v>
      </c>
      <c r="O208" s="26" t="n">
        <f aca="false">IF(ISNUMBER(O207),ROUND(O206-O207,1),"n/p")</f>
        <v>0</v>
      </c>
      <c r="P208" s="26" t="n">
        <f aca="false">IF(ISNUMBER(P207),ROUND(P206-P207,1),"n/p")</f>
        <v>0</v>
      </c>
      <c r="Q208" s="26" t="n">
        <f aca="false">IF(ISNUMBER(Q207),ROUND(Q206-Q207,1),"n/p")</f>
        <v>0</v>
      </c>
      <c r="R208" s="26" t="n">
        <f aca="false">IF(ISNUMBER(R207),ROUND(R206-R207,1),"n/p")</f>
        <v>0</v>
      </c>
      <c r="S208" s="26" t="n">
        <f aca="false">IF(ISNUMBER(S207),ROUND(S206-S207,1),"n/p")</f>
        <v>0</v>
      </c>
      <c r="T208" s="26" t="n">
        <f aca="false">IF(ISNUMBER(T207),ROUND(T206-T207,1),"n/p")</f>
        <v>0</v>
      </c>
      <c r="U208" s="26" t="n">
        <f aca="false">IF(ISNUMBER(U207),ROUND(U206-U207,1),"n/p")</f>
        <v>0</v>
      </c>
      <c r="V208" s="26" t="n">
        <f aca="false">IF(ISNUMBER(V207),ROUND(V206-V207,1),"n/p")</f>
        <v>-318.3</v>
      </c>
      <c r="W208" s="26" t="n">
        <f aca="false">IF(ISNUMBER(W207),ROUND(W206-W207,1),"n/p")</f>
        <v>0</v>
      </c>
      <c r="X208" s="26" t="n">
        <f aca="false">IF(ISNUMBER(X207),ROUND(X206-X207,1),"n/p")</f>
        <v>0</v>
      </c>
      <c r="Y208" s="26" t="n">
        <f aca="false">IF(ISNUMBER(Y207),ROUND(Y206-Y207,1),"n/p")</f>
        <v>0</v>
      </c>
      <c r="Z208" s="26" t="n">
        <f aca="false">IF(ISNUMBER(Z207),ROUND(Z206-Z207,1),"n/p")</f>
        <v>0</v>
      </c>
      <c r="AA208" s="26" t="n">
        <f aca="false">IF(ISNUMBER(AA207),ROUND(AA206-AA207,1),"n/p")</f>
        <v>0</v>
      </c>
      <c r="AB208" s="26" t="n">
        <f aca="false">IF(ISNUMBER(AB207),ROUND(AB206-AB207,1),"n/p")</f>
        <v>0</v>
      </c>
      <c r="AC208" s="26" t="n">
        <f aca="false">IF(ISNUMBER(AC207),ROUND(AC206-AC207,1),"n/p")</f>
        <v>0</v>
      </c>
      <c r="AD208" s="26" t="n">
        <f aca="false">IF(ISNUMBER(AD207),ROUND(AD206-AD207,1),"n/p")</f>
        <v>0</v>
      </c>
      <c r="AE208" s="26" t="n">
        <f aca="false">IF(ISNUMBER(AE207),ROUND(AE206-AE207,1),"n/p")</f>
        <v>0</v>
      </c>
      <c r="AF208" s="26" t="n">
        <f aca="false">IF(ISNUMBER(AF207),ROUND(AF206-AF207,1),"n/p")</f>
        <v>0</v>
      </c>
      <c r="AG208" s="26" t="n">
        <f aca="false">IF(ISNUMBER(AG207),ROUND(AG206-AG207,1),"n/p")</f>
        <v>-0</v>
      </c>
      <c r="AH208" s="26" t="n">
        <f aca="false">IF(ISNUMBER(AH207),ROUND(AH206-AH207,1),"n/p")</f>
        <v>0</v>
      </c>
      <c r="AI208" s="26" t="n">
        <f aca="false">IF(ISNUMBER(AI207),ROUND(AI206-AI207,1),"n/p")</f>
        <v>0</v>
      </c>
      <c r="AJ208" s="26" t="n">
        <f aca="false">IF(ISNUMBER(AJ207),ROUND(AJ206-AJ207,1),"n/p")</f>
        <v>0</v>
      </c>
      <c r="AK208" s="26" t="n">
        <f aca="false">IF(ISNUMBER(AK207),ROUND(AK206-AK207,1),"n/p")</f>
        <v>0</v>
      </c>
      <c r="AL208" s="26" t="n">
        <f aca="false">IF(ISNUMBER(AL207),ROUND(AL206-AL207,1),"n/p")</f>
        <v>0</v>
      </c>
      <c r="AM208" s="26" t="n">
        <f aca="false">IF(ISNUMBER(AM207),ROUND(AM206-AM207,1),"n/p")</f>
        <v>0</v>
      </c>
      <c r="AN208" s="26" t="n">
        <f aca="false">IF(ISNUMBER(AN207),ROUND(AN206-AN207,1),"n/p")</f>
        <v>0</v>
      </c>
      <c r="AO208" s="26" t="n">
        <f aca="false">IF(ISNUMBER(AO207),ROUND(AO206-AO207,1),"n/p")</f>
        <v>0</v>
      </c>
      <c r="AP208" s="26" t="n">
        <f aca="false">IF(ISNUMBER(AP207),ROUND(AP206-AP207,1),"n/p")</f>
        <v>0</v>
      </c>
      <c r="AQ208" s="26" t="n">
        <f aca="false">IF(ISNUMBER(AQ207),ROUND(AQ206-AQ207,1),"n/p")</f>
        <v>0</v>
      </c>
      <c r="AR208" s="26" t="n">
        <f aca="false">IF(ISNUMBER(AR207),ROUND(AR206-AR207,1),"n/p")</f>
        <v>0</v>
      </c>
      <c r="AS208" s="26" t="n">
        <f aca="false">IF(ISNUMBER(AS207),ROUND(AS206-AS207,1),"n/p")</f>
        <v>0</v>
      </c>
      <c r="AT208" s="26" t="n">
        <f aca="false">IF(ISNUMBER(AT207),ROUND(AT206-AT207,1),"n/p")</f>
        <v>0</v>
      </c>
      <c r="AU208" s="26" t="n">
        <f aca="false">IF(ISNUMBER(AU207),ROUND(AU206-AU207,1),"n/p")</f>
        <v>0</v>
      </c>
      <c r="AV208" s="26" t="n">
        <f aca="false">IF(ISNUMBER(AV207),ROUND(AV206-AV207,1),"n/p")</f>
        <v>0</v>
      </c>
      <c r="AW208" s="26" t="n">
        <f aca="false">IF(ISNUMBER(AW207),ROUND(AW206-AW207,1),"n/p")</f>
        <v>0</v>
      </c>
      <c r="AX208" s="26" t="n">
        <f aca="false">IF(ISNUMBER(AX207),ROUND(AX206-AX207,1),"n/p")</f>
        <v>0</v>
      </c>
      <c r="AY208" s="26" t="n">
        <f aca="false">IF(ISNUMBER(AY207),ROUND(AY206-AY207,1),"n/p")</f>
        <v>0</v>
      </c>
      <c r="AZ208" s="26" t="n">
        <f aca="false">IF(ISNUMBER(AZ207),ROUND(AZ206-AZ207,1),"n/p")</f>
        <v>0</v>
      </c>
      <c r="BA208" s="26" t="n">
        <f aca="false">IF(ISNUMBER(BA207),ROUND(BA206-BA207,1),"n/p")</f>
        <v>0</v>
      </c>
      <c r="BB208" s="26" t="n">
        <f aca="false">IF(ISNUMBER(BB207),ROUND(BB206-BB207,1),"n/p")</f>
        <v>0</v>
      </c>
      <c r="BC208" s="26" t="n">
        <f aca="false">IF(ISNUMBER(BC207),ROUND(BC206-BC207,1),"n/p")</f>
        <v>0</v>
      </c>
      <c r="BD208" s="26" t="n">
        <f aca="false">IF(ISNUMBER(BD207),ROUND(BD206-BD207,1),"n/p")</f>
        <v>0</v>
      </c>
      <c r="BE208" s="26" t="n">
        <f aca="false">IF(ISNUMBER(BE207),ROUND(BE206-BE207,1),"n/p")</f>
        <v>0</v>
      </c>
      <c r="BF208" s="26" t="n">
        <f aca="false">IF(ISNUMBER(BF207),ROUND(BF206-BF207,1),"n/p")</f>
        <v>0</v>
      </c>
      <c r="BG208" s="26" t="n">
        <f aca="false">IF(ISNUMBER(BG207),ROUND(BG206-BG207,1),"n/p")</f>
        <v>0</v>
      </c>
      <c r="BH208" s="26" t="n">
        <f aca="false">IF(ISNUMBER(BH207),ROUND(BH206-BH207,1),"n/p")</f>
        <v>0</v>
      </c>
      <c r="BI208" s="26" t="n">
        <f aca="false">IF(ISNUMBER(BI207),ROUND(BI206-BI207,1),"n/p")</f>
        <v>0</v>
      </c>
      <c r="BJ208" s="26" t="n">
        <f aca="false">IF(ISNUMBER(BJ207),ROUND(BJ206-BJ207,1),"n/p")</f>
        <v>0</v>
      </c>
      <c r="BK208" s="26" t="n">
        <f aca="false">IF(ISNUMBER(BK207),ROUND(BK206-BK207,1),"n/p")</f>
        <v>0</v>
      </c>
      <c r="BL208" s="26" t="n">
        <f aca="false">IF(ISNUMBER(BL207),ROUND(BL206-BL207,1),"n/p")</f>
        <v>0</v>
      </c>
      <c r="BM208" s="26" t="n">
        <f aca="false">IF(ISNUMBER(BM207),ROUND(BM206-BM207,1),"n/p")</f>
        <v>0</v>
      </c>
      <c r="BN208" s="26" t="n">
        <f aca="false">IF(ISNUMBER(BN207),ROUND(BN206-BN207,1),"n/p")</f>
        <v>0</v>
      </c>
      <c r="BO208" s="26" t="n">
        <f aca="false">IF(ISNUMBER(BO207),ROUND(BO206-BO207,1),"n/p")</f>
        <v>0</v>
      </c>
      <c r="BP208" s="26" t="n">
        <f aca="false">IF(ISNUMBER(BP207),ROUND(BP206-BP207,1),"n/p")</f>
        <v>0</v>
      </c>
      <c r="BQ208" s="26" t="n">
        <f aca="false">IF(ISNUMBER(BQ207),ROUND(BQ206-BQ207,1),"n/p")</f>
        <v>0</v>
      </c>
      <c r="BR208" s="26" t="n">
        <f aca="false">IF(ISNUMBER(BR207),ROUND(BR206-BR207,1),"n/p")</f>
        <v>0</v>
      </c>
      <c r="BS208" s="26" t="n">
        <f aca="false">IF(ISNUMBER(BS207),ROUND(BS206-BS207,1),"n/p")</f>
        <v>0</v>
      </c>
      <c r="BT208" s="26" t="n">
        <f aca="false">IF(ISNUMBER(BT207),ROUND(BT206-BT207,1),"n/p")</f>
        <v>0</v>
      </c>
      <c r="BU208" s="26" t="n">
        <f aca="false">IF(ISNUMBER(BU207),ROUND(BU206-BU207,1),"n/p")</f>
        <v>0</v>
      </c>
      <c r="BV208" s="26" t="n">
        <f aca="false">IF(ISNUMBER(BV207),ROUND(BV206-BV207,1),"n/p")</f>
        <v>0</v>
      </c>
      <c r="BW208" s="26" t="n">
        <f aca="false">IF(ISNUMBER(BW207),ROUND(BW206-BW207,1),"n/p")</f>
        <v>0</v>
      </c>
      <c r="BX208" s="26" t="n">
        <f aca="false">IF(ISNUMBER(BX207),ROUND(BX206-BX207,1),"n/p")</f>
        <v>0</v>
      </c>
      <c r="BY208" s="28"/>
      <c r="BZ208" s="28"/>
      <c r="CA208" s="28"/>
      <c r="CB208" s="28"/>
      <c r="CC208" s="28"/>
      <c r="CD208" s="28"/>
      <c r="CE208" s="28"/>
      <c r="CF208" s="21" t="s">
        <v>393</v>
      </c>
    </row>
    <row r="209" customFormat="false" ht="15" hidden="true" customHeight="true" outlineLevel="1" collapsed="false">
      <c r="B209" s="29" t="s">
        <v>394</v>
      </c>
      <c r="C209" s="72" t="n">
        <f aca="false">C153</f>
        <v>158.419513125</v>
      </c>
      <c r="D209" s="72" t="n">
        <f aca="false">D153</f>
        <v>157.48810425</v>
      </c>
      <c r="E209" s="72" t="n">
        <f aca="false">E153</f>
        <v>160.694352</v>
      </c>
      <c r="F209" s="72" t="n">
        <f aca="false">F153</f>
        <v>180.75924225</v>
      </c>
      <c r="G209" s="72" t="n">
        <f aca="false">G153</f>
        <v>175.341306</v>
      </c>
      <c r="H209" s="72" t="n">
        <f aca="false">H153</f>
        <v>170.375229</v>
      </c>
      <c r="I209" s="72" t="n">
        <f aca="false">I153</f>
        <v>182.7365235</v>
      </c>
      <c r="J209" s="72" t="n">
        <f aca="false">J153</f>
        <v>185.8573935</v>
      </c>
      <c r="K209" s="72" t="n">
        <f aca="false">K153</f>
        <v>186.1206345</v>
      </c>
      <c r="L209" s="72" t="n">
        <f aca="false">L153</f>
        <v>186.419499</v>
      </c>
      <c r="M209" s="72" t="n">
        <f aca="false">M153</f>
        <v>186.580134</v>
      </c>
      <c r="N209" s="72" t="n">
        <f aca="false">N153</f>
        <v>186.247578</v>
      </c>
      <c r="O209" s="72" t="n">
        <f aca="false">O153</f>
        <v>187.0711455</v>
      </c>
      <c r="P209" s="72" t="n">
        <f aca="false">P153</f>
        <v>187.2725265</v>
      </c>
      <c r="Q209" s="72" t="n">
        <f aca="false">Q153</f>
        <v>187.1549715</v>
      </c>
      <c r="R209" s="72" t="n">
        <f aca="false">R153</f>
        <v>187.2204585</v>
      </c>
      <c r="S209" s="72" t="n">
        <f aca="false">S153</f>
        <v>187.1811315</v>
      </c>
      <c r="T209" s="72" t="n">
        <f aca="false">T153</f>
        <v>186.551502</v>
      </c>
      <c r="U209" s="72" t="n">
        <f aca="false">U153</f>
        <v>186.528093</v>
      </c>
      <c r="V209" s="72" t="n">
        <f aca="false">V153</f>
        <v>184.904853</v>
      </c>
      <c r="W209" s="72" t="n">
        <f aca="false">W153</f>
        <v>184.7122545</v>
      </c>
      <c r="X209" s="72" t="n">
        <f aca="false">X153</f>
        <v>185.2378965</v>
      </c>
      <c r="Y209" s="72" t="n">
        <f aca="false">Y153</f>
        <v>185.175876</v>
      </c>
      <c r="Z209" s="72" t="n">
        <f aca="false">Z153</f>
        <v>210.8807325</v>
      </c>
      <c r="AA209" s="61" t="n">
        <v>263.650139</v>
      </c>
      <c r="AB209" s="61" t="n">
        <v>263.894715</v>
      </c>
      <c r="AC209" s="61" t="n">
        <v>231.081496</v>
      </c>
      <c r="AD209" s="72" t="n">
        <f aca="false">AD153</f>
        <v>263.903223</v>
      </c>
      <c r="AE209" s="72" t="n">
        <f aca="false">AE153</f>
        <v>264.109594</v>
      </c>
      <c r="AF209" s="72" t="n">
        <f aca="false">AF153</f>
        <v>264.299472</v>
      </c>
      <c r="AG209" s="72" t="n">
        <f aca="false">AG153</f>
        <v>264.610894</v>
      </c>
      <c r="AH209" s="72" t="n">
        <f aca="false">AH153</f>
        <v>264.302411</v>
      </c>
      <c r="AI209" s="72" t="n">
        <f aca="false">AI153</f>
        <v>264.588069</v>
      </c>
      <c r="AJ209" s="72" t="n">
        <f aca="false">AJ153</f>
        <v>264.332029</v>
      </c>
      <c r="AK209" s="72" t="n">
        <f aca="false">AK153</f>
        <v>264.394757</v>
      </c>
      <c r="AL209" s="72" t="n">
        <f aca="false">AL153</f>
        <v>264.453655</v>
      </c>
      <c r="AM209" s="72" t="n">
        <f aca="false">AM153</f>
        <v>264.395618</v>
      </c>
      <c r="AN209" s="72" t="n">
        <f aca="false">AN153</f>
        <v>264.33693</v>
      </c>
      <c r="AO209" s="72" t="n">
        <f aca="false">AO153</f>
        <v>264.494943</v>
      </c>
      <c r="AP209" s="72" t="n">
        <f aca="false">AP153</f>
        <v>264.587456</v>
      </c>
      <c r="AQ209" s="72" t="n">
        <f aca="false">AQ153</f>
        <v>264.636883</v>
      </c>
      <c r="AR209" s="72" t="n">
        <f aca="false">AR153</f>
        <v>264.526561</v>
      </c>
      <c r="AS209" s="72" t="n">
        <f aca="false">AS153</f>
        <v>264.353158</v>
      </c>
      <c r="AT209" s="61" t="n">
        <v>263.317054</v>
      </c>
      <c r="AU209" s="72" t="n">
        <f aca="false">AU153</f>
        <v>263.507486</v>
      </c>
      <c r="AV209" s="72" t="n">
        <f aca="false">AV153</f>
        <v>263.598602</v>
      </c>
      <c r="AW209" s="72" t="n">
        <f aca="false">AW153</f>
        <v>263.687539</v>
      </c>
      <c r="AX209" s="72" t="n">
        <f aca="false">AX153</f>
        <v>263.156655</v>
      </c>
      <c r="AY209" s="61" t="n">
        <v>261.418573</v>
      </c>
      <c r="AZ209" s="72" t="n">
        <f aca="false">AZ153</f>
        <v>261.14522</v>
      </c>
      <c r="BA209" s="72" t="n">
        <f aca="false">BA153</f>
        <v>261.258425</v>
      </c>
      <c r="BB209" s="72" t="n">
        <f aca="false">BB153</f>
        <v>261.72847</v>
      </c>
      <c r="BC209" s="72" t="n">
        <f aca="false">BC153</f>
        <v>259.560983</v>
      </c>
      <c r="BD209" s="72" t="n">
        <f aca="false">BD153</f>
        <v>257.736745</v>
      </c>
      <c r="BE209" s="72" t="n">
        <f aca="false">BE153</f>
        <v>257.891635</v>
      </c>
      <c r="BF209" s="72" t="n">
        <f aca="false">BF153</f>
        <v>257.974749</v>
      </c>
      <c r="BG209" s="72" t="n">
        <f aca="false">BG153</f>
        <v>258.038801</v>
      </c>
      <c r="BH209" s="72" t="n">
        <f aca="false">BH153</f>
        <v>257.988971</v>
      </c>
      <c r="BI209" s="72" t="n">
        <f aca="false">BI153</f>
        <v>258.110491</v>
      </c>
      <c r="BJ209" s="72" t="n">
        <f aca="false">BJ153</f>
        <v>258.229404</v>
      </c>
      <c r="BK209" s="72" t="n">
        <f aca="false">BK153</f>
        <v>258.30337</v>
      </c>
      <c r="BL209" s="72" t="n">
        <f aca="false">BL153</f>
        <v>258.149244</v>
      </c>
      <c r="BM209" s="72" t="n">
        <f aca="false">BM153</f>
        <v>258.482473</v>
      </c>
      <c r="BN209" s="72" t="n">
        <f aca="false">BN153</f>
        <v>258.565246</v>
      </c>
      <c r="BO209" s="72" t="n">
        <f aca="false">BO153</f>
        <v>258.756528</v>
      </c>
      <c r="BP209" s="61" t="n">
        <v>258.842751</v>
      </c>
      <c r="BQ209" s="61" t="n">
        <v>258.66219</v>
      </c>
      <c r="BR209" s="72" t="n">
        <f aca="false">BR153</f>
        <v>258.904806</v>
      </c>
      <c r="BS209" s="72" t="n">
        <f aca="false">BS153</f>
        <v>258.982647</v>
      </c>
      <c r="BT209" s="72" t="n">
        <f aca="false">BT153</f>
        <v>257.580321</v>
      </c>
      <c r="BU209" s="61" t="n">
        <v>256.469561</v>
      </c>
      <c r="BV209" s="61" t="n">
        <v>257.976741</v>
      </c>
      <c r="BW209" s="72" t="n">
        <f aca="false">BW153</f>
        <v>255.873686</v>
      </c>
      <c r="BX209" s="72" t="n">
        <f aca="false">BX153</f>
        <v>253.856582</v>
      </c>
      <c r="BY209" s="62" t="n">
        <f aca="false">BY153</f>
        <v>253.211420709677</v>
      </c>
      <c r="BZ209" s="62" t="n">
        <f aca="false">BZ153</f>
        <v>251.921098129032</v>
      </c>
      <c r="CA209" s="62" t="n">
        <f aca="false">CA153</f>
        <v>253.715696709677</v>
      </c>
      <c r="CB209" s="62" t="n">
        <f aca="false">CB153</f>
        <v>247.343208358807</v>
      </c>
      <c r="CC209" s="62" t="n">
        <f aca="false">CC153</f>
        <v>241.245524138304</v>
      </c>
      <c r="CD209" s="62" t="n">
        <f aca="false">CD153</f>
        <v>234.738862806979</v>
      </c>
      <c r="CE209" s="62" t="n">
        <f aca="false">CE153</f>
        <v>228.025677485951</v>
      </c>
      <c r="CF209" s="21" t="s">
        <v>395</v>
      </c>
    </row>
    <row r="210" customFormat="false" ht="15" hidden="true" customHeight="true" outlineLevel="1" collapsed="false">
      <c r="B210" s="55" t="s">
        <v>396</v>
      </c>
      <c r="C210" s="65" t="n">
        <f aca="false">IF(AND(ISNUMBER(C206),ISNUMBER(C209)),IFERROR(C206/C209,""),"")</f>
        <v>0.48872136059975</v>
      </c>
      <c r="D210" s="65" t="n">
        <f aca="false">IF(AND(ISNUMBER(D206),ISNUMBER(D209)),IFERROR(D206/D209,""),"")</f>
        <v>0.629133231819952</v>
      </c>
      <c r="E210" s="65" t="n">
        <f aca="false">IF(AND(ISNUMBER(E206),ISNUMBER(E209)),IFERROR(E206/E209,""),"")</f>
        <v>0.640539002889162</v>
      </c>
      <c r="F210" s="65" t="n">
        <f aca="false">IF(AND(ISNUMBER(F206),ISNUMBER(F209)),IFERROR(F206/F209,""),"")</f>
        <v>0.652309660807953</v>
      </c>
      <c r="G210" s="65" t="n">
        <f aca="false">IF(AND(ISNUMBER(G206),ISNUMBER(G209)),IFERROR(G206/G209,""),"")</f>
        <v>0.827169611705755</v>
      </c>
      <c r="H210" s="65" t="n">
        <f aca="false">IF(AND(ISNUMBER(H206),ISNUMBER(H209)),IFERROR(H206/H209,""),"")</f>
        <v>0.983669991134686</v>
      </c>
      <c r="I210" s="65" t="n">
        <f aca="false">IF(AND(ISNUMBER(I206),ISNUMBER(I209)),IFERROR(I206/I209,""),"")</f>
        <v>1.02907725504584</v>
      </c>
      <c r="J210" s="65" t="n">
        <f aca="false">IF(AND(ISNUMBER(J206),ISNUMBER(J209)),IFERROR(J206/J209,""),"")</f>
        <v>0.245984295480825</v>
      </c>
      <c r="K210" s="65" t="n">
        <f aca="false">IF(AND(ISNUMBER(K206),ISNUMBER(K209)),IFERROR(K206/K209,""),"")</f>
        <v>0.310696340335118</v>
      </c>
      <c r="L210" s="65" t="n">
        <f aca="false">IF(AND(ISNUMBER(L206),ISNUMBER(L209)),IFERROR(L206/L209,""),"")</f>
        <v>0.341766823437284</v>
      </c>
      <c r="M210" s="65" t="n">
        <f aca="false">IF(AND(ISNUMBER(M206),ISNUMBER(M209)),IFERROR(M206/M209,""),"")</f>
        <v>0.292190807409326</v>
      </c>
      <c r="N210" s="65" t="n">
        <f aca="false">IF(AND(ISNUMBER(N206),ISNUMBER(N209)),IFERROR(N206/N209,""),"")</f>
        <v>1.19074837042982</v>
      </c>
      <c r="O210" s="65" t="n">
        <f aca="false">IF(AND(ISNUMBER(O206),ISNUMBER(O209)),IFERROR(O206/O209,""),"")</f>
        <v>0.291119188127279</v>
      </c>
      <c r="P210" s="65" t="n">
        <f aca="false">IF(AND(ISNUMBER(P206),ISNUMBER(P209)),IFERROR(P206/P209,""),"")</f>
        <v>0.353661058767208</v>
      </c>
      <c r="Q210" s="65" t="n">
        <f aca="false">IF(AND(ISNUMBER(Q206),ISNUMBER(Q209)),IFERROR(Q206/Q209,""),"")</f>
        <v>0.375186400004341</v>
      </c>
      <c r="R210" s="65" t="n">
        <f aca="false">IF(AND(ISNUMBER(R206),ISNUMBER(R209)),IFERROR(R206/R209,""),"")</f>
        <v>0.338248290317056</v>
      </c>
      <c r="S210" s="65" t="n">
        <f aca="false">IF(AND(ISNUMBER(S206),ISNUMBER(S209)),IFERROR(S206/S209,""),"")</f>
        <v>1.35823519156363</v>
      </c>
      <c r="T210" s="65" t="n">
        <f aca="false">IF(AND(ISNUMBER(T206),ISNUMBER(T209)),IFERROR(T206/T209,""),"")</f>
        <v>0.304811268686542</v>
      </c>
      <c r="U210" s="65" t="n">
        <f aca="false">IF(AND(ISNUMBER(U206),ISNUMBER(U209)),IFERROR(U206/U209,""),"")</f>
        <v>0.330749105980513</v>
      </c>
      <c r="V210" s="65" t="n">
        <f aca="false">IF(AND(ISNUMBER(V206),ISNUMBER(V209)),IFERROR(V206/V209,""),"")</f>
        <v>-1.36190584462378</v>
      </c>
      <c r="W210" s="65" t="n">
        <f aca="false">IF(AND(ISNUMBER(W206),ISNUMBER(W209)),IFERROR(W206/W209,""),"")</f>
        <v>0.323828000269467</v>
      </c>
      <c r="X210" s="65" t="n">
        <f aca="false">IF(AND(ISNUMBER(X206),ISNUMBER(X209)),IFERROR(X206/X209,""),"")</f>
        <v>1.32206748525672</v>
      </c>
      <c r="Y210" s="65" t="n">
        <f aca="false">IF(AND(ISNUMBER(Y206),ISNUMBER(Y209)),IFERROR(Y206/Y209,""),"")</f>
        <v>0.298181389459175</v>
      </c>
      <c r="Z210" s="65" t="n">
        <f aca="false">IF(AND(ISNUMBER(Z206),ISNUMBER(Z209)),IFERROR(Z206/Z209,""),"")</f>
        <v>0.442003396398483</v>
      </c>
      <c r="AA210" s="65" t="n">
        <f aca="false">IF(AND(ISNUMBER(AA206),ISNUMBER(AA209)),IFERROR(AA206/AA209,""),"")</f>
        <v>0.479650799653097</v>
      </c>
      <c r="AB210" s="65" t="n">
        <f aca="false">IF(AND(ISNUMBER(AB206),ISNUMBER(AB209)),IFERROR(AB206/AB209,""),"")</f>
        <v>0.455840883361381</v>
      </c>
      <c r="AC210" s="65" t="n">
        <f aca="false">IF(AND(ISNUMBER(AC206),ISNUMBER(AC209)),IFERROR(AC206/AC209,""),"")</f>
        <v>1.71012394692131</v>
      </c>
      <c r="AD210" s="65" t="n">
        <f aca="false">IF(AND(ISNUMBER(AD206),ISNUMBER(AD209)),IFERROR(AD206/AD209,""),"")</f>
        <v>0.493927275757447</v>
      </c>
      <c r="AE210" s="65" t="n">
        <f aca="false">IF(AND(ISNUMBER(AE206),ISNUMBER(AE209)),IFERROR(AE206/AE209,""),"")</f>
        <v>0.550763786339394</v>
      </c>
      <c r="AF210" s="65" t="n">
        <f aca="false">IF(AND(ISNUMBER(AF206),ISNUMBER(AF209)),IFERROR(AF206/AF209,""),"")</f>
        <v>0.598309935329724</v>
      </c>
      <c r="AG210" s="65" t="n">
        <f aca="false">IF(AND(ISNUMBER(AG206),ISNUMBER(AG209)),IFERROR(AG206/AG209,""),"")</f>
        <v>0.517918963684088</v>
      </c>
      <c r="AH210" s="65" t="n">
        <f aca="false">IF(AND(ISNUMBER(AH206),ISNUMBER(AH209)),IFERROR(AH206/AH209,""),"")</f>
        <v>2.15914034927211</v>
      </c>
      <c r="AI210" s="65" t="n">
        <f aca="false">IF(AND(ISNUMBER(AI206),ISNUMBER(AI209)),IFERROR(AI206/AI209,""),"")</f>
        <v>0.561669316994033</v>
      </c>
      <c r="AJ210" s="65" t="n">
        <f aca="false">IF(AND(ISNUMBER(AJ206),ISNUMBER(AJ209)),IFERROR(AJ206/AJ209,""),"")</f>
        <v>0.651967908134205</v>
      </c>
      <c r="AK210" s="65" t="n">
        <f aca="false">IF(AND(ISNUMBER(AK206),ISNUMBER(AK209)),IFERROR(AK206/AK209,""),"")</f>
        <v>0.687872944469924</v>
      </c>
      <c r="AL210" s="65" t="n">
        <f aca="false">IF(AND(ISNUMBER(AL206),ISNUMBER(AL209)),IFERROR(AL206/AL209,""),"")</f>
        <v>0.628514663561749</v>
      </c>
      <c r="AM210" s="65" t="n">
        <f aca="false">IF(AND(ISNUMBER(AM206),ISNUMBER(AM209)),IFERROR(AM206/AM209,""),"")</f>
        <v>2.52374833231918</v>
      </c>
      <c r="AN210" s="65" t="n">
        <f aca="false">IF(AND(ISNUMBER(AN206),ISNUMBER(AN209)),IFERROR(AN206/AN209,""),"")</f>
        <v>0.620181977599573</v>
      </c>
      <c r="AO210" s="65" t="n">
        <f aca="false">IF(AND(ISNUMBER(AO206),ISNUMBER(AO209)),IFERROR(AO206/AO209,""),"")</f>
        <v>0.685336354427011</v>
      </c>
      <c r="AP210" s="65" t="n">
        <f aca="false">IF(AND(ISNUMBER(AP206),ISNUMBER(AP209)),IFERROR(AP206/AP209,""),"")</f>
        <v>0.729206905409756</v>
      </c>
      <c r="AQ210" s="65" t="n">
        <f aca="false">IF(AND(ISNUMBER(AQ206),ISNUMBER(AQ209)),IFERROR(AQ206/AQ209,""),"")</f>
        <v>0.685531804725798</v>
      </c>
      <c r="AR210" s="65" t="n">
        <f aca="false">IF(AND(ISNUMBER(AR206),ISNUMBER(AR209)),IFERROR(AR206/AR209,""),"")</f>
        <v>2.72018430693619</v>
      </c>
      <c r="AS210" s="65" t="n">
        <f aca="false">IF(AND(ISNUMBER(AS206),ISNUMBER(AS209)),IFERROR(AS206/AS209,""),"")</f>
        <v>0.645205078276387</v>
      </c>
      <c r="AT210" s="65" t="n">
        <f aca="false">IF(AND(ISNUMBER(AT206),ISNUMBER(AT209)),IFERROR(AT206/AT209,""),"")</f>
        <v>0.599869995507393</v>
      </c>
      <c r="AU210" s="65" t="n">
        <f aca="false">IF(AND(ISNUMBER(AU206),ISNUMBER(AU209)),IFERROR(AU206/AU209,""),"")</f>
        <v>0.715880990189402</v>
      </c>
      <c r="AV210" s="65" t="n">
        <f aca="false">IF(AND(ISNUMBER(AV206),ISNUMBER(AV209)),IFERROR(AV206/AV209,""),"")</f>
        <v>0.677643958066212</v>
      </c>
      <c r="AW210" s="65" t="n">
        <f aca="false">IF(AND(ISNUMBER(AW206),ISNUMBER(AW209)),IFERROR(AW206/AW209,""),"")</f>
        <v>2.63867607335059</v>
      </c>
      <c r="AX210" s="65" t="n">
        <f aca="false">IF(AND(ISNUMBER(AX206),ISNUMBER(AX209)),IFERROR(AX206/AX209,""),"")</f>
        <v>0.704739920029764</v>
      </c>
      <c r="AY210" s="65" t="n">
        <f aca="false">IF(AND(ISNUMBER(AY206),ISNUMBER(AY209)),IFERROR(AY206/AY209,""),"")</f>
        <v>0.806690961471969</v>
      </c>
      <c r="AZ210" s="65" t="n">
        <f aca="false">IF(AND(ISNUMBER(AZ206),ISNUMBER(AZ209)),IFERROR(AZ206/AZ209,""),"")</f>
        <v>0.892721681828984</v>
      </c>
      <c r="BA210" s="65" t="n">
        <f aca="false">IF(AND(ISNUMBER(BA206),ISNUMBER(BA209)),IFERROR(BA206/BA209,""),"")</f>
        <v>0.831088987847951</v>
      </c>
      <c r="BB210" s="65" t="n">
        <f aca="false">IF(AND(ISNUMBER(BB206),ISNUMBER(BB209)),IFERROR(BB206/BB209,""),"")</f>
        <v>3.23465001724879</v>
      </c>
      <c r="BC210" s="65" t="n">
        <f aca="false">IF(AND(ISNUMBER(BC206),ISNUMBER(BC209)),IFERROR(BC206/BC209,""),"")</f>
        <v>0.822334688106803</v>
      </c>
      <c r="BD210" s="65" t="n">
        <f aca="false">IF(AND(ISNUMBER(BD206),ISNUMBER(BD209)),IFERROR(BD206/BD209,""),"")</f>
        <v>0.997704072036759</v>
      </c>
      <c r="BE210" s="65" t="n">
        <f aca="false">IF(AND(ISNUMBER(BE206),ISNUMBER(BE209)),IFERROR(BE206/BE209,""),"")</f>
        <v>1.10481288003002</v>
      </c>
      <c r="BF210" s="65" t="n">
        <f aca="false">IF(AND(ISNUMBER(BF206),ISNUMBER(BF209)),IFERROR(BF206/BF209,""),"")</f>
        <v>0.890618174416753</v>
      </c>
      <c r="BG210" s="65" t="n">
        <f aca="false">IF(AND(ISNUMBER(BG206),ISNUMBER(BG209)),IFERROR(BG206/BG209,""),"")</f>
        <v>3.81831723051605</v>
      </c>
      <c r="BH210" s="65" t="n">
        <f aca="false">IF(AND(ISNUMBER(BH206),ISNUMBER(BH209)),IFERROR(BH206/BH209,""),"")</f>
        <v>0.893022671112557</v>
      </c>
      <c r="BI210" s="65" t="n">
        <f aca="false">IF(AND(ISNUMBER(BI206),ISNUMBER(BI209)),IFERROR(BI206/BI209,""),"")</f>
        <v>1.01635543361157</v>
      </c>
      <c r="BJ210" s="65" t="n">
        <f aca="false">IF(AND(ISNUMBER(BJ206),ISNUMBER(BJ209)),IFERROR(BJ206/BJ209,""),"")</f>
        <v>1.17357278182</v>
      </c>
      <c r="BK210" s="65" t="n">
        <f aca="false">IF(AND(ISNUMBER(BK206),ISNUMBER(BK209)),IFERROR(BK206/BK209,""),"")</f>
        <v>1.10520818988928</v>
      </c>
      <c r="BL210" s="65" t="n">
        <f aca="false">IF(AND(ISNUMBER(BL206),ISNUMBER(BL209)),IFERROR(BL206/BL209,""),"")</f>
        <v>4.18848021108286</v>
      </c>
      <c r="BM210" s="65" t="n">
        <f aca="false">IF(AND(ISNUMBER(BM206),ISNUMBER(BM209)),IFERROR(BM206/BM209,""),"")</f>
        <v>1.03940896603848</v>
      </c>
      <c r="BN210" s="65" t="n">
        <f aca="false">IF(AND(ISNUMBER(BN206),ISNUMBER(BN209)),IFERROR(BN206/BN209,""),"")</f>
        <v>1.23778042467471</v>
      </c>
      <c r="BO210" s="65" t="n">
        <f aca="false">IF(AND(ISNUMBER(BO206),ISNUMBER(BO209)),IFERROR(BO206/BO209,""),"")</f>
        <v>1.35263833807509</v>
      </c>
      <c r="BP210" s="65" t="n">
        <f aca="false">IF(AND(ISNUMBER(BP206),ISNUMBER(BP209)),IFERROR(BP206/BP209,""),"")</f>
        <v>1.16123785131615</v>
      </c>
      <c r="BQ210" s="65" t="n">
        <f aca="false">IF(AND(ISNUMBER(BQ206),ISNUMBER(BQ209)),IFERROR(BQ206/BQ209,""),"")</f>
        <v>4.79116410481176</v>
      </c>
      <c r="BR210" s="65" t="n">
        <f aca="false">IF(AND(ISNUMBER(BR206),ISNUMBER(BR209)),IFERROR(BR206/BR209,""),"")</f>
        <v>1.13215356844322</v>
      </c>
      <c r="BS210" s="65" t="n">
        <f aca="false">IF(AND(ISNUMBER(BS206),ISNUMBER(BS209)),IFERROR(BS206/BS209,""),"")</f>
        <v>1.28616339302455</v>
      </c>
      <c r="BT210" s="65" t="n">
        <f aca="false">IF(AND(ISNUMBER(BT206),ISNUMBER(BT209)),IFERROR(BT206/BT209,""),"")</f>
        <v>1.44440382151709</v>
      </c>
      <c r="BU210" s="65" t="n">
        <f aca="false">IF(AND(ISNUMBER(BU206),ISNUMBER(BU209)),IFERROR(BU206/BU209,""),"")</f>
        <v>1.28696753998031</v>
      </c>
      <c r="BV210" s="65" t="n">
        <f aca="false">IF(AND(ISNUMBER(BV206),ISNUMBER(BV209)),IFERROR(BV206/BV209,""),"")</f>
        <v>5.14904558779585</v>
      </c>
      <c r="BW210" s="65" t="n">
        <f aca="false">IF(AND(ISNUMBER(BW206),ISNUMBER(BW209)),IFERROR(BW206/BW209,""),"")</f>
        <v>1.23060719889735</v>
      </c>
      <c r="BX210" s="65" t="n">
        <f aca="false">IF(AND(ISNUMBER(BX206),ISNUMBER(BX209)),IFERROR(BX206/BX209,""),"")</f>
        <v>1.50356944457717</v>
      </c>
      <c r="BY210" s="65" t="n">
        <f aca="false">IFERROR(BY206/BY209,"")</f>
        <v>1.50202795079825</v>
      </c>
      <c r="BZ210" s="65" t="n">
        <f aca="false">IFERROR(BZ206/BZ209,"")</f>
        <v>1.39156227579309</v>
      </c>
      <c r="CA210" s="65" t="n">
        <f aca="false">IFERROR(CA206/CA209,"")</f>
        <v>5.62624049876356</v>
      </c>
      <c r="CB210" s="65" t="n">
        <f aca="false">IFERROR(CB206/CB209,"")</f>
        <v>6.12261531617218</v>
      </c>
      <c r="CC210" s="65" t="n">
        <f aca="false">IFERROR(CC206/CC209,"")</f>
        <v>6.81343577978905</v>
      </c>
      <c r="CD210" s="65" t="n">
        <f aca="false">IFERROR(CD206/CD209,"")</f>
        <v>7.5716433954101</v>
      </c>
      <c r="CE210" s="65" t="n">
        <f aca="false">IFERROR(CE206/CE209,"")</f>
        <v>8.39187326692757</v>
      </c>
      <c r="CF210" s="21"/>
      <c r="CH210" s="22" t="n">
        <f aca="false">IFERROR((CE210/BV210)^(1/5)-1,"n/m")</f>
        <v>0.102621447700761</v>
      </c>
      <c r="CI210" s="22" t="n">
        <f aca="false">IFERROR((BV210/AW210)^(1/5)-1,"n/m")</f>
        <v>0.143057642183464</v>
      </c>
      <c r="CJ210" s="22" t="n">
        <f aca="false">IFERROR((BV210/X210)^(1/10)-1,"n/m")</f>
        <v>0.145637738349544</v>
      </c>
      <c r="CK210" s="22" t="n">
        <f aca="false">IFERROR((BV210/C210)^(1/19)-1,"n/m")</f>
        <v>0.131942836965115</v>
      </c>
    </row>
    <row r="211" customFormat="false" ht="15" hidden="true" customHeight="true" outlineLevel="1" collapsed="false">
      <c r="B211" s="24" t="s">
        <v>397</v>
      </c>
      <c r="C211" s="73"/>
      <c r="D211" s="73"/>
      <c r="E211" s="66" t="n">
        <v>0.622222</v>
      </c>
      <c r="F211" s="66" t="n">
        <v>0.653333</v>
      </c>
      <c r="G211" s="66" t="n">
        <v>0.826667</v>
      </c>
      <c r="H211" s="66" t="n">
        <v>0.986667</v>
      </c>
      <c r="I211" s="66" t="n">
        <v>1.026667</v>
      </c>
      <c r="J211" s="66" t="n">
        <v>0.246667</v>
      </c>
      <c r="K211" s="66" t="n">
        <v>0.313333</v>
      </c>
      <c r="L211" s="66" t="n">
        <v>0.34</v>
      </c>
      <c r="M211" s="66" t="n">
        <v>0.293333</v>
      </c>
      <c r="N211" s="66" t="n">
        <v>1.193333</v>
      </c>
      <c r="O211" s="66" t="n">
        <v>0.293333</v>
      </c>
      <c r="P211" s="66" t="n">
        <v>0.353333</v>
      </c>
      <c r="Q211" s="66" t="n">
        <v>0.373333</v>
      </c>
      <c r="R211" s="66" t="n">
        <v>0.34</v>
      </c>
      <c r="S211" s="66" t="n">
        <v>1.36</v>
      </c>
      <c r="T211" s="66" t="n">
        <v>0.306667</v>
      </c>
      <c r="U211" s="66" t="n">
        <v>0.333333</v>
      </c>
      <c r="V211" s="66" t="n">
        <v>0.36</v>
      </c>
      <c r="W211" s="66" t="n">
        <v>0.326667</v>
      </c>
      <c r="X211" s="66" t="n">
        <v>1.32</v>
      </c>
      <c r="Y211" s="66" t="n">
        <v>0.3</v>
      </c>
      <c r="Z211" s="66" t="n">
        <v>0.44</v>
      </c>
      <c r="AA211" s="66" t="n">
        <v>0.48</v>
      </c>
      <c r="AB211" s="66" t="n">
        <v>0.453333</v>
      </c>
      <c r="AC211" s="66" t="n">
        <v>1.713333</v>
      </c>
      <c r="AD211" s="66" t="n">
        <v>0.493333</v>
      </c>
      <c r="AE211" s="66" t="n">
        <v>0.55</v>
      </c>
      <c r="AF211" s="66" t="n">
        <v>0.6</v>
      </c>
      <c r="AG211" s="66" t="n">
        <v>0.52</v>
      </c>
      <c r="AH211" s="66" t="n">
        <v>2.16</v>
      </c>
      <c r="AI211" s="66" t="n">
        <v>0.56</v>
      </c>
      <c r="AJ211" s="66" t="n">
        <v>0.65</v>
      </c>
      <c r="AK211" s="66" t="n">
        <v>0.69</v>
      </c>
      <c r="AL211" s="66" t="n">
        <v>0.63</v>
      </c>
      <c r="AM211" s="66" t="n">
        <v>2.52</v>
      </c>
      <c r="AN211" s="66" t="n">
        <v>0.62</v>
      </c>
      <c r="AO211" s="66" t="n">
        <v>0.69</v>
      </c>
      <c r="AP211" s="66" t="n">
        <v>0.73</v>
      </c>
      <c r="AQ211" s="66" t="n">
        <v>0.69</v>
      </c>
      <c r="AR211" s="66" t="n">
        <v>2.72</v>
      </c>
      <c r="AS211" s="66" t="n">
        <v>0.65</v>
      </c>
      <c r="AT211" s="66" t="n">
        <v>0.6</v>
      </c>
      <c r="AU211" s="66" t="n">
        <v>0.72</v>
      </c>
      <c r="AV211" s="66" t="n">
        <v>0.68</v>
      </c>
      <c r="AW211" s="66" t="n">
        <v>2.64</v>
      </c>
      <c r="AX211" s="66" t="n">
        <v>0.7</v>
      </c>
      <c r="AY211" s="66" t="n">
        <v>0.81</v>
      </c>
      <c r="AZ211" s="66" t="n">
        <v>0.89</v>
      </c>
      <c r="BA211" s="66" t="n">
        <v>0.83</v>
      </c>
      <c r="BB211" s="66" t="n">
        <v>3.23</v>
      </c>
      <c r="BC211" s="66" t="n">
        <v>0.82</v>
      </c>
      <c r="BD211" s="66" t="n">
        <v>1</v>
      </c>
      <c r="BE211" s="66" t="n">
        <v>1.1</v>
      </c>
      <c r="BF211" s="66" t="n">
        <v>0.89</v>
      </c>
      <c r="BG211" s="66" t="n">
        <v>3.82</v>
      </c>
      <c r="BH211" s="66" t="n">
        <v>0.89</v>
      </c>
      <c r="BI211" s="66" t="n">
        <v>1.02</v>
      </c>
      <c r="BJ211" s="66" t="n">
        <v>1.17</v>
      </c>
      <c r="BK211" s="66" t="n">
        <v>1.11</v>
      </c>
      <c r="BL211" s="66" t="n">
        <v>4.19</v>
      </c>
      <c r="BM211" s="66" t="n">
        <v>1.04</v>
      </c>
      <c r="BN211" s="66" t="n">
        <v>1.24</v>
      </c>
      <c r="BO211" s="66" t="n">
        <v>1.35</v>
      </c>
      <c r="BP211" s="66" t="n">
        <v>1.16</v>
      </c>
      <c r="BQ211" s="66" t="n">
        <v>4.79</v>
      </c>
      <c r="BR211" s="66" t="n">
        <v>1.13</v>
      </c>
      <c r="BS211" s="66" t="n">
        <v>1.29</v>
      </c>
      <c r="BT211" s="66" t="n">
        <v>1.44</v>
      </c>
      <c r="BU211" s="66" t="n">
        <v>1.29</v>
      </c>
      <c r="BV211" s="66" t="n">
        <v>5.15</v>
      </c>
      <c r="BW211" s="66" t="n">
        <v>1.23</v>
      </c>
      <c r="BX211" s="66" t="n">
        <v>1.5</v>
      </c>
      <c r="BY211" s="67"/>
      <c r="BZ211" s="67"/>
      <c r="CA211" s="67"/>
      <c r="CB211" s="67"/>
      <c r="CC211" s="67"/>
      <c r="CD211" s="67"/>
      <c r="CE211" s="67"/>
      <c r="CF211" s="21"/>
    </row>
    <row r="212" customFormat="false" ht="15" hidden="true" customHeight="true" outlineLevel="1" collapsed="false">
      <c r="B212" s="46" t="s">
        <v>398</v>
      </c>
      <c r="C212" s="63" t="str">
        <f aca="false">IF(ISNUMBER(C211),ROUND(C210-C211,2),"n/p")</f>
        <v>n/p</v>
      </c>
      <c r="D212" s="63" t="str">
        <f aca="false">IF(ISNUMBER(D211),ROUND(D210-D211,2),"n/p")</f>
        <v>n/p</v>
      </c>
      <c r="E212" s="63" t="n">
        <f aca="false">IF(ISNUMBER(E211),ROUND(E210-E211,2),"n/p")</f>
        <v>0.02</v>
      </c>
      <c r="F212" s="63" t="n">
        <f aca="false">IF(ISNUMBER(F211),ROUND(F210-F211,2),"n/p")</f>
        <v>-0</v>
      </c>
      <c r="G212" s="63" t="n">
        <f aca="false">IF(ISNUMBER(G211),ROUND(G210-G211,2),"n/p")</f>
        <v>0</v>
      </c>
      <c r="H212" s="63" t="n">
        <f aca="false">IF(ISNUMBER(H211),ROUND(H210-H211,2),"n/p")</f>
        <v>-0</v>
      </c>
      <c r="I212" s="63" t="n">
        <f aca="false">IF(ISNUMBER(I211),ROUND(I210-I211,2),"n/p")</f>
        <v>0</v>
      </c>
      <c r="J212" s="63" t="n">
        <f aca="false">IF(ISNUMBER(J211),ROUND(J210-J211,2),"n/p")</f>
        <v>-0</v>
      </c>
      <c r="K212" s="63" t="n">
        <f aca="false">IF(ISNUMBER(K211),ROUND(K210-K211,2),"n/p")</f>
        <v>-0</v>
      </c>
      <c r="L212" s="63" t="n">
        <f aca="false">IF(ISNUMBER(L211),ROUND(L210-L211,2),"n/p")</f>
        <v>0</v>
      </c>
      <c r="M212" s="63" t="n">
        <f aca="false">IF(ISNUMBER(M211),ROUND(M210-M211,2),"n/p")</f>
        <v>-0</v>
      </c>
      <c r="N212" s="63" t="n">
        <f aca="false">IF(ISNUMBER(N211),ROUND(N210-N211,2),"n/p")</f>
        <v>-0</v>
      </c>
      <c r="O212" s="63" t="n">
        <f aca="false">IF(ISNUMBER(O211),ROUND(O210-O211,2),"n/p")</f>
        <v>-0</v>
      </c>
      <c r="P212" s="63" t="n">
        <f aca="false">IF(ISNUMBER(P211),ROUND(P210-P211,2),"n/p")</f>
        <v>0</v>
      </c>
      <c r="Q212" s="63" t="n">
        <f aca="false">IF(ISNUMBER(Q211),ROUND(Q210-Q211,2),"n/p")</f>
        <v>0</v>
      </c>
      <c r="R212" s="63" t="n">
        <f aca="false">IF(ISNUMBER(R211),ROUND(R210-R211,2),"n/p")</f>
        <v>-0</v>
      </c>
      <c r="S212" s="63" t="n">
        <f aca="false">IF(ISNUMBER(S211),ROUND(S210-S211,2),"n/p")</f>
        <v>-0</v>
      </c>
      <c r="T212" s="63" t="n">
        <f aca="false">IF(ISNUMBER(T211),ROUND(T210-T211,2),"n/p")</f>
        <v>-0</v>
      </c>
      <c r="U212" s="63" t="n">
        <f aca="false">IF(ISNUMBER(U211),ROUND(U210-U211,2),"n/p")</f>
        <v>-0</v>
      </c>
      <c r="V212" s="63" t="n">
        <f aca="false">IF(ISNUMBER(V211),ROUND(V210-V211,2),"n/p")</f>
        <v>-1.72</v>
      </c>
      <c r="W212" s="63" t="n">
        <f aca="false">IF(ISNUMBER(W211),ROUND(W210-W211,2),"n/p")</f>
        <v>-0</v>
      </c>
      <c r="X212" s="63" t="n">
        <f aca="false">IF(ISNUMBER(X211),ROUND(X210-X211,2),"n/p")</f>
        <v>0</v>
      </c>
      <c r="Y212" s="63" t="n">
        <f aca="false">IF(ISNUMBER(Y211),ROUND(Y210-Y211,2),"n/p")</f>
        <v>-0</v>
      </c>
      <c r="Z212" s="63" t="n">
        <f aca="false">IF(ISNUMBER(Z211),ROUND(Z210-Z211,2),"n/p")</f>
        <v>0</v>
      </c>
      <c r="AA212" s="63" t="n">
        <f aca="false">IF(ISNUMBER(AA211),ROUND(AA210-AA211,2),"n/p")</f>
        <v>-0</v>
      </c>
      <c r="AB212" s="63" t="n">
        <f aca="false">IF(ISNUMBER(AB211),ROUND(AB210-AB211,2),"n/p")</f>
        <v>0</v>
      </c>
      <c r="AC212" s="63" t="n">
        <f aca="false">IF(ISNUMBER(AC211),ROUND(AC210-AC211,2),"n/p")</f>
        <v>-0</v>
      </c>
      <c r="AD212" s="63" t="n">
        <f aca="false">IF(ISNUMBER(AD211),ROUND(AD210-AD211,2),"n/p")</f>
        <v>0</v>
      </c>
      <c r="AE212" s="63" t="n">
        <f aca="false">IF(ISNUMBER(AE211),ROUND(AE210-AE211,2),"n/p")</f>
        <v>0</v>
      </c>
      <c r="AF212" s="63" t="n">
        <f aca="false">IF(ISNUMBER(AF211),ROUND(AF210-AF211,2),"n/p")</f>
        <v>-0</v>
      </c>
      <c r="AG212" s="63" t="n">
        <f aca="false">IF(ISNUMBER(AG211),ROUND(AG210-AG211,2),"n/p")</f>
        <v>-0</v>
      </c>
      <c r="AH212" s="63" t="n">
        <f aca="false">IF(ISNUMBER(AH211),ROUND(AH210-AH211,2),"n/p")</f>
        <v>-0</v>
      </c>
      <c r="AI212" s="63" t="n">
        <f aca="false">IF(ISNUMBER(AI211),ROUND(AI210-AI211,2),"n/p")</f>
        <v>0</v>
      </c>
      <c r="AJ212" s="63" t="n">
        <f aca="false">IF(ISNUMBER(AJ211),ROUND(AJ210-AJ211,2),"n/p")</f>
        <v>0</v>
      </c>
      <c r="AK212" s="63" t="n">
        <f aca="false">IF(ISNUMBER(AK211),ROUND(AK210-AK211,2),"n/p")</f>
        <v>-0</v>
      </c>
      <c r="AL212" s="63" t="n">
        <f aca="false">IF(ISNUMBER(AL211),ROUND(AL210-AL211,2),"n/p")</f>
        <v>-0</v>
      </c>
      <c r="AM212" s="63" t="n">
        <f aca="false">IF(ISNUMBER(AM211),ROUND(AM210-AM211,2),"n/p")</f>
        <v>0</v>
      </c>
      <c r="AN212" s="63" t="n">
        <f aca="false">IF(ISNUMBER(AN211),ROUND(AN210-AN211,2),"n/p")</f>
        <v>0</v>
      </c>
      <c r="AO212" s="63" t="n">
        <f aca="false">IF(ISNUMBER(AO211),ROUND(AO210-AO211,2),"n/p")</f>
        <v>-0</v>
      </c>
      <c r="AP212" s="63" t="n">
        <f aca="false">IF(ISNUMBER(AP211),ROUND(AP210-AP211,2),"n/p")</f>
        <v>-0</v>
      </c>
      <c r="AQ212" s="63" t="n">
        <f aca="false">IF(ISNUMBER(AQ211),ROUND(AQ210-AQ211,2),"n/p")</f>
        <v>-0</v>
      </c>
      <c r="AR212" s="63" t="n">
        <f aca="false">IF(ISNUMBER(AR211),ROUND(AR210-AR211,2),"n/p")</f>
        <v>0</v>
      </c>
      <c r="AS212" s="63" t="n">
        <f aca="false">IF(ISNUMBER(AS211),ROUND(AS210-AS211,2),"n/p")</f>
        <v>-0</v>
      </c>
      <c r="AT212" s="63" t="n">
        <f aca="false">IF(ISNUMBER(AT211),ROUND(AT210-AT211,2),"n/p")</f>
        <v>-0</v>
      </c>
      <c r="AU212" s="63" t="n">
        <f aca="false">IF(ISNUMBER(AU211),ROUND(AU210-AU211,2),"n/p")</f>
        <v>-0</v>
      </c>
      <c r="AV212" s="63" t="n">
        <f aca="false">IF(ISNUMBER(AV211),ROUND(AV210-AV211,2),"n/p")</f>
        <v>-0</v>
      </c>
      <c r="AW212" s="63" t="n">
        <f aca="false">IF(ISNUMBER(AW211),ROUND(AW210-AW211,2),"n/p")</f>
        <v>-0</v>
      </c>
      <c r="AX212" s="63" t="n">
        <f aca="false">IF(ISNUMBER(AX211),ROUND(AX210-AX211,2),"n/p")</f>
        <v>0</v>
      </c>
      <c r="AY212" s="63" t="n">
        <f aca="false">IF(ISNUMBER(AY211),ROUND(AY210-AY211,2),"n/p")</f>
        <v>-0</v>
      </c>
      <c r="AZ212" s="63" t="n">
        <f aca="false">IF(ISNUMBER(AZ211),ROUND(AZ210-AZ211,2),"n/p")</f>
        <v>0</v>
      </c>
      <c r="BA212" s="63" t="n">
        <f aca="false">IF(ISNUMBER(BA211),ROUND(BA210-BA211,2),"n/p")</f>
        <v>0</v>
      </c>
      <c r="BB212" s="63" t="n">
        <f aca="false">IF(ISNUMBER(BB211),ROUND(BB210-BB211,2),"n/p")</f>
        <v>0</v>
      </c>
      <c r="BC212" s="63" t="n">
        <f aca="false">IF(ISNUMBER(BC211),ROUND(BC210-BC211,2),"n/p")</f>
        <v>0</v>
      </c>
      <c r="BD212" s="63" t="n">
        <f aca="false">IF(ISNUMBER(BD211),ROUND(BD210-BD211,2),"n/p")</f>
        <v>-0</v>
      </c>
      <c r="BE212" s="63" t="n">
        <f aca="false">IF(ISNUMBER(BE211),ROUND(BE210-BE211,2),"n/p")</f>
        <v>0</v>
      </c>
      <c r="BF212" s="63" t="n">
        <f aca="false">IF(ISNUMBER(BF211),ROUND(BF210-BF211,2),"n/p")</f>
        <v>0</v>
      </c>
      <c r="BG212" s="63" t="n">
        <f aca="false">IF(ISNUMBER(BG211),ROUND(BG210-BG211,2),"n/p")</f>
        <v>-0</v>
      </c>
      <c r="BH212" s="63" t="n">
        <f aca="false">IF(ISNUMBER(BH211),ROUND(BH210-BH211,2),"n/p")</f>
        <v>0</v>
      </c>
      <c r="BI212" s="63" t="n">
        <f aca="false">IF(ISNUMBER(BI211),ROUND(BI210-BI211,2),"n/p")</f>
        <v>-0</v>
      </c>
      <c r="BJ212" s="63" t="n">
        <f aca="false">IF(ISNUMBER(BJ211),ROUND(BJ210-BJ211,2),"n/p")</f>
        <v>0</v>
      </c>
      <c r="BK212" s="63" t="n">
        <f aca="false">IF(ISNUMBER(BK211),ROUND(BK210-BK211,2),"n/p")</f>
        <v>-0</v>
      </c>
      <c r="BL212" s="63" t="n">
        <f aca="false">IF(ISNUMBER(BL211),ROUND(BL210-BL211,2),"n/p")</f>
        <v>-0</v>
      </c>
      <c r="BM212" s="63" t="n">
        <f aca="false">IF(ISNUMBER(BM211),ROUND(BM210-BM211,2),"n/p")</f>
        <v>-0</v>
      </c>
      <c r="BN212" s="63" t="n">
        <f aca="false">IF(ISNUMBER(BN211),ROUND(BN210-BN211,2),"n/p")</f>
        <v>-0</v>
      </c>
      <c r="BO212" s="63" t="n">
        <f aca="false">IF(ISNUMBER(BO211),ROUND(BO210-BO211,2),"n/p")</f>
        <v>0</v>
      </c>
      <c r="BP212" s="63" t="n">
        <f aca="false">IF(ISNUMBER(BP211),ROUND(BP210-BP211,2),"n/p")</f>
        <v>0</v>
      </c>
      <c r="BQ212" s="63" t="n">
        <f aca="false">IF(ISNUMBER(BQ211),ROUND(BQ210-BQ211,2),"n/p")</f>
        <v>0</v>
      </c>
      <c r="BR212" s="63" t="n">
        <f aca="false">IF(ISNUMBER(BR211),ROUND(BR210-BR211,2),"n/p")</f>
        <v>0</v>
      </c>
      <c r="BS212" s="63" t="n">
        <f aca="false">IF(ISNUMBER(BS211),ROUND(BS210-BS211,2),"n/p")</f>
        <v>-0</v>
      </c>
      <c r="BT212" s="63" t="n">
        <f aca="false">IF(ISNUMBER(BT211),ROUND(BT210-BT211,2),"n/p")</f>
        <v>0</v>
      </c>
      <c r="BU212" s="63" t="n">
        <f aca="false">IF(ISNUMBER(BU211),ROUND(BU210-BU211,2),"n/p")</f>
        <v>-0</v>
      </c>
      <c r="BV212" s="63" t="n">
        <f aca="false">IF(ISNUMBER(BV211),ROUND(BV210-BV211,2),"n/p")</f>
        <v>-0</v>
      </c>
      <c r="BW212" s="63" t="n">
        <f aca="false">IF(ISNUMBER(BW211),ROUND(BW210-BW211,2),"n/p")</f>
        <v>0</v>
      </c>
      <c r="BX212" s="63" t="n">
        <f aca="false">IF(ISNUMBER(BX211),ROUND(BX210-BX211,2),"n/p")</f>
        <v>0</v>
      </c>
      <c r="BY212" s="67"/>
      <c r="BZ212" s="67"/>
      <c r="CA212" s="67"/>
      <c r="CB212" s="67"/>
      <c r="CC212" s="67"/>
      <c r="CD212" s="67"/>
      <c r="CE212" s="67"/>
      <c r="CF212" s="21" t="s">
        <v>399</v>
      </c>
    </row>
    <row r="213" customFormat="false" ht="15" hidden="true" customHeight="true" outlineLevel="1" collapsed="false">
      <c r="B213" s="68" t="s">
        <v>400</v>
      </c>
      <c r="C213" s="69"/>
      <c r="D213" s="69"/>
      <c r="E213" s="70" t="s">
        <v>401</v>
      </c>
      <c r="F213" s="69"/>
      <c r="G213" s="69"/>
      <c r="H213" s="69"/>
      <c r="I213" s="70" t="s">
        <v>402</v>
      </c>
      <c r="J213" s="69"/>
      <c r="K213" s="69"/>
      <c r="L213" s="70" t="s">
        <v>403</v>
      </c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70" t="s">
        <v>404</v>
      </c>
      <c r="AA213" s="69"/>
      <c r="AB213" s="69"/>
      <c r="AC213" s="69"/>
      <c r="AD213" s="69"/>
      <c r="AE213" s="69"/>
      <c r="AF213" s="69"/>
      <c r="AG213" s="70" t="s">
        <v>405</v>
      </c>
      <c r="AH213" s="69"/>
      <c r="AI213" s="69"/>
      <c r="AJ213" s="69"/>
      <c r="AK213" s="70" t="s">
        <v>366</v>
      </c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71"/>
      <c r="BZ213" s="71"/>
      <c r="CA213" s="71"/>
      <c r="CB213" s="71"/>
      <c r="CC213" s="71"/>
      <c r="CD213" s="71"/>
      <c r="CE213" s="71"/>
      <c r="CF213" s="21"/>
    </row>
    <row r="214" customFormat="false" ht="15" hidden="true" customHeight="true" outlineLevel="1" collapsed="false"/>
    <row r="215" customFormat="false" ht="15" hidden="true" customHeight="true" outlineLevel="1" collapsed="false">
      <c r="B215" s="12" t="s">
        <v>406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</row>
    <row r="216" customFormat="false" ht="15" hidden="true" customHeight="true" outlineLevel="1" collapsed="false">
      <c r="B216" s="34" t="s">
        <v>224</v>
      </c>
      <c r="C216" s="35"/>
      <c r="D216" s="36" t="n">
        <f aca="false">IF(AND(ISNUMBER(D128),ISNUMBER(C128)),IFERROR(D128/C128-1,""),"")</f>
        <v>0.162778369486895</v>
      </c>
      <c r="E216" s="36" t="n">
        <f aca="false">IF(AND(ISNUMBER(E128),ISNUMBER(D128)),IFERROR(E128/D128-1,""),"")</f>
        <v>0.0950006311675766</v>
      </c>
      <c r="F216" s="36" t="n">
        <f aca="false">IF(AND(ISNUMBER(F128),ISNUMBER(E128)),IFERROR(F128/E128-1,""),"")</f>
        <v>0.135089171810675</v>
      </c>
      <c r="G216" s="36" t="n">
        <f aca="false">IF(AND(ISNUMBER(G128),ISNUMBER(F128)),IFERROR(G128/F128-1,""),"")</f>
        <v>0.107742785126319</v>
      </c>
      <c r="H216" s="36" t="n">
        <f aca="false">IF(AND(ISNUMBER(H128),ISNUMBER(G128)),IFERROR(H128/G128-1,""),"")</f>
        <v>0.140638769106737</v>
      </c>
      <c r="I216" s="36" t="n">
        <f aca="false">IF(AND(ISNUMBER(I128),ISNUMBER(H128)),IFERROR(I128/H128-1,""),"")</f>
        <v>0.103796684660076</v>
      </c>
      <c r="J216" s="35"/>
      <c r="K216" s="35"/>
      <c r="L216" s="35"/>
      <c r="M216" s="35"/>
      <c r="N216" s="36" t="n">
        <f aca="false">IF(AND(ISNUMBER(N128),ISNUMBER(I128)),IFERROR(N128/I128-1,""),"")</f>
        <v>0.160793274988596</v>
      </c>
      <c r="O216" s="36" t="n">
        <f aca="false">IF(AND(ISNUMBER(O128),ISNUMBER(J128)),IFERROR(O128/J128-1,""),"")</f>
        <v>0.0707236403403484</v>
      </c>
      <c r="P216" s="36" t="n">
        <f aca="false">IF(AND(ISNUMBER(P128),ISNUMBER(K128)),IFERROR(P128/K128-1,""),"")</f>
        <v>0.0721564588735566</v>
      </c>
      <c r="Q216" s="36" t="n">
        <f aca="false">IF(AND(ISNUMBER(Q128),ISNUMBER(L128)),IFERROR(Q128/L128-1,""),"")</f>
        <v>0.085188803246725</v>
      </c>
      <c r="R216" s="36" t="n">
        <f aca="false">IF(AND(ISNUMBER(R128),ISNUMBER(M128)),IFERROR(R128/M128-1,""),"")</f>
        <v>0.0830168952224535</v>
      </c>
      <c r="S216" s="36" t="n">
        <f aca="false">IF(AND(ISNUMBER(S128),ISNUMBER(N128)),IFERROR(S128/N128-1,""),"")</f>
        <v>0.0779611104342348</v>
      </c>
      <c r="T216" s="36" t="n">
        <f aca="false">IF(AND(ISNUMBER(T128),ISNUMBER(O128)),IFERROR(T128/O128-1,""),"")</f>
        <v>0.0506321230615932</v>
      </c>
      <c r="U216" s="36" t="n">
        <f aca="false">IF(AND(ISNUMBER(U128),ISNUMBER(P128)),IFERROR(U128/P128-1,""),"")</f>
        <v>0.0126149958166013</v>
      </c>
      <c r="V216" s="36" t="n">
        <f aca="false">IF(AND(ISNUMBER(V128),ISNUMBER(Q128)),IFERROR(V128/Q128-1,""),"")</f>
        <v>0.00253773206891927</v>
      </c>
      <c r="W216" s="36" t="n">
        <f aca="false">IF(AND(ISNUMBER(W128),ISNUMBER(R128)),IFERROR(W128/R128-1,""),"")</f>
        <v>0.0108777244195786</v>
      </c>
      <c r="X216" s="36" t="n">
        <f aca="false">IF(AND(ISNUMBER(X128),ISNUMBER(S128)),IFERROR(X128/S128-1,""),"")</f>
        <v>0.0183347553778772</v>
      </c>
      <c r="Y216" s="36" t="n">
        <f aca="false">IF(AND(ISNUMBER(Y128),ISNUMBER(T128)),IFERROR(Y128/T128-1,""),"")</f>
        <v>0.0169531713100177</v>
      </c>
      <c r="Z216" s="36" t="n">
        <f aca="false">IF(AND(ISNUMBER(Z128),ISNUMBER(U128)),IFERROR(Z128/U128-1,""),"")</f>
        <v>0.369513581473786</v>
      </c>
      <c r="AA216" s="36" t="n">
        <f aca="false">IF(AND(ISNUMBER(AA128),ISNUMBER(V128)),IFERROR(AA128/V128-1,""),"")</f>
        <v>0.980008687114236</v>
      </c>
      <c r="AB216" s="36" t="n">
        <f aca="false">IF(AND(ISNUMBER(AB128),ISNUMBER(W128)),IFERROR(AB128/W128-1,""),"")</f>
        <v>0.971327431631942</v>
      </c>
      <c r="AC216" s="36" t="n">
        <f aca="false">IF(AND(ISNUMBER(AC128),ISNUMBER(X128)),IFERROR(AC128/X128-1,""),"")</f>
        <v>0.594428624933701</v>
      </c>
      <c r="AD216" s="36" t="n">
        <f aca="false">IF(AND(ISNUMBER(AD128),ISNUMBER(Y128)),IFERROR(AD128/Y128-1,""),"")</f>
        <v>1.12028056267972</v>
      </c>
      <c r="AE216" s="36" t="n">
        <f aca="false">IF(AND(ISNUMBER(AE128),ISNUMBER(Z128)),IFERROR(AE128/Z128-1,""),"")</f>
        <v>0.615593721611953</v>
      </c>
      <c r="AF216" s="36" t="n">
        <f aca="false">IF(AND(ISNUMBER(AF128),ISNUMBER(AA128)),IFERROR(AF128/AA128-1,""),"")</f>
        <v>0.112041234300715</v>
      </c>
      <c r="AG216" s="36" t="n">
        <f aca="false">IF(AND(ISNUMBER(AG128),ISNUMBER(AB128)),IFERROR(AG128/AB128-1,""),"")</f>
        <v>0.103519666762665</v>
      </c>
      <c r="AH216" s="36" t="n">
        <f aca="false">IF(AND(ISNUMBER(AH128),ISNUMBER(AC128)),IFERROR(AH128/AC128-1,""),"")</f>
        <v>0.371645709556342</v>
      </c>
      <c r="AI216" s="36" t="n">
        <f aca="false">IF(AND(ISNUMBER(AI128),ISNUMBER(AD128)),IFERROR(AI128/AD128-1,""),"")</f>
        <v>0.044778266710408</v>
      </c>
      <c r="AJ216" s="36" t="n">
        <f aca="false">IF(AND(ISNUMBER(AJ128),ISNUMBER(AE128)),IFERROR(AJ128/AE128-1,""),"")</f>
        <v>0.0547811315201405</v>
      </c>
      <c r="AK216" s="36" t="n">
        <f aca="false">IF(AND(ISNUMBER(AK128),ISNUMBER(AF128)),IFERROR(AK128/AF128-1,""),"")</f>
        <v>0.06185939569557</v>
      </c>
      <c r="AL216" s="36" t="n">
        <f aca="false">IF(AND(ISNUMBER(AL128),ISNUMBER(AG128)),IFERROR(AL128/AG128-1,""),"")</f>
        <v>0.0903553913625856</v>
      </c>
      <c r="AM216" s="36" t="n">
        <f aca="false">IF(AND(ISNUMBER(AM128),ISNUMBER(AH128)),IFERROR(AM128/AH128-1,""),"")</f>
        <v>0.063158137975954</v>
      </c>
      <c r="AN216" s="36" t="n">
        <f aca="false">IF(AND(ISNUMBER(AN128),ISNUMBER(AI128)),IFERROR(AN128/AI128-1,""),"")</f>
        <v>0.0916613968044022</v>
      </c>
      <c r="AO216" s="36" t="n">
        <f aca="false">IF(AND(ISNUMBER(AO128),ISNUMBER(AJ128)),IFERROR(AO128/AJ128-1,""),"")</f>
        <v>0.104576085834473</v>
      </c>
      <c r="AP216" s="36" t="n">
        <f aca="false">IF(AND(ISNUMBER(AP128),ISNUMBER(AK128)),IFERROR(AP128/AK128-1,""),"")</f>
        <v>0.102515787090882</v>
      </c>
      <c r="AQ216" s="36" t="n">
        <f aca="false">IF(AND(ISNUMBER(AQ128),ISNUMBER(AL128)),IFERROR(AQ128/AL128-1,""),"")</f>
        <v>0.0794368376168633</v>
      </c>
      <c r="AR216" s="36" t="n">
        <f aca="false">IF(AND(ISNUMBER(AR128),ISNUMBER(AM128)),IFERROR(AR128/AM128-1,""),"")</f>
        <v>0.0946056432526818</v>
      </c>
      <c r="AS216" s="36" t="n">
        <f aca="false">IF(AND(ISNUMBER(AS128),ISNUMBER(AN128)),IFERROR(AS128/AN128-1,""),"")</f>
        <v>0.0865850846471703</v>
      </c>
      <c r="AT216" s="36" t="n">
        <f aca="false">IF(AND(ISNUMBER(AT128),ISNUMBER(AO128)),IFERROR(AT128/AO128-1,""),"")</f>
        <v>-0.0466232342975047</v>
      </c>
      <c r="AU216" s="36" t="n">
        <f aca="false">IF(AND(ISNUMBER(AU128),ISNUMBER(AP128)),IFERROR(AU128/AP128-1,""),"")</f>
        <v>-0.0162073682213242</v>
      </c>
      <c r="AV216" s="36" t="n">
        <f aca="false">IF(AND(ISNUMBER(AV128),ISNUMBER(AQ128)),IFERROR(AV128/AQ128-1,""),"")</f>
        <v>0.0266461570090164</v>
      </c>
      <c r="AW216" s="36" t="n">
        <f aca="false">IF(AND(ISNUMBER(AW128),ISNUMBER(AR128)),IFERROR(AW128/AR128-1,""),"")</f>
        <v>0.0106354451619775</v>
      </c>
      <c r="AX216" s="36" t="n">
        <f aca="false">IF(AND(ISNUMBER(AX128),ISNUMBER(AS128)),IFERROR(AX128/AS128-1,""),"")</f>
        <v>0.032193042907297</v>
      </c>
      <c r="AY216" s="36" t="n">
        <f aca="false">IF(AND(ISNUMBER(AY128),ISNUMBER(AT128)),IFERROR(AY128/AT128-1,""),"")</f>
        <v>0.174722120537732</v>
      </c>
      <c r="AZ216" s="36" t="n">
        <f aca="false">IF(AND(ISNUMBER(AZ128),ISNUMBER(AU128)),IFERROR(AZ128/AU128-1,""),"")</f>
        <v>0.149412184646562</v>
      </c>
      <c r="BA216" s="36" t="n">
        <f aca="false">IF(AND(ISNUMBER(BA128),ISNUMBER(AV128)),IFERROR(BA128/AV128-1,""),"")</f>
        <v>0.161679126279902</v>
      </c>
      <c r="BB216" s="36" t="n">
        <f aca="false">IF(AND(ISNUMBER(BB128),ISNUMBER(AW128)),IFERROR(BB128/AW128-1,""),"")</f>
        <v>0.129521170622789</v>
      </c>
      <c r="BC216" s="36" t="n">
        <f aca="false">IF(AND(ISNUMBER(BC128),ISNUMBER(AX128)),IFERROR(BC128/AX128-1,""),"")</f>
        <v>0.17931475663029</v>
      </c>
      <c r="BD216" s="36" t="n">
        <f aca="false">IF(AND(ISNUMBER(BD128),ISNUMBER(AY128)),IFERROR(BD128/AY128-1,""),"")</f>
        <v>0.184169952885756</v>
      </c>
      <c r="BE216" s="36" t="n">
        <f aca="false">IF(AND(ISNUMBER(BE128),ISNUMBER(AZ128)),IFERROR(BE128/AZ128-1,""),"")</f>
        <v>0.177000791400779</v>
      </c>
      <c r="BF216" s="36" t="n">
        <f aca="false">IF(AND(ISNUMBER(BF128),ISNUMBER(BA128)),IFERROR(BF128/BA128-1,""),"")</f>
        <v>0.150821359597468</v>
      </c>
      <c r="BG216" s="36" t="n">
        <f aca="false">IF(AND(ISNUMBER(BG128),ISNUMBER(BB128)),IFERROR(BG128/BB128-1,""),"")</f>
        <v>0.172400546805821</v>
      </c>
      <c r="BH216" s="36" t="n">
        <f aca="false">IF(AND(ISNUMBER(BH128),ISNUMBER(BC128)),IFERROR(BH128/BC128-1,""),"")</f>
        <v>0.154440229490571</v>
      </c>
      <c r="BI216" s="36" t="n">
        <f aca="false">IF(AND(ISNUMBER(BI128),ISNUMBER(BD128)),IFERROR(BI128/BD128-1,""),"")</f>
        <v>0.112671248902383</v>
      </c>
      <c r="BJ216" s="36" t="n">
        <f aca="false">IF(AND(ISNUMBER(BJ128),ISNUMBER(BE128)),IFERROR(BJ128/BE128-1,""),"")</f>
        <v>0.098345202961059</v>
      </c>
      <c r="BK216" s="36" t="n">
        <f aca="false">IF(AND(ISNUMBER(BK128),ISNUMBER(BF128)),IFERROR(BK128/BF128-1,""),"")</f>
        <v>0.0889680153169554</v>
      </c>
      <c r="BL216" s="36" t="n">
        <f aca="false">IF(AND(ISNUMBER(BL128),ISNUMBER(BG128)),IFERROR(BL128/BG128-1,""),"")</f>
        <v>0.112327764588853</v>
      </c>
      <c r="BM216" s="36" t="n">
        <f aca="false">IF(AND(ISNUMBER(BM128),ISNUMBER(BH128)),IFERROR(BM128/BH128-1,""),"")</f>
        <v>0.0905812829550914</v>
      </c>
      <c r="BN216" s="36" t="n">
        <f aca="false">IF(AND(ISNUMBER(BN128),ISNUMBER(BI128)),IFERROR(BN128/BI128-1,""),"")</f>
        <v>0.112350483277629</v>
      </c>
      <c r="BO216" s="36" t="n">
        <f aca="false">IF(AND(ISNUMBER(BO128),ISNUMBER(BJ128)),IFERROR(BO128/BJ128-1,""),"")</f>
        <v>0.132580116469645</v>
      </c>
      <c r="BP216" s="36" t="n">
        <f aca="false">IF(AND(ISNUMBER(BP128),ISNUMBER(BK128)),IFERROR(BP128/BK128-1,""),"")</f>
        <v>0.110371883794972</v>
      </c>
      <c r="BQ216" s="36" t="n">
        <f aca="false">IF(AND(ISNUMBER(BQ128),ISNUMBER(BL128)),IFERROR(BQ128/BL128-1,""),"")</f>
        <v>0.111897965968628</v>
      </c>
      <c r="BR216" s="36" t="n">
        <f aca="false">IF(AND(ISNUMBER(BR128),ISNUMBER(BM128)),IFERROR(BR128/BM128-1,""),"")</f>
        <v>0.0750357150955805</v>
      </c>
      <c r="BS216" s="36" t="n">
        <f aca="false">IF(AND(ISNUMBER(BS128),ISNUMBER(BN128)),IFERROR(BS128/BN128-1,""),"")</f>
        <v>0.0706749412632339</v>
      </c>
      <c r="BT216" s="36" t="n">
        <f aca="false">IF(AND(ISNUMBER(BT128),ISNUMBER(BO128)),IFERROR(BT128/BO128-1,""),"")</f>
        <v>0.0512681698601833</v>
      </c>
      <c r="BU216" s="36" t="n">
        <f aca="false">IF(AND(ISNUMBER(BU128),ISNUMBER(BP128)),IFERROR(BU128/BP128-1,""),"")</f>
        <v>0.0500039154389076</v>
      </c>
      <c r="BV216" s="36" t="n">
        <f aca="false">IF(AND(ISNUMBER(BV128),ISNUMBER(BQ128)),IFERROR(BV128/BQ128-1,""),"")</f>
        <v>0.0613620063969302</v>
      </c>
      <c r="BW216" s="36" t="n">
        <f aca="false">IF(AND(ISNUMBER(BW128),ISNUMBER(BR128)),IFERROR(BW128/BR128-1,""),"")</f>
        <v>0.0639334594753735</v>
      </c>
      <c r="BX216" s="36" t="n">
        <f aca="false">IF(AND(ISNUMBER(BX128),ISNUMBER(BS128)),IFERROR(BX128/BS128-1,""),"")</f>
        <v>0.0642079221289087</v>
      </c>
      <c r="BY216" s="37" t="n">
        <f aca="false">IFERROR(BY128/BT128-1,"")</f>
        <v>0.0562942245241904</v>
      </c>
      <c r="BZ216" s="37" t="n">
        <f aca="false">IFERROR(BZ128/BU128-1,"")</f>
        <v>0.0559074627977474</v>
      </c>
      <c r="CA216" s="37" t="n">
        <f aca="false">IFERROR(CA128/BV128-1,"")</f>
        <v>0.0600074047353334</v>
      </c>
      <c r="CB216" s="37" t="n">
        <f aca="false">IFERROR(CB128/CA128-1,"")</f>
        <v>0.0616113949826476</v>
      </c>
      <c r="CC216" s="37" t="n">
        <f aca="false">IFERROR(CC128/CB128-1,"")</f>
        <v>0.0801342186367369</v>
      </c>
      <c r="CD216" s="37" t="n">
        <f aca="false">IFERROR(CD128/CC128-1,"")</f>
        <v>0.0791695836720456</v>
      </c>
      <c r="CE216" s="37" t="n">
        <f aca="false">IFERROR(CE128/CD128-1,"")</f>
        <v>0.0748037531733097</v>
      </c>
      <c r="CF216" s="21"/>
    </row>
    <row r="217" customFormat="false" ht="15" hidden="true" customHeight="true" outlineLevel="1" collapsed="false">
      <c r="B217" s="34" t="s">
        <v>407</v>
      </c>
      <c r="C217" s="36" t="n">
        <f aca="false">C31</f>
        <v>0.076</v>
      </c>
      <c r="D217" s="36" t="n">
        <f aca="false">D31</f>
        <v>0.104</v>
      </c>
      <c r="E217" s="36" t="n">
        <f aca="false">E31</f>
        <v>0.03</v>
      </c>
      <c r="F217" s="36" t="n">
        <f aca="false">F31</f>
        <v>-0.06</v>
      </c>
      <c r="G217" s="36" t="n">
        <f aca="false">G31</f>
        <v>0.055</v>
      </c>
      <c r="H217" s="36" t="n">
        <f aca="false">H31</f>
        <v>0.047</v>
      </c>
      <c r="I217" s="36" t="n">
        <f aca="false">I31</f>
        <v>-0.001</v>
      </c>
      <c r="J217" s="36" t="n">
        <f aca="false">J31</f>
        <v>0.007</v>
      </c>
      <c r="K217" s="36" t="n">
        <f aca="false">K31</f>
        <v>0.029</v>
      </c>
      <c r="L217" s="36" t="n">
        <f aca="false">L31</f>
        <v>0.049</v>
      </c>
      <c r="M217" s="36" t="n">
        <f aca="false">M31</f>
        <v>0.038</v>
      </c>
      <c r="N217" s="36" t="n">
        <f aca="false">N31</f>
        <v>0.031</v>
      </c>
      <c r="O217" s="36" t="n">
        <f aca="false">O31</f>
        <v>0.048</v>
      </c>
      <c r="P217" s="36" t="n">
        <f aca="false">P31</f>
        <v>0.035</v>
      </c>
      <c r="Q217" s="36" t="n">
        <f aca="false">Q31</f>
        <v>0.044</v>
      </c>
      <c r="R217" s="36" t="n">
        <f aca="false">R31</f>
        <v>0.046</v>
      </c>
      <c r="S217" s="36" t="n">
        <f aca="false">S31</f>
        <v>0.043</v>
      </c>
      <c r="T217" s="36" t="n">
        <f aca="false">T31</f>
        <v>0.036</v>
      </c>
      <c r="U217" s="36" t="n">
        <f aca="false">U31</f>
        <v>0.047</v>
      </c>
      <c r="V217" s="36" t="n">
        <f aca="false">V31</f>
        <v>0.046</v>
      </c>
      <c r="W217" s="36" t="n">
        <f aca="false">W31</f>
        <v>0.044</v>
      </c>
      <c r="X217" s="36" t="n">
        <f aca="false">X31</f>
        <v>0.042</v>
      </c>
      <c r="Y217" s="36" t="n">
        <f aca="false">Y31</f>
        <v>0.057</v>
      </c>
      <c r="Z217" s="36" t="n">
        <f aca="false">Z31</f>
        <v>0.049</v>
      </c>
      <c r="AA217" s="36" t="n">
        <f aca="false">AA31</f>
        <v>0.038</v>
      </c>
      <c r="AB217" s="36" t="n">
        <f aca="false">AB31</f>
        <v>0.04</v>
      </c>
      <c r="AC217" s="36" t="n">
        <f aca="false">AC31</f>
        <v>0.045</v>
      </c>
      <c r="AD217" s="36" t="n">
        <f aca="false">AD31</f>
        <v>0.062</v>
      </c>
      <c r="AE217" s="36" t="n">
        <f aca="false">AE31</f>
        <v>0.06</v>
      </c>
      <c r="AF217" s="36" t="n">
        <f aca="false">AF31</f>
        <v>0.053</v>
      </c>
      <c r="AG217" s="36" t="n">
        <f aca="false">AG31</f>
        <v>0.048</v>
      </c>
      <c r="AH217" s="36" t="n">
        <f aca="false">AH31</f>
        <v>0.051</v>
      </c>
      <c r="AI217" s="36" t="n">
        <f aca="false">AI31</f>
        <v>0.02</v>
      </c>
      <c r="AJ217" s="36" t="n">
        <f aca="false">AJ31</f>
        <v>0.016</v>
      </c>
      <c r="AK217" s="36" t="n">
        <f aca="false">AK31</f>
        <v>0.019</v>
      </c>
      <c r="AL217" s="36" t="n">
        <f aca="false">AL31</f>
        <v>0.035</v>
      </c>
      <c r="AM217" s="36" t="n">
        <f aca="false">AM31</f>
        <v>0.022</v>
      </c>
      <c r="AN217" s="36" t="n">
        <f aca="false">AN31</f>
        <v>0.028</v>
      </c>
      <c r="AO217" s="36" t="n">
        <f aca="false">AO31</f>
        <v>0.048</v>
      </c>
      <c r="AP217" s="36" t="n">
        <f aca="false">AP31</f>
        <v>0.051</v>
      </c>
      <c r="AQ217" s="36" t="n">
        <f aca="false">AQ31</f>
        <v>0.032</v>
      </c>
      <c r="AR217" s="36" t="n">
        <f aca="false">AR31</f>
        <v>0.043</v>
      </c>
      <c r="AS217" s="36" t="n">
        <f aca="false">AS31</f>
        <v>0.047</v>
      </c>
      <c r="AT217" s="36" t="n">
        <f aca="false">AT31</f>
        <v>-0.058</v>
      </c>
      <c r="AU217" s="36" t="n">
        <f aca="false">AU31</f>
        <v>-0.019</v>
      </c>
      <c r="AV217" s="36" t="n">
        <f aca="false">AV31</f>
        <v>0.014</v>
      </c>
      <c r="AW217" s="36" t="n">
        <f aca="false">AW31</f>
        <v>-0.004</v>
      </c>
      <c r="AX217" s="36" t="n">
        <f aca="false">AX31</f>
        <v>0.026</v>
      </c>
      <c r="AY217" s="36" t="n">
        <f aca="false">AY31</f>
        <v>0.144</v>
      </c>
      <c r="AZ217" s="36" t="n">
        <f aca="false">AZ31</f>
        <v>0.101</v>
      </c>
      <c r="BA217" s="36" t="n">
        <f aca="false">BA31</f>
        <v>0.1</v>
      </c>
      <c r="BB217" s="36" t="n">
        <f aca="false">BB31</f>
        <v>0.093</v>
      </c>
      <c r="BC217" s="36" t="n">
        <f aca="false">BC31</f>
        <v>0.087</v>
      </c>
      <c r="BD217" s="36" t="n">
        <f aca="false">BD31</f>
        <v>0.08</v>
      </c>
      <c r="BE217" s="36" t="n">
        <f aca="false">BE31</f>
        <v>0.068</v>
      </c>
      <c r="BF217" s="36" t="n">
        <f aca="false">BF31</f>
        <v>0.043</v>
      </c>
      <c r="BG217" s="36" t="n">
        <f aca="false">BG31</f>
        <v>0.069</v>
      </c>
      <c r="BH217" s="36" t="n">
        <f aca="false">BH31</f>
        <v>0.077</v>
      </c>
      <c r="BI217" s="36" t="n">
        <f aca="false">BI31</f>
        <v>0.05</v>
      </c>
      <c r="BJ217" s="36" t="n">
        <f aca="false">BJ31</f>
        <v>0.044</v>
      </c>
      <c r="BK217" s="36" t="n">
        <f aca="false">BK31</f>
        <v>0.063</v>
      </c>
      <c r="BL217" s="36" t="n">
        <f aca="false">BL31</f>
        <v>0.057</v>
      </c>
      <c r="BM217" s="36" t="n">
        <f aca="false">BM31</f>
        <v>0.041</v>
      </c>
      <c r="BN217" s="36" t="n">
        <f aca="false">BN31</f>
        <v>0.046</v>
      </c>
      <c r="BO217" s="36" t="n">
        <f aca="false">BO31</f>
        <v>0.054</v>
      </c>
      <c r="BP217" s="36" t="n">
        <f aca="false">BP31</f>
        <v>0.029</v>
      </c>
      <c r="BQ217" s="36" t="n">
        <f aca="false">BQ31</f>
        <v>0.042</v>
      </c>
      <c r="BR217" s="36" t="n">
        <f aca="false">BR31</f>
        <v>0.022</v>
      </c>
      <c r="BS217" s="36" t="n">
        <f aca="false">BS31</f>
        <v>0.024</v>
      </c>
      <c r="BT217" s="36" t="n">
        <f aca="false">BT31</f>
        <v>0.018</v>
      </c>
      <c r="BU217" s="36" t="n">
        <f aca="false">BU31</f>
        <v>0.026</v>
      </c>
      <c r="BV217" s="36" t="n">
        <f aca="false">BV31</f>
        <v>0.02</v>
      </c>
      <c r="BW217" s="36" t="n">
        <f aca="false">BW31</f>
        <v>0.031</v>
      </c>
      <c r="BX217" s="36" t="n">
        <f aca="false">BX31</f>
        <v>0.036</v>
      </c>
      <c r="BY217" s="39"/>
      <c r="BZ217" s="39"/>
      <c r="CA217" s="39"/>
      <c r="CB217" s="37" t="n">
        <f aca="false">CB31</f>
        <v>0.0425</v>
      </c>
      <c r="CC217" s="37" t="n">
        <f aca="false">CC31</f>
        <v>0.045</v>
      </c>
      <c r="CD217" s="37" t="n">
        <f aca="false">CD31</f>
        <v>0.0475</v>
      </c>
      <c r="CE217" s="37" t="n">
        <f aca="false">CE31</f>
        <v>0.045</v>
      </c>
      <c r="CF217" s="21"/>
    </row>
    <row r="218" customFormat="false" ht="15" hidden="true" customHeight="true" outlineLevel="1" collapsed="false">
      <c r="B218" s="34" t="s">
        <v>408</v>
      </c>
      <c r="C218" s="36" t="n">
        <f aca="false">C24</f>
        <v>0.051</v>
      </c>
      <c r="D218" s="36" t="n">
        <f aca="false">D24</f>
        <v>0.047</v>
      </c>
      <c r="E218" s="36" t="n">
        <f aca="false">E24</f>
        <v>0.056</v>
      </c>
      <c r="F218" s="36" t="n">
        <f aca="false">F24</f>
        <v>0.048</v>
      </c>
      <c r="G218" s="36" t="n">
        <f aca="false">G24</f>
        <v>0.027</v>
      </c>
      <c r="H218" s="36" t="n">
        <f aca="false">H24</f>
        <v>0.036</v>
      </c>
      <c r="I218" s="36" t="n">
        <f aca="false">I24</f>
        <v>0.032</v>
      </c>
      <c r="J218" s="36" t="n">
        <f aca="false">J24</f>
        <v>0.028</v>
      </c>
      <c r="K218" s="36" t="n">
        <f aca="false">K24</f>
        <v>0.026</v>
      </c>
      <c r="L218" s="36" t="n">
        <f aca="false">L24</f>
        <v>0.024</v>
      </c>
      <c r="M218" s="36" t="n">
        <f aca="false">M24</f>
        <v>0.026</v>
      </c>
      <c r="N218" s="36" t="n">
        <f aca="false">N24</f>
        <v>0.026</v>
      </c>
      <c r="O218" s="36" t="n">
        <f aca="false">O24</f>
        <v>0.029</v>
      </c>
      <c r="P218" s="36" t="n">
        <f aca="false">P24</f>
        <v>0.026</v>
      </c>
      <c r="Q218" s="36" t="n">
        <f aca="false">Q24</f>
        <v>0.028</v>
      </c>
      <c r="R218" s="36" t="n">
        <f aca="false">R24</f>
        <v>0.029</v>
      </c>
      <c r="S218" s="36" t="n">
        <f aca="false">S24</f>
        <v>0.028</v>
      </c>
      <c r="T218" s="36" t="n">
        <f aca="false">T24</f>
        <v>0.028</v>
      </c>
      <c r="U218" s="36" t="n">
        <f aca="false">U24</f>
        <v>0.029</v>
      </c>
      <c r="V218" s="36" t="n">
        <f aca="false">V24</f>
        <v>0.027</v>
      </c>
      <c r="W218" s="36" t="n">
        <f aca="false">W24</f>
        <v>0.029</v>
      </c>
      <c r="X218" s="36" t="n">
        <f aca="false">X24</f>
        <v>0.028</v>
      </c>
      <c r="Y218" s="36" t="n">
        <f aca="false">Y24</f>
        <v>0.031</v>
      </c>
      <c r="Z218" s="36" t="n">
        <f aca="false">Z24</f>
        <v>0.029</v>
      </c>
      <c r="AA218" s="36" t="n">
        <f aca="false">AA24</f>
        <v>0.026</v>
      </c>
      <c r="AB218" s="36" t="n">
        <f aca="false">AB24</f>
        <v>0.027</v>
      </c>
      <c r="AC218" s="36" t="n">
        <f aca="false">AC24</f>
        <v>0.028</v>
      </c>
      <c r="AD218" s="36" t="n">
        <f aca="false">AD24</f>
        <v>0.026</v>
      </c>
      <c r="AE218" s="36" t="n">
        <f aca="false">AE24</f>
        <v>0.031</v>
      </c>
      <c r="AF218" s="36" t="n">
        <f aca="false">AF24</f>
        <v>0.033</v>
      </c>
      <c r="AG218" s="36" t="n">
        <f aca="false">AG24</f>
        <v>0.035</v>
      </c>
      <c r="AH218" s="36" t="n">
        <f aca="false">AH24</f>
        <v>0.031</v>
      </c>
      <c r="AI218" s="36" t="n">
        <f aca="false">AI24</f>
        <v>0.041</v>
      </c>
      <c r="AJ218" s="36" t="n">
        <f aca="false">AJ24</f>
        <v>0.039</v>
      </c>
      <c r="AK218" s="36" t="n">
        <f aca="false">AK24</f>
        <v>0.04</v>
      </c>
      <c r="AL218" s="36" t="n">
        <f aca="false">AL24</f>
        <v>0.044</v>
      </c>
      <c r="AM218" s="36" t="n">
        <f aca="false">AM24</f>
        <v>0.041</v>
      </c>
      <c r="AN218" s="36" t="n">
        <f aca="false">AN24</f>
        <v>0.05</v>
      </c>
      <c r="AO218" s="36" t="n">
        <f aca="false">AO24</f>
        <v>0.05</v>
      </c>
      <c r="AP218" s="36" t="n">
        <f aca="false">AP24</f>
        <v>0.051</v>
      </c>
      <c r="AQ218" s="36" t="n">
        <f aca="false">AQ24</f>
        <v>0.054</v>
      </c>
      <c r="AR218" s="36" t="n">
        <f aca="false">AR24</f>
        <v>0.051</v>
      </c>
      <c r="AS218" s="36" t="n">
        <f aca="false">AS24</f>
        <v>0.055</v>
      </c>
      <c r="AT218" s="36" t="n">
        <f aca="false">AT24</f>
        <v>0.045</v>
      </c>
      <c r="AU218" s="36" t="n">
        <f aca="false">AU24</f>
        <v>0.041</v>
      </c>
      <c r="AV218" s="36" t="n">
        <f aca="false">AV24</f>
        <v>0.043</v>
      </c>
      <c r="AW218" s="36" t="n">
        <f aca="false">AW24</f>
        <v>0.045</v>
      </c>
      <c r="AX218" s="36" t="n">
        <f aca="false">AX24</f>
        <v>0.045</v>
      </c>
      <c r="AY218" s="36" t="n">
        <f aca="false">AY24</f>
        <v>0.047</v>
      </c>
      <c r="AZ218" s="36" t="n">
        <f aca="false">AZ24</f>
        <v>0.047</v>
      </c>
      <c r="BA218" s="36" t="n">
        <f aca="false">BA24</f>
        <v>0.05</v>
      </c>
      <c r="BB218" s="36" t="n">
        <f aca="false">BB24</f>
        <v>0.047</v>
      </c>
      <c r="BC218" s="36" t="n">
        <f aca="false">BC24</f>
        <v>0.063</v>
      </c>
      <c r="BD218" s="36" t="n">
        <f aca="false">BD24</f>
        <v>0.072</v>
      </c>
      <c r="BE218" s="36" t="n">
        <f aca="false">BE24</f>
        <v>0.083</v>
      </c>
      <c r="BF218" s="36" t="n">
        <f aca="false">BF24</f>
        <v>0.09</v>
      </c>
      <c r="BG218" s="36" t="n">
        <f aca="false">BG24</f>
        <v>0.077</v>
      </c>
      <c r="BH218" s="36" t="n">
        <f aca="false">BH24</f>
        <v>0.11</v>
      </c>
      <c r="BI218" s="36" t="n">
        <f aca="false">BI24</f>
        <v>0.098</v>
      </c>
      <c r="BJ218" s="36" t="n">
        <f aca="false">BJ24</f>
        <v>0.088</v>
      </c>
      <c r="BK218" s="36" t="n">
        <f aca="false">BK24</f>
        <v>0.087</v>
      </c>
      <c r="BL218" s="36" t="n">
        <f aca="false">BL24</f>
        <v>0.095</v>
      </c>
      <c r="BM218" s="36" t="n">
        <f aca="false">BM24</f>
        <v>0.078</v>
      </c>
      <c r="BN218" s="36" t="n">
        <f aca="false">BN24</f>
        <v>0.07</v>
      </c>
      <c r="BO218" s="36" t="n">
        <f aca="false">BO24</f>
        <v>0.068</v>
      </c>
      <c r="BP218" s="36" t="n">
        <f aca="false">BP24</f>
        <v>0.067</v>
      </c>
      <c r="BQ218" s="36" t="n">
        <f aca="false">BQ24</f>
        <v>0.071</v>
      </c>
      <c r="BR218" s="36" t="n">
        <f aca="false">BR24</f>
        <v>0.069</v>
      </c>
      <c r="BS218" s="36" t="n">
        <f aca="false">BS24</f>
        <v>0.066</v>
      </c>
      <c r="BT218" s="36" t="n">
        <f aca="false">BT24</f>
        <v>0.063</v>
      </c>
      <c r="BU218" s="36" t="n">
        <f aca="false">BU24</f>
        <v>0.064</v>
      </c>
      <c r="BV218" s="36" t="n">
        <f aca="false">BV24</f>
        <v>0.065</v>
      </c>
      <c r="BW218" s="36" t="n">
        <f aca="false">BW24</f>
        <v>0.06</v>
      </c>
      <c r="BX218" s="36" t="n">
        <f aca="false">BX24</f>
        <v>0.056</v>
      </c>
      <c r="BY218" s="39"/>
      <c r="BZ218" s="39"/>
      <c r="CA218" s="39"/>
      <c r="CB218" s="37" t="n">
        <f aca="false">CB24</f>
        <v>0.0475</v>
      </c>
      <c r="CC218" s="37" t="n">
        <f aca="false">CC24</f>
        <v>0.045</v>
      </c>
      <c r="CD218" s="37" t="n">
        <f aca="false">CD24</f>
        <v>0.0425</v>
      </c>
      <c r="CE218" s="37" t="n">
        <f aca="false">CE24</f>
        <v>0.04</v>
      </c>
      <c r="CF218" s="21"/>
    </row>
    <row r="219" customFormat="false" ht="15" hidden="true" customHeight="true" outlineLevel="1" collapsed="false">
      <c r="B219" s="34" t="s">
        <v>409</v>
      </c>
      <c r="C219" s="36" t="n">
        <f aca="false">C26</f>
        <v>0.028</v>
      </c>
      <c r="D219" s="36" t="n">
        <f aca="false">D26</f>
        <v>0.04</v>
      </c>
      <c r="E219" s="36" t="n">
        <f aca="false">E26</f>
        <v>-0.019</v>
      </c>
      <c r="F219" s="36" t="n">
        <f aca="false">F26</f>
        <v>-0.062</v>
      </c>
      <c r="G219" s="36" t="n">
        <f aca="false">G26</f>
        <v>0</v>
      </c>
      <c r="H219" s="36" t="n">
        <f aca="false">H26</f>
        <v>-0.003</v>
      </c>
      <c r="I219" s="36" t="n">
        <f aca="false">I26</f>
        <v>-0.021</v>
      </c>
      <c r="J219" s="36" t="n">
        <f aca="false">J26</f>
        <v>-0.019</v>
      </c>
      <c r="K219" s="36" t="n">
        <f aca="false">K26</f>
        <v>0.009</v>
      </c>
      <c r="L219" s="36" t="n">
        <f aca="false">L26</f>
        <v>0.022</v>
      </c>
      <c r="M219" s="36" t="n">
        <f aca="false">M26</f>
        <v>0.014</v>
      </c>
      <c r="N219" s="36" t="n">
        <f aca="false">N26</f>
        <v>0.007</v>
      </c>
      <c r="O219" s="36" t="n">
        <f aca="false">O26</f>
        <v>0.025</v>
      </c>
      <c r="P219" s="36" t="n">
        <f aca="false">P26</f>
        <v>0.015</v>
      </c>
      <c r="Q219" s="36" t="n">
        <f aca="false">Q26</f>
        <v>0.021</v>
      </c>
      <c r="R219" s="36" t="n">
        <f aca="false">R26</f>
        <v>0.023</v>
      </c>
      <c r="S219" s="36" t="n">
        <f aca="false">S26</f>
        <v>0.021</v>
      </c>
      <c r="T219" s="36" t="n">
        <f aca="false">T26</f>
        <v>0.016</v>
      </c>
      <c r="U219" s="36" t="n">
        <f aca="false">U26</f>
        <v>0.024</v>
      </c>
      <c r="V219" s="36" t="n">
        <f aca="false">V26</f>
        <v>0.026</v>
      </c>
      <c r="W219" s="36" t="n">
        <f aca="false">W26</f>
        <v>0.024</v>
      </c>
      <c r="X219" s="36" t="n">
        <f aca="false">X26</f>
        <v>0.022</v>
      </c>
      <c r="Y219" s="36" t="n">
        <f aca="false">Y26</f>
        <v>0.032</v>
      </c>
      <c r="Z219" s="36" t="n">
        <f aca="false">Z26</f>
        <v>0.024</v>
      </c>
      <c r="AA219" s="36" t="n">
        <f aca="false">AA26</f>
        <v>0.011</v>
      </c>
      <c r="AB219" s="36" t="n">
        <f aca="false">AB26</f>
        <v>0.01</v>
      </c>
      <c r="AC219" s="36" t="n">
        <f aca="false">AC26</f>
        <v>0.019</v>
      </c>
      <c r="AD219" s="36" t="n">
        <f aca="false">AD26</f>
        <v>0.021</v>
      </c>
      <c r="AE219" s="36" t="n">
        <f aca="false">AE26</f>
        <v>0.02</v>
      </c>
      <c r="AF219" s="36" t="n">
        <f aca="false">AF26</f>
        <v>0.005</v>
      </c>
      <c r="AG219" s="36" t="n">
        <f aca="false">AG26</f>
        <v>0.007</v>
      </c>
      <c r="AH219" s="36" t="n">
        <f aca="false">AH26</f>
        <v>0.012</v>
      </c>
      <c r="AI219" s="36" t="n">
        <f aca="false">AI26</f>
        <v>-0.011</v>
      </c>
      <c r="AJ219" s="36" t="n">
        <f aca="false">AJ26</f>
        <v>-0.015</v>
      </c>
      <c r="AK219" s="36" t="n">
        <f aca="false">AK26</f>
        <v>-0.001</v>
      </c>
      <c r="AL219" s="36" t="n">
        <f aca="false">AL26</f>
        <v>0.001</v>
      </c>
      <c r="AM219" s="36" t="n">
        <f aca="false">AM26</f>
        <v>-0.007</v>
      </c>
      <c r="AN219" s="36" t="n">
        <f aca="false">AN26</f>
        <v>-0.012</v>
      </c>
      <c r="AO219" s="36" t="n">
        <f aca="false">AO26</f>
        <v>0.008</v>
      </c>
      <c r="AP219" s="36" t="n">
        <f aca="false">AP26</f>
        <v>0.009</v>
      </c>
      <c r="AQ219" s="36" t="n">
        <f aca="false">AQ26</f>
        <v>-0.014</v>
      </c>
      <c r="AR219" s="36" t="n">
        <f aca="false">AR26</f>
        <v>-0.002</v>
      </c>
      <c r="AS219" s="36" t="n">
        <f aca="false">AS26</f>
        <v>-0.004</v>
      </c>
      <c r="AT219" s="36" t="n">
        <f aca="false">AT26</f>
        <v>-0.096</v>
      </c>
      <c r="AU219" s="36" t="n">
        <f aca="false">AU26</f>
        <v>-0.057</v>
      </c>
      <c r="AV219" s="36" t="n">
        <f aca="false">AV26</f>
        <v>-0.031</v>
      </c>
      <c r="AW219" s="36" t="n">
        <f aca="false">AW26</f>
        <v>-0.048</v>
      </c>
      <c r="AX219" s="36" t="n">
        <f aca="false">AX26</f>
        <v>-0.032</v>
      </c>
      <c r="AY219" s="36" t="n">
        <f aca="false">AY26</f>
        <v>0.065</v>
      </c>
      <c r="AZ219" s="36" t="n">
        <f aca="false">AZ26</f>
        <v>0.022</v>
      </c>
      <c r="BA219" s="36" t="n">
        <f aca="false">BA26</f>
        <v>0.012</v>
      </c>
      <c r="BB219" s="36" t="n">
        <f aca="false">BB26</f>
        <v>0.016</v>
      </c>
      <c r="BC219" s="36" t="n">
        <f aca="false">BC26</f>
        <v>0.005</v>
      </c>
      <c r="BD219" s="36" t="n">
        <f aca="false">BD26</f>
        <v>-0.007</v>
      </c>
      <c r="BE219" s="36" t="n">
        <f aca="false">BE26</f>
        <v>-0.015</v>
      </c>
      <c r="BF219" s="36" t="n">
        <f aca="false">BF26</f>
        <v>-0.025</v>
      </c>
      <c r="BG219" s="36" t="n">
        <f aca="false">BG26</f>
        <v>-0.011</v>
      </c>
      <c r="BH219" s="36" t="n">
        <f aca="false">BH26</f>
        <v>-0.013</v>
      </c>
      <c r="BI219" s="36" t="n">
        <f aca="false">BI26</f>
        <v>-0.019</v>
      </c>
      <c r="BJ219" s="36" t="n">
        <f aca="false">BJ26</f>
        <v>-0.024</v>
      </c>
      <c r="BK219" s="36" t="n">
        <f aca="false">BK26</f>
        <v>-0.023</v>
      </c>
      <c r="BL219" s="36" t="n">
        <f aca="false">BL26</f>
        <v>-0.02</v>
      </c>
      <c r="BM219" s="36" t="n">
        <f aca="false">BM26</f>
        <v>-0.038</v>
      </c>
      <c r="BN219" s="36" t="n">
        <f aca="false">BN26</f>
        <v>-0.028</v>
      </c>
      <c r="BO219" s="36" t="n">
        <f aca="false">BO26</f>
        <v>-0.019</v>
      </c>
      <c r="BP219" s="36" t="n">
        <f aca="false">BP26</f>
        <v>-0.032</v>
      </c>
      <c r="BQ219" s="36" t="n">
        <f aca="false">BQ26</f>
        <v>-0.029</v>
      </c>
      <c r="BR219" s="36" t="n">
        <f aca="false">BR26</f>
        <v>-0.028</v>
      </c>
      <c r="BS219" s="36" t="n">
        <f aca="false">BS26</f>
        <v>-0.026</v>
      </c>
      <c r="BT219" s="36" t="n">
        <f aca="false">BT26</f>
        <v>-0.027</v>
      </c>
      <c r="BU219" s="36" t="n">
        <f aca="false">BU26</f>
        <v>-0.027</v>
      </c>
      <c r="BV219" s="36" t="n">
        <f aca="false">BV26</f>
        <v>-0.028</v>
      </c>
      <c r="BW219" s="36" t="n">
        <f aca="false">BW26</f>
        <v>-0.015</v>
      </c>
      <c r="BX219" s="36" t="n">
        <f aca="false">BX26</f>
        <v>-0.019</v>
      </c>
      <c r="BY219" s="39"/>
      <c r="BZ219" s="39"/>
      <c r="CA219" s="39"/>
      <c r="CB219" s="37" t="n">
        <f aca="false">CB26</f>
        <v>-0.005</v>
      </c>
      <c r="CC219" s="37" t="n">
        <f aca="false">CC26</f>
        <v>0</v>
      </c>
      <c r="CD219" s="37" t="n">
        <f aca="false">CD26</f>
        <v>0.005</v>
      </c>
      <c r="CE219" s="37" t="n">
        <f aca="false">CE26</f>
        <v>0.005</v>
      </c>
      <c r="CF219" s="21"/>
    </row>
    <row r="220" customFormat="false" ht="15" hidden="true" customHeight="true" outlineLevel="1" collapsed="false">
      <c r="B220" s="34" t="s">
        <v>410</v>
      </c>
      <c r="C220" s="35"/>
      <c r="D220" s="36" t="n">
        <f aca="false">IF(AND(ISNUMBER(D180),ISNUMBER(C180)),IFERROR(D180/C180-1,""),"")</f>
        <v>0.185551737118848</v>
      </c>
      <c r="E220" s="36" t="n">
        <f aca="false">IF(AND(ISNUMBER(E180),ISNUMBER(D180)),IFERROR(E180/D180-1,""),"")</f>
        <v>0.0697436212600762</v>
      </c>
      <c r="F220" s="36" t="n">
        <f aca="false">IF(AND(ISNUMBER(F180),ISNUMBER(E180)),IFERROR(F180/E180-1,""),"")</f>
        <v>0.177199231441941</v>
      </c>
      <c r="G220" s="36" t="n">
        <f aca="false">IF(AND(ISNUMBER(G180),ISNUMBER(F180)),IFERROR(G180/F180-1,""),"")</f>
        <v>0.150268549723045</v>
      </c>
      <c r="H220" s="36" t="n">
        <f aca="false">IF(AND(ISNUMBER(H180),ISNUMBER(G180)),IFERROR(H180/G180-1,""),"")</f>
        <v>0.153852499781971</v>
      </c>
      <c r="I220" s="36" t="n">
        <f aca="false">IF(AND(ISNUMBER(I180),ISNUMBER(H180)),IFERROR(I180/H180-1,""),"")</f>
        <v>0.0794415051171533</v>
      </c>
      <c r="J220" s="35"/>
      <c r="K220" s="35"/>
      <c r="L220" s="35"/>
      <c r="M220" s="35"/>
      <c r="N220" s="36" t="n">
        <f aca="false">IF(AND(ISNUMBER(N180),ISNUMBER(I180)),IFERROR(N180/I180-1,""),"")</f>
        <v>0.243335307776594</v>
      </c>
      <c r="O220" s="36" t="n">
        <f aca="false">IF(AND(ISNUMBER(O180),ISNUMBER(J180)),IFERROR(O180/J180-1,""),"")</f>
        <v>0.123740278234199</v>
      </c>
      <c r="P220" s="36" t="n">
        <f aca="false">IF(AND(ISNUMBER(P180),ISNUMBER(K180)),IFERROR(P180/K180-1,""),"")</f>
        <v>0.0774608798346619</v>
      </c>
      <c r="Q220" s="36" t="n">
        <f aca="false">IF(AND(ISNUMBER(Q180),ISNUMBER(L180)),IFERROR(Q180/L180-1,""),"")</f>
        <v>0.0860524740509838</v>
      </c>
      <c r="R220" s="36" t="n">
        <f aca="false">IF(AND(ISNUMBER(R180),ISNUMBER(M180)),IFERROR(R180/M180-1,""),"")</f>
        <v>0.0829367033207513</v>
      </c>
      <c r="S220" s="36" t="n">
        <f aca="false">IF(AND(ISNUMBER(S180),ISNUMBER(N180)),IFERROR(S180/N180-1,""),"")</f>
        <v>0.0914395998794528</v>
      </c>
      <c r="T220" s="36" t="n">
        <f aca="false">IF(AND(ISNUMBER(T180),ISNUMBER(O180)),IFERROR(T180/O180-1,""),"")</f>
        <v>0.0253567120349949</v>
      </c>
      <c r="U220" s="36" t="n">
        <f aca="false">IF(AND(ISNUMBER(U180),ISNUMBER(P180)),IFERROR(U180/P180-1,""),"")</f>
        <v>-0.0262402174627879</v>
      </c>
      <c r="V220" s="36" t="n">
        <f aca="false">IF(AND(ISNUMBER(V180),ISNUMBER(Q180)),IFERROR(V180/Q180-1,""),"")</f>
        <v>-0.0173256515318547</v>
      </c>
      <c r="W220" s="36" t="n">
        <f aca="false">IF(AND(ISNUMBER(W180),ISNUMBER(R180)),IFERROR(W180/R180-1,""),"")</f>
        <v>-0.0141000813898036</v>
      </c>
      <c r="X220" s="36" t="n">
        <f aca="false">IF(AND(ISNUMBER(X180),ISNUMBER(S180)),IFERROR(X180/S180-1,""),"")</f>
        <v>-0.00902412289876509</v>
      </c>
      <c r="Y220" s="36" t="n">
        <f aca="false">IF(AND(ISNUMBER(Y180),ISNUMBER(T180)),IFERROR(Y180/T180-1,""),"")</f>
        <v>0.0085383244206767</v>
      </c>
      <c r="Z220" s="36" t="n">
        <f aca="false">IF(AND(ISNUMBER(Z180),ISNUMBER(U180)),IFERROR(Z180/U180-1,""),"")</f>
        <v>0.314604907699235</v>
      </c>
      <c r="AA220" s="36" t="n">
        <f aca="false">IF(AND(ISNUMBER(AA180),ISNUMBER(V180)),IFERROR(AA180/V180-1,""),"")</f>
        <v>0.811391440545233</v>
      </c>
      <c r="AB220" s="36" t="n">
        <f aca="false">IF(AND(ISNUMBER(AB180),ISNUMBER(W180)),IFERROR(AB180/W180-1,""),"")</f>
        <v>0.852894792277519</v>
      </c>
      <c r="AC220" s="36" t="n">
        <f aca="false">IF(AND(ISNUMBER(AC180),ISNUMBER(X180)),IFERROR(AC180/X180-1,""),"")</f>
        <v>0.507287431730901</v>
      </c>
      <c r="AD220" s="36" t="n">
        <f aca="false">IF(AND(ISNUMBER(AD180),ISNUMBER(Y180)),IFERROR(AD180/Y180-1,""),"")</f>
        <v>0.960674455186555</v>
      </c>
      <c r="AE220" s="36" t="n">
        <f aca="false">IF(AND(ISNUMBER(AE180),ISNUMBER(Z180)),IFERROR(AE180/Z180-1,""),"")</f>
        <v>0.599664353387933</v>
      </c>
      <c r="AF220" s="36" t="n">
        <f aca="false">IF(AND(ISNUMBER(AF180),ISNUMBER(AA180)),IFERROR(AF180/AA180-1,""),"")</f>
        <v>0.149133569367032</v>
      </c>
      <c r="AG220" s="36" t="n">
        <f aca="false">IF(AND(ISNUMBER(AG180),ISNUMBER(AB180)),IFERROR(AG180/AB180-1,""),"")</f>
        <v>0.108318379587522</v>
      </c>
      <c r="AH220" s="36" t="n">
        <f aca="false">IF(AND(ISNUMBER(AH180),ISNUMBER(AC180)),IFERROR(AH180/AC180-1,""),"")</f>
        <v>0.363588833420939</v>
      </c>
      <c r="AI220" s="36" t="n">
        <f aca="false">IF(AND(ISNUMBER(AI180),ISNUMBER(AD180)),IFERROR(AI180/AD180-1,""),"")</f>
        <v>0.0724671648652788</v>
      </c>
      <c r="AJ220" s="36" t="n">
        <f aca="false">IF(AND(ISNUMBER(AJ180),ISNUMBER(AE180)),IFERROR(AJ180/AE180-1,""),"")</f>
        <v>0.0584989080632041</v>
      </c>
      <c r="AK220" s="36" t="n">
        <f aca="false">IF(AND(ISNUMBER(AK180),ISNUMBER(AF180)),IFERROR(AK180/AF180-1,""),"")</f>
        <v>0.0595689620109003</v>
      </c>
      <c r="AL220" s="36" t="n">
        <f aca="false">IF(AND(ISNUMBER(AL180),ISNUMBER(AG180)),IFERROR(AL180/AG180-1,""),"")</f>
        <v>0.10115608538952</v>
      </c>
      <c r="AM220" s="36" t="n">
        <f aca="false">IF(AND(ISNUMBER(AM180),ISNUMBER(AH180)),IFERROR(AM180/AH180-1,""),"")</f>
        <v>0.0725033806336757</v>
      </c>
      <c r="AN220" s="36" t="n">
        <f aca="false">IF(AND(ISNUMBER(AN180),ISNUMBER(AI180)),IFERROR(AN180/AI180-1,""),"")</f>
        <v>0.0806716426273963</v>
      </c>
      <c r="AO220" s="36" t="n">
        <f aca="false">IF(AND(ISNUMBER(AO180),ISNUMBER(AJ180)),IFERROR(AO180/AJ180-1,""),"")</f>
        <v>0.0752908931849325</v>
      </c>
      <c r="AP220" s="36" t="n">
        <f aca="false">IF(AND(ISNUMBER(AP180),ISNUMBER(AK180)),IFERROR(AP180/AK180-1,""),"")</f>
        <v>0.0641780767689755</v>
      </c>
      <c r="AQ220" s="36" t="n">
        <f aca="false">IF(AND(ISNUMBER(AQ180),ISNUMBER(AL180)),IFERROR(AQ180/AL180-1,""),"")</f>
        <v>0.0549237512808831</v>
      </c>
      <c r="AR220" s="36" t="n">
        <f aca="false">IF(AND(ISNUMBER(AR180),ISNUMBER(AM180)),IFERROR(AR180/AM180-1,""),"")</f>
        <v>0.0683955368235045</v>
      </c>
      <c r="AS220" s="36" t="n">
        <f aca="false">IF(AND(ISNUMBER(AS180),ISNUMBER(AN180)),IFERROR(AS180/AN180-1,""),"")</f>
        <v>0.0591482179570615</v>
      </c>
      <c r="AT220" s="36" t="n">
        <f aca="false">IF(AND(ISNUMBER(AT180),ISNUMBER(AO180)),IFERROR(AT180/AO180-1,""),"")</f>
        <v>-0.0728031150948545</v>
      </c>
      <c r="AU220" s="36" t="n">
        <f aca="false">IF(AND(ISNUMBER(AU180),ISNUMBER(AP180)),IFERROR(AU180/AP180-1,""),"")</f>
        <v>-0.0247452988215774</v>
      </c>
      <c r="AV220" s="36" t="n">
        <f aca="false">IF(AND(ISNUMBER(AV180),ISNUMBER(AQ180)),IFERROR(AV180/AQ180-1,""),"")</f>
        <v>0.0180309401864431</v>
      </c>
      <c r="AW220" s="36" t="n">
        <f aca="false">IF(AND(ISNUMBER(AW180),ISNUMBER(AR180)),IFERROR(AW180/AR180-1,""),"")</f>
        <v>-0.00691343093799213</v>
      </c>
      <c r="AX220" s="36" t="n">
        <f aca="false">IF(AND(ISNUMBER(AX180),ISNUMBER(AS180)),IFERROR(AX180/AS180-1,""),"")</f>
        <v>0.0603417677829647</v>
      </c>
      <c r="AY220" s="36" t="n">
        <f aca="false">IF(AND(ISNUMBER(AY180),ISNUMBER(AT180)),IFERROR(AY180/AT180-1,""),"")</f>
        <v>0.229718352006736</v>
      </c>
      <c r="AZ220" s="36" t="n">
        <f aca="false">IF(AND(ISNUMBER(AZ180),ISNUMBER(AU180)),IFERROR(AZ180/AU180-1,""),"")</f>
        <v>0.168897067152431</v>
      </c>
      <c r="BA220" s="36" t="n">
        <f aca="false">IF(AND(ISNUMBER(BA180),ISNUMBER(AV180)),IFERROR(BA180/AV180-1,""),"")</f>
        <v>0.161471972092826</v>
      </c>
      <c r="BB220" s="36" t="n">
        <f aca="false">IF(AND(ISNUMBER(BB180),ISNUMBER(AW180)),IFERROR(BB180/AW180-1,""),"")</f>
        <v>0.154739155130254</v>
      </c>
      <c r="BC220" s="36" t="n">
        <f aca="false">IF(AND(ISNUMBER(BC180),ISNUMBER(AX180)),IFERROR(BC180/AX180-1,""),"")</f>
        <v>0.159164677473717</v>
      </c>
      <c r="BD220" s="36" t="n">
        <f aca="false">IF(AND(ISNUMBER(BD180),ISNUMBER(AY180)),IFERROR(BD180/AY180-1,""),"")</f>
        <v>0.168917623039564</v>
      </c>
      <c r="BE220" s="36" t="n">
        <f aca="false">IF(AND(ISNUMBER(BE180),ISNUMBER(AZ180)),IFERROR(BE180/AZ180-1,""),"")</f>
        <v>0.16300962137468</v>
      </c>
      <c r="BF220" s="36" t="n">
        <f aca="false">IF(AND(ISNUMBER(BF180),ISNUMBER(BA180)),IFERROR(BF180/BA180-1,""),"")</f>
        <v>0.137683324115826</v>
      </c>
      <c r="BG220" s="36" t="n">
        <f aca="false">IF(AND(ISNUMBER(BG180),ISNUMBER(BB180)),IFERROR(BG180/BB180-1,""),"")</f>
        <v>0.157097018588361</v>
      </c>
      <c r="BH220" s="36" t="n">
        <f aca="false">IF(AND(ISNUMBER(BH180),ISNUMBER(BC180)),IFERROR(BH180/BC180-1,""),"")</f>
        <v>0.128951246713932</v>
      </c>
      <c r="BI220" s="36" t="n">
        <f aca="false">IF(AND(ISNUMBER(BI180),ISNUMBER(BD180)),IFERROR(BI180/BD180-1,""),"")</f>
        <v>0.109512115085372</v>
      </c>
      <c r="BJ220" s="36" t="n">
        <f aca="false">IF(AND(ISNUMBER(BJ180),ISNUMBER(BE180)),IFERROR(BJ180/BE180-1,""),"")</f>
        <v>0.141297804683116</v>
      </c>
      <c r="BK220" s="36" t="n">
        <f aca="false">IF(AND(ISNUMBER(BK180),ISNUMBER(BF180)),IFERROR(BK180/BF180-1,""),"")</f>
        <v>0.163912874547367</v>
      </c>
      <c r="BL220" s="36" t="n">
        <f aca="false">IF(AND(ISNUMBER(BL180),ISNUMBER(BG180)),IFERROR(BL180/BG180-1,""),"")</f>
        <v>0.136132991571844</v>
      </c>
      <c r="BM220" s="36" t="n">
        <f aca="false">IF(AND(ISNUMBER(BM180),ISNUMBER(BH180)),IFERROR(BM180/BH180-1,""),"")</f>
        <v>0.147836625393168</v>
      </c>
      <c r="BN220" s="36" t="n">
        <f aca="false">IF(AND(ISNUMBER(BN180),ISNUMBER(BI180)),IFERROR(BN180/BI180-1,""),"")</f>
        <v>0.163663742452937</v>
      </c>
      <c r="BO220" s="36" t="n">
        <f aca="false">IF(AND(ISNUMBER(BO180),ISNUMBER(BJ180)),IFERROR(BO180/BJ180-1,""),"")</f>
        <v>0.173241075565846</v>
      </c>
      <c r="BP220" s="36" t="n">
        <f aca="false">IF(AND(ISNUMBER(BP180),ISNUMBER(BK180)),IFERROR(BP180/BK180-1,""),"")</f>
        <v>0.115714686389162</v>
      </c>
      <c r="BQ220" s="36" t="n">
        <f aca="false">IF(AND(ISNUMBER(BQ180),ISNUMBER(BL180)),IFERROR(BQ180/BL180-1,""),"")</f>
        <v>0.150184545430043</v>
      </c>
      <c r="BR220" s="36" t="n">
        <f aca="false">IF(AND(ISNUMBER(BR180),ISNUMBER(BM180)),IFERROR(BR180/BM180-1,""),"")</f>
        <v>0.0945789974380373</v>
      </c>
      <c r="BS220" s="36" t="n">
        <f aca="false">IF(AND(ISNUMBER(BS180),ISNUMBER(BN180)),IFERROR(BS180/BN180-1,""),"")</f>
        <v>0.0746092239410885</v>
      </c>
      <c r="BT220" s="36" t="n">
        <f aca="false">IF(AND(ISNUMBER(BT180),ISNUMBER(BO180)),IFERROR(BT180/BO180-1,""),"")</f>
        <v>0.0544818880518545</v>
      </c>
      <c r="BU220" s="36" t="n">
        <f aca="false">IF(AND(ISNUMBER(BU180),ISNUMBER(BP180)),IFERROR(BU180/BP180-1,""),"")</f>
        <v>0.0869486808507152</v>
      </c>
      <c r="BV220" s="36" t="n">
        <f aca="false">IF(AND(ISNUMBER(BV180),ISNUMBER(BQ180)),IFERROR(BV180/BQ180-1,""),"")</f>
        <v>0.0767403032187923</v>
      </c>
      <c r="BW220" s="36" t="n">
        <f aca="false">IF(AND(ISNUMBER(BW180),ISNUMBER(BR180)),IFERROR(BW180/BR180-1,""),"")</f>
        <v>0.080474520964936</v>
      </c>
      <c r="BX220" s="36" t="n">
        <f aca="false">IF(AND(ISNUMBER(BX180),ISNUMBER(BS180)),IFERROR(BX180/BS180-1,""),"")</f>
        <v>0.0682427681129381</v>
      </c>
      <c r="BY220" s="37" t="n">
        <f aca="false">IFERROR(BY180/BT180-1,"")</f>
        <v>0.0622797536814588</v>
      </c>
      <c r="BZ220" s="37" t="n">
        <f aca="false">IFERROR(BZ180/BU180-1,"")</f>
        <v>0.0600193015851096</v>
      </c>
      <c r="CA220" s="37" t="n">
        <f aca="false">IFERROR(CA180/BV180-1,"")</f>
        <v>0.0673519909235067</v>
      </c>
      <c r="CB220" s="37" t="n">
        <f aca="false">IFERROR(CB180/CA180-1,"")</f>
        <v>0.0715684123923572</v>
      </c>
      <c r="CC220" s="37" t="n">
        <f aca="false">IFERROR(CC180/CB180-1,"")</f>
        <v>0.0829701476337088</v>
      </c>
      <c r="CD220" s="37" t="n">
        <f aca="false">IFERROR(CD180/CC180-1,"")</f>
        <v>0.0819583627873406</v>
      </c>
      <c r="CE220" s="37" t="n">
        <f aca="false">IFERROR(CE180/CD180-1,"")</f>
        <v>0.0775180592952229</v>
      </c>
      <c r="CF220" s="21"/>
    </row>
    <row r="221" customFormat="false" ht="15" hidden="true" customHeight="true" outlineLevel="1" collapsed="false">
      <c r="B221" s="34" t="s">
        <v>411</v>
      </c>
      <c r="C221" s="35"/>
      <c r="D221" s="36" t="n">
        <f aca="false">IF(AND(ISNUMBER(D134),ISNUMBER(C134)),IFERROR(D134/C134-1,""),"")</f>
        <v>0.207852450025089</v>
      </c>
      <c r="E221" s="36" t="n">
        <f aca="false">IF(AND(ISNUMBER(E134),ISNUMBER(D134)),IFERROR(E134/D134-1,""),"")</f>
        <v>0.0258297948398378</v>
      </c>
      <c r="F221" s="36" t="n">
        <f aca="false">IF(AND(ISNUMBER(F134),ISNUMBER(E134)),IFERROR(F134/E134-1,""),"")</f>
        <v>0.0862655163969941</v>
      </c>
      <c r="G221" s="36" t="n">
        <f aca="false">IF(AND(ISNUMBER(G134),ISNUMBER(F134)),IFERROR(G134/F134-1,""),"")</f>
        <v>0.180808496802861</v>
      </c>
      <c r="H221" s="36" t="n">
        <f aca="false">IF(AND(ISNUMBER(H134),ISNUMBER(G134)),IFERROR(H134/G134-1,""),"")</f>
        <v>0.16403006061318</v>
      </c>
      <c r="I221" s="36" t="n">
        <f aca="false">IF(AND(ISNUMBER(I134),ISNUMBER(H134)),IFERROR(I134/H134-1,""),"")</f>
        <v>-0.00288587090222103</v>
      </c>
      <c r="J221" s="35"/>
      <c r="K221" s="35"/>
      <c r="L221" s="35"/>
      <c r="M221" s="35"/>
      <c r="N221" s="36" t="n">
        <f aca="false">IF(AND(ISNUMBER(N134),ISNUMBER(I134)),IFERROR(N134/I134-1,""),"")</f>
        <v>0.248533119087008</v>
      </c>
      <c r="O221" s="36" t="n">
        <f aca="false">IF(AND(ISNUMBER(O134),ISNUMBER(J134)),IFERROR(O134/J134-1,""),"")</f>
        <v>0.157352755053905</v>
      </c>
      <c r="P221" s="36" t="n">
        <f aca="false">IF(AND(ISNUMBER(P134),ISNUMBER(K134)),IFERROR(P134/K134-1,""),"")</f>
        <v>0.275501214087715</v>
      </c>
      <c r="Q221" s="36" t="n">
        <f aca="false">IF(AND(ISNUMBER(Q134),ISNUMBER(L134)),IFERROR(Q134/L134-1,""),"")</f>
        <v>0.00338176786023259</v>
      </c>
      <c r="R221" s="36" t="n">
        <f aca="false">IF(AND(ISNUMBER(R134),ISNUMBER(M134)),IFERROR(R134/M134-1,""),"")</f>
        <v>0.149717998648009</v>
      </c>
      <c r="S221" s="36" t="n">
        <f aca="false">IF(AND(ISNUMBER(S134),ISNUMBER(N134)),IFERROR(S134/N134-1,""),"")</f>
        <v>0.13819669639238</v>
      </c>
      <c r="T221" s="36" t="n">
        <f aca="false">IF(AND(ISNUMBER(T134),ISNUMBER(O134)),IFERROR(T134/O134-1,""),"")</f>
        <v>0.01268528367913</v>
      </c>
      <c r="U221" s="36" t="n">
        <f aca="false">IF(AND(ISNUMBER(U134),ISNUMBER(P134)),IFERROR(U134/P134-1,""),"")</f>
        <v>-0.0732167525860037</v>
      </c>
      <c r="V221" s="36" t="n">
        <f aca="false">IF(AND(ISNUMBER(V134),ISNUMBER(Q134)),IFERROR(V134/Q134-1,""),"")</f>
        <v>-4.23376231564248</v>
      </c>
      <c r="W221" s="36" t="n">
        <f aca="false">IF(AND(ISNUMBER(W134),ISNUMBER(R134)),IFERROR(W134/R134-1,""),"")</f>
        <v>-0.10725568660489</v>
      </c>
      <c r="X221" s="36" t="n">
        <f aca="false">IF(AND(ISNUMBER(X134),ISNUMBER(S134)),IFERROR(X134/S134-1,""),"")</f>
        <v>-1.13696026211468</v>
      </c>
      <c r="Y221" s="36" t="n">
        <f aca="false">IF(AND(ISNUMBER(Y134),ISNUMBER(T134)),IFERROR(Y134/T134-1,""),"")</f>
        <v>-0.10686693172336</v>
      </c>
      <c r="Z221" s="36" t="n">
        <f aca="false">IF(AND(ISNUMBER(Z134),ISNUMBER(U134)),IFERROR(Z134/U134-1,""),"")</f>
        <v>-0.422898640296662</v>
      </c>
      <c r="AA221" s="36" t="n">
        <f aca="false">IF(AND(ISNUMBER(AA134),ISNUMBER(V134)),IFERROR(AA134/V134-1,""),"")</f>
        <v>-1.42293790250352</v>
      </c>
      <c r="AB221" s="36" t="n">
        <f aca="false">IF(AND(ISNUMBER(AB134),ISNUMBER(W134)),IFERROR(AB134/W134-1,""),"")</f>
        <v>0.36790523935909</v>
      </c>
      <c r="AC221" s="36" t="n">
        <f aca="false">IF(AND(ISNUMBER(AC134),ISNUMBER(X134)),IFERROR(AC134/X134-1,""),"")</f>
        <v>-8.35061431450298</v>
      </c>
      <c r="AD221" s="36" t="n">
        <f aca="false">IF(AND(ISNUMBER(AD134),ISNUMBER(Y134)),IFERROR(AD134/Y134-1,""),"")</f>
        <v>-0.709779179810725</v>
      </c>
      <c r="AE221" s="36" t="n">
        <f aca="false">IF(AND(ISNUMBER(AE134),ISNUMBER(Z134)),IFERROR(AE134/Z134-1,""),"")</f>
        <v>2.2586817859674</v>
      </c>
      <c r="AF221" s="36" t="n">
        <f aca="false">IF(AND(ISNUMBER(AF134),ISNUMBER(AA134)),IFERROR(AF134/AA134-1,""),"")</f>
        <v>0.378808314320648</v>
      </c>
      <c r="AG221" s="36" t="n">
        <f aca="false">IF(AND(ISNUMBER(AG134),ISNUMBER(AB134)),IFERROR(AG134/AB134-1,""),"")</f>
        <v>0.257672988063841</v>
      </c>
      <c r="AH221" s="36" t="n">
        <f aca="false">IF(AND(ISNUMBER(AH134),ISNUMBER(AC134)),IFERROR(AH134/AC134-1,""),"")</f>
        <v>0.386470866552583</v>
      </c>
      <c r="AI221" s="36" t="n">
        <f aca="false">IF(AND(ISNUMBER(AI134),ISNUMBER(AD134)),IFERROR(AI134/AD134-1,""),"")</f>
        <v>6.14690955915768</v>
      </c>
      <c r="AJ221" s="36" t="n">
        <f aca="false">IF(AND(ISNUMBER(AJ134),ISNUMBER(AE134)),IFERROR(AJ134/AE134-1,""),"")</f>
        <v>0.018259146488812</v>
      </c>
      <c r="AK221" s="36" t="n">
        <f aca="false">IF(AND(ISNUMBER(AK134),ISNUMBER(AF134)),IFERROR(AK134/AF134-1,""),"")</f>
        <v>0.0644466791607616</v>
      </c>
      <c r="AL221" s="36" t="n">
        <f aca="false">IF(AND(ISNUMBER(AL134),ISNUMBER(AG134)),IFERROR(AL134/AG134-1,""),"")</f>
        <v>0.142651445027255</v>
      </c>
      <c r="AM221" s="36" t="n">
        <f aca="false">IF(AND(ISNUMBER(AM134),ISNUMBER(AH134)),IFERROR(AM134/AH134-1,""),"")</f>
        <v>0.327135471648768</v>
      </c>
      <c r="AN221" s="36" t="n">
        <f aca="false">IF(AND(ISNUMBER(AN134),ISNUMBER(AI134)),IFERROR(AN134/AI134-1,""),"")</f>
        <v>-0.0203861012045139</v>
      </c>
      <c r="AO221" s="36" t="n">
        <f aca="false">IF(AND(ISNUMBER(AO134),ISNUMBER(AJ134)),IFERROR(AO134/AJ134-1,""),"")</f>
        <v>0.0543267770352365</v>
      </c>
      <c r="AP221" s="36" t="n">
        <f aca="false">IF(AND(ISNUMBER(AP134),ISNUMBER(AK134)),IFERROR(AP134/AK134-1,""),"")</f>
        <v>0.0160218835482611</v>
      </c>
      <c r="AQ221" s="36" t="n">
        <f aca="false">IF(AND(ISNUMBER(AQ134),ISNUMBER(AL134)),IFERROR(AQ134/AL134-1,""),"")</f>
        <v>-0.0289828982898288</v>
      </c>
      <c r="AR221" s="36" t="n">
        <f aca="false">IF(AND(ISNUMBER(AR134),ISNUMBER(AM134)),IFERROR(AR134/AM134-1,""),"")</f>
        <v>0.00664949221622546</v>
      </c>
      <c r="AS221" s="36" t="n">
        <f aca="false">IF(AND(ISNUMBER(AS134),ISNUMBER(AN134)),IFERROR(AS134/AN134-1,""),"")</f>
        <v>0.173661148977605</v>
      </c>
      <c r="AT221" s="36" t="n">
        <f aca="false">IF(AND(ISNUMBER(AT134),ISNUMBER(AO134)),IFERROR(AT134/AO134-1,""),"")</f>
        <v>-2.04602177064295</v>
      </c>
      <c r="AU221" s="36" t="n">
        <f aca="false">IF(AND(ISNUMBER(AU134),ISNUMBER(AP134)),IFERROR(AU134/AP134-1,""),"")</f>
        <v>-0.0250253592561285</v>
      </c>
      <c r="AV221" s="36" t="n">
        <f aca="false">IF(AND(ISNUMBER(AV134),ISNUMBER(AQ134)),IFERROR(AV134/AQ134-1,""),"")</f>
        <v>0.0152432744201376</v>
      </c>
      <c r="AW221" s="36" t="n">
        <f aca="false">IF(AND(ISNUMBER(AW134),ISNUMBER(AR134)),IFERROR(AW134/AR134-1,""),"")</f>
        <v>-0.507712066919877</v>
      </c>
      <c r="AX221" s="36" t="n">
        <f aca="false">IF(AND(ISNUMBER(AX134),ISNUMBER(AS134)),IFERROR(AX134/AS134-1,""),"")</f>
        <v>0.098675811082996</v>
      </c>
      <c r="AY221" s="36" t="n">
        <f aca="false">IF(AND(ISNUMBER(AY134),ISNUMBER(AT134)),IFERROR(AY134/AT134-1,""),"")</f>
        <v>-2.14818146214661</v>
      </c>
      <c r="AZ221" s="36" t="n">
        <f aca="false">IF(AND(ISNUMBER(AZ134),ISNUMBER(AU134)),IFERROR(AZ134/AU134-1,""),"")</f>
        <v>0.236107317961323</v>
      </c>
      <c r="BA221" s="36" t="n">
        <f aca="false">IF(AND(ISNUMBER(BA134),ISNUMBER(AV134)),IFERROR(BA134/AV134-1,""),"")</f>
        <v>0.264664407742563</v>
      </c>
      <c r="BB221" s="36" t="n">
        <f aca="false">IF(AND(ISNUMBER(BB134),ISNUMBER(AW134)),IFERROR(BB134/AW134-1,""),"")</f>
        <v>1.5207430145383</v>
      </c>
      <c r="BC221" s="36" t="n">
        <f aca="false">IF(AND(ISNUMBER(BC134),ISNUMBER(AX134)),IFERROR(BC134/AX134-1,""),"")</f>
        <v>0.148876545903043</v>
      </c>
      <c r="BD221" s="36" t="n">
        <f aca="false">IF(AND(ISNUMBER(BD134),ISNUMBER(AY134)),IFERROR(BD134/AY134-1,""),"")</f>
        <v>0.235400392821266</v>
      </c>
      <c r="BE221" s="36" t="n">
        <f aca="false">IF(AND(ISNUMBER(BE134),ISNUMBER(AZ134)),IFERROR(BE134/AZ134-1,""),"")</f>
        <v>0.145975366832197</v>
      </c>
      <c r="BF221" s="36" t="n">
        <f aca="false">IF(AND(ISNUMBER(BF134),ISNUMBER(BA134)),IFERROR(BF134/BA134-1,""),"")</f>
        <v>0.251290505011613</v>
      </c>
      <c r="BG221" s="36" t="n">
        <f aca="false">IF(AND(ISNUMBER(BG134),ISNUMBER(BB134)),IFERROR(BG134/BB134-1,""),"")</f>
        <v>0.194844294817844</v>
      </c>
      <c r="BH221" s="36" t="n">
        <f aca="false">IF(AND(ISNUMBER(BH134),ISNUMBER(BC134)),IFERROR(BH134/BC134-1,""),"")</f>
        <v>0.149087124808295</v>
      </c>
      <c r="BI221" s="36" t="n">
        <f aca="false">IF(AND(ISNUMBER(BI134),ISNUMBER(BD134)),IFERROR(BI134/BD134-1,""),"")</f>
        <v>0.0441093479777912</v>
      </c>
      <c r="BJ221" s="36" t="n">
        <f aca="false">IF(AND(ISNUMBER(BJ134),ISNUMBER(BE134)),IFERROR(BJ134/BE134-1,""),"")</f>
        <v>0.0802067521911569</v>
      </c>
      <c r="BK221" s="36" t="n">
        <f aca="false">IF(AND(ISNUMBER(BK134),ISNUMBER(BF134)),IFERROR(BK134/BF134-1,""),"")</f>
        <v>-0.280328746397926</v>
      </c>
      <c r="BL221" s="36" t="n">
        <f aca="false">IF(AND(ISNUMBER(BL134),ISNUMBER(BG134)),IFERROR(BL134/BG134-1,""),"")</f>
        <v>-0.00473196531931575</v>
      </c>
      <c r="BM221" s="36" t="n">
        <f aca="false">IF(AND(ISNUMBER(BM134),ISNUMBER(BH134)),IFERROR(BM134/BH134-1,""),"")</f>
        <v>0.16559523847354</v>
      </c>
      <c r="BN221" s="36" t="n">
        <f aca="false">IF(AND(ISNUMBER(BN134),ISNUMBER(BI134)),IFERROR(BN134/BI134-1,""),"")</f>
        <v>0.234148340152502</v>
      </c>
      <c r="BO221" s="36" t="n">
        <f aca="false">IF(AND(ISNUMBER(BO134),ISNUMBER(BJ134)),IFERROR(BO134/BJ134-1,""),"")</f>
        <v>0.346668479815965</v>
      </c>
      <c r="BP221" s="36" t="n">
        <f aca="false">IF(AND(ISNUMBER(BP134),ISNUMBER(BK134)),IFERROR(BP134/BK134-1,""),"")</f>
        <v>-1.88718944583508</v>
      </c>
      <c r="BQ221" s="36" t="n">
        <f aca="false">IF(AND(ISNUMBER(BQ134),ISNUMBER(BL134)),IFERROR(BQ134/BL134-1,""),"")</f>
        <v>-0.136416212088858</v>
      </c>
      <c r="BR221" s="36" t="n">
        <f aca="false">IF(AND(ISNUMBER(BR134),ISNUMBER(BM134)),IFERROR(BR134/BM134-1,""),"")</f>
        <v>0.0638222464558345</v>
      </c>
      <c r="BS221" s="36" t="n">
        <f aca="false">IF(AND(ISNUMBER(BS134),ISNUMBER(BN134)),IFERROR(BS134/BN134-1,""),"")</f>
        <v>0.0820334114267545</v>
      </c>
      <c r="BT221" s="36" t="n">
        <f aca="false">IF(AND(ISNUMBER(BT134),ISNUMBER(BO134)),IFERROR(BT134/BO134-1,""),"")</f>
        <v>-0.0752130566769675</v>
      </c>
      <c r="BU221" s="36" t="n">
        <f aca="false">IF(AND(ISNUMBER(BU134),ISNUMBER(BP134)),IFERROR(BU134/BP134-1,""),"")</f>
        <v>-3.11269642050304</v>
      </c>
      <c r="BV221" s="36" t="n">
        <f aca="false">IF(AND(ISNUMBER(BV134),ISNUMBER(BQ134)),IFERROR(BV134/BQ134-1,""),"")</f>
        <v>0.601797952342463</v>
      </c>
      <c r="BW221" s="36" t="n">
        <f aca="false">IF(AND(ISNUMBER(BW134),ISNUMBER(BR134)),IFERROR(BW134/BR134-1,""),"")</f>
        <v>-0.0669639424925042</v>
      </c>
      <c r="BX221" s="36" t="n">
        <f aca="false">IF(AND(ISNUMBER(BX134),ISNUMBER(BS134)),IFERROR(BX134/BS134-1,""),"")</f>
        <v>-0.047853855443972</v>
      </c>
      <c r="BY221" s="37" t="n">
        <f aca="false">IFERROR(BY134/BT134-1,"")</f>
        <v>0.22925329188405</v>
      </c>
      <c r="BZ221" s="37" t="n">
        <f aca="false">IFERROR(BZ134/BU134-1,"")</f>
        <v>0.192079225164198</v>
      </c>
      <c r="CA221" s="37" t="n">
        <f aca="false">IFERROR(CA134/BV134-1,"")</f>
        <v>0.07805580017004</v>
      </c>
      <c r="CB221" s="37" t="n">
        <f aca="false">IFERROR(CB134/CA134-1,"")</f>
        <v>0.171511684647272</v>
      </c>
      <c r="CC221" s="37" t="n">
        <f aca="false">IFERROR(CC134/CB134-1,"")</f>
        <v>0.0895203070130894</v>
      </c>
      <c r="CD221" s="37" t="n">
        <f aca="false">IFERROR(CD134/CC134-1,"")</f>
        <v>0.0883248756350792</v>
      </c>
      <c r="CE221" s="37" t="n">
        <f aca="false">IFERROR(CE134/CD134-1,"")</f>
        <v>0.0830172319311715</v>
      </c>
      <c r="CF221" s="21"/>
    </row>
    <row r="222" customFormat="false" ht="15" hidden="false" customHeight="true" outlineLevel="0" collapsed="false">
      <c r="B222" s="34" t="s">
        <v>412</v>
      </c>
      <c r="C222" s="35"/>
      <c r="D222" s="36" t="n">
        <f aca="false">IF(AND(ISNUMBER(D146),ISNUMBER(C146)),IFERROR(D146/C146-1,""),"")</f>
        <v>0.279735995763532</v>
      </c>
      <c r="E222" s="36" t="n">
        <f aca="false">IF(AND(ISNUMBER(E146),ISNUMBER(D146)),IFERROR(E146/D146-1,""),"")</f>
        <v>0.0653505717544232</v>
      </c>
      <c r="F222" s="36" t="n">
        <f aca="false">IF(AND(ISNUMBER(F146),ISNUMBER(E146)),IFERROR(F146/E146-1,""),"")</f>
        <v>0.0404429876084744</v>
      </c>
      <c r="G222" s="36" t="n">
        <f aca="false">IF(AND(ISNUMBER(G146),ISNUMBER(F146)),IFERROR(G146/F146-1,""),"")</f>
        <v>0.230175278852719</v>
      </c>
      <c r="H222" s="36" t="n">
        <f aca="false">IF(AND(ISNUMBER(H146),ISNUMBER(G146)),IFERROR(H146/G146-1,""),"")</f>
        <v>0.223050390810042</v>
      </c>
      <c r="I222" s="36" t="n">
        <f aca="false">IF(AND(ISNUMBER(I146),ISNUMBER(H146)),IFERROR(I146/H146-1,""),"")</f>
        <v>-0.0371946090208726</v>
      </c>
      <c r="J222" s="35"/>
      <c r="K222" s="35"/>
      <c r="L222" s="35"/>
      <c r="M222" s="35"/>
      <c r="N222" s="36" t="n">
        <f aca="false">IF(AND(ISNUMBER(N146),ISNUMBER(I146)),IFERROR(N146/I146-1,""),"")</f>
        <v>0.229815265285085</v>
      </c>
      <c r="O222" s="36" t="n">
        <f aca="false">IF(AND(ISNUMBER(O146),ISNUMBER(J146)),IFERROR(O146/J146-1,""),"")</f>
        <v>0.179492732698046</v>
      </c>
      <c r="P222" s="36" t="n">
        <f aca="false">IF(AND(ISNUMBER(P146),ISNUMBER(K146)),IFERROR(P146/K146-1,""),"")</f>
        <v>0.425250756249005</v>
      </c>
      <c r="Q222" s="36" t="n">
        <f aca="false">IF(AND(ISNUMBER(Q146),ISNUMBER(L146)),IFERROR(Q146/L146-1,""),"")</f>
        <v>-0.0102461041742152</v>
      </c>
      <c r="R222" s="36" t="n">
        <f aca="false">IF(AND(ISNUMBER(R146),ISNUMBER(M146)),IFERROR(R146/M146-1,""),"")</f>
        <v>0.229352972119938</v>
      </c>
      <c r="S222" s="36" t="n">
        <f aca="false">IF(AND(ISNUMBER(S146),ISNUMBER(N146)),IFERROR(S146/N146-1,""),"")</f>
        <v>0.188443944698578</v>
      </c>
      <c r="T222" s="36" t="n">
        <f aca="false">IF(AND(ISNUMBER(T146),ISNUMBER(O146)),IFERROR(T146/O146-1,""),"")</f>
        <v>0.0573089870447825</v>
      </c>
      <c r="U222" s="36" t="n">
        <f aca="false">IF(AND(ISNUMBER(U146),ISNUMBER(P146)),IFERROR(U146/P146-1,""),"")</f>
        <v>-0.0846418996553048</v>
      </c>
      <c r="V222" s="36" t="n">
        <f aca="false">IF(AND(ISNUMBER(V146),ISNUMBER(Q146)),IFERROR(V146/Q146-1,""),"")</f>
        <v>-5.27749484055655</v>
      </c>
      <c r="W222" s="36" t="n">
        <f aca="false">IF(AND(ISNUMBER(W146),ISNUMBER(R146)),IFERROR(W146/R146-1,""),"")</f>
        <v>-0.14319805141372</v>
      </c>
      <c r="X222" s="36" t="n">
        <f aca="false">IF(AND(ISNUMBER(X146),ISNUMBER(S146)),IFERROR(X146/S146-1,""),"")</f>
        <v>-1.41184388775401</v>
      </c>
      <c r="Y222" s="36" t="n">
        <f aca="false">IF(AND(ISNUMBER(Y146),ISNUMBER(T146)),IFERROR(Y146/T146-1,""),"")</f>
        <v>-0.134725223834519</v>
      </c>
      <c r="Z222" s="36" t="n">
        <f aca="false">IF(AND(ISNUMBER(Z146),ISNUMBER(U146)),IFERROR(Z146/U146-1,""),"")</f>
        <v>-0.520763598326359</v>
      </c>
      <c r="AA222" s="36" t="n">
        <f aca="false">IF(AND(ISNUMBER(AA146),ISNUMBER(V146)),IFERROR(AA146/V146-1,""),"")</f>
        <v>-1.34480115482337</v>
      </c>
      <c r="AB222" s="36" t="n">
        <f aca="false">IF(AND(ISNUMBER(AB146),ISNUMBER(W146)),IFERROR(AB146/W146-1,""),"")</f>
        <v>0.644071377806808</v>
      </c>
      <c r="AC222" s="36" t="n">
        <f aca="false">IF(AND(ISNUMBER(AC146),ISNUMBER(X146)),IFERROR(AC146/X146-1,""),"")</f>
        <v>-3.5744538657533</v>
      </c>
      <c r="AD222" s="36" t="n">
        <f aca="false">IF(AND(ISNUMBER(AD146),ISNUMBER(Y146)),IFERROR(AD146/Y146-1,""),"")</f>
        <v>-0.668302038267693</v>
      </c>
      <c r="AE222" s="36" t="n">
        <f aca="false">IF(AND(ISNUMBER(AE146),ISNUMBER(Z146)),IFERROR(AE146/Z146-1,""),"")</f>
        <v>3.49838117065008</v>
      </c>
      <c r="AF222" s="36" t="n">
        <f aca="false">IF(AND(ISNUMBER(AF146),ISNUMBER(AA146)),IFERROR(AF146/AA146-1,""),"")</f>
        <v>0.39055711658034</v>
      </c>
      <c r="AG222" s="36" t="n">
        <f aca="false">IF(AND(ISNUMBER(AG146),ISNUMBER(AB146)),IFERROR(AG146/AB146-1,""),"")</f>
        <v>2.68124357416581</v>
      </c>
      <c r="AH222" s="36" t="n">
        <f aca="false">IF(AND(ISNUMBER(AH146),ISNUMBER(AC146)),IFERROR(AH146/AC146-1,""),"")</f>
        <v>1.33964873854142</v>
      </c>
      <c r="AI222" s="36" t="n">
        <f aca="false">IF(AND(ISNUMBER(AI146),ISNUMBER(AD146)),IFERROR(AI146/AD146-1,""),"")</f>
        <v>7.39511899959657</v>
      </c>
      <c r="AJ222" s="36" t="n">
        <f aca="false">IF(AND(ISNUMBER(AJ146),ISNUMBER(AE146)),IFERROR(AJ146/AE146-1,""),"")</f>
        <v>0.12151452416381</v>
      </c>
      <c r="AK222" s="36" t="n">
        <f aca="false">IF(AND(ISNUMBER(AK146),ISNUMBER(AF146)),IFERROR(AK146/AF146-1,""),"")</f>
        <v>0.22410672985628</v>
      </c>
      <c r="AL222" s="36" t="n">
        <f aca="false">IF(AND(ISNUMBER(AL146),ISNUMBER(AG146)),IFERROR(AL146/AG146-1,""),"")</f>
        <v>-0.579548375835092</v>
      </c>
      <c r="AM222" s="36" t="n">
        <f aca="false">IF(AND(ISNUMBER(AM146),ISNUMBER(AH146)),IFERROR(AM146/AH146-1,""),"")</f>
        <v>-0.0519159456118675</v>
      </c>
      <c r="AN222" s="36" t="n">
        <f aca="false">IF(AND(ISNUMBER(AN146),ISNUMBER(AI146)),IFERROR(AN146/AI146-1,""),"")</f>
        <v>0.00603031977512281</v>
      </c>
      <c r="AO222" s="36" t="n">
        <f aca="false">IF(AND(ISNUMBER(AO146),ISNUMBER(AJ146)),IFERROR(AO146/AJ146-1,""),"")</f>
        <v>0.0733043942256377</v>
      </c>
      <c r="AP222" s="36" t="n">
        <f aca="false">IF(AND(ISNUMBER(AP146),ISNUMBER(AK146)),IFERROR(AP146/AK146-1,""),"")</f>
        <v>0.0547986979839965</v>
      </c>
      <c r="AQ222" s="36" t="n">
        <f aca="false">IF(AND(ISNUMBER(AQ146),ISNUMBER(AL146)),IFERROR(AQ146/AL146-1,""),"")</f>
        <v>0.00591796373737563</v>
      </c>
      <c r="AR222" s="36" t="n">
        <f aca="false">IF(AND(ISNUMBER(AR146),ISNUMBER(AM146)),IFERROR(AR146/AM146-1,""),"")</f>
        <v>0.0365168385231625</v>
      </c>
      <c r="AS222" s="36" t="n">
        <f aca="false">IF(AND(ISNUMBER(AS146),ISNUMBER(AN146)),IFERROR(AS146/AN146-1,""),"")</f>
        <v>0.138614255464808</v>
      </c>
      <c r="AT222" s="36" t="n">
        <f aca="false">IF(AND(ISNUMBER(AT146),ISNUMBER(AO146)),IFERROR(AT146/AO146-1,""),"")</f>
        <v>-2.52552939911856</v>
      </c>
      <c r="AU222" s="36" t="n">
        <f aca="false">IF(AND(ISNUMBER(AU146),ISNUMBER(AP146)),IFERROR(AU146/AP146-1,""),"")</f>
        <v>-0.00666209956696373</v>
      </c>
      <c r="AV222" s="36" t="n">
        <f aca="false">IF(AND(ISNUMBER(AV146),ISNUMBER(AQ146)),IFERROR(AV146/AQ146-1,""),"")</f>
        <v>-0.0194879260404315</v>
      </c>
      <c r="AW222" s="36" t="n">
        <f aca="false">IF(AND(ISNUMBER(AW146),ISNUMBER(AR146)),IFERROR(AW146/AR146-1,""),"")</f>
        <v>-0.638916380431197</v>
      </c>
      <c r="AX222" s="36" t="n">
        <f aca="false">IF(AND(ISNUMBER(AX146),ISNUMBER(AS146)),IFERROR(AX146/AS146-1,""),"")</f>
        <v>0.120767644282868</v>
      </c>
      <c r="AY222" s="36" t="n">
        <f aca="false">IF(AND(ISNUMBER(AY146),ISNUMBER(AT146)),IFERROR(AY146/AT146-1,""),"")</f>
        <v>-1.77969542700113</v>
      </c>
      <c r="AZ222" s="36" t="n">
        <f aca="false">IF(AND(ISNUMBER(AZ146),ISNUMBER(AU146)),IFERROR(AZ146/AU146-1,""),"")</f>
        <v>-0.276294060702694</v>
      </c>
      <c r="BA222" s="36" t="n">
        <f aca="false">IF(AND(ISNUMBER(BA146),ISNUMBER(AV146)),IFERROR(BA146/AV146-1,""),"")</f>
        <v>0.272804500057397</v>
      </c>
      <c r="BB222" s="36" t="n">
        <f aca="false">IF(AND(ISNUMBER(BB146),ISNUMBER(AW146)),IFERROR(BB146/AW146-1,""),"")</f>
        <v>2.01962115919229</v>
      </c>
      <c r="BC222" s="36" t="n">
        <f aca="false">IF(AND(ISNUMBER(BC146),ISNUMBER(AX146)),IFERROR(BC146/AX146-1,""),"")</f>
        <v>0.124852628361477</v>
      </c>
      <c r="BD222" s="36" t="n">
        <f aca="false">IF(AND(ISNUMBER(BD146),ISNUMBER(AY146)),IFERROR(BD146/AY146-1,""),"")</f>
        <v>0.265618734008483</v>
      </c>
      <c r="BE222" s="36" t="n">
        <f aca="false">IF(AND(ISNUMBER(BE146),ISNUMBER(AZ146)),IFERROR(BE146/AZ146-1,""),"")</f>
        <v>1.07125309273394</v>
      </c>
      <c r="BF222" s="36" t="n">
        <f aca="false">IF(AND(ISNUMBER(BF146),ISNUMBER(BA146)),IFERROR(BF146/BA146-1,""),"")</f>
        <v>0.168605804787418</v>
      </c>
      <c r="BG222" s="36" t="n">
        <f aca="false">IF(AND(ISNUMBER(BG146),ISNUMBER(BB146)),IFERROR(BG146/BB146-1,""),"")</f>
        <v>0.352101053803353</v>
      </c>
      <c r="BH222" s="36" t="n">
        <f aca="false">IF(AND(ISNUMBER(BH146),ISNUMBER(BC146)),IFERROR(BH146/BC146-1,""),"")</f>
        <v>0.0969865353474846</v>
      </c>
      <c r="BI222" s="36" t="n">
        <f aca="false">IF(AND(ISNUMBER(BI146),ISNUMBER(BD146)),IFERROR(BI146/BD146-1,""),"")</f>
        <v>-0.0663441541633556</v>
      </c>
      <c r="BJ222" s="36" t="n">
        <f aca="false">IF(AND(ISNUMBER(BJ146),ISNUMBER(BE146)),IFERROR(BJ146/BE146-1,""),"")</f>
        <v>-0.0332866211926791</v>
      </c>
      <c r="BK222" s="36" t="n">
        <f aca="false">IF(AND(ISNUMBER(BK146),ISNUMBER(BF146)),IFERROR(BK146/BF146-1,""),"")</f>
        <v>-0.347817362311683</v>
      </c>
      <c r="BL222" s="36" t="n">
        <f aca="false">IF(AND(ISNUMBER(BL146),ISNUMBER(BG146)),IFERROR(BL146/BG146-1,""),"")</f>
        <v>-0.087190754156586</v>
      </c>
      <c r="BM222" s="36" t="n">
        <f aca="false">IF(AND(ISNUMBER(BM146),ISNUMBER(BH146)),IFERROR(BM146/BH146-1,""),"")</f>
        <v>0.162987265750987</v>
      </c>
      <c r="BN222" s="36" t="n">
        <f aca="false">IF(AND(ISNUMBER(BN146),ISNUMBER(BI146)),IFERROR(BN146/BI146-1,""),"")</f>
        <v>0.316761309318955</v>
      </c>
      <c r="BO222" s="36" t="n">
        <f aca="false">IF(AND(ISNUMBER(BO146),ISNUMBER(BJ146)),IFERROR(BO146/BJ146-1,""),"")</f>
        <v>0.345026328888422</v>
      </c>
      <c r="BP222" s="36" t="n">
        <f aca="false">IF(AND(ISNUMBER(BP146),ISNUMBER(BK146)),IFERROR(BP146/BK146-1,""),"")</f>
        <v>-2.54634604309168</v>
      </c>
      <c r="BQ222" s="36" t="n">
        <f aca="false">IF(AND(ISNUMBER(BQ146),ISNUMBER(BL146)),IFERROR(BQ146/BL146-1,""),"")</f>
        <v>-0.19038673308862</v>
      </c>
      <c r="BR222" s="36" t="n">
        <f aca="false">IF(AND(ISNUMBER(BR146),ISNUMBER(BM146)),IFERROR(BR146/BM146-1,""),"")</f>
        <v>0.0497970041816274</v>
      </c>
      <c r="BS222" s="36" t="n">
        <f aca="false">IF(AND(ISNUMBER(BS146),ISNUMBER(BN146)),IFERROR(BS146/BN146-1,""),"")</f>
        <v>0.0537213633080069</v>
      </c>
      <c r="BT222" s="36" t="n">
        <f aca="false">IF(AND(ISNUMBER(BT146),ISNUMBER(BO146)),IFERROR(BT146/BO146-1,""),"")</f>
        <v>-0.0706874947248134</v>
      </c>
      <c r="BU222" s="36" t="n">
        <f aca="false">IF(AND(ISNUMBER(BU146),ISNUMBER(BP146)),IFERROR(BU146/BP146-1,""),"")</f>
        <v>-2.31885063570131</v>
      </c>
      <c r="BV222" s="36" t="n">
        <f aca="false">IF(AND(ISNUMBER(BV146),ISNUMBER(BQ146)),IFERROR(BV146/BQ146-1,""),"")</f>
        <v>0.743206066327383</v>
      </c>
      <c r="BW222" s="36" t="n">
        <f aca="false">IF(AND(ISNUMBER(BW146),ISNUMBER(BR146)),IFERROR(BW146/BR146-1,""),"")</f>
        <v>-0.0917808786385661</v>
      </c>
      <c r="BX222" s="36" t="n">
        <f aca="false">IF(AND(ISNUMBER(BX146),ISNUMBER(BS146)),IFERROR(BX146/BS146-1,""),"")</f>
        <v>0.0210937177031509</v>
      </c>
      <c r="BY222" s="37" t="n">
        <f aca="false">IFERROR(BY146/BT146-1,"")</f>
        <v>0.201325427190566</v>
      </c>
      <c r="BZ222" s="37" t="n">
        <f aca="false">IFERROR(BZ146/BU146-1,"")</f>
        <v>0.215233642679806</v>
      </c>
      <c r="CA222" s="37" t="n">
        <f aca="false">IFERROR(CA146/BV146-1,"")</f>
        <v>0.0903143335652434</v>
      </c>
      <c r="CB222" s="37" t="n">
        <f aca="false">IFERROR(CB146/CA146-1,"")</f>
        <v>0.167174311803917</v>
      </c>
      <c r="CC222" s="37" t="n">
        <f aca="false">IFERROR(CC146/CB146-1,"")</f>
        <v>0.087279193512215</v>
      </c>
      <c r="CD222" s="37" t="n">
        <f aca="false">IFERROR(CD146/CC146-1,"")</f>
        <v>0.0831761870968848</v>
      </c>
      <c r="CE222" s="37" t="n">
        <f aca="false">IFERROR(CE146/CD146-1,"")</f>
        <v>0.0779081973841498</v>
      </c>
      <c r="CF222" s="21"/>
    </row>
    <row r="223" customFormat="false" ht="15" hidden="false" customHeight="true" outlineLevel="0" collapsed="false">
      <c r="B223" s="34" t="s">
        <v>413</v>
      </c>
      <c r="C223" s="35"/>
      <c r="D223" s="36" t="n">
        <f aca="false">IF(AND(ISNUMBER(D210),ISNUMBER(C210)),IFERROR(D210/C210-1,""),"")</f>
        <v>0.287304551304838</v>
      </c>
      <c r="E223" s="36" t="n">
        <f aca="false">IF(AND(ISNUMBER(E210),ISNUMBER(D210)),IFERROR(E210/D210-1,""),"")</f>
        <v>0.0181293412783419</v>
      </c>
      <c r="F223" s="36" t="n">
        <f aca="false">IF(AND(ISNUMBER(F210),ISNUMBER(E210)),IFERROR(F210/E210-1,""),"")</f>
        <v>0.0183761767288166</v>
      </c>
      <c r="G223" s="36" t="n">
        <f aca="false">IF(AND(ISNUMBER(G210),ISNUMBER(F210)),IFERROR(G210/F210-1,""),"")</f>
        <v>0.268062795024713</v>
      </c>
      <c r="H223" s="36" t="n">
        <f aca="false">IF(AND(ISNUMBER(H210),ISNUMBER(G210)),IFERROR(H210/G210-1,""),"")</f>
        <v>0.189199865679545</v>
      </c>
      <c r="I223" s="36" t="n">
        <f aca="false">IF(AND(ISNUMBER(I210),ISNUMBER(H210)),IFERROR(I210/H210-1,""),"")</f>
        <v>0.0461610746697461</v>
      </c>
      <c r="J223" s="35"/>
      <c r="K223" s="35"/>
      <c r="L223" s="35"/>
      <c r="M223" s="35"/>
      <c r="N223" s="36" t="n">
        <f aca="false">IF(AND(ISNUMBER(N210),ISNUMBER(I210)),IFERROR(N210/I210-1,""),"")</f>
        <v>0.157102991627944</v>
      </c>
      <c r="O223" s="36" t="n">
        <f aca="false">IF(AND(ISNUMBER(O210),ISNUMBER(J210)),IFERROR(O210/J210-1,""),"")</f>
        <v>0.183486887072317</v>
      </c>
      <c r="P223" s="36" t="n">
        <f aca="false">IF(AND(ISNUMBER(P210),ISNUMBER(K210)),IFERROR(P210/K210-1,""),"")</f>
        <v>0.138285241421732</v>
      </c>
      <c r="Q223" s="36" t="n">
        <f aca="false">IF(AND(ISNUMBER(Q210),ISNUMBER(L210)),IFERROR(Q210/L210-1,""),"")</f>
        <v>0.097784730041796</v>
      </c>
      <c r="R223" s="36" t="n">
        <f aca="false">IF(AND(ISNUMBER(R210),ISNUMBER(M210)),IFERROR(R210/M210-1,""),"")</f>
        <v>0.157628103758955</v>
      </c>
      <c r="S223" s="36" t="n">
        <f aca="false">IF(AND(ISNUMBER(S210),ISNUMBER(N210)),IFERROR(S210/N210-1,""),"")</f>
        <v>0.140656771231492</v>
      </c>
      <c r="T223" s="36" t="n">
        <f aca="false">IF(AND(ISNUMBER(T210),ISNUMBER(O210)),IFERROR(T210/O210-1,""),"")</f>
        <v>0.0470325595758305</v>
      </c>
      <c r="U223" s="36" t="n">
        <f aca="false">IF(AND(ISNUMBER(U210),ISNUMBER(P210)),IFERROR(U210/P210-1,""),"")</f>
        <v>-0.0647850596459827</v>
      </c>
      <c r="V223" s="36" t="n">
        <f aca="false">IF(AND(ISNUMBER(V210),ISNUMBER(Q210)),IFERROR(V210/Q210-1,""),"")</f>
        <v>-4.62994459449494</v>
      </c>
      <c r="W223" s="36" t="n">
        <f aca="false">IF(AND(ISNUMBER(W210),ISNUMBER(R210)),IFERROR(W210/R210-1,""),"")</f>
        <v>-0.042632262927544</v>
      </c>
      <c r="X223" s="36" t="n">
        <f aca="false">IF(AND(ISNUMBER(X210),ISNUMBER(S210)),IFERROR(X210/S210-1,""),"")</f>
        <v>-0.0266284561993105</v>
      </c>
      <c r="Y223" s="36" t="n">
        <f aca="false">IF(AND(ISNUMBER(Y210),ISNUMBER(T210)),IFERROR(Y210/T210-1,""),"")</f>
        <v>-0.0217507681259154</v>
      </c>
      <c r="Z223" s="36" t="n">
        <f aca="false">IF(AND(ISNUMBER(Z210),ISNUMBER(U210)),IFERROR(Z210/U210-1,""),"")</f>
        <v>0.336370645925571</v>
      </c>
      <c r="AA223" s="36" t="n">
        <f aca="false">IF(AND(ISNUMBER(AA210),ISNUMBER(V210)),IFERROR(AA210/V210-1,""),"")</f>
        <v>-1.35219086660547</v>
      </c>
      <c r="AB223" s="36" t="n">
        <f aca="false">IF(AND(ISNUMBER(AB210),ISNUMBER(W210)),IFERROR(AB210/W210-1,""),"")</f>
        <v>0.407663583698947</v>
      </c>
      <c r="AC223" s="36" t="n">
        <f aca="false">IF(AND(ISNUMBER(AC210),ISNUMBER(X210)),IFERROR(AC210/X210-1,""),"")</f>
        <v>0.293522430580941</v>
      </c>
      <c r="AD223" s="36" t="n">
        <f aca="false">IF(AND(ISNUMBER(AD210),ISNUMBER(Y210)),IFERROR(AD210/Y210-1,""),"")</f>
        <v>0.656465806445214</v>
      </c>
      <c r="AE223" s="36" t="n">
        <f aca="false">IF(AND(ISNUMBER(AE210),ISNUMBER(Z210)),IFERROR(AE210/Z210-1,""),"")</f>
        <v>0.246062339853286</v>
      </c>
      <c r="AF223" s="36" t="n">
        <f aca="false">IF(AND(ISNUMBER(AF210),ISNUMBER(AA210)),IFERROR(AF210/AA210-1,""),"")</f>
        <v>0.247386506521925</v>
      </c>
      <c r="AG223" s="36" t="n">
        <f aca="false">IF(AND(ISNUMBER(AG210),ISNUMBER(AB210)),IFERROR(AG210/AB210-1,""),"")</f>
        <v>0.136183660984818</v>
      </c>
      <c r="AH223" s="36" t="n">
        <f aca="false">IF(AND(ISNUMBER(AH210),ISNUMBER(AC210)),IFERROR(AH210/AC210-1,""),"")</f>
        <v>0.262563659879248</v>
      </c>
      <c r="AI223" s="36" t="n">
        <f aca="false">IF(AND(ISNUMBER(AI210),ISNUMBER(AD210)),IFERROR(AI210/AD210-1,""),"")</f>
        <v>0.137149828651803</v>
      </c>
      <c r="AJ223" s="36" t="n">
        <f aca="false">IF(AND(ISNUMBER(AJ210),ISNUMBER(AE210)),IFERROR(AJ210/AE210-1,""),"")</f>
        <v>0.183752316882445</v>
      </c>
      <c r="AK223" s="36" t="n">
        <f aca="false">IF(AND(ISNUMBER(AK210),ISNUMBER(AF210)),IFERROR(AK210/AF210-1,""),"")</f>
        <v>0.14969333425968</v>
      </c>
      <c r="AL223" s="36" t="n">
        <f aca="false">IF(AND(ISNUMBER(AL210),ISNUMBER(AG210)),IFERROR(AL210/AG210-1,""),"")</f>
        <v>0.213538618263689</v>
      </c>
      <c r="AM223" s="36" t="n">
        <f aca="false">IF(AND(ISNUMBER(AM210),ISNUMBER(AH210)),IFERROR(AM210/AH210-1,""),"")</f>
        <v>0.168867199008157</v>
      </c>
      <c r="AN223" s="36" t="n">
        <f aca="false">IF(AND(ISNUMBER(AN210),ISNUMBER(AI210)),IFERROR(AN210/AI210-1,""),"")</f>
        <v>0.104176352232824</v>
      </c>
      <c r="AO223" s="36" t="n">
        <f aca="false">IF(AND(ISNUMBER(AO210),ISNUMBER(AJ210)),IFERROR(AO210/AJ210-1,""),"")</f>
        <v>0.0511811177766388</v>
      </c>
      <c r="AP223" s="36" t="n">
        <f aca="false">IF(AND(ISNUMBER(AP210),ISNUMBER(AK210)),IFERROR(AP210/AK210-1,""),"")</f>
        <v>0.0600895285563012</v>
      </c>
      <c r="AQ223" s="36" t="n">
        <f aca="false">IF(AND(ISNUMBER(AQ210),ISNUMBER(AL210)),IFERROR(AQ210/AL210-1,""),"")</f>
        <v>0.0907172807089927</v>
      </c>
      <c r="AR223" s="36" t="n">
        <f aca="false">IF(AND(ISNUMBER(AR210),ISNUMBER(AM210)),IFERROR(AR210/AM210-1,""),"")</f>
        <v>0.0778350091811644</v>
      </c>
      <c r="AS223" s="36" t="n">
        <f aca="false">IF(AND(ISNUMBER(AS210),ISNUMBER(AN210)),IFERROR(AS210/AN210-1,""),"")</f>
        <v>0.0403479971695824</v>
      </c>
      <c r="AT223" s="36" t="n">
        <f aca="false">IF(AND(ISNUMBER(AT210),ISNUMBER(AO210)),IFERROR(AT210/AO210-1,""),"")</f>
        <v>-0.124707172423494</v>
      </c>
      <c r="AU223" s="36" t="n">
        <f aca="false">IF(AND(ISNUMBER(AU210),ISNUMBER(AP210)),IFERROR(AU210/AP210-1,""),"")</f>
        <v>-0.0182745324015631</v>
      </c>
      <c r="AV223" s="36" t="n">
        <f aca="false">IF(AND(ISNUMBER(AV210),ISNUMBER(AQ210)),IFERROR(AV210/AQ210-1,""),"")</f>
        <v>-0.0115061717125464</v>
      </c>
      <c r="AW223" s="36" t="n">
        <f aca="false">IF(AND(ISNUMBER(AW210),ISNUMBER(AR210)),IFERROR(AW210/AR210-1,""),"")</f>
        <v>-0.0299642319741975</v>
      </c>
      <c r="AX223" s="36" t="n">
        <f aca="false">IF(AND(ISNUMBER(AX210),ISNUMBER(AS210)),IFERROR(AX210/AS210-1,""),"")</f>
        <v>0.0922727420441569</v>
      </c>
      <c r="AY223" s="36" t="n">
        <f aca="false">IF(AND(ISNUMBER(AY210),ISNUMBER(AT210)),IFERROR(AY210/AT210-1,""),"")</f>
        <v>0.344776314057246</v>
      </c>
      <c r="AZ223" s="36" t="n">
        <f aca="false">IF(AND(ISNUMBER(AZ210),ISNUMBER(AU210)),IFERROR(AZ210/AU210-1,""),"")</f>
        <v>0.247025265460387</v>
      </c>
      <c r="BA223" s="36" t="n">
        <f aca="false">IF(AND(ISNUMBER(BA210),ISNUMBER(AV210)),IFERROR(BA210/AV210-1,""),"")</f>
        <v>0.226439014109451</v>
      </c>
      <c r="BB223" s="36" t="n">
        <f aca="false">IF(AND(ISNUMBER(BB210),ISNUMBER(AW210)),IFERROR(BB210/AW210-1,""),"")</f>
        <v>0.225860972446473</v>
      </c>
      <c r="BC223" s="36" t="n">
        <f aca="false">IF(AND(ISNUMBER(BC210),ISNUMBER(AX210)),IFERROR(BC210/AX210-1,""),"")</f>
        <v>0.166862646395954</v>
      </c>
      <c r="BD223" s="36" t="n">
        <f aca="false">IF(AND(ISNUMBER(BD210),ISNUMBER(AY210)),IFERROR(BD210/AY210-1,""),"")</f>
        <v>0.236785980862175</v>
      </c>
      <c r="BE223" s="36" t="n">
        <f aca="false">IF(AND(ISNUMBER(BE210),ISNUMBER(AZ210)),IFERROR(BE210/AZ210-1,""),"")</f>
        <v>0.237578186480816</v>
      </c>
      <c r="BF223" s="36" t="n">
        <f aca="false">IF(AND(ISNUMBER(BF210),ISNUMBER(BA210)),IFERROR(BF210/BA210-1,""),"")</f>
        <v>0.0716279332769758</v>
      </c>
      <c r="BG223" s="36" t="n">
        <f aca="false">IF(AND(ISNUMBER(BG210),ISNUMBER(BB210)),IFERROR(BG210/BB210-1,""),"")</f>
        <v>0.180442152985592</v>
      </c>
      <c r="BH223" s="36" t="n">
        <f aca="false">IF(AND(ISNUMBER(BH210),ISNUMBER(BC210)),IFERROR(BH210/BC210-1,""),"")</f>
        <v>0.0859601133554193</v>
      </c>
      <c r="BI223" s="36" t="n">
        <f aca="false">IF(AND(ISNUMBER(BI210),ISNUMBER(BD210)),IFERROR(BI210/BD210-1,""),"")</f>
        <v>0.0186942823002962</v>
      </c>
      <c r="BJ223" s="36" t="n">
        <f aca="false">IF(AND(ISNUMBER(BJ210),ISNUMBER(BE210)),IFERROR(BJ210/BE210-1,""),"")</f>
        <v>0.0622366945867903</v>
      </c>
      <c r="BK223" s="36" t="n">
        <f aca="false">IF(AND(ISNUMBER(BK210),ISNUMBER(BF210)),IFERROR(BK210/BF210-1,""),"")</f>
        <v>0.240945021824929</v>
      </c>
      <c r="BL223" s="36" t="n">
        <f aca="false">IF(AND(ISNUMBER(BL210),ISNUMBER(BG210)),IFERROR(BL210/BG210-1,""),"")</f>
        <v>0.0969440091589204</v>
      </c>
      <c r="BM223" s="36" t="n">
        <f aca="false">IF(AND(ISNUMBER(BM210),ISNUMBER(BH210)),IFERROR(BM210/BH210-1,""),"")</f>
        <v>0.163922260499336</v>
      </c>
      <c r="BN223" s="36" t="n">
        <f aca="false">IF(AND(ISNUMBER(BN210),ISNUMBER(BI210)),IFERROR(BN210/BI210-1,""),"")</f>
        <v>0.21786176739009</v>
      </c>
      <c r="BO223" s="36" t="n">
        <f aca="false">IF(AND(ISNUMBER(BO210),ISNUMBER(BJ210)),IFERROR(BO210/BJ210-1,""),"")</f>
        <v>0.152581551846654</v>
      </c>
      <c r="BP223" s="36" t="n">
        <f aca="false">IF(AND(ISNUMBER(BP210),ISNUMBER(BK210)),IFERROR(BP210/BK210-1,""),"")</f>
        <v>0.0506960244589605</v>
      </c>
      <c r="BQ223" s="36" t="n">
        <f aca="false">IF(AND(ISNUMBER(BQ210),ISNUMBER(BL210)),IFERROR(BQ210/BL210-1,""),"")</f>
        <v>0.143890829932582</v>
      </c>
      <c r="BR223" s="36" t="n">
        <f aca="false">IF(AND(ISNUMBER(BR210),ISNUMBER(BM210)),IFERROR(BR210/BM210-1,""),"")</f>
        <v>0.0892282108727796</v>
      </c>
      <c r="BS223" s="36" t="n">
        <f aca="false">IF(AND(ISNUMBER(BS210),ISNUMBER(BN210)),IFERROR(BS210/BN210-1,""),"")</f>
        <v>0.0390884904829225</v>
      </c>
      <c r="BT223" s="36" t="n">
        <f aca="false">IF(AND(ISNUMBER(BT210),ISNUMBER(BO210)),IFERROR(BT210/BO210-1,""),"")</f>
        <v>0.0678418471951612</v>
      </c>
      <c r="BU223" s="36" t="n">
        <f aca="false">IF(AND(ISNUMBER(BU210),ISNUMBER(BP210)),IFERROR(BU210/BP210-1,""),"")</f>
        <v>0.108272124028391</v>
      </c>
      <c r="BV223" s="36" t="n">
        <f aca="false">IF(AND(ISNUMBER(BV210),ISNUMBER(BQ210)),IFERROR(BV210/BQ210-1,""),"")</f>
        <v>0.0746961438086962</v>
      </c>
      <c r="BW223" s="36" t="n">
        <f aca="false">IF(AND(ISNUMBER(BW210),ISNUMBER(BR210)),IFERROR(BW210/BR210-1,""),"")</f>
        <v>0.0869613744975493</v>
      </c>
      <c r="BX223" s="36" t="n">
        <f aca="false">IF(AND(ISNUMBER(BX210),ISNUMBER(BS210)),IFERROR(BX210/BS210-1,""),"")</f>
        <v>0.169034550922311</v>
      </c>
      <c r="BY223" s="37" t="n">
        <f aca="false">IFERROR(BY210/BT210-1,"")</f>
        <v>0.0398947499464741</v>
      </c>
      <c r="BZ223" s="37" t="n">
        <f aca="false">IFERROR(BZ210/BU210-1,"")</f>
        <v>0.081272240801332</v>
      </c>
      <c r="CA223" s="37" t="n">
        <f aca="false">IFERROR(CA210/BV210-1,"")</f>
        <v>0.0926763810556952</v>
      </c>
      <c r="CB223" s="37" t="n">
        <f aca="false">IFERROR(CB210/CA210-1,"")</f>
        <v>0.0882249554596362</v>
      </c>
      <c r="CC223" s="37" t="n">
        <f aca="false">IFERROR(CC210/CB210-1,"")</f>
        <v>0.11283094363158</v>
      </c>
      <c r="CD223" s="37" t="n">
        <f aca="false">IFERROR(CD210/CC210-1,"")</f>
        <v>0.11128124489999</v>
      </c>
      <c r="CE223" s="37" t="n">
        <f aca="false">IFERROR(CE210/CD210-1,"")</f>
        <v>0.108329173560219</v>
      </c>
      <c r="CF223" s="21"/>
    </row>
    <row r="224" customFormat="false" ht="15" hidden="false" customHeight="true" outlineLevel="0" collapsed="false">
      <c r="B224" s="29" t="s">
        <v>414</v>
      </c>
      <c r="C224" s="38" t="n">
        <f aca="false">C119</f>
        <v>0.597760185551353</v>
      </c>
      <c r="D224" s="38" t="n">
        <f aca="false">D119</f>
        <v>0.590573590488044</v>
      </c>
      <c r="E224" s="38" t="n">
        <f aca="false">E119</f>
        <v>0.598392916178784</v>
      </c>
      <c r="F224" s="38" t="n">
        <f aca="false">F119</f>
        <v>0.581181020872206</v>
      </c>
      <c r="G224" s="38" t="n">
        <f aca="false">G119</f>
        <v>0.567897726626947</v>
      </c>
      <c r="H224" s="38" t="n">
        <f aca="false">H119</f>
        <v>0.569682057386709</v>
      </c>
      <c r="I224" s="38" t="n">
        <f aca="false">I119</f>
        <v>0.575557679322203</v>
      </c>
      <c r="J224" s="38" t="n">
        <f aca="false">J119</f>
        <v>0.560052190303451</v>
      </c>
      <c r="K224" s="38" t="n">
        <f aca="false">K119</f>
        <v>0.548619582697326</v>
      </c>
      <c r="L224" s="38" t="n">
        <f aca="false">L119</f>
        <v>0.544312870547964</v>
      </c>
      <c r="M224" s="38" t="n">
        <f aca="false">M119</f>
        <v>0.556171623682537</v>
      </c>
      <c r="N224" s="38" t="n">
        <f aca="false">N119</f>
        <v>0.552064371796899</v>
      </c>
      <c r="O224" s="38" t="n">
        <f aca="false">O119</f>
        <v>0.546098274895684</v>
      </c>
      <c r="P224" s="38" t="n">
        <f aca="false">P119</f>
        <v>0.546891229728622</v>
      </c>
      <c r="Q224" s="38" t="n">
        <f aca="false">Q119</f>
        <v>0.54496103748781</v>
      </c>
      <c r="R224" s="38" t="n">
        <f aca="false">R119</f>
        <v>0.552111027283628</v>
      </c>
      <c r="S224" s="38" t="n">
        <f aca="false">S119</f>
        <v>0.547521458123113</v>
      </c>
      <c r="T224" s="38" t="n">
        <f aca="false">T119</f>
        <v>0.555469274846868</v>
      </c>
      <c r="U224" s="38" t="n">
        <f aca="false">U119</f>
        <v>0.559816077935375</v>
      </c>
      <c r="V224" s="38" t="n">
        <f aca="false">V119</f>
        <v>0.549167971558826</v>
      </c>
      <c r="W224" s="38" t="n">
        <f aca="false">W119</f>
        <v>0.560102042159128</v>
      </c>
      <c r="X224" s="38" t="n">
        <f aca="false">X119</f>
        <v>0.556093245743256</v>
      </c>
      <c r="Y224" s="38" t="n">
        <f aca="false">Y119</f>
        <v>0.558001088054714</v>
      </c>
      <c r="Z224" s="38" t="n">
        <f aca="false">Z119</f>
        <v>0.572072140168408</v>
      </c>
      <c r="AA224" s="38" t="n">
        <f aca="false">AA119</f>
        <v>0.586502992841882</v>
      </c>
      <c r="AB224" s="38" t="n">
        <f aca="false">AB119</f>
        <v>0.589295284668832</v>
      </c>
      <c r="AC224" s="38" t="n">
        <f aca="false">AC119</f>
        <v>0.57991452852204</v>
      </c>
      <c r="AD224" s="38" t="n">
        <f aca="false">AD119</f>
        <v>0.589572111657469</v>
      </c>
      <c r="AE224" s="38" t="n">
        <f aca="false">AE119</f>
        <v>0.583462136208083</v>
      </c>
      <c r="AF224" s="38" t="n">
        <f aca="false">AF119</f>
        <v>0.576158040179763</v>
      </c>
      <c r="AG224" s="38" t="n">
        <f aca="false">AG119</f>
        <v>0.587960334435155</v>
      </c>
      <c r="AH224" s="38" t="n">
        <f aca="false">AH119</f>
        <v>0.584123098904478</v>
      </c>
      <c r="AI224" s="38" t="n">
        <f aca="false">AI119</f>
        <v>0.578708060740389</v>
      </c>
      <c r="AJ224" s="38" t="n">
        <f aca="false">AJ119</f>
        <v>0.584710250587112</v>
      </c>
      <c r="AK224" s="38" t="n">
        <f aca="false">AK119</f>
        <v>0.574597029138794</v>
      </c>
      <c r="AL224" s="38" t="n">
        <f aca="false">AL119</f>
        <v>0.590265603155028</v>
      </c>
      <c r="AM224" s="38" t="n">
        <f aca="false">AM119</f>
        <v>0.582112196753932</v>
      </c>
      <c r="AN224" s="38" t="n">
        <f aca="false">AN119</f>
        <v>0.589481109753286</v>
      </c>
      <c r="AO224" s="38" t="n">
        <f aca="false">AO119</f>
        <v>0.595645275871963</v>
      </c>
      <c r="AP224" s="38" t="n">
        <f aca="false">AP119</f>
        <v>0.591243263449737</v>
      </c>
      <c r="AQ224" s="38" t="n">
        <f aca="false">AQ119</f>
        <v>0.597778202002996</v>
      </c>
      <c r="AR224" s="38" t="n">
        <f aca="false">AR119</f>
        <v>0.59360689326642</v>
      </c>
      <c r="AS224" s="38" t="n">
        <f aca="false">AS119</f>
        <v>0.602944090671131</v>
      </c>
      <c r="AT224" s="38" t="n">
        <f aca="false">AT119</f>
        <v>0.601716059801713</v>
      </c>
      <c r="AU224" s="38" t="n">
        <f aca="false">AU119</f>
        <v>0.596467062765553</v>
      </c>
      <c r="AV224" s="38" t="n">
        <f aca="false">AV119</f>
        <v>0.605650201573251</v>
      </c>
      <c r="AW224" s="38" t="n">
        <f aca="false">AW119</f>
        <v>0.601691887058184</v>
      </c>
      <c r="AX224" s="38" t="n">
        <f aca="false">AX119</f>
        <v>0.591657819594224</v>
      </c>
      <c r="AY224" s="38" t="n">
        <f aca="false">AY119</f>
        <v>0.587504261925732</v>
      </c>
      <c r="AZ224" s="38" t="n">
        <f aca="false">AZ119</f>
        <v>0.592359726716288</v>
      </c>
      <c r="BA224" s="38" t="n">
        <f aca="false">BA119</f>
        <v>0.603862295522</v>
      </c>
      <c r="BB224" s="38" t="n">
        <f aca="false">BB119</f>
        <v>0.594026915344425</v>
      </c>
      <c r="BC224" s="38" t="n">
        <f aca="false">BC119</f>
        <v>0.601072130380773</v>
      </c>
      <c r="BD224" s="38" t="n">
        <f aca="false">BD119</f>
        <v>0.598916008555219</v>
      </c>
      <c r="BE224" s="38" t="n">
        <f aca="false">BE119</f>
        <v>0.596121110631172</v>
      </c>
      <c r="BF224" s="38" t="n">
        <f aca="false">BF119</f>
        <v>0.608769267228766</v>
      </c>
      <c r="BG224" s="38" t="n">
        <f aca="false">BG119</f>
        <v>0.601233607035301</v>
      </c>
      <c r="BH224" s="38" t="n">
        <f aca="false">BH119</f>
        <v>0.603493390960183</v>
      </c>
      <c r="BI224" s="38" t="n">
        <f aca="false">BI119</f>
        <v>0.59242588794688</v>
      </c>
      <c r="BJ224" s="38" t="n">
        <f aca="false">BJ119</f>
        <v>0.583415183674102</v>
      </c>
      <c r="BK224" s="38" t="n">
        <f aca="false">BK119</f>
        <v>0.587352482721387</v>
      </c>
      <c r="BL224" s="38" t="n">
        <f aca="false">BL119</f>
        <v>0.591441284046736</v>
      </c>
      <c r="BM224" s="38" t="n">
        <f aca="false">BM119</f>
        <v>0.589477833482016</v>
      </c>
      <c r="BN224" s="38" t="n">
        <f aca="false">BN119</f>
        <v>0.578725058558843</v>
      </c>
      <c r="BO224" s="38" t="n">
        <f aca="false">BO119</f>
        <v>0.574764121090209</v>
      </c>
      <c r="BP224" s="38" t="n">
        <f aca="false">BP119</f>
        <v>0.586109792446344</v>
      </c>
      <c r="BQ224" s="38" t="n">
        <f aca="false">BQ119</f>
        <v>0.582056509093298</v>
      </c>
      <c r="BR224" s="38" t="n">
        <f aca="false">BR119</f>
        <v>0.579596495070407</v>
      </c>
      <c r="BS224" s="38" t="n">
        <f aca="false">BS119</f>
        <v>0.578656075577833</v>
      </c>
      <c r="BT224" s="38" t="n">
        <f aca="false">BT119</f>
        <v>0.572269195380043</v>
      </c>
      <c r="BU224" s="38" t="n">
        <f aca="false">BU119</f>
        <v>0.574822210031071</v>
      </c>
      <c r="BV224" s="38" t="n">
        <f aca="false">BV119</f>
        <v>0.57625762986147</v>
      </c>
      <c r="BW224" s="38" t="n">
        <f aca="false">BW119</f>
        <v>0.574150510982097</v>
      </c>
      <c r="BX224" s="38" t="n">
        <f aca="false">BX119</f>
        <v>0.577456651234948</v>
      </c>
      <c r="BY224" s="37" t="n">
        <f aca="false">BY119</f>
        <v>0.56969262698231</v>
      </c>
      <c r="BZ224" s="37" t="n">
        <f aca="false">BZ119</f>
        <v>0.572245641633337</v>
      </c>
      <c r="CA224" s="37" t="n">
        <f aca="false">CA119</f>
        <v>0.573365193991381</v>
      </c>
      <c r="CB224" s="37" t="n">
        <f aca="false">CB119</f>
        <v>0.568</v>
      </c>
      <c r="CC224" s="37" t="n">
        <f aca="false">CC119</f>
        <v>0.566</v>
      </c>
      <c r="CD224" s="37" t="n">
        <f aca="false">CD119</f>
        <v>0.564</v>
      </c>
      <c r="CE224" s="37" t="n">
        <f aca="false">CE119</f>
        <v>0.562</v>
      </c>
      <c r="CF224" s="21"/>
      <c r="CH224" s="41" t="n">
        <f aca="false">IFERROR(AVERAGE(CA224,CB224,CC224,CD224,CE224),"n/m")</f>
        <v>0.566673038798276</v>
      </c>
      <c r="CI224" s="41" t="n">
        <f aca="false">IFERROR(AVERAGE(BB224,BG224,BL224,BQ224,BV224),"n/m")</f>
        <v>0.589003189076246</v>
      </c>
      <c r="CJ224" s="41" t="n">
        <f aca="false">IFERROR(AVERAGE(AC224,AH224,AM224,AR224,AW224,BB224,BG224,BL224,BQ224,BV224),"n/m")</f>
        <v>0.588646454988629</v>
      </c>
      <c r="CK224" s="41" t="n">
        <f aca="false">IFERROR(AVERAGE(C224,D224,E224,F224,G224,H224,I224,N224,S224,X224,AC224,AH224,AM224,AR224,AW224,BB224,BG224,BL224,BQ224,BV224),"n/m")</f>
        <v>0.58115944009879</v>
      </c>
    </row>
    <row r="225" customFormat="false" ht="15" hidden="false" customHeight="true" outlineLevel="0" collapsed="false">
      <c r="B225" s="29" t="s">
        <v>355</v>
      </c>
      <c r="C225" s="38" t="n">
        <f aca="false">C181</f>
        <v>0.299685571975147</v>
      </c>
      <c r="D225" s="38" t="n">
        <f aca="false">D181</f>
        <v>0.305555004950232</v>
      </c>
      <c r="E225" s="38" t="n">
        <f aca="false">E181</f>
        <v>0.29850714984618</v>
      </c>
      <c r="F225" s="38" t="n">
        <f aca="false">F181</f>
        <v>0.309581305245205</v>
      </c>
      <c r="G225" s="38" t="n">
        <f aca="false">G181</f>
        <v>0.321465997149475</v>
      </c>
      <c r="H225" s="38" t="n">
        <f aca="false">H181</f>
        <v>0.325190020234282</v>
      </c>
      <c r="I225" s="38" t="n">
        <f aca="false">I181</f>
        <v>0.318014730220785</v>
      </c>
      <c r="J225" s="38" t="n">
        <f aca="false">J181</f>
        <v>0.324664586167347</v>
      </c>
      <c r="K225" s="38" t="n">
        <f aca="false">K181</f>
        <v>0.346049397095515</v>
      </c>
      <c r="L225" s="38" t="n">
        <f aca="false">L181</f>
        <v>0.351592189752326</v>
      </c>
      <c r="M225" s="38" t="n">
        <f aca="false">M181</f>
        <v>0.338585691440427</v>
      </c>
      <c r="N225" s="38" t="n">
        <f aca="false">N181</f>
        <v>0.34062821606236</v>
      </c>
      <c r="O225" s="38" t="n">
        <f aca="false">O181</f>
        <v>0.340740279421229</v>
      </c>
      <c r="P225" s="38" t="n">
        <f aca="false">P181</f>
        <v>0.347761452887689</v>
      </c>
      <c r="Q225" s="38" t="n">
        <f aca="false">Q181</f>
        <v>0.351872011943991</v>
      </c>
      <c r="R225" s="38" t="n">
        <f aca="false">R181</f>
        <v>0.33856062088926</v>
      </c>
      <c r="S225" s="38" t="n">
        <f aca="false">S181</f>
        <v>0.344887325013972</v>
      </c>
      <c r="T225" s="38" t="n">
        <f aca="false">T181</f>
        <v>0.332542975696503</v>
      </c>
      <c r="U225" s="38" t="n">
        <f aca="false">U181</f>
        <v>0.33441744210558</v>
      </c>
      <c r="V225" s="38" t="n">
        <f aca="false">V181</f>
        <v>0.344900335439411</v>
      </c>
      <c r="W225" s="38" t="n">
        <f aca="false">W181</f>
        <v>0.330195117090934</v>
      </c>
      <c r="X225" s="38" t="n">
        <f aca="false">X181</f>
        <v>0.335621481641365</v>
      </c>
      <c r="Y225" s="38" t="n">
        <f aca="false">Y181</f>
        <v>0.329791326649569</v>
      </c>
      <c r="Z225" s="38" t="n">
        <f aca="false">Z181</f>
        <v>0.321009456612414</v>
      </c>
      <c r="AA225" s="38" t="n">
        <f aca="false">AA181</f>
        <v>0.315528673950754</v>
      </c>
      <c r="AB225" s="38" t="n">
        <f aca="false">AB181</f>
        <v>0.310357783834404</v>
      </c>
      <c r="AC225" s="38" t="n">
        <f aca="false">AC181</f>
        <v>0.317278574397125</v>
      </c>
      <c r="AD225" s="38" t="n">
        <f aca="false">AD181</f>
        <v>0.304965975298415</v>
      </c>
      <c r="AE225" s="38" t="n">
        <f aca="false">AE181</f>
        <v>0.317844380040644</v>
      </c>
      <c r="AF225" s="38" t="n">
        <f aca="false">AF181</f>
        <v>0.326053189531844</v>
      </c>
      <c r="AG225" s="38" t="n">
        <f aca="false">AG181</f>
        <v>0.311707390844081</v>
      </c>
      <c r="AH225" s="38" t="n">
        <f aca="false">AH181</f>
        <v>0.315414919550596</v>
      </c>
      <c r="AI225" s="38" t="n">
        <f aca="false">AI181</f>
        <v>0.313048237439382</v>
      </c>
      <c r="AJ225" s="38" t="n">
        <f aca="false">AJ181</f>
        <v>0.31896468295956</v>
      </c>
      <c r="AK225" s="38" t="n">
        <f aca="false">AK181</f>
        <v>0.325349891890626</v>
      </c>
      <c r="AL225" s="38" t="n">
        <f aca="false">AL181</f>
        <v>0.314795059489654</v>
      </c>
      <c r="AM225" s="38" t="n">
        <f aca="false">AM181</f>
        <v>0.318187441206385</v>
      </c>
      <c r="AN225" s="38" t="n">
        <f aca="false">AN181</f>
        <v>0.309896781149845</v>
      </c>
      <c r="AO225" s="38" t="n">
        <f aca="false">AO181</f>
        <v>0.310508097389166</v>
      </c>
      <c r="AP225" s="38" t="n">
        <f aca="false">AP181</f>
        <v>0.314036521093934</v>
      </c>
      <c r="AQ225" s="38" t="n">
        <f aca="false">AQ181</f>
        <v>0.307646333225645</v>
      </c>
      <c r="AR225" s="38" t="n">
        <f aca="false">AR181</f>
        <v>0.310568508534281</v>
      </c>
      <c r="AS225" s="38" t="n">
        <f aca="false">AS181</f>
        <v>0.30207171821438</v>
      </c>
      <c r="AT225" s="38" t="n">
        <f aca="false">AT181</f>
        <v>0.301981494613955</v>
      </c>
      <c r="AU225" s="38" t="n">
        <f aca="false">AU181</f>
        <v>0.311311127615231</v>
      </c>
      <c r="AV225" s="38" t="n">
        <f aca="false">AV181</f>
        <v>0.305064684380701</v>
      </c>
      <c r="AW225" s="38" t="n">
        <f aca="false">AW181</f>
        <v>0.305175734806711</v>
      </c>
      <c r="AX225" s="38" t="n">
        <f aca="false">AX181</f>
        <v>0.310309454117721</v>
      </c>
      <c r="AY225" s="38" t="n">
        <f aca="false">AY181</f>
        <v>0.316119173548223</v>
      </c>
      <c r="AZ225" s="38" t="n">
        <f aca="false">AZ181</f>
        <v>0.31658848662132</v>
      </c>
      <c r="BA225" s="38" t="n">
        <f aca="false">BA181</f>
        <v>0.305010284309917</v>
      </c>
      <c r="BB225" s="38" t="n">
        <f aca="false">BB181</f>
        <v>0.311989167925602</v>
      </c>
      <c r="BC225" s="38" t="n">
        <f aca="false">BC181</f>
        <v>0.305007425945555</v>
      </c>
      <c r="BD225" s="38" t="n">
        <f aca="false">BD181</f>
        <v>0.312047499635275</v>
      </c>
      <c r="BE225" s="38" t="n">
        <f aca="false">BE181</f>
        <v>0.312825155808812</v>
      </c>
      <c r="BF225" s="38" t="n">
        <f aca="false">BF181</f>
        <v>0.301528218301921</v>
      </c>
      <c r="BG225" s="38" t="n">
        <f aca="false">BG181</f>
        <v>0.307916724384101</v>
      </c>
      <c r="BH225" s="38" t="n">
        <f aca="false">BH181</f>
        <v>0.298273141373626</v>
      </c>
      <c r="BI225" s="38" t="n">
        <f aca="false">BI181</f>
        <v>0.31116152382743</v>
      </c>
      <c r="BJ225" s="38" t="n">
        <f aca="false">BJ181</f>
        <v>0.325058699771013</v>
      </c>
      <c r="BK225" s="38" t="n">
        <f aca="false">BK181</f>
        <v>0.322279966339312</v>
      </c>
      <c r="BL225" s="38" t="n">
        <f aca="false">BL181</f>
        <v>0.314506533385706</v>
      </c>
      <c r="BM225" s="38" t="n">
        <f aca="false">BM181</f>
        <v>0.313932433456059</v>
      </c>
      <c r="BN225" s="38" t="n">
        <f aca="false">BN181</f>
        <v>0.325515553566774</v>
      </c>
      <c r="BO225" s="38" t="n">
        <f aca="false">BO181</f>
        <v>0.336728689649038</v>
      </c>
      <c r="BP225" s="38" t="n">
        <f aca="false">BP181</f>
        <v>0.323830688458038</v>
      </c>
      <c r="BQ225" s="38" t="n">
        <f aca="false">BQ181</f>
        <v>0.325336105657759</v>
      </c>
      <c r="BR225" s="38" t="n">
        <f aca="false">BR181</f>
        <v>0.319639471926814</v>
      </c>
      <c r="BS225" s="38" t="n">
        <f aca="false">BS181</f>
        <v>0.32671168710312</v>
      </c>
      <c r="BT225" s="38" t="n">
        <f aca="false">BT181</f>
        <v>0.337758066497504</v>
      </c>
      <c r="BU225" s="38" t="n">
        <f aca="false">BU181</f>
        <v>0.335224787701207</v>
      </c>
      <c r="BV225" s="38" t="n">
        <f aca="false">BV181</f>
        <v>0.330049968759622</v>
      </c>
      <c r="BW225" s="38" t="n">
        <f aca="false">BW181</f>
        <v>0.324608933233388</v>
      </c>
      <c r="BX225" s="38" t="n">
        <f aca="false">BX181</f>
        <v>0.327950384270499</v>
      </c>
      <c r="BY225" s="37" t="n">
        <f aca="false">BY181</f>
        <v>0.339671984710996</v>
      </c>
      <c r="BZ225" s="37" t="n">
        <f aca="false">BZ181</f>
        <v>0.336530195924104</v>
      </c>
      <c r="CA225" s="37" t="n">
        <f aca="false">CA181</f>
        <v>0.332336821126059</v>
      </c>
      <c r="CB225" s="37" t="n">
        <f aca="false">CB181</f>
        <v>0.33545385955413</v>
      </c>
      <c r="CC225" s="37" t="n">
        <f aca="false">CC181</f>
        <v>0.336334605030981</v>
      </c>
      <c r="CD225" s="37" t="n">
        <f aca="false">CD181</f>
        <v>0.337203757513086</v>
      </c>
      <c r="CE225" s="37" t="n">
        <f aca="false">CE181</f>
        <v>0.338055330854404</v>
      </c>
      <c r="CF225" s="21"/>
      <c r="CH225" s="41" t="n">
        <f aca="false">IFERROR(AVERAGE(CA225,CB225,CC225,CD225,CE225),"n/m")</f>
        <v>0.335876874815732</v>
      </c>
      <c r="CI225" s="41" t="n">
        <f aca="false">IFERROR(AVERAGE(BB225,BG225,BL225,BQ225,BV225),"n/m")</f>
        <v>0.317959700022558</v>
      </c>
      <c r="CJ225" s="41" t="n">
        <f aca="false">IFERROR(AVERAGE(AC225,AH225,AM225,AR225,AW225,BB225,BG225,BL225,BQ225,BV225),"n/m")</f>
        <v>0.315642367860789</v>
      </c>
      <c r="CK225" s="41" t="n">
        <f aca="false">IFERROR(AVERAGE(C225,D225,E225,F225,G225,H225,I225,N225,S225,X225,AC225,AH225,AM225,AR225,AW225,BB225,BG225,BL225,BQ225,BV225),"n/m")</f>
        <v>0.317778024047345</v>
      </c>
    </row>
    <row r="226" customFormat="false" ht="15" hidden="false" customHeight="true" outlineLevel="0" collapsed="false">
      <c r="B226" s="29" t="s">
        <v>415</v>
      </c>
      <c r="C226" s="35"/>
      <c r="D226" s="38" t="n">
        <f aca="false">IFERROR((D180-C180)/(D128-C128),"")</f>
        <v>0.341612823895012</v>
      </c>
      <c r="E226" s="38" t="n">
        <f aca="false">IFERROR((E180-D180)/(E128-D128),"")</f>
        <v>0.22431969427423</v>
      </c>
      <c r="F226" s="38" t="n">
        <f aca="false">IFERROR((F180-E180)/(F128-E128),"")</f>
        <v>0.391557937795333</v>
      </c>
      <c r="G226" s="38" t="n">
        <f aca="false">IFERROR((G180-F180)/(G128-F128),"")</f>
        <v>0.431772147954254</v>
      </c>
      <c r="H226" s="38" t="n">
        <f aca="false">IFERROR((H180-G180)/(H128-G128),"")</f>
        <v>0.351669369481005</v>
      </c>
      <c r="I226" s="38" t="n">
        <f aca="false">IFERROR((I180-H180)/(I128-H128),"")</f>
        <v>0.248886414253898</v>
      </c>
      <c r="J226" s="35"/>
      <c r="K226" s="35"/>
      <c r="L226" s="35"/>
      <c r="M226" s="35"/>
      <c r="N226" s="38" t="n">
        <f aca="false">IFERROR((N180-I180)/(N128-I128),"")</f>
        <v>0.481265228668636</v>
      </c>
      <c r="O226" s="38" t="n">
        <f aca="false">IFERROR((O180-J180)/(O128-J128),"")</f>
        <v>0.568043245961406</v>
      </c>
      <c r="P226" s="38" t="n">
        <f aca="false">IFERROR((P180-K180)/(P128-K128),"")</f>
        <v>0.3714884458541</v>
      </c>
      <c r="Q226" s="38" t="n">
        <f aca="false">IFERROR((Q180-L180)/(Q128-L128),"")</f>
        <v>0.355156741638506</v>
      </c>
      <c r="R226" s="38" t="n">
        <f aca="false">IFERROR((R180-M180)/(R128-M128),"")</f>
        <v>0.338258627528761</v>
      </c>
      <c r="S226" s="38" t="n">
        <f aca="false">IFERROR((S180-N180)/(S128-N128),"")</f>
        <v>0.399518524183521</v>
      </c>
      <c r="T226" s="38" t="n">
        <f aca="false">IFERROR((T180-O180)/(T128-O128),"")</f>
        <v>0.170643706437063</v>
      </c>
      <c r="U226" s="38" t="n">
        <f aca="false">IFERROR((U180-P180)/(U128-P128),"")</f>
        <v>-0.723372110590718</v>
      </c>
      <c r="V226" s="38" t="n">
        <f aca="false">IFERROR((V180-Q180)/(V128-Q128),"")</f>
        <v>-2.4023071377075</v>
      </c>
      <c r="W226" s="38" t="n">
        <f aca="false">IFERROR((W180-R180)/(W128-R128),"")</f>
        <v>-0.438853948288013</v>
      </c>
      <c r="X226" s="38" t="n">
        <f aca="false">IFERROR((X180-S180)/(X128-S128),"")</f>
        <v>-0.169748957267667</v>
      </c>
      <c r="Y226" s="38" t="n">
        <f aca="false">IFERROR((Y180-T180)/(Y128-T128),"")</f>
        <v>0.167482517482507</v>
      </c>
      <c r="Z226" s="38" t="n">
        <f aca="false">IFERROR((Z180-U180)/(Z128-U128),"")</f>
        <v>0.284723955441687</v>
      </c>
      <c r="AA226" s="38" t="n">
        <f aca="false">IFERROR((AA180-V180)/(AA128-V128),"")</f>
        <v>0.285557856472446</v>
      </c>
      <c r="AB226" s="38" t="n">
        <f aca="false">IFERROR((AB180-W180)/(AB128-W128),"")</f>
        <v>0.28993487327869</v>
      </c>
      <c r="AC226" s="38" t="n">
        <f aca="false">IFERROR((AC180-X180)/(AC128-X128),"")</f>
        <v>0.286420526054843</v>
      </c>
      <c r="AD226" s="38" t="n">
        <f aca="false">IFERROR((AD180-Y180)/(AD128-Y128),"")</f>
        <v>0.28280603413888</v>
      </c>
      <c r="AE226" s="38" t="n">
        <f aca="false">IFERROR((AE180-Z180)/(AE128-Z128),"")</f>
        <v>0.312702877681781</v>
      </c>
      <c r="AF226" s="38" t="n">
        <f aca="false">IFERROR((AF180-AA180)/(AF128-AA128),"")</f>
        <v>0.419987495475337</v>
      </c>
      <c r="AG226" s="38" t="n">
        <f aca="false">IFERROR((AG180-AB180)/(AG128-AB128),"")</f>
        <v>0.324744594806224</v>
      </c>
      <c r="AH226" s="38" t="n">
        <f aca="false">IFERROR((AH180-AC180)/(AH128-AC128),"")</f>
        <v>0.310400318820365</v>
      </c>
      <c r="AI226" s="38" t="n">
        <f aca="false">IFERROR((AI180-AD180)/(AI128-AD128),"")</f>
        <v>0.493543435997134</v>
      </c>
      <c r="AJ226" s="38" t="n">
        <f aca="false">IFERROR((AJ180-AE180)/(AJ128-AE128),"")</f>
        <v>0.339415208310689</v>
      </c>
      <c r="AK226" s="38" t="n">
        <f aca="false">IFERROR((AK180-AF180)/(AK128-AF128),"")</f>
        <v>0.313980598134848</v>
      </c>
      <c r="AL226" s="38" t="n">
        <f aca="false">IFERROR((AL180-AG180)/(AL128-AG128),"")</f>
        <v>0.348967548801131</v>
      </c>
      <c r="AM226" s="38" t="n">
        <f aca="false">IFERROR((AM180-AH180)/(AM128-AH128),"")</f>
        <v>0.36208553169227</v>
      </c>
      <c r="AN226" s="38" t="n">
        <f aca="false">IFERROR((AN180-AI180)/(AN128-AI128),"")</f>
        <v>0.275515281419247</v>
      </c>
      <c r="AO226" s="38" t="n">
        <f aca="false">IFERROR((AO180-AJ180)/(AO128-AJ128),"")</f>
        <v>0.229642711169035</v>
      </c>
      <c r="AP226" s="38" t="n">
        <f aca="false">IFERROR((AP180-AK180)/(AP128-AK128),"")</f>
        <v>0.203679169141273</v>
      </c>
      <c r="AQ226" s="38" t="n">
        <f aca="false">IFERROR((AQ180-AL180)/(AQ128-AL128),"")</f>
        <v>0.217653749451252</v>
      </c>
      <c r="AR226" s="38" t="n">
        <f aca="false">IFERROR((AR180-AM180)/(AR128-AM128),"")</f>
        <v>0.230034912332686</v>
      </c>
      <c r="AS226" s="38" t="n">
        <f aca="false">IFERROR((AS180-AN180)/(AS128-AN128),"")</f>
        <v>0.211697458405636</v>
      </c>
      <c r="AT226" s="38" t="n">
        <f aca="false">IFERROR((AT180-AO180)/(AT128-AO128),"")</f>
        <v>0.484864619383938</v>
      </c>
      <c r="AU226" s="38" t="n">
        <f aca="false">IFERROR((AU180-AP180)/(AU128-AP128),"")</f>
        <v>0.479468810064653</v>
      </c>
      <c r="AV226" s="38" t="n">
        <f aca="false">IFERROR((AV180-AQ180)/(AV128-AQ128),"")</f>
        <v>0.208178336226615</v>
      </c>
      <c r="AW226" s="38" t="n">
        <f aca="false">IFERROR((AW180-AR180)/(AW128-AR128),"")</f>
        <v>-0.201880965259731</v>
      </c>
      <c r="AX226" s="38" t="n">
        <f aca="false">IFERROR((AX180-AS180)/(AX128-AS128),"")</f>
        <v>0.566195048004044</v>
      </c>
      <c r="AY226" s="38" t="n">
        <f aca="false">IFERROR((AY180-AT180)/(AY128-AT128),"")</f>
        <v>0.397034394189762</v>
      </c>
      <c r="AZ226" s="38" t="n">
        <f aca="false">IFERROR((AZ180-AU180)/(AZ128-AU128),"")</f>
        <v>0.351909294081381</v>
      </c>
      <c r="BA226" s="38" t="n">
        <f aca="false">IFERROR((BA180-AV180)/(BA128-AV128),"")</f>
        <v>0.30467381495833</v>
      </c>
      <c r="BB226" s="38" t="n">
        <f aca="false">IFERROR((BB180-AW180)/(BB128-AW128),"")</f>
        <v>0.364593951268198</v>
      </c>
      <c r="BC226" s="38" t="n">
        <f aca="false">IFERROR((BC180-AX180)/(BC128-AX128),"")</f>
        <v>0.27543915018397</v>
      </c>
      <c r="BD226" s="38" t="n">
        <f aca="false">IFERROR((BD180-AY180)/(BD128-AY128),"")</f>
        <v>0.289939257497239</v>
      </c>
      <c r="BE226" s="38" t="n">
        <f aca="false">IFERROR((BE180-AZ180)/(BE128-AZ128),"")</f>
        <v>0.291563494870888</v>
      </c>
      <c r="BF226" s="38" t="n">
        <f aca="false">IFERROR((BF180-BA180)/(BF128-BA128),"")</f>
        <v>0.278440865043147</v>
      </c>
      <c r="BG226" s="38" t="n">
        <f aca="false">IFERROR((BG180-BB180)/(BG128-BB128),"")</f>
        <v>0.284294737000919</v>
      </c>
      <c r="BH226" s="38" t="n">
        <f aca="false">IFERROR((BH180-BC180)/(BH128-BC128),"")</f>
        <v>0.254668669960038</v>
      </c>
      <c r="BI226" s="38" t="n">
        <f aca="false">IFERROR((BI180-BD180)/(BI128-BD128),"")</f>
        <v>0.303298153034302</v>
      </c>
      <c r="BJ226" s="38" t="n">
        <f aca="false">IFERROR((BJ180-BE180)/(BJ128-BE128),"")</f>
        <v>0.449452606071096</v>
      </c>
      <c r="BK226" s="38" t="n">
        <f aca="false">IFERROR((BK180-BF180)/(BK128-BF128),"")</f>
        <v>0.555529499482887</v>
      </c>
      <c r="BL226" s="38" t="n">
        <f aca="false">IFERROR((BL180-BG180)/(BL128-BG128),"")</f>
        <v>0.373172429798096</v>
      </c>
      <c r="BM226" s="38" t="n">
        <f aca="false">IFERROR((BM180-BH180)/(BM128-BH128),"")</f>
        <v>0.486808016264886</v>
      </c>
      <c r="BN226" s="38" t="n">
        <f aca="false">IFERROR((BN180-BI180)/(BN128-BI128),"")</f>
        <v>0.453276728424149</v>
      </c>
      <c r="BO226" s="38" t="n">
        <f aca="false">IFERROR((BO180-BJ180)/(BO128-BJ128),"")</f>
        <v>0.424750862119352</v>
      </c>
      <c r="BP226" s="38" t="n">
        <f aca="false">IFERROR((BP180-BK180)/(BP128-BK128),"")</f>
        <v>0.337880662648994</v>
      </c>
      <c r="BQ226" s="38" t="n">
        <f aca="false">IFERROR((BQ180-BL180)/(BQ128-BL128),"")</f>
        <v>0.422116884274319</v>
      </c>
      <c r="BR226" s="38" t="n">
        <f aca="false">IFERROR((BR180-BM180)/(BR128-BM128),"")</f>
        <v>0.395697099464388</v>
      </c>
      <c r="BS226" s="38" t="n">
        <f aca="false">IFERROR((BS180-BN180)/(BS128-BN128),"")</f>
        <v>0.343636123331382</v>
      </c>
      <c r="BT226" s="38" t="n">
        <f aca="false">IFERROR((BT180-BO180)/(BT128-BO128),"")</f>
        <v>0.357836349987489</v>
      </c>
      <c r="BU226" s="38" t="n">
        <f aca="false">IFERROR((BU180-BP180)/(BU128-BP128),"")</f>
        <v>0.563088928802102</v>
      </c>
      <c r="BV226" s="38" t="n">
        <f aca="false">IFERROR((BV180-BQ180)/(BV128-BQ128),"")</f>
        <v>0.406870519107514</v>
      </c>
      <c r="BW226" s="38" t="n">
        <f aca="false">IFERROR((BW180-BR180)/(BW128-BR128),"")</f>
        <v>0.402337580288512</v>
      </c>
      <c r="BX226" s="38" t="n">
        <f aca="false">IFERROR((BX180-BS180)/(BX128-BS128),"")</f>
        <v>0.347242352088617</v>
      </c>
      <c r="BY226" s="37" t="n">
        <f aca="false">IFERROR((BY180-BT180)/(BY128-BT128),"")</f>
        <v>0.373670467320339</v>
      </c>
      <c r="BZ226" s="37" t="n">
        <f aca="false">IFERROR((BZ180-BU180)/(BZ128-BU128),"")</f>
        <v>0.359879640838462</v>
      </c>
      <c r="CA226" s="37" t="n">
        <f aca="false">IFERROR((CA180-BV180)/(CA128-BV128),"")</f>
        <v>0.370446324053616</v>
      </c>
      <c r="CB226" s="37" t="n">
        <f aca="false">IFERROR((CB180-CA180)/(CB128-CA128),"")</f>
        <v>0.386045774068477</v>
      </c>
      <c r="CC226" s="37" t="n">
        <f aca="false">IFERROR((CC180-CB180)/(CC128-CB128),"")</f>
        <v>0.347325483732164</v>
      </c>
      <c r="CD226" s="37" t="n">
        <f aca="false">IFERROR((CD180-CC180)/(CD128-CC128),"")</f>
        <v>0.348182121195103</v>
      </c>
      <c r="CE226" s="37" t="n">
        <f aca="false">IFERROR((CE180-CD180)/(CE128-CD128),"")</f>
        <v>0.349439429983014</v>
      </c>
      <c r="CF226" s="21"/>
    </row>
    <row r="227" customFormat="false" ht="15" hidden="false" customHeight="true" outlineLevel="0" collapsed="false">
      <c r="B227" s="29" t="s">
        <v>416</v>
      </c>
      <c r="C227" s="38" t="n">
        <f aca="false">IF(AND(ISNUMBER(C134),ISNUMBER(C128)),IFERROR(C134/C128,""),"")</f>
        <v>0.207903400723476</v>
      </c>
      <c r="D227" s="38" t="n">
        <f aca="false">IF(AND(ISNUMBER(D134),ISNUMBER(D128)),IFERROR(D134/D128,""),"")</f>
        <v>0.21596259314938</v>
      </c>
      <c r="E227" s="38" t="n">
        <f aca="false">IF(AND(ISNUMBER(E134),ISNUMBER(E128)),IFERROR(E134/E128,""),"")</f>
        <v>0.202320305868028</v>
      </c>
      <c r="F227" s="38" t="n">
        <f aca="false">IF(AND(ISNUMBER(F134),ISNUMBER(F128)),IFERROR(F134/F128,""),"")</f>
        <v>0.193617890989791</v>
      </c>
      <c r="G227" s="38" t="n">
        <f aca="false">IF(AND(ISNUMBER(G134),ISNUMBER(G128)),IFERROR(G134/G128,""),"")</f>
        <v>0.206388751868715</v>
      </c>
      <c r="H227" s="38" t="n">
        <f aca="false">IF(AND(ISNUMBER(H134),ISNUMBER(H128)),IFERROR(H134/H128,""),"")</f>
        <v>0.210621204411419</v>
      </c>
      <c r="I227" s="38" t="n">
        <f aca="false">IF(AND(ISNUMBER(I134),ISNUMBER(I128)),IFERROR(I134/I128,""),"")</f>
        <v>0.190264549372961</v>
      </c>
      <c r="J227" s="38" t="n">
        <f aca="false">IF(AND(ISNUMBER(J134),ISNUMBER(J128)),IFERROR(J134/J128,""),"")</f>
        <v>0.193186364727535</v>
      </c>
      <c r="K227" s="38" t="n">
        <f aca="false">IF(AND(ISNUMBER(K134),ISNUMBER(K128)),IFERROR(K134/K128,""),"")</f>
        <v>0.190187195661458</v>
      </c>
      <c r="L227" s="38" t="n">
        <f aca="false">IF(AND(ISNUMBER(L134),ISNUMBER(L128)),IFERROR(L134/L128,""),"")</f>
        <v>0.229566004693773</v>
      </c>
      <c r="M227" s="38" t="n">
        <f aca="false">IF(AND(ISNUMBER(M134),ISNUMBER(M128)),IFERROR(M134/M128,""),"")</f>
        <v>0.203987840544006</v>
      </c>
      <c r="N227" s="38" t="n">
        <f aca="false">IF(AND(ISNUMBER(N134),ISNUMBER(N128)),IFERROR(N134/N128,""),"")</f>
        <v>0.204645905863506</v>
      </c>
      <c r="O227" s="38" t="n">
        <f aca="false">IF(AND(ISNUMBER(O134),ISNUMBER(O128)),IFERROR(O134/O128,""),"")</f>
        <v>0.208816507857425</v>
      </c>
      <c r="P227" s="38" t="n">
        <f aca="false">IF(AND(ISNUMBER(P134),ISNUMBER(P128)),IFERROR(P134/P128,""),"")</f>
        <v>0.226258021357251</v>
      </c>
      <c r="Q227" s="38" t="n">
        <f aca="false">IF(AND(ISNUMBER(Q134),ISNUMBER(Q128)),IFERROR(Q134/Q128,""),"")</f>
        <v>0.212260155045001</v>
      </c>
      <c r="R227" s="38" t="n">
        <f aca="false">IF(AND(ISNUMBER(R134),ISNUMBER(R128)),IFERROR(R134/R128,""),"")</f>
        <v>0.216551092428352</v>
      </c>
      <c r="S227" s="38" t="n">
        <f aca="false">IF(AND(ISNUMBER(S134),ISNUMBER(S128)),IFERROR(S134/S128,""),"")</f>
        <v>0.216081351849732</v>
      </c>
      <c r="T227" s="38" t="n">
        <f aca="false">IF(AND(ISNUMBER(T134),ISNUMBER(T128)),IFERROR(T134/T128,""),"")</f>
        <v>0.201274451689389</v>
      </c>
      <c r="U227" s="38" t="n">
        <f aca="false">IF(AND(ISNUMBER(U134),ISNUMBER(U128)),IFERROR(U134/U128,""),"")</f>
        <v>0.207079832565423</v>
      </c>
      <c r="V227" s="38" t="n">
        <f aca="false">IF(AND(ISNUMBER(V134),ISNUMBER(V128)),IFERROR(V134/V128,""),"")</f>
        <v>-0.684661403297454</v>
      </c>
      <c r="W227" s="38" t="n">
        <f aca="false">IF(AND(ISNUMBER(W134),ISNUMBER(W128)),IFERROR(W134/W128,""),"")</f>
        <v>0.19124445188058</v>
      </c>
      <c r="X227" s="38" t="n">
        <f aca="false">IF(AND(ISNUMBER(X134),ISNUMBER(X128)),IFERROR(X134/X128,""),"")</f>
        <v>-0.0290617190772911</v>
      </c>
      <c r="Y227" s="38" t="n">
        <f aca="false">IF(AND(ISNUMBER(Y134),ISNUMBER(Y128)),IFERROR(Y134/Y128,""),"")</f>
        <v>0.176768088909614</v>
      </c>
      <c r="Z227" s="38" t="n">
        <f aca="false">IF(AND(ISNUMBER(Z134),ISNUMBER(Z128)),IFERROR(Z134/Z128,""),"")</f>
        <v>0.0872616778374991</v>
      </c>
      <c r="AA227" s="38" t="n">
        <f aca="false">IF(AND(ISNUMBER(AA134),ISNUMBER(AA128)),IFERROR(AA134/AA128,""),"")</f>
        <v>0.146246458270733</v>
      </c>
      <c r="AB227" s="38" t="n">
        <f aca="false">IF(AND(ISNUMBER(AB134),ISNUMBER(AB128)),IFERROR(AB134/AB128,""),"")</f>
        <v>0.132704635226039</v>
      </c>
      <c r="AC227" s="38" t="n">
        <f aca="false">IF(AND(ISNUMBER(AC134),ISNUMBER(AC128)),IFERROR(AC134/AC128,""),"")</f>
        <v>0.133979963049448</v>
      </c>
      <c r="AD227" s="38" t="n">
        <f aca="false">IF(AND(ISNUMBER(AD134),ISNUMBER(AD128)),IFERROR(AD134/AD128,""),"")</f>
        <v>0.0241957506235877</v>
      </c>
      <c r="AE227" s="38" t="n">
        <f aca="false">IF(AND(ISNUMBER(AE134),ISNUMBER(AE128)),IFERROR(AE134/AE128,""),"")</f>
        <v>0.176008384025098</v>
      </c>
      <c r="AF227" s="38" t="n">
        <f aca="false">IF(AND(ISNUMBER(AF134),ISNUMBER(AF128)),IFERROR(AF134/AF128,""),"")</f>
        <v>0.18132945648408</v>
      </c>
      <c r="AG227" s="38" t="n">
        <f aca="false">IF(AND(ISNUMBER(AG134),ISNUMBER(AG128)),IFERROR(AG134/AG128,""),"")</f>
        <v>0.15124246548707</v>
      </c>
      <c r="AH227" s="38" t="n">
        <f aca="false">IF(AND(ISNUMBER(AH134),ISNUMBER(AH128)),IFERROR(AH134/AH128,""),"")</f>
        <v>0.13542805855452</v>
      </c>
      <c r="AI227" s="38" t="n">
        <f aca="false">IF(AND(ISNUMBER(AI134),ISNUMBER(AI128)),IFERROR(AI134/AI128,""),"")</f>
        <v>0.165513436613863</v>
      </c>
      <c r="AJ227" s="38" t="n">
        <f aca="false">IF(AND(ISNUMBER(AJ134),ISNUMBER(AJ128)),IFERROR(AJ134/AJ128,""),"")</f>
        <v>0.169914062298382</v>
      </c>
      <c r="AK227" s="38" t="n">
        <f aca="false">IF(AND(ISNUMBER(AK134),ISNUMBER(AK128)),IFERROR(AK134/AK128,""),"")</f>
        <v>0.181771276471185</v>
      </c>
      <c r="AL227" s="38" t="n">
        <f aca="false">IF(AND(ISNUMBER(AL134),ISNUMBER(AL128)),IFERROR(AL134/AL128,""),"")</f>
        <v>0.158496416037637</v>
      </c>
      <c r="AM227" s="38" t="n">
        <f aca="false">IF(AND(ISNUMBER(AM134),ISNUMBER(AM128)),IFERROR(AM134/AM128,""),"")</f>
        <v>0.169054229981631</v>
      </c>
      <c r="AN227" s="38" t="n">
        <f aca="false">IF(AND(ISNUMBER(AN134),ISNUMBER(AN128)),IFERROR(AN134/AN128,""),"")</f>
        <v>0.148525232658197</v>
      </c>
      <c r="AO227" s="38" t="n">
        <f aca="false">IF(AND(ISNUMBER(AO134),ISNUMBER(AO128)),IFERROR(AO134/AO128,""),"")</f>
        <v>0.162184342005448</v>
      </c>
      <c r="AP227" s="38" t="n">
        <f aca="false">IF(AND(ISNUMBER(AP134),ISNUMBER(AP128)),IFERROR(AP134/AP128,""),"")</f>
        <v>0.167511065925446</v>
      </c>
      <c r="AQ227" s="38" t="n">
        <f aca="false">IF(AND(ISNUMBER(AQ134),ISNUMBER(AQ128)),IFERROR(AQ134/AQ128,""),"")</f>
        <v>0.142576874504391</v>
      </c>
      <c r="AR227" s="38" t="n">
        <f aca="false">IF(AND(ISNUMBER(AR134),ISNUMBER(AR128)),IFERROR(AR134/AR128,""),"")</f>
        <v>0.155470014079517</v>
      </c>
      <c r="AS227" s="38" t="n">
        <f aca="false">IF(AND(ISNUMBER(AS134),ISNUMBER(AS128)),IFERROR(AS134/AS128,""),"")</f>
        <v>0.160427653275205</v>
      </c>
      <c r="AT227" s="38" t="n">
        <f aca="false">IF(AND(ISNUMBER(AT134),ISNUMBER(AT128)),IFERROR(AT134/AT128,""),"")</f>
        <v>-0.177944710525953</v>
      </c>
      <c r="AU227" s="38" t="n">
        <f aca="false">IF(AND(ISNUMBER(AU134),ISNUMBER(AU128)),IFERROR(AU134/AU128,""),"")</f>
        <v>0.166009620366852</v>
      </c>
      <c r="AV227" s="38" t="n">
        <f aca="false">IF(AND(ISNUMBER(AV134),ISNUMBER(AV128)),IFERROR(AV134/AV128,""),"")</f>
        <v>0.140993283752345</v>
      </c>
      <c r="AW227" s="38" t="n">
        <f aca="false">IF(AND(ISNUMBER(AW134),ISNUMBER(AW128)),IFERROR(AW134/AW128,""),"")</f>
        <v>0.0757305834200944</v>
      </c>
      <c r="AX227" s="38" t="n">
        <f aca="false">IF(AND(ISNUMBER(AX134),ISNUMBER(AX128)),IFERROR(AX134/AX128,""),"")</f>
        <v>0.17076067630317</v>
      </c>
      <c r="AY227" s="38" t="n">
        <f aca="false">IF(AND(ISNUMBER(AY134),ISNUMBER(AY128)),IFERROR(AY134/AY128,""),"")</f>
        <v>0.173924381214018</v>
      </c>
      <c r="AZ227" s="38" t="n">
        <f aca="false">IF(AND(ISNUMBER(AZ134),ISNUMBER(AZ128)),IFERROR(AZ134/AZ128,""),"")</f>
        <v>0.178530999869769</v>
      </c>
      <c r="BA227" s="38" t="n">
        <f aca="false">IF(AND(ISNUMBER(BA134),ISNUMBER(BA128)),IFERROR(BA134/BA128,""),"")</f>
        <v>0.153492632912624</v>
      </c>
      <c r="BB227" s="38" t="n">
        <f aca="false">IF(AND(ISNUMBER(BB134),ISNUMBER(BB128)),IFERROR(BB134/BB128,""),"")</f>
        <v>0.169007313991164</v>
      </c>
      <c r="BC227" s="38" t="n">
        <f aca="false">IF(AND(ISNUMBER(BC134),ISNUMBER(BC128)),IFERROR(BC134/BC128,""),"")</f>
        <v>0.166353329222994</v>
      </c>
      <c r="BD227" s="38" t="n">
        <f aca="false">IF(AND(ISNUMBER(BD134),ISNUMBER(BD128)),IFERROR(BD134/BD128,""),"")</f>
        <v>0.181448826960502</v>
      </c>
      <c r="BE227" s="38" t="n">
        <f aca="false">IF(AND(ISNUMBER(BE134),ISNUMBER(BE128)),IFERROR(BE134/BE128,""),"")</f>
        <v>0.173824970689431</v>
      </c>
      <c r="BF227" s="38" t="n">
        <f aca="false">IF(AND(ISNUMBER(BF134),ISNUMBER(BF128)),IFERROR(BF134/BF128,""),"")</f>
        <v>0.166892865300987</v>
      </c>
      <c r="BG227" s="38" t="n">
        <f aca="false">IF(AND(ISNUMBER(BG134),ISNUMBER(BG128)),IFERROR(BG134/BG128,""),"")</f>
        <v>0.172242690823545</v>
      </c>
      <c r="BH227" s="38" t="n">
        <f aca="false">IF(AND(ISNUMBER(BH134),ISNUMBER(BH128)),IFERROR(BH134/BH128,""),"")</f>
        <v>0.165581953830118</v>
      </c>
      <c r="BI227" s="38" t="n">
        <f aca="false">IF(AND(ISNUMBER(BI134),ISNUMBER(BI128)),IFERROR(BI134/BI128,""),"")</f>
        <v>0.170268097244316</v>
      </c>
      <c r="BJ227" s="38" t="n">
        <f aca="false">IF(AND(ISNUMBER(BJ134),ISNUMBER(BJ128)),IFERROR(BJ134/BJ128,""),"")</f>
        <v>0.170954365286931</v>
      </c>
      <c r="BK227" s="38" t="n">
        <f aca="false">IF(AND(ISNUMBER(BK134),ISNUMBER(BK128)),IFERROR(BK134/BK128,""),"")</f>
        <v>0.110295248252488</v>
      </c>
      <c r="BL227" s="38" t="n">
        <f aca="false">IF(AND(ISNUMBER(BL134),ISNUMBER(BL128)),IFERROR(BL134/BL128,""),"")</f>
        <v>0.154116124618562</v>
      </c>
      <c r="BM227" s="38" t="n">
        <f aca="false">IF(AND(ISNUMBER(BM134),ISNUMBER(BM128)),IFERROR(BM134/BM128,""),"")</f>
        <v>0.176971253750628</v>
      </c>
      <c r="BN227" s="38" t="n">
        <f aca="false">IF(AND(ISNUMBER(BN134),ISNUMBER(BN128)),IFERROR(BN134/BN128,""),"")</f>
        <v>0.188911761853885</v>
      </c>
      <c r="BO227" s="38" t="n">
        <f aca="false">IF(AND(ISNUMBER(BO134),ISNUMBER(BO128)),IFERROR(BO134/BO128,""),"")</f>
        <v>0.203269377478097</v>
      </c>
      <c r="BP227" s="38" t="n">
        <f aca="false">IF(AND(ISNUMBER(BP134),ISNUMBER(BP128)),IFERROR(BP134/BP128,""),"")</f>
        <v>-0.088126132878051</v>
      </c>
      <c r="BQ227" s="38" t="n">
        <f aca="false">IF(AND(ISNUMBER(BQ134),ISNUMBER(BQ128)),IFERROR(BQ134/BQ128,""),"")</f>
        <v>0.119698201408562</v>
      </c>
      <c r="BR227" s="38" t="n">
        <f aca="false">IF(AND(ISNUMBER(BR134),ISNUMBER(BR128)),IFERROR(BR134/BR128,""),"")</f>
        <v>0.17512530428476</v>
      </c>
      <c r="BS227" s="38" t="n">
        <f aca="false">IF(AND(ISNUMBER(BS134),ISNUMBER(BS128)),IFERROR(BS134/BS128,""),"")</f>
        <v>0.190915870223157</v>
      </c>
      <c r="BT227" s="38" t="n">
        <f aca="false">IF(AND(ISNUMBER(BT134),ISNUMBER(BT128)),IFERROR(BT134/BT128,""),"")</f>
        <v>0.178813429017019</v>
      </c>
      <c r="BU227" s="38" t="n">
        <f aca="false">IF(AND(ISNUMBER(BU134),ISNUMBER(BU128)),IFERROR(BU134/BU128,""),"")</f>
        <v>0.177317210675741</v>
      </c>
      <c r="BV227" s="38" t="n">
        <f aca="false">IF(AND(ISNUMBER(BV134),ISNUMBER(BV128)),IFERROR(BV134/BV128,""),"")</f>
        <v>0.180647444283592</v>
      </c>
      <c r="BW227" s="38" t="n">
        <f aca="false">IF(AND(ISNUMBER(BW134),ISNUMBER(BW128)),IFERROR(BW134/BW128,""),"")</f>
        <v>0.153579363469051</v>
      </c>
      <c r="BX227" s="38" t="n">
        <f aca="false">IF(AND(ISNUMBER(BX134),ISNUMBER(BX128)),IFERROR(BX134/BX128,""),"")</f>
        <v>0.170812306493541</v>
      </c>
      <c r="BY227" s="37" t="n">
        <f aca="false">IFERROR(BY134/BY128,"")</f>
        <v>0.208092585521101</v>
      </c>
      <c r="BZ227" s="37" t="n">
        <f aca="false">IFERROR(BZ134/BZ128,"")</f>
        <v>0.20018436326849</v>
      </c>
      <c r="CA227" s="37" t="n">
        <f aca="false">IFERROR(CA134/CA128,"")</f>
        <v>0.18372326856004</v>
      </c>
      <c r="CB227" s="37" t="n">
        <f aca="false">IFERROR(CB134/CB128,"")</f>
        <v>0.202742695563468</v>
      </c>
      <c r="CC227" s="37" t="n">
        <f aca="false">IFERROR(CC134/CC128,"")</f>
        <v>0.204504477410006</v>
      </c>
      <c r="CD227" s="37" t="n">
        <f aca="false">IFERROR(CD134/CD128,"")</f>
        <v>0.206239420857972</v>
      </c>
      <c r="CE227" s="37" t="n">
        <f aca="false">IFERROR(CE134/CE128,"")</f>
        <v>0.207815469599195</v>
      </c>
      <c r="CF227" s="21"/>
      <c r="CH227" s="41" t="n">
        <f aca="false">IFERROR(AVERAGE(CA227,CB227,CC227,CD227,CE227),"n/m")</f>
        <v>0.201005066398136</v>
      </c>
      <c r="CI227" s="41" t="n">
        <f aca="false">IFERROR(AVERAGE(BB227,BG227,BL227,BQ227,BV227),"n/m")</f>
        <v>0.159142355025085</v>
      </c>
      <c r="CJ227" s="41" t="n">
        <f aca="false">IFERROR(AVERAGE(AC227,AH227,AM227,AR227,AW227,BB227,BG227,BL227,BQ227,BV227),"n/m")</f>
        <v>0.146537462421064</v>
      </c>
      <c r="CK227" s="41" t="n">
        <f aca="false">IFERROR(AVERAGE(C227,D227,E227,F227,G227,H227,I227,N227,S227,X227,AC227,AH227,AM227,AR227,AW227,BB227,BG227,BL227,BQ227,BV227),"n/m")</f>
        <v>0.164205942961518</v>
      </c>
    </row>
    <row r="228" customFormat="false" ht="15" hidden="false" customHeight="true" outlineLevel="0" collapsed="false">
      <c r="B228" s="29" t="s">
        <v>417</v>
      </c>
      <c r="C228" s="38" t="n">
        <f aca="false">IF(AND(ISNUMBER(C146),ISNUMBER(C128)),IFERROR(C146/C128,""),"")</f>
        <v>0.0939196025008674</v>
      </c>
      <c r="D228" s="38" t="n">
        <f aca="false">IF(AND(ISNUMBER(D146),ISNUMBER(D128)),IFERROR(D146/D128,""),"")</f>
        <v>0.103366470500479</v>
      </c>
      <c r="E228" s="38" t="n">
        <f aca="false">IF(AND(ISNUMBER(E146),ISNUMBER(E128)),IFERROR(E146/E128,""),"")</f>
        <v>0.100567547920499</v>
      </c>
      <c r="F228" s="38" t="n">
        <f aca="false">IF(AND(ISNUMBER(F146),ISNUMBER(F128)),IFERROR(F146/F128,""),"")</f>
        <v>0.0921820087913896</v>
      </c>
      <c r="G228" s="38" t="n">
        <f aca="false">IF(AND(ISNUMBER(G146),ISNUMBER(G128)),IFERROR(G146/G128,""),"")</f>
        <v>0.102370360604263</v>
      </c>
      <c r="H228" s="38" t="n">
        <f aca="false">IF(AND(ISNUMBER(H146),ISNUMBER(H128)),IFERROR(H146/H128,""),"")</f>
        <v>0.10976666139663</v>
      </c>
      <c r="I228" s="38" t="n">
        <f aca="false">IF(AND(ISNUMBER(I146),ISNUMBER(I128)),IFERROR(I146/I128,""),"")</f>
        <v>0.0957458332781662</v>
      </c>
      <c r="J228" s="38" t="n">
        <f aca="false">IF(AND(ISNUMBER(J146),ISNUMBER(J128)),IFERROR(J146/J128,""),"")</f>
        <v>0.0923688351871116</v>
      </c>
      <c r="K228" s="38" t="n">
        <f aca="false">IF(AND(ISNUMBER(K146),ISNUMBER(K128)),IFERROR(K146/K128,""),"")</f>
        <v>0.0898420657933185</v>
      </c>
      <c r="L228" s="38" t="n">
        <f aca="false">IF(AND(ISNUMBER(L146),ISNUMBER(L128)),IFERROR(L146/L128,""),"")</f>
        <v>0.120533072832902</v>
      </c>
      <c r="M228" s="38" t="n">
        <f aca="false">IF(AND(ISNUMBER(M146),ISNUMBER(M128)),IFERROR(M146/M128,""),"")</f>
        <v>0.101725333777891</v>
      </c>
      <c r="N228" s="38" t="n">
        <f aca="false">IF(AND(ISNUMBER(N146),ISNUMBER(N128)),IFERROR(N146/N128,""),"")</f>
        <v>0.101438981332905</v>
      </c>
      <c r="O228" s="38" t="n">
        <f aca="false">IF(AND(ISNUMBER(O146),ISNUMBER(O128)),IFERROR(O146/O128,""),"")</f>
        <v>0.101752091507338</v>
      </c>
      <c r="P228" s="38" t="n">
        <f aca="false">IF(AND(ISNUMBER(P146),ISNUMBER(P128)),IFERROR(P146/P128,""),"")</f>
        <v>0.119429838019566</v>
      </c>
      <c r="Q228" s="38" t="n">
        <f aca="false">IF(AND(ISNUMBER(Q146),ISNUMBER(Q128)),IFERROR(Q146/Q128,""),"")</f>
        <v>0.109933016315038</v>
      </c>
      <c r="R228" s="38" t="n">
        <f aca="false">IF(AND(ISNUMBER(R146),ISNUMBER(R128)),IFERROR(R146/R128,""),"")</f>
        <v>0.115470351359621</v>
      </c>
      <c r="S228" s="38" t="n">
        <f aca="false">IF(AND(ISNUMBER(S146),ISNUMBER(S128)),IFERROR(S146/S128,""),"")</f>
        <v>0.11183570720183</v>
      </c>
      <c r="T228" s="38" t="n">
        <f aca="false">IF(AND(ISNUMBER(T146),ISNUMBER(T128)),IFERROR(T146/T128,""),"")</f>
        <v>0.102398735427781</v>
      </c>
      <c r="U228" s="38" t="n">
        <f aca="false">IF(AND(ISNUMBER(U146),ISNUMBER(U128)),IFERROR(U146/U128,""),"")</f>
        <v>0.107959165236245</v>
      </c>
      <c r="V228" s="38" t="n">
        <f aca="false">IF(AND(ISNUMBER(V146),ISNUMBER(V128)),IFERROR(V146/V128,""),"")</f>
        <v>-0.469047592975848</v>
      </c>
      <c r="W228" s="38" t="n">
        <f aca="false">IF(AND(ISNUMBER(W146),ISNUMBER(W128)),IFERROR(W146/W128,""),"")</f>
        <v>0.0978706124973443</v>
      </c>
      <c r="X228" s="38" t="n">
        <f aca="false">IF(AND(ISNUMBER(X146),ISNUMBER(X128)),IFERROR(X146/X128,""),"")</f>
        <v>-0.0452295791737258</v>
      </c>
      <c r="Y228" s="38" t="n">
        <f aca="false">IF(AND(ISNUMBER(Y146),ISNUMBER(Y128)),IFERROR(Y146/Y128,""),"")</f>
        <v>0.087125981192197</v>
      </c>
      <c r="Z228" s="38" t="n">
        <f aca="false">IF(AND(ISNUMBER(Z146),ISNUMBER(Z128)),IFERROR(Z146/Z128,""),"")</f>
        <v>0.0377783488790458</v>
      </c>
      <c r="AA228" s="38" t="n">
        <f aca="false">IF(AND(ISNUMBER(AA146),ISNUMBER(AA128)),IFERROR(AA146/AA128,""),"")</f>
        <v>0.0816805263419859</v>
      </c>
      <c r="AB228" s="38" t="n">
        <f aca="false">IF(AND(ISNUMBER(AB146),ISNUMBER(AB128)),IFERROR(AB146/AB128,""),"")</f>
        <v>0.0816233113552834</v>
      </c>
      <c r="AC228" s="38" t="n">
        <f aca="false">IF(AND(ISNUMBER(AC146),ISNUMBER(AC128)),IFERROR(AC146/AC128,""),"")</f>
        <v>0.0730302147924841</v>
      </c>
      <c r="AD228" s="38" t="n">
        <f aca="false">IF(AND(ISNUMBER(AD146),ISNUMBER(AD128)),IFERROR(AD146/AD128,""),"")</f>
        <v>0.0136300407050161</v>
      </c>
      <c r="AE228" s="38" t="n">
        <f aca="false">IF(AND(ISNUMBER(AE146),ISNUMBER(AE128)),IFERROR(AE146/AE128,""),"")</f>
        <v>0.105188210985489</v>
      </c>
      <c r="AF228" s="38" t="n">
        <f aca="false">IF(AND(ISNUMBER(AF146),ISNUMBER(AF128)),IFERROR(AF146/AF128,""),"")</f>
        <v>0.10213779281512</v>
      </c>
      <c r="AG228" s="38" t="n">
        <f aca="false">IF(AND(ISNUMBER(AG146),ISNUMBER(AG128)),IFERROR(AG146/AG128,""),"")</f>
        <v>0.272288115453583</v>
      </c>
      <c r="AH228" s="38" t="n">
        <f aca="false">IF(AND(ISNUMBER(AH146),ISNUMBER(AH128)),IFERROR(AH146/AH128,""),"")</f>
        <v>0.124569375841164</v>
      </c>
      <c r="AI228" s="38" t="n">
        <f aca="false">IF(AND(ISNUMBER(AI146),ISNUMBER(AI128)),IFERROR(AI146/AI128,""),"")</f>
        <v>0.109521625146584</v>
      </c>
      <c r="AJ228" s="38" t="n">
        <f aca="false">IF(AND(ISNUMBER(AJ146),ISNUMBER(AJ128)),IFERROR(AJ146/AJ128,""),"")</f>
        <v>0.111843208857003</v>
      </c>
      <c r="AK228" s="38" t="n">
        <f aca="false">IF(AND(ISNUMBER(AK146),ISNUMBER(AK128)),IFERROR(AK146/AK128,""),"")</f>
        <v>0.117743987635722</v>
      </c>
      <c r="AL228" s="38" t="n">
        <f aca="false">IF(AND(ISNUMBER(AL146),ISNUMBER(AL128)),IFERROR(AL146/AL128,""),"")</f>
        <v>0.104996940713242</v>
      </c>
      <c r="AM228" s="38" t="n">
        <f aca="false">IF(AND(ISNUMBER(AM146),ISNUMBER(AM128)),IFERROR(AM146/AM128,""),"")</f>
        <v>0.111086238896627</v>
      </c>
      <c r="AN228" s="38" t="n">
        <f aca="false">IF(AND(ISNUMBER(AN146),ISNUMBER(AN128)),IFERROR(AN146/AN128,""),"")</f>
        <v>0.100930632786909</v>
      </c>
      <c r="AO228" s="38" t="n">
        <f aca="false">IF(AND(ISNUMBER(AO146),ISNUMBER(AO128)),IFERROR(AO146/AO128,""),"")</f>
        <v>0.108676811919053</v>
      </c>
      <c r="AP228" s="38" t="n">
        <f aca="false">IF(AND(ISNUMBER(AP146),ISNUMBER(AP128)),IFERROR(AP146/AP128,""),"")</f>
        <v>0.112648005867843</v>
      </c>
      <c r="AQ228" s="38" t="n">
        <f aca="false">IF(AND(ISNUMBER(AQ146),ISNUMBER(AQ128)),IFERROR(AQ146/AQ128,""),"")</f>
        <v>0.0978457517107697</v>
      </c>
      <c r="AR228" s="38" t="n">
        <f aca="false">IF(AND(ISNUMBER(AR146),ISNUMBER(AR128)),IFERROR(AR146/AR128,""),"")</f>
        <v>0.105191086720883</v>
      </c>
      <c r="AS228" s="38" t="n">
        <f aca="false">IF(AND(ISNUMBER(AS146),ISNUMBER(AS128)),IFERROR(AS146/AS128,""),"")</f>
        <v>0.105763514452782</v>
      </c>
      <c r="AT228" s="38" t="n">
        <f aca="false">IF(AND(ISNUMBER(AT146),ISNUMBER(AT128)),IFERROR(AT146/AT128,""),"")</f>
        <v>-0.173897327425252</v>
      </c>
      <c r="AU228" s="38" t="n">
        <f aca="false">IF(AND(ISNUMBER(AU146),ISNUMBER(AU128)),IFERROR(AU146/AU128,""),"")</f>
        <v>0.113740975508653</v>
      </c>
      <c r="AV228" s="38" t="n">
        <f aca="false">IF(AND(ISNUMBER(AV146),ISNUMBER(AV128)),IFERROR(AV146/AV128,""),"")</f>
        <v>0.0934488872169589</v>
      </c>
      <c r="AW228" s="38" t="n">
        <f aca="false">IF(AND(ISNUMBER(AW146),ISNUMBER(AW128)),IFERROR(AW146/AW128,""),"")</f>
        <v>0.0375830657052253</v>
      </c>
      <c r="AX228" s="38" t="n">
        <f aca="false">IF(AND(ISNUMBER(AX146),ISNUMBER(AX128)),IFERROR(AX146/AX128,""),"")</f>
        <v>0.114839298480883</v>
      </c>
      <c r="AY228" s="38" t="n">
        <f aca="false">IF(AND(ISNUMBER(AY146),ISNUMBER(AY128)),IFERROR(AY146/AY128,""),"")</f>
        <v>0.115420445900109</v>
      </c>
      <c r="AZ228" s="38" t="n">
        <f aca="false">IF(AND(ISNUMBER(AZ146),ISNUMBER(AZ128)),IFERROR(AZ146/AZ128,""),"")</f>
        <v>0.071614883343518</v>
      </c>
      <c r="BA228" s="38" t="n">
        <f aca="false">IF(AND(ISNUMBER(BA146),ISNUMBER(BA128)),IFERROR(BA146/BA128,""),"")</f>
        <v>0.102388139275598</v>
      </c>
      <c r="BB228" s="38" t="n">
        <f aca="false">IF(AND(ISNUMBER(BB146),ISNUMBER(BB128)),IFERROR(BB146/BB128,""),"")</f>
        <v>0.100473212350893</v>
      </c>
      <c r="BC228" s="38" t="n">
        <f aca="false">IF(AND(ISNUMBER(BC146),ISNUMBER(BC128)),IFERROR(BC146/BC128,""),"")</f>
        <v>0.10953588599579</v>
      </c>
      <c r="BD228" s="38" t="n">
        <f aca="false">IF(AND(ISNUMBER(BD146),ISNUMBER(BD128)),IFERROR(BD146/BD128,""),"")</f>
        <v>0.123359217368086</v>
      </c>
      <c r="BE228" s="38" t="n">
        <f aca="false">IF(AND(ISNUMBER(BE146),ISNUMBER(BE128)),IFERROR(BE146/BE128,""),"")</f>
        <v>0.126025869901504</v>
      </c>
      <c r="BF228" s="38" t="n">
        <f aca="false">IF(AND(ISNUMBER(BF146),ISNUMBER(BF128)),IFERROR(BF146/BF128,""),"")</f>
        <v>0.103970414609525</v>
      </c>
      <c r="BG228" s="38" t="n">
        <f aca="false">IF(AND(ISNUMBER(BG146),ISNUMBER(BG128)),IFERROR(BG146/BG128,""),"")</f>
        <v>0.115873313662954</v>
      </c>
      <c r="BH228" s="38" t="n">
        <f aca="false">IF(AND(ISNUMBER(BH146),ISNUMBER(BH128)),IFERROR(BH146/BH128,""),"")</f>
        <v>0.104084550248013</v>
      </c>
      <c r="BI228" s="38" t="n">
        <f aca="false">IF(AND(ISNUMBER(BI146),ISNUMBER(BI128)),IFERROR(BI146/BI128,""),"")</f>
        <v>0.103512205017577</v>
      </c>
      <c r="BJ228" s="38" t="n">
        <f aca="false">IF(AND(ISNUMBER(BJ146),ISNUMBER(BJ128)),IFERROR(BJ146/BJ128,""),"")</f>
        <v>0.110922225709337</v>
      </c>
      <c r="BK228" s="38" t="n">
        <f aca="false">IF(AND(ISNUMBER(BK146),ISNUMBER(BK128)),IFERROR(BK146/BK128,""),"")</f>
        <v>0.0622678520285575</v>
      </c>
      <c r="BL228" s="38" t="n">
        <f aca="false">IF(AND(ISNUMBER(BL146),ISNUMBER(BL128)),IFERROR(BL146/BL128,""),"")</f>
        <v>0.0950890874302274</v>
      </c>
      <c r="BM228" s="38" t="n">
        <f aca="false">IF(AND(ISNUMBER(BM146),ISNUMBER(BM128)),IFERROR(BM146/BM128,""),"")</f>
        <v>0.110994942231044</v>
      </c>
      <c r="BN228" s="38" t="n">
        <f aca="false">IF(AND(ISNUMBER(BN146),ISNUMBER(BN128)),IFERROR(BN146/BN128,""),"")</f>
        <v>0.122534101129543</v>
      </c>
      <c r="BO228" s="38" t="n">
        <f aca="false">IF(AND(ISNUMBER(BO146),ISNUMBER(BO128)),IFERROR(BO146/BO128,""),"")</f>
        <v>0.131728706754108</v>
      </c>
      <c r="BP228" s="38" t="n">
        <f aca="false">IF(AND(ISNUMBER(BP146),ISNUMBER(BP128)),IFERROR(BP146/BP128,""),"")</f>
        <v>-0.0867165748713766</v>
      </c>
      <c r="BQ228" s="38" t="n">
        <f aca="false">IF(AND(ISNUMBER(BQ146),ISNUMBER(BQ128)),IFERROR(BQ146/BQ128,""),"")</f>
        <v>0.0692378159491842</v>
      </c>
      <c r="BR228" s="38" t="n">
        <f aca="false">IF(AND(ISNUMBER(BR146),ISNUMBER(BR128)),IFERROR(BR146/BR128,""),"")</f>
        <v>0.108389103912797</v>
      </c>
      <c r="BS228" s="38" t="n">
        <f aca="false">IF(AND(ISNUMBER(BS146),ISNUMBER(BS128)),IFERROR(BS146/BS128,""),"")</f>
        <v>0.120593837697934</v>
      </c>
      <c r="BT228" s="38" t="n">
        <f aca="false">IF(AND(ISNUMBER(BT146),ISNUMBER(BT128)),IFERROR(BT146/BT128,""),"")</f>
        <v>0.116447104554304</v>
      </c>
      <c r="BU228" s="38" t="n">
        <f aca="false">IF(AND(ISNUMBER(BU146),ISNUMBER(BU128)),IFERROR(BU146/BU128,""),"")</f>
        <v>0.108919793739198</v>
      </c>
      <c r="BV228" s="38" t="n">
        <f aca="false">IF(AND(ISNUMBER(BV146),ISNUMBER(BV128)),IFERROR(BV146/BV128,""),"")</f>
        <v>0.113717826768277</v>
      </c>
      <c r="BW228" s="38" t="n">
        <f aca="false">IF(AND(ISNUMBER(BW146),ISNUMBER(BW128)),IFERROR(BW146/BW128,""),"")</f>
        <v>0.0925255765237187</v>
      </c>
      <c r="BX228" s="38" t="n">
        <f aca="false">IF(AND(ISNUMBER(BX146),ISNUMBER(BX128)),IFERROR(BX146/BX128,""),"")</f>
        <v>0.115708225344481</v>
      </c>
      <c r="BY228" s="37" t="n">
        <f aca="false">IFERROR(BY146/BY128,"")</f>
        <v>0.13243551311361</v>
      </c>
      <c r="BZ228" s="37" t="n">
        <f aca="false">IFERROR(BZ146/BZ128,"")</f>
        <v>0.125354732653283</v>
      </c>
      <c r="CA228" s="37" t="n">
        <f aca="false">IFERROR(CA146/CA128,"")</f>
        <v>0.116969160737419</v>
      </c>
      <c r="CB228" s="37" t="n">
        <f aca="false">IFERROR(CB146/CB128,"")</f>
        <v>0.128600164176092</v>
      </c>
      <c r="CC228" s="37" t="n">
        <f aca="false">IFERROR(CC146/CC128,"")</f>
        <v>0.129450840810687</v>
      </c>
      <c r="CD228" s="37" t="n">
        <f aca="false">IFERROR(CD146/CD128,"")</f>
        <v>0.129931449410102</v>
      </c>
      <c r="CE228" s="37" t="n">
        <f aca="false">IFERROR(CE146/CE128,"")</f>
        <v>0.130306741117762</v>
      </c>
      <c r="CF228" s="21"/>
      <c r="CH228" s="41" t="n">
        <f aca="false">IFERROR(AVERAGE(CA228,CB228,CC228,CD228,CE228),"n/m")</f>
        <v>0.127051671250412</v>
      </c>
      <c r="CI228" s="41" t="n">
        <f aca="false">IFERROR(AVERAGE(BB228,BG228,BL228,BQ228,BV228),"n/m")</f>
        <v>0.0988782512323071</v>
      </c>
      <c r="CJ228" s="41" t="n">
        <f aca="false">IFERROR(AVERAGE(AC228,AH228,AM228,AR228,AW228,BB228,BG228,BL228,BQ228,BV228),"n/m")</f>
        <v>0.0945851238117919</v>
      </c>
      <c r="CK228" s="41" t="n">
        <f aca="false">IFERROR(AVERAGE(C228,D228,E228,F228,G228,H228,I228,N228,S228,X228,AC228,AH228,AM228,AR228,AW228,BB228,BG228,BL228,BQ228,BV228),"n/m")</f>
        <v>0.0905907416235612</v>
      </c>
    </row>
    <row r="229" customFormat="false" ht="15" hidden="false" customHeight="true" outlineLevel="0" collapsed="false">
      <c r="B229" s="29" t="s">
        <v>273</v>
      </c>
      <c r="C229" s="38" t="n">
        <f aca="false">IF(AND(ISNUMBER(C130),ISNUMBER(C128)),IFERROR(C130/C128,""),"")</f>
        <v>0.1025542424735</v>
      </c>
      <c r="D229" s="38" t="n">
        <f aca="false">IF(AND(ISNUMBER(D130),ISNUMBER(D128)),IFERROR(D130/D128,""),"")</f>
        <v>0.103871404561725</v>
      </c>
      <c r="E229" s="38" t="n">
        <f aca="false">IF(AND(ISNUMBER(E130),ISNUMBER(E128)),IFERROR(E130/E128,""),"")</f>
        <v>0.10586288339496</v>
      </c>
      <c r="F229" s="38" t="n">
        <f aca="false">IF(AND(ISNUMBER(F130),ISNUMBER(F128)),IFERROR(F130/F128,""),"")</f>
        <v>0.115852619580609</v>
      </c>
      <c r="G229" s="38" t="n">
        <f aca="false">IF(AND(ISNUMBER(G130),ISNUMBER(G128)),IFERROR(G130/G128,""),"")</f>
        <v>0.113551206775187</v>
      </c>
      <c r="H229" s="38" t="n">
        <f aca="false">IF(AND(ISNUMBER(H130),ISNUMBER(H128)),IFERROR(H130/H128,""),"")</f>
        <v>0.107593103604041</v>
      </c>
      <c r="I229" s="38" t="n">
        <f aca="false">IF(AND(ISNUMBER(I130),ISNUMBER(I128)),IFERROR(I130/I128,""),"")</f>
        <v>0.118832367006135</v>
      </c>
      <c r="J229" s="38" t="n">
        <f aca="false">IF(AND(ISNUMBER(J130),ISNUMBER(J128)),IFERROR(J130/J128,""),"")</f>
        <v>0.118363962906653</v>
      </c>
      <c r="K229" s="38" t="n">
        <f aca="false">IF(AND(ISNUMBER(K130),ISNUMBER(K128)),IFERROR(K130/K128,""),"")</f>
        <v>0.10810186746114</v>
      </c>
      <c r="L229" s="38" t="n">
        <f aca="false">IF(AND(ISNUMBER(L130),ISNUMBER(L128)),IFERROR(L130/L128,""),"")</f>
        <v>0.106296883128229</v>
      </c>
      <c r="M229" s="38" t="n">
        <f aca="false">IF(AND(ISNUMBER(M130),ISNUMBER(M128)),IFERROR(M130/M128,""),"")</f>
        <v>0.108972023783797</v>
      </c>
      <c r="N229" s="38" t="n">
        <f aca="false">IF(AND(ISNUMBER(N130),ISNUMBER(N128)),IFERROR(N130/N128,""),"")</f>
        <v>0.110243442149114</v>
      </c>
      <c r="O229" s="38" t="n">
        <f aca="false">IF(AND(ISNUMBER(O130),ISNUMBER(O128)),IFERROR(O130/O128,""),"")</f>
        <v>0.115519711029458</v>
      </c>
      <c r="P229" s="38" t="n">
        <f aca="false">IF(AND(ISNUMBER(P130),ISNUMBER(P128)),IFERROR(P130/P128,""),"")</f>
        <v>0.107731568745914</v>
      </c>
      <c r="Q229" s="38" t="n">
        <f aca="false">IF(AND(ISNUMBER(Q130),ISNUMBER(Q128)),IFERROR(Q130/Q128,""),"")</f>
        <v>0.106103547518896</v>
      </c>
      <c r="R229" s="38" t="n">
        <f aca="false">IF(AND(ISNUMBER(R130),ISNUMBER(R128)),IFERROR(R130/R128,""),"")</f>
        <v>0.112712912831876</v>
      </c>
      <c r="S229" s="38" t="n">
        <f aca="false">IF(AND(ISNUMBER(S130),ISNUMBER(S128)),IFERROR(S130/S128,""),"")</f>
        <v>0.110368291901657</v>
      </c>
      <c r="T229" s="38" t="n">
        <f aca="false">IF(AND(ISNUMBER(T130),ISNUMBER(T128)),IFERROR(T130/T128,""),"")</f>
        <v>0.114886386089706</v>
      </c>
      <c r="U229" s="38" t="n">
        <f aca="false">IF(AND(ISNUMBER(U130),ISNUMBER(U128)),IFERROR(U130/U128,""),"")</f>
        <v>0.107778480440871</v>
      </c>
      <c r="V229" s="38" t="n">
        <f aca="false">IF(AND(ISNUMBER(V130),ISNUMBER(V128)),IFERROR(V130/V128,""),"")</f>
        <v>0.109134610120123</v>
      </c>
      <c r="W229" s="38" t="n">
        <f aca="false">IF(AND(ISNUMBER(W130),ISNUMBER(W128)),IFERROR(W130/W128,""),"")</f>
        <v>0.117074014403961</v>
      </c>
      <c r="X229" s="38" t="n">
        <f aca="false">IF(AND(ISNUMBER(X130),ISNUMBER(X128)),IFERROR(X130/X128,""),"")</f>
        <v>0.112164293267753</v>
      </c>
      <c r="Y229" s="38" t="n">
        <f aca="false">IF(AND(ISNUMBER(Y130),ISNUMBER(Y128)),IFERROR(Y130/Y128,""),"")</f>
        <v>0.131503069868656</v>
      </c>
      <c r="Z229" s="38" t="n">
        <f aca="false">IF(AND(ISNUMBER(Z130),ISNUMBER(Z128)),IFERROR(Z130/Z128,""),"")</f>
        <v>0.209907660254604</v>
      </c>
      <c r="AA229" s="38" t="n">
        <f aca="false">IF(AND(ISNUMBER(AA130),ISNUMBER(AA128)),IFERROR(AA130/AA128,""),"")</f>
        <v>0.119433470793292</v>
      </c>
      <c r="AB229" s="38" t="n">
        <f aca="false">IF(AND(ISNUMBER(AB130),ISNUMBER(AB128)),IFERROR(AB130/AB128,""),"")</f>
        <v>0.118506001209206</v>
      </c>
      <c r="AC229" s="38" t="n">
        <f aca="false">IF(AND(ISNUMBER(AC130),ISNUMBER(AC128)),IFERROR(AC130/AC128,""),"")</f>
        <v>0.140486447465433</v>
      </c>
      <c r="AD229" s="38" t="n">
        <f aca="false">IF(AND(ISNUMBER(AD130),ISNUMBER(AD128)),IFERROR(AD130/AD128,""),"")</f>
        <v>0.118258059904734</v>
      </c>
      <c r="AE229" s="38" t="n">
        <f aca="false">IF(AND(ISNUMBER(AE130),ISNUMBER(AE128)),IFERROR(AE130/AE128,""),"")</f>
        <v>0.107479867196226</v>
      </c>
      <c r="AF229" s="38" t="n">
        <f aca="false">IF(AND(ISNUMBER(AF130),ISNUMBER(AF128)),IFERROR(AF130/AF128,""),"")</f>
        <v>0.106259708009595</v>
      </c>
      <c r="AG229" s="38" t="n">
        <f aca="false">IF(AND(ISNUMBER(AG130),ISNUMBER(AG128)),IFERROR(AG130/AG128,""),"")</f>
        <v>0.108918702875537</v>
      </c>
      <c r="AH229" s="38" t="n">
        <f aca="false">IF(AND(ISNUMBER(AH130),ISNUMBER(AH128)),IFERROR(AH130/AH128,""),"")</f>
        <v>0.110061401735627</v>
      </c>
      <c r="AI229" s="38" t="n">
        <f aca="false">IF(AND(ISNUMBER(AI130),ISNUMBER(AI128)),IFERROR(AI130/AI128,""),"")</f>
        <v>0.115169221782409</v>
      </c>
      <c r="AJ229" s="38" t="n">
        <f aca="false">IF(AND(ISNUMBER(AJ130),ISNUMBER(AJ128)),IFERROR(AJ130/AJ128,""),"")</f>
        <v>0.103438959715089</v>
      </c>
      <c r="AK229" s="38" t="n">
        <f aca="false">IF(AND(ISNUMBER(AK130),ISNUMBER(AK128)),IFERROR(AK130/AK128,""),"")</f>
        <v>0.108510588474058</v>
      </c>
      <c r="AL229" s="38" t="n">
        <f aca="false">IF(AND(ISNUMBER(AL130),ISNUMBER(AL128)),IFERROR(AL130/AL128,""),"")</f>
        <v>0.0997089714773026</v>
      </c>
      <c r="AM229" s="38" t="n">
        <f aca="false">IF(AND(ISNUMBER(AM130),ISNUMBER(AM128)),IFERROR(AM130/AM128,""),"")</f>
        <v>0.106519253430013</v>
      </c>
      <c r="AN229" s="38" t="n">
        <f aca="false">IF(AND(ISNUMBER(AN130),ISNUMBER(AN128)),IFERROR(AN130/AN128,""),"")</f>
        <v>0.106525838457317</v>
      </c>
      <c r="AO229" s="38" t="n">
        <f aca="false">IF(AND(ISNUMBER(AO130),ISNUMBER(AO128)),IFERROR(AO130/AO128,""),"")</f>
        <v>0.101971395382287</v>
      </c>
      <c r="AP229" s="38" t="n">
        <f aca="false">IF(AND(ISNUMBER(AP130),ISNUMBER(AP128)),IFERROR(AP130/AP128,""),"")</f>
        <v>0.0976201534361716</v>
      </c>
      <c r="AQ229" s="38" t="n">
        <f aca="false">IF(AND(ISNUMBER(AQ130),ISNUMBER(AQ128)),IFERROR(AQ130/AQ128,""),"")</f>
        <v>0.0999632882022967</v>
      </c>
      <c r="AR229" s="38" t="n">
        <f aca="false">IF(AND(ISNUMBER(AR130),ISNUMBER(AR128)),IFERROR(AR130/AR128,""),"")</f>
        <v>0.101375123662033</v>
      </c>
      <c r="AS229" s="38" t="n">
        <f aca="false">IF(AND(ISNUMBER(AS130),ISNUMBER(AS128)),IFERROR(AS130/AS128,""),"")</f>
        <v>0.100600116533225</v>
      </c>
      <c r="AT229" s="38" t="n">
        <f aca="false">IF(AND(ISNUMBER(AT130),ISNUMBER(AT128)),IFERROR(AT130/AT128,""),"")</f>
        <v>0.101209849729894</v>
      </c>
      <c r="AU229" s="38" t="n">
        <f aca="false">IF(AND(ISNUMBER(AU130),ISNUMBER(AU128)),IFERROR(AU130/AU128,""),"")</f>
        <v>0.0978754303545315</v>
      </c>
      <c r="AV229" s="38" t="n">
        <f aca="false">IF(AND(ISNUMBER(AV130),ISNUMBER(AV128)),IFERROR(AV130/AV128,""),"")</f>
        <v>0.0954184906715603</v>
      </c>
      <c r="AW229" s="38" t="n">
        <f aca="false">IF(AND(ISNUMBER(AW130),ISNUMBER(AW128)),IFERROR(AW130/AW128,""),"")</f>
        <v>0.0987207101004592</v>
      </c>
      <c r="AX229" s="38" t="n">
        <f aca="false">IF(AND(ISNUMBER(AX130),ISNUMBER(AX128)),IFERROR(AX130/AX128,""),"")</f>
        <v>0.10130936672154</v>
      </c>
      <c r="AY229" s="38" t="n">
        <f aca="false">IF(AND(ISNUMBER(AY130),ISNUMBER(AY128)),IFERROR(AY130/AY128,""),"")</f>
        <v>0.102966169925505</v>
      </c>
      <c r="AZ229" s="38" t="n">
        <f aca="false">IF(AND(ISNUMBER(AZ130),ISNUMBER(AZ128)),IFERROR(AZ130/AZ128,""),"")</f>
        <v>0.0973723490578324</v>
      </c>
      <c r="BA229" s="38" t="n">
        <f aca="false">IF(AND(ISNUMBER(BA130),ISNUMBER(BA128)),IFERROR(BA130/BA128,""),"")</f>
        <v>0.0969341613316104</v>
      </c>
      <c r="BB229" s="38" t="n">
        <f aca="false">IF(AND(ISNUMBER(BB130),ISNUMBER(BB128)),IFERROR(BB130/BB128,""),"")</f>
        <v>0.0995449624887891</v>
      </c>
      <c r="BC229" s="38" t="n">
        <f aca="false">IF(AND(ISNUMBER(BC130),ISNUMBER(BC128)),IFERROR(BC130/BC128,""),"")</f>
        <v>0.0992640872768799</v>
      </c>
      <c r="BD229" s="38" t="n">
        <f aca="false">IF(AND(ISNUMBER(BD130),ISNUMBER(BD128)),IFERROR(BD130/BD128,""),"")</f>
        <v>0.092711272354915</v>
      </c>
      <c r="BE229" s="38" t="n">
        <f aca="false">IF(AND(ISNUMBER(BE130),ISNUMBER(BE128)),IFERROR(BE130/BE128,""),"")</f>
        <v>0.0994149589226478</v>
      </c>
      <c r="BF229" s="38" t="n">
        <f aca="false">IF(AND(ISNUMBER(BF130),ISNUMBER(BF128)),IFERROR(BF130/BF128,""),"")</f>
        <v>0.0950954394182638</v>
      </c>
      <c r="BG229" s="38" t="n">
        <f aca="false">IF(AND(ISNUMBER(BG130),ISNUMBER(BG128)),IFERROR(BG130/BG128,""),"")</f>
        <v>0.0965724648804143</v>
      </c>
      <c r="BH229" s="38" t="n">
        <f aca="false">IF(AND(ISNUMBER(BH130),ISNUMBER(BH128)),IFERROR(BH130/BH128,""),"")</f>
        <v>0.101903022515618</v>
      </c>
      <c r="BI229" s="38" t="n">
        <f aca="false">IF(AND(ISNUMBER(BI130),ISNUMBER(BI128)),IFERROR(BI130/BI128,""),"")</f>
        <v>0.107063250366757</v>
      </c>
      <c r="BJ229" s="38" t="n">
        <f aca="false">IF(AND(ISNUMBER(BJ130),ISNUMBER(BJ128)),IFERROR(BJ130/BJ128,""),"")</f>
        <v>0.0950800680374904</v>
      </c>
      <c r="BK229" s="38" t="n">
        <f aca="false">IF(AND(ISNUMBER(BK130),ISNUMBER(BK128)),IFERROR(BK130/BK128,""),"")</f>
        <v>0.0946900902874767</v>
      </c>
      <c r="BL229" s="38" t="n">
        <f aca="false">IF(AND(ISNUMBER(BL130),ISNUMBER(BL128)),IFERROR(BL130/BL128,""),"")</f>
        <v>0.0996165396672206</v>
      </c>
      <c r="BM229" s="38" t="n">
        <f aca="false">IF(AND(ISNUMBER(BM130),ISNUMBER(BM128)),IFERROR(BM130/BM128,""),"")</f>
        <v>0.10649877234636</v>
      </c>
      <c r="BN229" s="38" t="n">
        <f aca="false">IF(AND(ISNUMBER(BN130),ISNUMBER(BN128)),IFERROR(BN130/BN128,""),"")</f>
        <v>0.101793194986491</v>
      </c>
      <c r="BO229" s="38" t="n">
        <f aca="false">IF(AND(ISNUMBER(BO130),ISNUMBER(BO128)),IFERROR(BO130/BO128,""),"")</f>
        <v>0.0951580679481785</v>
      </c>
      <c r="BP229" s="38" t="n">
        <f aca="false">IF(AND(ISNUMBER(BP130),ISNUMBER(BP128)),IFERROR(BP130/BP128,""),"")</f>
        <v>0.0934993538419747</v>
      </c>
      <c r="BQ229" s="38" t="n">
        <f aca="false">IF(AND(ISNUMBER(BQ130),ISNUMBER(BQ128)),IFERROR(BQ130/BQ128,""),"")</f>
        <v>0.0990454607167526</v>
      </c>
      <c r="BR229" s="38" t="n">
        <f aca="false">IF(AND(ISNUMBER(BR130),ISNUMBER(BR128)),IFERROR(BR130/BR128,""),"")</f>
        <v>0.112259534255822</v>
      </c>
      <c r="BS229" s="38" t="n">
        <f aca="false">IF(AND(ISNUMBER(BS130),ISNUMBER(BS128)),IFERROR(BS130/BS128,""),"")</f>
        <v>0.100939114394976</v>
      </c>
      <c r="BT229" s="38" t="n">
        <f aca="false">IF(AND(ISNUMBER(BT130),ISNUMBER(BT128)),IFERROR(BT130/BT128,""),"")</f>
        <v>0.0961918793611072</v>
      </c>
      <c r="BU229" s="38" t="n">
        <f aca="false">IF(AND(ISNUMBER(BU130),ISNUMBER(BU128)),IFERROR(BU130/BU128,""),"")</f>
        <v>0.0968977451706607</v>
      </c>
      <c r="BV229" s="38" t="n">
        <f aca="false">IF(AND(ISNUMBER(BV130),ISNUMBER(BV128)),IFERROR(BV130/BV128,""),"")</f>
        <v>0.101357622837007</v>
      </c>
      <c r="BW229" s="38" t="n">
        <f aca="false">IF(AND(ISNUMBER(BW130),ISNUMBER(BW128)),IFERROR(BW130/BW128,""),"")</f>
        <v>0.105929180880534</v>
      </c>
      <c r="BX229" s="38" t="n">
        <f aca="false">IF(AND(ISNUMBER(BX130),ISNUMBER(BX128)),IFERROR(BX130/BX128,""),"")</f>
        <v>0.10169124303611</v>
      </c>
      <c r="BY229" s="37" t="n">
        <f aca="false">IFERROR(BY130/BY128,"")</f>
        <v>0.0944842074707503</v>
      </c>
      <c r="BZ229" s="37" t="n">
        <f aca="false">IFERROR(BZ130/BZ128,"")</f>
        <v>0.0952124041954089</v>
      </c>
      <c r="CA229" s="37" t="n">
        <f aca="false">IFERROR(CA130/CA128,"")</f>
        <v>0.0992094945985542</v>
      </c>
      <c r="CB229" s="37" t="n">
        <f aca="false">IFERROR(CB130/CB128,"")</f>
        <v>0.0982933111066574</v>
      </c>
      <c r="CC229" s="37" t="n">
        <f aca="false">IFERROR(CC130/CC128,"")</f>
        <v>0.0951017795028848</v>
      </c>
      <c r="CD229" s="37" t="n">
        <f aca="false">IFERROR(CD130/CD128,"")</f>
        <v>0.0922326597585735</v>
      </c>
      <c r="CE229" s="37" t="n">
        <f aca="false">IFERROR(CE130/CE128,"")</f>
        <v>0.0896192917221147</v>
      </c>
      <c r="CF229" s="21"/>
      <c r="CH229" s="41" t="n">
        <f aca="false">IFERROR(AVERAGE(CA229,CB229,CC229,CD229,CE229),"n/m")</f>
        <v>0.0948913073377569</v>
      </c>
      <c r="CI229" s="41" t="n">
        <f aca="false">IFERROR(AVERAGE(BB229,BG229,BL229,BQ229,BV229),"n/m")</f>
        <v>0.0992274101180366</v>
      </c>
      <c r="CJ229" s="41" t="n">
        <f aca="false">IFERROR(AVERAGE(AC229,AH229,AM229,AR229,AW229,BB229,BG229,BL229,BQ229,BV229),"n/m")</f>
        <v>0.105329998698375</v>
      </c>
      <c r="CK229" s="41" t="n">
        <f aca="false">IFERROR(AVERAGE(C229,D229,E229,F229,G229,H229,I229,N229,S229,X229,AC229,AH229,AM229,AR229,AW229,BB229,BG229,BL229,BQ229,BV229),"n/m")</f>
        <v>0.107709692084921</v>
      </c>
    </row>
    <row r="230" customFormat="false" ht="15" hidden="false" customHeight="true" outlineLevel="0" collapsed="false">
      <c r="B230" s="29" t="s">
        <v>418</v>
      </c>
      <c r="C230" s="38" t="n">
        <f aca="false">IF(AND(ISNUMBER(C289),ISNUMBER(C128)),IFERROR(C289/C128,""),"")</f>
        <v>0.118276856787254</v>
      </c>
      <c r="D230" s="38" t="n">
        <f aca="false">IF(AND(ISNUMBER(D289),ISNUMBER(D128)),IFERROR(D289/D128,""),"")</f>
        <v>0.110773561068332</v>
      </c>
      <c r="E230" s="38" t="n">
        <f aca="false">IF(AND(ISNUMBER(E289),ISNUMBER(E128)),IFERROR(E289/E128,""),"")</f>
        <v>0.145923744501492</v>
      </c>
      <c r="F230" s="38" t="n">
        <f aca="false">IF(AND(ISNUMBER(F289),ISNUMBER(F128)),IFERROR(F289/F128,""),"")</f>
        <v>0.161410214765405</v>
      </c>
      <c r="G230" s="38" t="n">
        <f aca="false">IF(AND(ISNUMBER(G289),ISNUMBER(G128)),IFERROR(G289/G128,""),"")</f>
        <v>0.163882441995004</v>
      </c>
      <c r="H230" s="38" t="n">
        <f aca="false">IF(AND(ISNUMBER(H289),ISNUMBER(H128)),IFERROR(H289/H128,""),"")</f>
        <v>0.169089111883755</v>
      </c>
      <c r="I230" s="38" t="n">
        <f aca="false">IF(AND(ISNUMBER(I289),ISNUMBER(I128)),IFERROR(I289/I128,""),"")</f>
        <v>0.165958120338128</v>
      </c>
      <c r="J230" s="38" t="n">
        <f aca="false">IF(AND(ISNUMBER(J289),ISNUMBER(J128)),IFERROR(J289/J128,""),"")</f>
        <v>0.222635654779369</v>
      </c>
      <c r="K230" s="38" t="n">
        <f aca="false">IF(AND(ISNUMBER(K289),ISNUMBER(K128)),IFERROR(K289/K128,""),"")</f>
        <v>0.154258134255314</v>
      </c>
      <c r="L230" s="38" t="n">
        <f aca="false">IF(AND(ISNUMBER(L289),ISNUMBER(L128)),IFERROR(L289/L128,""),"")</f>
        <v>0.174295040564206</v>
      </c>
      <c r="M230" s="38" t="n">
        <f aca="false">IF(AND(ISNUMBER(M289),ISNUMBER(M128)),IFERROR(M289/M128,""),"")</f>
        <v>0.0785034072409272</v>
      </c>
      <c r="N230" s="38" t="n">
        <f aca="false">IF(AND(ISNUMBER(N289),ISNUMBER(N128)),IFERROR(N289/N128,""),"")</f>
        <v>0.15635617056245</v>
      </c>
      <c r="O230" s="38" t="n">
        <f aca="false">IF(AND(ISNUMBER(O289),ISNUMBER(O128)),IFERROR(O289/O128,""),"")</f>
        <v>0.239772892404144</v>
      </c>
      <c r="P230" s="38" t="n">
        <f aca="false">IF(AND(ISNUMBER(P289),ISNUMBER(P128)),IFERROR(P289/P128,""),"")</f>
        <v>0.177450432919822</v>
      </c>
      <c r="Q230" s="38" t="n">
        <f aca="false">IF(AND(ISNUMBER(Q289),ISNUMBER(Q128)),IFERROR(Q289/Q128,""),"")</f>
        <v>0.12796610014436</v>
      </c>
      <c r="R230" s="38" t="n">
        <f aca="false">IF(AND(ISNUMBER(R289),ISNUMBER(R128)),IFERROR(R289/R128,""),"")</f>
        <v>0.0817653687765222</v>
      </c>
      <c r="S230" s="38" t="n">
        <f aca="false">IF(AND(ISNUMBER(S289),ISNUMBER(S128)),IFERROR(S289/S128,""),"")</f>
        <v>0.154664899291351</v>
      </c>
      <c r="T230" s="38" t="n">
        <f aca="false">IF(AND(ISNUMBER(T289),ISNUMBER(T128)),IFERROR(T289/T128,""),"")</f>
        <v>0.242884805374432</v>
      </c>
      <c r="U230" s="38" t="n">
        <f aca="false">IF(AND(ISNUMBER(U289),ISNUMBER(U128)),IFERROR(U289/U128,""),"")</f>
        <v>0.182941473183365</v>
      </c>
      <c r="V230" s="38" t="n">
        <f aca="false">IF(AND(ISNUMBER(V289),ISNUMBER(V128)),IFERROR(V289/V128,""),"")</f>
        <v>0.143282634166639</v>
      </c>
      <c r="W230" s="38" t="n">
        <f aca="false">IF(AND(ISNUMBER(W289),ISNUMBER(W128)),IFERROR(W289/W128,""),"")</f>
        <v>0.0833820546418091</v>
      </c>
      <c r="X230" s="38" t="n">
        <f aca="false">IF(AND(ISNUMBER(X289),ISNUMBER(X128)),IFERROR(X289/X128,""),"")</f>
        <v>0.161993626749704</v>
      </c>
      <c r="Y230" s="38" t="n">
        <f aca="false">IF(AND(ISNUMBER(Y289),ISNUMBER(Y128)),IFERROR(Y289/Y128,""),"")</f>
        <v>0.220638066371338</v>
      </c>
      <c r="Z230" s="38" t="n">
        <f aca="false">IF(AND(ISNUMBER(Z289),ISNUMBER(Z128)),IFERROR(Z289/Z128,""),"")</f>
        <v>0.165858344591205</v>
      </c>
      <c r="AA230" s="38" t="n">
        <f aca="false">IF(AND(ISNUMBER(AA289),ISNUMBER(AA128)),IFERROR(AA289/AA128,""),"")</f>
        <v>0.189731612042156</v>
      </c>
      <c r="AB230" s="38" t="n">
        <f aca="false">IF(AND(ISNUMBER(AB289),ISNUMBER(AB128)),IFERROR(AB289/AB128,""),"")</f>
        <v>0.105547089418303</v>
      </c>
      <c r="AC230" s="38" t="n">
        <f aca="false">IF(AND(ISNUMBER(AC289),ISNUMBER(AC128)),IFERROR(AC289/AC128,""),"")</f>
        <v>0.16320093558299</v>
      </c>
      <c r="AD230" s="38" t="n">
        <f aca="false">IF(AND(ISNUMBER(AD289),ISNUMBER(AD128)),IFERROR(AD289/AD128,""),"")</f>
        <v>0.21762796605044</v>
      </c>
      <c r="AE230" s="38" t="n">
        <f aca="false">IF(AND(ISNUMBER(AE289),ISNUMBER(AE128)),IFERROR(AE289/AE128,""),"")</f>
        <v>0.132811430039411</v>
      </c>
      <c r="AF230" s="38" t="n">
        <f aca="false">IF(AND(ISNUMBER(AF289),ISNUMBER(AF128)),IFERROR(AF289/AF128,""),"")</f>
        <v>0.182687956183204</v>
      </c>
      <c r="AG230" s="38" t="n">
        <f aca="false">IF(AND(ISNUMBER(AG289),ISNUMBER(AG128)),IFERROR(AG289/AG128,""),"")</f>
        <v>0.12950677296001</v>
      </c>
      <c r="AH230" s="38" t="n">
        <f aca="false">IF(AND(ISNUMBER(AH289),ISNUMBER(AH128)),IFERROR(AH289/AH128,""),"")</f>
        <v>0.164969869266479</v>
      </c>
      <c r="AI230" s="38" t="n">
        <f aca="false">IF(AND(ISNUMBER(AI289),ISNUMBER(AI128)),IFERROR(AI289/AI128,""),"")</f>
        <v>0.193184818235799</v>
      </c>
      <c r="AJ230" s="38" t="n">
        <f aca="false">IF(AND(ISNUMBER(AJ289),ISNUMBER(AJ128)),IFERROR(AJ289/AJ128,""),"")</f>
        <v>0.203670578595577</v>
      </c>
      <c r="AK230" s="38" t="n">
        <f aca="false">IF(AND(ISNUMBER(AK289),ISNUMBER(AK128)),IFERROR(AK289/AK128,""),"")</f>
        <v>0.158904387601377</v>
      </c>
      <c r="AL230" s="38" t="n">
        <f aca="false">IF(AND(ISNUMBER(AL289),ISNUMBER(AL128)),IFERROR(AL289/AL128,""),"")</f>
        <v>0.160018926364711</v>
      </c>
      <c r="AM230" s="38" t="n">
        <f aca="false">IF(AND(ISNUMBER(AM289),ISNUMBER(AM128)),IFERROR(AM289/AM128,""),"")</f>
        <v>0.178755747834475</v>
      </c>
      <c r="AN230" s="38" t="n">
        <f aca="false">IF(AND(ISNUMBER(AN289),ISNUMBER(AN128)),IFERROR(AN289/AN128,""),"")</f>
        <v>0.197917143713388</v>
      </c>
      <c r="AO230" s="38" t="n">
        <f aca="false">IF(AND(ISNUMBER(AO289),ISNUMBER(AO128)),IFERROR(AO289/AO128,""),"")</f>
        <v>0.188146657622921</v>
      </c>
      <c r="AP230" s="38" t="n">
        <f aca="false">IF(AND(ISNUMBER(AP289),ISNUMBER(AP128)),IFERROR(AP289/AP128,""),"")</f>
        <v>0.183388509562149</v>
      </c>
      <c r="AQ230" s="38" t="n">
        <f aca="false">IF(AND(ISNUMBER(AQ289),ISNUMBER(AQ128)),IFERROR(AQ289/AQ128,""),"")</f>
        <v>0.113287468060736</v>
      </c>
      <c r="AR230" s="38" t="n">
        <f aca="false">IF(AND(ISNUMBER(AR289),ISNUMBER(AR128)),IFERROR(AR289/AR128,""),"")</f>
        <v>0.17023597063399</v>
      </c>
      <c r="AS230" s="38" t="n">
        <f aca="false">IF(AND(ISNUMBER(AS289),ISNUMBER(AS128)),IFERROR(AS289/AS128,""),"")</f>
        <v>0.174299987281907</v>
      </c>
      <c r="AT230" s="38" t="n">
        <f aca="false">IF(AND(ISNUMBER(AT289),ISNUMBER(AT128)),IFERROR(AT289/AT128,""),"")</f>
        <v>0.198229872980329</v>
      </c>
      <c r="AU230" s="38" t="n">
        <f aca="false">IF(AND(ISNUMBER(AU289),ISNUMBER(AU128)),IFERROR(AU289/AU128,""),"")</f>
        <v>0.204254320817069</v>
      </c>
      <c r="AV230" s="38" t="n">
        <f aca="false">IF(AND(ISNUMBER(AV289),ISNUMBER(AV128)),IFERROR(AV289/AV128,""),"")</f>
        <v>0.0380017607711347</v>
      </c>
      <c r="AW230" s="38" t="n">
        <f aca="false">IF(AND(ISNUMBER(AW289),ISNUMBER(AW128)),IFERROR(AW289/AW128,""),"")</f>
        <v>0.15459044177459</v>
      </c>
      <c r="AX230" s="38" t="n">
        <f aca="false">IF(AND(ISNUMBER(AX289),ISNUMBER(AX128)),IFERROR(AX289/AX128,""),"")</f>
        <v>0.207593868513162</v>
      </c>
      <c r="AY230" s="38" t="n">
        <f aca="false">IF(AND(ISNUMBER(AY289),ISNUMBER(AY128)),IFERROR(AY289/AY128,""),"")</f>
        <v>0.19299825089916</v>
      </c>
      <c r="AZ230" s="38" t="n">
        <f aca="false">IF(AND(ISNUMBER(AZ289),ISNUMBER(AZ128)),IFERROR(AZ289/AZ128,""),"")</f>
        <v>0.150267849092895</v>
      </c>
      <c r="BA230" s="38" t="n">
        <f aca="false">IF(AND(ISNUMBER(BA289),ISNUMBER(BA128)),IFERROR(BA289/BA128,""),"")</f>
        <v>0.123669057617377</v>
      </c>
      <c r="BB230" s="38" t="n">
        <f aca="false">IF(AND(ISNUMBER(BB289),ISNUMBER(BB128)),IFERROR(BB289/BB128,""),"")</f>
        <v>0.164125955215439</v>
      </c>
      <c r="BC230" s="38" t="n">
        <f aca="false">IF(AND(ISNUMBER(BC289),ISNUMBER(BC128)),IFERROR(BC289/BC128,""),"")</f>
        <v>0.194609583569982</v>
      </c>
      <c r="BD230" s="38" t="n">
        <f aca="false">IF(AND(ISNUMBER(BD289),ISNUMBER(BD128)),IFERROR(BD289/BD128,""),"")</f>
        <v>0.175059388307316</v>
      </c>
      <c r="BE230" s="38" t="n">
        <f aca="false">IF(AND(ISNUMBER(BE289),ISNUMBER(BE128)),IFERROR(BE289/BE128,""),"")</f>
        <v>0.154583726091406</v>
      </c>
      <c r="BF230" s="38" t="n">
        <f aca="false">IF(AND(ISNUMBER(BF289),ISNUMBER(BF128)),IFERROR(BF289/BF128,""),"")</f>
        <v>0.126189415187816</v>
      </c>
      <c r="BG230" s="38" t="n">
        <f aca="false">IF(AND(ISNUMBER(BG289),ISNUMBER(BG128)),IFERROR(BG289/BG128,""),"")</f>
        <v>0.161517855521024</v>
      </c>
      <c r="BH230" s="38" t="n">
        <f aca="false">IF(AND(ISNUMBER(BH289),ISNUMBER(BH128)),IFERROR(BH289/BH128,""),"")</f>
        <v>0.144162361227528</v>
      </c>
      <c r="BI230" s="38" t="n">
        <f aca="false">IF(AND(ISNUMBER(BI289),ISNUMBER(BI128)),IFERROR(BI289/BI128,""),"")</f>
        <v>0.176129276456574</v>
      </c>
      <c r="BJ230" s="38" t="n">
        <f aca="false">IF(AND(ISNUMBER(BJ289),ISNUMBER(BJ128)),IFERROR(BJ289/BJ128,""),"")</f>
        <v>0.16434192326022</v>
      </c>
      <c r="BK230" s="38" t="n">
        <f aca="false">IF(AND(ISNUMBER(BK289),ISNUMBER(BK128)),IFERROR(BK289/BK128,""),"")</f>
        <v>0.125197422491254</v>
      </c>
      <c r="BL230" s="38" t="n">
        <f aca="false">IF(AND(ISNUMBER(BL289),ISNUMBER(BL128)),IFERROR(BL289/BL128,""),"")</f>
        <v>0.152597790736942</v>
      </c>
      <c r="BM230" s="38" t="n">
        <f aca="false">IF(AND(ISNUMBER(BM289),ISNUMBER(BM128)),IFERROR(BM289/BM128,""),"")</f>
        <v>0.156703992419378</v>
      </c>
      <c r="BN230" s="38" t="n">
        <f aca="false">IF(AND(ISNUMBER(BN289),ISNUMBER(BN128)),IFERROR(BN289/BN128,""),"")</f>
        <v>0.179096650336319</v>
      </c>
      <c r="BO230" s="38" t="n">
        <f aca="false">IF(AND(ISNUMBER(BO289),ISNUMBER(BO128)),IFERROR(BO289/BO128,""),"")</f>
        <v>0.135248502451157</v>
      </c>
      <c r="BP230" s="38" t="n">
        <f aca="false">IF(AND(ISNUMBER(BP289),ISNUMBER(BP128)),IFERROR(BP289/BP128,""),"")</f>
        <v>0.0769005474093289</v>
      </c>
      <c r="BQ230" s="38" t="n">
        <f aca="false">IF(AND(ISNUMBER(BQ289),ISNUMBER(BQ128)),IFERROR(BQ289/BQ128,""),"")</f>
        <v>0.136500204998189</v>
      </c>
      <c r="BR230" s="38" t="n">
        <f aca="false">IF(AND(ISNUMBER(BR289),ISNUMBER(BR128)),IFERROR(BR289/BR128,""),"")</f>
        <v>0.149034456883119</v>
      </c>
      <c r="BS230" s="38" t="n">
        <f aca="false">IF(AND(ISNUMBER(BS289),ISNUMBER(BS128)),IFERROR(BS289/BS128,""),"")</f>
        <v>0.152473873675508</v>
      </c>
      <c r="BT230" s="38" t="n">
        <f aca="false">IF(AND(ISNUMBER(BT289),ISNUMBER(BT128)),IFERROR(BT289/BT128,""),"")</f>
        <v>0.156436479662607</v>
      </c>
      <c r="BU230" s="38" t="n">
        <f aca="false">IF(AND(ISNUMBER(BU289),ISNUMBER(BU128)),IFERROR(BU289/BU128,""),"")</f>
        <v>0.0740001500017275</v>
      </c>
      <c r="BV230" s="38" t="n">
        <f aca="false">IF(AND(ISNUMBER(BV289),ISNUMBER(BV128)),IFERROR(BV289/BV128,""),"")</f>
        <v>0.133020419006614</v>
      </c>
      <c r="BW230" s="38" t="n">
        <f aca="false">IF(AND(ISNUMBER(BW289),ISNUMBER(BW128)),IFERROR(BW289/BW128,""),"")</f>
        <v>0.1037179552617</v>
      </c>
      <c r="BX230" s="38" t="n">
        <f aca="false">IF(AND(ISNUMBER(BX289),ISNUMBER(BX128)),IFERROR(BX289/BX128,""),"")</f>
        <v>0.178594921078838</v>
      </c>
      <c r="BY230" s="39"/>
      <c r="BZ230" s="39"/>
      <c r="CA230" s="37" t="n">
        <f aca="false">IFERROR(CA289/CA128,"")</f>
        <v>0.14172057797708</v>
      </c>
      <c r="CB230" s="37" t="n">
        <f aca="false">IFERROR(CB289/CB128,"")</f>
        <v>0.162125589564173</v>
      </c>
      <c r="CC230" s="37" t="n">
        <f aca="false">IFERROR(CC289/CC128,"")</f>
        <v>0.164003117325961</v>
      </c>
      <c r="CD230" s="37" t="n">
        <f aca="false">IFERROR(CD289/CD128,"")</f>
        <v>0.163288623602419</v>
      </c>
      <c r="CE230" s="37" t="n">
        <f aca="false">IFERROR(CE289/CE128,"")</f>
        <v>0.162383766812465</v>
      </c>
      <c r="CF230" s="21"/>
      <c r="CH230" s="41" t="n">
        <f aca="false">IFERROR(AVERAGE(CA230,CB230,CC230,CD230,CE230),"n/m")</f>
        <v>0.15870433505642</v>
      </c>
      <c r="CI230" s="41" t="n">
        <f aca="false">IFERROR(AVERAGE(BB230,BG230,BL230,BQ230,BV230),"n/m")</f>
        <v>0.149552445095642</v>
      </c>
      <c r="CJ230" s="41" t="n">
        <f aca="false">IFERROR(AVERAGE(AC230,AH230,AM230,AR230,AW230,BB230,BG230,BL230,BQ230,BV230),"n/m")</f>
        <v>0.157951519057073</v>
      </c>
      <c r="CK230" s="41" t="n">
        <f aca="false">IFERROR(AVERAGE(C230,D230,E230,F230,G230,H230,I230,N230,S230,X230,AC230,AH230,AM230,AR230,AW230,BB230,BG230,BL230,BQ230,BV230),"n/m")</f>
        <v>0.15439219692568</v>
      </c>
    </row>
    <row r="231" customFormat="false" ht="15" hidden="false" customHeight="true" outlineLevel="0" collapsed="false"/>
    <row r="232" customFormat="false" ht="15" hidden="false" customHeight="true" outlineLevel="0" collapsed="false">
      <c r="B232" s="12" t="s">
        <v>419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 t="s">
        <v>420</v>
      </c>
    </row>
    <row r="233" customFormat="false" ht="15" hidden="false" customHeight="true" outlineLevel="0" collapsed="false">
      <c r="B233" s="29" t="s">
        <v>310</v>
      </c>
      <c r="C233" s="27" t="n">
        <v>77.423</v>
      </c>
      <c r="D233" s="27" t="n">
        <v>99.081</v>
      </c>
      <c r="E233" s="27" t="n">
        <v>105.556</v>
      </c>
      <c r="F233" s="27" t="n">
        <v>110.811</v>
      </c>
      <c r="G233" s="27" t="n">
        <v>136.142</v>
      </c>
      <c r="H233" s="27" t="n">
        <v>166.171</v>
      </c>
      <c r="I233" s="27" t="n">
        <v>159.66</v>
      </c>
      <c r="J233" s="27" t="n">
        <v>41.68</v>
      </c>
      <c r="K233" s="27" t="n">
        <v>43.994</v>
      </c>
      <c r="L233" s="27" t="n">
        <v>60.914</v>
      </c>
      <c r="M233" s="27" t="n">
        <v>49.417</v>
      </c>
      <c r="N233" s="27" t="n">
        <v>196.005</v>
      </c>
      <c r="O233" s="27" t="n">
        <v>49.223</v>
      </c>
      <c r="P233" s="27" t="n">
        <v>62.899</v>
      </c>
      <c r="Q233" s="27" t="n">
        <v>60.285</v>
      </c>
      <c r="R233" s="27" t="n">
        <v>60.92</v>
      </c>
      <c r="S233" s="27" t="n">
        <v>233.327</v>
      </c>
      <c r="T233" s="27" t="n">
        <v>52.081</v>
      </c>
      <c r="U233" s="27" t="n">
        <v>57.642</v>
      </c>
      <c r="V233" s="27" t="n">
        <v>-256.805</v>
      </c>
      <c r="W233" s="27" t="n">
        <v>52.388</v>
      </c>
      <c r="X233" s="27" t="n">
        <v>-94.694</v>
      </c>
      <c r="Y233" s="27" t="n">
        <v>45.017</v>
      </c>
      <c r="Z233" s="27" t="n">
        <v>27.72</v>
      </c>
      <c r="AA233" s="27" t="n">
        <v>88.881</v>
      </c>
      <c r="AB233" s="27" t="n">
        <v>85.703</v>
      </c>
      <c r="AC233" s="27" t="n">
        <v>247.321</v>
      </c>
      <c r="AD233" s="27" t="n">
        <v>15.02</v>
      </c>
      <c r="AE233" s="27" t="n">
        <v>123.887</v>
      </c>
      <c r="AF233" s="27" t="n">
        <v>123.384</v>
      </c>
      <c r="AG233" s="27" t="n">
        <v>315.129</v>
      </c>
      <c r="AH233" s="27" t="n">
        <v>577.42</v>
      </c>
      <c r="AI233" s="27" t="n">
        <v>125.032</v>
      </c>
      <c r="AJ233" s="27" t="n">
        <v>138.814</v>
      </c>
      <c r="AK233" s="27" t="n">
        <v>150.765</v>
      </c>
      <c r="AL233" s="27" t="n">
        <v>132.543</v>
      </c>
      <c r="AM233" s="27" t="n">
        <v>547.154</v>
      </c>
      <c r="AN233" s="27" t="n">
        <v>125.577</v>
      </c>
      <c r="AO233" s="27" t="n">
        <v>148.839</v>
      </c>
      <c r="AP233" s="27" t="n">
        <v>159.074</v>
      </c>
      <c r="AQ233" s="27" t="n">
        <v>133.191</v>
      </c>
      <c r="AR233" s="27" t="n">
        <v>566.681</v>
      </c>
      <c r="AS233" s="27" t="n">
        <v>142.893</v>
      </c>
      <c r="AT233" s="27" t="n">
        <v>-227.466</v>
      </c>
      <c r="AU233" s="27" t="n">
        <v>157.991</v>
      </c>
      <c r="AV233" s="27" t="n">
        <v>130.574</v>
      </c>
      <c r="AW233" s="27" t="n">
        <v>203.992</v>
      </c>
      <c r="AX233" s="27" t="n">
        <v>160.307</v>
      </c>
      <c r="AY233" s="27" t="n">
        <v>177.101</v>
      </c>
      <c r="AZ233" s="27" t="n">
        <v>114.653</v>
      </c>
      <c r="BA233" s="27" t="n">
        <v>166.428</v>
      </c>
      <c r="BB233" s="27" t="n">
        <v>618.489</v>
      </c>
      <c r="BC233" s="27" t="n">
        <v>180.368</v>
      </c>
      <c r="BD233" s="27" t="n">
        <v>224.207</v>
      </c>
      <c r="BE233" s="27" t="n">
        <v>237.125</v>
      </c>
      <c r="BF233" s="27" t="n">
        <v>194.301</v>
      </c>
      <c r="BG233" s="27" t="n">
        <v>836.001</v>
      </c>
      <c r="BH233" s="27" t="n">
        <v>197.836</v>
      </c>
      <c r="BI233" s="27" t="n">
        <v>209.17</v>
      </c>
      <c r="BJ233" s="27" t="n">
        <v>229.191</v>
      </c>
      <c r="BK233" s="27" t="n">
        <v>126.629</v>
      </c>
      <c r="BL233" s="27" t="n">
        <v>762.826</v>
      </c>
      <c r="BM233" s="27" t="n">
        <v>229.127</v>
      </c>
      <c r="BN233" s="27" t="n">
        <v>275.401</v>
      </c>
      <c r="BO233" s="27" t="n">
        <v>308.046</v>
      </c>
      <c r="BP233" s="27" t="n">
        <v>-196.004</v>
      </c>
      <c r="BQ233" s="27" t="n">
        <v>616.57</v>
      </c>
      <c r="BR233" s="27" t="n">
        <v>241.51</v>
      </c>
      <c r="BS233" s="27" t="n">
        <v>290.277</v>
      </c>
      <c r="BT233" s="27" t="n">
        <v>286.27</v>
      </c>
      <c r="BU233" s="27" t="n">
        <v>258.5</v>
      </c>
      <c r="BV233" s="27" t="n">
        <v>1076.557</v>
      </c>
      <c r="BW233" s="27" t="n">
        <v>219.344</v>
      </c>
      <c r="BX233" s="27" t="n">
        <v>296.398</v>
      </c>
      <c r="BY233" s="28"/>
      <c r="BZ233" s="28"/>
      <c r="CA233" s="47" t="n">
        <f aca="false">CA144</f>
        <v>1173.785528</v>
      </c>
      <c r="CB233" s="47" t="n">
        <f aca="false">CB144</f>
        <v>1370.0123158488</v>
      </c>
      <c r="CC233" s="47" t="n">
        <f aca="false">CC144</f>
        <v>1489.58588587788</v>
      </c>
      <c r="CD233" s="47" t="n">
        <f aca="false">CD144</f>
        <v>1613.48396021854</v>
      </c>
      <c r="CE233" s="47" t="n">
        <f aca="false">CE144</f>
        <v>1739.1875870674</v>
      </c>
      <c r="CF233" s="21"/>
    </row>
    <row r="234" customFormat="false" ht="15" hidden="false" customHeight="true" outlineLevel="0" collapsed="false">
      <c r="B234" s="29" t="s">
        <v>421</v>
      </c>
      <c r="BY234" s="7"/>
      <c r="BZ234" s="7"/>
      <c r="CA234" s="7"/>
      <c r="CB234" s="7"/>
      <c r="CC234" s="7"/>
      <c r="CD234" s="7"/>
      <c r="CE234" s="7"/>
      <c r="CF234" s="21"/>
    </row>
    <row r="235" customFormat="false" ht="15" hidden="false" customHeight="true" outlineLevel="0" collapsed="false">
      <c r="B235" s="29" t="s">
        <v>422</v>
      </c>
      <c r="C235" s="27" t="n">
        <v>74.865</v>
      </c>
      <c r="D235" s="27" t="n">
        <v>85.628</v>
      </c>
      <c r="E235" s="27" t="n">
        <v>97.429</v>
      </c>
      <c r="F235" s="27" t="n">
        <v>130.758</v>
      </c>
      <c r="G235" s="27" t="n">
        <v>147.456</v>
      </c>
      <c r="H235" s="27" t="n">
        <v>167.1</v>
      </c>
      <c r="I235" s="27" t="n">
        <v>193.584</v>
      </c>
      <c r="J235" s="27" t="n">
        <v>58.087</v>
      </c>
      <c r="K235" s="27" t="n">
        <v>60.977</v>
      </c>
      <c r="L235" s="27" t="n">
        <v>62.074</v>
      </c>
      <c r="M235" s="27" t="n">
        <v>62.726</v>
      </c>
      <c r="N235" s="27" t="n">
        <v>243.864</v>
      </c>
      <c r="O235" s="27" t="n">
        <v>62.554</v>
      </c>
      <c r="P235" s="27" t="n">
        <v>63.824</v>
      </c>
      <c r="Q235" s="27" t="n">
        <v>65.7</v>
      </c>
      <c r="R235" s="27" t="n">
        <v>65.866</v>
      </c>
      <c r="S235" s="27" t="n">
        <v>257.944</v>
      </c>
      <c r="T235" s="27" t="n">
        <v>64.306</v>
      </c>
      <c r="U235" s="27" t="n">
        <v>66.902</v>
      </c>
      <c r="V235" s="27" t="n">
        <v>68.568</v>
      </c>
      <c r="W235" s="27" t="n">
        <v>69.658</v>
      </c>
      <c r="X235" s="27" t="n">
        <v>269.434</v>
      </c>
      <c r="Y235" s="27" t="n">
        <v>68.591</v>
      </c>
      <c r="Z235" s="27" t="n">
        <v>98.429</v>
      </c>
      <c r="AA235" s="27" t="n">
        <v>152.687</v>
      </c>
      <c r="AB235" s="27" t="n">
        <v>144.205</v>
      </c>
      <c r="AC235" s="27" t="n">
        <v>463.912</v>
      </c>
      <c r="AD235" s="27" t="n">
        <v>150.75</v>
      </c>
      <c r="AE235" s="27" t="n">
        <v>157.589</v>
      </c>
      <c r="AF235" s="27" t="n">
        <v>163.555</v>
      </c>
      <c r="AG235" s="27" t="n">
        <v>160.59</v>
      </c>
      <c r="AH235" s="27" t="n">
        <v>632.484</v>
      </c>
      <c r="AI235" s="27" t="n">
        <v>159.283</v>
      </c>
      <c r="AJ235" s="27" t="n">
        <v>168.924</v>
      </c>
      <c r="AK235" s="27" t="n">
        <v>175.103</v>
      </c>
      <c r="AL235" s="27" t="n">
        <v>177.177</v>
      </c>
      <c r="AM235" s="27" t="n">
        <v>680.487</v>
      </c>
      <c r="AN235" s="27" t="n">
        <v>177.389</v>
      </c>
      <c r="AO235" s="27" t="n">
        <v>188.12</v>
      </c>
      <c r="AP235" s="27" t="n">
        <v>189.928</v>
      </c>
      <c r="AQ235" s="27" t="n">
        <v>188.481</v>
      </c>
      <c r="AR235" s="27" t="n">
        <v>743.918</v>
      </c>
      <c r="AS235" s="27" t="n">
        <v>182.459</v>
      </c>
      <c r="AT235" s="27" t="n">
        <v>183.001</v>
      </c>
      <c r="AU235" s="27" t="n">
        <v>190.243</v>
      </c>
      <c r="AV235" s="27" t="n">
        <v>196.701</v>
      </c>
      <c r="AW235" s="27" t="n">
        <v>752.404</v>
      </c>
      <c r="AX235" s="27" t="n">
        <v>189.594</v>
      </c>
      <c r="AY235" s="27" t="n">
        <v>201.929</v>
      </c>
      <c r="AZ235" s="27" t="n">
        <v>207.302</v>
      </c>
      <c r="BA235" s="27" t="n">
        <v>214.184</v>
      </c>
      <c r="BB235" s="27" t="n">
        <v>813.009</v>
      </c>
      <c r="BC235" s="27" t="n">
        <v>217.585</v>
      </c>
      <c r="BD235" s="27" t="n">
        <v>226.4</v>
      </c>
      <c r="BE235" s="27" t="n">
        <v>232.145</v>
      </c>
      <c r="BF235" s="27" t="n">
        <v>242.83</v>
      </c>
      <c r="BG235" s="27" t="n">
        <v>918.96</v>
      </c>
      <c r="BH235" s="27" t="n">
        <v>243.341</v>
      </c>
      <c r="BI235" s="27" t="n">
        <v>252.374</v>
      </c>
      <c r="BJ235" s="27" t="n">
        <v>254.372</v>
      </c>
      <c r="BK235" s="27" t="n">
        <v>253.124</v>
      </c>
      <c r="BL235" s="27" t="n">
        <v>1003.211</v>
      </c>
      <c r="BM235" s="27" t="n">
        <v>262.981</v>
      </c>
      <c r="BN235" s="27" t="n">
        <v>285.353</v>
      </c>
      <c r="BO235" s="27" t="n">
        <v>293.642</v>
      </c>
      <c r="BP235" s="27" t="n">
        <v>321.793</v>
      </c>
      <c r="BQ235" s="27" t="n">
        <v>1163.769</v>
      </c>
      <c r="BR235" s="27" t="n">
        <v>289.949</v>
      </c>
      <c r="BS235" s="27" t="n">
        <v>307.657</v>
      </c>
      <c r="BT235" s="27" t="n">
        <v>315.33</v>
      </c>
      <c r="BU235" s="27" t="n">
        <v>319.17</v>
      </c>
      <c r="BV235" s="27" t="n">
        <v>1232.106</v>
      </c>
      <c r="BW235" s="27" t="n">
        <v>314.749</v>
      </c>
      <c r="BX235" s="27" t="n">
        <v>325.877</v>
      </c>
      <c r="BY235" s="28"/>
      <c r="BZ235" s="28"/>
      <c r="CA235" s="47" t="n">
        <f aca="false">CA131+CA132</f>
        <v>1304</v>
      </c>
      <c r="CB235" s="47" t="n">
        <f aca="false">CB131+CB132</f>
        <v>1371.19482688206</v>
      </c>
      <c r="CC235" s="47" t="n">
        <f aca="false">CC131+CC132</f>
        <v>1470.93640104385</v>
      </c>
      <c r="CD235" s="47" t="n">
        <f aca="false">CD131+CD132</f>
        <v>1576.63846315014</v>
      </c>
      <c r="CE235" s="47" t="n">
        <f aca="false">CE131+CE132</f>
        <v>1684.90745609049</v>
      </c>
      <c r="CF235" s="21"/>
    </row>
    <row r="236" customFormat="false" ht="15" hidden="false" customHeight="true" outlineLevel="0" collapsed="false">
      <c r="B236" s="29" t="s">
        <v>423</v>
      </c>
      <c r="C236" s="27" t="n">
        <v>3.451</v>
      </c>
      <c r="D236" s="27" t="n">
        <v>6.128</v>
      </c>
      <c r="E236" s="27" t="n">
        <v>7.854</v>
      </c>
      <c r="F236" s="27" t="n">
        <v>9.336</v>
      </c>
      <c r="G236" s="27" t="n">
        <v>11.331</v>
      </c>
      <c r="H236" s="27" t="n">
        <v>11.879</v>
      </c>
      <c r="I236" s="27" t="n">
        <v>17.289</v>
      </c>
      <c r="J236" s="27" t="n">
        <v>3.594</v>
      </c>
      <c r="K236" s="27" t="n">
        <v>3.852</v>
      </c>
      <c r="L236" s="27" t="n">
        <v>3.822</v>
      </c>
      <c r="M236" s="27" t="n">
        <v>4.129</v>
      </c>
      <c r="N236" s="27" t="n">
        <v>15.397</v>
      </c>
      <c r="O236" s="27" t="n">
        <v>4.169</v>
      </c>
      <c r="P236" s="27" t="n">
        <v>5.275</v>
      </c>
      <c r="Q236" s="27" t="n">
        <v>4.445</v>
      </c>
      <c r="R236" s="27" t="n">
        <v>4.557</v>
      </c>
      <c r="S236" s="27" t="n">
        <v>18.446</v>
      </c>
      <c r="T236" s="27" t="n">
        <v>4.821</v>
      </c>
      <c r="U236" s="27" t="n">
        <v>4.759</v>
      </c>
      <c r="V236" s="27" t="n">
        <v>4.853</v>
      </c>
      <c r="W236" s="27" t="n">
        <v>5.885</v>
      </c>
      <c r="X236" s="27" t="n">
        <v>20.318</v>
      </c>
      <c r="Y236" s="27" t="n">
        <v>5.299</v>
      </c>
      <c r="Z236" s="27" t="n">
        <v>21.106</v>
      </c>
      <c r="AA236" s="27" t="n">
        <v>9.071</v>
      </c>
      <c r="AB236" s="27" t="n">
        <v>9.296</v>
      </c>
      <c r="AC236" s="27" t="n">
        <v>44.772</v>
      </c>
      <c r="AD236" s="27" t="n">
        <v>12.989</v>
      </c>
      <c r="AE236" s="27" t="n">
        <v>10.375</v>
      </c>
      <c r="AF236" s="27" t="n">
        <v>9.043</v>
      </c>
      <c r="AG236" s="27" t="n">
        <v>6.954</v>
      </c>
      <c r="AH236" s="27" t="n">
        <v>39.361</v>
      </c>
      <c r="AI236" s="27" t="n">
        <v>9.18</v>
      </c>
      <c r="AJ236" s="27" t="n">
        <v>11.082</v>
      </c>
      <c r="AK236" s="27" t="n">
        <v>15.172</v>
      </c>
      <c r="AL236" s="27" t="n">
        <v>8.369</v>
      </c>
      <c r="AM236" s="27" t="n">
        <v>43.803</v>
      </c>
      <c r="AN236" s="27" t="n">
        <v>15.168</v>
      </c>
      <c r="AO236" s="27" t="n">
        <v>11.595</v>
      </c>
      <c r="AP236" s="27" t="n">
        <v>8.747</v>
      </c>
      <c r="AQ236" s="27" t="n">
        <v>7.161</v>
      </c>
      <c r="AR236" s="27" t="n">
        <v>42.671</v>
      </c>
      <c r="AS236" s="27" t="n">
        <v>13.046</v>
      </c>
      <c r="AT236" s="27" t="n">
        <v>11.597</v>
      </c>
      <c r="AU236" s="27" t="n">
        <v>13.673</v>
      </c>
      <c r="AV236" s="27" t="n">
        <v>7.435</v>
      </c>
      <c r="AW236" s="27" t="n">
        <v>45.751</v>
      </c>
      <c r="AX236" s="27" t="n">
        <v>10.307</v>
      </c>
      <c r="AY236" s="27" t="n">
        <v>18.417</v>
      </c>
      <c r="AZ236" s="27" t="n">
        <v>13.97</v>
      </c>
      <c r="BA236" s="27" t="n">
        <v>15.527</v>
      </c>
      <c r="BB236" s="27" t="n">
        <v>58.221</v>
      </c>
      <c r="BC236" s="27" t="n">
        <v>14.635</v>
      </c>
      <c r="BD236" s="27" t="n">
        <v>13.081</v>
      </c>
      <c r="BE236" s="27" t="n">
        <v>20.679</v>
      </c>
      <c r="BF236" s="27" t="n">
        <v>15.09</v>
      </c>
      <c r="BG236" s="27" t="n">
        <v>63.485</v>
      </c>
      <c r="BH236" s="27" t="n">
        <v>18.469</v>
      </c>
      <c r="BI236" s="27" t="n">
        <v>23</v>
      </c>
      <c r="BJ236" s="27" t="n">
        <v>14.641</v>
      </c>
      <c r="BK236" s="27" t="n">
        <v>14.326</v>
      </c>
      <c r="BL236" s="27" t="n">
        <v>70.436</v>
      </c>
      <c r="BM236" s="27" t="n">
        <v>21.952</v>
      </c>
      <c r="BN236" s="27" t="n">
        <v>18.861</v>
      </c>
      <c r="BO236" s="27" t="n">
        <v>20.416</v>
      </c>
      <c r="BP236" s="27" t="n">
        <v>16.656</v>
      </c>
      <c r="BQ236" s="27" t="n">
        <v>77.885</v>
      </c>
      <c r="BR236" s="27" t="n">
        <v>23.438</v>
      </c>
      <c r="BS236" s="27" t="n">
        <v>18.518</v>
      </c>
      <c r="BT236" s="27" t="n">
        <v>18.476</v>
      </c>
      <c r="BU236" s="27" t="n">
        <v>19.016</v>
      </c>
      <c r="BV236" s="27" t="n">
        <v>79.448</v>
      </c>
      <c r="BW236" s="27" t="n">
        <v>17.587</v>
      </c>
      <c r="BX236" s="27" t="n">
        <v>23.952</v>
      </c>
      <c r="BY236" s="28"/>
      <c r="BZ236" s="28"/>
      <c r="CA236" s="47" t="n">
        <f aca="false">CA149</f>
        <v>79.809715</v>
      </c>
      <c r="CB236" s="47" t="n">
        <f aca="false">CB149</f>
        <v>79.8995276148815</v>
      </c>
      <c r="CC236" s="47" t="n">
        <f aca="false">CC149</f>
        <v>86.3022138297444</v>
      </c>
      <c r="CD236" s="47" t="n">
        <f aca="false">CD149</f>
        <v>93.1347241686211</v>
      </c>
      <c r="CE236" s="47" t="n">
        <f aca="false">CE149</f>
        <v>100.101551087195</v>
      </c>
      <c r="CF236" s="21"/>
    </row>
    <row r="237" customFormat="false" ht="15" hidden="false" customHeight="true" outlineLevel="0" collapsed="false">
      <c r="B237" s="29" t="s">
        <v>424</v>
      </c>
      <c r="C237" s="27" t="n">
        <v>0.796</v>
      </c>
      <c r="D237" s="27" t="n">
        <v>0.25</v>
      </c>
      <c r="E237" s="27" t="n">
        <v>0.629</v>
      </c>
      <c r="F237" s="27" t="n">
        <v>-0.481</v>
      </c>
      <c r="G237" s="27" t="n">
        <v>0.571</v>
      </c>
      <c r="H237" s="27" t="n">
        <v>1.657</v>
      </c>
      <c r="I237" s="27" t="n">
        <v>1.627</v>
      </c>
      <c r="J237" s="27" t="n">
        <v>-0.322</v>
      </c>
      <c r="K237" s="27" t="n">
        <v>13.942</v>
      </c>
      <c r="L237" s="27" t="n">
        <v>-1.725</v>
      </c>
      <c r="M237" s="27" t="n">
        <v>-9.042</v>
      </c>
      <c r="N237" s="27" t="n">
        <v>2.853</v>
      </c>
      <c r="O237" s="27" t="n">
        <v>-0.141</v>
      </c>
      <c r="P237" s="27" t="n">
        <v>-1.324</v>
      </c>
      <c r="Q237" s="27" t="n">
        <v>9</v>
      </c>
      <c r="R237" s="27" t="n">
        <v>0.704000000000001</v>
      </c>
      <c r="S237" s="27" t="n">
        <v>8.239</v>
      </c>
      <c r="T237" s="27" t="n">
        <v>-0.241</v>
      </c>
      <c r="U237" s="27" t="n">
        <v>-0.341</v>
      </c>
      <c r="V237" s="27" t="n">
        <v>514.454</v>
      </c>
      <c r="W237" s="27" t="n">
        <v>4.78500000000008</v>
      </c>
      <c r="X237" s="27" t="n">
        <v>518.657</v>
      </c>
      <c r="Y237" s="27" t="n">
        <v>0.231</v>
      </c>
      <c r="Z237" s="27" t="n">
        <v>0.278</v>
      </c>
      <c r="AA237" s="27" t="n">
        <v>3.063</v>
      </c>
      <c r="AB237" s="27" t="n">
        <v>23.169</v>
      </c>
      <c r="AC237" s="27" t="n">
        <v>26.741</v>
      </c>
      <c r="AD237" s="27" t="n">
        <v>129.887</v>
      </c>
      <c r="AE237" s="27" t="n">
        <v>-1.279</v>
      </c>
      <c r="AF237" s="27" t="n">
        <v>-6.51000000000001</v>
      </c>
      <c r="AG237" s="27" t="n">
        <v>12.393</v>
      </c>
      <c r="AH237" s="27" t="n">
        <v>134.491</v>
      </c>
      <c r="AI237" s="27" t="n">
        <v>2.863</v>
      </c>
      <c r="AJ237" s="27" t="n">
        <v>7.227</v>
      </c>
      <c r="AK237" s="27" t="n">
        <v>-3.238</v>
      </c>
      <c r="AL237" s="27" t="n">
        <v>3.341</v>
      </c>
      <c r="AM237" s="27" t="n">
        <v>10.193</v>
      </c>
      <c r="AN237" s="27" t="n">
        <v>16.372</v>
      </c>
      <c r="AO237" s="27" t="n">
        <v>2.552</v>
      </c>
      <c r="AP237" s="27" t="n">
        <v>12.928</v>
      </c>
      <c r="AQ237" s="27" t="n">
        <v>28.74</v>
      </c>
      <c r="AR237" s="27" t="n">
        <v>60.592</v>
      </c>
      <c r="AS237" s="27" t="n">
        <v>0.135</v>
      </c>
      <c r="AT237" s="27" t="n">
        <v>420.034</v>
      </c>
      <c r="AU237" s="27" t="n">
        <v>3.66300000000001</v>
      </c>
      <c r="AV237" s="27" t="n">
        <v>21.815</v>
      </c>
      <c r="AW237" s="27" t="n">
        <v>445.647</v>
      </c>
      <c r="AX237" s="27" t="n">
        <v>0.401</v>
      </c>
      <c r="AY237" s="27" t="n">
        <v>5.828</v>
      </c>
      <c r="AZ237" s="27" t="n">
        <v>3.073</v>
      </c>
      <c r="BA237" s="27" t="n">
        <v>18.425</v>
      </c>
      <c r="BB237" s="27" t="n">
        <v>27.727</v>
      </c>
      <c r="BC237" s="27" t="n">
        <v>2.09</v>
      </c>
      <c r="BD237" s="27" t="n">
        <v>3.958</v>
      </c>
      <c r="BE237" s="27" t="n">
        <v>5.455</v>
      </c>
      <c r="BF237" s="27" t="n">
        <v>-1.984</v>
      </c>
      <c r="BG237" s="27" t="n">
        <v>9.519</v>
      </c>
      <c r="BH237" s="27" t="n">
        <v>1.91</v>
      </c>
      <c r="BI237" s="27" t="n">
        <v>10.648</v>
      </c>
      <c r="BJ237" s="27" t="n">
        <v>24.912</v>
      </c>
      <c r="BK237" s="27" t="n">
        <v>160.954</v>
      </c>
      <c r="BL237" s="27" t="n">
        <v>198.424</v>
      </c>
      <c r="BM237" s="27" t="n">
        <v>1.649</v>
      </c>
      <c r="BN237" s="27" t="n">
        <v>-3.252</v>
      </c>
      <c r="BO237" s="27" t="n">
        <v>2.537</v>
      </c>
      <c r="BP237" s="27" t="n">
        <v>602.493</v>
      </c>
      <c r="BQ237" s="27" t="n">
        <v>603.427</v>
      </c>
      <c r="BR237" s="27" t="n">
        <v>7.778</v>
      </c>
      <c r="BS237" s="27" t="n">
        <v>3.702</v>
      </c>
      <c r="BT237" s="27" t="n">
        <v>60.134</v>
      </c>
      <c r="BU237" s="27" t="n">
        <v>41.941</v>
      </c>
      <c r="BV237" s="27" t="n">
        <v>113.555</v>
      </c>
      <c r="BW237" s="27" t="n">
        <v>79.364</v>
      </c>
      <c r="BX237" s="27" t="n">
        <v>59.78</v>
      </c>
      <c r="BY237" s="28"/>
      <c r="BZ237" s="28"/>
      <c r="CA237" s="47" t="n">
        <f aca="false">(BW237+BX237)</f>
        <v>139.144</v>
      </c>
      <c r="CB237" s="57" t="n">
        <v>0</v>
      </c>
      <c r="CC237" s="57" t="n">
        <v>0</v>
      </c>
      <c r="CD237" s="57" t="n">
        <v>0</v>
      </c>
      <c r="CE237" s="57" t="n">
        <v>0</v>
      </c>
      <c r="CF237" s="21"/>
    </row>
    <row r="238" customFormat="false" ht="15" hidden="false" customHeight="true" outlineLevel="0" collapsed="false">
      <c r="B238" s="29" t="s">
        <v>425</v>
      </c>
      <c r="C238" s="27" t="n">
        <v>26.585</v>
      </c>
      <c r="D238" s="27" t="n">
        <v>12.44</v>
      </c>
      <c r="E238" s="27" t="n">
        <v>31.902</v>
      </c>
      <c r="F238" s="27" t="n">
        <v>38.224</v>
      </c>
      <c r="G238" s="27" t="n">
        <v>26.431</v>
      </c>
      <c r="H238" s="27" t="n">
        <v>50.989</v>
      </c>
      <c r="I238" s="27" t="n">
        <v>29.689</v>
      </c>
      <c r="J238" s="27" t="n">
        <v>16.524</v>
      </c>
      <c r="K238" s="27" t="n">
        <v>-1.534</v>
      </c>
      <c r="L238" s="27" t="n">
        <v>9.421</v>
      </c>
      <c r="M238" s="27" t="n">
        <v>14.269</v>
      </c>
      <c r="N238" s="27" t="n">
        <v>38.68</v>
      </c>
      <c r="O238" s="27" t="n">
        <v>9.844</v>
      </c>
      <c r="P238" s="27" t="n">
        <v>-2.73</v>
      </c>
      <c r="Q238" s="27" t="n">
        <v>-2.542</v>
      </c>
      <c r="R238" s="27" t="n">
        <v>26.459</v>
      </c>
      <c r="S238" s="27" t="n">
        <v>31.031</v>
      </c>
      <c r="T238" s="27" t="n">
        <v>17.753</v>
      </c>
      <c r="U238" s="27" t="n">
        <v>-3.028</v>
      </c>
      <c r="V238" s="27" t="n">
        <v>-176.536</v>
      </c>
      <c r="W238" s="27" t="n">
        <v>29.357</v>
      </c>
      <c r="X238" s="27" t="n">
        <v>-132.454</v>
      </c>
      <c r="Y238" s="27" t="n">
        <v>17.473</v>
      </c>
      <c r="Z238" s="27" t="n">
        <v>7.89</v>
      </c>
      <c r="AA238" s="27" t="n">
        <v>10.605</v>
      </c>
      <c r="AB238" s="27" t="n">
        <v>6.33</v>
      </c>
      <c r="AC238" s="27" t="n">
        <v>42.298</v>
      </c>
      <c r="AD238" s="27" t="n">
        <v>-26.528</v>
      </c>
      <c r="AE238" s="27" t="n">
        <v>16.15</v>
      </c>
      <c r="AF238" s="27" t="n">
        <v>-0.593</v>
      </c>
      <c r="AG238" s="27" t="n">
        <v>-142.312</v>
      </c>
      <c r="AH238" s="27" t="n">
        <v>-153.283</v>
      </c>
      <c r="AI238" s="27" t="n">
        <v>20.957</v>
      </c>
      <c r="AJ238" s="27" t="n">
        <v>5.442</v>
      </c>
      <c r="AK238" s="27" t="n">
        <v>19.366</v>
      </c>
      <c r="AL238" s="27" t="n">
        <v>32.094</v>
      </c>
      <c r="AM238" s="27" t="n">
        <v>77.859</v>
      </c>
      <c r="AN238" s="27" t="n">
        <v>10.126</v>
      </c>
      <c r="AO238" s="27" t="n">
        <v>8.785</v>
      </c>
      <c r="AP238" s="27" t="n">
        <v>22.57</v>
      </c>
      <c r="AQ238" s="27" t="n">
        <v>13.156</v>
      </c>
      <c r="AR238" s="27" t="n">
        <v>54.637</v>
      </c>
      <c r="AS238" s="27" t="n">
        <v>23.259</v>
      </c>
      <c r="AT238" s="27" t="n">
        <v>-90.08</v>
      </c>
      <c r="AU238" s="27" t="n">
        <v>-10.792</v>
      </c>
      <c r="AV238" s="27" t="n">
        <v>27.126</v>
      </c>
      <c r="AW238" s="27" t="n">
        <v>-50.487</v>
      </c>
      <c r="AX238" s="27" t="n">
        <v>8.379</v>
      </c>
      <c r="AY238" s="27" t="n">
        <v>-4.859</v>
      </c>
      <c r="AZ238" s="27" t="n">
        <v>-27.802</v>
      </c>
      <c r="BA238" s="27" t="n">
        <v>38.845</v>
      </c>
      <c r="BB238" s="27" t="n">
        <v>14.563</v>
      </c>
      <c r="BC238" s="27" t="n">
        <v>38.378</v>
      </c>
      <c r="BD238" s="27" t="n">
        <v>46.613</v>
      </c>
      <c r="BE238" s="27" t="n">
        <v>6.107</v>
      </c>
      <c r="BF238" s="27" t="n">
        <v>2.383</v>
      </c>
      <c r="BG238" s="27" t="n">
        <v>93.481</v>
      </c>
      <c r="BH238" s="27" t="n">
        <v>28.229</v>
      </c>
      <c r="BI238" s="27" t="n">
        <v>3.198</v>
      </c>
      <c r="BJ238" s="27" t="n">
        <v>-2.367</v>
      </c>
      <c r="BK238" s="27" t="n">
        <v>-22.731</v>
      </c>
      <c r="BL238" s="27" t="n">
        <v>6.329</v>
      </c>
      <c r="BM238" s="27" t="n">
        <v>30.395</v>
      </c>
      <c r="BN238" s="27" t="n">
        <v>17.197</v>
      </c>
      <c r="BO238" s="27" t="n">
        <v>33.678</v>
      </c>
      <c r="BP238" s="27" t="n">
        <v>-138.555</v>
      </c>
      <c r="BQ238" s="27" t="n">
        <v>-57.285</v>
      </c>
      <c r="BR238" s="27" t="n">
        <v>36.165</v>
      </c>
      <c r="BS238" s="27" t="n">
        <v>22.127</v>
      </c>
      <c r="BT238" s="27" t="n">
        <v>35.547</v>
      </c>
      <c r="BU238" s="27" t="n">
        <v>22.815</v>
      </c>
      <c r="BV238" s="27" t="n">
        <v>116.654</v>
      </c>
      <c r="BW238" s="27" t="n">
        <v>28.537</v>
      </c>
      <c r="BX238" s="27" t="n">
        <v>8.652</v>
      </c>
      <c r="BY238" s="28"/>
      <c r="BZ238" s="28"/>
      <c r="CA238" s="47" t="n">
        <f aca="false">(BW238+BX238)+(BY142+BZ142)*CA369</f>
        <v>60.90933664</v>
      </c>
      <c r="CB238" s="47" t="n">
        <f aca="false">CB142*CB369</f>
        <v>51.9162561795333</v>
      </c>
      <c r="CC238" s="47" t="n">
        <f aca="false">CC142*CC369</f>
        <v>56.4474651490565</v>
      </c>
      <c r="CD238" s="47" t="n">
        <f aca="false">CD142*CD369</f>
        <v>61.1425500714394</v>
      </c>
      <c r="CE238" s="47" t="n">
        <f aca="false">CE142*CE369</f>
        <v>65.9060559309753</v>
      </c>
      <c r="CF238" s="21" t="s">
        <v>426</v>
      </c>
    </row>
    <row r="239" customFormat="false" ht="15" hidden="false" customHeight="true" outlineLevel="0" collapsed="false">
      <c r="B239" s="29" t="s">
        <v>427</v>
      </c>
      <c r="C239" s="26" t="n">
        <f aca="false">C241-C233-N(C235)-N(C236)-N(C237)-N(C238)-N(C240)</f>
        <v>11.644</v>
      </c>
      <c r="D239" s="26" t="n">
        <f aca="false">D241-D233-N(D235)-N(D236)-N(D237)-N(D238)-N(D240)</f>
        <v>3.64999999999999</v>
      </c>
      <c r="E239" s="26" t="n">
        <f aca="false">E241-E233-N(E235)-N(E236)-N(E237)-N(E238)-N(E240)</f>
        <v>7.53000000000001</v>
      </c>
      <c r="F239" s="26" t="n">
        <f aca="false">F241-F233-N(F235)-N(F236)-N(F237)-N(F238)-N(F240)</f>
        <v>1.58199999999999</v>
      </c>
      <c r="G239" s="26" t="n">
        <f aca="false">G241-G233-N(G235)-N(G236)-N(G237)-N(G238)-N(G240)</f>
        <v>-5.66800000000001</v>
      </c>
      <c r="H239" s="26" t="n">
        <f aca="false">H241-H233-N(H235)-N(H236)-N(H237)-N(H238)-N(H240)</f>
        <v>-1.82999999999997</v>
      </c>
      <c r="I239" s="26" t="n">
        <f aca="false">I241-I233-N(I235)-N(I236)-N(I237)-N(I238)-N(I240)</f>
        <v>0.357000000000022</v>
      </c>
      <c r="J239" s="26" t="n">
        <f aca="false">J241-J233-N(J235)-N(J236)-N(J237)-N(J238)-N(J240)</f>
        <v>-0.0600000000000147</v>
      </c>
      <c r="K239" s="26" t="n">
        <f aca="false">K241-K233-N(K235)-N(K236)-N(K237)-N(K238)-N(K240)</f>
        <v>1.746</v>
      </c>
      <c r="L239" s="26" t="n">
        <f aca="false">L241-L233-N(L235)-N(L236)-N(L237)-N(L238)-N(L240)</f>
        <v>-4.06599999999996</v>
      </c>
      <c r="M239" s="26" t="n">
        <f aca="false">M241-M233-N(M235)-N(M236)-N(M237)-N(M238)-N(M240)</f>
        <v>1.63699999999995</v>
      </c>
      <c r="N239" s="26" t="n">
        <f aca="false">N241-N233-N(N235)-N(N236)-N(N237)-N(N238)-N(N240)</f>
        <v>-0.743000000000022</v>
      </c>
      <c r="O239" s="26" t="n">
        <f aca="false">O241-O233-N(O235)-N(O236)-N(O237)-N(O238)-N(O240)</f>
        <v>-3.14200000000001</v>
      </c>
      <c r="P239" s="26" t="n">
        <f aca="false">P241-P233-N(P235)-N(P236)-N(P237)-N(P238)-N(P240)</f>
        <v>-0.168000000000012</v>
      </c>
      <c r="Q239" s="26" t="n">
        <f aca="false">Q241-Q233-N(Q235)-N(Q236)-N(Q237)-N(Q238)-N(Q240)</f>
        <v>1.78100000000001</v>
      </c>
      <c r="R239" s="26" t="n">
        <f aca="false">R241-R233-N(R235)-N(R236)-N(R237)-N(R238)-N(R240)</f>
        <v>-3.49599999999987</v>
      </c>
      <c r="S239" s="26" t="n">
        <f aca="false">S241-S233-N(S235)-N(S236)-N(S237)-N(S238)-N(S240)</f>
        <v>-5.02499999999999</v>
      </c>
      <c r="T239" s="26" t="n">
        <f aca="false">T241-T233-N(T235)-N(T236)-N(T237)-N(T238)-N(T240)</f>
        <v>2.39</v>
      </c>
      <c r="U239" s="26" t="n">
        <f aca="false">U241-U233-N(U235)-N(U236)-N(U237)-N(U238)-N(U240)</f>
        <v>1.95399999999999</v>
      </c>
      <c r="V239" s="26" t="n">
        <f aca="false">V241-V233-N(V235)-N(V236)-N(V237)-N(V238)-N(V240)</f>
        <v>-18.684</v>
      </c>
      <c r="W239" s="26" t="n">
        <f aca="false">W241-W233-N(W235)-N(W236)-N(W237)-N(W238)-N(W240)</f>
        <v>-0.479000000000099</v>
      </c>
      <c r="X239" s="26" t="n">
        <f aca="false">X241-X233-N(X235)-N(X236)-N(X237)-N(X238)-N(X240)</f>
        <v>-14.8190000000001</v>
      </c>
      <c r="Y239" s="26" t="n">
        <f aca="false">Y241-Y233-N(Y235)-N(Y236)-N(Y237)-N(Y238)-N(Y240)</f>
        <v>-2.53599999999998</v>
      </c>
      <c r="Z239" s="26" t="n">
        <f aca="false">Z241-Z233-N(Z235)-N(Z236)-N(Z237)-N(Z238)-N(Z240)</f>
        <v>0.429999999999993</v>
      </c>
      <c r="AA239" s="26" t="n">
        <f aca="false">AA241-AA233-N(AA235)-N(AA236)-N(AA237)-N(AA238)-N(AA240)</f>
        <v>4.18899999999999</v>
      </c>
      <c r="AB239" s="26" t="n">
        <f aca="false">AB241-AB233-N(AB235)-N(AB236)-N(AB237)-N(AB238)-N(AB240)</f>
        <v>3.85199999999997</v>
      </c>
      <c r="AC239" s="26" t="n">
        <f aca="false">AC241-AC233-N(AC235)-N(AC236)-N(AC237)-N(AC238)-N(AC240)</f>
        <v>5.935</v>
      </c>
      <c r="AD239" s="26" t="n">
        <f aca="false">AD241-AD233-N(AD235)-N(AD236)-N(AD237)-N(AD238)-N(AD240)</f>
        <v>16.203</v>
      </c>
      <c r="AE239" s="26" t="n">
        <f aca="false">AE241-AE233-N(AE235)-N(AE236)-N(AE237)-N(AE238)-N(AE240)</f>
        <v>5.15299999999997</v>
      </c>
      <c r="AF239" s="26" t="n">
        <f aca="false">AF241-AF233-N(AF235)-N(AF236)-N(AF237)-N(AF238)-N(AF240)</f>
        <v>13.1400000000001</v>
      </c>
      <c r="AG239" s="26" t="n">
        <f aca="false">AG241-AG233-N(AG235)-N(AG236)-N(AG237)-N(AG238)-N(AG240)</f>
        <v>3.03199999999998</v>
      </c>
      <c r="AH239" s="26" t="n">
        <f aca="false">AH241-AH233-N(AH235)-N(AH236)-N(AH237)-N(AH238)-N(AH240)</f>
        <v>37.528</v>
      </c>
      <c r="AI239" s="26" t="n">
        <f aca="false">AI241-AI233-N(AI235)-N(AI236)-N(AI237)-N(AI238)-N(AI240)</f>
        <v>5.53300000000005</v>
      </c>
      <c r="AJ239" s="26" t="n">
        <f aca="false">AJ241-AJ233-N(AJ235)-N(AJ236)-N(AJ237)-N(AJ238)-N(AJ240)</f>
        <v>4.35300000000003</v>
      </c>
      <c r="AK239" s="26" t="n">
        <f aca="false">AK241-AK233-N(AK235)-N(AK236)-N(AK237)-N(AK238)-N(AK240)</f>
        <v>4.85399999999988</v>
      </c>
      <c r="AL239" s="26" t="n">
        <f aca="false">AL241-AL233-N(AL235)-N(AL236)-N(AL237)-N(AL238)-N(AL240)</f>
        <v>5.55999999999999</v>
      </c>
      <c r="AM239" s="26" t="n">
        <f aca="false">AM241-AM233-N(AM235)-N(AM236)-N(AM237)-N(AM238)-N(AM240)</f>
        <v>20.2999999999999</v>
      </c>
      <c r="AN239" s="26" t="n">
        <f aca="false">AN241-AN233-N(AN235)-N(AN236)-N(AN237)-N(AN238)-N(AN240)</f>
        <v>13.655</v>
      </c>
      <c r="AO239" s="26" t="n">
        <f aca="false">AO241-AO233-N(AO235)-N(AO236)-N(AO237)-N(AO238)-N(AO240)</f>
        <v>10.037</v>
      </c>
      <c r="AP239" s="26" t="n">
        <f aca="false">AP241-AP233-N(AP235)-N(AP236)-N(AP237)-N(AP238)-N(AP240)</f>
        <v>10.1100000000001</v>
      </c>
      <c r="AQ239" s="26" t="n">
        <f aca="false">AQ241-AQ233-N(AQ235)-N(AQ236)-N(AQ237)-N(AQ238)-N(AQ240)</f>
        <v>10.982</v>
      </c>
      <c r="AR239" s="26" t="n">
        <f aca="false">AR241-AR233-N(AR235)-N(AR236)-N(AR237)-N(AR238)-N(AR240)</f>
        <v>44.784</v>
      </c>
      <c r="AS239" s="26" t="n">
        <f aca="false">AS241-AS233-N(AS235)-N(AS236)-N(AS237)-N(AS238)-N(AS240)</f>
        <v>15.433</v>
      </c>
      <c r="AT239" s="26" t="n">
        <f aca="false">AT241-AT233-N(AT235)-N(AT236)-N(AT237)-N(AT238)-N(AT240)</f>
        <v>26.1149999999999</v>
      </c>
      <c r="AU239" s="26" t="n">
        <f aca="false">AU241-AU233-N(AU235)-N(AU236)-N(AU237)-N(AU238)-N(AU240)</f>
        <v>9.51000000000005</v>
      </c>
      <c r="AV239" s="26" t="n">
        <f aca="false">AV241-AV233-N(AV235)-N(AV236)-N(AV237)-N(AV238)-N(AV240)</f>
        <v>-15.8710000000001</v>
      </c>
      <c r="AW239" s="26" t="n">
        <f aca="false">AW241-AW233-N(AW235)-N(AW236)-N(AW237)-N(AW238)-N(AW240)</f>
        <v>35.187</v>
      </c>
      <c r="AX239" s="26" t="n">
        <f aca="false">AX241-AX233-N(AX235)-N(AX236)-N(AX237)-N(AX238)-N(AX240)</f>
        <v>4.33600000000003</v>
      </c>
      <c r="AY239" s="26" t="n">
        <f aca="false">AY241-AY233-N(AY235)-N(AY236)-N(AY237)-N(AY238)-N(AY240)</f>
        <v>5.00299999999988</v>
      </c>
      <c r="AZ239" s="26" t="n">
        <f aca="false">AZ241-AZ233-N(AZ235)-N(AZ236)-N(AZ237)-N(AZ238)-N(AZ240)</f>
        <v>120.187</v>
      </c>
      <c r="BA239" s="26" t="n">
        <f aca="false">BA241-BA233-N(BA235)-N(BA236)-N(BA237)-N(BA238)-N(BA240)</f>
        <v>17.6799999999999</v>
      </c>
      <c r="BB239" s="26" t="n">
        <f aca="false">BB241-BB233-N(BB235)-N(BB236)-N(BB237)-N(BB238)-N(BB240)</f>
        <v>147.206</v>
      </c>
      <c r="BC239" s="26" t="n">
        <f aca="false">BC241-BC233-N(BC235)-N(BC236)-N(BC237)-N(BC238)-N(BC240)</f>
        <v>8.99499999999999</v>
      </c>
      <c r="BD239" s="26" t="n">
        <f aca="false">BD241-BD233-N(BD235)-N(BD236)-N(BD237)-N(BD238)-N(BD240)</f>
        <v>5.99099999999995</v>
      </c>
      <c r="BE239" s="26" t="n">
        <f aca="false">BE241-BE233-N(BE235)-N(BE236)-N(BE237)-N(BE238)-N(BE240)</f>
        <v>0.783999999999821</v>
      </c>
      <c r="BF239" s="26" t="n">
        <f aca="false">BF241-BF233-N(BF235)-N(BF236)-N(BF237)-N(BF238)-N(BF240)</f>
        <v>12.4760000000001</v>
      </c>
      <c r="BG239" s="26" t="n">
        <f aca="false">BG241-BG233-N(BG235)-N(BG236)-N(BG237)-N(BG238)-N(BG240)</f>
        <v>28.2459999999999</v>
      </c>
      <c r="BH239" s="26" t="n">
        <f aca="false">BH241-BH233-N(BH235)-N(BH236)-N(BH237)-N(BH238)-N(BH240)</f>
        <v>5.17799999999998</v>
      </c>
      <c r="BI239" s="26" t="n">
        <f aca="false">BI241-BI233-N(BI235)-N(BI236)-N(BI237)-N(BI238)-N(BI240)</f>
        <v>11.1950000000001</v>
      </c>
      <c r="BJ239" s="26" t="n">
        <f aca="false">BJ241-BJ233-N(BJ235)-N(BJ236)-N(BJ237)-N(BJ238)-N(BJ240)</f>
        <v>43.511</v>
      </c>
      <c r="BK239" s="26" t="n">
        <f aca="false">BK241-BK233-N(BK235)-N(BK236)-N(BK237)-N(BK238)-N(BK240)</f>
        <v>13.173</v>
      </c>
      <c r="BL239" s="26" t="n">
        <f aca="false">BL241-BL233-N(BL235)-N(BL236)-N(BL237)-N(BL238)-N(BL240)</f>
        <v>73.0569999999999</v>
      </c>
      <c r="BM239" s="26" t="n">
        <f aca="false">BM241-BM233-N(BM235)-N(BM236)-N(BM237)-N(BM238)-N(BM240)</f>
        <v>19.966</v>
      </c>
      <c r="BN239" s="26" t="n">
        <f aca="false">BN241-BN233-N(BN235)-N(BN236)-N(BN237)-N(BN238)-N(BN240)</f>
        <v>15.1709999999998</v>
      </c>
      <c r="BO239" s="26" t="n">
        <f aca="false">BO241-BO233-N(BO235)-N(BO236)-N(BO237)-N(BO238)-N(BO240)</f>
        <v>-23.2889999999998</v>
      </c>
      <c r="BP239" s="26" t="n">
        <f aca="false">BP241-BP233-N(BP235)-N(BP236)-N(BP237)-N(BP238)-N(BP240)</f>
        <v>22.021</v>
      </c>
      <c r="BQ239" s="26" t="n">
        <f aca="false">BQ241-BQ233-N(BQ235)-N(BQ236)-N(BQ237)-N(BQ238)-N(BQ240)</f>
        <v>33.8689999999999</v>
      </c>
      <c r="BR239" s="26" t="n">
        <f aca="false">BR241-BR233-N(BR235)-N(BR236)-N(BR237)-N(BR238)-N(BR240)</f>
        <v>14.728</v>
      </c>
      <c r="BS239" s="26" t="n">
        <f aca="false">BS241-BS233-N(BS235)-N(BS236)-N(BS237)-N(BS238)-N(BS240)</f>
        <v>47.623</v>
      </c>
      <c r="BT239" s="26" t="n">
        <f aca="false">BT241-BT233-N(BT235)-N(BT236)-N(BT237)-N(BT238)-N(BT240)</f>
        <v>15.0800000000002</v>
      </c>
      <c r="BU239" s="26" t="n">
        <f aca="false">BU241-BU233-N(BU235)-N(BU236)-N(BU237)-N(BU238)-N(BU240)</f>
        <v>-17.5150000000002</v>
      </c>
      <c r="BV239" s="26" t="n">
        <f aca="false">BV241-BV233-N(BV235)-N(BV236)-N(BV237)-N(BV238)-N(BV240)</f>
        <v>59.9159999999999</v>
      </c>
      <c r="BW239" s="26" t="n">
        <f aca="false">BW241-BW233-N(BW235)-N(BW236)-N(BW237)-N(BW238)-N(BW240)</f>
        <v>25.5949999999999</v>
      </c>
      <c r="BX239" s="26" t="n">
        <f aca="false">BX241-BX233-N(BX235)-N(BX236)-N(BX237)-N(BX238)-N(BX240)</f>
        <v>10.488</v>
      </c>
      <c r="BY239" s="28"/>
      <c r="BZ239" s="28"/>
      <c r="CA239" s="47" t="n">
        <f aca="false">(BW239+BX239)+(BY171+BZ171)</f>
        <v>56.072</v>
      </c>
      <c r="CB239" s="47" t="n">
        <f aca="false">CB171+CB370</f>
        <v>82.6130813946035</v>
      </c>
      <c r="CC239" s="47" t="n">
        <f aca="false">CC171+CC370</f>
        <v>86.0278473758637</v>
      </c>
      <c r="CD239" s="47" t="n">
        <f aca="false">CD171+CD370</f>
        <v>89.6718528899313</v>
      </c>
      <c r="CE239" s="47" t="n">
        <f aca="false">CE171+CE370</f>
        <v>93.3874939131706</v>
      </c>
      <c r="CF239" s="21"/>
    </row>
    <row r="240" customFormat="false" ht="15" hidden="false" customHeight="true" outlineLevel="0" collapsed="false">
      <c r="B240" s="29" t="s">
        <v>428</v>
      </c>
      <c r="C240" s="27" t="n">
        <v>9.47</v>
      </c>
      <c r="D240" s="27" t="n">
        <v>11.892</v>
      </c>
      <c r="E240" s="27" t="n">
        <v>19.509</v>
      </c>
      <c r="F240" s="27" t="n">
        <v>13.407</v>
      </c>
      <c r="G240" s="27" t="n">
        <v>15.916</v>
      </c>
      <c r="H240" s="27" t="n">
        <v>-7.796</v>
      </c>
      <c r="I240" s="27" t="n">
        <v>14.121</v>
      </c>
      <c r="J240" s="27" t="n">
        <v>13.455</v>
      </c>
      <c r="K240" s="27" t="n">
        <v>-0.412000000000001</v>
      </c>
      <c r="L240" s="27" t="n">
        <v>-0.558999999999999</v>
      </c>
      <c r="M240" s="27" t="n">
        <v>-24.479</v>
      </c>
      <c r="N240" s="27" t="n">
        <v>-11.995</v>
      </c>
      <c r="O240" s="27" t="n">
        <v>22.45</v>
      </c>
      <c r="P240" s="27" t="n">
        <v>6.948</v>
      </c>
      <c r="Q240" s="27" t="n">
        <v>-3.724</v>
      </c>
      <c r="R240" s="27" t="n">
        <v>-24.416</v>
      </c>
      <c r="S240" s="27" t="n">
        <v>1.258</v>
      </c>
      <c r="T240" s="27" t="n">
        <v>21.461</v>
      </c>
      <c r="U240" s="27" t="n">
        <v>28.758</v>
      </c>
      <c r="V240" s="27" t="n">
        <v>8.261</v>
      </c>
      <c r="W240" s="27" t="n">
        <v>-47.923</v>
      </c>
      <c r="X240" s="27" t="n">
        <v>10.557</v>
      </c>
      <c r="Y240" s="27" t="n">
        <v>30.641</v>
      </c>
      <c r="Z240" s="27" t="n">
        <v>-60.923</v>
      </c>
      <c r="AA240" s="27" t="n">
        <v>10.689</v>
      </c>
      <c r="AB240" s="27" t="n">
        <v>-16.074</v>
      </c>
      <c r="AC240" s="27" t="n">
        <v>-35.667</v>
      </c>
      <c r="AD240" s="27" t="n">
        <v>-10.844</v>
      </c>
      <c r="AE240" s="27" t="n">
        <v>-47.446</v>
      </c>
      <c r="AF240" s="27" t="n">
        <v>34.45</v>
      </c>
      <c r="AG240" s="27" t="n">
        <v>-56.901</v>
      </c>
      <c r="AH240" s="27" t="n">
        <v>-80.741</v>
      </c>
      <c r="AI240" s="27" t="n">
        <v>-15.601</v>
      </c>
      <c r="AJ240" s="27" t="n">
        <v>21.842</v>
      </c>
      <c r="AK240" s="27" t="n">
        <v>10.839</v>
      </c>
      <c r="AL240" s="27" t="n">
        <v>14.359</v>
      </c>
      <c r="AM240" s="27" t="n">
        <v>31.439</v>
      </c>
      <c r="AN240" s="27" t="n">
        <v>5.485</v>
      </c>
      <c r="AO240" s="27" t="n">
        <v>19.348</v>
      </c>
      <c r="AP240" s="27" t="n">
        <v>29.025</v>
      </c>
      <c r="AQ240" s="27" t="n">
        <v>-26.594</v>
      </c>
      <c r="AR240" s="27" t="n">
        <v>27.264</v>
      </c>
      <c r="AS240" s="27" t="n">
        <v>-7.639</v>
      </c>
      <c r="AT240" s="27" t="n">
        <v>60.398</v>
      </c>
      <c r="AU240" s="27" t="n">
        <v>68.1</v>
      </c>
      <c r="AV240" s="27" t="n">
        <v>-144.832</v>
      </c>
      <c r="AW240" s="27" t="n">
        <v>-23.973</v>
      </c>
      <c r="AX240" s="27" t="n">
        <v>27.072</v>
      </c>
      <c r="AY240" s="27" t="n">
        <v>44.663</v>
      </c>
      <c r="AZ240" s="27" t="n">
        <v>-9.9</v>
      </c>
      <c r="BA240" s="27" t="n">
        <v>-42.821</v>
      </c>
      <c r="BB240" s="27" t="n">
        <v>19.014</v>
      </c>
      <c r="BC240" s="27" t="n">
        <v>-21.154</v>
      </c>
      <c r="BD240" s="27" t="n">
        <v>12.531</v>
      </c>
      <c r="BE240" s="27" t="n">
        <v>24.164</v>
      </c>
      <c r="BF240" s="27" t="n">
        <v>57.259</v>
      </c>
      <c r="BG240" s="27" t="n">
        <v>72.8</v>
      </c>
      <c r="BH240" s="27" t="n">
        <v>-52.605</v>
      </c>
      <c r="BI240" s="27" t="n">
        <v>64.769</v>
      </c>
      <c r="BJ240" s="27" t="n">
        <v>-10.096</v>
      </c>
      <c r="BK240" s="27" t="n">
        <v>10.466</v>
      </c>
      <c r="BL240" s="27" t="n">
        <v>12.534</v>
      </c>
      <c r="BM240" s="27" t="n">
        <v>-75.761</v>
      </c>
      <c r="BN240" s="27" t="n">
        <v>2.64699999999999</v>
      </c>
      <c r="BO240" s="27" t="n">
        <v>-76.719</v>
      </c>
      <c r="BP240" s="27" t="n">
        <v>-59.475</v>
      </c>
      <c r="BQ240" s="27" t="n">
        <v>-209.308</v>
      </c>
      <c r="BR240" s="27" t="n">
        <v>-72.029</v>
      </c>
      <c r="BS240" s="27" t="n">
        <v>-51.702</v>
      </c>
      <c r="BT240" s="27" t="n">
        <v>-53.388</v>
      </c>
      <c r="BU240" s="27" t="n">
        <v>-87.048</v>
      </c>
      <c r="BV240" s="27" t="n">
        <v>-264.167</v>
      </c>
      <c r="BW240" s="27" t="n">
        <v>-139.578</v>
      </c>
      <c r="BX240" s="27" t="n">
        <v>8.14099999999999</v>
      </c>
      <c r="BY240" s="28"/>
      <c r="BZ240" s="28"/>
      <c r="CA240" s="47" t="n">
        <f aca="false">CA95-SUM(CA233:CA239)</f>
        <v>-158.720579639999</v>
      </c>
      <c r="CB240" s="47" t="n">
        <f aca="false">-(CB309-CA309)+(CB321-CA321)+(CB323-CA323)+(CB324-CA324)</f>
        <v>49.9241699797723</v>
      </c>
      <c r="CC240" s="47" t="n">
        <f aca="false">-(CC309-CB309)+(CC321-CB321)+(CC323-CB323)+(CC324-CB324)</f>
        <v>78.7132213608091</v>
      </c>
      <c r="CD240" s="47" t="n">
        <f aca="false">-(CD309-CC309)+(CD321-CC321)+(CD323-CC323)+(CD324-CC324)</f>
        <v>83.7961587439483</v>
      </c>
      <c r="CE240" s="47" t="n">
        <f aca="false">-(CE309-CD309)+(CE321-CD321)+(CE323-CD323)+(CE324-CD324)</f>
        <v>85.4502638804393</v>
      </c>
      <c r="CF240" s="21" t="s">
        <v>429</v>
      </c>
    </row>
    <row r="241" customFormat="false" ht="15" hidden="false" customHeight="true" outlineLevel="0" collapsed="false">
      <c r="B241" s="18" t="s">
        <v>430</v>
      </c>
      <c r="C241" s="19" t="n">
        <v>204.234</v>
      </c>
      <c r="D241" s="19" t="n">
        <v>219.069</v>
      </c>
      <c r="E241" s="19" t="n">
        <v>270.409</v>
      </c>
      <c r="F241" s="19" t="n">
        <v>303.637</v>
      </c>
      <c r="G241" s="19" t="n">
        <v>332.179</v>
      </c>
      <c r="H241" s="19" t="n">
        <v>388.17</v>
      </c>
      <c r="I241" s="19" t="n">
        <v>416.327</v>
      </c>
      <c r="J241" s="19" t="n">
        <v>132.958</v>
      </c>
      <c r="K241" s="19" t="n">
        <v>122.565</v>
      </c>
      <c r="L241" s="19" t="n">
        <v>129.881</v>
      </c>
      <c r="M241" s="19" t="n">
        <v>98.657</v>
      </c>
      <c r="N241" s="19" t="n">
        <v>484.061</v>
      </c>
      <c r="O241" s="19" t="n">
        <v>144.957</v>
      </c>
      <c r="P241" s="19" t="n">
        <v>134.724</v>
      </c>
      <c r="Q241" s="19" t="n">
        <v>134.945</v>
      </c>
      <c r="R241" s="19" t="n">
        <v>130.594</v>
      </c>
      <c r="S241" s="19" t="n">
        <v>545.22</v>
      </c>
      <c r="T241" s="19" t="n">
        <v>162.571</v>
      </c>
      <c r="U241" s="19" t="n">
        <v>156.646</v>
      </c>
      <c r="V241" s="19" t="n">
        <v>144.111</v>
      </c>
      <c r="W241" s="19" t="n">
        <v>113.671</v>
      </c>
      <c r="X241" s="19" t="n">
        <v>576.999</v>
      </c>
      <c r="Y241" s="19" t="n">
        <v>164.716</v>
      </c>
      <c r="Z241" s="19" t="n">
        <v>94.93</v>
      </c>
      <c r="AA241" s="19" t="n">
        <v>279.185</v>
      </c>
      <c r="AB241" s="19" t="n">
        <v>256.481</v>
      </c>
      <c r="AC241" s="19" t="n">
        <v>795.312</v>
      </c>
      <c r="AD241" s="19" t="n">
        <v>287.477</v>
      </c>
      <c r="AE241" s="19" t="n">
        <v>264.429</v>
      </c>
      <c r="AF241" s="19" t="n">
        <v>336.469</v>
      </c>
      <c r="AG241" s="19" t="n">
        <v>298.885</v>
      </c>
      <c r="AH241" s="19" t="n">
        <v>1187.26</v>
      </c>
      <c r="AI241" s="19" t="n">
        <v>307.247</v>
      </c>
      <c r="AJ241" s="19" t="n">
        <v>357.684</v>
      </c>
      <c r="AK241" s="19" t="n">
        <v>372.861</v>
      </c>
      <c r="AL241" s="19" t="n">
        <v>373.443</v>
      </c>
      <c r="AM241" s="19" t="n">
        <v>1411.235</v>
      </c>
      <c r="AN241" s="19" t="n">
        <v>363.772</v>
      </c>
      <c r="AO241" s="19" t="n">
        <v>389.276</v>
      </c>
      <c r="AP241" s="19" t="n">
        <v>432.382</v>
      </c>
      <c r="AQ241" s="19" t="n">
        <v>355.117</v>
      </c>
      <c r="AR241" s="19" t="n">
        <v>1540.547</v>
      </c>
      <c r="AS241" s="19" t="n">
        <v>369.586</v>
      </c>
      <c r="AT241" s="19" t="n">
        <v>383.599</v>
      </c>
      <c r="AU241" s="19" t="n">
        <v>432.388</v>
      </c>
      <c r="AV241" s="19" t="n">
        <v>222.948</v>
      </c>
      <c r="AW241" s="19" t="n">
        <v>1408.521</v>
      </c>
      <c r="AX241" s="19" t="n">
        <v>400.396</v>
      </c>
      <c r="AY241" s="19" t="n">
        <v>448.082</v>
      </c>
      <c r="AZ241" s="19" t="n">
        <v>421.483</v>
      </c>
      <c r="BA241" s="19" t="n">
        <v>428.268</v>
      </c>
      <c r="BB241" s="19" t="n">
        <v>1698.229</v>
      </c>
      <c r="BC241" s="19" t="n">
        <v>440.897</v>
      </c>
      <c r="BD241" s="19" t="n">
        <v>532.781</v>
      </c>
      <c r="BE241" s="19" t="n">
        <v>526.459</v>
      </c>
      <c r="BF241" s="19" t="n">
        <v>522.355</v>
      </c>
      <c r="BG241" s="19" t="n">
        <v>2022.492</v>
      </c>
      <c r="BH241" s="19" t="n">
        <v>442.358</v>
      </c>
      <c r="BI241" s="19" t="n">
        <v>574.354</v>
      </c>
      <c r="BJ241" s="19" t="n">
        <v>554.164</v>
      </c>
      <c r="BK241" s="19" t="n">
        <v>555.941</v>
      </c>
      <c r="BL241" s="19" t="n">
        <v>2126.817</v>
      </c>
      <c r="BM241" s="19" t="n">
        <v>490.309</v>
      </c>
      <c r="BN241" s="19" t="n">
        <v>611.378</v>
      </c>
      <c r="BO241" s="19" t="n">
        <v>558.311</v>
      </c>
      <c r="BP241" s="19" t="n">
        <v>568.929</v>
      </c>
      <c r="BQ241" s="19" t="n">
        <v>2228.927</v>
      </c>
      <c r="BR241" s="19" t="n">
        <v>541.539</v>
      </c>
      <c r="BS241" s="19" t="n">
        <v>638.202</v>
      </c>
      <c r="BT241" s="19" t="n">
        <v>677.449</v>
      </c>
      <c r="BU241" s="19" t="n">
        <v>556.879</v>
      </c>
      <c r="BV241" s="19" t="n">
        <v>2414.069</v>
      </c>
      <c r="BW241" s="19" t="n">
        <v>545.598</v>
      </c>
      <c r="BX241" s="19" t="n">
        <v>733.288</v>
      </c>
      <c r="BY241" s="51"/>
      <c r="BZ241" s="51"/>
      <c r="CA241" s="20" t="n">
        <f aca="false">SUM(CA233:CA240)</f>
        <v>2655</v>
      </c>
      <c r="CB241" s="20" t="n">
        <f aca="false">SUM(CB233:CB240)</f>
        <v>3005.56017789965</v>
      </c>
      <c r="CC241" s="20" t="n">
        <f aca="false">SUM(CC233:CC240)</f>
        <v>3268.01303463721</v>
      </c>
      <c r="CD241" s="20" t="n">
        <f aca="false">SUM(CD233:CD240)</f>
        <v>3517.86770924262</v>
      </c>
      <c r="CE241" s="20" t="n">
        <f aca="false">SUM(CE233:CE240)</f>
        <v>3768.94040796967</v>
      </c>
      <c r="CF241" s="21"/>
      <c r="CH241" s="22" t="n">
        <f aca="false">IFERROR((CE241/BV241)^(1/5)-1,"n/m")</f>
        <v>0.0931856402938802</v>
      </c>
      <c r="CI241" s="22" t="n">
        <f aca="false">IFERROR((BV241/AW241)^(1/5)-1,"n/m")</f>
        <v>0.113774500278108</v>
      </c>
      <c r="CJ241" s="22" t="n">
        <f aca="false">IFERROR((BV241/X241)^(1/10)-1,"n/m")</f>
        <v>0.153871540437216</v>
      </c>
      <c r="CK241" s="22" t="n">
        <f aca="false">IFERROR((BV241/C241)^(1/19)-1,"n/m")</f>
        <v>0.138816550912129</v>
      </c>
    </row>
    <row r="242" customFormat="false" ht="15" hidden="false" customHeight="true" outlineLevel="0" collapsed="false">
      <c r="B242" s="29" t="s">
        <v>431</v>
      </c>
      <c r="C242" s="27" t="n">
        <v>-96.519</v>
      </c>
      <c r="D242" s="27" t="n">
        <v>-124.234</v>
      </c>
      <c r="E242" s="27" t="n">
        <v>-113.496</v>
      </c>
      <c r="F242" s="27" t="n">
        <v>-128.251</v>
      </c>
      <c r="G242" s="27" t="n">
        <v>-134.829</v>
      </c>
      <c r="H242" s="27" t="n">
        <v>-141.924</v>
      </c>
      <c r="I242" s="27" t="n">
        <v>-153.517</v>
      </c>
      <c r="J242" s="27" t="n">
        <v>-36.905</v>
      </c>
      <c r="K242" s="27" t="n">
        <v>-50.636</v>
      </c>
      <c r="L242" s="27" t="n">
        <v>-53.331</v>
      </c>
      <c r="M242" s="27" t="n">
        <v>-69.002</v>
      </c>
      <c r="N242" s="27" t="n">
        <v>-209.874</v>
      </c>
      <c r="O242" s="27" t="n">
        <v>-35.592</v>
      </c>
      <c r="P242" s="27" t="n">
        <v>-48.087</v>
      </c>
      <c r="Q242" s="27" t="n">
        <v>-65.164</v>
      </c>
      <c r="R242" s="27" t="n">
        <v>-92.434</v>
      </c>
      <c r="S242" s="27" t="n">
        <v>-241.277</v>
      </c>
      <c r="T242" s="27" t="n">
        <v>-41.706</v>
      </c>
      <c r="U242" s="27" t="n">
        <v>-60.464</v>
      </c>
      <c r="V242" s="27" t="n">
        <v>-66.209</v>
      </c>
      <c r="W242" s="27" t="n">
        <v>-70.454</v>
      </c>
      <c r="X242" s="27" t="n">
        <v>-238.833</v>
      </c>
      <c r="Y242" s="27" t="n">
        <v>-56.575</v>
      </c>
      <c r="Z242" s="27" t="n">
        <v>-55.512</v>
      </c>
      <c r="AA242" s="27" t="n">
        <v>-92.847</v>
      </c>
      <c r="AB242" s="27" t="n">
        <v>-139.789</v>
      </c>
      <c r="AC242" s="27" t="n">
        <v>-344.723</v>
      </c>
      <c r="AD242" s="27" t="n">
        <v>-91.205</v>
      </c>
      <c r="AE242" s="27" t="n">
        <v>-111.412</v>
      </c>
      <c r="AF242" s="27" t="n">
        <v>-114.768</v>
      </c>
      <c r="AG242" s="27" t="n">
        <v>-161.902</v>
      </c>
      <c r="AH242" s="27" t="n">
        <v>-479.287</v>
      </c>
      <c r="AI242" s="27" t="n">
        <v>-91.216</v>
      </c>
      <c r="AJ242" s="27" t="n">
        <v>-110.496</v>
      </c>
      <c r="AK242" s="27" t="n">
        <v>-171.8</v>
      </c>
      <c r="AL242" s="27" t="n">
        <v>-172.633</v>
      </c>
      <c r="AM242" s="27" t="n">
        <v>-546.145</v>
      </c>
      <c r="AN242" s="27" t="n">
        <v>-114.238</v>
      </c>
      <c r="AO242" s="27" t="n">
        <v>-139.552</v>
      </c>
      <c r="AP242" s="27" t="n">
        <v>-179.736</v>
      </c>
      <c r="AQ242" s="27" t="n">
        <v>-200.88</v>
      </c>
      <c r="AR242" s="27" t="n">
        <v>-634.406</v>
      </c>
      <c r="AS242" s="27" t="n">
        <v>-137.781</v>
      </c>
      <c r="AT242" s="27" t="n">
        <v>-130.93</v>
      </c>
      <c r="AU242" s="27" t="n">
        <v>-151.983</v>
      </c>
      <c r="AV242" s="27" t="n">
        <v>-176.359</v>
      </c>
      <c r="AW242" s="27" t="n">
        <v>-597.053</v>
      </c>
      <c r="AX242" s="27" t="n">
        <v>-96.793</v>
      </c>
      <c r="AY242" s="27" t="n">
        <v>-174.599</v>
      </c>
      <c r="AZ242" s="27" t="n">
        <v>-208.088</v>
      </c>
      <c r="BA242" s="27" t="n">
        <v>-264.835</v>
      </c>
      <c r="BB242" s="27" t="n">
        <v>-744.315</v>
      </c>
      <c r="BC242" s="27" t="n">
        <v>-152.318</v>
      </c>
      <c r="BD242" s="27" t="n">
        <v>-219.11</v>
      </c>
      <c r="BE242" s="27" t="n">
        <v>-246.885</v>
      </c>
      <c r="BF242" s="27" t="n">
        <v>-294.364</v>
      </c>
      <c r="BG242" s="27" t="n">
        <v>-912.677</v>
      </c>
      <c r="BH242" s="27" t="n">
        <v>-175.786</v>
      </c>
      <c r="BI242" s="27" t="n">
        <v>-218.357</v>
      </c>
      <c r="BJ242" s="27" t="n">
        <v>-221.411</v>
      </c>
      <c r="BK242" s="27" t="n">
        <v>-318.446</v>
      </c>
      <c r="BL242" s="27" t="n">
        <v>-934</v>
      </c>
      <c r="BM242" s="27" t="n">
        <v>-169.951</v>
      </c>
      <c r="BN242" s="27" t="n">
        <v>-217.219</v>
      </c>
      <c r="BO242" s="27" t="n">
        <v>-272.132</v>
      </c>
      <c r="BP242" s="27" t="n">
        <v>-396.686</v>
      </c>
      <c r="BQ242" s="27" t="n">
        <v>-1055.988</v>
      </c>
      <c r="BR242" s="27" t="n">
        <v>-212.455</v>
      </c>
      <c r="BS242" s="27" t="n">
        <v>-285.31</v>
      </c>
      <c r="BT242" s="27" t="n">
        <v>-297.172</v>
      </c>
      <c r="BU242" s="27" t="n">
        <v>-384.291</v>
      </c>
      <c r="BV242" s="27" t="n">
        <v>-1179.228</v>
      </c>
      <c r="BW242" s="27" t="n">
        <v>-296.596</v>
      </c>
      <c r="BX242" s="27" t="n">
        <v>-302.353</v>
      </c>
      <c r="BY242" s="28"/>
      <c r="BZ242" s="28"/>
      <c r="CA242" s="47" t="n">
        <f aca="false">-$CP$22</f>
        <v>-1250</v>
      </c>
      <c r="CB242" s="47" t="n">
        <f aca="false">-CB128*CB271</f>
        <v>-1278.3924418381</v>
      </c>
      <c r="CC242" s="47" t="n">
        <f aca="false">-CC128*CC271</f>
        <v>-1380.83542127591</v>
      </c>
      <c r="CD242" s="47" t="n">
        <f aca="false">-CD128*CD271</f>
        <v>-1490.15558669794</v>
      </c>
      <c r="CE242" s="47" t="n">
        <f aca="false">-CE128*CE271</f>
        <v>-1601.62481739512</v>
      </c>
      <c r="CF242" s="21" t="s">
        <v>432</v>
      </c>
    </row>
    <row r="243" customFormat="false" ht="15" hidden="false" customHeight="true" outlineLevel="0" collapsed="false">
      <c r="B243" s="29" t="s">
        <v>433</v>
      </c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7" t="n">
        <v>-31.683</v>
      </c>
      <c r="AQ243" s="27" t="n">
        <v>0</v>
      </c>
      <c r="AR243" s="27" t="n">
        <v>-31.683</v>
      </c>
      <c r="AS243" s="25"/>
      <c r="AT243" s="27" t="n">
        <v>-16.45</v>
      </c>
      <c r="AU243" s="27" t="n">
        <v>-50.359</v>
      </c>
      <c r="AV243" s="27" t="n">
        <v>-0.698999999999998</v>
      </c>
      <c r="AW243" s="27" t="n">
        <v>-67.508</v>
      </c>
      <c r="AX243" s="25"/>
      <c r="AY243" s="25"/>
      <c r="AZ243" s="25"/>
      <c r="BA243" s="25"/>
      <c r="BB243" s="25"/>
      <c r="BC243" s="25"/>
      <c r="BD243" s="25"/>
      <c r="BE243" s="25"/>
      <c r="BF243" s="27" t="n">
        <v>0</v>
      </c>
      <c r="BG243" s="27" t="n">
        <v>0</v>
      </c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7" t="n">
        <v>-15.138</v>
      </c>
      <c r="BV243" s="27" t="n">
        <v>-15.138</v>
      </c>
      <c r="BW243" s="25"/>
      <c r="BX243" s="27" t="n">
        <v>-51.049</v>
      </c>
      <c r="BY243" s="28"/>
      <c r="BZ243" s="28"/>
      <c r="CA243" s="47" t="n">
        <f aca="false">(BW243+BX243)</f>
        <v>-51.049</v>
      </c>
      <c r="CB243" s="57" t="n">
        <v>0</v>
      </c>
      <c r="CC243" s="57" t="n">
        <v>0</v>
      </c>
      <c r="CD243" s="57" t="n">
        <v>0</v>
      </c>
      <c r="CE243" s="57" t="n">
        <v>0</v>
      </c>
      <c r="CF243" s="21" t="s">
        <v>434</v>
      </c>
    </row>
    <row r="244" customFormat="false" ht="15" hidden="false" customHeight="true" outlineLevel="0" collapsed="false">
      <c r="B244" s="29" t="s">
        <v>435</v>
      </c>
      <c r="C244" s="27" t="n">
        <v>-38.594</v>
      </c>
      <c r="D244" s="27" t="n">
        <v>-109.429</v>
      </c>
      <c r="E244" s="27" t="n">
        <v>-355.15</v>
      </c>
      <c r="F244" s="27" t="n">
        <v>-420.011</v>
      </c>
      <c r="G244" s="27" t="n">
        <v>-81.01</v>
      </c>
      <c r="H244" s="27" t="n">
        <v>-258.352</v>
      </c>
      <c r="I244" s="27" t="n">
        <v>-1579.869</v>
      </c>
      <c r="J244" s="25"/>
      <c r="K244" s="27" t="n">
        <v>-1.181</v>
      </c>
      <c r="L244" s="27" t="n">
        <v>-0.85</v>
      </c>
      <c r="M244" s="27" t="n">
        <v>-62.125</v>
      </c>
      <c r="N244" s="27" t="n">
        <v>-64.156</v>
      </c>
      <c r="O244" s="27" t="n">
        <v>-27.215</v>
      </c>
      <c r="P244" s="27" t="n">
        <v>-2.381</v>
      </c>
      <c r="Q244" s="27" t="n">
        <v>-19.635</v>
      </c>
      <c r="R244" s="27" t="n">
        <v>-76.95</v>
      </c>
      <c r="S244" s="27" t="n">
        <v>-126.181</v>
      </c>
      <c r="T244" s="27" t="n">
        <v>-90.849</v>
      </c>
      <c r="U244" s="27" t="n">
        <v>-0.875</v>
      </c>
      <c r="V244" s="27" t="n">
        <v>-20.366</v>
      </c>
      <c r="W244" s="27" t="n">
        <v>-118.427</v>
      </c>
      <c r="X244" s="27" t="n">
        <v>-230.517</v>
      </c>
      <c r="Y244" s="27" t="n">
        <v>-3.555</v>
      </c>
      <c r="Z244" s="27" t="n">
        <v>56.759</v>
      </c>
      <c r="AA244" s="27" t="n">
        <v>-1.16800000000001</v>
      </c>
      <c r="AB244" s="27" t="n">
        <v>-3.399</v>
      </c>
      <c r="AC244" s="27" t="n">
        <v>48.637</v>
      </c>
      <c r="AD244" s="27" t="n">
        <v>-344.265</v>
      </c>
      <c r="AE244" s="27" t="n">
        <v>-3.67099999999999</v>
      </c>
      <c r="AF244" s="27" t="n">
        <v>-46.066</v>
      </c>
      <c r="AG244" s="27" t="n">
        <v>-16.693</v>
      </c>
      <c r="AH244" s="27" t="n">
        <v>-410.695</v>
      </c>
      <c r="AI244" s="27" t="n">
        <v>-311.964</v>
      </c>
      <c r="AJ244" s="27" t="n">
        <v>-173.555</v>
      </c>
      <c r="AK244" s="27" t="n">
        <v>-14.545</v>
      </c>
      <c r="AL244" s="27" t="n">
        <v>-330.027</v>
      </c>
      <c r="AM244" s="27" t="n">
        <v>-830.091</v>
      </c>
      <c r="AN244" s="27" t="n">
        <v>-14.92</v>
      </c>
      <c r="AO244" s="27" t="n">
        <v>-366.502</v>
      </c>
      <c r="AP244" s="27" t="n">
        <v>-38.97</v>
      </c>
      <c r="AQ244" s="27" t="n">
        <v>-316.218</v>
      </c>
      <c r="AR244" s="27" t="n">
        <v>-736.61</v>
      </c>
      <c r="AS244" s="27" t="n">
        <v>-5.943</v>
      </c>
      <c r="AT244" s="27" t="n">
        <v>-80.382</v>
      </c>
      <c r="AU244" s="27" t="n">
        <v>-87.485</v>
      </c>
      <c r="AV244" s="27" t="n">
        <v>-214.979</v>
      </c>
      <c r="AW244" s="27" t="n">
        <v>-388.789</v>
      </c>
      <c r="AX244" s="27" t="n">
        <v>-8.545</v>
      </c>
      <c r="AY244" s="27" t="n">
        <v>-58.948</v>
      </c>
      <c r="AZ244" s="27" t="n">
        <v>-493.783</v>
      </c>
      <c r="BA244" s="27" t="n">
        <v>-399.173</v>
      </c>
      <c r="BB244" s="27" t="n">
        <v>-960.449</v>
      </c>
      <c r="BC244" s="27" t="n">
        <v>-355.212</v>
      </c>
      <c r="BD244" s="27" t="n">
        <v>-191.77</v>
      </c>
      <c r="BE244" s="27" t="n">
        <v>-725.928</v>
      </c>
      <c r="BF244" s="27" t="n">
        <v>-933.991</v>
      </c>
      <c r="BG244" s="27" t="n">
        <v>-2206.901</v>
      </c>
      <c r="BH244" s="27" t="n">
        <v>-144.611</v>
      </c>
      <c r="BI244" s="27" t="n">
        <v>-68.541</v>
      </c>
      <c r="BJ244" s="27" t="n">
        <v>-360.033</v>
      </c>
      <c r="BK244" s="27" t="n">
        <v>-103.608</v>
      </c>
      <c r="BL244" s="27" t="n">
        <v>-676.793</v>
      </c>
      <c r="BM244" s="27" t="n">
        <v>-1156.422</v>
      </c>
      <c r="BN244" s="27" t="n">
        <v>-279.282</v>
      </c>
      <c r="BO244" s="27" t="n">
        <v>-574.57</v>
      </c>
      <c r="BP244" s="27" t="n">
        <v>2010.274</v>
      </c>
      <c r="BQ244" s="25"/>
      <c r="BR244" s="27" t="n">
        <v>-380.417</v>
      </c>
      <c r="BS244" s="27" t="n">
        <v>-130.321</v>
      </c>
      <c r="BT244" s="27" t="n">
        <v>-116.572</v>
      </c>
      <c r="BU244" s="27" t="n">
        <v>-190.267</v>
      </c>
      <c r="BV244" s="27" t="n">
        <v>-817.577</v>
      </c>
      <c r="BW244" s="27" t="n">
        <v>-63.087</v>
      </c>
      <c r="BX244" s="27" t="n">
        <v>-246.557</v>
      </c>
      <c r="BY244" s="28"/>
      <c r="BZ244" s="28"/>
      <c r="CA244" s="47" t="n">
        <f aca="false">(BW244+BX244)</f>
        <v>-309.644</v>
      </c>
      <c r="CB244" s="47" t="n">
        <f aca="false">-CB62</f>
        <v>-1000</v>
      </c>
      <c r="CC244" s="47" t="n">
        <f aca="false">-CC62</f>
        <v>-1000</v>
      </c>
      <c r="CD244" s="47" t="n">
        <f aca="false">-CD62</f>
        <v>-1000</v>
      </c>
      <c r="CE244" s="47" t="n">
        <f aca="false">-CE62</f>
        <v>-1000</v>
      </c>
      <c r="CF244" s="21" t="s">
        <v>436</v>
      </c>
    </row>
    <row r="245" customFormat="false" ht="15" hidden="false" customHeight="true" outlineLevel="0" collapsed="false">
      <c r="B245" s="29" t="s">
        <v>437</v>
      </c>
      <c r="C245" s="27" t="n">
        <v>2.198</v>
      </c>
      <c r="D245" s="27" t="n">
        <v>1.016</v>
      </c>
      <c r="E245" s="27" t="n">
        <v>2.56</v>
      </c>
      <c r="F245" s="27" t="n">
        <v>5.061</v>
      </c>
      <c r="G245" s="27" t="n">
        <v>6.659</v>
      </c>
      <c r="H245" s="27" t="n">
        <v>4.434</v>
      </c>
      <c r="I245" s="27" t="n">
        <v>2.741</v>
      </c>
      <c r="J245" s="27" t="n">
        <v>0.723</v>
      </c>
      <c r="K245" s="27" t="n">
        <v>2.899</v>
      </c>
      <c r="L245" s="27" t="n">
        <v>5.453</v>
      </c>
      <c r="M245" s="27" t="n">
        <v>1.944</v>
      </c>
      <c r="N245" s="27" t="n">
        <v>11.019</v>
      </c>
      <c r="O245" s="27" t="n">
        <v>1.312</v>
      </c>
      <c r="P245" s="27" t="n">
        <v>4.551</v>
      </c>
      <c r="Q245" s="27" t="n">
        <v>0.276</v>
      </c>
      <c r="R245" s="27" t="n">
        <v>3.282</v>
      </c>
      <c r="S245" s="27" t="n">
        <v>9.421</v>
      </c>
      <c r="T245" s="27" t="n">
        <v>0.598</v>
      </c>
      <c r="U245" s="27" t="n">
        <v>0.692</v>
      </c>
      <c r="V245" s="27" t="n">
        <v>0.386</v>
      </c>
      <c r="W245" s="27" t="n">
        <v>1.207</v>
      </c>
      <c r="X245" s="27" t="n">
        <v>2.883</v>
      </c>
      <c r="Y245" s="27" t="n">
        <v>0.681</v>
      </c>
      <c r="Z245" s="27" t="n">
        <v>0.879</v>
      </c>
      <c r="AA245" s="27" t="n">
        <v>1.466</v>
      </c>
      <c r="AB245" s="27" t="n">
        <v>1.578</v>
      </c>
      <c r="AC245" s="27" t="n">
        <v>4.604</v>
      </c>
      <c r="AD245" s="27" t="n">
        <v>18.815</v>
      </c>
      <c r="AE245" s="27" t="n">
        <v>1.802</v>
      </c>
      <c r="AF245" s="27" t="n">
        <v>5.209</v>
      </c>
      <c r="AG245" s="27" t="n">
        <v>2.606</v>
      </c>
      <c r="AH245" s="27" t="n">
        <v>28.432</v>
      </c>
      <c r="AI245" s="27" t="n">
        <v>1.002</v>
      </c>
      <c r="AJ245" s="27" t="n">
        <v>1.072</v>
      </c>
      <c r="AK245" s="27" t="n">
        <v>1.624</v>
      </c>
      <c r="AL245" s="27" t="n">
        <v>1.687</v>
      </c>
      <c r="AM245" s="27" t="n">
        <v>5.385</v>
      </c>
      <c r="AN245" s="27" t="n">
        <v>0.639</v>
      </c>
      <c r="AO245" s="27" t="n">
        <v>0.559</v>
      </c>
      <c r="AP245" s="27" t="n">
        <v>1.428</v>
      </c>
      <c r="AQ245" s="27" t="n">
        <v>0.94</v>
      </c>
      <c r="AR245" s="27" t="n">
        <v>3.566</v>
      </c>
      <c r="AS245" s="27" t="n">
        <v>3.499</v>
      </c>
      <c r="AT245" s="27" t="n">
        <v>7.143</v>
      </c>
      <c r="AU245" s="27" t="n">
        <v>0.922000000000001</v>
      </c>
      <c r="AV245" s="27" t="n">
        <v>7.52</v>
      </c>
      <c r="AW245" s="27" t="n">
        <v>19.084</v>
      </c>
      <c r="AX245" s="27" t="n">
        <v>2.08</v>
      </c>
      <c r="AY245" s="27" t="n">
        <v>5.826</v>
      </c>
      <c r="AZ245" s="27" t="n">
        <v>2.203</v>
      </c>
      <c r="BA245" s="27" t="n">
        <v>32.659</v>
      </c>
      <c r="BB245" s="27" t="n">
        <v>42.768</v>
      </c>
      <c r="BC245" s="27" t="n">
        <v>15.012</v>
      </c>
      <c r="BD245" s="27" t="n">
        <v>1.882</v>
      </c>
      <c r="BE245" s="27" t="n">
        <v>6.447</v>
      </c>
      <c r="BF245" s="27" t="n">
        <v>7.335</v>
      </c>
      <c r="BG245" s="27" t="n">
        <v>30.676</v>
      </c>
      <c r="BH245" s="27" t="n">
        <v>1.26</v>
      </c>
      <c r="BI245" s="27" t="n">
        <v>2.559</v>
      </c>
      <c r="BJ245" s="27" t="n">
        <v>4.859</v>
      </c>
      <c r="BK245" s="27" t="n">
        <v>22.903</v>
      </c>
      <c r="BL245" s="27" t="n">
        <v>31.581</v>
      </c>
      <c r="BM245" s="27" t="n">
        <v>1.085</v>
      </c>
      <c r="BN245" s="27" t="n">
        <v>1.912</v>
      </c>
      <c r="BO245" s="27" t="n">
        <v>2.636</v>
      </c>
      <c r="BP245" s="27" t="n">
        <v>2.27</v>
      </c>
      <c r="BQ245" s="27" t="n">
        <v>7.903</v>
      </c>
      <c r="BR245" s="27" t="n">
        <v>0.969</v>
      </c>
      <c r="BS245" s="27" t="n">
        <v>4.448</v>
      </c>
      <c r="BT245" s="27" t="n">
        <v>3.736</v>
      </c>
      <c r="BU245" s="27" t="n">
        <v>0.972</v>
      </c>
      <c r="BV245" s="27" t="n">
        <v>10.125</v>
      </c>
      <c r="BW245" s="27" t="n">
        <v>1.779</v>
      </c>
      <c r="BX245" s="27" t="n">
        <v>1.143</v>
      </c>
      <c r="BY245" s="28"/>
      <c r="BZ245" s="28"/>
      <c r="CA245" s="47" t="n">
        <f aca="false">(BW245+BX245)</f>
        <v>2.922</v>
      </c>
      <c r="CB245" s="57" t="n">
        <v>0</v>
      </c>
      <c r="CC245" s="57" t="n">
        <v>0</v>
      </c>
      <c r="CD245" s="57" t="n">
        <v>0</v>
      </c>
      <c r="CE245" s="57" t="n">
        <v>0</v>
      </c>
      <c r="CF245" s="21"/>
    </row>
    <row r="246" customFormat="false" ht="15" hidden="false" customHeight="true" outlineLevel="0" collapsed="false">
      <c r="B246" s="29" t="s">
        <v>438</v>
      </c>
      <c r="C246" s="26" t="n">
        <f aca="false">C247-N(C242)-N(C243)-N(C244)-N(C245)</f>
        <v>-1.635</v>
      </c>
      <c r="D246" s="26" t="n">
        <f aca="false">D247-N(D242)-N(D243)-N(D244)-N(D245)</f>
        <v>-2.96200000000001</v>
      </c>
      <c r="E246" s="26" t="n">
        <f aca="false">E247-N(E242)-N(E243)-N(E244)-N(E245)</f>
        <v>-1.56100000000003</v>
      </c>
      <c r="F246" s="26" t="n">
        <f aca="false">F247-N(F242)-N(F243)-N(F244)-N(F245)</f>
        <v>-5.02599999999998</v>
      </c>
      <c r="G246" s="26" t="n">
        <f aca="false">G247-N(G242)-N(G243)-N(G244)-N(G245)</f>
        <v>-5.04399999999998</v>
      </c>
      <c r="H246" s="26" t="n">
        <f aca="false">H247-N(H242)-N(H243)-N(H244)-N(H245)</f>
        <v>-4.66300000000004</v>
      </c>
      <c r="I246" s="26" t="n">
        <f aca="false">I247-N(I242)-N(I243)-N(I244)-N(I245)</f>
        <v>-3.20200000000001</v>
      </c>
      <c r="J246" s="26" t="n">
        <f aca="false">J247-N(J242)-N(J243)-N(J244)-N(J245)</f>
        <v>17.074</v>
      </c>
      <c r="K246" s="26" t="n">
        <f aca="false">K247-N(K242)-N(K243)-N(K244)-N(K245)</f>
        <v>-0.294999999999984</v>
      </c>
      <c r="L246" s="26" t="n">
        <f aca="false">L247-N(L242)-N(L243)-N(L244)-N(L245)</f>
        <v>-3.72799999999999</v>
      </c>
      <c r="M246" s="26" t="n">
        <f aca="false">M247-N(M242)-N(M243)-N(M244)-N(M245)</f>
        <v>-1.05500000000001</v>
      </c>
      <c r="N246" s="26" t="n">
        <f aca="false">N247-N(N242)-N(N243)-N(N244)-N(N245)</f>
        <v>11.996</v>
      </c>
      <c r="O246" s="26" t="n">
        <f aca="false">O247-N(O242)-N(O243)-N(O244)-N(O245)</f>
        <v>-1.032</v>
      </c>
      <c r="P246" s="26" t="n">
        <f aca="false">P247-N(P242)-N(P243)-N(P244)-N(P245)</f>
        <v>0.449</v>
      </c>
      <c r="Q246" s="26" t="n">
        <f aca="false">Q247-N(Q242)-N(Q243)-N(Q244)-N(Q245)</f>
        <v>-0.925999999999995</v>
      </c>
      <c r="R246" s="26" t="n">
        <f aca="false">R247-N(R242)-N(R243)-N(R244)-N(R245)</f>
        <v>-3.86200000000001</v>
      </c>
      <c r="S246" s="26" t="n">
        <f aca="false">S247-N(S242)-N(S243)-N(S244)-N(S245)</f>
        <v>-5.37100000000003</v>
      </c>
      <c r="T246" s="26" t="n">
        <f aca="false">T247-N(T242)-N(T243)-N(T244)-N(T245)</f>
        <v>-0.217</v>
      </c>
      <c r="U246" s="26" t="n">
        <f aca="false">U247-N(U242)-N(U243)-N(U244)-N(U245)</f>
        <v>1.081</v>
      </c>
      <c r="V246" s="26" t="n">
        <f aca="false">V247-N(V242)-N(V243)-N(V244)-N(V245)</f>
        <v>0.931999999999984</v>
      </c>
      <c r="W246" s="26" t="n">
        <f aca="false">W247-N(W242)-N(W243)-N(W244)-N(W245)</f>
        <v>-5.86299999999999</v>
      </c>
      <c r="X246" s="26" t="n">
        <f aca="false">X247-N(X242)-N(X243)-N(X244)-N(X245)</f>
        <v>-4.067</v>
      </c>
      <c r="Y246" s="26" t="n">
        <f aca="false">Y247-N(Y242)-N(Y243)-N(Y244)-N(Y245)</f>
        <v>0.407000000000001</v>
      </c>
      <c r="Z246" s="26" t="n">
        <f aca="false">Z247-N(Z242)-N(Z243)-N(Z244)-N(Z245)</f>
        <v>-0.990000000000004</v>
      </c>
      <c r="AA246" s="26" t="n">
        <f aca="false">AA247-N(AA242)-N(AA243)-N(AA244)-N(AA245)</f>
        <v>-2.59199999999999</v>
      </c>
      <c r="AB246" s="26" t="n">
        <f aca="false">AB247-N(AB242)-N(AB243)-N(AB244)-N(AB245)</f>
        <v>-1.73800000000003</v>
      </c>
      <c r="AC246" s="26" t="n">
        <f aca="false">AC247-N(AC242)-N(AC243)-N(AC244)-N(AC245)</f>
        <v>-4.91299999999997</v>
      </c>
      <c r="AD246" s="26" t="n">
        <f aca="false">AD247-N(AD242)-N(AD243)-N(AD244)-N(AD245)</f>
        <v>3.79599999999999</v>
      </c>
      <c r="AE246" s="26" t="n">
        <f aca="false">AE247-N(AE242)-N(AE243)-N(AE244)-N(AE245)</f>
        <v>-1.83900000000011</v>
      </c>
      <c r="AF246" s="26" t="n">
        <f aca="false">AF247-N(AF242)-N(AF243)-N(AF244)-N(AF245)</f>
        <v>0.0420000000000336</v>
      </c>
      <c r="AG246" s="26" t="n">
        <f aca="false">AG247-N(AG242)-N(AG243)-N(AG244)-N(AG245)</f>
        <v>-106.681</v>
      </c>
      <c r="AH246" s="26" t="n">
        <f aca="false">AH247-N(AH242)-N(AH243)-N(AH244)-N(AH245)</f>
        <v>-104.682</v>
      </c>
      <c r="AI246" s="26" t="n">
        <f aca="false">AI247-N(AI242)-N(AI243)-N(AI244)-N(AI245)</f>
        <v>-0.103999999999975</v>
      </c>
      <c r="AJ246" s="26" t="n">
        <f aca="false">AJ247-N(AJ242)-N(AJ243)-N(AJ244)-N(AJ245)</f>
        <v>0.0269999999998758</v>
      </c>
      <c r="AK246" s="26" t="n">
        <f aca="false">AK247-N(AK242)-N(AK243)-N(AK244)-N(AK245)</f>
        <v>-0.490999999999958</v>
      </c>
      <c r="AL246" s="26" t="n">
        <f aca="false">AL247-N(AL242)-N(AL243)-N(AL244)-N(AL245)</f>
        <v>-0.400999999999885</v>
      </c>
      <c r="AM246" s="26" t="n">
        <f aca="false">AM247-N(AM242)-N(AM243)-N(AM244)-N(AM245)</f>
        <v>-0.968999999999946</v>
      </c>
      <c r="AN246" s="26" t="n">
        <f aca="false">AN247-N(AN242)-N(AN243)-N(AN244)-N(AN245)</f>
        <v>0.473000000000007</v>
      </c>
      <c r="AO246" s="26" t="n">
        <f aca="false">AO247-N(AO242)-N(AO243)-N(AO244)-N(AO245)</f>
        <v>-6.74899999999988</v>
      </c>
      <c r="AP246" s="26" t="n">
        <f aca="false">AP247-N(AP242)-N(AP243)-N(AP244)-N(AP245)</f>
        <v>3.57899999999987</v>
      </c>
      <c r="AQ246" s="26" t="n">
        <f aca="false">AQ247-N(AQ242)-N(AQ243)-N(AQ244)-N(AQ245)</f>
        <v>-24.1760000000002</v>
      </c>
      <c r="AR246" s="26" t="n">
        <f aca="false">AR247-N(AR242)-N(AR243)-N(AR244)-N(AR245)</f>
        <v>-26.8730000000001</v>
      </c>
      <c r="AS246" s="26" t="n">
        <f aca="false">AS247-N(AS242)-N(AS243)-N(AS244)-N(AS245)</f>
        <v>6.599</v>
      </c>
      <c r="AT246" s="26" t="n">
        <f aca="false">AT247-N(AT242)-N(AT243)-N(AT244)-N(AT245)</f>
        <v>-5.711</v>
      </c>
      <c r="AU246" s="26" t="n">
        <f aca="false">AU247-N(AU242)-N(AU243)-N(AU244)-N(AU245)</f>
        <v>-1.20500000000003</v>
      </c>
      <c r="AV246" s="26" t="n">
        <f aca="false">AV247-N(AV242)-N(AV243)-N(AV244)-N(AV245)</f>
        <v>-11.4599999999999</v>
      </c>
      <c r="AW246" s="26" t="n">
        <f aca="false">AW247-N(AW242)-N(AW243)-N(AW244)-N(AW245)</f>
        <v>-11.7769999999999</v>
      </c>
      <c r="AX246" s="26" t="n">
        <f aca="false">AX247-N(AX242)-N(AX243)-N(AX244)-N(AX245)</f>
        <v>2.70500000000001</v>
      </c>
      <c r="AY246" s="26" t="n">
        <f aca="false">AY247-N(AY242)-N(AY243)-N(AY244)-N(AY245)</f>
        <v>-4.52000000000003</v>
      </c>
      <c r="AZ246" s="26" t="n">
        <f aca="false">AZ247-N(AZ242)-N(AZ243)-N(AZ244)-N(AZ245)</f>
        <v>-2.37799999999995</v>
      </c>
      <c r="BA246" s="26" t="n">
        <f aca="false">BA247-N(BA242)-N(BA243)-N(BA244)-N(BA245)</f>
        <v>-27.2930000000001</v>
      </c>
      <c r="BB246" s="26" t="n">
        <f aca="false">BB247-N(BB242)-N(BB243)-N(BB244)-N(BB245)</f>
        <v>-31.486</v>
      </c>
      <c r="BC246" s="26" t="n">
        <f aca="false">BC247-N(BC242)-N(BC243)-N(BC244)-N(BC245)</f>
        <v>2.637</v>
      </c>
      <c r="BD246" s="26" t="n">
        <f aca="false">BD247-N(BD242)-N(BD243)-N(BD244)-N(BD245)</f>
        <v>6.92899999999995</v>
      </c>
      <c r="BE246" s="26" t="n">
        <f aca="false">BE247-N(BE242)-N(BE243)-N(BE244)-N(BE245)</f>
        <v>-0.269999999999868</v>
      </c>
      <c r="BF246" s="26" t="n">
        <f aca="false">BF247-N(BF242)-N(BF243)-N(BF244)-N(BF245)</f>
        <v>-7.56500000000024</v>
      </c>
      <c r="BG246" s="26" t="n">
        <f aca="false">BG247-N(BG242)-N(BG243)-N(BG244)-N(BG245)</f>
        <v>1.73100000000015</v>
      </c>
      <c r="BH246" s="26" t="n">
        <f aca="false">BH247-N(BH242)-N(BH243)-N(BH244)-N(BH245)</f>
        <v>1.37799999999998</v>
      </c>
      <c r="BI246" s="26" t="n">
        <f aca="false">BI247-N(BI242)-N(BI243)-N(BI244)-N(BI245)</f>
        <v>-2.52300000000003</v>
      </c>
      <c r="BJ246" s="26" t="n">
        <f aca="false">BJ247-N(BJ242)-N(BJ243)-N(BJ244)-N(BJ245)</f>
        <v>-4.40700000000006</v>
      </c>
      <c r="BK246" s="26" t="n">
        <f aca="false">BK247-N(BK242)-N(BK243)-N(BK244)-N(BK245)</f>
        <v>3.68500000000024</v>
      </c>
      <c r="BL246" s="26" t="n">
        <f aca="false">BL247-N(BL242)-N(BL243)-N(BL244)-N(BL245)</f>
        <v>-1.86699999999994</v>
      </c>
      <c r="BM246" s="26" t="n">
        <f aca="false">BM247-N(BM242)-N(BM243)-N(BM244)-N(BM245)</f>
        <v>-9.2909999999999</v>
      </c>
      <c r="BN246" s="26" t="n">
        <f aca="false">BN247-N(BN242)-N(BN243)-N(BN244)-N(BN245)</f>
        <v>35.0639999999998</v>
      </c>
      <c r="BO246" s="26" t="n">
        <f aca="false">BO247-N(BO242)-N(BO243)-N(BO244)-N(BO245)</f>
        <v>-7.63999999999991</v>
      </c>
      <c r="BP246" s="26" t="n">
        <f aca="false">BP247-N(BP242)-N(BP243)-N(BP244)-N(BP245)</f>
        <v>-2129.224</v>
      </c>
      <c r="BQ246" s="26" t="n">
        <f aca="false">BQ247-N(BQ242)-N(BQ243)-N(BQ244)-N(BQ245)</f>
        <v>-2111.091</v>
      </c>
      <c r="BR246" s="26" t="n">
        <f aca="false">BR247-N(BR242)-N(BR243)-N(BR244)-N(BR245)</f>
        <v>-11.308</v>
      </c>
      <c r="BS246" s="26" t="n">
        <f aca="false">BS247-N(BS242)-N(BS243)-N(BS244)-N(BS245)</f>
        <v>-5.57800000000014</v>
      </c>
      <c r="BT246" s="26" t="n">
        <f aca="false">BT247-N(BT242)-N(BT243)-N(BT244)-N(BT245)</f>
        <v>-3.93300000000005</v>
      </c>
      <c r="BU246" s="26" t="n">
        <f aca="false">BU247-N(BU242)-N(BU243)-N(BU244)-N(BU245)</f>
        <v>-0.605999999999701</v>
      </c>
      <c r="BV246" s="26" t="n">
        <f aca="false">BV247-N(BV242)-N(BV243)-N(BV244)-N(BV245)</f>
        <v>-21.4249999999998</v>
      </c>
      <c r="BW246" s="26" t="n">
        <f aca="false">BW247-N(BW242)-N(BW243)-N(BW244)-N(BW245)</f>
        <v>2.20299999999999</v>
      </c>
      <c r="BX246" s="26" t="n">
        <f aca="false">BX247-N(BX242)-N(BX243)-N(BX244)-N(BX245)</f>
        <v>-7.43499999999997</v>
      </c>
      <c r="BY246" s="28"/>
      <c r="BZ246" s="28"/>
      <c r="CA246" s="47" t="n">
        <f aca="false">(BW246+BX246)</f>
        <v>-5.23199999999999</v>
      </c>
      <c r="CB246" s="57" t="n">
        <v>0</v>
      </c>
      <c r="CC246" s="57" t="n">
        <v>0</v>
      </c>
      <c r="CD246" s="57" t="n">
        <v>0</v>
      </c>
      <c r="CE246" s="57" t="n">
        <v>0</v>
      </c>
      <c r="CF246" s="21"/>
    </row>
    <row r="247" customFormat="false" ht="15" hidden="false" customHeight="true" outlineLevel="0" collapsed="false">
      <c r="B247" s="18" t="s">
        <v>439</v>
      </c>
      <c r="C247" s="19" t="n">
        <v>-134.55</v>
      </c>
      <c r="D247" s="19" t="n">
        <v>-235.609</v>
      </c>
      <c r="E247" s="19" t="n">
        <v>-467.647</v>
      </c>
      <c r="F247" s="19" t="n">
        <v>-548.227</v>
      </c>
      <c r="G247" s="19" t="n">
        <v>-214.224</v>
      </c>
      <c r="H247" s="19" t="n">
        <v>-400.505</v>
      </c>
      <c r="I247" s="19" t="n">
        <v>-1733.847</v>
      </c>
      <c r="J247" s="19" t="n">
        <v>-19.108</v>
      </c>
      <c r="K247" s="19" t="n">
        <v>-49.213</v>
      </c>
      <c r="L247" s="19" t="n">
        <v>-52.456</v>
      </c>
      <c r="M247" s="19" t="n">
        <v>-130.238</v>
      </c>
      <c r="N247" s="19" t="n">
        <v>-251.015</v>
      </c>
      <c r="O247" s="19" t="n">
        <v>-62.527</v>
      </c>
      <c r="P247" s="19" t="n">
        <v>-45.468</v>
      </c>
      <c r="Q247" s="19" t="n">
        <v>-85.449</v>
      </c>
      <c r="R247" s="19" t="n">
        <v>-169.964</v>
      </c>
      <c r="S247" s="19" t="n">
        <v>-363.408</v>
      </c>
      <c r="T247" s="19" t="n">
        <v>-132.174</v>
      </c>
      <c r="U247" s="19" t="n">
        <v>-59.566</v>
      </c>
      <c r="V247" s="19" t="n">
        <v>-85.257</v>
      </c>
      <c r="W247" s="19" t="n">
        <v>-193.537</v>
      </c>
      <c r="X247" s="19" t="n">
        <v>-470.534</v>
      </c>
      <c r="Y247" s="19" t="n">
        <v>-59.042</v>
      </c>
      <c r="Z247" s="19" t="n">
        <v>1.136</v>
      </c>
      <c r="AA247" s="19" t="n">
        <v>-95.141</v>
      </c>
      <c r="AB247" s="19" t="n">
        <v>-143.348</v>
      </c>
      <c r="AC247" s="19" t="n">
        <v>-296.395</v>
      </c>
      <c r="AD247" s="19" t="n">
        <v>-412.859</v>
      </c>
      <c r="AE247" s="19" t="n">
        <v>-115.12</v>
      </c>
      <c r="AF247" s="19" t="n">
        <v>-155.583</v>
      </c>
      <c r="AG247" s="19" t="n">
        <v>-282.67</v>
      </c>
      <c r="AH247" s="19" t="n">
        <v>-966.232</v>
      </c>
      <c r="AI247" s="19" t="n">
        <v>-402.282</v>
      </c>
      <c r="AJ247" s="19" t="n">
        <v>-282.952</v>
      </c>
      <c r="AK247" s="19" t="n">
        <v>-185.212</v>
      </c>
      <c r="AL247" s="19" t="n">
        <v>-501.374</v>
      </c>
      <c r="AM247" s="19" t="n">
        <v>-1371.82</v>
      </c>
      <c r="AN247" s="19" t="n">
        <v>-128.046</v>
      </c>
      <c r="AO247" s="19" t="n">
        <v>-512.244</v>
      </c>
      <c r="AP247" s="19" t="n">
        <v>-245.382</v>
      </c>
      <c r="AQ247" s="19" t="n">
        <v>-540.334</v>
      </c>
      <c r="AR247" s="19" t="n">
        <v>-1426.006</v>
      </c>
      <c r="AS247" s="19" t="n">
        <v>-133.626</v>
      </c>
      <c r="AT247" s="19" t="n">
        <v>-226.33</v>
      </c>
      <c r="AU247" s="19" t="n">
        <v>-290.11</v>
      </c>
      <c r="AV247" s="19" t="n">
        <v>-395.977</v>
      </c>
      <c r="AW247" s="19" t="n">
        <v>-1046.043</v>
      </c>
      <c r="AX247" s="19" t="n">
        <v>-100.553</v>
      </c>
      <c r="AY247" s="19" t="n">
        <v>-232.241</v>
      </c>
      <c r="AZ247" s="19" t="n">
        <v>-702.046</v>
      </c>
      <c r="BA247" s="19" t="n">
        <v>-658.642</v>
      </c>
      <c r="BB247" s="19" t="n">
        <v>-1693.482</v>
      </c>
      <c r="BC247" s="19" t="n">
        <v>-489.881</v>
      </c>
      <c r="BD247" s="19" t="n">
        <v>-402.069</v>
      </c>
      <c r="BE247" s="19" t="n">
        <v>-966.636</v>
      </c>
      <c r="BF247" s="19" t="n">
        <v>-1228.585</v>
      </c>
      <c r="BG247" s="19" t="n">
        <v>-3087.171</v>
      </c>
      <c r="BH247" s="19" t="n">
        <v>-317.759</v>
      </c>
      <c r="BI247" s="19" t="n">
        <v>-286.862</v>
      </c>
      <c r="BJ247" s="19" t="n">
        <v>-580.992</v>
      </c>
      <c r="BK247" s="19" t="n">
        <v>-395.466</v>
      </c>
      <c r="BL247" s="19" t="n">
        <v>-1581.079</v>
      </c>
      <c r="BM247" s="19" t="n">
        <v>-1334.579</v>
      </c>
      <c r="BN247" s="19" t="n">
        <v>-459.525</v>
      </c>
      <c r="BO247" s="19" t="n">
        <v>-851.706</v>
      </c>
      <c r="BP247" s="19" t="n">
        <v>-513.366</v>
      </c>
      <c r="BQ247" s="19" t="n">
        <v>-3159.176</v>
      </c>
      <c r="BR247" s="19" t="n">
        <v>-603.211</v>
      </c>
      <c r="BS247" s="19" t="n">
        <v>-416.761</v>
      </c>
      <c r="BT247" s="19" t="n">
        <v>-413.941</v>
      </c>
      <c r="BU247" s="19" t="n">
        <v>-589.33</v>
      </c>
      <c r="BV247" s="19" t="n">
        <v>-2023.243</v>
      </c>
      <c r="BW247" s="19" t="n">
        <v>-355.701</v>
      </c>
      <c r="BX247" s="19" t="n">
        <v>-606.251</v>
      </c>
      <c r="BY247" s="51"/>
      <c r="BZ247" s="51"/>
      <c r="CA247" s="20" t="n">
        <f aca="false">SUM(CA242:CA246)</f>
        <v>-1613.003</v>
      </c>
      <c r="CB247" s="20" t="n">
        <f aca="false">SUM(CB242:CB246)</f>
        <v>-2278.3924418381</v>
      </c>
      <c r="CC247" s="20" t="n">
        <f aca="false">SUM(CC242:CC246)</f>
        <v>-2380.83542127591</v>
      </c>
      <c r="CD247" s="20" t="n">
        <f aca="false">SUM(CD242:CD246)</f>
        <v>-2490.15558669794</v>
      </c>
      <c r="CE247" s="20" t="n">
        <f aca="false">SUM(CE242:CE246)</f>
        <v>-2601.62481739512</v>
      </c>
      <c r="CF247" s="21"/>
    </row>
    <row r="248" customFormat="false" ht="15" hidden="false" customHeight="true" outlineLevel="0" collapsed="false">
      <c r="B248" s="29" t="s">
        <v>440</v>
      </c>
      <c r="C248" s="27" t="n">
        <v>666.035</v>
      </c>
      <c r="D248" s="27" t="n">
        <v>626</v>
      </c>
      <c r="E248" s="27" t="n">
        <v>302</v>
      </c>
      <c r="F248" s="27" t="n">
        <v>426.5</v>
      </c>
      <c r="G248" s="27" t="n">
        <v>483.253</v>
      </c>
      <c r="H248" s="27" t="n">
        <v>592.5</v>
      </c>
      <c r="I248" s="27" t="n">
        <v>1647</v>
      </c>
      <c r="J248" s="27" t="n">
        <v>26.5</v>
      </c>
      <c r="K248" s="27" t="n">
        <v>67</v>
      </c>
      <c r="L248" s="27" t="n">
        <v>119</v>
      </c>
      <c r="M248" s="27" t="n">
        <v>115.1</v>
      </c>
      <c r="N248" s="27" t="n">
        <v>327.6</v>
      </c>
      <c r="O248" s="27" t="n">
        <v>65</v>
      </c>
      <c r="P248" s="27" t="n">
        <v>57</v>
      </c>
      <c r="Q248" s="27" t="n">
        <v>92</v>
      </c>
      <c r="R248" s="27" t="n">
        <v>218.5</v>
      </c>
      <c r="S248" s="27" t="n">
        <v>432.5</v>
      </c>
      <c r="T248" s="27" t="n">
        <v>263</v>
      </c>
      <c r="U248" s="27" t="n">
        <v>73</v>
      </c>
      <c r="V248" s="27" t="n">
        <v>578.5</v>
      </c>
      <c r="W248" s="27" t="n">
        <v>575</v>
      </c>
      <c r="X248" s="27" t="n">
        <v>1489.5</v>
      </c>
      <c r="Y248" s="27" t="n">
        <v>115</v>
      </c>
      <c r="Z248" s="27" t="n">
        <v>3237.676</v>
      </c>
      <c r="AA248" s="27" t="n">
        <v>54.683</v>
      </c>
      <c r="AB248" s="27" t="n">
        <v>61.9300000000003</v>
      </c>
      <c r="AC248" s="27" t="n">
        <v>3469.289</v>
      </c>
      <c r="AD248" s="27" t="n">
        <v>436.086</v>
      </c>
      <c r="AE248" s="27" t="n">
        <v>428.866</v>
      </c>
      <c r="AF248" s="27" t="n">
        <v>31.995</v>
      </c>
      <c r="AG248" s="27" t="n">
        <v>76.807</v>
      </c>
      <c r="AH248" s="27" t="n">
        <v>973.754</v>
      </c>
      <c r="AI248" s="27" t="n">
        <v>35.625</v>
      </c>
      <c r="AJ248" s="27" t="n">
        <v>130.111</v>
      </c>
      <c r="AK248" s="27" t="n">
        <v>0.00100000000000478</v>
      </c>
      <c r="AL248" s="27" t="n">
        <v>857</v>
      </c>
      <c r="AM248" s="27" t="n">
        <v>1022.737</v>
      </c>
      <c r="AN248" s="27" t="n">
        <v>55.354</v>
      </c>
      <c r="AO248" s="27" t="n">
        <v>960.8</v>
      </c>
      <c r="AP248" s="27" t="n">
        <v>5.64099999999996</v>
      </c>
      <c r="AQ248" s="27" t="n">
        <v>554</v>
      </c>
      <c r="AR248" s="27" t="n">
        <v>1575.795</v>
      </c>
      <c r="AS248" s="27" t="n">
        <v>1790.625</v>
      </c>
      <c r="AT248" s="27" t="n">
        <v>0</v>
      </c>
      <c r="AU248" s="27" t="n">
        <v>0</v>
      </c>
      <c r="AV248" s="27" t="n">
        <v>25</v>
      </c>
      <c r="AW248" s="27" t="n">
        <v>1815.625</v>
      </c>
      <c r="AX248" s="25"/>
      <c r="AY248" s="27" t="n">
        <v>311</v>
      </c>
      <c r="AZ248" s="27" t="n">
        <v>1632.192</v>
      </c>
      <c r="BA248" s="27" t="n">
        <v>169.001</v>
      </c>
      <c r="BB248" s="27" t="n">
        <v>2112.193</v>
      </c>
      <c r="BC248" s="27" t="n">
        <v>1305.288</v>
      </c>
      <c r="BD248" s="27" t="n">
        <v>212.444</v>
      </c>
      <c r="BE248" s="27" t="n">
        <v>1630.892</v>
      </c>
      <c r="BF248" s="27" t="n">
        <v>1667.522</v>
      </c>
      <c r="BG248" s="27" t="n">
        <v>4816.146</v>
      </c>
      <c r="BH248" s="27" t="n">
        <v>336.649</v>
      </c>
      <c r="BI248" s="27" t="n">
        <v>201.772</v>
      </c>
      <c r="BJ248" s="27" t="n">
        <v>704.133</v>
      </c>
      <c r="BK248" s="27" t="n">
        <v>576.211</v>
      </c>
      <c r="BL248" s="27" t="n">
        <v>1818.765</v>
      </c>
      <c r="BM248" s="27" t="n">
        <v>2353.022</v>
      </c>
      <c r="BN248" s="27" t="n">
        <v>787.626</v>
      </c>
      <c r="BO248" s="27" t="n">
        <v>951.518</v>
      </c>
      <c r="BP248" s="27" t="n">
        <v>472.303</v>
      </c>
      <c r="BQ248" s="27" t="n">
        <v>4564.469</v>
      </c>
      <c r="BR248" s="27" t="n">
        <v>782.904</v>
      </c>
      <c r="BS248" s="27" t="n">
        <v>830.69</v>
      </c>
      <c r="BT248" s="27" t="n">
        <v>608.641</v>
      </c>
      <c r="BU248" s="27" t="n">
        <v>452.122</v>
      </c>
      <c r="BV248" s="27" t="n">
        <v>2674.357</v>
      </c>
      <c r="BW248" s="27" t="n">
        <v>1156.176</v>
      </c>
      <c r="BX248" s="27" t="n">
        <v>547.376</v>
      </c>
      <c r="BY248" s="28"/>
      <c r="BZ248" s="28"/>
      <c r="CA248" s="47" t="n">
        <f aca="false">(BW248+BX248)+CA377+MAX(0,CA381-BX381)</f>
        <v>1703.552</v>
      </c>
      <c r="CB248" s="47" t="n">
        <f aca="false">CB377+MAX(0,CB381-CA381)</f>
        <v>773.640515480339</v>
      </c>
      <c r="CC248" s="47" t="n">
        <f aca="false">CC377+MAX(0,CC381-CB381)</f>
        <v>1315.39923181292</v>
      </c>
      <c r="CD248" s="47" t="n">
        <f aca="false">CD377+MAX(0,CD381-CC381)</f>
        <v>1724.13457905511</v>
      </c>
      <c r="CE248" s="47" t="n">
        <f aca="false">CE377+MAX(0,CE381-CD381)</f>
        <v>1492.64414331281</v>
      </c>
      <c r="CF248" s="21"/>
    </row>
    <row r="249" customFormat="false" ht="15" hidden="false" customHeight="true" outlineLevel="0" collapsed="false">
      <c r="B249" s="29" t="s">
        <v>441</v>
      </c>
      <c r="C249" s="27" t="n">
        <v>-621.161</v>
      </c>
      <c r="D249" s="27" t="n">
        <v>-568.607</v>
      </c>
      <c r="E249" s="27" t="n">
        <v>-223.854</v>
      </c>
      <c r="F249" s="27" t="n">
        <v>-401.97</v>
      </c>
      <c r="G249" s="27" t="n">
        <v>-467.66</v>
      </c>
      <c r="H249" s="27" t="n">
        <v>-421.872</v>
      </c>
      <c r="I249" s="27" t="n">
        <v>-609.014</v>
      </c>
      <c r="J249" s="27" t="n">
        <v>-134.083</v>
      </c>
      <c r="K249" s="27" t="n">
        <v>-122.649</v>
      </c>
      <c r="L249" s="27" t="n">
        <v>-161.584</v>
      </c>
      <c r="M249" s="27" t="n">
        <v>-75.244</v>
      </c>
      <c r="N249" s="27" t="n">
        <v>-493.56</v>
      </c>
      <c r="O249" s="27" t="n">
        <v>-129.101</v>
      </c>
      <c r="P249" s="27" t="n">
        <v>-130.581</v>
      </c>
      <c r="Q249" s="27" t="n">
        <v>-135.079</v>
      </c>
      <c r="R249" s="27" t="n">
        <v>-131.148</v>
      </c>
      <c r="S249" s="27" t="n">
        <v>-525.909</v>
      </c>
      <c r="T249" s="27" t="n">
        <v>-249.624</v>
      </c>
      <c r="U249" s="27" t="n">
        <v>-131.602</v>
      </c>
      <c r="V249" s="27" t="n">
        <v>-560.214</v>
      </c>
      <c r="W249" s="27" t="n">
        <v>-487.755</v>
      </c>
      <c r="X249" s="27" t="n">
        <v>-1429.195</v>
      </c>
      <c r="Y249" s="27" t="n">
        <v>-197.024</v>
      </c>
      <c r="Z249" s="27" t="n">
        <v>-3263.981</v>
      </c>
      <c r="AA249" s="27" t="n">
        <v>-151.758</v>
      </c>
      <c r="AB249" s="27" t="n">
        <v>-101.281</v>
      </c>
      <c r="AC249" s="27" t="n">
        <v>-3714.044</v>
      </c>
      <c r="AD249" s="27" t="n">
        <v>-170.374</v>
      </c>
      <c r="AE249" s="27" t="n">
        <v>-415.388</v>
      </c>
      <c r="AF249" s="27" t="n">
        <v>-80.9620000000001</v>
      </c>
      <c r="AG249" s="27" t="n">
        <v>-103.382</v>
      </c>
      <c r="AH249" s="27" t="n">
        <v>-770.106</v>
      </c>
      <c r="AI249" s="27" t="n">
        <v>-106.812</v>
      </c>
      <c r="AJ249" s="27" t="n">
        <v>-231.325</v>
      </c>
      <c r="AK249" s="27" t="n">
        <v>-49.563</v>
      </c>
      <c r="AL249" s="27" t="n">
        <v>-583.073</v>
      </c>
      <c r="AM249" s="27" t="n">
        <v>-970.773</v>
      </c>
      <c r="AN249" s="27" t="n">
        <v>-52.051</v>
      </c>
      <c r="AO249" s="27" t="n">
        <v>-1082.538</v>
      </c>
      <c r="AP249" s="27" t="n">
        <v>-49.576</v>
      </c>
      <c r="AQ249" s="27" t="n">
        <v>-286.546</v>
      </c>
      <c r="AR249" s="27" t="n">
        <v>-1470.711</v>
      </c>
      <c r="AS249" s="27" t="n">
        <v>-970.393</v>
      </c>
      <c r="AT249" s="27" t="n">
        <v>-513.725</v>
      </c>
      <c r="AU249" s="27" t="n">
        <v>-21.5230000000001</v>
      </c>
      <c r="AV249" s="27" t="n">
        <v>-37.317</v>
      </c>
      <c r="AW249" s="27" t="n">
        <v>-1542.958</v>
      </c>
      <c r="AX249" s="27" t="n">
        <v>-5.559</v>
      </c>
      <c r="AY249" s="27" t="n">
        <v>-261.491</v>
      </c>
      <c r="AZ249" s="27" t="n">
        <v>-1546.984</v>
      </c>
      <c r="BA249" s="27" t="n">
        <v>-79.0659999999998</v>
      </c>
      <c r="BB249" s="27" t="n">
        <v>-1893.1</v>
      </c>
      <c r="BC249" s="27" t="n">
        <v>-505.597</v>
      </c>
      <c r="BD249" s="27" t="n">
        <v>-414.51</v>
      </c>
      <c r="BE249" s="27" t="n">
        <v>-1132.305</v>
      </c>
      <c r="BF249" s="27" t="n">
        <v>-1021.573</v>
      </c>
      <c r="BG249" s="27" t="n">
        <v>-3073.985</v>
      </c>
      <c r="BH249" s="27" t="n">
        <v>-320.027</v>
      </c>
      <c r="BI249" s="27" t="n">
        <v>-448.032</v>
      </c>
      <c r="BJ249" s="27" t="n">
        <v>-615.356</v>
      </c>
      <c r="BK249" s="27" t="n">
        <v>-668.738</v>
      </c>
      <c r="BL249" s="27" t="n">
        <v>-2052.153</v>
      </c>
      <c r="BM249" s="27" t="n">
        <v>-1350.932</v>
      </c>
      <c r="BN249" s="27" t="n">
        <v>-884.066</v>
      </c>
      <c r="BO249" s="27" t="n">
        <v>-524.678</v>
      </c>
      <c r="BP249" s="27" t="n">
        <v>-485.743</v>
      </c>
      <c r="BQ249" s="27" t="n">
        <v>-3245.419</v>
      </c>
      <c r="BR249" s="27" t="n">
        <v>-541.737</v>
      </c>
      <c r="BS249" s="27" t="n">
        <v>-947.048</v>
      </c>
      <c r="BT249" s="27" t="n">
        <v>-319.813</v>
      </c>
      <c r="BU249" s="27" t="n">
        <v>-321.367</v>
      </c>
      <c r="BV249" s="27" t="n">
        <v>-2129.965</v>
      </c>
      <c r="BW249" s="27" t="n">
        <v>-843.898</v>
      </c>
      <c r="BX249" s="27" t="n">
        <v>-332.484</v>
      </c>
      <c r="BY249" s="28"/>
      <c r="BZ249" s="28"/>
      <c r="CA249" s="47" t="n">
        <f aca="false">(BW249+BX249)+CA375+MIN(0,CA381-BX381)</f>
        <v>-1277.70271332693</v>
      </c>
      <c r="CB249" s="47" t="n">
        <f aca="false">CB375+MIN(0,CB381-CA381)</f>
        <v>0</v>
      </c>
      <c r="CC249" s="47" t="n">
        <f aca="false">CC375+MIN(0,CC381-CB381)</f>
        <v>-500</v>
      </c>
      <c r="CD249" s="47" t="n">
        <f aca="false">CD375+MIN(0,CD381-CC381)</f>
        <v>-851.85</v>
      </c>
      <c r="CE249" s="47" t="n">
        <f aca="false">CE375+MIN(0,CE381-CD381)</f>
        <v>-600</v>
      </c>
      <c r="CF249" s="21" t="s">
        <v>442</v>
      </c>
    </row>
    <row r="250" customFormat="false" ht="15" hidden="false" customHeight="true" outlineLevel="0" collapsed="false">
      <c r="B250" s="29" t="s">
        <v>443</v>
      </c>
      <c r="C250" s="27" t="n">
        <v>-8.869</v>
      </c>
      <c r="D250" s="27" t="n">
        <v>8.835</v>
      </c>
      <c r="E250" s="27" t="n">
        <v>-4.52</v>
      </c>
      <c r="F250" s="27" t="n">
        <v>7.802</v>
      </c>
      <c r="G250" s="27" t="n">
        <v>0.279</v>
      </c>
      <c r="H250" s="27" t="n">
        <v>-0.227</v>
      </c>
      <c r="I250" s="27" t="n">
        <v>0.398</v>
      </c>
      <c r="J250" s="27" t="n">
        <v>-0.017</v>
      </c>
      <c r="K250" s="27" t="n">
        <v>-0.073</v>
      </c>
      <c r="L250" s="27" t="n">
        <v>-0.284</v>
      </c>
      <c r="M250" s="27" t="n">
        <v>0.264</v>
      </c>
      <c r="N250" s="27" t="n">
        <v>-0.11</v>
      </c>
      <c r="O250" s="27" t="n">
        <v>0.135</v>
      </c>
      <c r="P250" s="27" t="n">
        <v>-0.117</v>
      </c>
      <c r="Q250" s="27" t="n">
        <v>-0.198</v>
      </c>
      <c r="R250" s="27" t="n">
        <v>0.169</v>
      </c>
      <c r="S250" s="27" t="n">
        <v>-0.011</v>
      </c>
      <c r="T250" s="27" t="n">
        <v>0.025</v>
      </c>
      <c r="U250" s="27" t="n">
        <v>-0.046</v>
      </c>
      <c r="V250" s="27" t="n">
        <v>0.086</v>
      </c>
      <c r="W250" s="27" t="n">
        <v>-0.154</v>
      </c>
      <c r="X250" s="27" t="n">
        <v>-0.089</v>
      </c>
      <c r="Y250" s="27" t="n">
        <v>-0.151</v>
      </c>
      <c r="Z250" s="27" t="n">
        <v>2.149</v>
      </c>
      <c r="AA250" s="27" t="n">
        <v>4.052</v>
      </c>
      <c r="AB250" s="27" t="n">
        <v>-7.355</v>
      </c>
      <c r="AC250" s="27" t="n">
        <v>-1.305</v>
      </c>
      <c r="AD250" s="27" t="n">
        <v>20.047</v>
      </c>
      <c r="AE250" s="27" t="n">
        <v>-0.568000000000001</v>
      </c>
      <c r="AF250" s="27" t="n">
        <v>-5.665</v>
      </c>
      <c r="AG250" s="27" t="n">
        <v>-5.573</v>
      </c>
      <c r="AH250" s="27" t="n">
        <v>8.241</v>
      </c>
      <c r="AI250" s="27" t="n">
        <v>-0.295</v>
      </c>
      <c r="AJ250" s="27" t="n">
        <v>-0.837</v>
      </c>
      <c r="AK250" s="27" t="n">
        <v>0.889</v>
      </c>
      <c r="AL250" s="27" t="n">
        <v>-0.596</v>
      </c>
      <c r="AM250" s="27" t="n">
        <v>-0.839</v>
      </c>
      <c r="AN250" s="27" t="n">
        <v>-2.784</v>
      </c>
      <c r="AO250" s="27" t="n">
        <v>2.25</v>
      </c>
      <c r="AP250" s="27" t="n">
        <v>2.445</v>
      </c>
      <c r="AQ250" s="27" t="n">
        <v>-4.475</v>
      </c>
      <c r="AR250" s="27" t="n">
        <v>-2.564</v>
      </c>
      <c r="AS250" s="27" t="n">
        <v>-3.848</v>
      </c>
      <c r="AT250" s="27" t="n">
        <v>3.242</v>
      </c>
      <c r="AU250" s="27" t="n">
        <v>-0.256</v>
      </c>
      <c r="AV250" s="27" t="n">
        <v>1.958</v>
      </c>
      <c r="AW250" s="27" t="n">
        <v>1.096</v>
      </c>
      <c r="AX250" s="27" t="n">
        <v>-16.849</v>
      </c>
      <c r="AY250" s="27" t="n">
        <v>16.659</v>
      </c>
      <c r="AZ250" s="27" t="n">
        <v>-0.373</v>
      </c>
      <c r="BA250" s="27" t="n">
        <v>0.196</v>
      </c>
      <c r="BB250" s="27" t="n">
        <v>-0.367</v>
      </c>
      <c r="BC250" s="27" t="n">
        <v>0.087</v>
      </c>
      <c r="BD250" s="27" t="n">
        <v>-0.141</v>
      </c>
      <c r="BE250" s="27" t="n">
        <v>-5.929</v>
      </c>
      <c r="BF250" s="27" t="n">
        <v>4.907</v>
      </c>
      <c r="BG250" s="27" t="n">
        <v>-1.076</v>
      </c>
      <c r="BH250" s="27" t="n">
        <v>5.421</v>
      </c>
      <c r="BI250" s="27" t="n">
        <v>-5.655</v>
      </c>
      <c r="BJ250" s="27" t="n">
        <v>0.371</v>
      </c>
      <c r="BK250" s="27" t="n">
        <v>-0.927</v>
      </c>
      <c r="BL250" s="27" t="n">
        <v>-0.79</v>
      </c>
      <c r="BM250" s="27" t="n">
        <v>-0.271</v>
      </c>
      <c r="BN250" s="27" t="n">
        <v>1.621</v>
      </c>
      <c r="BO250" s="27" t="n">
        <v>-1.637</v>
      </c>
      <c r="BP250" s="27" t="n">
        <v>0.06</v>
      </c>
      <c r="BQ250" s="27" t="n">
        <v>-0.227</v>
      </c>
      <c r="BR250" s="27" t="n">
        <v>-0.11</v>
      </c>
      <c r="BS250" s="27" t="n">
        <v>0.507</v>
      </c>
      <c r="BT250" s="27" t="n">
        <v>-0.733</v>
      </c>
      <c r="BU250" s="27" t="n">
        <v>0.382</v>
      </c>
      <c r="BV250" s="27" t="n">
        <v>0.046</v>
      </c>
      <c r="BW250" s="27" t="n">
        <v>-6.114</v>
      </c>
      <c r="BX250" s="27" t="n">
        <v>20.358</v>
      </c>
      <c r="BY250" s="28"/>
      <c r="BZ250" s="28"/>
      <c r="CA250" s="47" t="n">
        <f aca="false">(BW250+BX250)</f>
        <v>14.244</v>
      </c>
      <c r="CB250" s="57" t="n">
        <v>0</v>
      </c>
      <c r="CC250" s="57" t="n">
        <v>0</v>
      </c>
      <c r="CD250" s="57" t="n">
        <v>0</v>
      </c>
      <c r="CE250" s="57" t="n">
        <v>0</v>
      </c>
      <c r="CF250" s="21"/>
    </row>
    <row r="251" customFormat="false" ht="15" hidden="false" customHeight="true" outlineLevel="0" collapsed="false">
      <c r="B251" s="29" t="s">
        <v>444</v>
      </c>
      <c r="C251" s="25"/>
      <c r="D251" s="25"/>
      <c r="E251" s="25"/>
      <c r="F251" s="25"/>
      <c r="G251" s="27" t="n">
        <v>-8.561</v>
      </c>
      <c r="H251" s="27" t="n">
        <v>-35.566</v>
      </c>
      <c r="I251" s="27" t="n">
        <v>-44.465</v>
      </c>
      <c r="J251" s="27" t="n">
        <v>-12.31</v>
      </c>
      <c r="K251" s="27" t="n">
        <v>-12.344</v>
      </c>
      <c r="L251" s="27" t="n">
        <v>-12.351</v>
      </c>
      <c r="M251" s="27" t="n">
        <v>-14.208</v>
      </c>
      <c r="N251" s="27" t="n">
        <v>-51.213</v>
      </c>
      <c r="O251" s="27" t="n">
        <v>-14.242</v>
      </c>
      <c r="P251" s="27" t="n">
        <v>-14.254</v>
      </c>
      <c r="Q251" s="27" t="n">
        <v>-14.274</v>
      </c>
      <c r="R251" s="27" t="n">
        <v>-16.136</v>
      </c>
      <c r="S251" s="27" t="n">
        <v>-58.906</v>
      </c>
      <c r="T251" s="27" t="n">
        <v>-16.156</v>
      </c>
      <c r="U251" s="27" t="n">
        <v>-16.047</v>
      </c>
      <c r="V251" s="27" t="n">
        <v>-16.043</v>
      </c>
      <c r="W251" s="27" t="n">
        <v>-17.744</v>
      </c>
      <c r="X251" s="27" t="n">
        <v>-65.99</v>
      </c>
      <c r="Y251" s="27" t="n">
        <v>-17.791</v>
      </c>
      <c r="Z251" s="27" t="n">
        <v>-17.794</v>
      </c>
      <c r="AA251" s="27" t="n">
        <v>-25.416</v>
      </c>
      <c r="AB251" s="27" t="n">
        <v>-31.546</v>
      </c>
      <c r="AC251" s="27" t="n">
        <v>-92.547</v>
      </c>
      <c r="AD251" s="27" t="n">
        <v>-31.707</v>
      </c>
      <c r="AE251" s="27" t="n">
        <v>-31.756</v>
      </c>
      <c r="AF251" s="27" t="n">
        <v>-31.738</v>
      </c>
      <c r="AG251" s="27" t="n">
        <v>-36.774</v>
      </c>
      <c r="AH251" s="27" t="n">
        <v>-131.975</v>
      </c>
      <c r="AI251" s="27" t="n">
        <v>-36.814</v>
      </c>
      <c r="AJ251" s="27" t="n">
        <v>-36.77</v>
      </c>
      <c r="AK251" s="27" t="n">
        <v>-36.863</v>
      </c>
      <c r="AL251" s="27" t="n">
        <v>-42.103</v>
      </c>
      <c r="AM251" s="27" t="n">
        <v>-152.55</v>
      </c>
      <c r="AN251" s="27" t="n">
        <v>-42.084</v>
      </c>
      <c r="AO251" s="27" t="n">
        <v>-42.131</v>
      </c>
      <c r="AP251" s="27" t="n">
        <v>-42.133</v>
      </c>
      <c r="AQ251" s="27" t="n">
        <v>-48.719</v>
      </c>
      <c r="AR251" s="27" t="n">
        <v>-175.067</v>
      </c>
      <c r="AS251" s="27" t="n">
        <v>-48.018</v>
      </c>
      <c r="AT251" s="27" t="n">
        <v>-48.894</v>
      </c>
      <c r="AU251" s="27" t="n">
        <v>-49.009</v>
      </c>
      <c r="AV251" s="27" t="n">
        <v>-53.962</v>
      </c>
      <c r="AW251" s="27" t="n">
        <v>-199.883</v>
      </c>
      <c r="AX251" s="27" t="n">
        <v>-53.909</v>
      </c>
      <c r="AY251" s="27" t="n">
        <v>-53.421</v>
      </c>
      <c r="AZ251" s="27" t="n">
        <v>-53.424</v>
      </c>
      <c r="BA251" s="27" t="n">
        <v>-59.449</v>
      </c>
      <c r="BB251" s="27" t="n">
        <v>-220.203</v>
      </c>
      <c r="BC251" s="27" t="n">
        <v>-59.391</v>
      </c>
      <c r="BD251" s="27" t="n">
        <v>-59.421</v>
      </c>
      <c r="BE251" s="27" t="n">
        <v>-58.898</v>
      </c>
      <c r="BF251" s="27" t="n">
        <v>-65.303</v>
      </c>
      <c r="BG251" s="27" t="n">
        <v>-243.013</v>
      </c>
      <c r="BH251" s="27" t="n">
        <v>-65.788</v>
      </c>
      <c r="BI251" s="27" t="n">
        <v>-65.352</v>
      </c>
      <c r="BJ251" s="27" t="n">
        <v>-65.675</v>
      </c>
      <c r="BK251" s="27" t="n">
        <v>-73.789</v>
      </c>
      <c r="BL251" s="27" t="n">
        <v>-270.604</v>
      </c>
      <c r="BM251" s="27" t="n">
        <v>-73.573</v>
      </c>
      <c r="BN251" s="27" t="n">
        <v>-73.698</v>
      </c>
      <c r="BO251" s="27" t="n">
        <v>-73.982</v>
      </c>
      <c r="BP251" s="27" t="n">
        <v>-81.005</v>
      </c>
      <c r="BQ251" s="27" t="n">
        <v>-302.258</v>
      </c>
      <c r="BR251" s="27" t="n">
        <v>-81.477</v>
      </c>
      <c r="BS251" s="27" t="n">
        <v>-81.473</v>
      </c>
      <c r="BT251" s="27" t="n">
        <v>-81</v>
      </c>
      <c r="BU251" s="27" t="n">
        <v>-89.857</v>
      </c>
      <c r="BV251" s="27" t="n">
        <v>-333.807</v>
      </c>
      <c r="BW251" s="27" t="n">
        <v>-88.746</v>
      </c>
      <c r="BX251" s="27" t="n">
        <v>-88.355</v>
      </c>
      <c r="BY251" s="28"/>
      <c r="BZ251" s="28"/>
      <c r="CA251" s="47" t="n">
        <f aca="false">(BW251+BX251)-(BY160*BY152+BZ160*BZ152)</f>
        <v>-362.421286673065</v>
      </c>
      <c r="CB251" s="47" t="n">
        <f aca="false">-CB160*CB301</f>
        <v>-394.426187670403</v>
      </c>
      <c r="CC251" s="47" t="n">
        <f aca="false">-CC160*CC301</f>
        <v>-423.694022969085</v>
      </c>
      <c r="CD251" s="47" t="n">
        <f aca="false">-CD160*CD301</f>
        <v>-453.962716289393</v>
      </c>
      <c r="CE251" s="47" t="n">
        <f aca="false">-CE160*CE301</f>
        <v>-485.328991598188</v>
      </c>
      <c r="CF251" s="21" t="s">
        <v>445</v>
      </c>
    </row>
    <row r="252" customFormat="false" ht="15" hidden="false" customHeight="true" outlineLevel="0" collapsed="false">
      <c r="B252" s="29" t="s">
        <v>446</v>
      </c>
      <c r="C252" s="27" t="n">
        <v>-100.245</v>
      </c>
      <c r="D252" s="27" t="n">
        <v>-110.329</v>
      </c>
      <c r="E252" s="27" t="n">
        <v>-31.527</v>
      </c>
      <c r="F252" s="27" t="n">
        <v>-62.624</v>
      </c>
      <c r="G252" s="27" t="n">
        <v>-166.32</v>
      </c>
      <c r="H252" s="27" t="n">
        <v>-116.817</v>
      </c>
      <c r="I252" s="27" t="n">
        <v>-18.597</v>
      </c>
      <c r="J252" s="25"/>
      <c r="K252" s="25"/>
      <c r="L252" s="25"/>
      <c r="M252" s="27" t="n">
        <v>0</v>
      </c>
      <c r="N252" s="27" t="n">
        <v>0</v>
      </c>
      <c r="O252" s="25"/>
      <c r="P252" s="25"/>
      <c r="Q252" s="25"/>
      <c r="R252" s="27" t="n">
        <v>-7.317</v>
      </c>
      <c r="S252" s="27" t="n">
        <v>-7.317</v>
      </c>
      <c r="T252" s="27" t="n">
        <v>-18.366</v>
      </c>
      <c r="U252" s="27" t="n">
        <v>-22.945</v>
      </c>
      <c r="V252" s="27" t="n">
        <v>-49.854</v>
      </c>
      <c r="W252" s="27" t="n">
        <v>0</v>
      </c>
      <c r="X252" s="27" t="n">
        <v>-91.165</v>
      </c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7" t="n">
        <v>-42.04</v>
      </c>
      <c r="AJ252" s="27" t="n">
        <v>0</v>
      </c>
      <c r="AK252" s="27" t="n">
        <v>0</v>
      </c>
      <c r="AL252" s="27" t="n">
        <v>-16.888</v>
      </c>
      <c r="AM252" s="27" t="n">
        <v>-58.928</v>
      </c>
      <c r="AN252" s="25"/>
      <c r="AO252" s="25"/>
      <c r="AP252" s="25"/>
      <c r="AQ252" s="25"/>
      <c r="AR252" s="25"/>
      <c r="AS252" s="27" t="n">
        <v>-105.654</v>
      </c>
      <c r="AT252" s="27" t="n">
        <v>0</v>
      </c>
      <c r="AU252" s="27" t="n">
        <v>0</v>
      </c>
      <c r="AV252" s="27" t="n">
        <v>0</v>
      </c>
      <c r="AW252" s="27" t="n">
        <v>-105.654</v>
      </c>
      <c r="AX252" s="27" t="n">
        <v>-65.999</v>
      </c>
      <c r="AY252" s="27" t="n">
        <v>-239.641</v>
      </c>
      <c r="AZ252" s="27" t="n">
        <v>0</v>
      </c>
      <c r="BA252" s="27" t="n">
        <v>-33.353</v>
      </c>
      <c r="BB252" s="27" t="n">
        <v>-338.993</v>
      </c>
      <c r="BC252" s="27" t="n">
        <v>-424.999</v>
      </c>
      <c r="BD252" s="27" t="n">
        <v>0</v>
      </c>
      <c r="BE252" s="27" t="n">
        <v>0</v>
      </c>
      <c r="BF252" s="27" t="n">
        <v>0</v>
      </c>
      <c r="BG252" s="27" t="n">
        <v>-424.999</v>
      </c>
      <c r="BH252" s="25"/>
      <c r="BI252" s="25"/>
      <c r="BJ252" s="25"/>
      <c r="BK252" s="27" t="n">
        <v>0</v>
      </c>
      <c r="BL252" s="27" t="n">
        <v>0</v>
      </c>
      <c r="BM252" s="25"/>
      <c r="BN252" s="25"/>
      <c r="BO252" s="25"/>
      <c r="BP252" s="27" t="n">
        <v>0</v>
      </c>
      <c r="BQ252" s="27" t="n">
        <v>0</v>
      </c>
      <c r="BR252" s="25"/>
      <c r="BS252" s="27" t="n">
        <v>-0.389</v>
      </c>
      <c r="BT252" s="27" t="n">
        <v>-441.787</v>
      </c>
      <c r="BU252" s="27" t="n">
        <v>-63.341</v>
      </c>
      <c r="BV252" s="27" t="n">
        <v>-505.517</v>
      </c>
      <c r="BW252" s="27" t="n">
        <v>-283.959</v>
      </c>
      <c r="BX252" s="27" t="n">
        <v>-330.548</v>
      </c>
      <c r="BY252" s="28"/>
      <c r="BZ252" s="28"/>
      <c r="CA252" s="47" t="n">
        <f aca="false">(BW252+BX252)-CHOOSE(MATCH($CF$2,{"Bull","Base","Bear"},0),$CO$24,$CP$24,$CQ$24)</f>
        <v>-1014.507</v>
      </c>
      <c r="CB252" s="47" t="n">
        <f aca="false">-CB390</f>
        <v>-1081.38206387148</v>
      </c>
      <c r="CC252" s="47" t="n">
        <f aca="false">-CC390</f>
        <v>-1253.88282220514</v>
      </c>
      <c r="CD252" s="47" t="n">
        <f aca="false">-CD390</f>
        <v>-1421.03398531039</v>
      </c>
      <c r="CE252" s="47" t="n">
        <f aca="false">-CE390</f>
        <v>-1549.63074228917</v>
      </c>
      <c r="CF252" s="21" t="s">
        <v>447</v>
      </c>
    </row>
    <row r="253" customFormat="false" ht="15" hidden="false" customHeight="true" outlineLevel="0" collapsed="false">
      <c r="B253" s="29" t="s">
        <v>448</v>
      </c>
      <c r="C253" s="27" t="n">
        <v>32.146</v>
      </c>
      <c r="D253" s="27" t="n">
        <v>35.62</v>
      </c>
      <c r="E253" s="27" t="n">
        <v>413.019</v>
      </c>
      <c r="F253" s="27" t="n">
        <v>12.84</v>
      </c>
      <c r="G253" s="27" t="n">
        <v>29.291</v>
      </c>
      <c r="H253" s="27" t="n">
        <v>-0.352</v>
      </c>
      <c r="I253" s="27" t="n">
        <v>367.579</v>
      </c>
      <c r="J253" s="27" t="n">
        <v>-4.519</v>
      </c>
      <c r="K253" s="27" t="n">
        <v>0.487</v>
      </c>
      <c r="L253" s="27" t="n">
        <v>0.845</v>
      </c>
      <c r="M253" s="27" t="n">
        <v>0.212</v>
      </c>
      <c r="N253" s="27" t="n">
        <v>-2.975</v>
      </c>
      <c r="O253" s="27" t="n">
        <v>-6.142</v>
      </c>
      <c r="P253" s="27" t="n">
        <v>2.371</v>
      </c>
      <c r="Q253" s="27" t="n">
        <v>-0.0670000000000002</v>
      </c>
      <c r="R253" s="27" t="n">
        <v>0.399</v>
      </c>
      <c r="S253" s="27" t="n">
        <v>-3.439</v>
      </c>
      <c r="T253" s="27" t="n">
        <v>-6.299</v>
      </c>
      <c r="U253" s="27" t="n">
        <v>0.357</v>
      </c>
      <c r="V253" s="27" t="n">
        <v>-0.00499999999999989</v>
      </c>
      <c r="W253" s="27" t="n">
        <v>0.0720000000000001</v>
      </c>
      <c r="X253" s="27" t="n">
        <v>-5.875</v>
      </c>
      <c r="Y253" s="27" t="n">
        <v>-9.632</v>
      </c>
      <c r="Z253" s="27" t="n">
        <v>6.719</v>
      </c>
      <c r="AA253" s="27" t="n">
        <v>6.793</v>
      </c>
      <c r="AB253" s="27" t="n">
        <v>4.493</v>
      </c>
      <c r="AC253" s="27" t="n">
        <v>8.373</v>
      </c>
      <c r="AD253" s="27" t="n">
        <v>-8.715</v>
      </c>
      <c r="AE253" s="27" t="n">
        <v>4.775</v>
      </c>
      <c r="AF253" s="27" t="n">
        <v>0.836000000000001</v>
      </c>
      <c r="AG253" s="27" t="n">
        <v>1.87</v>
      </c>
      <c r="AH253" s="27" t="n">
        <v>-1.234</v>
      </c>
      <c r="AI253" s="27" t="n">
        <v>-12.174</v>
      </c>
      <c r="AJ253" s="27" t="n">
        <v>-0.269000000000002</v>
      </c>
      <c r="AK253" s="27" t="n">
        <v>-0.151999999999999</v>
      </c>
      <c r="AL253" s="27" t="n">
        <v>0.23</v>
      </c>
      <c r="AM253" s="27" t="n">
        <v>-12.365</v>
      </c>
      <c r="AN253" s="27" t="n">
        <v>-13.363</v>
      </c>
      <c r="AO253" s="27" t="n">
        <v>-0.206</v>
      </c>
      <c r="AP253" s="27" t="n">
        <v>0.0129999999999999</v>
      </c>
      <c r="AQ253" s="27" t="n">
        <v>-0.0680000000000014</v>
      </c>
      <c r="AR253" s="27" t="n">
        <v>-13.624</v>
      </c>
      <c r="AS253" s="27" t="n">
        <v>-22.411</v>
      </c>
      <c r="AT253" s="27" t="n">
        <v>-0.201000000000001</v>
      </c>
      <c r="AU253" s="27" t="n">
        <v>-0.0990000000000002</v>
      </c>
      <c r="AV253" s="27" t="n">
        <v>-0.0560000000000009</v>
      </c>
      <c r="AW253" s="27" t="n">
        <v>-22.767</v>
      </c>
      <c r="AX253" s="27" t="n">
        <v>-18.359</v>
      </c>
      <c r="AY253" s="27" t="n">
        <v>-0.0200000000000031</v>
      </c>
      <c r="AZ253" s="27" t="n">
        <v>1.209</v>
      </c>
      <c r="BA253" s="27" t="n">
        <v>0.216000000000001</v>
      </c>
      <c r="BB253" s="27" t="n">
        <v>-16.954</v>
      </c>
      <c r="BC253" s="27" t="n">
        <v>-15.377</v>
      </c>
      <c r="BD253" s="27" t="n">
        <v>0.325000000000003</v>
      </c>
      <c r="BE253" s="27" t="n">
        <v>1.517</v>
      </c>
      <c r="BF253" s="27" t="n">
        <v>-0.892999999999999</v>
      </c>
      <c r="BG253" s="27" t="n">
        <v>-14.428</v>
      </c>
      <c r="BH253" s="27" t="n">
        <v>-20.36</v>
      </c>
      <c r="BI253" s="27" t="n">
        <v>-5.709</v>
      </c>
      <c r="BJ253" s="27" t="n">
        <v>1.327</v>
      </c>
      <c r="BK253" s="27" t="n">
        <v>-1.564</v>
      </c>
      <c r="BL253" s="27" t="n">
        <v>-26.306</v>
      </c>
      <c r="BM253" s="27" t="n">
        <v>-28.381</v>
      </c>
      <c r="BN253" s="27" t="n">
        <v>-0.413999999999998</v>
      </c>
      <c r="BO253" s="27" t="n">
        <v>2.276</v>
      </c>
      <c r="BP253" s="27" t="n">
        <v>0.0910000000000046</v>
      </c>
      <c r="BQ253" s="27" t="n">
        <v>-26.428</v>
      </c>
      <c r="BR253" s="27" t="n">
        <v>-26.064</v>
      </c>
      <c r="BS253" s="27" t="n">
        <v>-1.953</v>
      </c>
      <c r="BT253" s="27" t="n">
        <v>2.499</v>
      </c>
      <c r="BU253" s="27" t="n">
        <v>-0.504000000000001</v>
      </c>
      <c r="BV253" s="27" t="n">
        <v>-26.022</v>
      </c>
      <c r="BW253" s="27" t="n">
        <v>-21.484</v>
      </c>
      <c r="BX253" s="27" t="n">
        <v>-0.469999999999999</v>
      </c>
      <c r="BY253" s="28"/>
      <c r="BZ253" s="28"/>
      <c r="CA253" s="47" t="n">
        <f aca="false">(BW253+BX253)</f>
        <v>-21.954</v>
      </c>
      <c r="CB253" s="57" t="n">
        <v>-25</v>
      </c>
      <c r="CC253" s="57" t="n">
        <v>-25</v>
      </c>
      <c r="CD253" s="57" t="n">
        <v>-25</v>
      </c>
      <c r="CE253" s="57" t="n">
        <v>-25</v>
      </c>
      <c r="CF253" s="21"/>
    </row>
    <row r="254" customFormat="false" ht="15" hidden="false" customHeight="true" outlineLevel="0" collapsed="false">
      <c r="B254" s="29" t="s">
        <v>449</v>
      </c>
      <c r="C254" s="27" t="n">
        <v>7.728</v>
      </c>
      <c r="D254" s="27" t="n">
        <v>14.137</v>
      </c>
      <c r="E254" s="27" t="n">
        <v>6.441</v>
      </c>
      <c r="F254" s="27" t="n">
        <v>4.054</v>
      </c>
      <c r="G254" s="27" t="n">
        <v>11.997</v>
      </c>
      <c r="H254" s="27" t="n">
        <v>4.763</v>
      </c>
      <c r="I254" s="27" t="n">
        <v>5.033</v>
      </c>
      <c r="J254" s="27" t="n">
        <v>2.098</v>
      </c>
      <c r="K254" s="27" t="n">
        <v>0.569</v>
      </c>
      <c r="L254" s="27" t="n">
        <v>0.872</v>
      </c>
      <c r="M254" s="27" t="n">
        <v>0.226</v>
      </c>
      <c r="N254" s="27" t="n">
        <v>3.765</v>
      </c>
      <c r="O254" s="27" t="n">
        <v>5.06</v>
      </c>
      <c r="P254" s="27" t="n">
        <v>2.036</v>
      </c>
      <c r="Q254" s="27" t="n">
        <v>0.0809999999999995</v>
      </c>
      <c r="R254" s="27" t="n">
        <v>0.341</v>
      </c>
      <c r="S254" s="27" t="n">
        <v>7.518</v>
      </c>
      <c r="T254" s="27" t="n">
        <v>1.479</v>
      </c>
      <c r="U254" s="27" t="n">
        <v>0.371</v>
      </c>
      <c r="V254" s="27" t="n">
        <v>0.136</v>
      </c>
      <c r="W254" s="27" t="n">
        <v>0.083</v>
      </c>
      <c r="X254" s="27" t="n">
        <v>2.069</v>
      </c>
      <c r="Y254" s="27" t="n">
        <v>4.434</v>
      </c>
      <c r="Z254" s="27" t="n">
        <v>0.581</v>
      </c>
      <c r="AA254" s="27" t="n">
        <v>0.136</v>
      </c>
      <c r="AB254" s="27" t="n">
        <v>0.0449999999999999</v>
      </c>
      <c r="AC254" s="27" t="n">
        <v>5.196</v>
      </c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8"/>
      <c r="BZ254" s="28"/>
      <c r="CA254" s="28"/>
      <c r="CB254" s="28"/>
      <c r="CC254" s="28"/>
      <c r="CD254" s="28"/>
      <c r="CE254" s="28"/>
      <c r="CF254" s="21"/>
    </row>
    <row r="255" customFormat="false" ht="15" hidden="false" customHeight="true" outlineLevel="0" collapsed="false">
      <c r="B255" s="29" t="s">
        <v>450</v>
      </c>
      <c r="C255" s="27" t="n">
        <v>-11.27</v>
      </c>
      <c r="D255" s="27" t="n">
        <v>-12.642</v>
      </c>
      <c r="E255" s="27" t="n">
        <v>-8.232</v>
      </c>
      <c r="F255" s="27" t="n">
        <v>0</v>
      </c>
      <c r="G255" s="25"/>
      <c r="H255" s="27" t="n">
        <v>-0.675</v>
      </c>
      <c r="I255" s="27" t="n">
        <v>-0.198</v>
      </c>
      <c r="J255" s="27" t="n">
        <v>-0.198</v>
      </c>
      <c r="K255" s="27" t="n">
        <v>0</v>
      </c>
      <c r="L255" s="27" t="n">
        <v>0</v>
      </c>
      <c r="M255" s="27" t="n">
        <v>0</v>
      </c>
      <c r="N255" s="27" t="n">
        <v>-0.198</v>
      </c>
      <c r="O255" s="27" t="n">
        <v>-0.371</v>
      </c>
      <c r="P255" s="27" t="n">
        <v>0</v>
      </c>
      <c r="Q255" s="27" t="n">
        <v>0</v>
      </c>
      <c r="R255" s="27" t="n">
        <v>0</v>
      </c>
      <c r="S255" s="27" t="n">
        <v>-0.371</v>
      </c>
      <c r="T255" s="27" t="n">
        <v>-0.043</v>
      </c>
      <c r="U255" s="27" t="n">
        <v>0</v>
      </c>
      <c r="V255" s="27" t="n">
        <v>0</v>
      </c>
      <c r="W255" s="27" t="n">
        <v>0.000999999999999994</v>
      </c>
      <c r="X255" s="27" t="n">
        <v>-0.042</v>
      </c>
      <c r="Y255" s="27" t="n">
        <v>-0.004</v>
      </c>
      <c r="Z255" s="27" t="n">
        <v>0.001</v>
      </c>
      <c r="AA255" s="27" t="n">
        <v>0</v>
      </c>
      <c r="AB255" s="27" t="n">
        <v>0</v>
      </c>
      <c r="AC255" s="27" t="n">
        <v>-0.003</v>
      </c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8"/>
      <c r="BZ255" s="28"/>
      <c r="CA255" s="47" t="n">
        <f aca="false">(BW255+BX255)</f>
        <v>0</v>
      </c>
      <c r="CB255" s="57" t="n">
        <v>0</v>
      </c>
      <c r="CC255" s="57" t="n">
        <v>0</v>
      </c>
      <c r="CD255" s="57" t="n">
        <v>0</v>
      </c>
      <c r="CE255" s="57" t="n">
        <v>0</v>
      </c>
      <c r="CF255" s="21"/>
    </row>
    <row r="256" customFormat="false" ht="15" hidden="false" customHeight="true" outlineLevel="0" collapsed="false">
      <c r="B256" s="29" t="s">
        <v>451</v>
      </c>
      <c r="C256" s="26" t="n">
        <f aca="false">C257-N(C248)-N(C249)-N(C250)-N(C251)-N(C252)-N(C253)-N(C254)-N(C255)</f>
        <v>-6.61300000000005</v>
      </c>
      <c r="D256" s="26" t="n">
        <f aca="false">D257-N(D248)-N(D249)-N(D250)-N(D251)-N(D252)-N(D253)-N(D254)-N(D255)</f>
        <v>-1.12500000000003</v>
      </c>
      <c r="E256" s="26" t="n">
        <f aca="false">E257-N(E248)-N(E249)-N(E250)-N(E251)-N(E252)-N(E253)-N(E254)-N(E255)</f>
        <v>-1.12300000000004</v>
      </c>
      <c r="F256" s="26" t="n">
        <f aca="false">F257-N(F248)-N(F249)-N(F250)-N(F251)-N(F252)-N(F253)-N(F254)-N(F255)</f>
        <v>2.36300000000001</v>
      </c>
      <c r="G256" s="26" t="n">
        <f aca="false">G257-N(G248)-N(G249)-N(G250)-N(G251)-N(G252)-N(G253)-N(G254)-N(G255)</f>
        <v>9.59232693276135E-014</v>
      </c>
      <c r="H256" s="26" t="n">
        <f aca="false">H257-N(H248)-N(H249)-N(H250)-N(H251)-N(H252)-N(H253)-N(H254)-N(H255)</f>
        <v>-6.64899999999997</v>
      </c>
      <c r="I256" s="26" t="n">
        <f aca="false">I257-N(I248)-N(I249)-N(I250)-N(I251)-N(I252)-N(I253)-N(I254)-N(I255)</f>
        <v>-19.6470000000001</v>
      </c>
      <c r="J256" s="26" t="n">
        <f aca="false">J257-N(J248)-N(J249)-N(J250)-N(J251)-N(J252)-N(J253)-N(J254)-N(J255)</f>
        <v>-0.252999999999984</v>
      </c>
      <c r="K256" s="26" t="n">
        <f aca="false">K257-N(K248)-N(K249)-N(K250)-N(K251)-N(K252)-N(K253)-N(K254)-N(K255)</f>
        <v>-4.41000000000002</v>
      </c>
      <c r="L256" s="26" t="n">
        <f aca="false">L257-N(L248)-N(L249)-N(L250)-N(L251)-N(L252)-N(L253)-N(L254)-N(L255)</f>
        <v>-20.8540000000001</v>
      </c>
      <c r="M256" s="26" t="n">
        <f aca="false">M257-N(M248)-N(M249)-N(M250)-N(M251)-N(M252)-N(M253)-N(M254)-N(M255)</f>
        <v>-0.458999999999974</v>
      </c>
      <c r="N256" s="26" t="n">
        <f aca="false">N257-N(N248)-N(N249)-N(N250)-N(N251)-N(N252)-N(N253)-N(N254)-N(N255)</f>
        <v>-25.9760000000001</v>
      </c>
      <c r="O256" s="26" t="n">
        <f aca="false">O257-N(O248)-N(O249)-N(O250)-N(O251)-N(O252)-N(O253)-N(O254)-N(O255)</f>
        <v>-0.506000000000002</v>
      </c>
      <c r="P256" s="26" t="n">
        <f aca="false">P257-N(P248)-N(P249)-N(P250)-N(P251)-N(P252)-N(P253)-N(P254)-N(P255)</f>
        <v>-0.161</v>
      </c>
      <c r="Q256" s="26" t="n">
        <f aca="false">Q257-N(Q248)-N(Q249)-N(Q250)-N(Q251)-N(Q252)-N(Q253)-N(Q254)-N(Q255)</f>
        <v>-0.0359999999999996</v>
      </c>
      <c r="R256" s="26" t="n">
        <f aca="false">R257-N(R248)-N(R249)-N(R250)-N(R251)-N(R252)-N(R253)-N(R254)-N(R255)</f>
        <v>-24.412</v>
      </c>
      <c r="S256" s="26" t="n">
        <f aca="false">S257-N(S248)-N(S249)-N(S250)-N(S251)-N(S252)-N(S253)-N(S254)-N(S255)</f>
        <v>-25.115</v>
      </c>
      <c r="T256" s="26" t="n">
        <f aca="false">T257-N(T248)-N(T249)-N(T250)-N(T251)-N(T252)-N(T253)-N(T254)-N(T255)</f>
        <v>-3.03200000000002</v>
      </c>
      <c r="U256" s="26" t="n">
        <f aca="false">U257-N(U248)-N(U249)-N(U250)-N(U251)-N(U252)-N(U253)-N(U254)-N(U255)</f>
        <v>-0.277999999999994</v>
      </c>
      <c r="V256" s="26" t="n">
        <f aca="false">V257-N(V248)-N(V249)-N(V250)-N(V251)-N(V252)-N(V253)-N(V254)-N(V255)</f>
        <v>-3.53099999999989</v>
      </c>
      <c r="W256" s="26" t="n">
        <f aca="false">W257-N(W248)-N(W249)-N(W250)-N(W251)-N(W252)-N(W253)-N(W254)-N(W255)</f>
        <v>-2.2160000000001</v>
      </c>
      <c r="X256" s="26" t="n">
        <f aca="false">X257-N(X248)-N(X249)-N(X250)-N(X251)-N(X252)-N(X253)-N(X254)-N(X255)</f>
        <v>-9.05700000000011</v>
      </c>
      <c r="Y256" s="26" t="n">
        <f aca="false">Y257-N(Y248)-N(Y249)-N(Y250)-N(Y251)-N(Y252)-N(Y253)-N(Y254)-N(Y255)</f>
        <v>-2.21699999999999</v>
      </c>
      <c r="Z256" s="26" t="n">
        <f aca="false">Z257-N(Z248)-N(Z249)-N(Z250)-N(Z251)-N(Z252)-N(Z253)-N(Z254)-N(Z255)</f>
        <v>-14.8329999999997</v>
      </c>
      <c r="AA256" s="26" t="n">
        <f aca="false">AA257-N(AA248)-N(AA249)-N(AA250)-N(AA251)-N(AA252)-N(AA253)-N(AA254)-N(AA255)</f>
        <v>-8.56300000000016</v>
      </c>
      <c r="AB256" s="26" t="n">
        <f aca="false">AB257-N(AB248)-N(AB249)-N(AB250)-N(AB251)-N(AB252)-N(AB253)-N(AB254)-N(AB255)</f>
        <v>-4.21500000000042</v>
      </c>
      <c r="AC256" s="26" t="n">
        <f aca="false">AC257-N(AC248)-N(AC249)-N(AC250)-N(AC251)-N(AC252)-N(AC253)-N(AC254)-N(AC255)</f>
        <v>-29.8280000000005</v>
      </c>
      <c r="AD256" s="26" t="n">
        <f aca="false">AD257-N(AD248)-N(AD249)-N(AD250)-N(AD251)-N(AD252)-N(AD253)-N(AD254)-N(AD255)</f>
        <v>-5.92300000000003</v>
      </c>
      <c r="AE256" s="26" t="n">
        <f aca="false">AE257-N(AE248)-N(AE249)-N(AE250)-N(AE251)-N(AE252)-N(AE253)-N(AE254)-N(AE255)</f>
        <v>-4.25500000000003</v>
      </c>
      <c r="AF256" s="26" t="n">
        <f aca="false">AF257-N(AF248)-N(AF249)-N(AF250)-N(AF251)-N(AF252)-N(AF253)-N(AF254)-N(AF255)</f>
        <v>-0.394999999999917</v>
      </c>
      <c r="AG256" s="26" t="n">
        <f aca="false">AG257-N(AG248)-N(AG249)-N(AG250)-N(AG251)-N(AG252)-N(AG253)-N(AG254)-N(AG255)</f>
        <v>-11.3470000000001</v>
      </c>
      <c r="AH256" s="26" t="n">
        <f aca="false">AH257-N(AH248)-N(AH249)-N(AH250)-N(AH251)-N(AH252)-N(AH253)-N(AH254)-N(AH255)</f>
        <v>-21.92</v>
      </c>
      <c r="AI256" s="26" t="n">
        <f aca="false">AI257-N(AI248)-N(AI249)-N(AI250)-N(AI251)-N(AI252)-N(AI253)-N(AI254)-N(AI255)</f>
        <v>-4.496</v>
      </c>
      <c r="AJ256" s="26" t="n">
        <f aca="false">AJ257-N(AJ248)-N(AJ249)-N(AJ250)-N(AJ251)-N(AJ252)-N(AJ253)-N(AJ254)-N(AJ255)</f>
        <v>-3.34</v>
      </c>
      <c r="AK256" s="26" t="n">
        <f aca="false">AK257-N(AK248)-N(AK249)-N(AK250)-N(AK251)-N(AK252)-N(AK253)-N(AK254)-N(AK255)</f>
        <v>-0.565000000000064</v>
      </c>
      <c r="AL256" s="26" t="n">
        <f aca="false">AL257-N(AL248)-N(AL249)-N(AL250)-N(AL251)-N(AL252)-N(AL253)-N(AL254)-N(AL255)</f>
        <v>-6.4589999999999</v>
      </c>
      <c r="AM256" s="26" t="n">
        <f aca="false">AM257-N(AM248)-N(AM249)-N(AM250)-N(AM251)-N(AM252)-N(AM253)-N(AM254)-N(AM255)</f>
        <v>-14.86</v>
      </c>
      <c r="AN256" s="26" t="n">
        <f aca="false">AN257-N(AN248)-N(AN249)-N(AN250)-N(AN251)-N(AN252)-N(AN253)-N(AN254)-N(AN255)</f>
        <v>-0.274999999999999</v>
      </c>
      <c r="AO256" s="26" t="n">
        <f aca="false">AO257-N(AO248)-N(AO249)-N(AO250)-N(AO251)-N(AO252)-N(AO253)-N(AO254)-N(AO255)</f>
        <v>-6.23000000000001</v>
      </c>
      <c r="AP256" s="26" t="n">
        <f aca="false">AP257-N(AP248)-N(AP249)-N(AP250)-N(AP251)-N(AP252)-N(AP253)-N(AP254)-N(AP255)</f>
        <v>-1.17099999999992</v>
      </c>
      <c r="AQ256" s="26" t="n">
        <f aca="false">AQ257-N(AQ248)-N(AQ249)-N(AQ250)-N(AQ251)-N(AQ252)-N(AQ253)-N(AQ254)-N(AQ255)</f>
        <v>-2.04700000000013</v>
      </c>
      <c r="AR256" s="26" t="n">
        <f aca="false">AR257-N(AR248)-N(AR249)-N(AR250)-N(AR251)-N(AR252)-N(AR253)-N(AR254)-N(AR255)</f>
        <v>-9.72300000000007</v>
      </c>
      <c r="AS256" s="26" t="n">
        <f aca="false">AS257-N(AS248)-N(AS249)-N(AS250)-N(AS251)-N(AS252)-N(AS253)-N(AS254)-N(AS255)</f>
        <v>-12.9119999999998</v>
      </c>
      <c r="AT256" s="26" t="n">
        <f aca="false">AT257-N(AT248)-N(AT249)-N(AT250)-N(AT251)-N(AT252)-N(AT253)-N(AT254)-N(AT255)</f>
        <v>-0.296000000000099</v>
      </c>
      <c r="AU256" s="26" t="n">
        <f aca="false">AU257-N(AU248)-N(AU249)-N(AU250)-N(AU251)-N(AU252)-N(AU253)-N(AU254)-N(AU255)</f>
        <v>-0.720999999999872</v>
      </c>
      <c r="AV256" s="26" t="n">
        <f aca="false">AV257-N(AV248)-N(AV249)-N(AV250)-N(AV251)-N(AV252)-N(AV253)-N(AV254)-N(AV255)</f>
        <v>-9.75399999999997</v>
      </c>
      <c r="AW256" s="26" t="n">
        <f aca="false">AW257-N(AW248)-N(AW249)-N(AW250)-N(AW251)-N(AW252)-N(AW253)-N(AW254)-N(AW255)</f>
        <v>-23.6829999999998</v>
      </c>
      <c r="AX256" s="26" t="n">
        <f aca="false">AX257-N(AX248)-N(AX249)-N(AX250)-N(AX251)-N(AX252)-N(AX253)-N(AX254)-N(AX255)</f>
        <v>-4.80700000000002</v>
      </c>
      <c r="AY256" s="26" t="n">
        <f aca="false">AY257-N(AY248)-N(AY249)-N(AY250)-N(AY251)-N(AY252)-N(AY253)-N(AY254)-N(AY255)</f>
        <v>-0.788000000000018</v>
      </c>
      <c r="AZ256" s="26" t="n">
        <f aca="false">AZ257-N(AZ248)-N(AZ249)-N(AZ250)-N(AZ251)-N(AZ252)-N(AZ253)-N(AZ254)-N(AZ255)</f>
        <v>-131.017</v>
      </c>
      <c r="BA256" s="26" t="n">
        <f aca="false">BA257-N(BA248)-N(BA249)-N(BA250)-N(BA251)-N(BA252)-N(BA253)-N(BA254)-N(BA255)</f>
        <v>-5.46000000000034</v>
      </c>
      <c r="BB256" s="26" t="n">
        <f aca="false">BB257-N(BB248)-N(BB249)-N(BB250)-N(BB251)-N(BB252)-N(BB253)-N(BB254)-N(BB255)</f>
        <v>-142.072</v>
      </c>
      <c r="BC256" s="26" t="n">
        <f aca="false">BC257-N(BC248)-N(BC249)-N(BC250)-N(BC251)-N(BC252)-N(BC253)-N(BC254)-N(BC255)</f>
        <v>-7.95299999999998</v>
      </c>
      <c r="BD256" s="26" t="n">
        <f aca="false">BD257-N(BD248)-N(BD249)-N(BD250)-N(BD251)-N(BD252)-N(BD253)-N(BD254)-N(BD255)</f>
        <v>-5.61300000000002</v>
      </c>
      <c r="BE256" s="26" t="n">
        <f aca="false">BE257-N(BE248)-N(BE249)-N(BE250)-N(BE251)-N(BE252)-N(BE253)-N(BE254)-N(BE255)</f>
        <v>-10.0020000000001</v>
      </c>
      <c r="BF256" s="26" t="n">
        <f aca="false">BF257-N(BF248)-N(BF249)-N(BF250)-N(BF251)-N(BF252)-N(BF253)-N(BF254)-N(BF255)</f>
        <v>-6.61399999999991</v>
      </c>
      <c r="BG256" s="26" t="n">
        <f aca="false">BG257-N(BG248)-N(BG249)-N(BG250)-N(BG251)-N(BG252)-N(BG253)-N(BG254)-N(BG255)</f>
        <v>-30.1819999999998</v>
      </c>
      <c r="BH256" s="26" t="n">
        <f aca="false">BH257-N(BH248)-N(BH249)-N(BH250)-N(BH251)-N(BH252)-N(BH253)-N(BH254)-N(BH255)</f>
        <v>-1.319</v>
      </c>
      <c r="BI256" s="26" t="n">
        <f aca="false">BI257-N(BI248)-N(BI249)-N(BI250)-N(BI251)-N(BI252)-N(BI253)-N(BI254)-N(BI255)</f>
        <v>-0.874000000000098</v>
      </c>
      <c r="BJ256" s="26" t="n">
        <f aca="false">BJ257-N(BJ248)-N(BJ249)-N(BJ250)-N(BJ251)-N(BJ252)-N(BJ253)-N(BJ254)-N(BJ255)</f>
        <v>-2.06199999999997</v>
      </c>
      <c r="BK256" s="26" t="n">
        <f aca="false">BK257-N(BK248)-N(BK249)-N(BK250)-N(BK251)-N(BK252)-N(BK253)-N(BK254)-N(BK255)</f>
        <v>-9.06200000000022</v>
      </c>
      <c r="BL256" s="26" t="n">
        <f aca="false">BL257-N(BL248)-N(BL249)-N(BL250)-N(BL251)-N(BL252)-N(BL253)-N(BL254)-N(BL255)</f>
        <v>-13.3170000000003</v>
      </c>
      <c r="BM256" s="26" t="n">
        <f aca="false">BM257-N(BM248)-N(BM249)-N(BM250)-N(BM251)-N(BM252)-N(BM253)-N(BM254)-N(BM255)</f>
        <v>-21.3880000000001</v>
      </c>
      <c r="BN256" s="26" t="n">
        <f aca="false">BN257-N(BN248)-N(BN249)-N(BN250)-N(BN251)-N(BN252)-N(BN253)-N(BN254)-N(BN255)</f>
        <v>-7.66500000000018</v>
      </c>
      <c r="BO256" s="26" t="n">
        <f aca="false">BO257-N(BO248)-N(BO249)-N(BO250)-N(BO251)-N(BO252)-N(BO253)-N(BO254)-N(BO255)</f>
        <v>-15.0210000000001</v>
      </c>
      <c r="BP256" s="26" t="n">
        <f aca="false">BP257-N(BP248)-N(BP249)-N(BP250)-N(BP251)-N(BP252)-N(BP253)-N(BP254)-N(BP255)</f>
        <v>-1.11799999999993</v>
      </c>
      <c r="BQ256" s="26" t="n">
        <f aca="false">BQ257-N(BQ248)-N(BQ249)-N(BQ250)-N(BQ251)-N(BQ252)-N(BQ253)-N(BQ254)-N(BQ255)</f>
        <v>-45.1920000000001</v>
      </c>
      <c r="BR256" s="26" t="n">
        <f aca="false">BR257-N(BR248)-N(BR249)-N(BR250)-N(BR251)-N(BR252)-N(BR253)-N(BR254)-N(BR255)</f>
        <v>-20.137</v>
      </c>
      <c r="BS256" s="26" t="n">
        <f aca="false">BS257-N(BS248)-N(BS249)-N(BS250)-N(BS251)-N(BS252)-N(BS253)-N(BS254)-N(BS255)</f>
        <v>-6.19099999999993</v>
      </c>
      <c r="BT256" s="26" t="n">
        <f aca="false">BT257-N(BT248)-N(BT249)-N(BT250)-N(BT251)-N(BT252)-N(BT253)-N(BT254)-N(BT255)</f>
        <v>-6.82100000000029</v>
      </c>
      <c r="BU256" s="26" t="n">
        <f aca="false">BU257-N(BU248)-N(BU249)-N(BU250)-N(BU251)-N(BU252)-N(BU253)-N(BU254)-N(BU255)</f>
        <v>-5.98399999999954</v>
      </c>
      <c r="BV256" s="26" t="n">
        <f aca="false">BV257-N(BV248)-N(BV249)-N(BV250)-N(BV251)-N(BV252)-N(BV253)-N(BV254)-N(BV255)</f>
        <v>-39.133</v>
      </c>
      <c r="BW256" s="26" t="n">
        <f aca="false">BW257-N(BW248)-N(BW249)-N(BW250)-N(BW251)-N(BW252)-N(BW253)-N(BW254)-N(BW255)</f>
        <v>-8.11600000000002</v>
      </c>
      <c r="BX256" s="26" t="n">
        <f aca="false">BX257-N(BX248)-N(BX249)-N(BX250)-N(BX251)-N(BX252)-N(BX253)-N(BX254)-N(BX255)</f>
        <v>-2.26700000000008</v>
      </c>
      <c r="BY256" s="28"/>
      <c r="BZ256" s="28"/>
      <c r="CA256" s="47" t="n">
        <f aca="false">(BW256+BX256)</f>
        <v>-10.3830000000001</v>
      </c>
      <c r="CB256" s="57" t="n">
        <v>0</v>
      </c>
      <c r="CC256" s="57" t="n">
        <v>0</v>
      </c>
      <c r="CD256" s="57" t="n">
        <v>0</v>
      </c>
      <c r="CE256" s="57" t="n">
        <v>0</v>
      </c>
      <c r="CF256" s="21"/>
    </row>
    <row r="257" customFormat="false" ht="15" hidden="false" customHeight="true" outlineLevel="0" collapsed="false">
      <c r="B257" s="18" t="s">
        <v>452</v>
      </c>
      <c r="C257" s="19" t="n">
        <v>-42.249</v>
      </c>
      <c r="D257" s="19" t="n">
        <v>-8.111</v>
      </c>
      <c r="E257" s="19" t="n">
        <v>452.204</v>
      </c>
      <c r="F257" s="19" t="n">
        <v>-11.035</v>
      </c>
      <c r="G257" s="19" t="n">
        <v>-117.721</v>
      </c>
      <c r="H257" s="19" t="n">
        <v>15.105</v>
      </c>
      <c r="I257" s="19" t="n">
        <v>1328.089</v>
      </c>
      <c r="J257" s="19" t="n">
        <v>-122.782</v>
      </c>
      <c r="K257" s="19" t="n">
        <v>-71.42</v>
      </c>
      <c r="L257" s="19" t="n">
        <v>-74.356</v>
      </c>
      <c r="M257" s="19" t="n">
        <v>25.891</v>
      </c>
      <c r="N257" s="19" t="n">
        <v>-242.667</v>
      </c>
      <c r="O257" s="19" t="n">
        <v>-80.167</v>
      </c>
      <c r="P257" s="19" t="n">
        <v>-83.706</v>
      </c>
      <c r="Q257" s="19" t="n">
        <v>-57.573</v>
      </c>
      <c r="R257" s="19" t="n">
        <v>40.396</v>
      </c>
      <c r="S257" s="19" t="n">
        <v>-181.05</v>
      </c>
      <c r="T257" s="19" t="n">
        <v>-29.016</v>
      </c>
      <c r="U257" s="19" t="n">
        <v>-97.19</v>
      </c>
      <c r="V257" s="19" t="n">
        <v>-50.925</v>
      </c>
      <c r="W257" s="19" t="n">
        <v>67.287</v>
      </c>
      <c r="X257" s="19" t="n">
        <v>-109.844</v>
      </c>
      <c r="Y257" s="19" t="n">
        <v>-107.385</v>
      </c>
      <c r="Z257" s="19" t="n">
        <v>-49.482</v>
      </c>
      <c r="AA257" s="19" t="n">
        <v>-120.073</v>
      </c>
      <c r="AB257" s="19" t="n">
        <v>-77.929</v>
      </c>
      <c r="AC257" s="19" t="n">
        <v>-354.869</v>
      </c>
      <c r="AD257" s="19" t="n">
        <v>239.414</v>
      </c>
      <c r="AE257" s="19" t="n">
        <v>-18.326</v>
      </c>
      <c r="AF257" s="19" t="n">
        <v>-85.929</v>
      </c>
      <c r="AG257" s="19" t="n">
        <v>-78.399</v>
      </c>
      <c r="AH257" s="19" t="n">
        <v>56.76</v>
      </c>
      <c r="AI257" s="19" t="n">
        <v>-167.006</v>
      </c>
      <c r="AJ257" s="19" t="n">
        <v>-142.43</v>
      </c>
      <c r="AK257" s="19" t="n">
        <v>-86.253</v>
      </c>
      <c r="AL257" s="19" t="n">
        <v>208.111</v>
      </c>
      <c r="AM257" s="19" t="n">
        <v>-187.578</v>
      </c>
      <c r="AN257" s="19" t="n">
        <v>-55.203</v>
      </c>
      <c r="AO257" s="19" t="n">
        <v>-168.055</v>
      </c>
      <c r="AP257" s="19" t="n">
        <v>-84.781</v>
      </c>
      <c r="AQ257" s="19" t="n">
        <v>212.145</v>
      </c>
      <c r="AR257" s="19" t="n">
        <v>-95.894</v>
      </c>
      <c r="AS257" s="19" t="n">
        <v>627.389</v>
      </c>
      <c r="AT257" s="19" t="n">
        <v>-559.874</v>
      </c>
      <c r="AU257" s="19" t="n">
        <v>-71.608</v>
      </c>
      <c r="AV257" s="19" t="n">
        <v>-74.131</v>
      </c>
      <c r="AW257" s="19" t="n">
        <v>-78.224</v>
      </c>
      <c r="AX257" s="19" t="n">
        <v>-165.482</v>
      </c>
      <c r="AY257" s="19" t="n">
        <v>-227.702</v>
      </c>
      <c r="AZ257" s="19" t="n">
        <v>-98.397</v>
      </c>
      <c r="BA257" s="19" t="n">
        <v>-7.91499999999996</v>
      </c>
      <c r="BB257" s="19" t="n">
        <v>-499.496</v>
      </c>
      <c r="BC257" s="19" t="n">
        <v>292.058</v>
      </c>
      <c r="BD257" s="19" t="n">
        <v>-266.916</v>
      </c>
      <c r="BE257" s="19" t="n">
        <v>425.275</v>
      </c>
      <c r="BF257" s="19" t="n">
        <v>578.046</v>
      </c>
      <c r="BG257" s="19" t="n">
        <v>1028.463</v>
      </c>
      <c r="BH257" s="19" t="n">
        <v>-65.424</v>
      </c>
      <c r="BI257" s="19" t="n">
        <v>-323.85</v>
      </c>
      <c r="BJ257" s="19" t="n">
        <v>22.738</v>
      </c>
      <c r="BK257" s="19" t="n">
        <v>-177.869</v>
      </c>
      <c r="BL257" s="19" t="n">
        <v>-544.405</v>
      </c>
      <c r="BM257" s="19" t="n">
        <v>878.477</v>
      </c>
      <c r="BN257" s="19" t="n">
        <v>-176.596</v>
      </c>
      <c r="BO257" s="19" t="n">
        <v>338.476</v>
      </c>
      <c r="BP257" s="19" t="n">
        <v>-95.4119999999999</v>
      </c>
      <c r="BQ257" s="19" t="n">
        <v>944.945</v>
      </c>
      <c r="BR257" s="19" t="n">
        <v>113.379</v>
      </c>
      <c r="BS257" s="19" t="n">
        <v>-205.857</v>
      </c>
      <c r="BT257" s="19" t="n">
        <v>-239.014</v>
      </c>
      <c r="BU257" s="19" t="n">
        <v>-28.549</v>
      </c>
      <c r="BV257" s="19" t="n">
        <v>-360.041</v>
      </c>
      <c r="BW257" s="19" t="n">
        <v>-96.141</v>
      </c>
      <c r="BX257" s="19" t="n">
        <v>-186.39</v>
      </c>
      <c r="BY257" s="51"/>
      <c r="BZ257" s="51"/>
      <c r="CA257" s="20" t="n">
        <f aca="false">SUM(CA248:CA256)</f>
        <v>-969.172</v>
      </c>
      <c r="CB257" s="20" t="n">
        <f aca="false">SUM(CB248:CB256)</f>
        <v>-727.167736061547</v>
      </c>
      <c r="CC257" s="20" t="n">
        <f aca="false">SUM(CC248:CC256)</f>
        <v>-887.177613361298</v>
      </c>
      <c r="CD257" s="20" t="n">
        <f aca="false">SUM(CD248:CD256)</f>
        <v>-1027.71212254468</v>
      </c>
      <c r="CE257" s="20" t="n">
        <f aca="false">SUM(CE248:CE256)</f>
        <v>-1167.31559057455</v>
      </c>
      <c r="CF257" s="21"/>
    </row>
    <row r="258" customFormat="false" ht="15" hidden="false" customHeight="true" outlineLevel="0" collapsed="false">
      <c r="B258" s="29" t="s">
        <v>453</v>
      </c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7" t="n">
        <v>-0.223</v>
      </c>
      <c r="AA258" s="27" t="n">
        <v>-0.26</v>
      </c>
      <c r="AB258" s="27" t="n">
        <v>-0.157</v>
      </c>
      <c r="AC258" s="27" t="n">
        <v>-0.64</v>
      </c>
      <c r="AD258" s="27" t="n">
        <v>0.055</v>
      </c>
      <c r="AE258" s="27" t="n">
        <v>0.289</v>
      </c>
      <c r="AF258" s="27" t="n">
        <v>0.556</v>
      </c>
      <c r="AG258" s="27" t="n">
        <v>0.745</v>
      </c>
      <c r="AH258" s="27" t="n">
        <v>1.645</v>
      </c>
      <c r="AI258" s="27" t="n">
        <v>0.119</v>
      </c>
      <c r="AJ258" s="27" t="n">
        <v>-1.001</v>
      </c>
      <c r="AK258" s="27" t="n">
        <v>0.546</v>
      </c>
      <c r="AL258" s="27" t="n">
        <v>-0.762</v>
      </c>
      <c r="AM258" s="27" t="n">
        <v>-1.098</v>
      </c>
      <c r="AN258" s="27" t="n">
        <v>0.193</v>
      </c>
      <c r="AO258" s="27" t="n">
        <v>0.077</v>
      </c>
      <c r="AP258" s="27" t="n">
        <v>-0.127</v>
      </c>
      <c r="AQ258" s="27" t="n">
        <v>0.465</v>
      </c>
      <c r="AR258" s="27" t="n">
        <v>0.608</v>
      </c>
      <c r="AS258" s="27" t="n">
        <v>-2.364</v>
      </c>
      <c r="AT258" s="27" t="n">
        <v>1.823</v>
      </c>
      <c r="AU258" s="27" t="n">
        <v>1.521</v>
      </c>
      <c r="AV258" s="27" t="n">
        <v>5.934</v>
      </c>
      <c r="AW258" s="27" t="n">
        <v>6.914</v>
      </c>
      <c r="AX258" s="27" t="n">
        <v>0.403</v>
      </c>
      <c r="AY258" s="27" t="n">
        <v>0.47</v>
      </c>
      <c r="AZ258" s="27" t="n">
        <v>-0.43</v>
      </c>
      <c r="BA258" s="27" t="n">
        <v>-0.468</v>
      </c>
      <c r="BB258" s="27" t="n">
        <v>-0.025</v>
      </c>
      <c r="BC258" s="27" t="n">
        <v>0.595</v>
      </c>
      <c r="BD258" s="27" t="n">
        <v>-2.536</v>
      </c>
      <c r="BE258" s="27" t="n">
        <v>-1.269</v>
      </c>
      <c r="BF258" s="27" t="n">
        <v>1.175</v>
      </c>
      <c r="BG258" s="27" t="n">
        <v>-2.035</v>
      </c>
      <c r="BH258" s="27" t="n">
        <v>-0.054</v>
      </c>
      <c r="BI258" s="27" t="n">
        <v>0.208</v>
      </c>
      <c r="BJ258" s="27" t="n">
        <v>-1.214</v>
      </c>
      <c r="BK258" s="27" t="n">
        <v>2.401</v>
      </c>
      <c r="BL258" s="27" t="n">
        <v>1.341</v>
      </c>
      <c r="BM258" s="27" t="n">
        <v>-0.577</v>
      </c>
      <c r="BN258" s="27" t="n">
        <v>-0.519</v>
      </c>
      <c r="BO258" s="27" t="n">
        <v>1.021</v>
      </c>
      <c r="BP258" s="27" t="n">
        <v>-0.486</v>
      </c>
      <c r="BQ258" s="27" t="n">
        <v>-0.561</v>
      </c>
      <c r="BR258" s="27" t="n">
        <v>-0.434</v>
      </c>
      <c r="BS258" s="27" t="n">
        <v>2.441</v>
      </c>
      <c r="BT258" s="27" t="n">
        <v>-1.38</v>
      </c>
      <c r="BU258" s="27" t="n">
        <v>-0.005</v>
      </c>
      <c r="BV258" s="27" t="n">
        <v>0.622</v>
      </c>
      <c r="BW258" s="27" t="n">
        <v>-0.69</v>
      </c>
      <c r="BX258" s="27" t="n">
        <v>-1.715</v>
      </c>
      <c r="BY258" s="28"/>
      <c r="BZ258" s="28"/>
      <c r="CA258" s="47" t="n">
        <f aca="false">(BW258+BX258)</f>
        <v>-2.405</v>
      </c>
      <c r="CB258" s="57" t="n">
        <v>0</v>
      </c>
      <c r="CC258" s="57" t="n">
        <v>0</v>
      </c>
      <c r="CD258" s="57" t="n">
        <v>0</v>
      </c>
      <c r="CE258" s="57" t="n">
        <v>0</v>
      </c>
      <c r="CF258" s="21"/>
    </row>
    <row r="259" customFormat="false" ht="15" hidden="false" customHeight="true" outlineLevel="0" collapsed="false">
      <c r="B259" s="29" t="s">
        <v>454</v>
      </c>
      <c r="C259" s="27" t="n">
        <v>27.435</v>
      </c>
      <c r="D259" s="27" t="n">
        <v>-24.651</v>
      </c>
      <c r="E259" s="27" t="n">
        <v>254.966</v>
      </c>
      <c r="F259" s="27" t="n">
        <v>-255.625</v>
      </c>
      <c r="G259" s="27" t="n">
        <v>0.234</v>
      </c>
      <c r="H259" s="27" t="n">
        <v>2.77</v>
      </c>
      <c r="I259" s="27" t="n">
        <v>10.569</v>
      </c>
      <c r="J259" s="27" t="n">
        <v>-8.932</v>
      </c>
      <c r="K259" s="27" t="n">
        <v>1.932</v>
      </c>
      <c r="L259" s="27" t="n">
        <v>3.069</v>
      </c>
      <c r="M259" s="27" t="n">
        <v>-5.69</v>
      </c>
      <c r="N259" s="27" t="n">
        <v>-9.621</v>
      </c>
      <c r="O259" s="27" t="n">
        <v>2.263</v>
      </c>
      <c r="P259" s="27" t="n">
        <v>5.55</v>
      </c>
      <c r="Q259" s="27" t="n">
        <v>-8.077</v>
      </c>
      <c r="R259" s="27" t="n">
        <v>1.026</v>
      </c>
      <c r="S259" s="27" t="n">
        <v>0.762</v>
      </c>
      <c r="T259" s="27" t="n">
        <v>1.381</v>
      </c>
      <c r="U259" s="27" t="n">
        <v>-0.11</v>
      </c>
      <c r="V259" s="27" t="n">
        <v>7.929</v>
      </c>
      <c r="W259" s="27" t="n">
        <v>-12.579</v>
      </c>
      <c r="X259" s="27" t="n">
        <v>-3.379</v>
      </c>
      <c r="Y259" s="27" t="n">
        <v>-1.711</v>
      </c>
      <c r="Z259" s="27" t="n">
        <v>46.361</v>
      </c>
      <c r="AA259" s="27" t="n">
        <v>63.711</v>
      </c>
      <c r="AB259" s="27" t="n">
        <v>35.089</v>
      </c>
      <c r="AC259" s="27" t="n">
        <v>143.45</v>
      </c>
      <c r="AD259" s="27" t="n">
        <v>114.114</v>
      </c>
      <c r="AE259" s="27" t="n">
        <v>131.55</v>
      </c>
      <c r="AF259" s="27" t="n">
        <v>95.235</v>
      </c>
      <c r="AG259" s="27" t="n">
        <v>-61.316</v>
      </c>
      <c r="AH259" s="27" t="n">
        <v>279.583</v>
      </c>
      <c r="AI259" s="27" t="n">
        <v>-262.023</v>
      </c>
      <c r="AJ259" s="27" t="n">
        <v>-68.631</v>
      </c>
      <c r="AK259" s="27" t="n">
        <v>101.783</v>
      </c>
      <c r="AL259" s="27" t="n">
        <v>79.418</v>
      </c>
      <c r="AM259" s="27" t="n">
        <v>-149.453</v>
      </c>
      <c r="AN259" s="27" t="n">
        <v>180.716</v>
      </c>
      <c r="AO259" s="27" t="n">
        <v>-290.946</v>
      </c>
      <c r="AP259" s="27" t="n">
        <v>102.092</v>
      </c>
      <c r="AQ259" s="27" t="n">
        <v>27.393</v>
      </c>
      <c r="AR259" s="27" t="n">
        <v>19.255</v>
      </c>
      <c r="AS259" s="27" t="n">
        <v>860.985</v>
      </c>
      <c r="AT259" s="27" t="n">
        <v>-400.782</v>
      </c>
      <c r="AU259" s="27" t="n">
        <v>72.191</v>
      </c>
      <c r="AV259" s="27" t="n">
        <v>-241.226</v>
      </c>
      <c r="AW259" s="27" t="n">
        <v>291.168</v>
      </c>
      <c r="AX259" s="27" t="n">
        <v>134.764</v>
      </c>
      <c r="AY259" s="27" t="n">
        <v>-11.391</v>
      </c>
      <c r="AZ259" s="27" t="n">
        <v>-379.39</v>
      </c>
      <c r="BA259" s="27" t="n">
        <v>-238.757</v>
      </c>
      <c r="BB259" s="27" t="n">
        <v>-494.774</v>
      </c>
      <c r="BC259" s="27" t="n">
        <v>243.669</v>
      </c>
      <c r="BD259" s="27" t="n">
        <v>-138.74</v>
      </c>
      <c r="BE259" s="27" t="n">
        <v>-16.171</v>
      </c>
      <c r="BF259" s="27" t="n">
        <v>-127.009</v>
      </c>
      <c r="BG259" s="27" t="n">
        <v>-38.251</v>
      </c>
      <c r="BH259" s="27" t="n">
        <v>59.121</v>
      </c>
      <c r="BI259" s="27" t="n">
        <v>-36.15</v>
      </c>
      <c r="BJ259" s="27" t="n">
        <v>-5.304</v>
      </c>
      <c r="BK259" s="27" t="n">
        <v>-14.993</v>
      </c>
      <c r="BL259" s="27" t="n">
        <v>2.674</v>
      </c>
      <c r="BM259" s="27" t="n">
        <v>33.63</v>
      </c>
      <c r="BN259" s="27" t="n">
        <v>-25.262</v>
      </c>
      <c r="BO259" s="27" t="n">
        <v>46.102</v>
      </c>
      <c r="BP259" s="27" t="n">
        <v>-40.335</v>
      </c>
      <c r="BQ259" s="27" t="n">
        <v>14.135</v>
      </c>
      <c r="BR259" s="27" t="n">
        <v>51.273</v>
      </c>
      <c r="BS259" s="27" t="n">
        <v>18.025</v>
      </c>
      <c r="BT259" s="27" t="n">
        <v>23.114</v>
      </c>
      <c r="BU259" s="27" t="n">
        <v>-61.005</v>
      </c>
      <c r="BV259" s="27" t="n">
        <v>31.407</v>
      </c>
      <c r="BW259" s="27" t="n">
        <v>93.066</v>
      </c>
      <c r="BX259" s="27" t="n">
        <v>-61.068</v>
      </c>
      <c r="BY259" s="28"/>
      <c r="BZ259" s="28"/>
      <c r="CA259" s="47" t="n">
        <f aca="false">CA241+CA247+CA257+CA258</f>
        <v>70.4200000000002</v>
      </c>
      <c r="CB259" s="47" t="n">
        <f aca="false">CB241+CB247+CB257+CB258</f>
        <v>0</v>
      </c>
      <c r="CC259" s="47" t="n">
        <f aca="false">CC241+CC247+CC257+CC258</f>
        <v>0</v>
      </c>
      <c r="CD259" s="47" t="n">
        <f aca="false">CD241+CD247+CD257+CD258</f>
        <v>0</v>
      </c>
      <c r="CE259" s="47" t="n">
        <f aca="false">CE241+CE247+CE257+CE258</f>
        <v>0</v>
      </c>
      <c r="CF259" s="21"/>
    </row>
    <row r="260" customFormat="false" ht="15" hidden="false" customHeight="true" outlineLevel="0" collapsed="false">
      <c r="B260" s="29" t="s">
        <v>455</v>
      </c>
      <c r="C260" s="27" t="n">
        <v>7.514</v>
      </c>
      <c r="D260" s="27" t="n">
        <v>34.949</v>
      </c>
      <c r="E260" s="27" t="n">
        <v>10.298</v>
      </c>
      <c r="F260" s="27" t="n">
        <v>265.264</v>
      </c>
      <c r="G260" s="27" t="n">
        <v>9.639</v>
      </c>
      <c r="H260" s="27" t="n">
        <v>9.873</v>
      </c>
      <c r="I260" s="27" t="n">
        <v>12.643</v>
      </c>
      <c r="J260" s="27" t="n">
        <v>23.212</v>
      </c>
      <c r="K260" s="27" t="n">
        <v>14.28</v>
      </c>
      <c r="L260" s="27" t="n">
        <v>16.212</v>
      </c>
      <c r="M260" s="27" t="n">
        <v>19.281</v>
      </c>
      <c r="N260" s="27" t="n">
        <v>23.212</v>
      </c>
      <c r="O260" s="27" t="n">
        <v>13.591</v>
      </c>
      <c r="P260" s="27" t="n">
        <v>15.854</v>
      </c>
      <c r="Q260" s="27" t="n">
        <v>21.404</v>
      </c>
      <c r="R260" s="27" t="n">
        <v>13.327</v>
      </c>
      <c r="S260" s="27" t="n">
        <v>13.591</v>
      </c>
      <c r="T260" s="27" t="n">
        <v>14.353</v>
      </c>
      <c r="U260" s="27" t="n">
        <v>15.734</v>
      </c>
      <c r="V260" s="27" t="n">
        <v>15.624</v>
      </c>
      <c r="W260" s="27" t="n">
        <v>23.553</v>
      </c>
      <c r="X260" s="27" t="n">
        <v>14.353</v>
      </c>
      <c r="Y260" s="27" t="n">
        <v>10.974</v>
      </c>
      <c r="Z260" s="27" t="n">
        <v>9.263</v>
      </c>
      <c r="AA260" s="27" t="n">
        <v>55.624</v>
      </c>
      <c r="AB260" s="27" t="n">
        <v>119.335</v>
      </c>
      <c r="AC260" s="27" t="n">
        <v>10.974</v>
      </c>
      <c r="AD260" s="27" t="n">
        <v>154.382</v>
      </c>
      <c r="AE260" s="27" t="n">
        <v>268.469</v>
      </c>
      <c r="AF260" s="27" t="n">
        <v>399.741</v>
      </c>
      <c r="AG260" s="27" t="n">
        <v>495.254</v>
      </c>
      <c r="AH260" s="27" t="n">
        <v>154.382</v>
      </c>
      <c r="AI260" s="27" t="n">
        <v>556.467</v>
      </c>
      <c r="AJ260" s="27" t="n">
        <v>294.545</v>
      </c>
      <c r="AK260" s="27" t="n">
        <v>225.846</v>
      </c>
      <c r="AL260" s="27" t="n">
        <v>327.788</v>
      </c>
      <c r="AM260" s="27" t="n">
        <v>553.227</v>
      </c>
      <c r="AN260" s="27" t="n">
        <v>403.966</v>
      </c>
      <c r="AO260" s="27" t="n">
        <v>584.682</v>
      </c>
      <c r="AP260" s="27" t="n">
        <v>293.736</v>
      </c>
      <c r="AQ260" s="27" t="n">
        <v>395.828</v>
      </c>
      <c r="AR260" s="27" t="n">
        <v>403.966</v>
      </c>
      <c r="AS260" s="27" t="n">
        <v>423.221</v>
      </c>
      <c r="AT260" s="27" t="n">
        <v>1284.206</v>
      </c>
      <c r="AU260" s="27" t="n">
        <v>883.424</v>
      </c>
      <c r="AV260" s="27" t="n">
        <v>955.615</v>
      </c>
      <c r="AW260" s="27" t="n">
        <v>423.221</v>
      </c>
      <c r="AX260" s="27" t="n">
        <v>714.389</v>
      </c>
      <c r="AY260" s="27" t="n">
        <v>849.153</v>
      </c>
      <c r="AZ260" s="27" t="n">
        <v>837.762</v>
      </c>
      <c r="BA260" s="27" t="n">
        <v>458.372</v>
      </c>
      <c r="BB260" s="27" t="n">
        <v>714.389</v>
      </c>
      <c r="BC260" s="27" t="n">
        <v>219.615</v>
      </c>
      <c r="BD260" s="27" t="n">
        <v>463.284</v>
      </c>
      <c r="BE260" s="27" t="n">
        <v>324.544</v>
      </c>
      <c r="BF260" s="27" t="n">
        <v>308.373</v>
      </c>
      <c r="BG260" s="27" t="n">
        <v>219.615</v>
      </c>
      <c r="BH260" s="27" t="n">
        <v>181.364</v>
      </c>
      <c r="BI260" s="27" t="n">
        <v>240.485</v>
      </c>
      <c r="BJ260" s="27" t="n">
        <v>204.335</v>
      </c>
      <c r="BK260" s="27" t="n">
        <v>199.031</v>
      </c>
      <c r="BL260" s="27" t="n">
        <v>181.364</v>
      </c>
      <c r="BM260" s="27" t="n">
        <v>184.038</v>
      </c>
      <c r="BN260" s="27" t="n">
        <v>217.668</v>
      </c>
      <c r="BO260" s="27" t="n">
        <v>192.406</v>
      </c>
      <c r="BP260" s="27" t="n">
        <v>238.508</v>
      </c>
      <c r="BQ260" s="27" t="n">
        <v>184.038</v>
      </c>
      <c r="BR260" s="27" t="n">
        <v>198.173</v>
      </c>
      <c r="BS260" s="27" t="n">
        <v>249.446</v>
      </c>
      <c r="BT260" s="27" t="n">
        <v>267.471</v>
      </c>
      <c r="BU260" s="27" t="n">
        <v>290.585</v>
      </c>
      <c r="BV260" s="27" t="n">
        <v>198.173</v>
      </c>
      <c r="BW260" s="27" t="n">
        <v>229.58</v>
      </c>
      <c r="BX260" s="27" t="n">
        <v>322.646</v>
      </c>
      <c r="BY260" s="28"/>
      <c r="BZ260" s="28"/>
      <c r="CA260" s="47" t="n">
        <f aca="false">BV261</f>
        <v>229.58</v>
      </c>
      <c r="CB260" s="47" t="n">
        <f aca="false">CA261</f>
        <v>300</v>
      </c>
      <c r="CC260" s="47" t="n">
        <f aca="false">CB261</f>
        <v>300</v>
      </c>
      <c r="CD260" s="47" t="n">
        <f aca="false">CC261</f>
        <v>300</v>
      </c>
      <c r="CE260" s="47" t="n">
        <f aca="false">CD261</f>
        <v>300</v>
      </c>
      <c r="CF260" s="21"/>
    </row>
    <row r="261" customFormat="false" ht="15" hidden="false" customHeight="true" outlineLevel="0" collapsed="false">
      <c r="B261" s="18" t="s">
        <v>456</v>
      </c>
      <c r="C261" s="19" t="n">
        <v>34.949</v>
      </c>
      <c r="D261" s="19" t="n">
        <v>10.298</v>
      </c>
      <c r="E261" s="19" t="n">
        <v>265.264</v>
      </c>
      <c r="F261" s="19" t="n">
        <v>9.639</v>
      </c>
      <c r="G261" s="19" t="n">
        <v>9.873</v>
      </c>
      <c r="H261" s="19" t="n">
        <v>12.643</v>
      </c>
      <c r="I261" s="19" t="n">
        <v>23.212</v>
      </c>
      <c r="J261" s="19" t="n">
        <v>14.28</v>
      </c>
      <c r="K261" s="19" t="n">
        <v>16.212</v>
      </c>
      <c r="L261" s="19" t="n">
        <v>19.281</v>
      </c>
      <c r="M261" s="19" t="n">
        <v>13.591</v>
      </c>
      <c r="N261" s="19" t="n">
        <v>13.591</v>
      </c>
      <c r="O261" s="19" t="n">
        <v>15.854</v>
      </c>
      <c r="P261" s="19" t="n">
        <v>21.404</v>
      </c>
      <c r="Q261" s="19" t="n">
        <v>13.327</v>
      </c>
      <c r="R261" s="19" t="n">
        <v>14.353</v>
      </c>
      <c r="S261" s="19" t="n">
        <v>14.353</v>
      </c>
      <c r="T261" s="19" t="n">
        <v>15.734</v>
      </c>
      <c r="U261" s="19" t="n">
        <v>15.624</v>
      </c>
      <c r="V261" s="19" t="n">
        <v>23.553</v>
      </c>
      <c r="W261" s="19" t="n">
        <v>10.974</v>
      </c>
      <c r="X261" s="19" t="n">
        <v>10.974</v>
      </c>
      <c r="Y261" s="19" t="n">
        <v>9.263</v>
      </c>
      <c r="Z261" s="19" t="n">
        <v>55.624</v>
      </c>
      <c r="AA261" s="19" t="n">
        <v>119.335</v>
      </c>
      <c r="AB261" s="19" t="n">
        <v>154.382</v>
      </c>
      <c r="AC261" s="19" t="n">
        <v>154.382</v>
      </c>
      <c r="AD261" s="19" t="n">
        <v>268.469</v>
      </c>
      <c r="AE261" s="19" t="n">
        <v>399.741</v>
      </c>
      <c r="AF261" s="19" t="n">
        <v>495.254</v>
      </c>
      <c r="AG261" s="19" t="n">
        <v>433.815</v>
      </c>
      <c r="AH261" s="19" t="n">
        <v>433.815</v>
      </c>
      <c r="AI261" s="19" t="n">
        <v>294.545</v>
      </c>
      <c r="AJ261" s="19" t="n">
        <v>225.846</v>
      </c>
      <c r="AK261" s="19" t="n">
        <v>327.788</v>
      </c>
      <c r="AL261" s="19" t="n">
        <v>403.966</v>
      </c>
      <c r="AM261" s="19" t="n">
        <v>403.966</v>
      </c>
      <c r="AN261" s="19" t="n">
        <v>584.682</v>
      </c>
      <c r="AO261" s="19" t="n">
        <v>293.736</v>
      </c>
      <c r="AP261" s="19" t="n">
        <v>395.828</v>
      </c>
      <c r="AQ261" s="19" t="n">
        <v>423.221</v>
      </c>
      <c r="AR261" s="19" t="n">
        <v>423.221</v>
      </c>
      <c r="AS261" s="19" t="n">
        <v>1284.206</v>
      </c>
      <c r="AT261" s="19" t="n">
        <v>883.424</v>
      </c>
      <c r="AU261" s="19" t="n">
        <v>955.615</v>
      </c>
      <c r="AV261" s="19" t="n">
        <v>714.389</v>
      </c>
      <c r="AW261" s="19" t="n">
        <v>714.389</v>
      </c>
      <c r="AX261" s="19" t="n">
        <v>849.153</v>
      </c>
      <c r="AY261" s="19" t="n">
        <v>837.762</v>
      </c>
      <c r="AZ261" s="19" t="n">
        <v>458.372</v>
      </c>
      <c r="BA261" s="19" t="n">
        <v>219.615</v>
      </c>
      <c r="BB261" s="19" t="n">
        <v>219.615</v>
      </c>
      <c r="BC261" s="19" t="n">
        <v>463.284</v>
      </c>
      <c r="BD261" s="19" t="n">
        <v>324.544</v>
      </c>
      <c r="BE261" s="19" t="n">
        <v>308.373</v>
      </c>
      <c r="BF261" s="19" t="n">
        <v>181.364</v>
      </c>
      <c r="BG261" s="19" t="n">
        <v>181.364</v>
      </c>
      <c r="BH261" s="19" t="n">
        <v>240.485</v>
      </c>
      <c r="BI261" s="19" t="n">
        <v>204.335</v>
      </c>
      <c r="BJ261" s="19" t="n">
        <v>199.031</v>
      </c>
      <c r="BK261" s="19" t="n">
        <v>184.038</v>
      </c>
      <c r="BL261" s="19" t="n">
        <v>184.038</v>
      </c>
      <c r="BM261" s="19" t="n">
        <v>217.668</v>
      </c>
      <c r="BN261" s="19" t="n">
        <v>192.406</v>
      </c>
      <c r="BO261" s="19" t="n">
        <v>238.508</v>
      </c>
      <c r="BP261" s="19" t="n">
        <v>198.173</v>
      </c>
      <c r="BQ261" s="19" t="n">
        <v>198.173</v>
      </c>
      <c r="BR261" s="19" t="n">
        <v>249.446</v>
      </c>
      <c r="BS261" s="19" t="n">
        <v>267.471</v>
      </c>
      <c r="BT261" s="19" t="n">
        <v>290.585</v>
      </c>
      <c r="BU261" s="19" t="n">
        <v>229.58</v>
      </c>
      <c r="BV261" s="19" t="n">
        <v>229.58</v>
      </c>
      <c r="BW261" s="19" t="n">
        <v>322.646</v>
      </c>
      <c r="BX261" s="19" t="n">
        <v>261.578</v>
      </c>
      <c r="BY261" s="51"/>
      <c r="BZ261" s="51"/>
      <c r="CA261" s="20" t="n">
        <f aca="false">CA260+CA259</f>
        <v>300</v>
      </c>
      <c r="CB261" s="20" t="n">
        <f aca="false">CB260+CB259</f>
        <v>300</v>
      </c>
      <c r="CC261" s="20" t="n">
        <f aca="false">CC260+CC259</f>
        <v>300</v>
      </c>
      <c r="CD261" s="20" t="n">
        <f aca="false">CD260+CD259</f>
        <v>300</v>
      </c>
      <c r="CE261" s="20" t="n">
        <f aca="false">CE260+CE259</f>
        <v>300</v>
      </c>
      <c r="CF261" s="21"/>
    </row>
    <row r="262" customFormat="false" ht="15" hidden="false" customHeight="true" outlineLevel="0" collapsed="false">
      <c r="B262" s="46" t="s">
        <v>457</v>
      </c>
      <c r="C262" s="26" t="n">
        <f aca="false">IF(ISNUMBER(C241),ROUND(C241+C247+C257+N(C258)-C259,1),"")</f>
        <v>0</v>
      </c>
      <c r="D262" s="26" t="n">
        <f aca="false">IF(ISNUMBER(D241),ROUND(D241+D247+D257+N(D258)-D259,1),"")</f>
        <v>0</v>
      </c>
      <c r="E262" s="26" t="n">
        <f aca="false">IF(ISNUMBER(E241),ROUND(E241+E247+E257+N(E258)-E259,1),"")</f>
        <v>0</v>
      </c>
      <c r="F262" s="26" t="n">
        <f aca="false">IF(ISNUMBER(F241),ROUND(F241+F247+F257+N(F258)-F259,1),"")</f>
        <v>0</v>
      </c>
      <c r="G262" s="26" t="n">
        <f aca="false">IF(ISNUMBER(G241),ROUND(G241+G247+G257+N(G258)-G259,1),"")</f>
        <v>-0</v>
      </c>
      <c r="H262" s="26" t="n">
        <f aca="false">IF(ISNUMBER(H241),ROUND(H241+H247+H257+N(H258)-H259,1),"")</f>
        <v>0</v>
      </c>
      <c r="I262" s="26" t="n">
        <f aca="false">IF(ISNUMBER(I241),ROUND(I241+I247+I257+N(I258)-I259,1),"")</f>
        <v>-0</v>
      </c>
      <c r="J262" s="26" t="n">
        <f aca="false">IF(ISNUMBER(J241),ROUND(J241+J247+J257+N(J258)-J259,1),"")</f>
        <v>0</v>
      </c>
      <c r="K262" s="26" t="n">
        <f aca="false">IF(ISNUMBER(K241),ROUND(K241+K247+K257+N(K258)-K259,1),"")</f>
        <v>0</v>
      </c>
      <c r="L262" s="26" t="n">
        <f aca="false">IF(ISNUMBER(L241),ROUND(L241+L247+L257+N(L258)-L259,1),"")</f>
        <v>0</v>
      </c>
      <c r="M262" s="26" t="n">
        <f aca="false">IF(ISNUMBER(M241),ROUND(M241+M247+M257+N(M258)-M259,1),"")</f>
        <v>-0</v>
      </c>
      <c r="N262" s="26" t="n">
        <f aca="false">IF(ISNUMBER(N241),ROUND(N241+N247+N257+N(N258)-N259,1),"")</f>
        <v>0</v>
      </c>
      <c r="O262" s="26" t="n">
        <f aca="false">IF(ISNUMBER(O241),ROUND(O241+O247+O257+N(O258)-O259,1),"")</f>
        <v>-0</v>
      </c>
      <c r="P262" s="26" t="n">
        <f aca="false">IF(ISNUMBER(P241),ROUND(P241+P247+P257+N(P258)-P259,1),"")</f>
        <v>0</v>
      </c>
      <c r="Q262" s="26" t="n">
        <f aca="false">IF(ISNUMBER(Q241),ROUND(Q241+Q247+Q257+N(Q258)-Q259,1),"")</f>
        <v>0</v>
      </c>
      <c r="R262" s="26" t="n">
        <f aca="false">IF(ISNUMBER(R241),ROUND(R241+R247+R257+N(R258)-R259,1),"")</f>
        <v>0</v>
      </c>
      <c r="S262" s="26" t="n">
        <f aca="false">IF(ISNUMBER(S241),ROUND(S241+S247+S257+N(S258)-S259,1),"")</f>
        <v>0</v>
      </c>
      <c r="T262" s="26" t="n">
        <f aca="false">IF(ISNUMBER(T241),ROUND(T241+T247+T257+N(T258)-T259,1),"")</f>
        <v>-0</v>
      </c>
      <c r="U262" s="26" t="n">
        <f aca="false">IF(ISNUMBER(U241),ROUND(U241+U247+U257+N(U258)-U259,1),"")</f>
        <v>-0</v>
      </c>
      <c r="V262" s="26" t="n">
        <f aca="false">IF(ISNUMBER(V241),ROUND(V241+V247+V257+N(V258)-V259,1),"")</f>
        <v>0</v>
      </c>
      <c r="W262" s="26" t="n">
        <f aca="false">IF(ISNUMBER(W241),ROUND(W241+W247+W257+N(W258)-W259,1),"")</f>
        <v>0</v>
      </c>
      <c r="X262" s="26" t="n">
        <f aca="false">IF(ISNUMBER(X241),ROUND(X241+X247+X257+N(X258)-X259,1),"")</f>
        <v>0</v>
      </c>
      <c r="Y262" s="26" t="n">
        <f aca="false">IF(ISNUMBER(Y241),ROUND(Y241+Y247+Y257+N(Y258)-Y259,1),"")</f>
        <v>0</v>
      </c>
      <c r="Z262" s="26" t="n">
        <f aca="false">IF(ISNUMBER(Z241),ROUND(Z241+Z247+Z257+N(Z258)-Z259,1),"")</f>
        <v>0</v>
      </c>
      <c r="AA262" s="26" t="n">
        <f aca="false">IF(ISNUMBER(AA241),ROUND(AA241+AA247+AA257+N(AA258)-AA259,1),"")</f>
        <v>0</v>
      </c>
      <c r="AB262" s="26" t="n">
        <f aca="false">IF(ISNUMBER(AB241),ROUND(AB241+AB247+AB257+N(AB258)-AB259,1),"")</f>
        <v>-0</v>
      </c>
      <c r="AC262" s="26" t="n">
        <f aca="false">IF(ISNUMBER(AC241),ROUND(AC241+AC247+AC257+N(AC258)-AC259,1),"")</f>
        <v>-0</v>
      </c>
      <c r="AD262" s="26" t="n">
        <f aca="false">IF(ISNUMBER(AD241),ROUND(AD241+AD247+AD257+N(AD258)-AD259,1),"")</f>
        <v>-0</v>
      </c>
      <c r="AE262" s="26" t="n">
        <f aca="false">IF(ISNUMBER(AE241),ROUND(AE241+AE247+AE257+N(AE258)-AE259,1),"")</f>
        <v>-0.3</v>
      </c>
      <c r="AF262" s="26" t="n">
        <f aca="false">IF(ISNUMBER(AF241),ROUND(AF241+AF247+AF257+N(AF258)-AF259,1),"")</f>
        <v>0.3</v>
      </c>
      <c r="AG262" s="26" t="n">
        <f aca="false">IF(ISNUMBER(AG241),ROUND(AG241+AG247+AG257+N(AG258)-AG259,1),"")</f>
        <v>-0.1</v>
      </c>
      <c r="AH262" s="26" t="n">
        <f aca="false">IF(ISNUMBER(AH241),ROUND(AH241+AH247+AH257+N(AH258)-AH259,1),"")</f>
        <v>-0.2</v>
      </c>
      <c r="AI262" s="26" t="n">
        <f aca="false">IF(ISNUMBER(AI241),ROUND(AI241+AI247+AI257+N(AI258)-AI259,1),"")</f>
        <v>0.1</v>
      </c>
      <c r="AJ262" s="26" t="n">
        <f aca="false">IF(ISNUMBER(AJ241),ROUND(AJ241+AJ247+AJ257+N(AJ258)-AJ259,1),"")</f>
        <v>-0.1</v>
      </c>
      <c r="AK262" s="26" t="n">
        <f aca="false">IF(ISNUMBER(AK241),ROUND(AK241+AK247+AK257+N(AK258)-AK259,1),"")</f>
        <v>0.2</v>
      </c>
      <c r="AL262" s="26" t="n">
        <f aca="false">IF(ISNUMBER(AL241),ROUND(AL241+AL247+AL257+N(AL258)-AL259,1),"")</f>
        <v>0</v>
      </c>
      <c r="AM262" s="26" t="n">
        <f aca="false">IF(ISNUMBER(AM241),ROUND(AM241+AM247+AM257+N(AM258)-AM259,1),"")</f>
        <v>0.2</v>
      </c>
      <c r="AN262" s="26" t="n">
        <f aca="false">IF(ISNUMBER(AN241),ROUND(AN241+AN247+AN257+N(AN258)-AN259,1),"")</f>
        <v>0</v>
      </c>
      <c r="AO262" s="26" t="n">
        <f aca="false">IF(ISNUMBER(AO241),ROUND(AO241+AO247+AO257+N(AO258)-AO259,1),"")</f>
        <v>0</v>
      </c>
      <c r="AP262" s="26" t="n">
        <f aca="false">IF(ISNUMBER(AP241),ROUND(AP241+AP247+AP257+N(AP258)-AP259,1),"")</f>
        <v>0</v>
      </c>
      <c r="AQ262" s="26" t="n">
        <f aca="false">IF(ISNUMBER(AQ241),ROUND(AQ241+AQ247+AQ257+N(AQ258)-AQ259,1),"")</f>
        <v>0</v>
      </c>
      <c r="AR262" s="26" t="n">
        <f aca="false">IF(ISNUMBER(AR241),ROUND(AR241+AR247+AR257+N(AR258)-AR259,1),"")</f>
        <v>0</v>
      </c>
      <c r="AS262" s="26" t="n">
        <f aca="false">IF(ISNUMBER(AS241),ROUND(AS241+AS247+AS257+N(AS258)-AS259,1),"")</f>
        <v>0</v>
      </c>
      <c r="AT262" s="26" t="n">
        <f aca="false">IF(ISNUMBER(AT241),ROUND(AT241+AT247+AT257+N(AT258)-AT259,1),"")</f>
        <v>0</v>
      </c>
      <c r="AU262" s="26" t="n">
        <f aca="false">IF(ISNUMBER(AU241),ROUND(AU241+AU247+AU257+N(AU258)-AU259,1),"")</f>
        <v>0</v>
      </c>
      <c r="AV262" s="26" t="n">
        <f aca="false">IF(ISNUMBER(AV241),ROUND(AV241+AV247+AV257+N(AV258)-AV259,1),"")</f>
        <v>0</v>
      </c>
      <c r="AW262" s="26" t="n">
        <f aca="false">IF(ISNUMBER(AW241),ROUND(AW241+AW247+AW257+N(AW258)-AW259,1),"")</f>
        <v>0</v>
      </c>
      <c r="AX262" s="26" t="n">
        <f aca="false">IF(ISNUMBER(AX241),ROUND(AX241+AX247+AX257+N(AX258)-AX259,1),"")</f>
        <v>0</v>
      </c>
      <c r="AY262" s="26" t="n">
        <f aca="false">IF(ISNUMBER(AY241),ROUND(AY241+AY247+AY257+N(AY258)-AY259,1),"")</f>
        <v>-0</v>
      </c>
      <c r="AZ262" s="26" t="n">
        <f aca="false">IF(ISNUMBER(AZ241),ROUND(AZ241+AZ247+AZ257+N(AZ258)-AZ259,1),"")</f>
        <v>0</v>
      </c>
      <c r="BA262" s="26" t="n">
        <f aca="false">IF(ISNUMBER(BA241),ROUND(BA241+BA247+BA257+N(BA258)-BA259,1),"")</f>
        <v>0</v>
      </c>
      <c r="BB262" s="26" t="n">
        <f aca="false">IF(ISNUMBER(BB241),ROUND(BB241+BB247+BB257+N(BB258)-BB259,1),"")</f>
        <v>0</v>
      </c>
      <c r="BC262" s="26" t="n">
        <f aca="false">IF(ISNUMBER(BC241),ROUND(BC241+BC247+BC257+N(BC258)-BC259,1),"")</f>
        <v>0</v>
      </c>
      <c r="BD262" s="26" t="n">
        <f aca="false">IF(ISNUMBER(BD241),ROUND(BD241+BD247+BD257+N(BD258)-BD259,1),"")</f>
        <v>0</v>
      </c>
      <c r="BE262" s="26" t="n">
        <f aca="false">IF(ISNUMBER(BE241),ROUND(BE241+BE247+BE257+N(BE258)-BE259,1),"")</f>
        <v>0</v>
      </c>
      <c r="BF262" s="26" t="n">
        <f aca="false">IF(ISNUMBER(BF241),ROUND(BF241+BF247+BF257+N(BF258)-BF259,1),"")</f>
        <v>0</v>
      </c>
      <c r="BG262" s="26" t="n">
        <f aca="false">IF(ISNUMBER(BG241),ROUND(BG241+BG247+BG257+N(BG258)-BG259,1),"")</f>
        <v>0</v>
      </c>
      <c r="BH262" s="26" t="n">
        <f aca="false">IF(ISNUMBER(BH241),ROUND(BH241+BH247+BH257+N(BH258)-BH259,1),"")</f>
        <v>0</v>
      </c>
      <c r="BI262" s="26" t="n">
        <f aca="false">IF(ISNUMBER(BI241),ROUND(BI241+BI247+BI257+N(BI258)-BI259,1),"")</f>
        <v>0</v>
      </c>
      <c r="BJ262" s="26" t="n">
        <f aca="false">IF(ISNUMBER(BJ241),ROUND(BJ241+BJ247+BJ257+N(BJ258)-BJ259,1),"")</f>
        <v>-0</v>
      </c>
      <c r="BK262" s="26" t="n">
        <f aca="false">IF(ISNUMBER(BK241),ROUND(BK241+BK247+BK257+N(BK258)-BK259,1),"")</f>
        <v>0</v>
      </c>
      <c r="BL262" s="26" t="n">
        <f aca="false">IF(ISNUMBER(BL241),ROUND(BL241+BL247+BL257+N(BL258)-BL259,1),"")</f>
        <v>0</v>
      </c>
      <c r="BM262" s="26" t="n">
        <f aca="false">IF(ISNUMBER(BM241),ROUND(BM241+BM247+BM257+N(BM258)-BM259,1),"")</f>
        <v>0</v>
      </c>
      <c r="BN262" s="26" t="n">
        <f aca="false">IF(ISNUMBER(BN241),ROUND(BN241+BN247+BN257+N(BN258)-BN259,1),"")</f>
        <v>-0</v>
      </c>
      <c r="BO262" s="26" t="n">
        <f aca="false">IF(ISNUMBER(BO241),ROUND(BO241+BO247+BO257+N(BO258)-BO259,1),"")</f>
        <v>0</v>
      </c>
      <c r="BP262" s="26" t="n">
        <f aca="false">IF(ISNUMBER(BP241),ROUND(BP241+BP247+BP257+N(BP258)-BP259,1),"")</f>
        <v>0</v>
      </c>
      <c r="BQ262" s="26" t="n">
        <f aca="false">IF(ISNUMBER(BQ241),ROUND(BQ241+BQ247+BQ257+N(BQ258)-BQ259,1),"")</f>
        <v>0</v>
      </c>
      <c r="BR262" s="26" t="n">
        <f aca="false">IF(ISNUMBER(BR241),ROUND(BR241+BR247+BR257+N(BR258)-BR259,1),"")</f>
        <v>0</v>
      </c>
      <c r="BS262" s="26" t="n">
        <f aca="false">IF(ISNUMBER(BS241),ROUND(BS241+BS247+BS257+N(BS258)-BS259,1),"")</f>
        <v>0</v>
      </c>
      <c r="BT262" s="26" t="n">
        <f aca="false">IF(ISNUMBER(BT241),ROUND(BT241+BT247+BT257+N(BT258)-BT259,1),"")</f>
        <v>0</v>
      </c>
      <c r="BU262" s="26" t="n">
        <f aca="false">IF(ISNUMBER(BU241),ROUND(BU241+BU247+BU257+N(BU258)-BU259,1),"")</f>
        <v>0</v>
      </c>
      <c r="BV262" s="26" t="n">
        <f aca="false">IF(ISNUMBER(BV241),ROUND(BV241+BV247+BV257+N(BV258)-BV259,1),"")</f>
        <v>0</v>
      </c>
      <c r="BW262" s="26" t="n">
        <f aca="false">IF(ISNUMBER(BW241),ROUND(BW241+BW247+BW257+N(BW258)-BW259,1),"")</f>
        <v>0</v>
      </c>
      <c r="BX262" s="26" t="n">
        <f aca="false">IF(ISNUMBER(BX241),ROUND(BX241+BX247+BX257+N(BX258)-BX259,1),"")</f>
        <v>0</v>
      </c>
      <c r="BY262" s="28"/>
      <c r="BZ262" s="28"/>
      <c r="CA262" s="47" t="n">
        <f aca="false">ROUND(CA241+CA247+CA257+N(CA258)-CA259,1)</f>
        <v>0</v>
      </c>
      <c r="CB262" s="47" t="n">
        <f aca="false">ROUND(CB241+CB247+CB257+N(CB258)-CB259,1)</f>
        <v>0</v>
      </c>
      <c r="CC262" s="47" t="n">
        <f aca="false">ROUND(CC241+CC247+CC257+N(CC258)-CC259,1)</f>
        <v>0</v>
      </c>
      <c r="CD262" s="47" t="n">
        <f aca="false">ROUND(CD241+CD247+CD257+N(CD258)-CD259,1)</f>
        <v>0</v>
      </c>
      <c r="CE262" s="47" t="n">
        <f aca="false">ROUND(CE241+CE247+CE257+N(CE258)-CE259,1)</f>
        <v>0</v>
      </c>
      <c r="CF262" s="21"/>
    </row>
    <row r="263" customFormat="false" ht="15" hidden="false" customHeight="true" outlineLevel="0" collapsed="false">
      <c r="B263" s="46" t="s">
        <v>458</v>
      </c>
      <c r="C263" s="26" t="n">
        <f aca="false">IF(ISNUMBER(C260),ROUND(C260+C259-C261,1),"")</f>
        <v>0</v>
      </c>
      <c r="D263" s="26" t="n">
        <f aca="false">IF(ISNUMBER(D260),ROUND(D260+D259-D261,1),"")</f>
        <v>0</v>
      </c>
      <c r="E263" s="26" t="n">
        <f aca="false">IF(ISNUMBER(E260),ROUND(E260+E259-E261,1),"")</f>
        <v>0</v>
      </c>
      <c r="F263" s="26" t="n">
        <f aca="false">IF(ISNUMBER(F260),ROUND(F260+F259-F261,1),"")</f>
        <v>0</v>
      </c>
      <c r="G263" s="26" t="n">
        <f aca="false">IF(ISNUMBER(G260),ROUND(G260+G259-G261,1),"")</f>
        <v>0</v>
      </c>
      <c r="H263" s="26" t="n">
        <f aca="false">IF(ISNUMBER(H260),ROUND(H260+H259-H261,1),"")</f>
        <v>0</v>
      </c>
      <c r="I263" s="26" t="n">
        <f aca="false">IF(ISNUMBER(I260),ROUND(I260+I259-I261,1),"")</f>
        <v>0</v>
      </c>
      <c r="J263" s="26" t="n">
        <f aca="false">IF(ISNUMBER(J260),ROUND(J260+J259-J261,1),"")</f>
        <v>0</v>
      </c>
      <c r="K263" s="26" t="n">
        <f aca="false">IF(ISNUMBER(K260),ROUND(K260+K259-K261,1),"")</f>
        <v>0</v>
      </c>
      <c r="L263" s="26" t="n">
        <f aca="false">IF(ISNUMBER(L260),ROUND(L260+L259-L261,1),"")</f>
        <v>0</v>
      </c>
      <c r="M263" s="26" t="n">
        <f aca="false">IF(ISNUMBER(M260),ROUND(M260+M259-M261,1),"")</f>
        <v>0</v>
      </c>
      <c r="N263" s="26" t="n">
        <f aca="false">IF(ISNUMBER(N260),ROUND(N260+N259-N261,1),"")</f>
        <v>0</v>
      </c>
      <c r="O263" s="26" t="n">
        <f aca="false">IF(ISNUMBER(O260),ROUND(O260+O259-O261,1),"")</f>
        <v>0</v>
      </c>
      <c r="P263" s="26" t="n">
        <f aca="false">IF(ISNUMBER(P260),ROUND(P260+P259-P261,1),"")</f>
        <v>0</v>
      </c>
      <c r="Q263" s="26" t="n">
        <f aca="false">IF(ISNUMBER(Q260),ROUND(Q260+Q259-Q261,1),"")</f>
        <v>0</v>
      </c>
      <c r="R263" s="26" t="n">
        <f aca="false">IF(ISNUMBER(R260),ROUND(R260+R259-R261,1),"")</f>
        <v>0</v>
      </c>
      <c r="S263" s="26" t="n">
        <f aca="false">IF(ISNUMBER(S260),ROUND(S260+S259-S261,1),"")</f>
        <v>0</v>
      </c>
      <c r="T263" s="26" t="n">
        <f aca="false">IF(ISNUMBER(T260),ROUND(T260+T259-T261,1),"")</f>
        <v>0</v>
      </c>
      <c r="U263" s="26" t="n">
        <f aca="false">IF(ISNUMBER(U260),ROUND(U260+U259-U261,1),"")</f>
        <v>0</v>
      </c>
      <c r="V263" s="26" t="n">
        <f aca="false">IF(ISNUMBER(V260),ROUND(V260+V259-V261,1),"")</f>
        <v>0</v>
      </c>
      <c r="W263" s="26" t="n">
        <f aca="false">IF(ISNUMBER(W260),ROUND(W260+W259-W261,1),"")</f>
        <v>0</v>
      </c>
      <c r="X263" s="26" t="n">
        <f aca="false">IF(ISNUMBER(X260),ROUND(X260+X259-X261,1),"")</f>
        <v>0</v>
      </c>
      <c r="Y263" s="26" t="n">
        <f aca="false">IF(ISNUMBER(Y260),ROUND(Y260+Y259-Y261,1),"")</f>
        <v>0</v>
      </c>
      <c r="Z263" s="26" t="n">
        <f aca="false">IF(ISNUMBER(Z260),ROUND(Z260+Z259-Z261,1),"")</f>
        <v>0</v>
      </c>
      <c r="AA263" s="26" t="n">
        <f aca="false">IF(ISNUMBER(AA260),ROUND(AA260+AA259-AA261,1),"")</f>
        <v>0</v>
      </c>
      <c r="AB263" s="26" t="n">
        <f aca="false">IF(ISNUMBER(AB260),ROUND(AB260+AB259-AB261,1),"")</f>
        <v>0</v>
      </c>
      <c r="AC263" s="26" t="n">
        <f aca="false">IF(ISNUMBER(AC260),ROUND(AC260+AC259-AC261,1),"")</f>
        <v>0</v>
      </c>
      <c r="AD263" s="26" t="n">
        <f aca="false">IF(ISNUMBER(AD260),ROUND(AD260+AD259-AD261,1),"")</f>
        <v>0</v>
      </c>
      <c r="AE263" s="26" t="n">
        <f aca="false">IF(ISNUMBER(AE260),ROUND(AE260+AE259-AE261,1),"")</f>
        <v>0.3</v>
      </c>
      <c r="AF263" s="26" t="n">
        <f aca="false">IF(ISNUMBER(AF260),ROUND(AF260+AF259-AF261,1),"")</f>
        <v>-0.3</v>
      </c>
      <c r="AG263" s="26" t="n">
        <f aca="false">IF(ISNUMBER(AG260),ROUND(AG260+AG259-AG261,1),"")</f>
        <v>0.1</v>
      </c>
      <c r="AH263" s="26" t="n">
        <f aca="false">IF(ISNUMBER(AH260),ROUND(AH260+AH259-AH261,1),"")</f>
        <v>0.2</v>
      </c>
      <c r="AI263" s="26" t="n">
        <f aca="false">IF(ISNUMBER(AI260),ROUND(AI260+AI259-AI261,1),"")</f>
        <v>-0.1</v>
      </c>
      <c r="AJ263" s="26" t="n">
        <f aca="false">IF(ISNUMBER(AJ260),ROUND(AJ260+AJ259-AJ261,1),"")</f>
        <v>0.1</v>
      </c>
      <c r="AK263" s="26" t="n">
        <f aca="false">IF(ISNUMBER(AK260),ROUND(AK260+AK259-AK261,1),"")</f>
        <v>-0.2</v>
      </c>
      <c r="AL263" s="26" t="n">
        <f aca="false">IF(ISNUMBER(AL260),ROUND(AL260+AL259-AL261,1),"")</f>
        <v>3.2</v>
      </c>
      <c r="AM263" s="26" t="n">
        <f aca="false">IF(ISNUMBER(AM260),ROUND(AM260+AM259-AM261,1),"")</f>
        <v>-0.2</v>
      </c>
      <c r="AN263" s="26" t="n">
        <f aca="false">IF(ISNUMBER(AN260),ROUND(AN260+AN259-AN261,1),"")</f>
        <v>0</v>
      </c>
      <c r="AO263" s="26" t="n">
        <f aca="false">IF(ISNUMBER(AO260),ROUND(AO260+AO259-AO261,1),"")</f>
        <v>0</v>
      </c>
      <c r="AP263" s="26" t="n">
        <f aca="false">IF(ISNUMBER(AP260),ROUND(AP260+AP259-AP261,1),"")</f>
        <v>0</v>
      </c>
      <c r="AQ263" s="26" t="n">
        <f aca="false">IF(ISNUMBER(AQ260),ROUND(AQ260+AQ259-AQ261,1),"")</f>
        <v>0</v>
      </c>
      <c r="AR263" s="26" t="n">
        <f aca="false">IF(ISNUMBER(AR260),ROUND(AR260+AR259-AR261,1),"")</f>
        <v>0</v>
      </c>
      <c r="AS263" s="26" t="n">
        <f aca="false">IF(ISNUMBER(AS260),ROUND(AS260+AS259-AS261,1),"")</f>
        <v>0</v>
      </c>
      <c r="AT263" s="26" t="n">
        <f aca="false">IF(ISNUMBER(AT260),ROUND(AT260+AT259-AT261,1),"")</f>
        <v>0</v>
      </c>
      <c r="AU263" s="26" t="n">
        <f aca="false">IF(ISNUMBER(AU260),ROUND(AU260+AU259-AU261,1),"")</f>
        <v>0</v>
      </c>
      <c r="AV263" s="26" t="n">
        <f aca="false">IF(ISNUMBER(AV260),ROUND(AV260+AV259-AV261,1),"")</f>
        <v>0</v>
      </c>
      <c r="AW263" s="26" t="n">
        <f aca="false">IF(ISNUMBER(AW260),ROUND(AW260+AW259-AW261,1),"")</f>
        <v>0</v>
      </c>
      <c r="AX263" s="26" t="n">
        <f aca="false">IF(ISNUMBER(AX260),ROUND(AX260+AX259-AX261,1),"")</f>
        <v>0</v>
      </c>
      <c r="AY263" s="26" t="n">
        <f aca="false">IF(ISNUMBER(AY260),ROUND(AY260+AY259-AY261,1),"")</f>
        <v>0</v>
      </c>
      <c r="AZ263" s="26" t="n">
        <f aca="false">IF(ISNUMBER(AZ260),ROUND(AZ260+AZ259-AZ261,1),"")</f>
        <v>0</v>
      </c>
      <c r="BA263" s="26" t="n">
        <f aca="false">IF(ISNUMBER(BA260),ROUND(BA260+BA259-BA261,1),"")</f>
        <v>0</v>
      </c>
      <c r="BB263" s="26" t="n">
        <f aca="false">IF(ISNUMBER(BB260),ROUND(BB260+BB259-BB261,1),"")</f>
        <v>0</v>
      </c>
      <c r="BC263" s="26" t="n">
        <f aca="false">IF(ISNUMBER(BC260),ROUND(BC260+BC259-BC261,1),"")</f>
        <v>0</v>
      </c>
      <c r="BD263" s="26" t="n">
        <f aca="false">IF(ISNUMBER(BD260),ROUND(BD260+BD259-BD261,1),"")</f>
        <v>0</v>
      </c>
      <c r="BE263" s="26" t="n">
        <f aca="false">IF(ISNUMBER(BE260),ROUND(BE260+BE259-BE261,1),"")</f>
        <v>0</v>
      </c>
      <c r="BF263" s="26" t="n">
        <f aca="false">IF(ISNUMBER(BF260),ROUND(BF260+BF259-BF261,1),"")</f>
        <v>0</v>
      </c>
      <c r="BG263" s="26" t="n">
        <f aca="false">IF(ISNUMBER(BG260),ROUND(BG260+BG259-BG261,1),"")</f>
        <v>0</v>
      </c>
      <c r="BH263" s="26" t="n">
        <f aca="false">IF(ISNUMBER(BH260),ROUND(BH260+BH259-BH261,1),"")</f>
        <v>0</v>
      </c>
      <c r="BI263" s="26" t="n">
        <f aca="false">IF(ISNUMBER(BI260),ROUND(BI260+BI259-BI261,1),"")</f>
        <v>0</v>
      </c>
      <c r="BJ263" s="26" t="n">
        <f aca="false">IF(ISNUMBER(BJ260),ROUND(BJ260+BJ259-BJ261,1),"")</f>
        <v>0</v>
      </c>
      <c r="BK263" s="26" t="n">
        <f aca="false">IF(ISNUMBER(BK260),ROUND(BK260+BK259-BK261,1),"")</f>
        <v>0</v>
      </c>
      <c r="BL263" s="26" t="n">
        <f aca="false">IF(ISNUMBER(BL260),ROUND(BL260+BL259-BL261,1),"")</f>
        <v>0</v>
      </c>
      <c r="BM263" s="26" t="n">
        <f aca="false">IF(ISNUMBER(BM260),ROUND(BM260+BM259-BM261,1),"")</f>
        <v>0</v>
      </c>
      <c r="BN263" s="26" t="n">
        <f aca="false">IF(ISNUMBER(BN260),ROUND(BN260+BN259-BN261,1),"")</f>
        <v>0</v>
      </c>
      <c r="BO263" s="26" t="n">
        <f aca="false">IF(ISNUMBER(BO260),ROUND(BO260+BO259-BO261,1),"")</f>
        <v>0</v>
      </c>
      <c r="BP263" s="26" t="n">
        <f aca="false">IF(ISNUMBER(BP260),ROUND(BP260+BP259-BP261,1),"")</f>
        <v>0</v>
      </c>
      <c r="BQ263" s="26" t="n">
        <f aca="false">IF(ISNUMBER(BQ260),ROUND(BQ260+BQ259-BQ261,1),"")</f>
        <v>0</v>
      </c>
      <c r="BR263" s="26" t="n">
        <f aca="false">IF(ISNUMBER(BR260),ROUND(BR260+BR259-BR261,1),"")</f>
        <v>0</v>
      </c>
      <c r="BS263" s="26" t="n">
        <f aca="false">IF(ISNUMBER(BS260),ROUND(BS260+BS259-BS261,1),"")</f>
        <v>0</v>
      </c>
      <c r="BT263" s="26" t="n">
        <f aca="false">IF(ISNUMBER(BT260),ROUND(BT260+BT259-BT261,1),"")</f>
        <v>0</v>
      </c>
      <c r="BU263" s="26" t="n">
        <f aca="false">IF(ISNUMBER(BU260),ROUND(BU260+BU259-BU261,1),"")</f>
        <v>0</v>
      </c>
      <c r="BV263" s="26" t="n">
        <f aca="false">IF(ISNUMBER(BV260),ROUND(BV260+BV259-BV261,1),"")</f>
        <v>0</v>
      </c>
      <c r="BW263" s="26" t="n">
        <f aca="false">IF(ISNUMBER(BW260),ROUND(BW260+BW259-BW261,1),"")</f>
        <v>0</v>
      </c>
      <c r="BX263" s="26" t="n">
        <f aca="false">IF(ISNUMBER(BX260),ROUND(BX260+BX259-BX261,1),"")</f>
        <v>0</v>
      </c>
      <c r="BY263" s="28"/>
      <c r="BZ263" s="28"/>
      <c r="CA263" s="47" t="n">
        <f aca="false">ROUND(CA260+CA259-CA261,1)</f>
        <v>0</v>
      </c>
      <c r="CB263" s="47" t="n">
        <f aca="false">ROUND(CB260+CB259-CB261,1)</f>
        <v>0</v>
      </c>
      <c r="CC263" s="47" t="n">
        <f aca="false">ROUND(CC260+CC259-CC261,1)</f>
        <v>0</v>
      </c>
      <c r="CD263" s="47" t="n">
        <f aca="false">ROUND(CD260+CD259-CD261,1)</f>
        <v>0</v>
      </c>
      <c r="CE263" s="47" t="n">
        <f aca="false">ROUND(CE260+CE259-CE261,1)</f>
        <v>0</v>
      </c>
      <c r="CF263" s="21"/>
    </row>
    <row r="264" customFormat="false" ht="15" hidden="false" customHeight="true" outlineLevel="0" collapsed="false">
      <c r="B264" s="29" t="s">
        <v>459</v>
      </c>
      <c r="BY264" s="7"/>
      <c r="BZ264" s="7"/>
      <c r="CA264" s="7"/>
      <c r="CB264" s="7"/>
      <c r="CC264" s="7"/>
      <c r="CD264" s="7"/>
      <c r="CE264" s="7"/>
      <c r="CF264" s="21"/>
    </row>
    <row r="265" customFormat="false" ht="15" hidden="false" customHeight="true" outlineLevel="0" collapsed="false">
      <c r="B265" s="55" t="s">
        <v>460</v>
      </c>
      <c r="C265" s="56" t="n">
        <f aca="false">IF(ISNUMBER(C241),C241+C242+N(C243),"")</f>
        <v>107.715</v>
      </c>
      <c r="D265" s="56" t="n">
        <f aca="false">IF(ISNUMBER(D241),D241+D242+N(D243),"")</f>
        <v>94.835</v>
      </c>
      <c r="E265" s="56" t="n">
        <f aca="false">IF(ISNUMBER(E241),E241+E242+N(E243),"")</f>
        <v>156.913</v>
      </c>
      <c r="F265" s="56" t="n">
        <f aca="false">IF(ISNUMBER(F241),F241+F242+N(F243),"")</f>
        <v>175.386</v>
      </c>
      <c r="G265" s="56" t="n">
        <f aca="false">IF(ISNUMBER(G241),G241+G242+N(G243),"")</f>
        <v>197.35</v>
      </c>
      <c r="H265" s="56" t="n">
        <f aca="false">IF(ISNUMBER(H241),H241+H242+N(H243),"")</f>
        <v>246.246</v>
      </c>
      <c r="I265" s="56" t="n">
        <f aca="false">IF(ISNUMBER(I241),I241+I242+N(I243),"")</f>
        <v>262.81</v>
      </c>
      <c r="J265" s="56" t="n">
        <f aca="false">IF(ISNUMBER(J241),J241+J242+N(J243),"")</f>
        <v>96.053</v>
      </c>
      <c r="K265" s="56" t="n">
        <f aca="false">IF(ISNUMBER(K241),K241+K242+N(K243),"")</f>
        <v>71.929</v>
      </c>
      <c r="L265" s="56" t="n">
        <f aca="false">IF(ISNUMBER(L241),L241+L242+N(L243),"")</f>
        <v>76.55</v>
      </c>
      <c r="M265" s="56" t="n">
        <f aca="false">IF(ISNUMBER(M241),M241+M242+N(M243),"")</f>
        <v>29.655</v>
      </c>
      <c r="N265" s="56" t="n">
        <f aca="false">IF(ISNUMBER(N241),N241+N242+N(N243),"")</f>
        <v>274.187</v>
      </c>
      <c r="O265" s="56" t="n">
        <f aca="false">IF(ISNUMBER(O241),O241+O242+N(O243),"")</f>
        <v>109.365</v>
      </c>
      <c r="P265" s="56" t="n">
        <f aca="false">IF(ISNUMBER(P241),P241+P242+N(P243),"")</f>
        <v>86.637</v>
      </c>
      <c r="Q265" s="56" t="n">
        <f aca="false">IF(ISNUMBER(Q241),Q241+Q242+N(Q243),"")</f>
        <v>69.781</v>
      </c>
      <c r="R265" s="56" t="n">
        <f aca="false">IF(ISNUMBER(R241),R241+R242+N(R243),"")</f>
        <v>38.1600000000001</v>
      </c>
      <c r="S265" s="56" t="n">
        <f aca="false">IF(ISNUMBER(S241),S241+S242+N(S243),"")</f>
        <v>303.943</v>
      </c>
      <c r="T265" s="56" t="n">
        <f aca="false">IF(ISNUMBER(T241),T241+T242+N(T243),"")</f>
        <v>120.865</v>
      </c>
      <c r="U265" s="56" t="n">
        <f aca="false">IF(ISNUMBER(U241),U241+U242+N(U243),"")</f>
        <v>96.182</v>
      </c>
      <c r="V265" s="56" t="n">
        <f aca="false">IF(ISNUMBER(V241),V241+V242+N(V243),"")</f>
        <v>77.902</v>
      </c>
      <c r="W265" s="56" t="n">
        <f aca="false">IF(ISNUMBER(W241),W241+W242+N(W243),"")</f>
        <v>43.217</v>
      </c>
      <c r="X265" s="56" t="n">
        <f aca="false">IF(ISNUMBER(X241),X241+X242+N(X243),"")</f>
        <v>338.166</v>
      </c>
      <c r="Y265" s="56" t="n">
        <f aca="false">IF(ISNUMBER(Y241),Y241+Y242+N(Y243),"")</f>
        <v>108.141</v>
      </c>
      <c r="Z265" s="56" t="n">
        <f aca="false">IF(ISNUMBER(Z241),Z241+Z242+N(Z243),"")</f>
        <v>39.418</v>
      </c>
      <c r="AA265" s="56" t="n">
        <f aca="false">IF(ISNUMBER(AA241),AA241+AA242+N(AA243),"")</f>
        <v>186.338</v>
      </c>
      <c r="AB265" s="56" t="n">
        <f aca="false">IF(ISNUMBER(AB241),AB241+AB242+N(AB243),"")</f>
        <v>116.692</v>
      </c>
      <c r="AC265" s="56" t="n">
        <f aca="false">IF(ISNUMBER(AC241),AC241+AC242+N(AC243),"")</f>
        <v>450.589</v>
      </c>
      <c r="AD265" s="56" t="n">
        <f aca="false">IF(ISNUMBER(AD241),AD241+AD242+N(AD243),"")</f>
        <v>196.272</v>
      </c>
      <c r="AE265" s="56" t="n">
        <f aca="false">IF(ISNUMBER(AE241),AE241+AE242+N(AE243),"")</f>
        <v>153.017</v>
      </c>
      <c r="AF265" s="56" t="n">
        <f aca="false">IF(ISNUMBER(AF241),AF241+AF242+N(AF243),"")</f>
        <v>221.701</v>
      </c>
      <c r="AG265" s="56" t="n">
        <f aca="false">IF(ISNUMBER(AG241),AG241+AG242+N(AG243),"")</f>
        <v>136.983</v>
      </c>
      <c r="AH265" s="56" t="n">
        <f aca="false">IF(ISNUMBER(AH241),AH241+AH242+N(AH243),"")</f>
        <v>707.973</v>
      </c>
      <c r="AI265" s="56" t="n">
        <f aca="false">IF(ISNUMBER(AI241),AI241+AI242+N(AI243),"")</f>
        <v>216.031</v>
      </c>
      <c r="AJ265" s="56" t="n">
        <f aca="false">IF(ISNUMBER(AJ241),AJ241+AJ242+N(AJ243),"")</f>
        <v>247.188</v>
      </c>
      <c r="AK265" s="56" t="n">
        <f aca="false">IF(ISNUMBER(AK241),AK241+AK242+N(AK243),"")</f>
        <v>201.061</v>
      </c>
      <c r="AL265" s="56" t="n">
        <f aca="false">IF(ISNUMBER(AL241),AL241+AL242+N(AL243),"")</f>
        <v>200.81</v>
      </c>
      <c r="AM265" s="56" t="n">
        <f aca="false">IF(ISNUMBER(AM241),AM241+AM242+N(AM243),"")</f>
        <v>865.09</v>
      </c>
      <c r="AN265" s="56" t="n">
        <f aca="false">IF(ISNUMBER(AN241),AN241+AN242+N(AN243),"")</f>
        <v>249.534</v>
      </c>
      <c r="AO265" s="56" t="n">
        <f aca="false">IF(ISNUMBER(AO241),AO241+AO242+N(AO243),"")</f>
        <v>249.724</v>
      </c>
      <c r="AP265" s="56" t="n">
        <f aca="false">IF(ISNUMBER(AP241),AP241+AP242+N(AP243),"")</f>
        <v>220.963</v>
      </c>
      <c r="AQ265" s="56" t="n">
        <f aca="false">IF(ISNUMBER(AQ241),AQ241+AQ242+N(AQ243),"")</f>
        <v>154.237</v>
      </c>
      <c r="AR265" s="56" t="n">
        <f aca="false">IF(ISNUMBER(AR241),AR241+AR242+N(AR243),"")</f>
        <v>874.458</v>
      </c>
      <c r="AS265" s="56" t="n">
        <f aca="false">IF(ISNUMBER(AS241),AS241+AS242+N(AS243),"")</f>
        <v>231.805</v>
      </c>
      <c r="AT265" s="56" t="n">
        <f aca="false">IF(ISNUMBER(AT241),AT241+AT242+N(AT243),"")</f>
        <v>236.219</v>
      </c>
      <c r="AU265" s="56" t="n">
        <f aca="false">IF(ISNUMBER(AU241),AU241+AU242+N(AU243),"")</f>
        <v>230.046</v>
      </c>
      <c r="AV265" s="56" t="n">
        <f aca="false">IF(ISNUMBER(AV241),AV241+AV242+N(AV243),"")</f>
        <v>45.8899999999999</v>
      </c>
      <c r="AW265" s="56" t="n">
        <f aca="false">IF(ISNUMBER(AW241),AW241+AW242+N(AW243),"")</f>
        <v>743.96</v>
      </c>
      <c r="AX265" s="56" t="n">
        <f aca="false">IF(ISNUMBER(AX241),AX241+AX242+N(AX243),"")</f>
        <v>303.603</v>
      </c>
      <c r="AY265" s="56" t="n">
        <f aca="false">IF(ISNUMBER(AY241),AY241+AY242+N(AY243),"")</f>
        <v>273.483</v>
      </c>
      <c r="AZ265" s="56" t="n">
        <f aca="false">IF(ISNUMBER(AZ241),AZ241+AZ242+N(AZ243),"")</f>
        <v>213.395</v>
      </c>
      <c r="BA265" s="56" t="n">
        <f aca="false">IF(ISNUMBER(BA241),BA241+BA242+N(BA243),"")</f>
        <v>163.433</v>
      </c>
      <c r="BB265" s="56" t="n">
        <f aca="false">IF(ISNUMBER(BB241),BB241+BB242+N(BB243),"")</f>
        <v>953.914</v>
      </c>
      <c r="BC265" s="56" t="n">
        <f aca="false">IF(ISNUMBER(BC241),BC241+BC242+N(BC243),"")</f>
        <v>288.579</v>
      </c>
      <c r="BD265" s="56" t="n">
        <f aca="false">IF(ISNUMBER(BD241),BD241+BD242+N(BD243),"")</f>
        <v>313.671</v>
      </c>
      <c r="BE265" s="56" t="n">
        <f aca="false">IF(ISNUMBER(BE241),BE241+BE242+N(BE243),"")</f>
        <v>279.574</v>
      </c>
      <c r="BF265" s="56" t="n">
        <f aca="false">IF(ISNUMBER(BF241),BF241+BF242+N(BF243),"")</f>
        <v>227.991</v>
      </c>
      <c r="BG265" s="56" t="n">
        <f aca="false">IF(ISNUMBER(BG241),BG241+BG242+N(BG243),"")</f>
        <v>1109.815</v>
      </c>
      <c r="BH265" s="56" t="n">
        <f aca="false">IF(ISNUMBER(BH241),BH241+BH242+N(BH243),"")</f>
        <v>266.572</v>
      </c>
      <c r="BI265" s="56" t="n">
        <f aca="false">IF(ISNUMBER(BI241),BI241+BI242+N(BI243),"")</f>
        <v>355.997</v>
      </c>
      <c r="BJ265" s="56" t="n">
        <f aca="false">IF(ISNUMBER(BJ241),BJ241+BJ242+N(BJ243),"")</f>
        <v>332.753</v>
      </c>
      <c r="BK265" s="56" t="n">
        <f aca="false">IF(ISNUMBER(BK241),BK241+BK242+N(BK243),"")</f>
        <v>237.495</v>
      </c>
      <c r="BL265" s="56" t="n">
        <f aca="false">IF(ISNUMBER(BL241),BL241+BL242+N(BL243),"")</f>
        <v>1192.817</v>
      </c>
      <c r="BM265" s="56" t="n">
        <f aca="false">IF(ISNUMBER(BM241),BM241+BM242+N(BM243),"")</f>
        <v>320.358</v>
      </c>
      <c r="BN265" s="56" t="n">
        <f aca="false">IF(ISNUMBER(BN241),BN241+BN242+N(BN243),"")</f>
        <v>394.159</v>
      </c>
      <c r="BO265" s="56" t="n">
        <f aca="false">IF(ISNUMBER(BO241),BO241+BO242+N(BO243),"")</f>
        <v>286.179</v>
      </c>
      <c r="BP265" s="56" t="n">
        <f aca="false">IF(ISNUMBER(BP241),BP241+BP242+N(BP243),"")</f>
        <v>172.243</v>
      </c>
      <c r="BQ265" s="56" t="n">
        <f aca="false">IF(ISNUMBER(BQ241),BQ241+BQ242+N(BQ243),"")</f>
        <v>1172.939</v>
      </c>
      <c r="BR265" s="56" t="n">
        <f aca="false">IF(ISNUMBER(BR241),BR241+BR242+N(BR243),"")</f>
        <v>329.084</v>
      </c>
      <c r="BS265" s="56" t="n">
        <f aca="false">IF(ISNUMBER(BS241),BS241+BS242+N(BS243),"")</f>
        <v>352.892</v>
      </c>
      <c r="BT265" s="56" t="n">
        <f aca="false">IF(ISNUMBER(BT241),BT241+BT242+N(BT243),"")</f>
        <v>380.277</v>
      </c>
      <c r="BU265" s="56" t="n">
        <f aca="false">IF(ISNUMBER(BU241),BU241+BU242+N(BU243),"")</f>
        <v>157.45</v>
      </c>
      <c r="BV265" s="56" t="n">
        <f aca="false">IF(ISNUMBER(BV241),BV241+BV242+N(BV243),"")</f>
        <v>1219.703</v>
      </c>
      <c r="BW265" s="56" t="n">
        <f aca="false">IF(ISNUMBER(BW241),BW241+BW242+N(BW243),"")</f>
        <v>249.002</v>
      </c>
      <c r="BX265" s="56" t="n">
        <f aca="false">IF(ISNUMBER(BX241),BX241+BX242+N(BX243),"")</f>
        <v>379.886</v>
      </c>
      <c r="BY265" s="74"/>
      <c r="BZ265" s="74"/>
      <c r="CA265" s="56" t="n">
        <f aca="false">IF(ISNUMBER(CA241),CA241+CA242+N(CA243),"")</f>
        <v>1353.951</v>
      </c>
      <c r="CB265" s="56" t="n">
        <f aca="false">IF(ISNUMBER(CB241),CB241+CB242+N(CB243),"")</f>
        <v>1727.16773606155</v>
      </c>
      <c r="CC265" s="56" t="n">
        <f aca="false">IF(ISNUMBER(CC241),CC241+CC242+N(CC243),"")</f>
        <v>1887.1776133613</v>
      </c>
      <c r="CD265" s="56" t="n">
        <f aca="false">IF(ISNUMBER(CD241),CD241+CD242+N(CD243),"")</f>
        <v>2027.71212254468</v>
      </c>
      <c r="CE265" s="56" t="n">
        <f aca="false">IF(ISNUMBER(CE241),CE241+CE242+N(CE243),"")</f>
        <v>2167.31559057455</v>
      </c>
      <c r="CF265" s="21" t="s">
        <v>461</v>
      </c>
      <c r="CH265" s="22" t="n">
        <f aca="false">IFERROR((CE265/BV265)^(1/5)-1,"n/m")</f>
        <v>0.121846952752132</v>
      </c>
      <c r="CI265" s="22" t="n">
        <f aca="false">IFERROR((BV265/AW265)^(1/5)-1,"n/m")</f>
        <v>0.103928387221845</v>
      </c>
      <c r="CJ265" s="22" t="n">
        <f aca="false">IFERROR((BV265/X265)^(1/10)-1,"n/m")</f>
        <v>0.136874211393692</v>
      </c>
      <c r="CK265" s="22" t="n">
        <f aca="false">IFERROR((BV265/C265)^(1/19)-1,"n/m")</f>
        <v>0.136246402970428</v>
      </c>
    </row>
    <row r="266" customFormat="false" ht="15" hidden="false" customHeight="true" outlineLevel="0" collapsed="false">
      <c r="B266" s="34" t="s">
        <v>462</v>
      </c>
      <c r="C266" s="35"/>
      <c r="D266" s="36" t="n">
        <f aca="false">IF(AND(ISNUMBER(D265),ISNUMBER(C265)),IFERROR(D265/C265-1,""),"")</f>
        <v>-0.119574803880611</v>
      </c>
      <c r="E266" s="36" t="n">
        <f aca="false">IF(AND(ISNUMBER(E265),ISNUMBER(D265)),IFERROR(E265/D265-1,""),"")</f>
        <v>0.654589550271524</v>
      </c>
      <c r="F266" s="36" t="n">
        <f aca="false">IF(AND(ISNUMBER(F265),ISNUMBER(E265)),IFERROR(F265/E265-1,""),"")</f>
        <v>0.117727658001568</v>
      </c>
      <c r="G266" s="36" t="n">
        <f aca="false">IF(AND(ISNUMBER(G265),ISNUMBER(F265)),IFERROR(G265/F265-1,""),"")</f>
        <v>0.125232344656928</v>
      </c>
      <c r="H266" s="36" t="n">
        <f aca="false">IF(AND(ISNUMBER(H265),ISNUMBER(G265)),IFERROR(H265/G265-1,""),"")</f>
        <v>0.247762857866735</v>
      </c>
      <c r="I266" s="36" t="n">
        <f aca="false">IF(AND(ISNUMBER(I265),ISNUMBER(H265)),IFERROR(I265/H265-1,""),"")</f>
        <v>0.0672660672660672</v>
      </c>
      <c r="J266" s="35"/>
      <c r="K266" s="35"/>
      <c r="L266" s="35"/>
      <c r="M266" s="35"/>
      <c r="N266" s="36" t="n">
        <f aca="false">IF(AND(ISNUMBER(N265),ISNUMBER(I265)),IFERROR(N265/I265-1,""),"")</f>
        <v>0.0432898291541417</v>
      </c>
      <c r="O266" s="36" t="n">
        <f aca="false">IF(AND(ISNUMBER(O265),ISNUMBER(J265)),IFERROR(O265/J265-1,""),"")</f>
        <v>0.138590153352836</v>
      </c>
      <c r="P266" s="36" t="n">
        <f aca="false">IF(AND(ISNUMBER(P265),ISNUMBER(K265)),IFERROR(P265/K265-1,""),"")</f>
        <v>0.204479417203075</v>
      </c>
      <c r="Q266" s="36" t="n">
        <f aca="false">IF(AND(ISNUMBER(Q265),ISNUMBER(L265)),IFERROR(Q265/L265-1,""),"")</f>
        <v>-0.0884258654474197</v>
      </c>
      <c r="R266" s="36" t="n">
        <f aca="false">IF(AND(ISNUMBER(R265),ISNUMBER(M265)),IFERROR(R265/M265-1,""),"")</f>
        <v>0.286798179059184</v>
      </c>
      <c r="S266" s="36" t="n">
        <f aca="false">IF(AND(ISNUMBER(S265),ISNUMBER(N265)),IFERROR(S265/N265-1,""),"")</f>
        <v>0.108524474172736</v>
      </c>
      <c r="T266" s="36" t="n">
        <f aca="false">IF(AND(ISNUMBER(T265),ISNUMBER(O265)),IFERROR(T265/O265-1,""),"")</f>
        <v>0.10515247108307</v>
      </c>
      <c r="U266" s="36" t="n">
        <f aca="false">IF(AND(ISNUMBER(U265),ISNUMBER(P265)),IFERROR(U265/P265-1,""),"")</f>
        <v>0.110172328220045</v>
      </c>
      <c r="V266" s="36" t="n">
        <f aca="false">IF(AND(ISNUMBER(V265),ISNUMBER(Q265)),IFERROR(V265/Q265-1,""),"")</f>
        <v>0.116378383800748</v>
      </c>
      <c r="W266" s="36" t="n">
        <f aca="false">IF(AND(ISNUMBER(W265),ISNUMBER(R265)),IFERROR(W265/R265-1,""),"")</f>
        <v>0.132520964360584</v>
      </c>
      <c r="X266" s="36" t="n">
        <f aca="false">IF(AND(ISNUMBER(X265),ISNUMBER(S265)),IFERROR(X265/S265-1,""),"")</f>
        <v>0.112596769789072</v>
      </c>
      <c r="Y266" s="36" t="n">
        <f aca="false">IF(AND(ISNUMBER(Y265),ISNUMBER(T265)),IFERROR(Y265/T265-1,""),"")</f>
        <v>-0.105274479791503</v>
      </c>
      <c r="Z266" s="36" t="n">
        <f aca="false">IF(AND(ISNUMBER(Z265),ISNUMBER(U265)),IFERROR(Z265/U265-1,""),"")</f>
        <v>-0.59017279740492</v>
      </c>
      <c r="AA266" s="36" t="n">
        <f aca="false">IF(AND(ISNUMBER(AA265),ISNUMBER(V265)),IFERROR(AA265/V265-1,""),"")</f>
        <v>1.39195399347899</v>
      </c>
      <c r="AB266" s="36" t="n">
        <f aca="false">IF(AND(ISNUMBER(AB265),ISNUMBER(W265)),IFERROR(AB265/W265-1,""),"")</f>
        <v>1.70014114815929</v>
      </c>
      <c r="AC266" s="36" t="n">
        <f aca="false">IF(AND(ISNUMBER(AC265),ISNUMBER(X265)),IFERROR(AC265/X265-1,""),"")</f>
        <v>0.332449152191527</v>
      </c>
      <c r="AD266" s="36" t="n">
        <f aca="false">IF(AND(ISNUMBER(AD265),ISNUMBER(Y265)),IFERROR(AD265/Y265-1,""),"")</f>
        <v>0.814963797264682</v>
      </c>
      <c r="AE266" s="36" t="n">
        <f aca="false">IF(AND(ISNUMBER(AE265),ISNUMBER(Z265)),IFERROR(AE265/Z265-1,""),"")</f>
        <v>2.88190674311228</v>
      </c>
      <c r="AF266" s="36" t="n">
        <f aca="false">IF(AND(ISNUMBER(AF265),ISNUMBER(AA265)),IFERROR(AF265/AA265-1,""),"")</f>
        <v>0.189778789082206</v>
      </c>
      <c r="AG266" s="36" t="n">
        <f aca="false">IF(AND(ISNUMBER(AG265),ISNUMBER(AB265)),IFERROR(AG265/AB265-1,""),"")</f>
        <v>0.173885099235594</v>
      </c>
      <c r="AH266" s="36" t="n">
        <f aca="false">IF(AND(ISNUMBER(AH265),ISNUMBER(AC265)),IFERROR(AH265/AC265-1,""),"")</f>
        <v>0.571216785141226</v>
      </c>
      <c r="AI266" s="36" t="n">
        <f aca="false">IF(AND(ISNUMBER(AI265),ISNUMBER(AD265)),IFERROR(AI265/AD265-1,""),"")</f>
        <v>0.10067151707834</v>
      </c>
      <c r="AJ266" s="36" t="n">
        <f aca="false">IF(AND(ISNUMBER(AJ265),ISNUMBER(AE265)),IFERROR(AJ265/AE265-1,""),"")</f>
        <v>0.615428351098245</v>
      </c>
      <c r="AK266" s="36" t="n">
        <f aca="false">IF(AND(ISNUMBER(AK265),ISNUMBER(AF265)),IFERROR(AK265/AF265-1,""),"")</f>
        <v>-0.0930983622085613</v>
      </c>
      <c r="AL266" s="36" t="n">
        <f aca="false">IF(AND(ISNUMBER(AL265),ISNUMBER(AG265)),IFERROR(AL265/AG265-1,""),"")</f>
        <v>0.465948329354737</v>
      </c>
      <c r="AM266" s="36" t="n">
        <f aca="false">IF(AND(ISNUMBER(AM265),ISNUMBER(AH265)),IFERROR(AM265/AH265-1,""),"")</f>
        <v>0.221925129913146</v>
      </c>
      <c r="AN266" s="36" t="n">
        <f aca="false">IF(AND(ISNUMBER(AN265),ISNUMBER(AI265)),IFERROR(AN265/AI265-1,""),"")</f>
        <v>0.155084224023404</v>
      </c>
      <c r="AO266" s="36" t="n">
        <f aca="false">IF(AND(ISNUMBER(AO265),ISNUMBER(AJ265)),IFERROR(AO265/AJ265-1,""),"")</f>
        <v>0.0102593977053902</v>
      </c>
      <c r="AP266" s="36" t="n">
        <f aca="false">IF(AND(ISNUMBER(AP265),ISNUMBER(AK265)),IFERROR(AP265/AK265-1,""),"")</f>
        <v>0.0989848851840998</v>
      </c>
      <c r="AQ266" s="36" t="n">
        <f aca="false">IF(AND(ISNUMBER(AQ265),ISNUMBER(AL265)),IFERROR(AQ265/AL265-1,""),"")</f>
        <v>-0.231925700911309</v>
      </c>
      <c r="AR266" s="36" t="n">
        <f aca="false">IF(AND(ISNUMBER(AR265),ISNUMBER(AM265)),IFERROR(AR265/AM265-1,""),"")</f>
        <v>0.0108289310938747</v>
      </c>
      <c r="AS266" s="36" t="n">
        <f aca="false">IF(AND(ISNUMBER(AS265),ISNUMBER(AN265)),IFERROR(AS265/AN265-1,""),"")</f>
        <v>-0.0710484342815007</v>
      </c>
      <c r="AT266" s="36" t="n">
        <f aca="false">IF(AND(ISNUMBER(AT265),ISNUMBER(AO265)),IFERROR(AT265/AO265-1,""),"")</f>
        <v>-0.0540797039932091</v>
      </c>
      <c r="AU266" s="36" t="n">
        <f aca="false">IF(AND(ISNUMBER(AU265),ISNUMBER(AP265)),IFERROR(AU265/AP265-1,""),"")</f>
        <v>0.0411064295832333</v>
      </c>
      <c r="AV266" s="36" t="n">
        <f aca="false">IF(AND(ISNUMBER(AV265),ISNUMBER(AQ265)),IFERROR(AV265/AQ265-1,""),"")</f>
        <v>-0.702470872747785</v>
      </c>
      <c r="AW266" s="36" t="n">
        <f aca="false">IF(AND(ISNUMBER(AW265),ISNUMBER(AR265)),IFERROR(AW265/AR265-1,""),"")</f>
        <v>-0.149233010619149</v>
      </c>
      <c r="AX266" s="36" t="n">
        <f aca="false">IF(AND(ISNUMBER(AX265),ISNUMBER(AS265)),IFERROR(AX265/AS265-1,""),"")</f>
        <v>0.309734475097604</v>
      </c>
      <c r="AY266" s="36" t="n">
        <f aca="false">IF(AND(ISNUMBER(AY265),ISNUMBER(AT265)),IFERROR(AY265/AT265-1,""),"")</f>
        <v>0.157751916653614</v>
      </c>
      <c r="AZ266" s="36" t="n">
        <f aca="false">IF(AND(ISNUMBER(AZ265),ISNUMBER(AU265)),IFERROR(AZ265/AU265-1,""),"")</f>
        <v>-0.0723811759387252</v>
      </c>
      <c r="BA266" s="36" t="n">
        <f aca="false">IF(AND(ISNUMBER(BA265),ISNUMBER(AV265)),IFERROR(BA265/AV265-1,""),"")</f>
        <v>2.56140771409894</v>
      </c>
      <c r="BB266" s="36" t="n">
        <f aca="false">IF(AND(ISNUMBER(BB265),ISNUMBER(AW265)),IFERROR(BB265/AW265-1,""),"")</f>
        <v>0.282211409215549</v>
      </c>
      <c r="BC266" s="36" t="n">
        <f aca="false">IF(AND(ISNUMBER(BC265),ISNUMBER(AX265)),IFERROR(BC265/AX265-1,""),"")</f>
        <v>-0.049485677019002</v>
      </c>
      <c r="BD266" s="36" t="n">
        <f aca="false">IF(AND(ISNUMBER(BD265),ISNUMBER(AY265)),IFERROR(BD265/AY265-1,""),"")</f>
        <v>0.146948804861728</v>
      </c>
      <c r="BE266" s="36" t="n">
        <f aca="false">IF(AND(ISNUMBER(BE265),ISNUMBER(AZ265)),IFERROR(BE265/AZ265-1,""),"")</f>
        <v>0.310124417160664</v>
      </c>
      <c r="BF266" s="36" t="n">
        <f aca="false">IF(AND(ISNUMBER(BF265),ISNUMBER(BA265)),IFERROR(BF265/BA265-1,""),"")</f>
        <v>0.395012023275593</v>
      </c>
      <c r="BG266" s="36" t="n">
        <f aca="false">IF(AND(ISNUMBER(BG265),ISNUMBER(BB265)),IFERROR(BG265/BB265-1,""),"")</f>
        <v>0.16343297194506</v>
      </c>
      <c r="BH266" s="36" t="n">
        <f aca="false">IF(AND(ISNUMBER(BH265),ISNUMBER(BC265)),IFERROR(BH265/BC265-1,""),"")</f>
        <v>-0.0762598803100709</v>
      </c>
      <c r="BI266" s="36" t="n">
        <f aca="false">IF(AND(ISNUMBER(BI265),ISNUMBER(BD265)),IFERROR(BI265/BD265-1,""),"")</f>
        <v>0.134937561967795</v>
      </c>
      <c r="BJ266" s="36" t="n">
        <f aca="false">IF(AND(ISNUMBER(BJ265),ISNUMBER(BE265)),IFERROR(BJ265/BE265-1,""),"")</f>
        <v>0.190214397619235</v>
      </c>
      <c r="BK266" s="36" t="n">
        <f aca="false">IF(AND(ISNUMBER(BK265),ISNUMBER(BF265)),IFERROR(BK265/BF265-1,""),"")</f>
        <v>0.0416858560206321</v>
      </c>
      <c r="BL266" s="36" t="n">
        <f aca="false">IF(AND(ISNUMBER(BL265),ISNUMBER(BG265)),IFERROR(BL265/BG265-1,""),"")</f>
        <v>0.0747890414168126</v>
      </c>
      <c r="BM266" s="36" t="n">
        <f aca="false">IF(AND(ISNUMBER(BM265),ISNUMBER(BH265)),IFERROR(BM265/BH265-1,""),"")</f>
        <v>0.201769128040455</v>
      </c>
      <c r="BN266" s="36" t="n">
        <f aca="false">IF(AND(ISNUMBER(BN265),ISNUMBER(BI265)),IFERROR(BN265/BI265-1,""),"")</f>
        <v>0.107197532563476</v>
      </c>
      <c r="BO266" s="36" t="n">
        <f aca="false">IF(AND(ISNUMBER(BO265),ISNUMBER(BJ265)),IFERROR(BO265/BJ265-1,""),"")</f>
        <v>-0.139965680249314</v>
      </c>
      <c r="BP266" s="36" t="n">
        <f aca="false">IF(AND(ISNUMBER(BP265),ISNUMBER(BK265)),IFERROR(BP265/BK265-1,""),"")</f>
        <v>-0.274751047390471</v>
      </c>
      <c r="BQ266" s="36" t="n">
        <f aca="false">IF(AND(ISNUMBER(BQ265),ISNUMBER(BL265)),IFERROR(BQ265/BL265-1,""),"")</f>
        <v>-0.0166647524305907</v>
      </c>
      <c r="BR266" s="36" t="n">
        <f aca="false">IF(AND(ISNUMBER(BR265),ISNUMBER(BM265)),IFERROR(BR265/BM265-1,""),"")</f>
        <v>0.0272382771774073</v>
      </c>
      <c r="BS266" s="36" t="n">
        <f aca="false">IF(AND(ISNUMBER(BS265),ISNUMBER(BN265)),IFERROR(BS265/BN265-1,""),"")</f>
        <v>-0.10469632813154</v>
      </c>
      <c r="BT266" s="36" t="n">
        <f aca="false">IF(AND(ISNUMBER(BT265),ISNUMBER(BO265)),IFERROR(BT265/BO265-1,""),"")</f>
        <v>0.328808193473315</v>
      </c>
      <c r="BU266" s="36" t="n">
        <f aca="false">IF(AND(ISNUMBER(BU265),ISNUMBER(BP265)),IFERROR(BU265/BP265-1,""),"")</f>
        <v>-0.0858844771630796</v>
      </c>
      <c r="BV266" s="36" t="n">
        <f aca="false">IF(AND(ISNUMBER(BV265),ISNUMBER(BQ265)),IFERROR(BV265/BQ265-1,""),"")</f>
        <v>0.0398690810008022</v>
      </c>
      <c r="BW266" s="36" t="n">
        <f aca="false">IF(AND(ISNUMBER(BW265),ISNUMBER(BR265)),IFERROR(BW265/BR265-1,""),"")</f>
        <v>-0.243348202890447</v>
      </c>
      <c r="BX266" s="36" t="n">
        <f aca="false">IF(AND(ISNUMBER(BX265),ISNUMBER(BS265)),IFERROR(BX265/BS265-1,""),"")</f>
        <v>0.076493658116364</v>
      </c>
      <c r="BY266" s="39"/>
      <c r="BZ266" s="39"/>
      <c r="CA266" s="37" t="n">
        <f aca="false">IFERROR(CA265/BV265-1,"")</f>
        <v>0.110066139051884</v>
      </c>
      <c r="CB266" s="37" t="n">
        <f aca="false">IFERROR(CB265/CA265-1,"")</f>
        <v>0.275650105551491</v>
      </c>
      <c r="CC266" s="37" t="n">
        <f aca="false">IFERROR(CC265/CB265-1,"")</f>
        <v>0.0926429286275468</v>
      </c>
      <c r="CD266" s="37" t="n">
        <f aca="false">IFERROR(CD265/CC265-1,"")</f>
        <v>0.0744680883179147</v>
      </c>
      <c r="CE266" s="37" t="n">
        <f aca="false">IFERROR(CE265/CD265-1,"")</f>
        <v>0.0688477750257155</v>
      </c>
      <c r="CF266" s="21"/>
    </row>
    <row r="267" customFormat="false" ht="15" hidden="false" customHeight="true" outlineLevel="0" collapsed="false">
      <c r="B267" s="29" t="s">
        <v>463</v>
      </c>
      <c r="C267" s="38" t="n">
        <f aca="false">IF(AND(ISNUMBER(C265),ISNUMBER(C128)),IFERROR(C265/C128,""),"")</f>
        <v>0.130665951763441</v>
      </c>
      <c r="D267" s="38" t="n">
        <f aca="false">IF(AND(ISNUMBER(D265),ISNUMBER(D128)),IFERROR(D265/D128,""),"")</f>
        <v>0.098936821690465</v>
      </c>
      <c r="E267" s="38" t="n">
        <f aca="false">IF(AND(ISNUMBER(E265),ISNUMBER(E128)),IFERROR(E265/E128,""),"")</f>
        <v>0.149497476664987</v>
      </c>
      <c r="F267" s="38" t="n">
        <f aca="false">IF(AND(ISNUMBER(F265),ISNUMBER(F128)),IFERROR(F265/F128,""),"")</f>
        <v>0.147210869964823</v>
      </c>
      <c r="G267" s="38" t="n">
        <f aca="false">IF(AND(ISNUMBER(G265),ISNUMBER(G128)),IFERROR(G265/G128,""),"")</f>
        <v>0.149535103810777</v>
      </c>
      <c r="H267" s="38" t="n">
        <f aca="false">IF(AND(ISNUMBER(H265),ISNUMBER(H128)),IFERROR(H265/H128,""),"")</f>
        <v>0.163578824020205</v>
      </c>
      <c r="I267" s="38" t="n">
        <f aca="false">IF(AND(ISNUMBER(I265),ISNUMBER(I128)),IFERROR(I265/I128,""),"")</f>
        <v>0.15816511376261</v>
      </c>
      <c r="J267" s="38" t="n">
        <f aca="false">IF(AND(ISNUMBER(J265),ISNUMBER(J128)),IFERROR(J265/J128,""),"")</f>
        <v>0.213502351675513</v>
      </c>
      <c r="K267" s="38" t="n">
        <f aca="false">IF(AND(ISNUMBER(K265),ISNUMBER(K128)),IFERROR(K265/K128,""),"")</f>
        <v>0.146979551719417</v>
      </c>
      <c r="L267" s="38" t="n">
        <f aca="false">IF(AND(ISNUMBER(L265),ISNUMBER(L128)),IFERROR(L265/L128,""),"")</f>
        <v>0.151991676693551</v>
      </c>
      <c r="M267" s="38" t="n">
        <f aca="false">IF(AND(ISNUMBER(M265),ISNUMBER(M128)),IFERROR(M265/M128,""),"")</f>
        <v>0.0610339653863015</v>
      </c>
      <c r="N267" s="38" t="n">
        <f aca="false">IF(AND(ISNUMBER(N265),ISNUMBER(N128)),IFERROR(N265/N128,""),"")</f>
        <v>0.142154557638318</v>
      </c>
      <c r="O267" s="38" t="n">
        <f aca="false">IF(AND(ISNUMBER(O265),ISNUMBER(O128)),IFERROR(O265/O128,""),"")</f>
        <v>0.227034938033257</v>
      </c>
      <c r="P267" s="38" t="n">
        <f aca="false">IF(AND(ISNUMBER(P265),ISNUMBER(P128)),IFERROR(P265/P128,""),"")</f>
        <v>0.165119412685132</v>
      </c>
      <c r="Q267" s="38" t="n">
        <f aca="false">IF(AND(ISNUMBER(Q265),ISNUMBER(Q128)),IFERROR(Q265/Q128,""),"")</f>
        <v>0.127675184932422</v>
      </c>
      <c r="R267" s="38" t="n">
        <f aca="false">IF(AND(ISNUMBER(R265),ISNUMBER(R128)),IFERROR(R265/R128,""),"")</f>
        <v>0.0725181627971945</v>
      </c>
      <c r="S267" s="38" t="n">
        <f aca="false">IF(AND(ISNUMBER(S265),ISNUMBER(S128)),IFERROR(S265/S128,""),"")</f>
        <v>0.146185056893004</v>
      </c>
      <c r="T267" s="38" t="n">
        <f aca="false">IF(AND(ISNUMBER(T265),ISNUMBER(T128)),IFERROR(T265/T128,""),"")</f>
        <v>0.238816439438846</v>
      </c>
      <c r="U267" s="38" t="n">
        <f aca="false">IF(AND(ISNUMBER(U265),ISNUMBER(U128)),IFERROR(U265/U128,""),"")</f>
        <v>0.181027343632367</v>
      </c>
      <c r="V267" s="38" t="n">
        <f aca="false">IF(AND(ISNUMBER(V265),ISNUMBER(V128)),IFERROR(V265/V128,""),"")</f>
        <v>0.142173019575207</v>
      </c>
      <c r="W267" s="38" t="n">
        <f aca="false">IF(AND(ISNUMBER(W265),ISNUMBER(W128)),IFERROR(W265/W128,""),"")</f>
        <v>0.0812445834751108</v>
      </c>
      <c r="X267" s="38" t="n">
        <f aca="false">IF(AND(ISNUMBER(X265),ISNUMBER(X128)),IFERROR(X265/X128,""),"")</f>
        <v>0.159716656268139</v>
      </c>
      <c r="Y267" s="38" t="n">
        <f aca="false">IF(AND(ISNUMBER(Y265),ISNUMBER(Y128)),IFERROR(Y265/Y128,""),"")</f>
        <v>0.210113079972021</v>
      </c>
      <c r="Z267" s="38" t="n">
        <f aca="false">IF(AND(ISNUMBER(Z265),ISNUMBER(Z128)),IFERROR(Z265/Z128,""),"")</f>
        <v>0.0541724673911102</v>
      </c>
      <c r="AA267" s="38" t="n">
        <f aca="false">IF(AND(ISNUMBER(AA265),ISNUMBER(AA128)),IFERROR(AA265/AA128,""),"")</f>
        <v>0.17175243934587</v>
      </c>
      <c r="AB267" s="38" t="n">
        <f aca="false">IF(AND(ISNUMBER(AB265),ISNUMBER(AB128)),IFERROR(AB265/AB128,""),"")</f>
        <v>0.111281281529474</v>
      </c>
      <c r="AC267" s="38" t="n">
        <f aca="false">IF(AND(ISNUMBER(AC265),ISNUMBER(AC128)),IFERROR(AC265/AC128,""),"")</f>
        <v>0.133473722126757</v>
      </c>
      <c r="AD267" s="38" t="n">
        <f aca="false">IF(AND(ISNUMBER(AD265),ISNUMBER(AD128)),IFERROR(AD265/AD128,""),"")</f>
        <v>0.179857156733555</v>
      </c>
      <c r="AE267" s="38" t="n">
        <f aca="false">IF(AND(ISNUMBER(AE265),ISNUMBER(AE128)),IFERROR(AE265/AE128,""),"")</f>
        <v>0.130164201335694</v>
      </c>
      <c r="AF267" s="38" t="n">
        <f aca="false">IF(AND(ISNUMBER(AF265),ISNUMBER(AF128)),IFERROR(AF265/AF128,""),"")</f>
        <v>0.183758841852069</v>
      </c>
      <c r="AG267" s="38" t="n">
        <f aca="false">IF(AND(ISNUMBER(AG265),ISNUMBER(AG128)),IFERROR(AG265/AG128,""),"")</f>
        <v>0.118377082118089</v>
      </c>
      <c r="AH267" s="38" t="n">
        <f aca="false">IF(AND(ISNUMBER(AH265),ISNUMBER(AH128)),IFERROR(AH265/AH128,""),"")</f>
        <v>0.152893820262573</v>
      </c>
      <c r="AI267" s="38" t="n">
        <f aca="false">IF(AND(ISNUMBER(AI265),ISNUMBER(AI128)),IFERROR(AI265/AI128,""),"")</f>
        <v>0.189479103717029</v>
      </c>
      <c r="AJ267" s="38" t="n">
        <f aca="false">IF(AND(ISNUMBER(AJ265),ISNUMBER(AJ128)),IFERROR(AJ265/AJ128,""),"")</f>
        <v>0.199350305814344</v>
      </c>
      <c r="AK267" s="38" t="n">
        <f aca="false">IF(AND(ISNUMBER(AK265),ISNUMBER(AK128)),IFERROR(AK265/AK128,""),"")</f>
        <v>0.1569428074092</v>
      </c>
      <c r="AL267" s="38" t="n">
        <f aca="false">IF(AND(ISNUMBER(AL265),ISNUMBER(AL128)),IFERROR(AL265/AL128,""),"")</f>
        <v>0.159154241946784</v>
      </c>
      <c r="AM267" s="38" t="n">
        <f aca="false">IF(AND(ISNUMBER(AM265),ISNUMBER(AM128)),IFERROR(AM265/AM128,""),"")</f>
        <v>0.175726257942153</v>
      </c>
      <c r="AN267" s="38" t="n">
        <f aca="false">IF(AND(ISNUMBER(AN265),ISNUMBER(AN128)),IFERROR(AN265/AN128,""),"")</f>
        <v>0.20048737101661</v>
      </c>
      <c r="AO267" s="38" t="n">
        <f aca="false">IF(AND(ISNUMBER(AO265),ISNUMBER(AO128)),IFERROR(AO265/AO128,""),"")</f>
        <v>0.182328336152811</v>
      </c>
      <c r="AP267" s="38" t="n">
        <f aca="false">IF(AND(ISNUMBER(AP265),ISNUMBER(AP128)),IFERROR(AP265/AP128,""),"")</f>
        <v>0.15644018453121</v>
      </c>
      <c r="AQ267" s="38" t="n">
        <f aca="false">IF(AND(ISNUMBER(AQ265),ISNUMBER(AQ128)),IFERROR(AQ265/AQ128,""),"")</f>
        <v>0.113246350847308</v>
      </c>
      <c r="AR267" s="38" t="n">
        <f aca="false">IF(AND(ISNUMBER(AR265),ISNUMBER(AR128)),IFERROR(AR265/AR128,""),"")</f>
        <v>0.162276877134452</v>
      </c>
      <c r="AS267" s="38" t="n">
        <f aca="false">IF(AND(ISNUMBER(AS265),ISNUMBER(AS128)),IFERROR(AS265/AS128,""),"")</f>
        <v>0.17140218455432</v>
      </c>
      <c r="AT267" s="38" t="n">
        <f aca="false">IF(AND(ISNUMBER(AT265),ISNUMBER(AT128)),IFERROR(AT265/AT128,""),"")</f>
        <v>0.180902325196702</v>
      </c>
      <c r="AU267" s="38" t="n">
        <f aca="false">IF(AND(ISNUMBER(AU265),ISNUMBER(AU128)),IFERROR(AU265/AU128,""),"")</f>
        <v>0.165554077861066</v>
      </c>
      <c r="AV267" s="38" t="n">
        <f aca="false">IF(AND(ISNUMBER(AV265),ISNUMBER(AV128)),IFERROR(AV265/AV128,""),"")</f>
        <v>0.0328195724515841</v>
      </c>
      <c r="AW267" s="38" t="n">
        <f aca="false">IF(AND(ISNUMBER(AW265),ISNUMBER(AW128)),IFERROR(AW265/AW128,""),"")</f>
        <v>0.136606934643655</v>
      </c>
      <c r="AX267" s="38" t="n">
        <f aca="false">IF(AND(ISNUMBER(AX265),ISNUMBER(AX128)),IFERROR(AX265/AX128,""),"")</f>
        <v>0.2174896951306</v>
      </c>
      <c r="AY267" s="38" t="n">
        <f aca="false">IF(AND(ISNUMBER(AY265),ISNUMBER(AY128)),IFERROR(AY265/AY128,""),"")</f>
        <v>0.178288984315461</v>
      </c>
      <c r="AZ267" s="38" t="n">
        <f aca="false">IF(AND(ISNUMBER(AZ265),ISNUMBER(AZ128)),IFERROR(AZ265/AZ128,""),"")</f>
        <v>0.133608361800387</v>
      </c>
      <c r="BA267" s="38" t="n">
        <f aca="false">IF(AND(ISNUMBER(BA265),ISNUMBER(BA128)),IFERROR(BA265/BA128,""),"")</f>
        <v>0.100616319823877</v>
      </c>
      <c r="BB267" s="38" t="n">
        <f aca="false">IF(AND(ISNUMBER(BB265),ISNUMBER(BB128)),IFERROR(BB265/BB128,""),"")</f>
        <v>0.155073649554952</v>
      </c>
      <c r="BC267" s="38" t="n">
        <f aca="false">IF(AND(ISNUMBER(BC265),ISNUMBER(BC128)),IFERROR(BC265/BC128,""),"")</f>
        <v>0.175294228415403</v>
      </c>
      <c r="BD267" s="38" t="n">
        <f aca="false">IF(AND(ISNUMBER(BD265),ISNUMBER(BD128)),IFERROR(BD265/BD128,""),"")</f>
        <v>0.172684957072507</v>
      </c>
      <c r="BE267" s="38" t="n">
        <f aca="false">IF(AND(ISNUMBER(BE265),ISNUMBER(BE128)),IFERROR(BE265/BE128,""),"")</f>
        <v>0.148720016511798</v>
      </c>
      <c r="BF267" s="38" t="n">
        <f aca="false">IF(AND(ISNUMBER(BF265),ISNUMBER(BF128)),IFERROR(BF265/BF128,""),"")</f>
        <v>0.121965911321933</v>
      </c>
      <c r="BG267" s="38" t="n">
        <f aca="false">IF(AND(ISNUMBER(BG265),ISNUMBER(BG128)),IFERROR(BG265/BG128,""),"")</f>
        <v>0.15388750667477</v>
      </c>
      <c r="BH267" s="38" t="n">
        <f aca="false">IF(AND(ISNUMBER(BH265),ISNUMBER(BH128)),IFERROR(BH265/BH128,""),"")</f>
        <v>0.140263919604442</v>
      </c>
      <c r="BI267" s="38" t="n">
        <f aca="false">IF(AND(ISNUMBER(BI265),ISNUMBER(BI128)),IFERROR(BI265/BI128,""),"")</f>
        <v>0.176140656426343</v>
      </c>
      <c r="BJ267" s="38" t="n">
        <f aca="false">IF(AND(ISNUMBER(BJ265),ISNUMBER(BJ128)),IFERROR(BJ265/BJ128,""),"")</f>
        <v>0.161159446401103</v>
      </c>
      <c r="BK267" s="38" t="n">
        <f aca="false">IF(AND(ISNUMBER(BK265),ISNUMBER(BK128)),IFERROR(BK265/BK128,""),"")</f>
        <v>0.116670244629494</v>
      </c>
      <c r="BL267" s="38" t="n">
        <f aca="false">IF(AND(ISNUMBER(BL265),ISNUMBER(BL128)),IFERROR(BL265/BL128,""),"")</f>
        <v>0.148694126902545</v>
      </c>
      <c r="BM267" s="38" t="n">
        <f aca="false">IF(AND(ISNUMBER(BM265),ISNUMBER(BM128)),IFERROR(BM265/BM128,""),"")</f>
        <v>0.154564222761842</v>
      </c>
      <c r="BN267" s="38" t="n">
        <f aca="false">IF(AND(ISNUMBER(BN265),ISNUMBER(BN128)),IFERROR(BN265/BN128,""),"")</f>
        <v>0.175324686878104</v>
      </c>
      <c r="BO267" s="38" t="n">
        <f aca="false">IF(AND(ISNUMBER(BO265),ISNUMBER(BO128)),IFERROR(BO265/BO128,""),"")</f>
        <v>0.122377792830239</v>
      </c>
      <c r="BP267" s="38" t="n">
        <f aca="false">IF(AND(ISNUMBER(BP265),ISNUMBER(BP128)),IFERROR(BP265/BP128,""),"")</f>
        <v>0.0762041744330246</v>
      </c>
      <c r="BQ267" s="38" t="n">
        <f aca="false">IF(AND(ISNUMBER(BQ265),ISNUMBER(BQ128)),IFERROR(BQ265/BQ128,""),"")</f>
        <v>0.131501433193518</v>
      </c>
      <c r="BR267" s="38" t="n">
        <f aca="false">IF(AND(ISNUMBER(BR265),ISNUMBER(BR128)),IFERROR(BR265/BR128,""),"")</f>
        <v>0.147692103316794</v>
      </c>
      <c r="BS267" s="38" t="n">
        <f aca="false">IF(AND(ISNUMBER(BS265),ISNUMBER(BS128)),IFERROR(BS265/BS128,""),"")</f>
        <v>0.146607368755596</v>
      </c>
      <c r="BT267" s="38" t="n">
        <f aca="false">IF(AND(ISNUMBER(BT265),ISNUMBER(BT128)),IFERROR(BT265/BT128,""),"")</f>
        <v>0.154686138584058</v>
      </c>
      <c r="BU267" s="38" t="n">
        <f aca="false">IF(AND(ISNUMBER(BU265),ISNUMBER(BU128)),IFERROR(BU265/BU128,""),"")</f>
        <v>0.0663420561866021</v>
      </c>
      <c r="BV267" s="38" t="n">
        <f aca="false">IF(AND(ISNUMBER(BV265),ISNUMBER(BV128)),IFERROR(BV265/BV128,""),"")</f>
        <v>0.128838486455197</v>
      </c>
      <c r="BW267" s="38" t="n">
        <f aca="false">IF(AND(ISNUMBER(BW265),ISNUMBER(BW128)),IFERROR(BW265/BW128,""),"")</f>
        <v>0.105036169694904</v>
      </c>
      <c r="BX267" s="38" t="n">
        <f aca="false">IF(AND(ISNUMBER(BX265),ISNUMBER(BX128)),IFERROR(BX265/BX128,""),"")</f>
        <v>0.148299875820139</v>
      </c>
      <c r="BY267" s="39"/>
      <c r="BZ267" s="39"/>
      <c r="CA267" s="37" t="n">
        <f aca="false">IFERROR(CA265/CA128,"")</f>
        <v>0.134922869955157</v>
      </c>
      <c r="CB267" s="37" t="n">
        <f aca="false">IFERROR(CB265/CB128,"")</f>
        <v>0.162125589564173</v>
      </c>
      <c r="CC267" s="37" t="n">
        <f aca="false">IFERROR(CC265/CC128,"")</f>
        <v>0.164003117325961</v>
      </c>
      <c r="CD267" s="37" t="n">
        <f aca="false">IFERROR(CD265/CD128,"")</f>
        <v>0.163288623602419</v>
      </c>
      <c r="CE267" s="37" t="n">
        <f aca="false">IFERROR(CE265/CE128,"")</f>
        <v>0.162383766812465</v>
      </c>
      <c r="CF267" s="21"/>
      <c r="CH267" s="41" t="n">
        <f aca="false">IFERROR(AVERAGE(CA267,CB267,CC267,CD267,CE267),"n/m")</f>
        <v>0.157344793452035</v>
      </c>
      <c r="CI267" s="41" t="n">
        <f aca="false">IFERROR(AVERAGE(BB267,BG267,BL267,BQ267,BV267),"n/m")</f>
        <v>0.143599040556196</v>
      </c>
      <c r="CJ267" s="41" t="n">
        <f aca="false">IFERROR(AVERAGE(AC267,AH267,AM267,AR267,AW267,BB267,BG267,BL267,BQ267,BV267),"n/m")</f>
        <v>0.147897281489057</v>
      </c>
      <c r="CK267" s="41" t="n">
        <f aca="false">IFERROR(AVERAGE(C267,D267,E267,F267,G267,H267,I267,N267,S267,X267,AC267,AH267,AM267,AR267,AW267,BB267,BG267,BL267,BQ267,BV267),"n/m")</f>
        <v>0.146230962368367</v>
      </c>
    </row>
    <row r="268" customFormat="false" ht="15" hidden="false" customHeight="true" outlineLevel="0" collapsed="false">
      <c r="B268" s="29" t="s">
        <v>464</v>
      </c>
      <c r="C268" s="38" t="n">
        <f aca="false">IF(AND(ISNUMBER(C265),ISNUMBER(C206)),IFERROR(C265/C206,""),"")</f>
        <v>1.39125324515971</v>
      </c>
      <c r="D268" s="38" t="n">
        <f aca="false">IF(AND(ISNUMBER(D265),ISNUMBER(D206)),IFERROR(D265/D206,""),"")</f>
        <v>0.95714617333293</v>
      </c>
      <c r="E268" s="38" t="n">
        <f aca="false">IF(AND(ISNUMBER(E265),ISNUMBER(E206)),IFERROR(E265/E206,""),"")</f>
        <v>1.52444841690064</v>
      </c>
      <c r="F268" s="38" t="n">
        <f aca="false">IF(AND(ISNUMBER(F265),ISNUMBER(F206)),IFERROR(F265/F206,""),"")</f>
        <v>1.48744391956645</v>
      </c>
      <c r="G268" s="38" t="n">
        <f aca="false">IF(AND(ISNUMBER(G265),ISNUMBER(G206)),IFERROR(G265/G206,""),"")</f>
        <v>1.36068727290278</v>
      </c>
      <c r="H268" s="38" t="n">
        <f aca="false">IF(AND(ISNUMBER(H265),ISNUMBER(H206)),IFERROR(H265/H206,""),"")</f>
        <v>1.46930957736898</v>
      </c>
      <c r="I268" s="38" t="n">
        <f aca="false">IF(AND(ISNUMBER(I265),ISNUMBER(I206)),IFERROR(I265/I206,""),"")</f>
        <v>1.39755384206328</v>
      </c>
      <c r="J268" s="38" t="n">
        <f aca="false">IF(AND(ISNUMBER(J265),ISNUMBER(J206)),IFERROR(J265/J206,""),"")</f>
        <v>2.10098866967059</v>
      </c>
      <c r="K268" s="38" t="n">
        <f aca="false">IF(AND(ISNUMBER(K265),ISNUMBER(K206)),IFERROR(K265/K206,""),"")</f>
        <v>1.24386532242724</v>
      </c>
      <c r="L268" s="38" t="n">
        <f aca="false">IF(AND(ISNUMBER(L265),ISNUMBER(L206)),IFERROR(L265/L206,""),"")</f>
        <v>1.20150050226017</v>
      </c>
      <c r="M268" s="38" t="n">
        <f aca="false">IF(AND(ISNUMBER(M265),ISNUMBER(M206)),IFERROR(M265/M206,""),"")</f>
        <v>0.543958765155821</v>
      </c>
      <c r="N268" s="38" t="n">
        <f aca="false">IF(AND(ISNUMBER(N265),ISNUMBER(N206)),IFERROR(N265/N206,""),"")</f>
        <v>1.23633518807435</v>
      </c>
      <c r="O268" s="38" t="n">
        <f aca="false">IF(AND(ISNUMBER(O265),ISNUMBER(O206)),IFERROR(O265/O206,""),"")</f>
        <v>2.00817113477782</v>
      </c>
      <c r="P268" s="38" t="n">
        <f aca="false">IF(AND(ISNUMBER(P265),ISNUMBER(P206)),IFERROR(P265/P206,""),"")</f>
        <v>1.30810345608552</v>
      </c>
      <c r="Q268" s="38" t="n">
        <f aca="false">IF(AND(ISNUMBER(Q265),ISNUMBER(Q206)),IFERROR(Q265/Q206,""),"")</f>
        <v>0.993776524537867</v>
      </c>
      <c r="R268" s="38" t="n">
        <f aca="false">IF(AND(ISNUMBER(R265),ISNUMBER(R206)),IFERROR(R265/R206,""),"")</f>
        <v>0.602586574446917</v>
      </c>
      <c r="S268" s="38" t="n">
        <f aca="false">IF(AND(ISNUMBER(S265),ISNUMBER(S206)),IFERROR(S265/S206,""),"")</f>
        <v>1.1955151906103</v>
      </c>
      <c r="T268" s="38" t="n">
        <f aca="false">IF(AND(ISNUMBER(T265),ISNUMBER(T206)),IFERROR(T265/T206,""),"")</f>
        <v>2.12554736823593</v>
      </c>
      <c r="U268" s="38" t="n">
        <f aca="false">IF(AND(ISNUMBER(U265),ISNUMBER(U206)),IFERROR(U265/U206,""),"")</f>
        <v>1.55901708431938</v>
      </c>
      <c r="V268" s="38" t="n">
        <f aca="false">IF(AND(ISNUMBER(V265),ISNUMBER(V206)),IFERROR(V265/V206,""),"")</f>
        <v>-0.309352203730398</v>
      </c>
      <c r="W268" s="38" t="n">
        <f aca="false">IF(AND(ISNUMBER(W265),ISNUMBER(W206)),IFERROR(W265/W206,""),"")</f>
        <v>0.722511075817105</v>
      </c>
      <c r="X268" s="38" t="n">
        <f aca="false">IF(AND(ISNUMBER(X265),ISNUMBER(X206)),IFERROR(X265/X206,""),"")</f>
        <v>1.38084990832881</v>
      </c>
      <c r="Y268" s="38" t="n">
        <f aca="false">IF(AND(ISNUMBER(Y265),ISNUMBER(Y206)),IFERROR(Y265/Y206,""),"")</f>
        <v>1.95850840336135</v>
      </c>
      <c r="Z268" s="38" t="n">
        <f aca="false">IF(AND(ISNUMBER(Z265),ISNUMBER(Z206)),IFERROR(Z265/Z206,""),"")</f>
        <v>0.422894539212531</v>
      </c>
      <c r="AA268" s="38" t="n">
        <f aca="false">IF(AND(ISNUMBER(AA265),ISNUMBER(AA206)),IFERROR(AA265/AA206,""),"")</f>
        <v>1.47349359481259</v>
      </c>
      <c r="AB268" s="38" t="n">
        <f aca="false">IF(AND(ISNUMBER(AB265),ISNUMBER(AB206)),IFERROR(AB265/AB206,""),"")</f>
        <v>0.970056694431975</v>
      </c>
      <c r="AC268" s="38" t="n">
        <f aca="false">IF(AND(ISNUMBER(AC265),ISNUMBER(AC206)),IFERROR(AC265/AC206,""),"")</f>
        <v>1.14021782589112</v>
      </c>
      <c r="AD268" s="38" t="n">
        <f aca="false">IF(AND(ISNUMBER(AD265),ISNUMBER(AD206)),IFERROR(AD265/AD206,""),"")</f>
        <v>1.50574227650385</v>
      </c>
      <c r="AE268" s="38" t="n">
        <f aca="false">IF(AND(ISNUMBER(AE265),ISNUMBER(AE206)),IFERROR(AE265/AE206,""),"")</f>
        <v>1.05193796317939</v>
      </c>
      <c r="AF268" s="38" t="n">
        <f aca="false">IF(AND(ISNUMBER(AF265),ISNUMBER(AF206)),IFERROR(AF265/AF206,""),"")</f>
        <v>1.40199072932279</v>
      </c>
      <c r="AG268" s="38" t="n">
        <f aca="false">IF(AND(ISNUMBER(AG265),ISNUMBER(AG206)),IFERROR(AG265/AG206,""),"")</f>
        <v>0.999533006924632</v>
      </c>
      <c r="AH268" s="38" t="n">
        <f aca="false">IF(AND(ISNUMBER(AH265),ISNUMBER(AH206)),IFERROR(AH265/AH206,""),"")</f>
        <v>1.24060834183217</v>
      </c>
      <c r="AI268" s="38" t="n">
        <f aca="false">IF(AND(ISNUMBER(AI265),ISNUMBER(AI206)),IFERROR(AI265/AI206,""),"")</f>
        <v>1.45366762891038</v>
      </c>
      <c r="AJ268" s="38" t="n">
        <f aca="false">IF(AND(ISNUMBER(AJ265),ISNUMBER(AJ206)),IFERROR(AJ265/AJ206,""),"")</f>
        <v>1.43433757311299</v>
      </c>
      <c r="AK268" s="38" t="n">
        <f aca="false">IF(AND(ISNUMBER(AK265),ISNUMBER(AK206)),IFERROR(AK265/AK206,""),"")</f>
        <v>1.1055204266784</v>
      </c>
      <c r="AL268" s="38" t="n">
        <f aca="false">IF(AND(ISNUMBER(AL265),ISNUMBER(AL206)),IFERROR(AL265/AL206,""),"")</f>
        <v>1.20814858043595</v>
      </c>
      <c r="AM268" s="38" t="n">
        <f aca="false">IF(AND(ISNUMBER(AM265),ISNUMBER(AM206)),IFERROR(AM265/AM206,""),"")</f>
        <v>1.29646558803959</v>
      </c>
      <c r="AN268" s="38" t="n">
        <f aca="false">IF(AND(ISNUMBER(AN265),ISNUMBER(AN206)),IFERROR(AN265/AN206,""),"")</f>
        <v>1.52213350250401</v>
      </c>
      <c r="AO268" s="38" t="n">
        <f aca="false">IF(AND(ISNUMBER(AO265),ISNUMBER(AO206)),IFERROR(AO265/AO206,""),"")</f>
        <v>1.37765077123375</v>
      </c>
      <c r="AP268" s="38" t="n">
        <f aca="false">IF(AND(ISNUMBER(AP265),ISNUMBER(AP206)),IFERROR(AP265/AP206,""),"")</f>
        <v>1.14524797993148</v>
      </c>
      <c r="AQ268" s="38" t="n">
        <f aca="false">IF(AND(ISNUMBER(AQ265),ISNUMBER(AQ206)),IFERROR(AQ265/AQ206,""),"")</f>
        <v>0.850179420892199</v>
      </c>
      <c r="AR268" s="38" t="n">
        <f aca="false">IF(AND(ISNUMBER(AR265),ISNUMBER(AR206)),IFERROR(AR265/AR206,""),"")</f>
        <v>1.21526597467067</v>
      </c>
      <c r="AS268" s="38" t="n">
        <f aca="false">IF(AND(ISNUMBER(AS265),ISNUMBER(AS206)),IFERROR(AS265/AS206,""),"")</f>
        <v>1.35906591151605</v>
      </c>
      <c r="AT268" s="38" t="n">
        <f aca="false">IF(AND(ISNUMBER(AT265),ISNUMBER(AT206)),IFERROR(AT265/AT206,""),"")</f>
        <v>1.49547342297855</v>
      </c>
      <c r="AU268" s="38" t="n">
        <f aca="false">IF(AND(ISNUMBER(AU265),ISNUMBER(AU206)),IFERROR(AU265/AU206,""),"")</f>
        <v>1.21949745547074</v>
      </c>
      <c r="AV268" s="38" t="n">
        <f aca="false">IF(AND(ISNUMBER(AV265),ISNUMBER(AV206)),IFERROR(AV265/AV206,""),"")</f>
        <v>0.256905489682353</v>
      </c>
      <c r="AW268" s="38" t="n">
        <f aca="false">IF(AND(ISNUMBER(AW265),ISNUMBER(AW206)),IFERROR(AW265/AW206,""),"")</f>
        <v>1.06923680556953</v>
      </c>
      <c r="AX268" s="38" t="n">
        <f aca="false">IF(AND(ISNUMBER(AX265),ISNUMBER(AX206)),IFERROR(AX265/AX206,""),"")</f>
        <v>1.63705333311765</v>
      </c>
      <c r="AY268" s="38" t="n">
        <f aca="false">IF(AND(ISNUMBER(AY265),ISNUMBER(AY206)),IFERROR(AY265/AY206,""),"")</f>
        <v>1.29684091728154</v>
      </c>
      <c r="AZ268" s="38" t="n">
        <f aca="false">IF(AND(ISNUMBER(AZ265),ISNUMBER(AZ206)),IFERROR(AZ265/AZ206,""),"")</f>
        <v>0.915347660103806</v>
      </c>
      <c r="BA268" s="38" t="n">
        <f aca="false">IF(AND(ISNUMBER(BA265),ISNUMBER(BA206)),IFERROR(BA265/BA206,""),"")</f>
        <v>0.752700007829448</v>
      </c>
      <c r="BB268" s="38" t="n">
        <f aca="false">IF(AND(ISNUMBER(BB265),ISNUMBER(BB206)),IFERROR(BB265/BB206,""),"")</f>
        <v>1.1267587999055</v>
      </c>
      <c r="BC268" s="38" t="n">
        <f aca="false">IF(AND(ISNUMBER(BC265),ISNUMBER(BC206)),IFERROR(BC265/BC206,""),"")</f>
        <v>1.35200003748021</v>
      </c>
      <c r="BD268" s="38" t="n">
        <f aca="false">IF(AND(ISNUMBER(BD265),ISNUMBER(BD206)),IFERROR(BD265/BD206,""),"")</f>
        <v>1.21982150148749</v>
      </c>
      <c r="BE268" s="38" t="n">
        <f aca="false">IF(AND(ISNUMBER(BE265),ISNUMBER(BE206)),IFERROR(BE265/BE206,""),"")</f>
        <v>0.981229950653161</v>
      </c>
      <c r="BF268" s="38" t="n">
        <f aca="false">IF(AND(ISNUMBER(BF265),ISNUMBER(BF206)),IFERROR(BF265/BF206,""),"")</f>
        <v>0.992313618301075</v>
      </c>
      <c r="BG268" s="38" t="n">
        <f aca="false">IF(AND(ISNUMBER(BG265),ISNUMBER(BG206)),IFERROR(BG265/BG206,""),"")</f>
        <v>1.12640240176844</v>
      </c>
      <c r="BH268" s="38" t="n">
        <f aca="false">IF(AND(ISNUMBER(BH265),ISNUMBER(BH206)),IFERROR(BH265/BH206,""),"")</f>
        <v>1.15704674682061</v>
      </c>
      <c r="BI268" s="38" t="n">
        <f aca="false">IF(AND(ISNUMBER(BI265),ISNUMBER(BI206)),IFERROR(BI265/BI206,""),"")</f>
        <v>1.3570475580562</v>
      </c>
      <c r="BJ268" s="38" t="n">
        <f aca="false">IF(AND(ISNUMBER(BJ265),ISNUMBER(BJ206)),IFERROR(BJ265/BJ206,""),"")</f>
        <v>1.09800990592343</v>
      </c>
      <c r="BK268" s="38" t="n">
        <f aca="false">IF(AND(ISNUMBER(BK265),ISNUMBER(BK206)),IFERROR(BK265/BK206,""),"")</f>
        <v>0.831917584130532</v>
      </c>
      <c r="BL268" s="38" t="n">
        <f aca="false">IF(AND(ISNUMBER(BL265),ISNUMBER(BL206)),IFERROR(BL265/BL206,""),"")</f>
        <v>1.1031802917541</v>
      </c>
      <c r="BM268" s="38" t="n">
        <f aca="false">IF(AND(ISNUMBER(BM265),ISNUMBER(BM206)),IFERROR(BM265/BM206,""),"")</f>
        <v>1.19238914798507</v>
      </c>
      <c r="BN268" s="38" t="n">
        <f aca="false">IF(AND(ISNUMBER(BN265),ISNUMBER(BN206)),IFERROR(BN265/BN206,""),"")</f>
        <v>1.2315659887454</v>
      </c>
      <c r="BO268" s="38" t="n">
        <f aca="false">IF(AND(ISNUMBER(BO265),ISNUMBER(BO206)),IFERROR(BO265/BO206,""),"")</f>
        <v>0.817644941200673</v>
      </c>
      <c r="BP268" s="38" t="n">
        <f aca="false">IF(AND(ISNUMBER(BP265),ISNUMBER(BP206)),IFERROR(BP265/BP206,""),"")</f>
        <v>0.573039277658378</v>
      </c>
      <c r="BQ268" s="38" t="n">
        <f aca="false">IF(AND(ISNUMBER(BQ265),ISNUMBER(BQ206)),IFERROR(BQ265/BQ206,""),"")</f>
        <v>0.946458182205499</v>
      </c>
      <c r="BR268" s="38" t="n">
        <f aca="false">IF(AND(ISNUMBER(BR265),ISNUMBER(BR206)),IFERROR(BR265/BR206,""),"")</f>
        <v>1.12269377729258</v>
      </c>
      <c r="BS268" s="38" t="n">
        <f aca="false">IF(AND(ISNUMBER(BS265),ISNUMBER(BS206)),IFERROR(BS265/BS206,""),"")</f>
        <v>1.05943667553303</v>
      </c>
      <c r="BT268" s="38" t="n">
        <f aca="false">IF(AND(ISNUMBER(BT265),ISNUMBER(BT206)),IFERROR(BT265/BT206,""),"")</f>
        <v>1.0221126192716</v>
      </c>
      <c r="BU268" s="38" t="n">
        <f aca="false">IF(AND(ISNUMBER(BU265),ISNUMBER(BU206)),IFERROR(BU265/BU206,""),"")</f>
        <v>0.477022916489935</v>
      </c>
      <c r="BV268" s="38" t="n">
        <f aca="false">IF(AND(ISNUMBER(BV265),ISNUMBER(BV206)),IFERROR(BV265/BV206,""),"")</f>
        <v>0.918220116326164</v>
      </c>
      <c r="BW268" s="38" t="n">
        <f aca="false">IF(AND(ISNUMBER(BW265),ISNUMBER(BW206)),IFERROR(BW265/BW206,""),"")</f>
        <v>0.790783790650407</v>
      </c>
      <c r="BX268" s="38" t="n">
        <f aca="false">IF(AND(ISNUMBER(BX265),ISNUMBER(BX206)),IFERROR(BX265/BX206,""),"")</f>
        <v>0.995271043854847</v>
      </c>
      <c r="BY268" s="39"/>
      <c r="BZ268" s="39"/>
      <c r="CA268" s="37" t="n">
        <f aca="false">IFERROR(CA265/CA206,"")</f>
        <v>0.948499962655491</v>
      </c>
      <c r="CB268" s="37" t="n">
        <f aca="false">IFERROR(CB265/CB206,"")</f>
        <v>1.14050594454001</v>
      </c>
      <c r="CC268" s="37" t="n">
        <f aca="false">IFERROR(CC265/CC206,"")</f>
        <v>1.14812016491172</v>
      </c>
      <c r="CD268" s="37" t="n">
        <f aca="false">IFERROR(CD265/CD206,"")</f>
        <v>1.14085683754921</v>
      </c>
      <c r="CE268" s="37" t="n">
        <f aca="false">IFERROR(CE265/CE206,"")</f>
        <v>1.13260763207961</v>
      </c>
      <c r="CF268" s="21"/>
    </row>
    <row r="269" customFormat="false" ht="15" hidden="false" customHeight="true" outlineLevel="0" collapsed="false">
      <c r="B269" s="29" t="s">
        <v>465</v>
      </c>
      <c r="C269" s="63" t="n">
        <f aca="false">IF(AND(ISNUMBER(C265),ISNUMBER(C153)),IFERROR(C265/C153,""),"")</f>
        <v>0.67993517891327</v>
      </c>
      <c r="D269" s="63" t="n">
        <f aca="false">IF(AND(ISNUMBER(D265),ISNUMBER(D153)),IFERROR(D265/D153,""),"")</f>
        <v>0.602172465353046</v>
      </c>
      <c r="E269" s="63" t="n">
        <f aca="false">IF(AND(ISNUMBER(E265),ISNUMBER(E153)),IFERROR(E265/E153,""),"")</f>
        <v>0.976468668917499</v>
      </c>
      <c r="F269" s="63" t="n">
        <f aca="false">IF(AND(ISNUMBER(F265),ISNUMBER(F153)),IFERROR(F265/F153,""),"")</f>
        <v>0.970274038643244</v>
      </c>
      <c r="G269" s="63" t="n">
        <f aca="false">IF(AND(ISNUMBER(G265),ISNUMBER(G153)),IFERROR(G265/G153,""),"")</f>
        <v>1.12551916317995</v>
      </c>
      <c r="H269" s="63" t="n">
        <f aca="false">IF(AND(ISNUMBER(H265),ISNUMBER(H153)),IFERROR(H265/H153,""),"")</f>
        <v>1.44531573894466</v>
      </c>
      <c r="I269" s="63" t="n">
        <f aca="false">IF(AND(ISNUMBER(I265),ISNUMBER(I153)),IFERROR(I265/I153,""),"")</f>
        <v>1.43819087156925</v>
      </c>
      <c r="J269" s="63" t="n">
        <f aca="false">IF(AND(ISNUMBER(J265),ISNUMBER(J153)),IFERROR(J265/J153,""),"")</f>
        <v>0.516810217722116</v>
      </c>
      <c r="K269" s="63" t="n">
        <f aca="false">IF(AND(ISNUMBER(K265),ISNUMBER(K153)),IFERROR(K265/K153,""),"")</f>
        <v>0.386464403547904</v>
      </c>
      <c r="L269" s="63" t="n">
        <f aca="false">IF(AND(ISNUMBER(L265),ISNUMBER(L153)),IFERROR(L265/L153,""),"")</f>
        <v>0.41063301001576</v>
      </c>
      <c r="M269" s="63" t="n">
        <f aca="false">IF(AND(ISNUMBER(M265),ISNUMBER(M153)),IFERROR(M265/M153,""),"")</f>
        <v>0.158939750788259</v>
      </c>
      <c r="N269" s="63" t="n">
        <f aca="false">IF(AND(ISNUMBER(N265),ISNUMBER(N153)),IFERROR(N265/N153,""),"")</f>
        <v>1.47216411050457</v>
      </c>
      <c r="O269" s="63" t="n">
        <f aca="false">IF(AND(ISNUMBER(O265),ISNUMBER(O153)),IFERROR(O265/O153,""),"")</f>
        <v>0.584617150377154</v>
      </c>
      <c r="P269" s="63" t="n">
        <f aca="false">IF(AND(ISNUMBER(P265),ISNUMBER(P153)),IFERROR(P265/P153,""),"")</f>
        <v>0.462625253256248</v>
      </c>
      <c r="Q269" s="63" t="n">
        <f aca="false">IF(AND(ISNUMBER(Q265),ISNUMBER(Q153)),IFERROR(Q265/Q153,""),"")</f>
        <v>0.372851436650188</v>
      </c>
      <c r="R269" s="63" t="n">
        <f aca="false">IF(AND(ISNUMBER(R265),ISNUMBER(R153)),IFERROR(R265/R153,""),"")</f>
        <v>0.203823878574681</v>
      </c>
      <c r="S269" s="63" t="n">
        <f aca="false">IF(AND(ISNUMBER(S265),ISNUMBER(S153)),IFERROR(S265/S153,""),"")</f>
        <v>1.62379080393581</v>
      </c>
      <c r="T269" s="63" t="n">
        <f aca="false">IF(AND(ISNUMBER(T265),ISNUMBER(T153)),IFERROR(T265/T153,""),"")</f>
        <v>0.647890789965336</v>
      </c>
      <c r="U269" s="63" t="n">
        <f aca="false">IF(AND(ISNUMBER(U265),ISNUMBER(U153)),IFERROR(U265/U153,""),"")</f>
        <v>0.515643506846982</v>
      </c>
      <c r="V269" s="63" t="n">
        <f aca="false">IF(AND(ISNUMBER(V265),ISNUMBER(V153)),IFERROR(V265/V153,""),"")</f>
        <v>0.421308574307674</v>
      </c>
      <c r="W269" s="63" t="n">
        <f aca="false">IF(AND(ISNUMBER(W265),ISNUMBER(W153)),IFERROR(W265/W153,""),"")</f>
        <v>0.233969316854394</v>
      </c>
      <c r="X269" s="63" t="n">
        <f aca="false">IF(AND(ISNUMBER(X265),ISNUMBER(X153)),IFERROR(X265/X153,""),"")</f>
        <v>1.82557676582124</v>
      </c>
      <c r="Y269" s="63" t="n">
        <f aca="false">IF(AND(ISNUMBER(Y265),ISNUMBER(Y153)),IFERROR(Y265/Y153,""),"")</f>
        <v>0.583990756981757</v>
      </c>
      <c r="Z269" s="63" t="n">
        <f aca="false">IF(AND(ISNUMBER(Z265),ISNUMBER(Z153)),IFERROR(Z265/Z153,""),"")</f>
        <v>0.18692082265031</v>
      </c>
      <c r="AA269" s="63" t="n">
        <f aca="false">IF(AND(ISNUMBER(AA265),ISNUMBER(AA153)),IFERROR(AA265/AA153,""),"")</f>
        <v>0.706762382375915</v>
      </c>
      <c r="AB269" s="63" t="n">
        <f aca="false">IF(AND(ISNUMBER(AB265),ISNUMBER(AB153)),IFERROR(AB265/AB153,""),"")</f>
        <v>0.442191500500493</v>
      </c>
      <c r="AC269" s="63" t="n">
        <f aca="false">IF(AND(ISNUMBER(AC265),ISNUMBER(AC153)),IFERROR(AC265/AC153,""),"")</f>
        <v>1.94991380454384</v>
      </c>
      <c r="AD269" s="63" t="n">
        <f aca="false">IF(AND(ISNUMBER(AD265),ISNUMBER(AD153)),IFERROR(AD265/AD153,""),"")</f>
        <v>0.743727180626362</v>
      </c>
      <c r="AE269" s="63" t="n">
        <f aca="false">IF(AND(ISNUMBER(AE265),ISNUMBER(AE153)),IFERROR(AE265/AE153,""),"")</f>
        <v>0.579369335594829</v>
      </c>
      <c r="AF269" s="63" t="n">
        <f aca="false">IF(AND(ISNUMBER(AF265),ISNUMBER(AF153)),IFERROR(AF265/AF153,""),"")</f>
        <v>0.838824982593988</v>
      </c>
      <c r="AG269" s="63" t="n">
        <f aca="false">IF(AND(ISNUMBER(AG265),ISNUMBER(AG153)),IFERROR(AG265/AG153,""),"")</f>
        <v>0.517677099114446</v>
      </c>
      <c r="AH269" s="63" t="n">
        <f aca="false">IF(AND(ISNUMBER(AH265),ISNUMBER(AH153)),IFERROR(AH265/AH153,""),"")</f>
        <v>2.67864752849341</v>
      </c>
      <c r="AI269" s="63" t="n">
        <f aca="false">IF(AND(ISNUMBER(AI265),ISNUMBER(AI153)),IFERROR(AI265/AI153,""),"")</f>
        <v>0.816480504266426</v>
      </c>
      <c r="AJ269" s="63" t="n">
        <f aca="false">IF(AND(ISNUMBER(AJ265),ISNUMBER(AJ153)),IFERROR(AJ265/AJ153,""),"")</f>
        <v>0.935142067100768</v>
      </c>
      <c r="AK269" s="63" t="n">
        <f aca="false">IF(AND(ISNUMBER(AK265),ISNUMBER(AK153)),IFERROR(AK265/AK153,""),"")</f>
        <v>0.760457591070915</v>
      </c>
      <c r="AL269" s="63" t="n">
        <f aca="false">IF(AND(ISNUMBER(AL265),ISNUMBER(AL153)),IFERROR(AL265/AL153,""),"")</f>
        <v>0.759339098565304</v>
      </c>
      <c r="AM269" s="63" t="n">
        <f aca="false">IF(AND(ISNUMBER(AM265),ISNUMBER(AM153)),IFERROR(AM265/AM153,""),"")</f>
        <v>3.27195286572412</v>
      </c>
      <c r="AN269" s="63" t="n">
        <f aca="false">IF(AND(ISNUMBER(AN265),ISNUMBER(AN153)),IFERROR(AN265/AN153,""),"")</f>
        <v>0.943999765753503</v>
      </c>
      <c r="AO269" s="63" t="n">
        <f aca="false">IF(AND(ISNUMBER(AO265),ISNUMBER(AO153)),IFERROR(AO265/AO153,""),"")</f>
        <v>0.9441541572309</v>
      </c>
      <c r="AP269" s="63" t="n">
        <f aca="false">IF(AND(ISNUMBER(AP265),ISNUMBER(AP153)),IFERROR(AP265/AP153,""),"")</f>
        <v>0.83512273537261</v>
      </c>
      <c r="AQ269" s="63" t="n">
        <f aca="false">IF(AND(ISNUMBER(AQ265),ISNUMBER(AQ153)),IFERROR(AQ265/AQ153,""),"")</f>
        <v>0.582825032744964</v>
      </c>
      <c r="AR269" s="63" t="n">
        <f aca="false">IF(AND(ISNUMBER(AR265),ISNUMBER(AR153)),IFERROR(AR265/AR153,""),"")</f>
        <v>3.30574743305267</v>
      </c>
      <c r="AS269" s="63" t="n">
        <f aca="false">IF(AND(ISNUMBER(AS265),ISNUMBER(AS153)),IFERROR(AS265/AS153,""),"")</f>
        <v>0.87687622782248</v>
      </c>
      <c r="AT269" s="63" t="n">
        <f aca="false">IF(AND(ISNUMBER(AT265),ISNUMBER(AT153)),IFERROR(AT265/AT153,""),"")</f>
        <v>0.898190654530407</v>
      </c>
      <c r="AU269" s="63" t="n">
        <f aca="false">IF(AND(ISNUMBER(AU265),ISNUMBER(AU153)),IFERROR(AU265/AU153,""),"")</f>
        <v>0.873015045955849</v>
      </c>
      <c r="AV269" s="63" t="n">
        <f aca="false">IF(AND(ISNUMBER(AV265),ISNUMBER(AV153)),IFERROR(AV265/AV153,""),"")</f>
        <v>0.174090452877288</v>
      </c>
      <c r="AW269" s="63" t="n">
        <f aca="false">IF(AND(ISNUMBER(AW265),ISNUMBER(AW153)),IFERROR(AW265/AW153,""),"")</f>
        <v>2.82136957560213</v>
      </c>
      <c r="AX269" s="63" t="n">
        <f aca="false">IF(AND(ISNUMBER(AX265),ISNUMBER(AX153)),IFERROR(AX265/AX153,""),"")</f>
        <v>1.15369683506579</v>
      </c>
      <c r="AY269" s="63" t="n">
        <f aca="false">IF(AND(ISNUMBER(AY265),ISNUMBER(AY153)),IFERROR(AY265/AY153,""),"")</f>
        <v>1.04614984643803</v>
      </c>
      <c r="AZ269" s="63" t="n">
        <f aca="false">IF(AND(ISNUMBER(AZ265),ISNUMBER(AZ153)),IFERROR(AZ265/AZ153,""),"")</f>
        <v>0.817150702586094</v>
      </c>
      <c r="BA269" s="63" t="n">
        <f aca="false">IF(AND(ISNUMBER(BA265),ISNUMBER(BA153)),IFERROR(BA265/BA153,""),"")</f>
        <v>0.62556068766012</v>
      </c>
      <c r="BB269" s="63" t="n">
        <f aca="false">IF(AND(ISNUMBER(BB265),ISNUMBER(BB153)),IFERROR(BB265/BB153,""),"")</f>
        <v>3.64467037154957</v>
      </c>
      <c r="BC269" s="63" t="n">
        <f aca="false">IF(AND(ISNUMBER(BC265),ISNUMBER(BC153)),IFERROR(BC265/BC153,""),"")</f>
        <v>1.11179652914167</v>
      </c>
      <c r="BD269" s="63" t="n">
        <f aca="false">IF(AND(ISNUMBER(BD265),ISNUMBER(BD153)),IFERROR(BD265/BD153,""),"")</f>
        <v>1.21702087919206</v>
      </c>
      <c r="BE269" s="63" t="n">
        <f aca="false">IF(AND(ISNUMBER(BE265),ISNUMBER(BE153)),IFERROR(BE265/BE153,""),"")</f>
        <v>1.08407548775283</v>
      </c>
      <c r="BF269" s="63" t="n">
        <f aca="false">IF(AND(ISNUMBER(BF265),ISNUMBER(BF153)),IFERROR(BF265/BF153,""),"")</f>
        <v>0.883772543180186</v>
      </c>
      <c r="BG269" s="63" t="n">
        <f aca="false">IF(AND(ISNUMBER(BG265),ISNUMBER(BG153)),IFERROR(BG265/BG153,""),"")</f>
        <v>4.3009616991671</v>
      </c>
      <c r="BH269" s="63" t="n">
        <f aca="false">IF(AND(ISNUMBER(BH265),ISNUMBER(BH153)),IFERROR(BH265/BH153,""),"")</f>
        <v>1.03326897644783</v>
      </c>
      <c r="BI269" s="63" t="n">
        <f aca="false">IF(AND(ISNUMBER(BI265),ISNUMBER(BI153)),IFERROR(BI265/BI153,""),"")</f>
        <v>1.37924265929973</v>
      </c>
      <c r="BJ269" s="63" t="n">
        <f aca="false">IF(AND(ISNUMBER(BJ265),ISNUMBER(BJ153)),IFERROR(BJ265/BJ153,""),"")</f>
        <v>1.28859453976047</v>
      </c>
      <c r="BK269" s="63" t="n">
        <f aca="false">IF(AND(ISNUMBER(BK265),ISNUMBER(BK153)),IFERROR(BK265/BK153,""),"")</f>
        <v>0.919442127293965</v>
      </c>
      <c r="BL269" s="63" t="n">
        <f aca="false">IF(AND(ISNUMBER(BL265),ISNUMBER(BL153)),IFERROR(BL265/BL153,""),"")</f>
        <v>4.62064882126868</v>
      </c>
      <c r="BM269" s="63" t="n">
        <f aca="false">IF(AND(ISNUMBER(BM265),ISNUMBER(BM153)),IFERROR(BM265/BM153,""),"")</f>
        <v>1.23937997142267</v>
      </c>
      <c r="BN269" s="63" t="n">
        <f aca="false">IF(AND(ISNUMBER(BN265),ISNUMBER(BN153)),IFERROR(BN265/BN153,""),"")</f>
        <v>1.52440827256421</v>
      </c>
      <c r="BO269" s="63" t="n">
        <f aca="false">IF(AND(ISNUMBER(BO265),ISNUMBER(BO153)),IFERROR(BO265/BO153,""),"")</f>
        <v>1.10597789440118</v>
      </c>
      <c r="BP269" s="63" t="n">
        <f aca="false">IF(AND(ISNUMBER(BP265),ISNUMBER(BP153)),IFERROR(BP265/BP153,""),"")</f>
        <v>0.665434899507771</v>
      </c>
      <c r="BQ269" s="63" t="n">
        <f aca="false">IF(AND(ISNUMBER(BQ265),ISNUMBER(BQ153)),IFERROR(BQ265/BQ153,""),"")</f>
        <v>4.53463646928838</v>
      </c>
      <c r="BR269" s="63" t="n">
        <f aca="false">IF(AND(ISNUMBER(BR265),ISNUMBER(BR153)),IFERROR(BR265/BR153,""),"")</f>
        <v>1.27106176623079</v>
      </c>
      <c r="BS269" s="63" t="n">
        <f aca="false">IF(AND(ISNUMBER(BS265),ISNUMBER(BS153)),IFERROR(BS265/BS153,""),"")</f>
        <v>1.36260866929822</v>
      </c>
      <c r="BT269" s="63" t="n">
        <f aca="false">IF(AND(ISNUMBER(BT265),ISNUMBER(BT153)),IFERROR(BT265/BT153,""),"")</f>
        <v>1.47634337329675</v>
      </c>
      <c r="BU269" s="63" t="n">
        <f aca="false">IF(AND(ISNUMBER(BU265),ISNUMBER(BU153)),IFERROR(BU265/BU153,""),"")</f>
        <v>0.613913009349284</v>
      </c>
      <c r="BV269" s="63" t="n">
        <f aca="false">IF(AND(ISNUMBER(BV265),ISNUMBER(BV153)),IFERROR(BV265/BV153,""),"")</f>
        <v>4.72795723859462</v>
      </c>
      <c r="BW269" s="63" t="n">
        <f aca="false">IF(AND(ISNUMBER(BW265),ISNUMBER(BW153)),IFERROR(BW265/BW153,""),"")</f>
        <v>0.973144225545725</v>
      </c>
      <c r="BX269" s="63" t="n">
        <f aca="false">IF(AND(ISNUMBER(BX265),ISNUMBER(BX153)),IFERROR(BX265/BX153,""),"")</f>
        <v>1.49645913061258</v>
      </c>
      <c r="BY269" s="67"/>
      <c r="BZ269" s="67"/>
      <c r="CA269" s="64" t="n">
        <f aca="false">IFERROR(CA265/CA153,"")</f>
        <v>5.33648890296804</v>
      </c>
      <c r="CB269" s="64" t="n">
        <f aca="false">IFERROR(CB265/CB153,"")</f>
        <v>6.9828791642261</v>
      </c>
      <c r="CC269" s="64" t="n">
        <f aca="false">IFERROR(CC265/CC153,"")</f>
        <v>7.8226430111068</v>
      </c>
      <c r="CD269" s="64" t="n">
        <f aca="false">IFERROR(CD265/CD153,"")</f>
        <v>8.63816113913795</v>
      </c>
      <c r="CE269" s="64" t="n">
        <f aca="false">IFERROR(CE265/CE153,"")</f>
        <v>9.50469970956704</v>
      </c>
      <c r="CF269" s="21"/>
    </row>
    <row r="270" customFormat="false" ht="15" hidden="false" customHeight="true" outlineLevel="0" collapsed="false">
      <c r="B270" s="29" t="s">
        <v>466</v>
      </c>
      <c r="BY270" s="7"/>
      <c r="BZ270" s="7"/>
      <c r="CA270" s="7"/>
      <c r="CB270" s="7"/>
      <c r="CC270" s="7"/>
      <c r="CD270" s="7"/>
      <c r="CE270" s="7"/>
      <c r="CF270" s="21"/>
    </row>
    <row r="271" customFormat="false" ht="15" hidden="false" customHeight="true" outlineLevel="0" collapsed="false">
      <c r="B271" s="29" t="s">
        <v>467</v>
      </c>
      <c r="C271" s="38" t="n">
        <f aca="false">IFERROR(-N(C242)/C128,"")</f>
        <v>0.117084407912135</v>
      </c>
      <c r="D271" s="38" t="n">
        <f aca="false">IFERROR(-N(D242)/D128,"")</f>
        <v>0.129607392902338</v>
      </c>
      <c r="E271" s="38" t="n">
        <f aca="false">IFERROR(-N(E242)/E128,"")</f>
        <v>0.108132312884014</v>
      </c>
      <c r="F271" s="38" t="n">
        <f aca="false">IFERROR(-N(F242)/F128,"")</f>
        <v>0.107647938169857</v>
      </c>
      <c r="G271" s="38" t="n">
        <f aca="false">IFERROR(-N(G242)/G128,"")</f>
        <v>0.102161988911595</v>
      </c>
      <c r="H271" s="38" t="n">
        <f aca="false">IFERROR(-N(H242)/H128,"")</f>
        <v>0.0942787335438691</v>
      </c>
      <c r="I271" s="38" t="n">
        <f aca="false">IFERROR(-N(I242)/I128,"")</f>
        <v>0.0923900679939673</v>
      </c>
      <c r="J271" s="38" t="n">
        <f aca="false">IFERROR(-N(J242)/J128,"")</f>
        <v>0.0820307985027518</v>
      </c>
      <c r="K271" s="38" t="n">
        <f aca="false">IFERROR(-N(K242)/K128,"")</f>
        <v>0.103469484920747</v>
      </c>
      <c r="L271" s="38" t="n">
        <f aca="false">IFERROR(-N(L242)/L128,"")</f>
        <v>0.105889851205013</v>
      </c>
      <c r="M271" s="38" t="n">
        <f aca="false">IFERROR(-N(M242)/M128,"")</f>
        <v>0.142015366028851</v>
      </c>
      <c r="N271" s="38" t="n">
        <f aca="false">IFERROR(-N(N242)/N128,"")</f>
        <v>0.108810941546406</v>
      </c>
      <c r="O271" s="38" t="n">
        <f aca="false">IFERROR(-N(O242)/O128,"")</f>
        <v>0.0738867783521206</v>
      </c>
      <c r="P271" s="38" t="n">
        <f aca="false">IFERROR(-N(P242)/P128,"")</f>
        <v>0.091647877901935</v>
      </c>
      <c r="Q271" s="38" t="n">
        <f aca="false">IFERROR(-N(Q242)/Q128,"")</f>
        <v>0.11922766585369</v>
      </c>
      <c r="R271" s="38" t="n">
        <f aca="false">IFERROR(-N(R242)/R128,"")</f>
        <v>0.175658906184378</v>
      </c>
      <c r="S271" s="38" t="n">
        <f aca="false">IFERROR(-N(S242)/S128,"")</f>
        <v>0.116045087309046</v>
      </c>
      <c r="T271" s="38" t="n">
        <f aca="false">IFERROR(-N(T242)/T128,"")</f>
        <v>0.0824066390041494</v>
      </c>
      <c r="U271" s="38" t="n">
        <f aca="false">IFERROR(-N(U242)/U128,"")</f>
        <v>0.113801306953353</v>
      </c>
      <c r="V271" s="38" t="n">
        <f aca="false">IFERROR(-N(V242)/V128,"")</f>
        <v>0.120833013954133</v>
      </c>
      <c r="W271" s="38" t="n">
        <f aca="false">IFERROR(-N(W242)/W128,"")</f>
        <v>0.132448015460478</v>
      </c>
      <c r="X271" s="38" t="n">
        <f aca="false">IFERROR(-N(X242)/X128,"")</f>
        <v>0.112801429376367</v>
      </c>
      <c r="Y271" s="38" t="n">
        <f aca="false">IFERROR(-N(Y242)/Y128,"")</f>
        <v>0.10992267039714</v>
      </c>
      <c r="Z271" s="38" t="n">
        <f aca="false">IFERROR(-N(Z242)/Z128,"")</f>
        <v>0.0762905781575754</v>
      </c>
      <c r="AA271" s="38" t="n">
        <f aca="false">IFERROR(-N(AA242)/AA128,"")</f>
        <v>0.0855794241429338</v>
      </c>
      <c r="AB271" s="38" t="n">
        <f aca="false">IFERROR(-N(AB242)/AB128,"")</f>
        <v>0.133307330954338</v>
      </c>
      <c r="AC271" s="38" t="n">
        <f aca="false">IFERROR(-N(AC242)/AC128,"")</f>
        <v>0.102114037210633</v>
      </c>
      <c r="AD271" s="38" t="n">
        <f aca="false">IFERROR(-N(AD242)/AD128,"")</f>
        <v>0.083577239646429</v>
      </c>
      <c r="AE271" s="38" t="n">
        <f aca="false">IFERROR(-N(AE242)/AE128,"")</f>
        <v>0.094772829157625</v>
      </c>
      <c r="AF271" s="38" t="n">
        <f aca="false">IFERROR(-N(AF242)/AF128,"")</f>
        <v>0.0951264755760155</v>
      </c>
      <c r="AG271" s="38" t="n">
        <f aca="false">IFERROR(-N(AG242)/AG128,"")</f>
        <v>0.139911422213581</v>
      </c>
      <c r="AH271" s="38" t="n">
        <f aca="false">IFERROR(-N(AH242)/AH128,"")</f>
        <v>0.103506801011038</v>
      </c>
      <c r="AI271" s="38" t="n">
        <f aca="false">IFERROR(-N(AI242)/AI128,"")</f>
        <v>0.0800048415489097</v>
      </c>
      <c r="AJ271" s="38" t="n">
        <f aca="false">IFERROR(-N(AJ242)/AJ128,"")</f>
        <v>0.0891119770832796</v>
      </c>
      <c r="AK271" s="38" t="n">
        <f aca="false">IFERROR(-N(AK242)/AK128,"")</f>
        <v>0.134102458024682</v>
      </c>
      <c r="AL271" s="38" t="n">
        <f aca="false">IFERROR(-N(AL242)/AL128,"")</f>
        <v>0.136822241173244</v>
      </c>
      <c r="AM271" s="38" t="n">
        <f aca="false">IFERROR(-N(AM242)/AM128,"")</f>
        <v>0.110938766074995</v>
      </c>
      <c r="AN271" s="38" t="n">
        <f aca="false">IFERROR(-N(AN242)/AN128,"")</f>
        <v>0.0917841908926056</v>
      </c>
      <c r="AO271" s="38" t="n">
        <f aca="false">IFERROR(-N(AO242)/AO128,"")</f>
        <v>0.101889622009887</v>
      </c>
      <c r="AP271" s="38" t="n">
        <f aca="false">IFERROR(-N(AP242)/AP128,"")</f>
        <v>0.12725177068967</v>
      </c>
      <c r="AQ271" s="38" t="n">
        <f aca="false">IFERROR(-N(AQ242)/AQ128,"")</f>
        <v>0.147493318452818</v>
      </c>
      <c r="AR271" s="38" t="n">
        <f aca="false">IFERROR(-N(AR242)/AR128,"")</f>
        <v>0.117729410120736</v>
      </c>
      <c r="AS271" s="38" t="n">
        <f aca="false">IFERROR(-N(AS242)/AS128,"")</f>
        <v>0.101878580660808</v>
      </c>
      <c r="AT271" s="38" t="n">
        <f aca="false">IFERROR(-N(AT242)/AT128,"")</f>
        <v>0.100269417100251</v>
      </c>
      <c r="AU271" s="38" t="n">
        <f aca="false">IFERROR(-N(AU242)/AU128,"")</f>
        <v>0.109375539742305</v>
      </c>
      <c r="AV271" s="38" t="n">
        <f aca="false">IFERROR(-N(AV242)/AV128,"")</f>
        <v>0.12612828454977</v>
      </c>
      <c r="AW271" s="38" t="n">
        <f aca="false">IFERROR(-N(AW242)/AW128,"")</f>
        <v>0.109631673947253</v>
      </c>
      <c r="AX271" s="38" t="n">
        <f aca="false">IFERROR(-N(AX242)/AX128,"")</f>
        <v>0.0693388407254743</v>
      </c>
      <c r="AY271" s="38" t="n">
        <f aca="false">IFERROR(-N(AY242)/AY128,"")</f>
        <v>0.113824546214921</v>
      </c>
      <c r="AZ271" s="38" t="n">
        <f aca="false">IFERROR(-N(AZ242)/AZ128,"")</f>
        <v>0.130285605521774</v>
      </c>
      <c r="BA271" s="38" t="n">
        <f aca="false">IFERROR(-N(BA242)/BA128,"")</f>
        <v>0.163043712472735</v>
      </c>
      <c r="BB271" s="38" t="n">
        <f aca="false">IFERROR(-N(BB242)/BB128,"")</f>
        <v>0.121000051858442</v>
      </c>
      <c r="BC271" s="38" t="n">
        <f aca="false">IFERROR(-N(BC242)/BC128,"")</f>
        <v>0.0925239407017746</v>
      </c>
      <c r="BD271" s="38" t="n">
        <f aca="false">IFERROR(-N(BD242)/BD128,"")</f>
        <v>0.120626391805928</v>
      </c>
      <c r="BE271" s="38" t="n">
        <f aca="false">IFERROR(-N(BE242)/BE128,"")</f>
        <v>0.131331029625484</v>
      </c>
      <c r="BF271" s="38" t="n">
        <f aca="false">IFERROR(-N(BF242)/BF128,"")</f>
        <v>0.157472766558195</v>
      </c>
      <c r="BG271" s="38" t="n">
        <f aca="false">IFERROR(-N(BG242)/BG128,"")</f>
        <v>0.126552252338821</v>
      </c>
      <c r="BH271" s="38" t="n">
        <f aca="false">IFERROR(-N(BH242)/BH128,"")</f>
        <v>0.0924944606769892</v>
      </c>
      <c r="BI271" s="38" t="n">
        <f aca="false">IFERROR(-N(BI242)/BI128,"")</f>
        <v>0.108038959079113</v>
      </c>
      <c r="BJ271" s="38" t="n">
        <f aca="false">IFERROR(-N(BJ242)/BJ128,"")</f>
        <v>0.107234117159319</v>
      </c>
      <c r="BK271" s="38" t="n">
        <f aca="false">IFERROR(-N(BK242)/BK128,"")</f>
        <v>0.156437704883403</v>
      </c>
      <c r="BL271" s="38" t="n">
        <f aca="false">IFERROR(-N(BL242)/BL128,"")</f>
        <v>0.116430529181741</v>
      </c>
      <c r="BM271" s="38" t="n">
        <f aca="false">IFERROR(-N(BM242)/BM128,"")</f>
        <v>0.0819968417289339</v>
      </c>
      <c r="BN271" s="38" t="n">
        <f aca="false">IFERROR(-N(BN242)/BN128,"")</f>
        <v>0.0966205342488055</v>
      </c>
      <c r="BO271" s="38" t="n">
        <f aca="false">IFERROR(-N(BO242)/BO128,"")</f>
        <v>0.116370920013274</v>
      </c>
      <c r="BP271" s="38" t="n">
        <f aca="false">IFERROR(-N(BP242)/BP128,"")</f>
        <v>0.175502802082748</v>
      </c>
      <c r="BQ271" s="38" t="n">
        <f aca="false">IFERROR(-N(BQ242)/BQ128,"")</f>
        <v>0.118389733340912</v>
      </c>
      <c r="BR271" s="38" t="n">
        <f aca="false">IFERROR(-N(BR242)/BR128,"")</f>
        <v>0.0953492901817451</v>
      </c>
      <c r="BS271" s="38" t="n">
        <f aca="false">IFERROR(-N(BS242)/BS128,"")</f>
        <v>0.11853073569154</v>
      </c>
      <c r="BT271" s="38" t="n">
        <f aca="false">IFERROR(-N(BT242)/BT128,"")</f>
        <v>0.120881329071445</v>
      </c>
      <c r="BU271" s="38" t="n">
        <f aca="false">IFERROR(-N(BU242)/BU128,"")</f>
        <v>0.161922230003211</v>
      </c>
      <c r="BV271" s="38" t="n">
        <f aca="false">IFERROR(-N(BV242)/BV128,"")</f>
        <v>0.124563070440582</v>
      </c>
      <c r="BW271" s="38" t="n">
        <f aca="false">IFERROR(-N(BW242)/BW128,"")</f>
        <v>0.12511268096975</v>
      </c>
      <c r="BX271" s="38" t="n">
        <f aca="false">IFERROR(-N(BX242)/BX128,"")</f>
        <v>0.118032547537542</v>
      </c>
      <c r="BY271" s="39"/>
      <c r="BZ271" s="39"/>
      <c r="CA271" s="37" t="n">
        <f aca="false">IFERROR(-CA242/CA128,"")</f>
        <v>0.124564025909317</v>
      </c>
      <c r="CB271" s="42" t="n">
        <v>0.12</v>
      </c>
      <c r="CC271" s="42" t="n">
        <v>0.12</v>
      </c>
      <c r="CD271" s="42" t="n">
        <v>0.12</v>
      </c>
      <c r="CE271" s="42" t="n">
        <v>0.12</v>
      </c>
      <c r="CF271" s="21" t="s">
        <v>468</v>
      </c>
      <c r="CH271" s="41" t="n">
        <f aca="false">IFERROR(AVERAGE(CA271,CB271,CC271,CD271,CE271),"n/m")</f>
        <v>0.120912805181863</v>
      </c>
      <c r="CI271" s="41" t="n">
        <f aca="false">IFERROR(AVERAGE(BB271,BG271,BL271,BQ271,BV271),"n/m")</f>
        <v>0.1213871274321</v>
      </c>
      <c r="CJ271" s="41" t="n">
        <f aca="false">IFERROR(AVERAGE(AC271,AH271,AM271,AR271,AW271,BB271,BG271,BL271,BQ271,BV271),"n/m")</f>
        <v>0.115085632552515</v>
      </c>
      <c r="CK271" s="41" t="n">
        <f aca="false">IFERROR(AVERAGE(C271,D271,E271,F271,G271,H271,I271,N271,S271,X271,AC271,AH271,AM271,AR271,AW271,BB271,BG271,BL271,BQ271,BV271),"n/m")</f>
        <v>0.111990831303737</v>
      </c>
    </row>
    <row r="272" customFormat="false" ht="15" hidden="false" customHeight="true" outlineLevel="0" collapsed="false">
      <c r="B272" s="29" t="s">
        <v>469</v>
      </c>
      <c r="C272" s="75" t="n">
        <f aca="false">IFERROR(-N(C242)/C235,"")</f>
        <v>1.28924063313965</v>
      </c>
      <c r="D272" s="75" t="n">
        <f aca="false">IFERROR(-N(D242)/D235,"")</f>
        <v>1.45085719624422</v>
      </c>
      <c r="E272" s="75" t="n">
        <f aca="false">IFERROR(-N(E242)/E235,"")</f>
        <v>1.16490983177493</v>
      </c>
      <c r="F272" s="75" t="n">
        <f aca="false">IFERROR(-N(F242)/F235,"")</f>
        <v>0.980827176922253</v>
      </c>
      <c r="G272" s="75" t="n">
        <f aca="false">IFERROR(-N(G242)/G235,"")</f>
        <v>0.91436767578125</v>
      </c>
      <c r="H272" s="75" t="n">
        <f aca="false">IFERROR(-N(H242)/H235,"")</f>
        <v>0.849335727109515</v>
      </c>
      <c r="I272" s="75" t="n">
        <f aca="false">IFERROR(-N(I242)/I235,"")</f>
        <v>0.793025250020663</v>
      </c>
      <c r="J272" s="75" t="n">
        <f aca="false">IFERROR(-N(J242)/J235,"")</f>
        <v>0.635340093308313</v>
      </c>
      <c r="K272" s="75" t="n">
        <f aca="false">IFERROR(-N(K242)/K235,"")</f>
        <v>0.830411466618561</v>
      </c>
      <c r="L272" s="75" t="n">
        <f aca="false">IFERROR(-N(L242)/L235,"")</f>
        <v>0.859151979894965</v>
      </c>
      <c r="M272" s="75" t="n">
        <f aca="false">IFERROR(-N(M242)/M235,"")</f>
        <v>1.10005420399834</v>
      </c>
      <c r="N272" s="75" t="n">
        <f aca="false">IFERROR(-N(N242)/N235,"")</f>
        <v>0.860619033559689</v>
      </c>
      <c r="O272" s="75" t="n">
        <f aca="false">IFERROR(-N(O242)/O235,"")</f>
        <v>0.568980400933593</v>
      </c>
      <c r="P272" s="75" t="n">
        <f aca="false">IFERROR(-N(P242)/P235,"")</f>
        <v>0.75343131110554</v>
      </c>
      <c r="Q272" s="75" t="n">
        <f aca="false">IFERROR(-N(Q242)/Q235,"")</f>
        <v>0.991841704718417</v>
      </c>
      <c r="R272" s="75" t="n">
        <f aca="false">IFERROR(-N(R242)/R235,"")</f>
        <v>1.40336440652233</v>
      </c>
      <c r="S272" s="75" t="n">
        <f aca="false">IFERROR(-N(S242)/S235,"")</f>
        <v>0.935385199888348</v>
      </c>
      <c r="T272" s="75" t="n">
        <f aca="false">IFERROR(-N(T242)/T235,"")</f>
        <v>0.648555344757877</v>
      </c>
      <c r="U272" s="75" t="n">
        <f aca="false">IFERROR(-N(U242)/U235,"")</f>
        <v>0.903769692983767</v>
      </c>
      <c r="V272" s="75" t="n">
        <f aca="false">IFERROR(-N(V242)/V235,"")</f>
        <v>0.96559619647649</v>
      </c>
      <c r="W272" s="75" t="n">
        <f aca="false">IFERROR(-N(W242)/W235,"")</f>
        <v>1.01142725889345</v>
      </c>
      <c r="X272" s="75" t="n">
        <f aca="false">IFERROR(-N(X242)/X235,"")</f>
        <v>0.886424875850858</v>
      </c>
      <c r="Y272" s="75" t="n">
        <f aca="false">IFERROR(-N(Y242)/Y235,"")</f>
        <v>0.824816666909653</v>
      </c>
      <c r="Z272" s="75" t="n">
        <f aca="false">IFERROR(-N(Z242)/Z235,"")</f>
        <v>0.563980127807861</v>
      </c>
      <c r="AA272" s="75" t="n">
        <f aca="false">IFERROR(-N(AA242)/AA235,"")</f>
        <v>0.60808713249982</v>
      </c>
      <c r="AB272" s="75" t="n">
        <f aca="false">IFERROR(-N(AB242)/AB235,"")</f>
        <v>0.969376928677924</v>
      </c>
      <c r="AC272" s="75" t="n">
        <f aca="false">IFERROR(-N(AC242)/AC235,"")</f>
        <v>0.743078428667506</v>
      </c>
      <c r="AD272" s="75" t="n">
        <f aca="false">IFERROR(-N(AD242)/AD235,"")</f>
        <v>0.605008291873964</v>
      </c>
      <c r="AE272" s="75" t="n">
        <f aca="false">IFERROR(-N(AE242)/AE235,"")</f>
        <v>0.706978278940789</v>
      </c>
      <c r="AF272" s="75" t="n">
        <f aca="false">IFERROR(-N(AF242)/AF235,"")</f>
        <v>0.701708905261227</v>
      </c>
      <c r="AG272" s="75" t="n">
        <f aca="false">IFERROR(-N(AG242)/AG235,"")</f>
        <v>1.00816987359113</v>
      </c>
      <c r="AH272" s="75" t="n">
        <f aca="false">IFERROR(-N(AH242)/AH235,"")</f>
        <v>0.757785177174442</v>
      </c>
      <c r="AI272" s="75" t="n">
        <f aca="false">IFERROR(-N(AI242)/AI235,"")</f>
        <v>0.572666260680675</v>
      </c>
      <c r="AJ272" s="75" t="n">
        <f aca="false">IFERROR(-N(AJ242)/AJ235,"")</f>
        <v>0.654116644171343</v>
      </c>
      <c r="AK272" s="75" t="n">
        <f aca="false">IFERROR(-N(AK242)/AK235,"")</f>
        <v>0.981136816616506</v>
      </c>
      <c r="AL272" s="75" t="n">
        <f aca="false">IFERROR(-N(AL242)/AL235,"")</f>
        <v>0.974353330285534</v>
      </c>
      <c r="AM272" s="75" t="n">
        <f aca="false">IFERROR(-N(AM242)/AM235,"")</f>
        <v>0.802579623122852</v>
      </c>
      <c r="AN272" s="75" t="n">
        <f aca="false">IFERROR(-N(AN242)/AN235,"")</f>
        <v>0.643997091138684</v>
      </c>
      <c r="AO272" s="75" t="n">
        <f aca="false">IFERROR(-N(AO242)/AO235,"")</f>
        <v>0.741824367425048</v>
      </c>
      <c r="AP272" s="75" t="n">
        <f aca="false">IFERROR(-N(AP242)/AP235,"")</f>
        <v>0.94633755949623</v>
      </c>
      <c r="AQ272" s="75" t="n">
        <f aca="false">IFERROR(-N(AQ242)/AQ235,"")</f>
        <v>1.06578381905868</v>
      </c>
      <c r="AR272" s="75" t="n">
        <f aca="false">IFERROR(-N(AR242)/AR235,"")</f>
        <v>0.852790226879844</v>
      </c>
      <c r="AS272" s="75" t="n">
        <f aca="false">IFERROR(-N(AS242)/AS235,"")</f>
        <v>0.755134030110874</v>
      </c>
      <c r="AT272" s="75" t="n">
        <f aca="false">IFERROR(-N(AT242)/AT235,"")</f>
        <v>0.715460571253709</v>
      </c>
      <c r="AU272" s="75" t="n">
        <f aca="false">IFERROR(-N(AU242)/AU235,"")</f>
        <v>0.798888789600669</v>
      </c>
      <c r="AV272" s="75" t="n">
        <f aca="false">IFERROR(-N(AV242)/AV235,"")</f>
        <v>0.896584155647404</v>
      </c>
      <c r="AW272" s="75" t="n">
        <f aca="false">IFERROR(-N(AW242)/AW235,"")</f>
        <v>0.793527147649401</v>
      </c>
      <c r="AX272" s="75" t="n">
        <f aca="false">IFERROR(-N(AX242)/AX235,"")</f>
        <v>0.510527759317278</v>
      </c>
      <c r="AY272" s="75" t="n">
        <f aca="false">IFERROR(-N(AY242)/AY235,"")</f>
        <v>0.864655398679734</v>
      </c>
      <c r="AZ272" s="75" t="n">
        <f aca="false">IFERROR(-N(AZ242)/AZ235,"")</f>
        <v>1.00379156978707</v>
      </c>
      <c r="BA272" s="75" t="n">
        <f aca="false">IFERROR(-N(BA242)/BA235,"")</f>
        <v>1.23648358420797</v>
      </c>
      <c r="BB272" s="75" t="n">
        <f aca="false">IFERROR(-N(BB242)/BB235,"")</f>
        <v>0.915506470408077</v>
      </c>
      <c r="BC272" s="75" t="n">
        <f aca="false">IFERROR(-N(BC242)/BC235,"")</f>
        <v>0.700039065192913</v>
      </c>
      <c r="BD272" s="75" t="n">
        <f aca="false">IFERROR(-N(BD242)/BD235,"")</f>
        <v>0.967800353356891</v>
      </c>
      <c r="BE272" s="75" t="n">
        <f aca="false">IFERROR(-N(BE242)/BE235,"")</f>
        <v>1.06349479850955</v>
      </c>
      <c r="BF272" s="75" t="n">
        <f aca="false">IFERROR(-N(BF242)/BF235,"")</f>
        <v>1.21222254251946</v>
      </c>
      <c r="BG272" s="75" t="n">
        <f aca="false">IFERROR(-N(BG242)/BG235,"")</f>
        <v>0.993162923304605</v>
      </c>
      <c r="BH272" s="75" t="n">
        <f aca="false">IFERROR(-N(BH242)/BH235,"")</f>
        <v>0.722385459088275</v>
      </c>
      <c r="BI272" s="75" t="n">
        <f aca="false">IFERROR(-N(BI242)/BI235,"")</f>
        <v>0.865211947347984</v>
      </c>
      <c r="BJ272" s="75" t="n">
        <f aca="false">IFERROR(-N(BJ242)/BJ235,"")</f>
        <v>0.870422059031654</v>
      </c>
      <c r="BK272" s="75" t="n">
        <f aca="false">IFERROR(-N(BK242)/BK235,"")</f>
        <v>1.25806324173133</v>
      </c>
      <c r="BL272" s="75" t="n">
        <f aca="false">IFERROR(-N(BL242)/BL235,"")</f>
        <v>0.931010525203571</v>
      </c>
      <c r="BM272" s="75" t="n">
        <f aca="false">IFERROR(-N(BM242)/BM235,"")</f>
        <v>0.646248208045448</v>
      </c>
      <c r="BN272" s="75" t="n">
        <f aca="false">IFERROR(-N(BN242)/BN235,"")</f>
        <v>0.76122907416428</v>
      </c>
      <c r="BO272" s="75" t="n">
        <f aca="false">IFERROR(-N(BO242)/BO235,"")</f>
        <v>0.926747536115406</v>
      </c>
      <c r="BP272" s="75" t="n">
        <f aca="false">IFERROR(-N(BP242)/BP235,"")</f>
        <v>1.23273657289003</v>
      </c>
      <c r="BQ272" s="75" t="n">
        <f aca="false">IFERROR(-N(BQ242)/BQ235,"")</f>
        <v>0.907386259644311</v>
      </c>
      <c r="BR272" s="75" t="n">
        <f aca="false">IFERROR(-N(BR242)/BR235,"")</f>
        <v>0.732732308095562</v>
      </c>
      <c r="BS272" s="75" t="n">
        <f aca="false">IFERROR(-N(BS242)/BS235,"")</f>
        <v>0.927363915009247</v>
      </c>
      <c r="BT272" s="75" t="n">
        <f aca="false">IFERROR(-N(BT242)/BT235,"")</f>
        <v>0.942415881774649</v>
      </c>
      <c r="BU272" s="75" t="n">
        <f aca="false">IFERROR(-N(BU242)/BU235,"")</f>
        <v>1.20403233386596</v>
      </c>
      <c r="BV272" s="75" t="n">
        <f aca="false">IFERROR(-N(BV242)/BV235,"")</f>
        <v>0.957083237968162</v>
      </c>
      <c r="BW272" s="75" t="n">
        <f aca="false">IFERROR(-N(BW242)/BW235,"")</f>
        <v>0.942325472042802</v>
      </c>
      <c r="BX272" s="75" t="n">
        <f aca="false">IFERROR(-N(BX242)/BX235,"")</f>
        <v>0.927813254694256</v>
      </c>
      <c r="BY272" s="49"/>
      <c r="BZ272" s="49"/>
      <c r="CA272" s="76" t="n">
        <f aca="false">IFERROR(-CA242/CA235,"")</f>
        <v>0.958588957055215</v>
      </c>
      <c r="CB272" s="76" t="n">
        <f aca="false">IFERROR(-CB242/CB235,"")</f>
        <v>0.932320058955457</v>
      </c>
      <c r="CC272" s="76" t="n">
        <f aca="false">IFERROR(-CC242/CC235,"")</f>
        <v>0.93874583584715</v>
      </c>
      <c r="CD272" s="76" t="n">
        <f aca="false">IFERROR(-CD242/CD235,"")</f>
        <v>0.945147300111272</v>
      </c>
      <c r="CE272" s="76" t="n">
        <f aca="false">IFERROR(-CE242/CE235,"")</f>
        <v>0.950571386936225</v>
      </c>
      <c r="CF272" s="21"/>
    </row>
    <row r="273" customFormat="false" ht="15" hidden="false" customHeight="true" outlineLevel="0" collapsed="false"/>
    <row r="274" customFormat="false" ht="15" hidden="false" customHeight="true" outlineLevel="0" collapsed="false">
      <c r="B274" s="12" t="s">
        <v>470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 t="s">
        <v>471</v>
      </c>
    </row>
    <row r="275" customFormat="false" ht="15" hidden="false" customHeight="true" outlineLevel="0" collapsed="false">
      <c r="B275" s="18" t="s">
        <v>472</v>
      </c>
      <c r="C275" s="32" t="n">
        <f aca="false">N(C241)</f>
        <v>204.234</v>
      </c>
      <c r="D275" s="32" t="n">
        <f aca="false">N(D241)</f>
        <v>219.069</v>
      </c>
      <c r="E275" s="32" t="n">
        <f aca="false">N(E241)</f>
        <v>270.409</v>
      </c>
      <c r="F275" s="32" t="n">
        <f aca="false">N(F241)</f>
        <v>303.637</v>
      </c>
      <c r="G275" s="32" t="n">
        <f aca="false">N(G241)</f>
        <v>332.179</v>
      </c>
      <c r="H275" s="32" t="n">
        <f aca="false">N(H241)</f>
        <v>388.17</v>
      </c>
      <c r="I275" s="32" t="n">
        <f aca="false">N(I241)</f>
        <v>416.327</v>
      </c>
      <c r="J275" s="32" t="n">
        <f aca="false">N(J241)</f>
        <v>132.958</v>
      </c>
      <c r="K275" s="32" t="n">
        <f aca="false">N(K241)</f>
        <v>122.565</v>
      </c>
      <c r="L275" s="32" t="n">
        <f aca="false">N(L241)</f>
        <v>129.881</v>
      </c>
      <c r="M275" s="32" t="n">
        <f aca="false">N(M241)</f>
        <v>98.657</v>
      </c>
      <c r="N275" s="32" t="n">
        <f aca="false">N(N241)</f>
        <v>484.061</v>
      </c>
      <c r="O275" s="32" t="n">
        <f aca="false">N(O241)</f>
        <v>144.957</v>
      </c>
      <c r="P275" s="32" t="n">
        <f aca="false">N(P241)</f>
        <v>134.724</v>
      </c>
      <c r="Q275" s="32" t="n">
        <f aca="false">N(Q241)</f>
        <v>134.945</v>
      </c>
      <c r="R275" s="32" t="n">
        <f aca="false">N(R241)</f>
        <v>130.594</v>
      </c>
      <c r="S275" s="32" t="n">
        <f aca="false">N(S241)</f>
        <v>545.22</v>
      </c>
      <c r="T275" s="32" t="n">
        <f aca="false">N(T241)</f>
        <v>162.571</v>
      </c>
      <c r="U275" s="32" t="n">
        <f aca="false">N(U241)</f>
        <v>156.646</v>
      </c>
      <c r="V275" s="32" t="n">
        <f aca="false">N(V241)</f>
        <v>144.111</v>
      </c>
      <c r="W275" s="32" t="n">
        <f aca="false">N(W241)</f>
        <v>113.671</v>
      </c>
      <c r="X275" s="32" t="n">
        <f aca="false">N(X241)</f>
        <v>576.999</v>
      </c>
      <c r="Y275" s="32" t="n">
        <f aca="false">N(Y241)</f>
        <v>164.716</v>
      </c>
      <c r="Z275" s="32" t="n">
        <f aca="false">N(Z241)</f>
        <v>94.93</v>
      </c>
      <c r="AA275" s="32" t="n">
        <f aca="false">N(AA241)</f>
        <v>279.185</v>
      </c>
      <c r="AB275" s="32" t="n">
        <f aca="false">N(AB241)</f>
        <v>256.481</v>
      </c>
      <c r="AC275" s="32" t="n">
        <f aca="false">N(AC241)</f>
        <v>795.312</v>
      </c>
      <c r="AD275" s="32" t="n">
        <f aca="false">N(AD241)</f>
        <v>287.477</v>
      </c>
      <c r="AE275" s="32" t="n">
        <f aca="false">N(AE241)</f>
        <v>264.429</v>
      </c>
      <c r="AF275" s="32" t="n">
        <f aca="false">N(AF241)</f>
        <v>336.469</v>
      </c>
      <c r="AG275" s="32" t="n">
        <f aca="false">N(AG241)</f>
        <v>298.885</v>
      </c>
      <c r="AH275" s="32" t="n">
        <f aca="false">N(AH241)</f>
        <v>1187.26</v>
      </c>
      <c r="AI275" s="32" t="n">
        <f aca="false">N(AI241)</f>
        <v>307.247</v>
      </c>
      <c r="AJ275" s="32" t="n">
        <f aca="false">N(AJ241)</f>
        <v>357.684</v>
      </c>
      <c r="AK275" s="32" t="n">
        <f aca="false">N(AK241)</f>
        <v>372.861</v>
      </c>
      <c r="AL275" s="32" t="n">
        <f aca="false">N(AL241)</f>
        <v>373.443</v>
      </c>
      <c r="AM275" s="32" t="n">
        <f aca="false">N(AM241)</f>
        <v>1411.235</v>
      </c>
      <c r="AN275" s="32" t="n">
        <f aca="false">N(AN241)</f>
        <v>363.772</v>
      </c>
      <c r="AO275" s="32" t="n">
        <f aca="false">N(AO241)</f>
        <v>389.276</v>
      </c>
      <c r="AP275" s="32" t="n">
        <f aca="false">N(AP241)</f>
        <v>432.382</v>
      </c>
      <c r="AQ275" s="32" t="n">
        <f aca="false">N(AQ241)</f>
        <v>355.117</v>
      </c>
      <c r="AR275" s="32" t="n">
        <f aca="false">N(AR241)</f>
        <v>1540.547</v>
      </c>
      <c r="AS275" s="32" t="n">
        <f aca="false">N(AS241)</f>
        <v>369.586</v>
      </c>
      <c r="AT275" s="32" t="n">
        <f aca="false">N(AT241)</f>
        <v>383.599</v>
      </c>
      <c r="AU275" s="32" t="n">
        <f aca="false">N(AU241)</f>
        <v>432.388</v>
      </c>
      <c r="AV275" s="32" t="n">
        <f aca="false">N(AV241)</f>
        <v>222.948</v>
      </c>
      <c r="AW275" s="32" t="n">
        <f aca="false">N(AW241)</f>
        <v>1408.521</v>
      </c>
      <c r="AX275" s="32" t="n">
        <f aca="false">N(AX241)</f>
        <v>400.396</v>
      </c>
      <c r="AY275" s="32" t="n">
        <f aca="false">N(AY241)</f>
        <v>448.082</v>
      </c>
      <c r="AZ275" s="32" t="n">
        <f aca="false">N(AZ241)</f>
        <v>421.483</v>
      </c>
      <c r="BA275" s="32" t="n">
        <f aca="false">N(BA241)</f>
        <v>428.268</v>
      </c>
      <c r="BB275" s="32" t="n">
        <f aca="false">N(BB241)</f>
        <v>1698.229</v>
      </c>
      <c r="BC275" s="32" t="n">
        <f aca="false">N(BC241)</f>
        <v>440.897</v>
      </c>
      <c r="BD275" s="32" t="n">
        <f aca="false">N(BD241)</f>
        <v>532.781</v>
      </c>
      <c r="BE275" s="32" t="n">
        <f aca="false">N(BE241)</f>
        <v>526.459</v>
      </c>
      <c r="BF275" s="32" t="n">
        <f aca="false">N(BF241)</f>
        <v>522.355</v>
      </c>
      <c r="BG275" s="32" t="n">
        <f aca="false">N(BG241)</f>
        <v>2022.492</v>
      </c>
      <c r="BH275" s="32" t="n">
        <f aca="false">N(BH241)</f>
        <v>442.358</v>
      </c>
      <c r="BI275" s="32" t="n">
        <f aca="false">N(BI241)</f>
        <v>574.354</v>
      </c>
      <c r="BJ275" s="32" t="n">
        <f aca="false">N(BJ241)</f>
        <v>554.164</v>
      </c>
      <c r="BK275" s="32" t="n">
        <f aca="false">N(BK241)</f>
        <v>555.941</v>
      </c>
      <c r="BL275" s="32" t="n">
        <f aca="false">N(BL241)</f>
        <v>2126.817</v>
      </c>
      <c r="BM275" s="32" t="n">
        <f aca="false">N(BM241)</f>
        <v>490.309</v>
      </c>
      <c r="BN275" s="32" t="n">
        <f aca="false">N(BN241)</f>
        <v>611.378</v>
      </c>
      <c r="BO275" s="32" t="n">
        <f aca="false">N(BO241)</f>
        <v>558.311</v>
      </c>
      <c r="BP275" s="32" t="n">
        <f aca="false">N(BP241)</f>
        <v>568.929</v>
      </c>
      <c r="BQ275" s="32" t="n">
        <f aca="false">N(BQ241)</f>
        <v>2228.927</v>
      </c>
      <c r="BR275" s="32" t="n">
        <f aca="false">N(BR241)</f>
        <v>541.539</v>
      </c>
      <c r="BS275" s="32" t="n">
        <f aca="false">N(BS241)</f>
        <v>638.202</v>
      </c>
      <c r="BT275" s="32" t="n">
        <f aca="false">N(BT241)</f>
        <v>677.449</v>
      </c>
      <c r="BU275" s="32" t="n">
        <f aca="false">N(BU241)</f>
        <v>556.879</v>
      </c>
      <c r="BV275" s="32" t="n">
        <f aca="false">N(BV241)</f>
        <v>2414.069</v>
      </c>
      <c r="BW275" s="32" t="n">
        <f aca="false">N(BW241)</f>
        <v>545.598</v>
      </c>
      <c r="BX275" s="32" t="n">
        <f aca="false">N(BX241)</f>
        <v>733.288</v>
      </c>
      <c r="BY275" s="51"/>
      <c r="BZ275" s="51"/>
      <c r="CA275" s="20" t="n">
        <f aca="false">N(CA241)</f>
        <v>2655</v>
      </c>
      <c r="CB275" s="20" t="n">
        <f aca="false">N(CB241)</f>
        <v>3005.56017789965</v>
      </c>
      <c r="CC275" s="20" t="n">
        <f aca="false">N(CC241)</f>
        <v>3268.01303463721</v>
      </c>
      <c r="CD275" s="20" t="n">
        <f aca="false">N(CD241)</f>
        <v>3517.86770924262</v>
      </c>
      <c r="CE275" s="20" t="n">
        <f aca="false">N(CE241)</f>
        <v>3768.94040796967</v>
      </c>
      <c r="CF275" s="21"/>
    </row>
    <row r="276" customFormat="false" ht="15" hidden="false" customHeight="true" outlineLevel="0" collapsed="false">
      <c r="B276" s="29" t="s">
        <v>473</v>
      </c>
      <c r="C276" s="26" t="n">
        <f aca="false">N(C250)</f>
        <v>-8.869</v>
      </c>
      <c r="D276" s="26" t="n">
        <f aca="false">N(D250)</f>
        <v>8.835</v>
      </c>
      <c r="E276" s="26" t="n">
        <f aca="false">N(E250)</f>
        <v>-4.52</v>
      </c>
      <c r="F276" s="26" t="n">
        <f aca="false">N(F250)</f>
        <v>7.802</v>
      </c>
      <c r="G276" s="26" t="n">
        <f aca="false">N(G250)</f>
        <v>0.279</v>
      </c>
      <c r="H276" s="26" t="n">
        <f aca="false">N(H250)</f>
        <v>-0.227</v>
      </c>
      <c r="I276" s="26" t="n">
        <f aca="false">N(I250)</f>
        <v>0.398</v>
      </c>
      <c r="J276" s="26" t="n">
        <f aca="false">N(J250)</f>
        <v>-0.017</v>
      </c>
      <c r="K276" s="26" t="n">
        <f aca="false">N(K250)</f>
        <v>-0.073</v>
      </c>
      <c r="L276" s="26" t="n">
        <f aca="false">N(L250)</f>
        <v>-0.284</v>
      </c>
      <c r="M276" s="26" t="n">
        <f aca="false">N(M250)</f>
        <v>0.264</v>
      </c>
      <c r="N276" s="26" t="n">
        <f aca="false">N(N250)</f>
        <v>-0.11</v>
      </c>
      <c r="O276" s="26" t="n">
        <f aca="false">N(O250)</f>
        <v>0.135</v>
      </c>
      <c r="P276" s="26" t="n">
        <f aca="false">N(P250)</f>
        <v>-0.117</v>
      </c>
      <c r="Q276" s="26" t="n">
        <f aca="false">N(Q250)</f>
        <v>-0.198</v>
      </c>
      <c r="R276" s="26" t="n">
        <f aca="false">N(R250)</f>
        <v>0.169</v>
      </c>
      <c r="S276" s="26" t="n">
        <f aca="false">N(S250)</f>
        <v>-0.011</v>
      </c>
      <c r="T276" s="26" t="n">
        <f aca="false">N(T250)</f>
        <v>0.025</v>
      </c>
      <c r="U276" s="26" t="n">
        <f aca="false">N(U250)</f>
        <v>-0.046</v>
      </c>
      <c r="V276" s="26" t="n">
        <f aca="false">N(V250)</f>
        <v>0.086</v>
      </c>
      <c r="W276" s="26" t="n">
        <f aca="false">N(W250)</f>
        <v>-0.154</v>
      </c>
      <c r="X276" s="26" t="n">
        <f aca="false">N(X250)</f>
        <v>-0.089</v>
      </c>
      <c r="Y276" s="26" t="n">
        <f aca="false">N(Y250)</f>
        <v>-0.151</v>
      </c>
      <c r="Z276" s="26" t="n">
        <f aca="false">N(Z250)</f>
        <v>2.149</v>
      </c>
      <c r="AA276" s="26" t="n">
        <f aca="false">N(AA250)</f>
        <v>4.052</v>
      </c>
      <c r="AB276" s="26" t="n">
        <f aca="false">N(AB250)</f>
        <v>-7.355</v>
      </c>
      <c r="AC276" s="26" t="n">
        <f aca="false">N(AC250)</f>
        <v>-1.305</v>
      </c>
      <c r="AD276" s="26" t="n">
        <f aca="false">N(AD250)</f>
        <v>20.047</v>
      </c>
      <c r="AE276" s="26" t="n">
        <f aca="false">N(AE250)</f>
        <v>-0.568000000000001</v>
      </c>
      <c r="AF276" s="26" t="n">
        <f aca="false">N(AF250)</f>
        <v>-5.665</v>
      </c>
      <c r="AG276" s="26" t="n">
        <f aca="false">N(AG250)</f>
        <v>-5.573</v>
      </c>
      <c r="AH276" s="26" t="n">
        <f aca="false">N(AH250)</f>
        <v>8.241</v>
      </c>
      <c r="AI276" s="26" t="n">
        <f aca="false">N(AI250)</f>
        <v>-0.295</v>
      </c>
      <c r="AJ276" s="26" t="n">
        <f aca="false">N(AJ250)</f>
        <v>-0.837</v>
      </c>
      <c r="AK276" s="26" t="n">
        <f aca="false">N(AK250)</f>
        <v>0.889</v>
      </c>
      <c r="AL276" s="26" t="n">
        <f aca="false">N(AL250)</f>
        <v>-0.596</v>
      </c>
      <c r="AM276" s="26" t="n">
        <f aca="false">N(AM250)</f>
        <v>-0.839</v>
      </c>
      <c r="AN276" s="26" t="n">
        <f aca="false">N(AN250)</f>
        <v>-2.784</v>
      </c>
      <c r="AO276" s="26" t="n">
        <f aca="false">N(AO250)</f>
        <v>2.25</v>
      </c>
      <c r="AP276" s="26" t="n">
        <f aca="false">N(AP250)</f>
        <v>2.445</v>
      </c>
      <c r="AQ276" s="26" t="n">
        <f aca="false">N(AQ250)</f>
        <v>-4.475</v>
      </c>
      <c r="AR276" s="26" t="n">
        <f aca="false">N(AR250)</f>
        <v>-2.564</v>
      </c>
      <c r="AS276" s="26" t="n">
        <f aca="false">N(AS250)</f>
        <v>-3.848</v>
      </c>
      <c r="AT276" s="26" t="n">
        <f aca="false">N(AT250)</f>
        <v>3.242</v>
      </c>
      <c r="AU276" s="26" t="n">
        <f aca="false">N(AU250)</f>
        <v>-0.256</v>
      </c>
      <c r="AV276" s="26" t="n">
        <f aca="false">N(AV250)</f>
        <v>1.958</v>
      </c>
      <c r="AW276" s="26" t="n">
        <f aca="false">N(AW250)</f>
        <v>1.096</v>
      </c>
      <c r="AX276" s="26" t="n">
        <f aca="false">N(AX250)</f>
        <v>-16.849</v>
      </c>
      <c r="AY276" s="26" t="n">
        <f aca="false">N(AY250)</f>
        <v>16.659</v>
      </c>
      <c r="AZ276" s="26" t="n">
        <f aca="false">N(AZ250)</f>
        <v>-0.373</v>
      </c>
      <c r="BA276" s="26" t="n">
        <f aca="false">N(BA250)</f>
        <v>0.196</v>
      </c>
      <c r="BB276" s="26" t="n">
        <f aca="false">N(BB250)</f>
        <v>-0.367</v>
      </c>
      <c r="BC276" s="26" t="n">
        <f aca="false">N(BC250)</f>
        <v>0.087</v>
      </c>
      <c r="BD276" s="26" t="n">
        <f aca="false">N(BD250)</f>
        <v>-0.141</v>
      </c>
      <c r="BE276" s="26" t="n">
        <f aca="false">N(BE250)</f>
        <v>-5.929</v>
      </c>
      <c r="BF276" s="26" t="n">
        <f aca="false">N(BF250)</f>
        <v>4.907</v>
      </c>
      <c r="BG276" s="26" t="n">
        <f aca="false">N(BG250)</f>
        <v>-1.076</v>
      </c>
      <c r="BH276" s="26" t="n">
        <f aca="false">N(BH250)</f>
        <v>5.421</v>
      </c>
      <c r="BI276" s="26" t="n">
        <f aca="false">N(BI250)</f>
        <v>-5.655</v>
      </c>
      <c r="BJ276" s="26" t="n">
        <f aca="false">N(BJ250)</f>
        <v>0.371</v>
      </c>
      <c r="BK276" s="26" t="n">
        <f aca="false">N(BK250)</f>
        <v>-0.927</v>
      </c>
      <c r="BL276" s="26" t="n">
        <f aca="false">N(BL250)</f>
        <v>-0.79</v>
      </c>
      <c r="BM276" s="26" t="n">
        <f aca="false">N(BM250)</f>
        <v>-0.271</v>
      </c>
      <c r="BN276" s="26" t="n">
        <f aca="false">N(BN250)</f>
        <v>1.621</v>
      </c>
      <c r="BO276" s="26" t="n">
        <f aca="false">N(BO250)</f>
        <v>-1.637</v>
      </c>
      <c r="BP276" s="26" t="n">
        <f aca="false">N(BP250)</f>
        <v>0.06</v>
      </c>
      <c r="BQ276" s="26" t="n">
        <f aca="false">N(BQ250)</f>
        <v>-0.227</v>
      </c>
      <c r="BR276" s="26" t="n">
        <f aca="false">N(BR250)</f>
        <v>-0.11</v>
      </c>
      <c r="BS276" s="26" t="n">
        <f aca="false">N(BS250)</f>
        <v>0.507</v>
      </c>
      <c r="BT276" s="26" t="n">
        <f aca="false">N(BT250)</f>
        <v>-0.733</v>
      </c>
      <c r="BU276" s="26" t="n">
        <f aca="false">N(BU250)</f>
        <v>0.382</v>
      </c>
      <c r="BV276" s="26" t="n">
        <f aca="false">N(BV250)</f>
        <v>0.046</v>
      </c>
      <c r="BW276" s="26" t="n">
        <f aca="false">N(BW250)</f>
        <v>-6.114</v>
      </c>
      <c r="BX276" s="26" t="n">
        <f aca="false">N(BX250)</f>
        <v>20.358</v>
      </c>
      <c r="BY276" s="28"/>
      <c r="BZ276" s="28"/>
      <c r="CA276" s="47" t="n">
        <f aca="false">N(CA250)</f>
        <v>14.244</v>
      </c>
      <c r="CB276" s="47" t="n">
        <f aca="false">N(CB250)</f>
        <v>0</v>
      </c>
      <c r="CC276" s="47" t="n">
        <f aca="false">N(CC250)</f>
        <v>0</v>
      </c>
      <c r="CD276" s="47" t="n">
        <f aca="false">N(CD250)</f>
        <v>0</v>
      </c>
      <c r="CE276" s="47" t="n">
        <f aca="false">N(CE250)</f>
        <v>0</v>
      </c>
      <c r="CF276" s="21"/>
    </row>
    <row r="277" customFormat="false" ht="15" hidden="false" customHeight="true" outlineLevel="0" collapsed="false">
      <c r="B277" s="29" t="s">
        <v>474</v>
      </c>
      <c r="C277" s="26" t="n">
        <f aca="false">N(C242)</f>
        <v>-96.519</v>
      </c>
      <c r="D277" s="26" t="n">
        <f aca="false">N(D242)</f>
        <v>-124.234</v>
      </c>
      <c r="E277" s="26" t="n">
        <f aca="false">N(E242)</f>
        <v>-113.496</v>
      </c>
      <c r="F277" s="26" t="n">
        <f aca="false">N(F242)</f>
        <v>-128.251</v>
      </c>
      <c r="G277" s="26" t="n">
        <f aca="false">N(G242)</f>
        <v>-134.829</v>
      </c>
      <c r="H277" s="26" t="n">
        <f aca="false">N(H242)</f>
        <v>-141.924</v>
      </c>
      <c r="I277" s="26" t="n">
        <f aca="false">N(I242)</f>
        <v>-153.517</v>
      </c>
      <c r="J277" s="26" t="n">
        <f aca="false">N(J242)</f>
        <v>-36.905</v>
      </c>
      <c r="K277" s="26" t="n">
        <f aca="false">N(K242)</f>
        <v>-50.636</v>
      </c>
      <c r="L277" s="26" t="n">
        <f aca="false">N(L242)</f>
        <v>-53.331</v>
      </c>
      <c r="M277" s="26" t="n">
        <f aca="false">N(M242)</f>
        <v>-69.002</v>
      </c>
      <c r="N277" s="26" t="n">
        <f aca="false">N(N242)</f>
        <v>-209.874</v>
      </c>
      <c r="O277" s="26" t="n">
        <f aca="false">N(O242)</f>
        <v>-35.592</v>
      </c>
      <c r="P277" s="26" t="n">
        <f aca="false">N(P242)</f>
        <v>-48.087</v>
      </c>
      <c r="Q277" s="26" t="n">
        <f aca="false">N(Q242)</f>
        <v>-65.164</v>
      </c>
      <c r="R277" s="26" t="n">
        <f aca="false">N(R242)</f>
        <v>-92.434</v>
      </c>
      <c r="S277" s="26" t="n">
        <f aca="false">N(S242)</f>
        <v>-241.277</v>
      </c>
      <c r="T277" s="26" t="n">
        <f aca="false">N(T242)</f>
        <v>-41.706</v>
      </c>
      <c r="U277" s="26" t="n">
        <f aca="false">N(U242)</f>
        <v>-60.464</v>
      </c>
      <c r="V277" s="26" t="n">
        <f aca="false">N(V242)</f>
        <v>-66.209</v>
      </c>
      <c r="W277" s="26" t="n">
        <f aca="false">N(W242)</f>
        <v>-70.454</v>
      </c>
      <c r="X277" s="26" t="n">
        <f aca="false">N(X242)</f>
        <v>-238.833</v>
      </c>
      <c r="Y277" s="26" t="n">
        <f aca="false">N(Y242)</f>
        <v>-56.575</v>
      </c>
      <c r="Z277" s="26" t="n">
        <f aca="false">N(Z242)</f>
        <v>-55.512</v>
      </c>
      <c r="AA277" s="26" t="n">
        <f aca="false">N(AA242)</f>
        <v>-92.847</v>
      </c>
      <c r="AB277" s="26" t="n">
        <f aca="false">N(AB242)</f>
        <v>-139.789</v>
      </c>
      <c r="AC277" s="26" t="n">
        <f aca="false">N(AC242)</f>
        <v>-344.723</v>
      </c>
      <c r="AD277" s="26" t="n">
        <f aca="false">N(AD242)</f>
        <v>-91.205</v>
      </c>
      <c r="AE277" s="26" t="n">
        <f aca="false">N(AE242)</f>
        <v>-111.412</v>
      </c>
      <c r="AF277" s="26" t="n">
        <f aca="false">N(AF242)</f>
        <v>-114.768</v>
      </c>
      <c r="AG277" s="26" t="n">
        <f aca="false">N(AG242)</f>
        <v>-161.902</v>
      </c>
      <c r="AH277" s="26" t="n">
        <f aca="false">N(AH242)</f>
        <v>-479.287</v>
      </c>
      <c r="AI277" s="26" t="n">
        <f aca="false">N(AI242)</f>
        <v>-91.216</v>
      </c>
      <c r="AJ277" s="26" t="n">
        <f aca="false">N(AJ242)</f>
        <v>-110.496</v>
      </c>
      <c r="AK277" s="26" t="n">
        <f aca="false">N(AK242)</f>
        <v>-171.8</v>
      </c>
      <c r="AL277" s="26" t="n">
        <f aca="false">N(AL242)</f>
        <v>-172.633</v>
      </c>
      <c r="AM277" s="26" t="n">
        <f aca="false">N(AM242)</f>
        <v>-546.145</v>
      </c>
      <c r="AN277" s="26" t="n">
        <f aca="false">N(AN242)</f>
        <v>-114.238</v>
      </c>
      <c r="AO277" s="26" t="n">
        <f aca="false">N(AO242)</f>
        <v>-139.552</v>
      </c>
      <c r="AP277" s="26" t="n">
        <f aca="false">N(AP242)</f>
        <v>-179.736</v>
      </c>
      <c r="AQ277" s="26" t="n">
        <f aca="false">N(AQ242)</f>
        <v>-200.88</v>
      </c>
      <c r="AR277" s="26" t="n">
        <f aca="false">N(AR242)</f>
        <v>-634.406</v>
      </c>
      <c r="AS277" s="26" t="n">
        <f aca="false">N(AS242)</f>
        <v>-137.781</v>
      </c>
      <c r="AT277" s="26" t="n">
        <f aca="false">N(AT242)</f>
        <v>-130.93</v>
      </c>
      <c r="AU277" s="26" t="n">
        <f aca="false">N(AU242)</f>
        <v>-151.983</v>
      </c>
      <c r="AV277" s="26" t="n">
        <f aca="false">N(AV242)</f>
        <v>-176.359</v>
      </c>
      <c r="AW277" s="26" t="n">
        <f aca="false">N(AW242)</f>
        <v>-597.053</v>
      </c>
      <c r="AX277" s="26" t="n">
        <f aca="false">N(AX242)</f>
        <v>-96.793</v>
      </c>
      <c r="AY277" s="26" t="n">
        <f aca="false">N(AY242)</f>
        <v>-174.599</v>
      </c>
      <c r="AZ277" s="26" t="n">
        <f aca="false">N(AZ242)</f>
        <v>-208.088</v>
      </c>
      <c r="BA277" s="26" t="n">
        <f aca="false">N(BA242)</f>
        <v>-264.835</v>
      </c>
      <c r="BB277" s="26" t="n">
        <f aca="false">N(BB242)</f>
        <v>-744.315</v>
      </c>
      <c r="BC277" s="26" t="n">
        <f aca="false">N(BC242)</f>
        <v>-152.318</v>
      </c>
      <c r="BD277" s="26" t="n">
        <f aca="false">N(BD242)</f>
        <v>-219.11</v>
      </c>
      <c r="BE277" s="26" t="n">
        <f aca="false">N(BE242)</f>
        <v>-246.885</v>
      </c>
      <c r="BF277" s="26" t="n">
        <f aca="false">N(BF242)</f>
        <v>-294.364</v>
      </c>
      <c r="BG277" s="26" t="n">
        <f aca="false">N(BG242)</f>
        <v>-912.677</v>
      </c>
      <c r="BH277" s="26" t="n">
        <f aca="false">N(BH242)</f>
        <v>-175.786</v>
      </c>
      <c r="BI277" s="26" t="n">
        <f aca="false">N(BI242)</f>
        <v>-218.357</v>
      </c>
      <c r="BJ277" s="26" t="n">
        <f aca="false">N(BJ242)</f>
        <v>-221.411</v>
      </c>
      <c r="BK277" s="26" t="n">
        <f aca="false">N(BK242)</f>
        <v>-318.446</v>
      </c>
      <c r="BL277" s="26" t="n">
        <f aca="false">N(BL242)</f>
        <v>-934</v>
      </c>
      <c r="BM277" s="26" t="n">
        <f aca="false">N(BM242)</f>
        <v>-169.951</v>
      </c>
      <c r="BN277" s="26" t="n">
        <f aca="false">N(BN242)</f>
        <v>-217.219</v>
      </c>
      <c r="BO277" s="26" t="n">
        <f aca="false">N(BO242)</f>
        <v>-272.132</v>
      </c>
      <c r="BP277" s="26" t="n">
        <f aca="false">N(BP242)</f>
        <v>-396.686</v>
      </c>
      <c r="BQ277" s="26" t="n">
        <f aca="false">N(BQ242)</f>
        <v>-1055.988</v>
      </c>
      <c r="BR277" s="26" t="n">
        <f aca="false">N(BR242)</f>
        <v>-212.455</v>
      </c>
      <c r="BS277" s="26" t="n">
        <f aca="false">N(BS242)</f>
        <v>-285.31</v>
      </c>
      <c r="BT277" s="26" t="n">
        <f aca="false">N(BT242)</f>
        <v>-297.172</v>
      </c>
      <c r="BU277" s="26" t="n">
        <f aca="false">N(BU242)</f>
        <v>-384.291</v>
      </c>
      <c r="BV277" s="26" t="n">
        <f aca="false">N(BV242)</f>
        <v>-1179.228</v>
      </c>
      <c r="BW277" s="26" t="n">
        <f aca="false">N(BW242)</f>
        <v>-296.596</v>
      </c>
      <c r="BX277" s="26" t="n">
        <f aca="false">N(BX242)</f>
        <v>-302.353</v>
      </c>
      <c r="BY277" s="28"/>
      <c r="BZ277" s="28"/>
      <c r="CA277" s="47" t="n">
        <f aca="false">N(CA242)</f>
        <v>-1250</v>
      </c>
      <c r="CB277" s="47" t="n">
        <f aca="false">N(CB242)</f>
        <v>-1278.3924418381</v>
      </c>
      <c r="CC277" s="47" t="n">
        <f aca="false">N(CC242)</f>
        <v>-1380.83542127591</v>
      </c>
      <c r="CD277" s="47" t="n">
        <f aca="false">N(CD242)</f>
        <v>-1490.15558669794</v>
      </c>
      <c r="CE277" s="47" t="n">
        <f aca="false">N(CE242)</f>
        <v>-1601.62481739512</v>
      </c>
      <c r="CF277" s="21"/>
    </row>
    <row r="278" customFormat="false" ht="15" hidden="false" customHeight="true" outlineLevel="0" collapsed="false">
      <c r="B278" s="29" t="s">
        <v>475</v>
      </c>
      <c r="C278" s="26" t="n">
        <f aca="false">N(C245)</f>
        <v>2.198</v>
      </c>
      <c r="D278" s="26" t="n">
        <f aca="false">N(D245)</f>
        <v>1.016</v>
      </c>
      <c r="E278" s="26" t="n">
        <f aca="false">N(E245)</f>
        <v>2.56</v>
      </c>
      <c r="F278" s="26" t="n">
        <f aca="false">N(F245)</f>
        <v>5.061</v>
      </c>
      <c r="G278" s="26" t="n">
        <f aca="false">N(G245)</f>
        <v>6.659</v>
      </c>
      <c r="H278" s="26" t="n">
        <f aca="false">N(H245)</f>
        <v>4.434</v>
      </c>
      <c r="I278" s="26" t="n">
        <f aca="false">N(I245)</f>
        <v>2.741</v>
      </c>
      <c r="J278" s="26" t="n">
        <f aca="false">N(J245)</f>
        <v>0.723</v>
      </c>
      <c r="K278" s="26" t="n">
        <f aca="false">N(K245)</f>
        <v>2.899</v>
      </c>
      <c r="L278" s="26" t="n">
        <f aca="false">N(L245)</f>
        <v>5.453</v>
      </c>
      <c r="M278" s="26" t="n">
        <f aca="false">N(M245)</f>
        <v>1.944</v>
      </c>
      <c r="N278" s="26" t="n">
        <f aca="false">N(N245)</f>
        <v>11.019</v>
      </c>
      <c r="O278" s="26" t="n">
        <f aca="false">N(O245)</f>
        <v>1.312</v>
      </c>
      <c r="P278" s="26" t="n">
        <f aca="false">N(P245)</f>
        <v>4.551</v>
      </c>
      <c r="Q278" s="26" t="n">
        <f aca="false">N(Q245)</f>
        <v>0.276</v>
      </c>
      <c r="R278" s="26" t="n">
        <f aca="false">N(R245)</f>
        <v>3.282</v>
      </c>
      <c r="S278" s="26" t="n">
        <f aca="false">N(S245)</f>
        <v>9.421</v>
      </c>
      <c r="T278" s="26" t="n">
        <f aca="false">N(T245)</f>
        <v>0.598</v>
      </c>
      <c r="U278" s="26" t="n">
        <f aca="false">N(U245)</f>
        <v>0.692</v>
      </c>
      <c r="V278" s="26" t="n">
        <f aca="false">N(V245)</f>
        <v>0.386</v>
      </c>
      <c r="W278" s="26" t="n">
        <f aca="false">N(W245)</f>
        <v>1.207</v>
      </c>
      <c r="X278" s="26" t="n">
        <f aca="false">N(X245)</f>
        <v>2.883</v>
      </c>
      <c r="Y278" s="26" t="n">
        <f aca="false">N(Y245)</f>
        <v>0.681</v>
      </c>
      <c r="Z278" s="26" t="n">
        <f aca="false">N(Z245)</f>
        <v>0.879</v>
      </c>
      <c r="AA278" s="26" t="n">
        <f aca="false">N(AA245)</f>
        <v>1.466</v>
      </c>
      <c r="AB278" s="26" t="n">
        <f aca="false">N(AB245)</f>
        <v>1.578</v>
      </c>
      <c r="AC278" s="26" t="n">
        <f aca="false">N(AC245)</f>
        <v>4.604</v>
      </c>
      <c r="AD278" s="26" t="n">
        <f aca="false">N(AD245)</f>
        <v>18.815</v>
      </c>
      <c r="AE278" s="26" t="n">
        <f aca="false">N(AE245)</f>
        <v>1.802</v>
      </c>
      <c r="AF278" s="26" t="n">
        <f aca="false">N(AF245)</f>
        <v>5.209</v>
      </c>
      <c r="AG278" s="26" t="n">
        <f aca="false">N(AG245)</f>
        <v>2.606</v>
      </c>
      <c r="AH278" s="26" t="n">
        <f aca="false">N(AH245)</f>
        <v>28.432</v>
      </c>
      <c r="AI278" s="26" t="n">
        <f aca="false">N(AI245)</f>
        <v>1.002</v>
      </c>
      <c r="AJ278" s="26" t="n">
        <f aca="false">N(AJ245)</f>
        <v>1.072</v>
      </c>
      <c r="AK278" s="26" t="n">
        <f aca="false">N(AK245)</f>
        <v>1.624</v>
      </c>
      <c r="AL278" s="26" t="n">
        <f aca="false">N(AL245)</f>
        <v>1.687</v>
      </c>
      <c r="AM278" s="26" t="n">
        <f aca="false">N(AM245)</f>
        <v>5.385</v>
      </c>
      <c r="AN278" s="26" t="n">
        <f aca="false">N(AN245)</f>
        <v>0.639</v>
      </c>
      <c r="AO278" s="26" t="n">
        <f aca="false">N(AO245)</f>
        <v>0.559</v>
      </c>
      <c r="AP278" s="26" t="n">
        <f aca="false">N(AP245)</f>
        <v>1.428</v>
      </c>
      <c r="AQ278" s="26" t="n">
        <f aca="false">N(AQ245)</f>
        <v>0.94</v>
      </c>
      <c r="AR278" s="26" t="n">
        <f aca="false">N(AR245)</f>
        <v>3.566</v>
      </c>
      <c r="AS278" s="26" t="n">
        <f aca="false">N(AS245)</f>
        <v>3.499</v>
      </c>
      <c r="AT278" s="26" t="n">
        <f aca="false">N(AT245)</f>
        <v>7.143</v>
      </c>
      <c r="AU278" s="26" t="n">
        <f aca="false">N(AU245)</f>
        <v>0.922000000000001</v>
      </c>
      <c r="AV278" s="26" t="n">
        <f aca="false">N(AV245)</f>
        <v>7.52</v>
      </c>
      <c r="AW278" s="26" t="n">
        <f aca="false">N(AW245)</f>
        <v>19.084</v>
      </c>
      <c r="AX278" s="26" t="n">
        <f aca="false">N(AX245)</f>
        <v>2.08</v>
      </c>
      <c r="AY278" s="26" t="n">
        <f aca="false">N(AY245)</f>
        <v>5.826</v>
      </c>
      <c r="AZ278" s="26" t="n">
        <f aca="false">N(AZ245)</f>
        <v>2.203</v>
      </c>
      <c r="BA278" s="26" t="n">
        <f aca="false">N(BA245)</f>
        <v>32.659</v>
      </c>
      <c r="BB278" s="26" t="n">
        <f aca="false">N(BB245)</f>
        <v>42.768</v>
      </c>
      <c r="BC278" s="26" t="n">
        <f aca="false">N(BC245)</f>
        <v>15.012</v>
      </c>
      <c r="BD278" s="26" t="n">
        <f aca="false">N(BD245)</f>
        <v>1.882</v>
      </c>
      <c r="BE278" s="26" t="n">
        <f aca="false">N(BE245)</f>
        <v>6.447</v>
      </c>
      <c r="BF278" s="26" t="n">
        <f aca="false">N(BF245)</f>
        <v>7.335</v>
      </c>
      <c r="BG278" s="26" t="n">
        <f aca="false">N(BG245)</f>
        <v>30.676</v>
      </c>
      <c r="BH278" s="26" t="n">
        <f aca="false">N(BH245)</f>
        <v>1.26</v>
      </c>
      <c r="BI278" s="26" t="n">
        <f aca="false">N(BI245)</f>
        <v>2.559</v>
      </c>
      <c r="BJ278" s="26" t="n">
        <f aca="false">N(BJ245)</f>
        <v>4.859</v>
      </c>
      <c r="BK278" s="26" t="n">
        <f aca="false">N(BK245)</f>
        <v>22.903</v>
      </c>
      <c r="BL278" s="26" t="n">
        <f aca="false">N(BL245)</f>
        <v>31.581</v>
      </c>
      <c r="BM278" s="26" t="n">
        <f aca="false">N(BM245)</f>
        <v>1.085</v>
      </c>
      <c r="BN278" s="26" t="n">
        <f aca="false">N(BN245)</f>
        <v>1.912</v>
      </c>
      <c r="BO278" s="26" t="n">
        <f aca="false">N(BO245)</f>
        <v>2.636</v>
      </c>
      <c r="BP278" s="26" t="n">
        <f aca="false">N(BP245)</f>
        <v>2.27</v>
      </c>
      <c r="BQ278" s="26" t="n">
        <f aca="false">N(BQ245)</f>
        <v>7.903</v>
      </c>
      <c r="BR278" s="26" t="n">
        <f aca="false">N(BR245)</f>
        <v>0.969</v>
      </c>
      <c r="BS278" s="26" t="n">
        <f aca="false">N(BS245)</f>
        <v>4.448</v>
      </c>
      <c r="BT278" s="26" t="n">
        <f aca="false">N(BT245)</f>
        <v>3.736</v>
      </c>
      <c r="BU278" s="26" t="n">
        <f aca="false">N(BU245)</f>
        <v>0.972</v>
      </c>
      <c r="BV278" s="26" t="n">
        <f aca="false">N(BV245)</f>
        <v>10.125</v>
      </c>
      <c r="BW278" s="26" t="n">
        <f aca="false">N(BW245)</f>
        <v>1.779</v>
      </c>
      <c r="BX278" s="26" t="n">
        <f aca="false">N(BX245)</f>
        <v>1.143</v>
      </c>
      <c r="BY278" s="28"/>
      <c r="BZ278" s="28"/>
      <c r="CA278" s="47" t="n">
        <f aca="false">N(CA245)</f>
        <v>2.922</v>
      </c>
      <c r="CB278" s="47" t="n">
        <f aca="false">N(CB245)</f>
        <v>0</v>
      </c>
      <c r="CC278" s="47" t="n">
        <f aca="false">N(CC245)</f>
        <v>0</v>
      </c>
      <c r="CD278" s="47" t="n">
        <f aca="false">N(CD245)</f>
        <v>0</v>
      </c>
      <c r="CE278" s="47" t="n">
        <f aca="false">N(CE245)</f>
        <v>0</v>
      </c>
      <c r="CF278" s="21"/>
    </row>
    <row r="279" customFormat="false" ht="15" hidden="false" customHeight="true" outlineLevel="0" collapsed="false">
      <c r="B279" s="29" t="s">
        <v>476</v>
      </c>
      <c r="C279" s="26" t="n">
        <f aca="false">N(C254)</f>
        <v>7.728</v>
      </c>
      <c r="D279" s="26" t="n">
        <f aca="false">N(D254)</f>
        <v>14.137</v>
      </c>
      <c r="E279" s="26" t="n">
        <f aca="false">N(E254)</f>
        <v>6.441</v>
      </c>
      <c r="F279" s="26" t="n">
        <f aca="false">N(F254)</f>
        <v>4.054</v>
      </c>
      <c r="G279" s="26" t="n">
        <f aca="false">N(G254)</f>
        <v>11.997</v>
      </c>
      <c r="H279" s="26" t="n">
        <f aca="false">N(H254)</f>
        <v>4.763</v>
      </c>
      <c r="I279" s="26" t="n">
        <f aca="false">N(I254)</f>
        <v>5.033</v>
      </c>
      <c r="J279" s="26" t="n">
        <f aca="false">N(J254)</f>
        <v>2.098</v>
      </c>
      <c r="K279" s="26" t="n">
        <f aca="false">N(K254)</f>
        <v>0.569</v>
      </c>
      <c r="L279" s="26" t="n">
        <f aca="false">N(L254)</f>
        <v>0.872</v>
      </c>
      <c r="M279" s="26" t="n">
        <f aca="false">N(M254)</f>
        <v>0.226</v>
      </c>
      <c r="N279" s="26" t="n">
        <f aca="false">N(N254)</f>
        <v>3.765</v>
      </c>
      <c r="O279" s="26" t="n">
        <f aca="false">N(O254)</f>
        <v>5.06</v>
      </c>
      <c r="P279" s="26" t="n">
        <f aca="false">N(P254)</f>
        <v>2.036</v>
      </c>
      <c r="Q279" s="26" t="n">
        <f aca="false">N(Q254)</f>
        <v>0.0809999999999995</v>
      </c>
      <c r="R279" s="26" t="n">
        <f aca="false">N(R254)</f>
        <v>0.341</v>
      </c>
      <c r="S279" s="26" t="n">
        <f aca="false">N(S254)</f>
        <v>7.518</v>
      </c>
      <c r="T279" s="26" t="n">
        <f aca="false">N(T254)</f>
        <v>1.479</v>
      </c>
      <c r="U279" s="26" t="n">
        <f aca="false">N(U254)</f>
        <v>0.371</v>
      </c>
      <c r="V279" s="26" t="n">
        <f aca="false">N(V254)</f>
        <v>0.136</v>
      </c>
      <c r="W279" s="26" t="n">
        <f aca="false">N(W254)</f>
        <v>0.083</v>
      </c>
      <c r="X279" s="26" t="n">
        <f aca="false">N(X254)</f>
        <v>2.069</v>
      </c>
      <c r="Y279" s="26" t="n">
        <f aca="false">N(Y254)</f>
        <v>4.434</v>
      </c>
      <c r="Z279" s="26" t="n">
        <f aca="false">N(Z254)</f>
        <v>0.581</v>
      </c>
      <c r="AA279" s="26" t="n">
        <f aca="false">N(AA254)</f>
        <v>0.136</v>
      </c>
      <c r="AB279" s="26" t="n">
        <f aca="false">N(AB254)</f>
        <v>0.0449999999999999</v>
      </c>
      <c r="AC279" s="26" t="n">
        <f aca="false">N(AC254)</f>
        <v>5.196</v>
      </c>
      <c r="AD279" s="26" t="n">
        <f aca="false">N(AD254)</f>
        <v>0</v>
      </c>
      <c r="AE279" s="26" t="n">
        <f aca="false">N(AE254)</f>
        <v>0</v>
      </c>
      <c r="AF279" s="26" t="n">
        <f aca="false">N(AF254)</f>
        <v>0</v>
      </c>
      <c r="AG279" s="26" t="n">
        <f aca="false">N(AG254)</f>
        <v>0</v>
      </c>
      <c r="AH279" s="26" t="n">
        <f aca="false">N(AH254)</f>
        <v>0</v>
      </c>
      <c r="AI279" s="26" t="n">
        <f aca="false">N(AI254)</f>
        <v>0</v>
      </c>
      <c r="AJ279" s="26" t="n">
        <f aca="false">N(AJ254)</f>
        <v>0</v>
      </c>
      <c r="AK279" s="26" t="n">
        <f aca="false">N(AK254)</f>
        <v>0</v>
      </c>
      <c r="AL279" s="26" t="n">
        <f aca="false">N(AL254)</f>
        <v>0</v>
      </c>
      <c r="AM279" s="26" t="n">
        <f aca="false">N(AM254)</f>
        <v>0</v>
      </c>
      <c r="AN279" s="26" t="n">
        <f aca="false">N(AN254)</f>
        <v>0</v>
      </c>
      <c r="AO279" s="26" t="n">
        <f aca="false">N(AO254)</f>
        <v>0</v>
      </c>
      <c r="AP279" s="26" t="n">
        <f aca="false">N(AP254)</f>
        <v>0</v>
      </c>
      <c r="AQ279" s="26" t="n">
        <f aca="false">N(AQ254)</f>
        <v>0</v>
      </c>
      <c r="AR279" s="26" t="n">
        <f aca="false">N(AR254)</f>
        <v>0</v>
      </c>
      <c r="AS279" s="26" t="n">
        <f aca="false">N(AS254)</f>
        <v>0</v>
      </c>
      <c r="AT279" s="26" t="n">
        <f aca="false">N(AT254)</f>
        <v>0</v>
      </c>
      <c r="AU279" s="26" t="n">
        <f aca="false">N(AU254)</f>
        <v>0</v>
      </c>
      <c r="AV279" s="26" t="n">
        <f aca="false">N(AV254)</f>
        <v>0</v>
      </c>
      <c r="AW279" s="26" t="n">
        <f aca="false">N(AW254)</f>
        <v>0</v>
      </c>
      <c r="AX279" s="26" t="n">
        <f aca="false">N(AX254)</f>
        <v>0</v>
      </c>
      <c r="AY279" s="26" t="n">
        <f aca="false">N(AY254)</f>
        <v>0</v>
      </c>
      <c r="AZ279" s="26" t="n">
        <f aca="false">N(AZ254)</f>
        <v>0</v>
      </c>
      <c r="BA279" s="26" t="n">
        <f aca="false">N(BA254)</f>
        <v>0</v>
      </c>
      <c r="BB279" s="26" t="n">
        <f aca="false">N(BB254)</f>
        <v>0</v>
      </c>
      <c r="BC279" s="26" t="n">
        <f aca="false">N(BC254)</f>
        <v>0</v>
      </c>
      <c r="BD279" s="26" t="n">
        <f aca="false">N(BD254)</f>
        <v>0</v>
      </c>
      <c r="BE279" s="26" t="n">
        <f aca="false">N(BE254)</f>
        <v>0</v>
      </c>
      <c r="BF279" s="26" t="n">
        <f aca="false">N(BF254)</f>
        <v>0</v>
      </c>
      <c r="BG279" s="26" t="n">
        <f aca="false">N(BG254)</f>
        <v>0</v>
      </c>
      <c r="BH279" s="26" t="n">
        <f aca="false">N(BH254)</f>
        <v>0</v>
      </c>
      <c r="BI279" s="26" t="n">
        <f aca="false">N(BI254)</f>
        <v>0</v>
      </c>
      <c r="BJ279" s="26" t="n">
        <f aca="false">N(BJ254)</f>
        <v>0</v>
      </c>
      <c r="BK279" s="26" t="n">
        <f aca="false">N(BK254)</f>
        <v>0</v>
      </c>
      <c r="BL279" s="26" t="n">
        <f aca="false">N(BL254)</f>
        <v>0</v>
      </c>
      <c r="BM279" s="26" t="n">
        <f aca="false">N(BM254)</f>
        <v>0</v>
      </c>
      <c r="BN279" s="26" t="n">
        <f aca="false">N(BN254)</f>
        <v>0</v>
      </c>
      <c r="BO279" s="26" t="n">
        <f aca="false">N(BO254)</f>
        <v>0</v>
      </c>
      <c r="BP279" s="26" t="n">
        <f aca="false">N(BP254)</f>
        <v>0</v>
      </c>
      <c r="BQ279" s="26" t="n">
        <f aca="false">N(BQ254)</f>
        <v>0</v>
      </c>
      <c r="BR279" s="26" t="n">
        <f aca="false">N(BR254)</f>
        <v>0</v>
      </c>
      <c r="BS279" s="26" t="n">
        <f aca="false">N(BS254)</f>
        <v>0</v>
      </c>
      <c r="BT279" s="26" t="n">
        <f aca="false">N(BT254)</f>
        <v>0</v>
      </c>
      <c r="BU279" s="26" t="n">
        <f aca="false">N(BU254)</f>
        <v>0</v>
      </c>
      <c r="BV279" s="26" t="n">
        <f aca="false">N(BV254)</f>
        <v>0</v>
      </c>
      <c r="BW279" s="26" t="n">
        <f aca="false">N(BW254)</f>
        <v>0</v>
      </c>
      <c r="BX279" s="26" t="n">
        <f aca="false">N(BX254)</f>
        <v>0</v>
      </c>
      <c r="BY279" s="28"/>
      <c r="BZ279" s="28"/>
      <c r="CA279" s="28"/>
      <c r="CB279" s="28"/>
      <c r="CC279" s="28"/>
      <c r="CD279" s="28"/>
      <c r="CE279" s="28"/>
      <c r="CF279" s="21"/>
    </row>
    <row r="280" customFormat="false" ht="15" hidden="false" customHeight="true" outlineLevel="0" collapsed="false">
      <c r="B280" s="29" t="s">
        <v>477</v>
      </c>
      <c r="C280" s="26" t="n">
        <f aca="false">N(C255)</f>
        <v>-11.27</v>
      </c>
      <c r="D280" s="26" t="n">
        <f aca="false">N(D255)</f>
        <v>-12.642</v>
      </c>
      <c r="E280" s="26" t="n">
        <f aca="false">N(E255)</f>
        <v>-8.232</v>
      </c>
      <c r="F280" s="26" t="n">
        <f aca="false">N(F255)</f>
        <v>0</v>
      </c>
      <c r="G280" s="26" t="n">
        <f aca="false">N(G255)</f>
        <v>0</v>
      </c>
      <c r="H280" s="26" t="n">
        <f aca="false">N(H255)</f>
        <v>-0.675</v>
      </c>
      <c r="I280" s="26" t="n">
        <f aca="false">N(I255)</f>
        <v>-0.198</v>
      </c>
      <c r="J280" s="26" t="n">
        <f aca="false">N(J255)</f>
        <v>-0.198</v>
      </c>
      <c r="K280" s="26" t="n">
        <f aca="false">N(K255)</f>
        <v>0</v>
      </c>
      <c r="L280" s="26" t="n">
        <f aca="false">N(L255)</f>
        <v>0</v>
      </c>
      <c r="M280" s="26" t="n">
        <f aca="false">N(M255)</f>
        <v>0</v>
      </c>
      <c r="N280" s="26" t="n">
        <f aca="false">N(N255)</f>
        <v>-0.198</v>
      </c>
      <c r="O280" s="26" t="n">
        <f aca="false">N(O255)</f>
        <v>-0.371</v>
      </c>
      <c r="P280" s="26" t="n">
        <f aca="false">N(P255)</f>
        <v>0</v>
      </c>
      <c r="Q280" s="26" t="n">
        <f aca="false">N(Q255)</f>
        <v>0</v>
      </c>
      <c r="R280" s="26" t="n">
        <f aca="false">N(R255)</f>
        <v>0</v>
      </c>
      <c r="S280" s="26" t="n">
        <f aca="false">N(S255)</f>
        <v>-0.371</v>
      </c>
      <c r="T280" s="26" t="n">
        <f aca="false">N(T255)</f>
        <v>-0.043</v>
      </c>
      <c r="U280" s="26" t="n">
        <f aca="false">N(U255)</f>
        <v>0</v>
      </c>
      <c r="V280" s="26" t="n">
        <f aca="false">N(V255)</f>
        <v>0</v>
      </c>
      <c r="W280" s="26" t="n">
        <f aca="false">N(W255)</f>
        <v>0.000999999999999994</v>
      </c>
      <c r="X280" s="26" t="n">
        <f aca="false">N(X255)</f>
        <v>-0.042</v>
      </c>
      <c r="Y280" s="26" t="n">
        <f aca="false">N(Y255)</f>
        <v>-0.004</v>
      </c>
      <c r="Z280" s="26" t="n">
        <f aca="false">N(Z255)</f>
        <v>0.001</v>
      </c>
      <c r="AA280" s="26" t="n">
        <f aca="false">N(AA255)</f>
        <v>0</v>
      </c>
      <c r="AB280" s="26" t="n">
        <f aca="false">N(AB255)</f>
        <v>0</v>
      </c>
      <c r="AC280" s="26" t="n">
        <f aca="false">N(AC255)</f>
        <v>-0.003</v>
      </c>
      <c r="AD280" s="26" t="n">
        <f aca="false">N(AD255)</f>
        <v>0</v>
      </c>
      <c r="AE280" s="26" t="n">
        <f aca="false">N(AE255)</f>
        <v>0</v>
      </c>
      <c r="AF280" s="26" t="n">
        <f aca="false">N(AF255)</f>
        <v>0</v>
      </c>
      <c r="AG280" s="26" t="n">
        <f aca="false">N(AG255)</f>
        <v>0</v>
      </c>
      <c r="AH280" s="26" t="n">
        <f aca="false">N(AH255)</f>
        <v>0</v>
      </c>
      <c r="AI280" s="26" t="n">
        <f aca="false">N(AI255)</f>
        <v>0</v>
      </c>
      <c r="AJ280" s="26" t="n">
        <f aca="false">N(AJ255)</f>
        <v>0</v>
      </c>
      <c r="AK280" s="26" t="n">
        <f aca="false">N(AK255)</f>
        <v>0</v>
      </c>
      <c r="AL280" s="26" t="n">
        <f aca="false">N(AL255)</f>
        <v>0</v>
      </c>
      <c r="AM280" s="26" t="n">
        <f aca="false">N(AM255)</f>
        <v>0</v>
      </c>
      <c r="AN280" s="26" t="n">
        <f aca="false">N(AN255)</f>
        <v>0</v>
      </c>
      <c r="AO280" s="26" t="n">
        <f aca="false">N(AO255)</f>
        <v>0</v>
      </c>
      <c r="AP280" s="26" t="n">
        <f aca="false">N(AP255)</f>
        <v>0</v>
      </c>
      <c r="AQ280" s="26" t="n">
        <f aca="false">N(AQ255)</f>
        <v>0</v>
      </c>
      <c r="AR280" s="26" t="n">
        <f aca="false">N(AR255)</f>
        <v>0</v>
      </c>
      <c r="AS280" s="26" t="n">
        <f aca="false">N(AS255)</f>
        <v>0</v>
      </c>
      <c r="AT280" s="26" t="n">
        <f aca="false">N(AT255)</f>
        <v>0</v>
      </c>
      <c r="AU280" s="26" t="n">
        <f aca="false">N(AU255)</f>
        <v>0</v>
      </c>
      <c r="AV280" s="26" t="n">
        <f aca="false">N(AV255)</f>
        <v>0</v>
      </c>
      <c r="AW280" s="26" t="n">
        <f aca="false">N(AW255)</f>
        <v>0</v>
      </c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8"/>
      <c r="BZ280" s="28"/>
      <c r="CA280" s="28"/>
      <c r="CB280" s="28"/>
      <c r="CC280" s="28"/>
      <c r="CD280" s="28"/>
      <c r="CE280" s="28"/>
      <c r="CF280" s="21"/>
    </row>
    <row r="281" customFormat="false" ht="15" hidden="false" customHeight="true" outlineLevel="0" collapsed="false">
      <c r="B281" s="29" t="s">
        <v>478</v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6" t="str">
        <f aca="false">IF(AND(ISNUMBER(N281),ISNUMBER(J281),ISNUMBER(K281),ISNUMBER(L281)),N281-J281-K281-L281,"")</f>
        <v/>
      </c>
      <c r="N281" s="25"/>
      <c r="O281" s="25"/>
      <c r="P281" s="25"/>
      <c r="Q281" s="25"/>
      <c r="R281" s="26" t="str">
        <f aca="false">IF(AND(ISNUMBER(S281),ISNUMBER(O281),ISNUMBER(P281),ISNUMBER(Q281)),S281-O281-P281-Q281,"")</f>
        <v/>
      </c>
      <c r="S281" s="25"/>
      <c r="T281" s="25"/>
      <c r="U281" s="25"/>
      <c r="V281" s="25"/>
      <c r="W281" s="26" t="str">
        <f aca="false">IF(AND(ISNUMBER(X281),ISNUMBER(T281),ISNUMBER(U281),ISNUMBER(V281)),X281-T281-U281-V281,"")</f>
        <v/>
      </c>
      <c r="X281" s="25"/>
      <c r="Y281" s="27" t="n">
        <v>0.424</v>
      </c>
      <c r="Z281" s="27" t="n">
        <v>71.067</v>
      </c>
      <c r="AA281" s="27" t="n">
        <v>6.48</v>
      </c>
      <c r="AB281" s="27" t="n">
        <v>3.48</v>
      </c>
      <c r="AC281" s="27" t="n">
        <v>45.228</v>
      </c>
      <c r="AD281" s="27" t="n">
        <v>1.744</v>
      </c>
      <c r="AE281" s="27" t="n">
        <v>0.715</v>
      </c>
      <c r="AF281" s="27" t="n">
        <v>1.958</v>
      </c>
      <c r="AG281" s="27" t="n">
        <v>1.282</v>
      </c>
      <c r="AH281" s="27" t="n">
        <v>5.7</v>
      </c>
      <c r="AI281" s="27" t="n">
        <v>2.385</v>
      </c>
      <c r="AJ281" s="27" t="n">
        <v>2.199</v>
      </c>
      <c r="AK281" s="25"/>
      <c r="AL281" s="26" t="str">
        <f aca="false">IF(AND(ISNUMBER(AM281),ISNUMBER(AI281),ISNUMBER(AJ281),ISNUMBER(AK281)),AM281-AI281-AJ281-AK281,"")</f>
        <v/>
      </c>
      <c r="AM281" s="27" t="n">
        <v>8.607</v>
      </c>
      <c r="AN281" s="27" t="n">
        <v>0.837</v>
      </c>
      <c r="AO281" s="27" t="n">
        <v>6.184</v>
      </c>
      <c r="AP281" s="27" t="n">
        <v>1.036</v>
      </c>
      <c r="AQ281" s="26" t="n">
        <f aca="false">IF(AND(ISNUMBER(AR281),ISNUMBER(AN281),ISNUMBER(AO281),ISNUMBER(AP281)),AR281-AN281-AO281-AP281,"")</f>
        <v>4.278</v>
      </c>
      <c r="AR281" s="27" t="n">
        <v>12.335</v>
      </c>
      <c r="AS281" s="27" t="n">
        <v>1.146</v>
      </c>
      <c r="AT281" s="27" t="n">
        <v>1.016</v>
      </c>
      <c r="AU281" s="27" t="n">
        <v>2.335</v>
      </c>
      <c r="AV281" s="26" t="n">
        <f aca="false">IF(AND(ISNUMBER(AW281),ISNUMBER(AS281),ISNUMBER(AT281),ISNUMBER(AU281)),AW281-AS281-AT281-AU281,"")</f>
        <v>5.306</v>
      </c>
      <c r="AW281" s="27" t="n">
        <v>9.803</v>
      </c>
      <c r="AX281" s="27" t="n">
        <v>0.526</v>
      </c>
      <c r="AY281" s="27" t="n">
        <v>0.057</v>
      </c>
      <c r="AZ281" s="27" t="n">
        <v>25.09</v>
      </c>
      <c r="BA281" s="26" t="n">
        <f aca="false">IF(AND(ISNUMBER(BB281),ISNUMBER(AX281),ISNUMBER(AY281),ISNUMBER(AZ281)),BB281-AX281-AY281-AZ281,"")</f>
        <v>5.098</v>
      </c>
      <c r="BB281" s="27" t="n">
        <v>30.771</v>
      </c>
      <c r="BC281" s="27" t="n">
        <v>23.404</v>
      </c>
      <c r="BD281" s="27" t="n">
        <v>3.692</v>
      </c>
      <c r="BE281" s="27" t="n">
        <v>10.461</v>
      </c>
      <c r="BF281" s="26" t="n">
        <f aca="false">IF(AND(ISNUMBER(BG281),ISNUMBER(BC281),ISNUMBER(BD281),ISNUMBER(BE281)),BG281-BC281-BD281-BE281,"")</f>
        <v>-6.732</v>
      </c>
      <c r="BG281" s="27" t="n">
        <v>30.825</v>
      </c>
      <c r="BH281" s="27" t="n">
        <v>1.249</v>
      </c>
      <c r="BI281" s="27" t="n">
        <v>1.015</v>
      </c>
      <c r="BJ281" s="27" t="n">
        <v>1.572</v>
      </c>
      <c r="BK281" s="26" t="n">
        <f aca="false">IF(AND(ISNUMBER(BL281),ISNUMBER(BH281),ISNUMBER(BI281),ISNUMBER(BJ281)),BL281-BH281-BI281-BJ281,"")</f>
        <v>1.683</v>
      </c>
      <c r="BL281" s="27" t="n">
        <v>5.519</v>
      </c>
      <c r="BM281" s="27" t="n">
        <v>4.976</v>
      </c>
      <c r="BN281" s="27" t="n">
        <v>3.704</v>
      </c>
      <c r="BO281" s="27" t="n">
        <v>3.668</v>
      </c>
      <c r="BP281" s="26" t="n">
        <f aca="false">IF(AND(ISNUMBER(BQ281),ISNUMBER(BM281),ISNUMBER(BN281),ISNUMBER(BO281)),BQ281-BM281-BN281-BO281,"")</f>
        <v>-0.940000000000001</v>
      </c>
      <c r="BQ281" s="27" t="n">
        <v>11.408</v>
      </c>
      <c r="BR281" s="27" t="n">
        <v>2.392</v>
      </c>
      <c r="BS281" s="27" t="n">
        <v>8.769</v>
      </c>
      <c r="BT281" s="27" t="n">
        <v>1.734</v>
      </c>
      <c r="BU281" s="26" t="n">
        <f aca="false">IF(AND(ISNUMBER(BV281),ISNUMBER(BR281),ISNUMBER(BS281),ISNUMBER(BT281)),BV281-BR281-BS281-BT281,"")</f>
        <v>2.247</v>
      </c>
      <c r="BV281" s="27" t="n">
        <v>15.142</v>
      </c>
      <c r="BW281" s="27" t="n">
        <v>1.614</v>
      </c>
      <c r="BX281" s="27" t="n">
        <v>5.759</v>
      </c>
      <c r="BY281" s="28"/>
      <c r="BZ281" s="28"/>
      <c r="CA281" s="57" t="n">
        <v>0</v>
      </c>
      <c r="CB281" s="57" t="n">
        <v>0</v>
      </c>
      <c r="CC281" s="57" t="n">
        <v>0</v>
      </c>
      <c r="CD281" s="57" t="n">
        <v>0</v>
      </c>
      <c r="CE281" s="57" t="n">
        <v>0</v>
      </c>
      <c r="CF281" s="21"/>
    </row>
    <row r="282" customFormat="false" ht="15" hidden="false" customHeight="true" outlineLevel="0" collapsed="false">
      <c r="B282" s="29" t="s">
        <v>479</v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6" t="str">
        <f aca="false">IF(AND(ISNUMBER(N282),ISNUMBER(J282),ISNUMBER(K282),ISNUMBER(L282)),N282-J282-K282-L282,"")</f>
        <v/>
      </c>
      <c r="N282" s="25"/>
      <c r="O282" s="25"/>
      <c r="P282" s="25"/>
      <c r="Q282" s="25"/>
      <c r="R282" s="26" t="str">
        <f aca="false">IF(AND(ISNUMBER(S282),ISNUMBER(O282),ISNUMBER(P282),ISNUMBER(Q282)),S282-O282-P282-Q282,"")</f>
        <v/>
      </c>
      <c r="S282" s="25"/>
      <c r="T282" s="25"/>
      <c r="U282" s="25"/>
      <c r="V282" s="25"/>
      <c r="W282" s="26" t="str">
        <f aca="false">IF(AND(ISNUMBER(X282),ISNUMBER(T282),ISNUMBER(U282),ISNUMBER(V282)),X282-T282-U282-V282,"")</f>
        <v/>
      </c>
      <c r="X282" s="25"/>
      <c r="Y282" s="25"/>
      <c r="Z282" s="25"/>
      <c r="AA282" s="25"/>
      <c r="AB282" s="26" t="str">
        <f aca="false">IF(AND(ISNUMBER(AC282),ISNUMBER(Y282),ISNUMBER(Z282),ISNUMBER(AA282)),AC282-Y282-Z282-AA282,"")</f>
        <v/>
      </c>
      <c r="AC282" s="25"/>
      <c r="AD282" s="27" t="n">
        <v>12.714</v>
      </c>
      <c r="AE282" s="27" t="n">
        <v>1.57</v>
      </c>
      <c r="AF282" s="27" t="n">
        <v>-0.175</v>
      </c>
      <c r="AG282" s="27" t="n">
        <v>5.297</v>
      </c>
      <c r="AH282" s="27" t="n">
        <v>17.037</v>
      </c>
      <c r="AI282" s="27" t="n">
        <v>1.919</v>
      </c>
      <c r="AJ282" s="27" t="n">
        <v>1.306</v>
      </c>
      <c r="AK282" s="25"/>
      <c r="AL282" s="26" t="str">
        <f aca="false">IF(AND(ISNUMBER(AM282),ISNUMBER(AI282),ISNUMBER(AJ282),ISNUMBER(AK282)),AM282-AI282-AJ282-AK282,"")</f>
        <v/>
      </c>
      <c r="AM282" s="27" t="n">
        <v>5.772</v>
      </c>
      <c r="AN282" s="27" t="n">
        <v>2.182</v>
      </c>
      <c r="AO282" s="27" t="n">
        <v>0.189</v>
      </c>
      <c r="AP282" s="27" t="n">
        <v>1.935</v>
      </c>
      <c r="AQ282" s="26" t="n">
        <f aca="false">IF(AND(ISNUMBER(AR282),ISNUMBER(AN282),ISNUMBER(AO282),ISNUMBER(AP282)),AR282-AN282-AO282-AP282,"")</f>
        <v>0.504</v>
      </c>
      <c r="AR282" s="27" t="n">
        <v>4.81</v>
      </c>
      <c r="AS282" s="27" t="n">
        <v>6.44</v>
      </c>
      <c r="AT282" s="27" t="n">
        <v>0</v>
      </c>
      <c r="AU282" s="27" t="n">
        <v>1.015</v>
      </c>
      <c r="AV282" s="26" t="n">
        <f aca="false">IF(AND(ISNUMBER(AW282),ISNUMBER(AS282),ISNUMBER(AT282),ISNUMBER(AU282)),AW282-AS282-AT282-AU282,"")</f>
        <v>-1.685</v>
      </c>
      <c r="AW282" s="27" t="n">
        <v>5.77</v>
      </c>
      <c r="AX282" s="27" t="n">
        <v>0.097</v>
      </c>
      <c r="AY282" s="27" t="n">
        <v>0.047</v>
      </c>
      <c r="AZ282" s="27" t="n">
        <v>0.173</v>
      </c>
      <c r="BA282" s="26" t="n">
        <f aca="false">IF(AND(ISNUMBER(BB282),ISNUMBER(AX282),ISNUMBER(AY282),ISNUMBER(AZ282)),BB282-AX282-AY282-AZ282,"")</f>
        <v>0.0800000000000001</v>
      </c>
      <c r="BB282" s="27" t="n">
        <v>0.397</v>
      </c>
      <c r="BC282" s="27" t="n">
        <v>0.076</v>
      </c>
      <c r="BD282" s="27" t="n">
        <v>-0.064</v>
      </c>
      <c r="BE282" s="27" t="n">
        <v>0.274</v>
      </c>
      <c r="BF282" s="26" t="n">
        <f aca="false">IF(AND(ISNUMBER(BG282),ISNUMBER(BC282),ISNUMBER(BD282),ISNUMBER(BE282)),BG282-BC282-BD282-BE282,"")</f>
        <v>0</v>
      </c>
      <c r="BG282" s="27" t="n">
        <v>0.286</v>
      </c>
      <c r="BH282" s="27" t="n">
        <v>-0.002</v>
      </c>
      <c r="BI282" s="27" t="n">
        <v>0.843</v>
      </c>
      <c r="BJ282" s="27" t="n">
        <v>0</v>
      </c>
      <c r="BK282" s="26" t="n">
        <f aca="false">IF(AND(ISNUMBER(BL282),ISNUMBER(BH282),ISNUMBER(BI282),ISNUMBER(BJ282)),BL282-BH282-BI282-BJ282,"")</f>
        <v>0.444</v>
      </c>
      <c r="BL282" s="27" t="n">
        <v>1.285</v>
      </c>
      <c r="BM282" s="27" t="n">
        <v>0.014</v>
      </c>
      <c r="BN282" s="27" t="n">
        <v>1.117</v>
      </c>
      <c r="BO282" s="27" t="n">
        <v>0.039</v>
      </c>
      <c r="BP282" s="26" t="n">
        <f aca="false">IF(AND(ISNUMBER(BQ282),ISNUMBER(BM282),ISNUMBER(BN282),ISNUMBER(BO282)),BQ282-BM282-BN282-BO282,"")</f>
        <v>0.0239999999999999</v>
      </c>
      <c r="BQ282" s="27" t="n">
        <v>1.194</v>
      </c>
      <c r="BR282" s="27" t="n">
        <v>0.016</v>
      </c>
      <c r="BS282" s="27" t="n">
        <v>0</v>
      </c>
      <c r="BT282" s="27" t="n">
        <v>0</v>
      </c>
      <c r="BU282" s="26" t="n">
        <f aca="false">IF(AND(ISNUMBER(BV282),ISNUMBER(BR282),ISNUMBER(BS282),ISNUMBER(BT282)),BV282-BR282-BS282-BT282,"")</f>
        <v>0</v>
      </c>
      <c r="BV282" s="27" t="n">
        <v>0.016</v>
      </c>
      <c r="BW282" s="27" t="n">
        <v>0</v>
      </c>
      <c r="BX282" s="27" t="n">
        <v>0</v>
      </c>
      <c r="BY282" s="28"/>
      <c r="BZ282" s="28"/>
      <c r="CA282" s="28"/>
      <c r="CB282" s="28"/>
      <c r="CC282" s="28"/>
      <c r="CD282" s="28"/>
      <c r="CE282" s="28"/>
      <c r="CF282" s="21"/>
    </row>
    <row r="283" customFormat="false" ht="15" hidden="false" customHeight="true" outlineLevel="0" collapsed="false">
      <c r="B283" s="29" t="s">
        <v>380</v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6" t="str">
        <f aca="false">IF(AND(ISNUMBER(N283),ISNUMBER(J283),ISNUMBER(K283),ISNUMBER(L283)),N283-J283-K283-L283,"")</f>
        <v/>
      </c>
      <c r="N283" s="25"/>
      <c r="O283" s="25"/>
      <c r="P283" s="25"/>
      <c r="Q283" s="25"/>
      <c r="R283" s="26" t="str">
        <f aca="false">IF(AND(ISNUMBER(S283),ISNUMBER(O283),ISNUMBER(P283),ISNUMBER(Q283)),S283-O283-P283-Q283,"")</f>
        <v/>
      </c>
      <c r="S283" s="25"/>
      <c r="T283" s="25"/>
      <c r="U283" s="25"/>
      <c r="V283" s="25"/>
      <c r="W283" s="26" t="str">
        <f aca="false">IF(AND(ISNUMBER(X283),ISNUMBER(T283),ISNUMBER(U283),ISNUMBER(V283)),X283-T283-U283-V283,"")</f>
        <v/>
      </c>
      <c r="X283" s="25"/>
      <c r="Y283" s="25"/>
      <c r="Z283" s="27" t="n">
        <v>24.529</v>
      </c>
      <c r="AA283" s="27" t="n">
        <v>17.219</v>
      </c>
      <c r="AB283" s="27" t="n">
        <v>4.005</v>
      </c>
      <c r="AC283" s="27" t="n">
        <v>82.526</v>
      </c>
      <c r="AD283" s="27" t="n">
        <v>12.257</v>
      </c>
      <c r="AE283" s="27" t="n">
        <v>2.282</v>
      </c>
      <c r="AF283" s="27" t="n">
        <v>2.859</v>
      </c>
      <c r="AG283" s="27" t="n">
        <v>2.633</v>
      </c>
      <c r="AH283" s="27" t="n">
        <v>22.4</v>
      </c>
      <c r="AI283" s="27" t="n">
        <v>1.11</v>
      </c>
      <c r="AJ283" s="27" t="n">
        <v>2.99</v>
      </c>
      <c r="AK283" s="25"/>
      <c r="AL283" s="26" t="str">
        <f aca="false">IF(AND(ISNUMBER(AM283),ISNUMBER(AI283),ISNUMBER(AJ283),ISNUMBER(AK283)),AM283-AI283-AJ283-AK283,"")</f>
        <v/>
      </c>
      <c r="AM283" s="27" t="n">
        <v>2.76</v>
      </c>
      <c r="AN283" s="27" t="n">
        <v>0</v>
      </c>
      <c r="AO283" s="27" t="n">
        <v>0</v>
      </c>
      <c r="AP283" s="27" t="n">
        <v>0</v>
      </c>
      <c r="AQ283" s="26" t="n">
        <f aca="false">IF(AND(ISNUMBER(AR283),ISNUMBER(AN283),ISNUMBER(AO283),ISNUMBER(AP283)),AR283-AN283-AO283-AP283,"")</f>
        <v>0</v>
      </c>
      <c r="AR283" s="27" t="n">
        <v>0</v>
      </c>
      <c r="AS283" s="25"/>
      <c r="AT283" s="25"/>
      <c r="AU283" s="25"/>
      <c r="AV283" s="26" t="str">
        <f aca="false">IF(AND(ISNUMBER(AW283),ISNUMBER(AS283),ISNUMBER(AT283),ISNUMBER(AU283)),AW283-AS283-AT283-AU283,"")</f>
        <v/>
      </c>
      <c r="AW283" s="25"/>
      <c r="AX283" s="25"/>
      <c r="AY283" s="25"/>
      <c r="AZ283" s="25"/>
      <c r="BA283" s="26" t="str">
        <f aca="false">IF(AND(ISNUMBER(BB283),ISNUMBER(AX283),ISNUMBER(AY283),ISNUMBER(AZ283)),BB283-AX283-AY283-AZ283,"")</f>
        <v/>
      </c>
      <c r="BB283" s="25"/>
      <c r="BC283" s="25"/>
      <c r="BD283" s="25"/>
      <c r="BE283" s="25"/>
      <c r="BF283" s="26" t="str">
        <f aca="false">IF(AND(ISNUMBER(BG283),ISNUMBER(BC283),ISNUMBER(BD283),ISNUMBER(BE283)),BG283-BC283-BD283-BE283,"")</f>
        <v/>
      </c>
      <c r="BG283" s="25"/>
      <c r="BH283" s="25"/>
      <c r="BI283" s="25"/>
      <c r="BJ283" s="25"/>
      <c r="BK283" s="26" t="str">
        <f aca="false">IF(AND(ISNUMBER(BL283),ISNUMBER(BH283),ISNUMBER(BI283),ISNUMBER(BJ283)),BL283-BH283-BI283-BJ283,"")</f>
        <v/>
      </c>
      <c r="BL283" s="25"/>
      <c r="BM283" s="25"/>
      <c r="BN283" s="25"/>
      <c r="BO283" s="25"/>
      <c r="BP283" s="26" t="str">
        <f aca="false">IF(AND(ISNUMBER(BQ283),ISNUMBER(BM283),ISNUMBER(BN283),ISNUMBER(BO283)),BQ283-BM283-BN283-BO283,"")</f>
        <v/>
      </c>
      <c r="BQ283" s="25"/>
      <c r="BR283" s="25"/>
      <c r="BS283" s="25"/>
      <c r="BT283" s="25"/>
      <c r="BU283" s="26" t="str">
        <f aca="false">IF(AND(ISNUMBER(BV283),ISNUMBER(BR283),ISNUMBER(BS283),ISNUMBER(BT283)),BV283-BR283-BS283-BT283,"")</f>
        <v/>
      </c>
      <c r="BV283" s="25"/>
      <c r="BW283" s="25"/>
      <c r="BX283" s="25"/>
      <c r="BY283" s="28"/>
      <c r="BZ283" s="28"/>
      <c r="CA283" s="28"/>
      <c r="CB283" s="28"/>
      <c r="CC283" s="28"/>
      <c r="CD283" s="28"/>
      <c r="CE283" s="28"/>
      <c r="CF283" s="21"/>
    </row>
    <row r="284" customFormat="false" ht="15" hidden="false" customHeight="true" outlineLevel="0" collapsed="false">
      <c r="B284" s="29" t="s">
        <v>381</v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6" t="str">
        <f aca="false">IF(AND(ISNUMBER(N284),ISNUMBER(J284),ISNUMBER(K284),ISNUMBER(L284)),N284-J284-K284-L284,"")</f>
        <v/>
      </c>
      <c r="N284" s="25"/>
      <c r="O284" s="25"/>
      <c r="P284" s="25"/>
      <c r="Q284" s="25"/>
      <c r="R284" s="26" t="str">
        <f aca="false">IF(AND(ISNUMBER(S284),ISNUMBER(O284),ISNUMBER(P284),ISNUMBER(Q284)),S284-O284-P284-Q284,"")</f>
        <v/>
      </c>
      <c r="S284" s="25"/>
      <c r="T284" s="25"/>
      <c r="U284" s="25"/>
      <c r="V284" s="25"/>
      <c r="W284" s="26" t="str">
        <f aca="false">IF(AND(ISNUMBER(X284),ISNUMBER(T284),ISNUMBER(U284),ISNUMBER(V284)),X284-T284-U284-V284,"")</f>
        <v/>
      </c>
      <c r="X284" s="25"/>
      <c r="Y284" s="25"/>
      <c r="Z284" s="25"/>
      <c r="AA284" s="25"/>
      <c r="AB284" s="26" t="str">
        <f aca="false">IF(AND(ISNUMBER(AC284),ISNUMBER(Y284),ISNUMBER(Z284),ISNUMBER(AA284)),AC284-Y284-Z284-AA284,"")</f>
        <v/>
      </c>
      <c r="AC284" s="25"/>
      <c r="AD284" s="25"/>
      <c r="AE284" s="25"/>
      <c r="AF284" s="25"/>
      <c r="AG284" s="26" t="str">
        <f aca="false">IF(AND(ISNUMBER(AH284),ISNUMBER(AD284),ISNUMBER(AE284),ISNUMBER(AF284)),AH284-AD284-AE284-AF284,"")</f>
        <v/>
      </c>
      <c r="AH284" s="25"/>
      <c r="AI284" s="25"/>
      <c r="AJ284" s="25"/>
      <c r="AK284" s="25"/>
      <c r="AL284" s="26" t="str">
        <f aca="false">IF(AND(ISNUMBER(AM284),ISNUMBER(AI284),ISNUMBER(AJ284),ISNUMBER(AK284)),AM284-AI284-AJ284-AK284,"")</f>
        <v/>
      </c>
      <c r="AM284" s="25"/>
      <c r="AN284" s="25"/>
      <c r="AO284" s="25"/>
      <c r="AP284" s="25"/>
      <c r="AQ284" s="26" t="str">
        <f aca="false">IF(AND(ISNUMBER(AR284),ISNUMBER(AN284),ISNUMBER(AO284),ISNUMBER(AP284)),AR284-AN284-AO284-AP284,"")</f>
        <v/>
      </c>
      <c r="AR284" s="25"/>
      <c r="AS284" s="25"/>
      <c r="AT284" s="25"/>
      <c r="AU284" s="25"/>
      <c r="AV284" s="26" t="str">
        <f aca="false">IF(AND(ISNUMBER(AW284),ISNUMBER(AS284),ISNUMBER(AT284),ISNUMBER(AU284)),AW284-AS284-AT284-AU284,"")</f>
        <v/>
      </c>
      <c r="AW284" s="25"/>
      <c r="AX284" s="25"/>
      <c r="AY284" s="25"/>
      <c r="AZ284" s="25"/>
      <c r="BA284" s="26" t="str">
        <f aca="false">IF(AND(ISNUMBER(BB284),ISNUMBER(AX284),ISNUMBER(AY284),ISNUMBER(AZ284)),BB284-AX284-AY284-AZ284,"")</f>
        <v/>
      </c>
      <c r="BB284" s="25"/>
      <c r="BC284" s="25"/>
      <c r="BD284" s="25"/>
      <c r="BE284" s="25"/>
      <c r="BF284" s="26" t="str">
        <f aca="false">IF(AND(ISNUMBER(BG284),ISNUMBER(BC284),ISNUMBER(BD284),ISNUMBER(BE284)),BG284-BC284-BD284-BE284,"")</f>
        <v/>
      </c>
      <c r="BG284" s="25"/>
      <c r="BH284" s="25"/>
      <c r="BI284" s="27" t="n">
        <v>1.686</v>
      </c>
      <c r="BJ284" s="27" t="n">
        <v>0</v>
      </c>
      <c r="BK284" s="26" t="str">
        <f aca="false">IF(AND(ISNUMBER(BL284),ISNUMBER(BH284),ISNUMBER(BI284),ISNUMBER(BJ284)),BL284-BH284-BI284-BJ284,"")</f>
        <v/>
      </c>
      <c r="BL284" s="27" t="n">
        <v>1.686</v>
      </c>
      <c r="BM284" s="25"/>
      <c r="BN284" s="27" t="n">
        <v>1.67</v>
      </c>
      <c r="BO284" s="27" t="n">
        <v>0</v>
      </c>
      <c r="BP284" s="26" t="str">
        <f aca="false">IF(AND(ISNUMBER(BQ284),ISNUMBER(BM284),ISNUMBER(BN284),ISNUMBER(BO284)),BQ284-BM284-BN284-BO284,"")</f>
        <v/>
      </c>
      <c r="BQ284" s="27" t="n">
        <v>1.67</v>
      </c>
      <c r="BR284" s="27" t="n">
        <v>0.449</v>
      </c>
      <c r="BS284" s="27" t="n">
        <v>1.67</v>
      </c>
      <c r="BT284" s="27" t="n">
        <v>0</v>
      </c>
      <c r="BU284" s="26" t="n">
        <f aca="false">IF(AND(ISNUMBER(BV284),ISNUMBER(BR284),ISNUMBER(BS284),ISNUMBER(BT284)),BV284-BR284-BS284-BT284,"")</f>
        <v>0</v>
      </c>
      <c r="BV284" s="27" t="n">
        <v>2.119</v>
      </c>
      <c r="BW284" s="27" t="n">
        <v>0</v>
      </c>
      <c r="BX284" s="27" t="n">
        <v>0.978</v>
      </c>
      <c r="BY284" s="28"/>
      <c r="BZ284" s="28"/>
      <c r="CA284" s="28"/>
      <c r="CB284" s="28"/>
      <c r="CC284" s="28"/>
      <c r="CD284" s="28"/>
      <c r="CE284" s="28"/>
      <c r="CF284" s="21"/>
    </row>
    <row r="285" customFormat="false" ht="15" hidden="false" customHeight="true" outlineLevel="0" collapsed="false">
      <c r="B285" s="29" t="s">
        <v>480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7" t="n">
        <v>5.059</v>
      </c>
      <c r="M285" s="27" t="n">
        <v>0</v>
      </c>
      <c r="N285" s="27" t="n">
        <v>5.059</v>
      </c>
      <c r="O285" s="25"/>
      <c r="P285" s="25"/>
      <c r="Q285" s="27" t="n">
        <v>0</v>
      </c>
      <c r="R285" s="27" t="n">
        <v>1.074</v>
      </c>
      <c r="S285" s="27" t="n">
        <v>1.074</v>
      </c>
      <c r="T285" s="25"/>
      <c r="U285" s="25"/>
      <c r="V285" s="25"/>
      <c r="W285" s="27" t="n">
        <v>0</v>
      </c>
      <c r="X285" s="27" t="n">
        <v>0</v>
      </c>
      <c r="Y285" s="27" t="n">
        <v>0.033</v>
      </c>
      <c r="Z285" s="27" t="n">
        <v>0.099</v>
      </c>
      <c r="AA285" s="27" t="n">
        <v>0.281</v>
      </c>
      <c r="AB285" s="27" t="n">
        <v>0.08</v>
      </c>
      <c r="AC285" s="27" t="n">
        <v>0.493</v>
      </c>
      <c r="AD285" s="27" t="n">
        <v>0</v>
      </c>
      <c r="AE285" s="27" t="n">
        <v>0</v>
      </c>
      <c r="AF285" s="27" t="n">
        <v>0</v>
      </c>
      <c r="AG285" s="27" t="n">
        <v>10.012</v>
      </c>
      <c r="AH285" s="27" t="n">
        <v>10.012</v>
      </c>
      <c r="AI285" s="27" t="n">
        <v>0.011</v>
      </c>
      <c r="AJ285" s="27" t="n">
        <v>0</v>
      </c>
      <c r="AK285" s="25"/>
      <c r="AL285" s="26" t="str">
        <f aca="false">IF(AND(ISNUMBER(AM285),ISNUMBER(AI285),ISNUMBER(AJ285),ISNUMBER(AK285)),AM285-AI285-AJ285-AK285,"")</f>
        <v/>
      </c>
      <c r="AM285" s="27" t="n">
        <v>0.011</v>
      </c>
      <c r="AN285" s="27" t="n">
        <v>0</v>
      </c>
      <c r="AO285" s="27" t="n">
        <v>0</v>
      </c>
      <c r="AP285" s="27" t="n">
        <v>0</v>
      </c>
      <c r="AQ285" s="26" t="n">
        <f aca="false">IF(AND(ISNUMBER(AR285),ISNUMBER(AN285),ISNUMBER(AO285),ISNUMBER(AP285)),AR285-AN285-AO285-AP285,"")</f>
        <v>0</v>
      </c>
      <c r="AR285" s="27" t="n">
        <v>0</v>
      </c>
      <c r="AS285" s="25"/>
      <c r="AT285" s="25"/>
      <c r="AU285" s="25"/>
      <c r="AV285" s="26" t="str">
        <f aca="false">IF(AND(ISNUMBER(AW285),ISNUMBER(AS285),ISNUMBER(AT285),ISNUMBER(AU285)),AW285-AS285-AT285-AU285,"")</f>
        <v/>
      </c>
      <c r="AW285" s="27" t="n">
        <v>10.371</v>
      </c>
      <c r="AX285" s="27" t="n">
        <v>0.52</v>
      </c>
      <c r="AY285" s="27" t="n">
        <v>0</v>
      </c>
      <c r="AZ285" s="27" t="n">
        <v>0</v>
      </c>
      <c r="BA285" s="26" t="n">
        <f aca="false">IF(AND(ISNUMBER(BB285),ISNUMBER(AX285),ISNUMBER(AY285),ISNUMBER(AZ285)),BB285-AX285-AY285-AZ285,"")</f>
        <v>0</v>
      </c>
      <c r="BB285" s="27" t="n">
        <v>0.52</v>
      </c>
      <c r="BC285" s="27" t="n">
        <v>0</v>
      </c>
      <c r="BD285" s="27" t="n">
        <v>0</v>
      </c>
      <c r="BE285" s="27" t="n">
        <v>2.982</v>
      </c>
      <c r="BF285" s="26" t="n">
        <f aca="false">IF(AND(ISNUMBER(BG285),ISNUMBER(BC285),ISNUMBER(BD285),ISNUMBER(BE285)),BG285-BC285-BD285-BE285,"")</f>
        <v>0</v>
      </c>
      <c r="BG285" s="27" t="n">
        <v>2.982</v>
      </c>
      <c r="BH285" s="25"/>
      <c r="BI285" s="25"/>
      <c r="BJ285" s="27" t="n">
        <v>0</v>
      </c>
      <c r="BK285" s="26" t="str">
        <f aca="false">IF(AND(ISNUMBER(BL285),ISNUMBER(BH285),ISNUMBER(BI285),ISNUMBER(BJ285)),BL285-BH285-BI285-BJ285,"")</f>
        <v/>
      </c>
      <c r="BL285" s="27" t="n">
        <v>0</v>
      </c>
      <c r="BM285" s="25"/>
      <c r="BN285" s="25"/>
      <c r="BO285" s="27" t="n">
        <v>35.035</v>
      </c>
      <c r="BP285" s="26" t="str">
        <f aca="false">IF(AND(ISNUMBER(BQ285),ISNUMBER(BM285),ISNUMBER(BN285),ISNUMBER(BO285)),BQ285-BM285-BN285-BO285,"")</f>
        <v/>
      </c>
      <c r="BQ285" s="27" t="n">
        <v>35.035</v>
      </c>
      <c r="BR285" s="25"/>
      <c r="BS285" s="27" t="n">
        <v>0.4</v>
      </c>
      <c r="BT285" s="27" t="n">
        <v>0</v>
      </c>
      <c r="BU285" s="26" t="str">
        <f aca="false">IF(AND(ISNUMBER(BV285),ISNUMBER(BR285),ISNUMBER(BS285),ISNUMBER(BT285)),BV285-BR285-BS285-BT285,"")</f>
        <v/>
      </c>
      <c r="BV285" s="27" t="n">
        <v>0.4</v>
      </c>
      <c r="BW285" s="25"/>
      <c r="BX285" s="27" t="n">
        <v>0.001</v>
      </c>
      <c r="BY285" s="28"/>
      <c r="BZ285" s="28"/>
      <c r="CA285" s="28"/>
      <c r="CB285" s="28"/>
      <c r="CC285" s="28"/>
      <c r="CD285" s="28"/>
      <c r="CE285" s="28"/>
      <c r="CF285" s="21"/>
    </row>
    <row r="286" customFormat="false" ht="15" hidden="false" customHeight="true" outlineLevel="0" collapsed="false">
      <c r="B286" s="29" t="s">
        <v>481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6" t="str">
        <f aca="false">IF(AND(ISNUMBER(N286),ISNUMBER(J286),ISNUMBER(K286),ISNUMBER(L286)),N286-J286-K286-L286,"")</f>
        <v/>
      </c>
      <c r="N286" s="25"/>
      <c r="O286" s="25"/>
      <c r="P286" s="25"/>
      <c r="Q286" s="25"/>
      <c r="R286" s="26" t="str">
        <f aca="false">IF(AND(ISNUMBER(S286),ISNUMBER(O286),ISNUMBER(P286),ISNUMBER(Q286)),S286-O286-P286-Q286,"")</f>
        <v/>
      </c>
      <c r="S286" s="25"/>
      <c r="T286" s="25"/>
      <c r="U286" s="25"/>
      <c r="V286" s="25"/>
      <c r="W286" s="26" t="str">
        <f aca="false">IF(AND(ISNUMBER(X286),ISNUMBER(T286),ISNUMBER(U286),ISNUMBER(V286)),X286-T286-U286-V286,"")</f>
        <v/>
      </c>
      <c r="X286" s="25"/>
      <c r="Y286" s="25"/>
      <c r="Z286" s="25"/>
      <c r="AA286" s="25"/>
      <c r="AB286" s="26" t="str">
        <f aca="false">IF(AND(ISNUMBER(AC286),ISNUMBER(Y286),ISNUMBER(Z286),ISNUMBER(AA286)),AC286-Y286-Z286-AA286,"")</f>
        <v/>
      </c>
      <c r="AC286" s="25"/>
      <c r="AD286" s="27" t="n">
        <v>-17.4</v>
      </c>
      <c r="AE286" s="27" t="n">
        <v>0</v>
      </c>
      <c r="AF286" s="27" t="n">
        <v>-3.7</v>
      </c>
      <c r="AG286" s="27" t="n">
        <v>0</v>
      </c>
      <c r="AH286" s="27" t="n">
        <v>-21.1</v>
      </c>
      <c r="AI286" s="27" t="n">
        <v>0</v>
      </c>
      <c r="AJ286" s="27" t="n">
        <v>0</v>
      </c>
      <c r="AK286" s="25"/>
      <c r="AL286" s="26" t="str">
        <f aca="false">IF(AND(ISNUMBER(AM286),ISNUMBER(AI286),ISNUMBER(AJ286),ISNUMBER(AK286)),AM286-AI286-AJ286-AK286,"")</f>
        <v/>
      </c>
      <c r="AM286" s="27" t="n">
        <v>-2.03</v>
      </c>
      <c r="AN286" s="27" t="n">
        <v>-2.376</v>
      </c>
      <c r="AO286" s="27" t="n">
        <v>0</v>
      </c>
      <c r="AP286" s="27" t="n">
        <v>0</v>
      </c>
      <c r="AQ286" s="26" t="n">
        <f aca="false">IF(AND(ISNUMBER(AR286),ISNUMBER(AN286),ISNUMBER(AO286),ISNUMBER(AP286)),AR286-AN286-AO286-AP286,"")</f>
        <v>0</v>
      </c>
      <c r="AR286" s="27" t="n">
        <v>-2.376</v>
      </c>
      <c r="AS286" s="27" t="n">
        <v>0</v>
      </c>
      <c r="AT286" s="27" t="n">
        <v>-4.974</v>
      </c>
      <c r="AU286" s="27" t="n">
        <v>0</v>
      </c>
      <c r="AV286" s="26" t="n">
        <f aca="false">IF(AND(ISNUMBER(AW286),ISNUMBER(AS286),ISNUMBER(AT286),ISNUMBER(AU286)),AW286-AS286-AT286-AU286,"")</f>
        <v>-5.699</v>
      </c>
      <c r="AW286" s="27" t="n">
        <v>-10.673</v>
      </c>
      <c r="AX286" s="25"/>
      <c r="AY286" s="27" t="n">
        <v>0</v>
      </c>
      <c r="AZ286" s="27" t="n">
        <v>0</v>
      </c>
      <c r="BA286" s="26" t="str">
        <f aca="false">IF(AND(ISNUMBER(BB286),ISNUMBER(AX286),ISNUMBER(AY286),ISNUMBER(AZ286)),BB286-AX286-AY286-AZ286,"")</f>
        <v/>
      </c>
      <c r="BB286" s="27" t="n">
        <v>-17.118</v>
      </c>
      <c r="BC286" s="27" t="n">
        <v>-5.671</v>
      </c>
      <c r="BD286" s="27" t="n">
        <v>0</v>
      </c>
      <c r="BE286" s="27" t="n">
        <v>0</v>
      </c>
      <c r="BF286" s="26" t="n">
        <f aca="false">IF(AND(ISNUMBER(BG286),ISNUMBER(BC286),ISNUMBER(BD286),ISNUMBER(BE286)),BG286-BC286-BD286-BE286,"")</f>
        <v>0</v>
      </c>
      <c r="BG286" s="27" t="n">
        <v>-5.671</v>
      </c>
      <c r="BH286" s="27" t="n">
        <v>0</v>
      </c>
      <c r="BI286" s="27" t="n">
        <v>0</v>
      </c>
      <c r="BJ286" s="27" t="n">
        <v>0</v>
      </c>
      <c r="BK286" s="26" t="n">
        <f aca="false">IF(AND(ISNUMBER(BL286),ISNUMBER(BH286),ISNUMBER(BI286),ISNUMBER(BJ286)),BL286-BH286-BI286-BJ286,"")</f>
        <v>-6.194</v>
      </c>
      <c r="BL286" s="27" t="n">
        <v>-6.194</v>
      </c>
      <c r="BM286" s="25"/>
      <c r="BN286" s="25"/>
      <c r="BO286" s="25"/>
      <c r="BP286" s="26" t="str">
        <f aca="false">IF(AND(ISNUMBER(BQ286),ISNUMBER(BM286),ISNUMBER(BN286),ISNUMBER(BO286)),BQ286-BM286-BN286-BO286,"")</f>
        <v/>
      </c>
      <c r="BQ286" s="27" t="n">
        <v>0</v>
      </c>
      <c r="BR286" s="25"/>
      <c r="BS286" s="25"/>
      <c r="BT286" s="25"/>
      <c r="BU286" s="26" t="str">
        <f aca="false">IF(AND(ISNUMBER(BV286),ISNUMBER(BR286),ISNUMBER(BS286),ISNUMBER(BT286)),BV286-BR286-BS286-BT286,"")</f>
        <v/>
      </c>
      <c r="BV286" s="25"/>
      <c r="BW286" s="25"/>
      <c r="BX286" s="25"/>
      <c r="BY286" s="28"/>
      <c r="BZ286" s="28"/>
      <c r="CA286" s="28"/>
      <c r="CB286" s="28"/>
      <c r="CC286" s="28"/>
      <c r="CD286" s="28"/>
      <c r="CE286" s="28"/>
      <c r="CF286" s="21"/>
    </row>
    <row r="287" customFormat="false" ht="15" hidden="false" customHeight="true" outlineLevel="0" collapsed="false">
      <c r="B287" s="29" t="s">
        <v>482</v>
      </c>
      <c r="C287" s="25"/>
      <c r="D287" s="25"/>
      <c r="E287" s="25"/>
      <c r="F287" s="25"/>
      <c r="G287" s="25"/>
      <c r="H287" s="25"/>
      <c r="I287" s="27" t="n">
        <v>4.975</v>
      </c>
      <c r="J287" s="27" t="n">
        <v>1.503</v>
      </c>
      <c r="K287" s="27" t="n">
        <v>0.167</v>
      </c>
      <c r="L287" s="27" t="n">
        <v>0.215</v>
      </c>
      <c r="M287" s="27" t="n">
        <v>9.803</v>
      </c>
      <c r="N287" s="27" t="n">
        <v>11.849</v>
      </c>
      <c r="O287" s="27" t="n">
        <v>0</v>
      </c>
      <c r="P287" s="27" t="n">
        <v>0</v>
      </c>
      <c r="Q287" s="27" t="n">
        <v>0</v>
      </c>
      <c r="R287" s="27" t="n">
        <v>0</v>
      </c>
      <c r="S287" s="27" t="n">
        <v>0</v>
      </c>
      <c r="T287" s="25"/>
      <c r="U287" s="25"/>
      <c r="V287" s="25"/>
      <c r="W287" s="26" t="str">
        <f aca="false">IF(AND(ISNUMBER(X287),ISNUMBER(T287),ISNUMBER(U287),ISNUMBER(V287)),X287-T287-U287-V287,"")</f>
        <v/>
      </c>
      <c r="X287" s="25"/>
      <c r="Y287" s="25"/>
      <c r="Z287" s="25"/>
      <c r="AA287" s="25"/>
      <c r="AB287" s="26" t="str">
        <f aca="false">IF(AND(ISNUMBER(AC287),ISNUMBER(Y287),ISNUMBER(Z287),ISNUMBER(AA287)),AC287-Y287-Z287-AA287,"")</f>
        <v/>
      </c>
      <c r="AC287" s="25"/>
      <c r="AD287" s="25"/>
      <c r="AE287" s="25"/>
      <c r="AF287" s="25"/>
      <c r="AG287" s="26" t="str">
        <f aca="false">IF(AND(ISNUMBER(AH287),ISNUMBER(AD287),ISNUMBER(AE287),ISNUMBER(AF287)),AH287-AD287-AE287-AF287,"")</f>
        <v/>
      </c>
      <c r="AH287" s="25"/>
      <c r="AI287" s="25"/>
      <c r="AJ287" s="25"/>
      <c r="AK287" s="25"/>
      <c r="AL287" s="26" t="str">
        <f aca="false">IF(AND(ISNUMBER(AM287),ISNUMBER(AI287),ISNUMBER(AJ287),ISNUMBER(AK287)),AM287-AI287-AJ287-AK287,"")</f>
        <v/>
      </c>
      <c r="AM287" s="25"/>
      <c r="AN287" s="25"/>
      <c r="AO287" s="25"/>
      <c r="AP287" s="25"/>
      <c r="AQ287" s="26" t="str">
        <f aca="false">IF(AND(ISNUMBER(AR287),ISNUMBER(AN287),ISNUMBER(AO287),ISNUMBER(AP287)),AR287-AN287-AO287-AP287,"")</f>
        <v/>
      </c>
      <c r="AR287" s="25"/>
      <c r="AS287" s="25"/>
      <c r="AT287" s="25"/>
      <c r="AU287" s="25"/>
      <c r="AV287" s="26" t="str">
        <f aca="false">IF(AND(ISNUMBER(AW287),ISNUMBER(AS287),ISNUMBER(AT287),ISNUMBER(AU287)),AW287-AS287-AT287-AU287,"")</f>
        <v/>
      </c>
      <c r="AW287" s="25"/>
      <c r="AX287" s="25"/>
      <c r="AY287" s="25"/>
      <c r="AZ287" s="25"/>
      <c r="BA287" s="26" t="str">
        <f aca="false">IF(AND(ISNUMBER(BB287),ISNUMBER(AX287),ISNUMBER(AY287),ISNUMBER(AZ287)),BB287-AX287-AY287-AZ287,"")</f>
        <v/>
      </c>
      <c r="BB287" s="25"/>
      <c r="BC287" s="25"/>
      <c r="BD287" s="25"/>
      <c r="BE287" s="25"/>
      <c r="BF287" s="26" t="str">
        <f aca="false">IF(AND(ISNUMBER(BG287),ISNUMBER(BC287),ISNUMBER(BD287),ISNUMBER(BE287)),BG287-BC287-BD287-BE287,"")</f>
        <v/>
      </c>
      <c r="BG287" s="25"/>
      <c r="BH287" s="25"/>
      <c r="BI287" s="25"/>
      <c r="BJ287" s="25"/>
      <c r="BK287" s="26" t="str">
        <f aca="false">IF(AND(ISNUMBER(BL287),ISNUMBER(BH287),ISNUMBER(BI287),ISNUMBER(BJ287)),BL287-BH287-BI287-BJ287,"")</f>
        <v/>
      </c>
      <c r="BL287" s="25"/>
      <c r="BM287" s="25"/>
      <c r="BN287" s="25"/>
      <c r="BO287" s="25"/>
      <c r="BP287" s="26" t="str">
        <f aca="false">IF(AND(ISNUMBER(BQ287),ISNUMBER(BM287),ISNUMBER(BN287),ISNUMBER(BO287)),BQ287-BM287-BN287-BO287,"")</f>
        <v/>
      </c>
      <c r="BQ287" s="25"/>
      <c r="BR287" s="25"/>
      <c r="BS287" s="25"/>
      <c r="BT287" s="25"/>
      <c r="BU287" s="26" t="str">
        <f aca="false">IF(AND(ISNUMBER(BV287),ISNUMBER(BR287),ISNUMBER(BS287),ISNUMBER(BT287)),BV287-BR287-BS287-BT287,"")</f>
        <v/>
      </c>
      <c r="BV287" s="25"/>
      <c r="BW287" s="25"/>
      <c r="BX287" s="25"/>
      <c r="BY287" s="28"/>
      <c r="BZ287" s="28"/>
      <c r="CA287" s="28"/>
      <c r="CB287" s="28"/>
      <c r="CC287" s="28"/>
      <c r="CD287" s="28"/>
      <c r="CE287" s="28"/>
      <c r="CF287" s="21"/>
    </row>
    <row r="288" customFormat="false" ht="15" hidden="false" customHeight="true" outlineLevel="0" collapsed="false">
      <c r="B288" s="29" t="s">
        <v>483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7" t="n">
        <v>-0.082</v>
      </c>
      <c r="M288" s="27" t="n">
        <v>-3.749</v>
      </c>
      <c r="N288" s="27" t="n">
        <v>-3.992</v>
      </c>
      <c r="O288" s="27" t="n">
        <v>0</v>
      </c>
      <c r="P288" s="27" t="n">
        <v>0</v>
      </c>
      <c r="Q288" s="27" t="n">
        <v>0</v>
      </c>
      <c r="R288" s="27" t="n">
        <v>0</v>
      </c>
      <c r="S288" s="27" t="n">
        <v>0</v>
      </c>
      <c r="T288" s="25"/>
      <c r="U288" s="25"/>
      <c r="V288" s="25"/>
      <c r="W288" s="26" t="str">
        <f aca="false">IF(AND(ISNUMBER(X288),ISNUMBER(T288),ISNUMBER(U288),ISNUMBER(V288)),X288-T288-U288-V288,"")</f>
        <v/>
      </c>
      <c r="X288" s="25"/>
      <c r="Y288" s="25"/>
      <c r="Z288" s="27" t="n">
        <v>-18.038</v>
      </c>
      <c r="AA288" s="27" t="n">
        <v>-10.128</v>
      </c>
      <c r="AB288" s="27" t="n">
        <v>-7.846</v>
      </c>
      <c r="AC288" s="27" t="n">
        <v>-36.384</v>
      </c>
      <c r="AD288" s="27" t="n">
        <v>-6.959</v>
      </c>
      <c r="AE288" s="27" t="n">
        <v>-2.689</v>
      </c>
      <c r="AF288" s="27" t="n">
        <v>-1.778</v>
      </c>
      <c r="AG288" s="27" t="n">
        <v>-3.378</v>
      </c>
      <c r="AH288" s="27" t="n">
        <v>-14.804</v>
      </c>
      <c r="AI288" s="27" t="n">
        <v>-1.907</v>
      </c>
      <c r="AJ288" s="27" t="n">
        <v>-1.373</v>
      </c>
      <c r="AK288" s="25"/>
      <c r="AL288" s="26" t="str">
        <f aca="false">IF(AND(ISNUMBER(AM288),ISNUMBER(AI288),ISNUMBER(AJ288),ISNUMBER(AK288)),AM288-AI288-AJ288-AK288,"")</f>
        <v/>
      </c>
      <c r="AM288" s="27" t="n">
        <v>-4.752</v>
      </c>
      <c r="AN288" s="27" t="n">
        <v>-1.697</v>
      </c>
      <c r="AO288" s="27" t="n">
        <v>-1.213</v>
      </c>
      <c r="AP288" s="27" t="n">
        <v>-0.464</v>
      </c>
      <c r="AQ288" s="26" t="n">
        <f aca="false">IF(AND(ISNUMBER(AR288),ISNUMBER(AN288),ISNUMBER(AO288),ISNUMBER(AP288)),AR288-AN288-AO288-AP288,"")</f>
        <v>-1.191</v>
      </c>
      <c r="AR288" s="27" t="n">
        <v>-4.565</v>
      </c>
      <c r="AS288" s="27" t="n">
        <v>-3.318</v>
      </c>
      <c r="AT288" s="27" t="n">
        <v>-0.251</v>
      </c>
      <c r="AU288" s="27" t="n">
        <v>-0.599</v>
      </c>
      <c r="AV288" s="26" t="n">
        <f aca="false">IF(AND(ISNUMBER(AW288),ISNUMBER(AS288),ISNUMBER(AT288),ISNUMBER(AU288)),AW288-AS288-AT288-AU288,"")</f>
        <v>-0.853</v>
      </c>
      <c r="AW288" s="27" t="n">
        <v>-5.021</v>
      </c>
      <c r="AX288" s="27" t="n">
        <v>-0.188</v>
      </c>
      <c r="AY288" s="27" t="n">
        <v>-0.026</v>
      </c>
      <c r="AZ288" s="27" t="n">
        <v>-0.485</v>
      </c>
      <c r="BA288" s="26" t="n">
        <f aca="false">IF(AND(ISNUMBER(BB288),ISNUMBER(AX288),ISNUMBER(AY288),ISNUMBER(AZ288)),BB288-AX288-AY288-AZ288,"")</f>
        <v>-0.588</v>
      </c>
      <c r="BB288" s="27" t="n">
        <v>-1.287</v>
      </c>
      <c r="BC288" s="27" t="n">
        <v>-1.11</v>
      </c>
      <c r="BD288" s="27" t="n">
        <v>-1.056</v>
      </c>
      <c r="BE288" s="27" t="n">
        <v>-3.212</v>
      </c>
      <c r="BF288" s="26" t="n">
        <f aca="false">IF(AND(ISNUMBER(BG288),ISNUMBER(BC288),ISNUMBER(BD288),ISNUMBER(BE288)),BG288-BC288-BD288-BE288,"")</f>
        <v>2.385</v>
      </c>
      <c r="BG288" s="27" t="n">
        <v>-2.993</v>
      </c>
      <c r="BH288" s="27" t="n">
        <v>-0.519</v>
      </c>
      <c r="BI288" s="27" t="n">
        <v>-0.471</v>
      </c>
      <c r="BJ288" s="27" t="n">
        <v>-0.231</v>
      </c>
      <c r="BK288" s="26" t="n">
        <f aca="false">IF(AND(ISNUMBER(BL288),ISNUMBER(BH288),ISNUMBER(BI288),ISNUMBER(BJ288)),BL288-BH288-BI288-BJ288,"")</f>
        <v>-0.551</v>
      </c>
      <c r="BL288" s="27" t="n">
        <v>-1.772</v>
      </c>
      <c r="BM288" s="27" t="n">
        <v>-1.369</v>
      </c>
      <c r="BN288" s="27" t="n">
        <v>-1.544</v>
      </c>
      <c r="BO288" s="27" t="n">
        <v>-9.643</v>
      </c>
      <c r="BP288" s="26" t="n">
        <f aca="false">IF(AND(ISNUMBER(BQ288),ISNUMBER(BM288),ISNUMBER(BN288),ISNUMBER(BO288)),BQ288-BM288-BN288-BO288,"")</f>
        <v>0.16</v>
      </c>
      <c r="BQ288" s="27" t="n">
        <v>-12.396</v>
      </c>
      <c r="BR288" s="27" t="n">
        <v>-0.725</v>
      </c>
      <c r="BS288" s="27" t="n">
        <v>-1.673</v>
      </c>
      <c r="BT288" s="27" t="n">
        <v>-0.434</v>
      </c>
      <c r="BU288" s="26" t="n">
        <f aca="false">IF(AND(ISNUMBER(BV288),ISNUMBER(BR288),ISNUMBER(BS288),ISNUMBER(BT288)),BV288-BR288-BS288-BT288,"")</f>
        <v>-0.564</v>
      </c>
      <c r="BV288" s="27" t="n">
        <v>-3.396</v>
      </c>
      <c r="BW288" s="27" t="n">
        <v>-0.404</v>
      </c>
      <c r="BX288" s="27" t="n">
        <v>-1.684</v>
      </c>
      <c r="BY288" s="28"/>
      <c r="BZ288" s="28"/>
      <c r="CA288" s="28"/>
      <c r="CB288" s="28"/>
      <c r="CC288" s="28"/>
      <c r="CD288" s="28"/>
      <c r="CE288" s="28"/>
      <c r="CF288" s="21"/>
    </row>
    <row r="289" customFormat="false" ht="15" hidden="false" customHeight="true" outlineLevel="0" collapsed="false">
      <c r="B289" s="55" t="s">
        <v>484</v>
      </c>
      <c r="C289" s="56" t="n">
        <f aca="false">IF(ISNUMBER(C275),SUM(C275:C288),"")</f>
        <v>97.502</v>
      </c>
      <c r="D289" s="56" t="n">
        <f aca="false">IF(ISNUMBER(D275),SUM(D275:D288),"")</f>
        <v>106.181</v>
      </c>
      <c r="E289" s="56" t="n">
        <f aca="false">IF(ISNUMBER(E275),SUM(E275:E288),"")</f>
        <v>153.162</v>
      </c>
      <c r="F289" s="56" t="n">
        <f aca="false">IF(ISNUMBER(F275),SUM(F275:F288),"")</f>
        <v>192.303</v>
      </c>
      <c r="G289" s="56" t="n">
        <f aca="false">IF(ISNUMBER(G275),SUM(G275:G288),"")</f>
        <v>216.285</v>
      </c>
      <c r="H289" s="56" t="n">
        <f aca="false">IF(ISNUMBER(H275),SUM(H275:H288),"")</f>
        <v>254.541</v>
      </c>
      <c r="I289" s="56" t="n">
        <f aca="false">IF(ISNUMBER(I275),SUM(I275:I288),"")</f>
        <v>275.759</v>
      </c>
      <c r="J289" s="56" t="n">
        <f aca="false">IF(ISNUMBER(J275),SUM(J275:J288),"")</f>
        <v>100.162</v>
      </c>
      <c r="K289" s="56" t="n">
        <f aca="false">IF(ISNUMBER(K275),SUM(K275:K288),"")</f>
        <v>75.491</v>
      </c>
      <c r="L289" s="56" t="n">
        <f aca="false">IF(ISNUMBER(L275),SUM(L275:L288),"")</f>
        <v>87.783</v>
      </c>
      <c r="M289" s="56" t="n">
        <f aca="false">IF(ISNUMBER(M275),SUM(M275:M288),"")</f>
        <v>38.143</v>
      </c>
      <c r="N289" s="56" t="n">
        <f aca="false">IF(ISNUMBER(N275),SUM(N275:N288),"")</f>
        <v>301.579</v>
      </c>
      <c r="O289" s="56" t="n">
        <f aca="false">IF(ISNUMBER(O275),SUM(O275:O288),"")</f>
        <v>115.501</v>
      </c>
      <c r="P289" s="56" t="n">
        <f aca="false">IF(ISNUMBER(P275),SUM(P275:P288),"")</f>
        <v>93.107</v>
      </c>
      <c r="Q289" s="56" t="n">
        <f aca="false">IF(ISNUMBER(Q275),SUM(Q275:Q288),"")</f>
        <v>69.94</v>
      </c>
      <c r="R289" s="56" t="n">
        <f aca="false">IF(ISNUMBER(R275),SUM(R275:R288),"")</f>
        <v>43.0260000000001</v>
      </c>
      <c r="S289" s="56" t="n">
        <f aca="false">IF(ISNUMBER(S275),SUM(S275:S288),"")</f>
        <v>321.574</v>
      </c>
      <c r="T289" s="56" t="n">
        <f aca="false">IF(ISNUMBER(T275),SUM(T275:T288),"")</f>
        <v>122.924</v>
      </c>
      <c r="U289" s="56" t="n">
        <f aca="false">IF(ISNUMBER(U275),SUM(U275:U288),"")</f>
        <v>97.199</v>
      </c>
      <c r="V289" s="56" t="n">
        <f aca="false">IF(ISNUMBER(V275),SUM(V275:V288),"")</f>
        <v>78.51</v>
      </c>
      <c r="W289" s="56" t="n">
        <f aca="false">IF(ISNUMBER(W275),SUM(W275:W288),"")</f>
        <v>44.354</v>
      </c>
      <c r="X289" s="56" t="n">
        <f aca="false">IF(ISNUMBER(X275),SUM(X275:X288),"")</f>
        <v>342.987</v>
      </c>
      <c r="Y289" s="56" t="n">
        <f aca="false">IF(ISNUMBER(Y275),SUM(Y275:Y288),"")</f>
        <v>113.558</v>
      </c>
      <c r="Z289" s="56" t="n">
        <f aca="false">IF(ISNUMBER(Z275),SUM(Z275:Z288),"")</f>
        <v>120.685</v>
      </c>
      <c r="AA289" s="56" t="n">
        <f aca="false">IF(ISNUMBER(AA275),SUM(AA275:AA288),"")</f>
        <v>205.844</v>
      </c>
      <c r="AB289" s="56" t="n">
        <f aca="false">IF(ISNUMBER(AB275),SUM(AB275:AB288),"")</f>
        <v>110.679</v>
      </c>
      <c r="AC289" s="56" t="n">
        <f aca="false">IF(ISNUMBER(AC275),SUM(AC275:AC288),"")</f>
        <v>550.944</v>
      </c>
      <c r="AD289" s="56" t="n">
        <f aca="false">IF(ISNUMBER(AD275),SUM(AD275:AD288),"")</f>
        <v>237.49</v>
      </c>
      <c r="AE289" s="56" t="n">
        <f aca="false">IF(ISNUMBER(AE275),SUM(AE275:AE288),"")</f>
        <v>156.129</v>
      </c>
      <c r="AF289" s="56" t="n">
        <f aca="false">IF(ISNUMBER(AF275),SUM(AF275:AF288),"")</f>
        <v>220.409</v>
      </c>
      <c r="AG289" s="56" t="n">
        <f aca="false">IF(ISNUMBER(AG275),SUM(AG275:AG288),"")</f>
        <v>149.862</v>
      </c>
      <c r="AH289" s="56" t="n">
        <f aca="false">IF(ISNUMBER(AH275),SUM(AH275:AH288),"")</f>
        <v>763.891</v>
      </c>
      <c r="AI289" s="56" t="n">
        <f aca="false">IF(ISNUMBER(AI275),SUM(AI275:AI288),"")</f>
        <v>220.256</v>
      </c>
      <c r="AJ289" s="56" t="n">
        <f aca="false">IF(ISNUMBER(AJ275),SUM(AJ275:AJ288),"")</f>
        <v>252.545</v>
      </c>
      <c r="AK289" s="56" t="n">
        <f aca="false">IF(ISNUMBER(AK275),SUM(AK275:AK288),"")</f>
        <v>203.574</v>
      </c>
      <c r="AL289" s="56" t="n">
        <f aca="false">IF(ISNUMBER(AL275),SUM(AL275:AL288),"")</f>
        <v>201.901</v>
      </c>
      <c r="AM289" s="56" t="n">
        <f aca="false">IF(ISNUMBER(AM275),SUM(AM275:AM288),"")</f>
        <v>880.004</v>
      </c>
      <c r="AN289" s="56" t="n">
        <f aca="false">IF(ISNUMBER(AN275),SUM(AN275:AN288),"")</f>
        <v>246.335</v>
      </c>
      <c r="AO289" s="56" t="n">
        <f aca="false">IF(ISNUMBER(AO275),SUM(AO275:AO288),"")</f>
        <v>257.693</v>
      </c>
      <c r="AP289" s="56" t="n">
        <f aca="false">IF(ISNUMBER(AP275),SUM(AP275:AP288),"")</f>
        <v>259.026</v>
      </c>
      <c r="AQ289" s="56" t="n">
        <f aca="false">IF(ISNUMBER(AQ275),SUM(AQ275:AQ288),"")</f>
        <v>154.293</v>
      </c>
      <c r="AR289" s="56" t="n">
        <f aca="false">IF(ISNUMBER(AR275),SUM(AR275:AR288),"")</f>
        <v>917.347</v>
      </c>
      <c r="AS289" s="56" t="n">
        <f aca="false">IF(ISNUMBER(AS275),SUM(AS275:AS288),"")</f>
        <v>235.724</v>
      </c>
      <c r="AT289" s="56" t="n">
        <f aca="false">IF(ISNUMBER(AT275),SUM(AT275:AT288),"")</f>
        <v>258.845</v>
      </c>
      <c r="AU289" s="56" t="n">
        <f aca="false">IF(ISNUMBER(AU275),SUM(AU275:AU288),"")</f>
        <v>283.822</v>
      </c>
      <c r="AV289" s="56" t="n">
        <f aca="false">IF(ISNUMBER(AV275),SUM(AV275:AV288),"")</f>
        <v>53.1359999999999</v>
      </c>
      <c r="AW289" s="56" t="n">
        <f aca="false">IF(ISNUMBER(AW275),SUM(AW275:AW288),"")</f>
        <v>841.898</v>
      </c>
      <c r="AX289" s="56" t="n">
        <f aca="false">IF(ISNUMBER(AX275),SUM(AX275:AX288),"")</f>
        <v>289.789</v>
      </c>
      <c r="AY289" s="56" t="n">
        <f aca="false">IF(ISNUMBER(AY275),SUM(AY275:AY288),"")</f>
        <v>296.046</v>
      </c>
      <c r="AZ289" s="56" t="n">
        <f aca="false">IF(ISNUMBER(AZ275),SUM(AZ275:AZ288),"")</f>
        <v>240.003</v>
      </c>
      <c r="BA289" s="56" t="n">
        <f aca="false">IF(ISNUMBER(BA275),SUM(BA275:BA288),"")</f>
        <v>200.878</v>
      </c>
      <c r="BB289" s="56" t="n">
        <f aca="false">IF(ISNUMBER(BB275),SUM(BB275:BB288),"")</f>
        <v>1009.598</v>
      </c>
      <c r="BC289" s="56" t="n">
        <f aca="false">IF(ISNUMBER(BC275),SUM(BC275:BC288),"")</f>
        <v>320.377</v>
      </c>
      <c r="BD289" s="56" t="n">
        <f aca="false">IF(ISNUMBER(BD275),SUM(BD275:BD288),"")</f>
        <v>317.984</v>
      </c>
      <c r="BE289" s="56" t="n">
        <f aca="false">IF(ISNUMBER(BE275),SUM(BE275:BE288),"")</f>
        <v>290.597</v>
      </c>
      <c r="BF289" s="56" t="n">
        <f aca="false">IF(ISNUMBER(BF275),SUM(BF275:BF288),"")</f>
        <v>235.886</v>
      </c>
      <c r="BG289" s="56" t="n">
        <f aca="false">IF(ISNUMBER(BG275),SUM(BG275:BG288),"")</f>
        <v>1164.844</v>
      </c>
      <c r="BH289" s="56" t="n">
        <f aca="false">IF(ISNUMBER(BH275),SUM(BH275:BH288),"")</f>
        <v>273.981</v>
      </c>
      <c r="BI289" s="56" t="n">
        <f aca="false">IF(ISNUMBER(BI275),SUM(BI275:BI288),"")</f>
        <v>355.974</v>
      </c>
      <c r="BJ289" s="56" t="n">
        <f aca="false">IF(ISNUMBER(BJ275),SUM(BJ275:BJ288),"")</f>
        <v>339.324</v>
      </c>
      <c r="BK289" s="56" t="n">
        <f aca="false">IF(ISNUMBER(BK275),SUM(BK275:BK288),"")</f>
        <v>254.853</v>
      </c>
      <c r="BL289" s="56" t="n">
        <f aca="false">IF(ISNUMBER(BL275),SUM(BL275:BL288),"")</f>
        <v>1224.132</v>
      </c>
      <c r="BM289" s="56" t="n">
        <f aca="false">IF(ISNUMBER(BM275),SUM(BM275:BM288),"")</f>
        <v>324.793</v>
      </c>
      <c r="BN289" s="56" t="n">
        <f aca="false">IF(ISNUMBER(BN275),SUM(BN275:BN288),"")</f>
        <v>402.639</v>
      </c>
      <c r="BO289" s="56" t="n">
        <f aca="false">IF(ISNUMBER(BO275),SUM(BO275:BO288),"")</f>
        <v>316.277</v>
      </c>
      <c r="BP289" s="56" t="n">
        <f aca="false">IF(ISNUMBER(BP275),SUM(BP275:BP288),"")</f>
        <v>173.817</v>
      </c>
      <c r="BQ289" s="56" t="n">
        <f aca="false">IF(ISNUMBER(BQ275),SUM(BQ275:BQ288),"")</f>
        <v>1217.526</v>
      </c>
      <c r="BR289" s="56" t="n">
        <f aca="false">IF(ISNUMBER(BR275),SUM(BR275:BR288),"")</f>
        <v>332.075</v>
      </c>
      <c r="BS289" s="56" t="n">
        <f aca="false">IF(ISNUMBER(BS275),SUM(BS275:BS288),"")</f>
        <v>367.013</v>
      </c>
      <c r="BT289" s="56" t="n">
        <f aca="false">IF(ISNUMBER(BT275),SUM(BT275:BT288),"")</f>
        <v>384.58</v>
      </c>
      <c r="BU289" s="56" t="n">
        <f aca="false">IF(ISNUMBER(BU275),SUM(BU275:BU288),"")</f>
        <v>175.625</v>
      </c>
      <c r="BV289" s="56" t="n">
        <f aca="false">IF(ISNUMBER(BV275),SUM(BV275:BV288),"")</f>
        <v>1259.293</v>
      </c>
      <c r="BW289" s="56" t="n">
        <f aca="false">IF(ISNUMBER(BW275),SUM(BW275:BW288),"")</f>
        <v>245.877</v>
      </c>
      <c r="BX289" s="56" t="n">
        <f aca="false">IF(ISNUMBER(BX275),SUM(BX275:BX288),"")</f>
        <v>457.49</v>
      </c>
      <c r="BY289" s="74"/>
      <c r="BZ289" s="74"/>
      <c r="CA289" s="56" t="n">
        <f aca="false">SUM(CA275:CA288)</f>
        <v>1422.166</v>
      </c>
      <c r="CB289" s="56" t="n">
        <f aca="false">SUM(CB275:CB288)</f>
        <v>1727.16773606155</v>
      </c>
      <c r="CC289" s="56" t="n">
        <f aca="false">SUM(CC275:CC288)</f>
        <v>1887.1776133613</v>
      </c>
      <c r="CD289" s="56" t="n">
        <f aca="false">SUM(CD275:CD288)</f>
        <v>2027.71212254468</v>
      </c>
      <c r="CE289" s="56" t="n">
        <f aca="false">SUM(CE275:CE288)</f>
        <v>2167.31559057455</v>
      </c>
      <c r="CF289" s="21" t="s">
        <v>485</v>
      </c>
      <c r="CH289" s="22" t="n">
        <f aca="false">IFERROR((CE289/BV289)^(1/5)-1,"n/m")</f>
        <v>0.114702751594796</v>
      </c>
      <c r="CI289" s="22" t="n">
        <f aca="false">IFERROR((BV289/AW289)^(1/5)-1,"n/m")</f>
        <v>0.0838606823258379</v>
      </c>
      <c r="CJ289" s="22" t="n">
        <f aca="false">IFERROR((BV289/X289)^(1/10)-1,"n/m")</f>
        <v>0.138898216802652</v>
      </c>
      <c r="CK289" s="22" t="n">
        <f aca="false">IFERROR((BV289/C289)^(1/19)-1,"n/m")</f>
        <v>0.144141255060974</v>
      </c>
    </row>
    <row r="290" customFormat="false" ht="15" hidden="false" customHeight="true" outlineLevel="0" collapsed="false">
      <c r="B290" s="29" t="s">
        <v>418</v>
      </c>
      <c r="C290" s="38" t="n">
        <f aca="false">IF(AND(ISNUMBER(C289),ISNUMBER(C128)),IFERROR(C289/C128,""),"")</f>
        <v>0.118276856787254</v>
      </c>
      <c r="D290" s="38" t="n">
        <f aca="false">IF(AND(ISNUMBER(D289),ISNUMBER(D128)),IFERROR(D289/D128,""),"")</f>
        <v>0.110773561068332</v>
      </c>
      <c r="E290" s="38" t="n">
        <f aca="false">IF(AND(ISNUMBER(E289),ISNUMBER(E128)),IFERROR(E289/E128,""),"")</f>
        <v>0.145923744501492</v>
      </c>
      <c r="F290" s="38" t="n">
        <f aca="false">IF(AND(ISNUMBER(F289),ISNUMBER(F128)),IFERROR(F289/F128,""),"")</f>
        <v>0.161410214765405</v>
      </c>
      <c r="G290" s="38" t="n">
        <f aca="false">IF(AND(ISNUMBER(G289),ISNUMBER(G128)),IFERROR(G289/G128,""),"")</f>
        <v>0.163882441995004</v>
      </c>
      <c r="H290" s="38" t="n">
        <f aca="false">IF(AND(ISNUMBER(H289),ISNUMBER(H128)),IFERROR(H289/H128,""),"")</f>
        <v>0.169089111883755</v>
      </c>
      <c r="I290" s="38" t="n">
        <f aca="false">IF(AND(ISNUMBER(I289),ISNUMBER(I128)),IFERROR(I289/I128,""),"")</f>
        <v>0.165958120338128</v>
      </c>
      <c r="J290" s="38" t="n">
        <f aca="false">IF(AND(ISNUMBER(J289),ISNUMBER(J128)),IFERROR(J289/J128,""),"")</f>
        <v>0.222635654779369</v>
      </c>
      <c r="K290" s="38" t="n">
        <f aca="false">IF(AND(ISNUMBER(K289),ISNUMBER(K128)),IFERROR(K289/K128,""),"")</f>
        <v>0.154258134255314</v>
      </c>
      <c r="L290" s="38" t="n">
        <f aca="false">IF(AND(ISNUMBER(L289),ISNUMBER(L128)),IFERROR(L289/L128,""),"")</f>
        <v>0.174295040564206</v>
      </c>
      <c r="M290" s="38" t="n">
        <f aca="false">IF(AND(ISNUMBER(M289),ISNUMBER(M128)),IFERROR(M289/M128,""),"")</f>
        <v>0.0785034072409272</v>
      </c>
      <c r="N290" s="38" t="n">
        <f aca="false">IF(AND(ISNUMBER(N289),ISNUMBER(N128)),IFERROR(N289/N128,""),"")</f>
        <v>0.15635617056245</v>
      </c>
      <c r="O290" s="38" t="n">
        <f aca="false">IF(AND(ISNUMBER(O289),ISNUMBER(O128)),IFERROR(O289/O128,""),"")</f>
        <v>0.239772892404144</v>
      </c>
      <c r="P290" s="38" t="n">
        <f aca="false">IF(AND(ISNUMBER(P289),ISNUMBER(P128)),IFERROR(P289/P128,""),"")</f>
        <v>0.177450432919822</v>
      </c>
      <c r="Q290" s="38" t="n">
        <f aca="false">IF(AND(ISNUMBER(Q289),ISNUMBER(Q128)),IFERROR(Q289/Q128,""),"")</f>
        <v>0.12796610014436</v>
      </c>
      <c r="R290" s="38" t="n">
        <f aca="false">IF(AND(ISNUMBER(R289),ISNUMBER(R128)),IFERROR(R289/R128,""),"")</f>
        <v>0.0817653687765222</v>
      </c>
      <c r="S290" s="38" t="n">
        <f aca="false">IF(AND(ISNUMBER(S289),ISNUMBER(S128)),IFERROR(S289/S128,""),"")</f>
        <v>0.154664899291351</v>
      </c>
      <c r="T290" s="38" t="n">
        <f aca="false">IF(AND(ISNUMBER(T289),ISNUMBER(T128)),IFERROR(T289/T128,""),"")</f>
        <v>0.242884805374432</v>
      </c>
      <c r="U290" s="38" t="n">
        <f aca="false">IF(AND(ISNUMBER(U289),ISNUMBER(U128)),IFERROR(U289/U128,""),"")</f>
        <v>0.182941473183365</v>
      </c>
      <c r="V290" s="38" t="n">
        <f aca="false">IF(AND(ISNUMBER(V289),ISNUMBER(V128)),IFERROR(V289/V128,""),"")</f>
        <v>0.143282634166639</v>
      </c>
      <c r="W290" s="38" t="n">
        <f aca="false">IF(AND(ISNUMBER(W289),ISNUMBER(W128)),IFERROR(W289/W128,""),"")</f>
        <v>0.0833820546418091</v>
      </c>
      <c r="X290" s="38" t="n">
        <f aca="false">IF(AND(ISNUMBER(X289),ISNUMBER(X128)),IFERROR(X289/X128,""),"")</f>
        <v>0.161993626749704</v>
      </c>
      <c r="Y290" s="38" t="n">
        <f aca="false">IF(AND(ISNUMBER(Y289),ISNUMBER(Y128)),IFERROR(Y289/Y128,""),"")</f>
        <v>0.220638066371338</v>
      </c>
      <c r="Z290" s="38" t="n">
        <f aca="false">IF(AND(ISNUMBER(Z289),ISNUMBER(Z128)),IFERROR(Z289/Z128,""),"")</f>
        <v>0.165858344591205</v>
      </c>
      <c r="AA290" s="38" t="n">
        <f aca="false">IF(AND(ISNUMBER(AA289),ISNUMBER(AA128)),IFERROR(AA289/AA128,""),"")</f>
        <v>0.189731612042156</v>
      </c>
      <c r="AB290" s="38" t="n">
        <f aca="false">IF(AND(ISNUMBER(AB289),ISNUMBER(AB128)),IFERROR(AB289/AB128,""),"")</f>
        <v>0.105547089418303</v>
      </c>
      <c r="AC290" s="38" t="n">
        <f aca="false">IF(AND(ISNUMBER(AC289),ISNUMBER(AC128)),IFERROR(AC289/AC128,""),"")</f>
        <v>0.16320093558299</v>
      </c>
      <c r="AD290" s="38" t="n">
        <f aca="false">IF(AND(ISNUMBER(AD289),ISNUMBER(AD128)),IFERROR(AD289/AD128,""),"")</f>
        <v>0.21762796605044</v>
      </c>
      <c r="AE290" s="38" t="n">
        <f aca="false">IF(AND(ISNUMBER(AE289),ISNUMBER(AE128)),IFERROR(AE289/AE128,""),"")</f>
        <v>0.132811430039411</v>
      </c>
      <c r="AF290" s="38" t="n">
        <f aca="false">IF(AND(ISNUMBER(AF289),ISNUMBER(AF128)),IFERROR(AF289/AF128,""),"")</f>
        <v>0.182687956183204</v>
      </c>
      <c r="AG290" s="38" t="n">
        <f aca="false">IF(AND(ISNUMBER(AG289),ISNUMBER(AG128)),IFERROR(AG289/AG128,""),"")</f>
        <v>0.12950677296001</v>
      </c>
      <c r="AH290" s="38" t="n">
        <f aca="false">IF(AND(ISNUMBER(AH289),ISNUMBER(AH128)),IFERROR(AH289/AH128,""),"")</f>
        <v>0.164969869266479</v>
      </c>
      <c r="AI290" s="38" t="n">
        <f aca="false">IF(AND(ISNUMBER(AI289),ISNUMBER(AI128)),IFERROR(AI289/AI128,""),"")</f>
        <v>0.193184818235799</v>
      </c>
      <c r="AJ290" s="38" t="n">
        <f aca="false">IF(AND(ISNUMBER(AJ289),ISNUMBER(AJ128)),IFERROR(AJ289/AJ128,""),"")</f>
        <v>0.203670578595577</v>
      </c>
      <c r="AK290" s="38" t="n">
        <f aca="false">IF(AND(ISNUMBER(AK289),ISNUMBER(AK128)),IFERROR(AK289/AK128,""),"")</f>
        <v>0.158904387601377</v>
      </c>
      <c r="AL290" s="38" t="n">
        <f aca="false">IF(AND(ISNUMBER(AL289),ISNUMBER(AL128)),IFERROR(AL289/AL128,""),"")</f>
        <v>0.160018926364711</v>
      </c>
      <c r="AM290" s="38" t="n">
        <f aca="false">IF(AND(ISNUMBER(AM289),ISNUMBER(AM128)),IFERROR(AM289/AM128,""),"")</f>
        <v>0.178755747834475</v>
      </c>
      <c r="AN290" s="38" t="n">
        <f aca="false">IF(AND(ISNUMBER(AN289),ISNUMBER(AN128)),IFERROR(AN289/AN128,""),"")</f>
        <v>0.197917143713388</v>
      </c>
      <c r="AO290" s="38" t="n">
        <f aca="false">IF(AND(ISNUMBER(AO289),ISNUMBER(AO128)),IFERROR(AO289/AO128,""),"")</f>
        <v>0.188146657622921</v>
      </c>
      <c r="AP290" s="38" t="n">
        <f aca="false">IF(AND(ISNUMBER(AP289),ISNUMBER(AP128)),IFERROR(AP289/AP128,""),"")</f>
        <v>0.183388509562149</v>
      </c>
      <c r="AQ290" s="38" t="n">
        <f aca="false">IF(AND(ISNUMBER(AQ289),ISNUMBER(AQ128)),IFERROR(AQ289/AQ128,""),"")</f>
        <v>0.113287468060736</v>
      </c>
      <c r="AR290" s="38" t="n">
        <f aca="false">IF(AND(ISNUMBER(AR289),ISNUMBER(AR128)),IFERROR(AR289/AR128,""),"")</f>
        <v>0.17023597063399</v>
      </c>
      <c r="AS290" s="38" t="n">
        <f aca="false">IF(AND(ISNUMBER(AS289),ISNUMBER(AS128)),IFERROR(AS289/AS128,""),"")</f>
        <v>0.174299987281907</v>
      </c>
      <c r="AT290" s="38" t="n">
        <f aca="false">IF(AND(ISNUMBER(AT289),ISNUMBER(AT128)),IFERROR(AT289/AT128,""),"")</f>
        <v>0.198229872980329</v>
      </c>
      <c r="AU290" s="38" t="n">
        <f aca="false">IF(AND(ISNUMBER(AU289),ISNUMBER(AU128)),IFERROR(AU289/AU128,""),"")</f>
        <v>0.204254320817069</v>
      </c>
      <c r="AV290" s="38" t="n">
        <f aca="false">IF(AND(ISNUMBER(AV289),ISNUMBER(AV128)),IFERROR(AV289/AV128,""),"")</f>
        <v>0.0380017607711347</v>
      </c>
      <c r="AW290" s="38" t="n">
        <f aca="false">IF(AND(ISNUMBER(AW289),ISNUMBER(AW128)),IFERROR(AW289/AW128,""),"")</f>
        <v>0.15459044177459</v>
      </c>
      <c r="AX290" s="38" t="n">
        <f aca="false">IF(AND(ISNUMBER(AX289),ISNUMBER(AX128)),IFERROR(AX289/AX128,""),"")</f>
        <v>0.207593868513162</v>
      </c>
      <c r="AY290" s="38" t="n">
        <f aca="false">IF(AND(ISNUMBER(AY289),ISNUMBER(AY128)),IFERROR(AY289/AY128,""),"")</f>
        <v>0.19299825089916</v>
      </c>
      <c r="AZ290" s="38" t="n">
        <f aca="false">IF(AND(ISNUMBER(AZ289),ISNUMBER(AZ128)),IFERROR(AZ289/AZ128,""),"")</f>
        <v>0.150267849092895</v>
      </c>
      <c r="BA290" s="38" t="n">
        <f aca="false">IF(AND(ISNUMBER(BA289),ISNUMBER(BA128)),IFERROR(BA289/BA128,""),"")</f>
        <v>0.123669057617377</v>
      </c>
      <c r="BB290" s="38" t="n">
        <f aca="false">IF(AND(ISNUMBER(BB289),ISNUMBER(BB128)),IFERROR(BB289/BB128,""),"")</f>
        <v>0.164125955215439</v>
      </c>
      <c r="BC290" s="38" t="n">
        <f aca="false">IF(AND(ISNUMBER(BC289),ISNUMBER(BC128)),IFERROR(BC289/BC128,""),"")</f>
        <v>0.194609583569982</v>
      </c>
      <c r="BD290" s="38" t="n">
        <f aca="false">IF(AND(ISNUMBER(BD289),ISNUMBER(BD128)),IFERROR(BD289/BD128,""),"")</f>
        <v>0.175059388307316</v>
      </c>
      <c r="BE290" s="38" t="n">
        <f aca="false">IF(AND(ISNUMBER(BE289),ISNUMBER(BE128)),IFERROR(BE289/BE128,""),"")</f>
        <v>0.154583726091406</v>
      </c>
      <c r="BF290" s="38" t="n">
        <f aca="false">IF(AND(ISNUMBER(BF289),ISNUMBER(BF128)),IFERROR(BF289/BF128,""),"")</f>
        <v>0.126189415187816</v>
      </c>
      <c r="BG290" s="38" t="n">
        <f aca="false">IF(AND(ISNUMBER(BG289),ISNUMBER(BG128)),IFERROR(BG289/BG128,""),"")</f>
        <v>0.161517855521024</v>
      </c>
      <c r="BH290" s="38" t="n">
        <f aca="false">IF(AND(ISNUMBER(BH289),ISNUMBER(BH128)),IFERROR(BH289/BH128,""),"")</f>
        <v>0.144162361227528</v>
      </c>
      <c r="BI290" s="38" t="n">
        <f aca="false">IF(AND(ISNUMBER(BI289),ISNUMBER(BI128)),IFERROR(BI289/BI128,""),"")</f>
        <v>0.176129276456574</v>
      </c>
      <c r="BJ290" s="38" t="n">
        <f aca="false">IF(AND(ISNUMBER(BJ289),ISNUMBER(BJ128)),IFERROR(BJ289/BJ128,""),"")</f>
        <v>0.16434192326022</v>
      </c>
      <c r="BK290" s="38" t="n">
        <f aca="false">IF(AND(ISNUMBER(BK289),ISNUMBER(BK128)),IFERROR(BK289/BK128,""),"")</f>
        <v>0.125197422491254</v>
      </c>
      <c r="BL290" s="38" t="n">
        <f aca="false">IF(AND(ISNUMBER(BL289),ISNUMBER(BL128)),IFERROR(BL289/BL128,""),"")</f>
        <v>0.152597790736942</v>
      </c>
      <c r="BM290" s="38" t="n">
        <f aca="false">IF(AND(ISNUMBER(BM289),ISNUMBER(BM128)),IFERROR(BM289/BM128,""),"")</f>
        <v>0.156703992419378</v>
      </c>
      <c r="BN290" s="38" t="n">
        <f aca="false">IF(AND(ISNUMBER(BN289),ISNUMBER(BN128)),IFERROR(BN289/BN128,""),"")</f>
        <v>0.179096650336319</v>
      </c>
      <c r="BO290" s="38" t="n">
        <f aca="false">IF(AND(ISNUMBER(BO289),ISNUMBER(BO128)),IFERROR(BO289/BO128,""),"")</f>
        <v>0.135248502451157</v>
      </c>
      <c r="BP290" s="38" t="n">
        <f aca="false">IF(AND(ISNUMBER(BP289),ISNUMBER(BP128)),IFERROR(BP289/BP128,""),"")</f>
        <v>0.0769005474093289</v>
      </c>
      <c r="BQ290" s="38" t="n">
        <f aca="false">IF(AND(ISNUMBER(BQ289),ISNUMBER(BQ128)),IFERROR(BQ289/BQ128,""),"")</f>
        <v>0.136500204998189</v>
      </c>
      <c r="BR290" s="38" t="n">
        <f aca="false">IF(AND(ISNUMBER(BR289),ISNUMBER(BR128)),IFERROR(BR289/BR128,""),"")</f>
        <v>0.149034456883119</v>
      </c>
      <c r="BS290" s="38" t="n">
        <f aca="false">IF(AND(ISNUMBER(BS289),ISNUMBER(BS128)),IFERROR(BS289/BS128,""),"")</f>
        <v>0.152473873675508</v>
      </c>
      <c r="BT290" s="38" t="n">
        <f aca="false">IF(AND(ISNUMBER(BT289),ISNUMBER(BT128)),IFERROR(BT289/BT128,""),"")</f>
        <v>0.156436479662607</v>
      </c>
      <c r="BU290" s="38" t="n">
        <f aca="false">IF(AND(ISNUMBER(BU289),ISNUMBER(BU128)),IFERROR(BU289/BU128,""),"")</f>
        <v>0.0740001500017275</v>
      </c>
      <c r="BV290" s="38" t="n">
        <f aca="false">IF(AND(ISNUMBER(BV289),ISNUMBER(BV128)),IFERROR(BV289/BV128,""),"")</f>
        <v>0.133020419006614</v>
      </c>
      <c r="BW290" s="38" t="n">
        <f aca="false">IF(AND(ISNUMBER(BW289),ISNUMBER(BW128)),IFERROR(BW289/BW128,""),"")</f>
        <v>0.1037179552617</v>
      </c>
      <c r="BX290" s="38" t="n">
        <f aca="false">IF(AND(ISNUMBER(BX289),ISNUMBER(BX128)),IFERROR(BX289/BX128,""),"")</f>
        <v>0.178594921078838</v>
      </c>
      <c r="BY290" s="39"/>
      <c r="BZ290" s="39"/>
      <c r="CA290" s="37" t="n">
        <f aca="false">IFERROR(CA289/CA128,"")</f>
        <v>0.14172057797708</v>
      </c>
      <c r="CB290" s="37" t="n">
        <f aca="false">IFERROR(CB289/CB128,"")</f>
        <v>0.162125589564173</v>
      </c>
      <c r="CC290" s="37" t="n">
        <f aca="false">IFERROR(CC289/CC128,"")</f>
        <v>0.164003117325961</v>
      </c>
      <c r="CD290" s="37" t="n">
        <f aca="false">IFERROR(CD289/CD128,"")</f>
        <v>0.163288623602419</v>
      </c>
      <c r="CE290" s="37" t="n">
        <f aca="false">IFERROR(CE289/CE128,"")</f>
        <v>0.162383766812465</v>
      </c>
      <c r="CF290" s="21"/>
      <c r="CH290" s="41" t="n">
        <f aca="false">IFERROR(AVERAGE(CA290,CB290,CC290,CD290,CE290),"n/m")</f>
        <v>0.15870433505642</v>
      </c>
      <c r="CI290" s="41" t="n">
        <f aca="false">IFERROR(AVERAGE(BB290,BG290,BL290,BQ290,BV290),"n/m")</f>
        <v>0.149552445095642</v>
      </c>
      <c r="CJ290" s="41" t="n">
        <f aca="false">IFERROR(AVERAGE(AC290,AH290,AM290,AR290,AW290,BB290,BG290,BL290,BQ290,BV290),"n/m")</f>
        <v>0.157951519057073</v>
      </c>
      <c r="CK290" s="41" t="n">
        <f aca="false">IFERROR(AVERAGE(C290,D290,E290,F290,G290,H290,I290,N290,S290,X290,AC290,AH290,AM290,AR290,AW290,BB290,BG290,BL290,BQ290,BV290),"n/m")</f>
        <v>0.15439219692568</v>
      </c>
    </row>
    <row r="291" customFormat="false" ht="15" hidden="false" customHeight="true" outlineLevel="0" collapsed="false">
      <c r="B291" s="24" t="s">
        <v>486</v>
      </c>
      <c r="C291" s="27" t="n">
        <v>97.502</v>
      </c>
      <c r="D291" s="27" t="n">
        <v>106.181</v>
      </c>
      <c r="E291" s="27" t="n">
        <v>153.162</v>
      </c>
      <c r="F291" s="27" t="n">
        <v>192.303</v>
      </c>
      <c r="G291" s="27" t="n">
        <v>212.502</v>
      </c>
      <c r="H291" s="27" t="n">
        <v>254.541</v>
      </c>
      <c r="I291" s="27" t="n">
        <v>275.759</v>
      </c>
      <c r="J291" s="27" t="n">
        <v>100.162</v>
      </c>
      <c r="K291" s="27" t="n">
        <v>75.491</v>
      </c>
      <c r="L291" s="27" t="n">
        <v>87.783</v>
      </c>
      <c r="M291" s="27" t="n">
        <v>38.144</v>
      </c>
      <c r="N291" s="27" t="n">
        <v>301.579</v>
      </c>
      <c r="O291" s="27" t="n">
        <v>115.501</v>
      </c>
      <c r="P291" s="27" t="n">
        <v>93.107</v>
      </c>
      <c r="Q291" s="27" t="n">
        <v>69.939</v>
      </c>
      <c r="R291" s="27" t="n">
        <v>43.026</v>
      </c>
      <c r="S291" s="27" t="n">
        <v>321.574</v>
      </c>
      <c r="T291" s="27" t="n">
        <v>122.924</v>
      </c>
      <c r="U291" s="27" t="n">
        <v>97.199</v>
      </c>
      <c r="V291" s="27" t="n">
        <v>78.523</v>
      </c>
      <c r="W291" s="27" t="n">
        <v>44.353</v>
      </c>
      <c r="X291" s="27" t="n">
        <v>342.987</v>
      </c>
      <c r="Y291" s="27" t="n">
        <v>113.558</v>
      </c>
      <c r="Z291" s="27" t="n">
        <v>120.684</v>
      </c>
      <c r="AA291" s="27" t="n">
        <v>205.844</v>
      </c>
      <c r="AB291" s="27" t="n">
        <v>110.679</v>
      </c>
      <c r="AC291" s="27" t="n">
        <v>550.944</v>
      </c>
      <c r="AD291" s="27" t="n">
        <v>237.49</v>
      </c>
      <c r="AE291" s="27" t="n">
        <v>156.128</v>
      </c>
      <c r="AF291" s="27" t="n">
        <v>220.409</v>
      </c>
      <c r="AG291" s="27" t="n">
        <v>149.862</v>
      </c>
      <c r="AH291" s="27" t="n">
        <v>763.891</v>
      </c>
      <c r="AI291" s="27" t="n">
        <v>220.153</v>
      </c>
      <c r="AJ291" s="27" t="n">
        <v>252.545</v>
      </c>
      <c r="AK291" s="25"/>
      <c r="AL291" s="25"/>
      <c r="AM291" s="27" t="n">
        <v>879.901</v>
      </c>
      <c r="AN291" s="27" t="n">
        <v>246.335</v>
      </c>
      <c r="AO291" s="27" t="n">
        <v>257.576</v>
      </c>
      <c r="AP291" s="27" t="n">
        <v>259.027</v>
      </c>
      <c r="AQ291" s="25"/>
      <c r="AR291" s="27" t="n">
        <v>916.777</v>
      </c>
      <c r="AS291" s="27" t="n">
        <v>235.724</v>
      </c>
      <c r="AT291" s="27" t="n">
        <v>258.846</v>
      </c>
      <c r="AU291" s="27" t="n">
        <v>283.822</v>
      </c>
      <c r="AV291" s="25"/>
      <c r="AW291" s="27" t="n">
        <v>841.898</v>
      </c>
      <c r="AX291" s="27" t="n">
        <v>289.789</v>
      </c>
      <c r="AY291" s="27" t="n">
        <v>296.045</v>
      </c>
      <c r="AZ291" s="27" t="n">
        <v>240.002</v>
      </c>
      <c r="BA291" s="25"/>
      <c r="BB291" s="27" t="n">
        <v>1009.598</v>
      </c>
      <c r="BC291" s="27" t="n">
        <v>320.377</v>
      </c>
      <c r="BD291" s="27" t="n">
        <v>317.983</v>
      </c>
      <c r="BE291" s="27" t="n">
        <v>290.597</v>
      </c>
      <c r="BF291" s="25"/>
      <c r="BG291" s="27" t="n">
        <v>1164.844</v>
      </c>
      <c r="BH291" s="27" t="n">
        <v>273.981</v>
      </c>
      <c r="BI291" s="27" t="n">
        <v>355.973</v>
      </c>
      <c r="BJ291" s="27" t="n">
        <v>339.324</v>
      </c>
      <c r="BK291" s="25"/>
      <c r="BL291" s="27" t="n">
        <v>1224.132</v>
      </c>
      <c r="BM291" s="27" t="n">
        <v>324.793</v>
      </c>
      <c r="BN291" s="27" t="n">
        <v>402.639</v>
      </c>
      <c r="BO291" s="27" t="n">
        <v>316.276</v>
      </c>
      <c r="BP291" s="25"/>
      <c r="BQ291" s="27" t="n">
        <v>1217.526</v>
      </c>
      <c r="BR291" s="27" t="n">
        <v>332.075</v>
      </c>
      <c r="BS291" s="27" t="n">
        <v>367.013</v>
      </c>
      <c r="BT291" s="27" t="n">
        <v>384.58</v>
      </c>
      <c r="BU291" s="25"/>
      <c r="BV291" s="27" t="n">
        <v>1259.293</v>
      </c>
      <c r="BW291" s="27" t="n">
        <v>245.877</v>
      </c>
      <c r="BX291" s="27" t="n">
        <v>457.489</v>
      </c>
      <c r="BY291" s="28"/>
      <c r="BZ291" s="28"/>
      <c r="CA291" s="28"/>
      <c r="CB291" s="28"/>
      <c r="CC291" s="28"/>
      <c r="CD291" s="28"/>
      <c r="CE291" s="28"/>
      <c r="CF291" s="21"/>
    </row>
    <row r="292" customFormat="false" ht="15" hidden="false" customHeight="true" outlineLevel="0" collapsed="false">
      <c r="B292" s="46" t="s">
        <v>487</v>
      </c>
      <c r="C292" s="26" t="n">
        <f aca="false">IF(ISNUMBER(C291),ROUND(C289-C291,1),"n/p")</f>
        <v>0</v>
      </c>
      <c r="D292" s="26" t="n">
        <f aca="false">IF(ISNUMBER(D291),ROUND(D289-D291,1),"n/p")</f>
        <v>0</v>
      </c>
      <c r="E292" s="26" t="n">
        <f aca="false">IF(ISNUMBER(E291),ROUND(E289-E291,1),"n/p")</f>
        <v>0</v>
      </c>
      <c r="F292" s="26" t="n">
        <f aca="false">IF(ISNUMBER(F291),ROUND(F289-F291,1),"n/p")</f>
        <v>0</v>
      </c>
      <c r="G292" s="26" t="n">
        <f aca="false">IF(ISNUMBER(G291),ROUND(G289-G291,1),"n/p")</f>
        <v>3.8</v>
      </c>
      <c r="H292" s="26" t="n">
        <f aca="false">IF(ISNUMBER(H291),ROUND(H289-H291,1),"n/p")</f>
        <v>0</v>
      </c>
      <c r="I292" s="26" t="n">
        <f aca="false">IF(ISNUMBER(I291),ROUND(I289-I291,1),"n/p")</f>
        <v>0</v>
      </c>
      <c r="J292" s="26" t="n">
        <f aca="false">IF(ISNUMBER(J291),ROUND(J289-J291,1),"n/p")</f>
        <v>0</v>
      </c>
      <c r="K292" s="26" t="n">
        <f aca="false">IF(ISNUMBER(K291),ROUND(K289-K291,1),"n/p")</f>
        <v>0</v>
      </c>
      <c r="L292" s="26" t="n">
        <f aca="false">IF(ISNUMBER(L291),ROUND(L289-L291,1),"n/p")</f>
        <v>0</v>
      </c>
      <c r="M292" s="26" t="n">
        <f aca="false">IF(ISNUMBER(M291),ROUND(M289-M291,1),"n/p")</f>
        <v>-0</v>
      </c>
      <c r="N292" s="26" t="n">
        <f aca="false">IF(ISNUMBER(N291),ROUND(N289-N291,1),"n/p")</f>
        <v>0</v>
      </c>
      <c r="O292" s="26" t="n">
        <f aca="false">IF(ISNUMBER(O291),ROUND(O289-O291,1),"n/p")</f>
        <v>0</v>
      </c>
      <c r="P292" s="26" t="n">
        <f aca="false">IF(ISNUMBER(P291),ROUND(P289-P291,1),"n/p")</f>
        <v>0</v>
      </c>
      <c r="Q292" s="26" t="n">
        <f aca="false">IF(ISNUMBER(Q291),ROUND(Q289-Q291,1),"n/p")</f>
        <v>0</v>
      </c>
      <c r="R292" s="26" t="n">
        <f aca="false">IF(ISNUMBER(R291),ROUND(R289-R291,1),"n/p")</f>
        <v>0</v>
      </c>
      <c r="S292" s="26" t="n">
        <f aca="false">IF(ISNUMBER(S291),ROUND(S289-S291,1),"n/p")</f>
        <v>0</v>
      </c>
      <c r="T292" s="26" t="n">
        <f aca="false">IF(ISNUMBER(T291),ROUND(T289-T291,1),"n/p")</f>
        <v>0</v>
      </c>
      <c r="U292" s="26" t="n">
        <f aca="false">IF(ISNUMBER(U291),ROUND(U289-U291,1),"n/p")</f>
        <v>0</v>
      </c>
      <c r="V292" s="26" t="n">
        <f aca="false">IF(ISNUMBER(V291),ROUND(V289-V291,1),"n/p")</f>
        <v>-0</v>
      </c>
      <c r="W292" s="26" t="n">
        <f aca="false">IF(ISNUMBER(W291),ROUND(W289-W291,1),"n/p")</f>
        <v>0</v>
      </c>
      <c r="X292" s="26" t="n">
        <f aca="false">IF(ISNUMBER(X291),ROUND(X289-X291,1),"n/p")</f>
        <v>0</v>
      </c>
      <c r="Y292" s="26" t="n">
        <f aca="false">IF(ISNUMBER(Y291),ROUND(Y289-Y291,1),"n/p")</f>
        <v>0</v>
      </c>
      <c r="Z292" s="26" t="n">
        <f aca="false">IF(ISNUMBER(Z291),ROUND(Z289-Z291,1),"n/p")</f>
        <v>0</v>
      </c>
      <c r="AA292" s="26" t="n">
        <f aca="false">IF(ISNUMBER(AA291),ROUND(AA289-AA291,1),"n/p")</f>
        <v>0</v>
      </c>
      <c r="AB292" s="26" t="n">
        <f aca="false">IF(ISNUMBER(AB291),ROUND(AB289-AB291,1),"n/p")</f>
        <v>0</v>
      </c>
      <c r="AC292" s="26" t="n">
        <f aca="false">IF(ISNUMBER(AC291),ROUND(AC289-AC291,1),"n/p")</f>
        <v>0</v>
      </c>
      <c r="AD292" s="26" t="n">
        <f aca="false">IF(ISNUMBER(AD291),ROUND(AD289-AD291,1),"n/p")</f>
        <v>0</v>
      </c>
      <c r="AE292" s="26" t="n">
        <f aca="false">IF(ISNUMBER(AE291),ROUND(AE289-AE291,1),"n/p")</f>
        <v>0</v>
      </c>
      <c r="AF292" s="26" t="n">
        <f aca="false">IF(ISNUMBER(AF291),ROUND(AF289-AF291,1),"n/p")</f>
        <v>0</v>
      </c>
      <c r="AG292" s="26" t="n">
        <f aca="false">IF(ISNUMBER(AG291),ROUND(AG289-AG291,1),"n/p")</f>
        <v>0</v>
      </c>
      <c r="AH292" s="26" t="n">
        <f aca="false">IF(ISNUMBER(AH291),ROUND(AH289-AH291,1),"n/p")</f>
        <v>0</v>
      </c>
      <c r="AI292" s="26" t="n">
        <f aca="false">IF(ISNUMBER(AI291),ROUND(AI289-AI291,1),"n/p")</f>
        <v>0.1</v>
      </c>
      <c r="AJ292" s="26" t="n">
        <f aca="false">IF(ISNUMBER(AJ291),ROUND(AJ289-AJ291,1),"n/p")</f>
        <v>0</v>
      </c>
      <c r="AK292" s="26" t="str">
        <f aca="false">IF(ISNUMBER(AK291),ROUND(AK289-AK291,1),"n/p")</f>
        <v>n/p</v>
      </c>
      <c r="AL292" s="26" t="str">
        <f aca="false">IF(ISNUMBER(AL291),ROUND(AL289-AL291,1),"n/p")</f>
        <v>n/p</v>
      </c>
      <c r="AM292" s="26" t="n">
        <f aca="false">IF(ISNUMBER(AM291),ROUND(AM289-AM291,1),"n/p")</f>
        <v>0.1</v>
      </c>
      <c r="AN292" s="26" t="n">
        <f aca="false">IF(ISNUMBER(AN291),ROUND(AN289-AN291,1),"n/p")</f>
        <v>0</v>
      </c>
      <c r="AO292" s="26" t="n">
        <f aca="false">IF(ISNUMBER(AO291),ROUND(AO289-AO291,1),"n/p")</f>
        <v>0.1</v>
      </c>
      <c r="AP292" s="26" t="n">
        <f aca="false">IF(ISNUMBER(AP291),ROUND(AP289-AP291,1),"n/p")</f>
        <v>-0</v>
      </c>
      <c r="AQ292" s="26" t="str">
        <f aca="false">IF(ISNUMBER(AQ291),ROUND(AQ289-AQ291,1),"n/p")</f>
        <v>n/p</v>
      </c>
      <c r="AR292" s="26" t="n">
        <f aca="false">IF(ISNUMBER(AR291),ROUND(AR289-AR291,1),"n/p")</f>
        <v>0.6</v>
      </c>
      <c r="AS292" s="26" t="n">
        <f aca="false">IF(ISNUMBER(AS291),ROUND(AS289-AS291,1),"n/p")</f>
        <v>0</v>
      </c>
      <c r="AT292" s="26" t="n">
        <f aca="false">IF(ISNUMBER(AT291),ROUND(AT289-AT291,1),"n/p")</f>
        <v>-0</v>
      </c>
      <c r="AU292" s="26" t="n">
        <f aca="false">IF(ISNUMBER(AU291),ROUND(AU289-AU291,1),"n/p")</f>
        <v>0</v>
      </c>
      <c r="AV292" s="26" t="str">
        <f aca="false">IF(ISNUMBER(AV291),ROUND(AV289-AV291,1),"n/p")</f>
        <v>n/p</v>
      </c>
      <c r="AW292" s="26" t="n">
        <f aca="false">IF(ISNUMBER(AW291),ROUND(AW289-AW291,1),"n/p")</f>
        <v>0</v>
      </c>
      <c r="AX292" s="26" t="n">
        <f aca="false">IF(ISNUMBER(AX291),ROUND(AX289-AX291,1),"n/p")</f>
        <v>0</v>
      </c>
      <c r="AY292" s="26" t="n">
        <f aca="false">IF(ISNUMBER(AY291),ROUND(AY289-AY291,1),"n/p")</f>
        <v>0</v>
      </c>
      <c r="AZ292" s="26" t="n">
        <f aca="false">IF(ISNUMBER(AZ291),ROUND(AZ289-AZ291,1),"n/p")</f>
        <v>0</v>
      </c>
      <c r="BA292" s="26" t="str">
        <f aca="false">IF(ISNUMBER(BA291),ROUND(BA289-BA291,1),"n/p")</f>
        <v>n/p</v>
      </c>
      <c r="BB292" s="26" t="n">
        <f aca="false">IF(ISNUMBER(BB291),ROUND(BB289-BB291,1),"n/p")</f>
        <v>0</v>
      </c>
      <c r="BC292" s="26" t="n">
        <f aca="false">IF(ISNUMBER(BC291),ROUND(BC289-BC291,1),"n/p")</f>
        <v>0</v>
      </c>
      <c r="BD292" s="26" t="n">
        <f aca="false">IF(ISNUMBER(BD291),ROUND(BD289-BD291,1),"n/p")</f>
        <v>0</v>
      </c>
      <c r="BE292" s="26" t="n">
        <f aca="false">IF(ISNUMBER(BE291),ROUND(BE289-BE291,1),"n/p")</f>
        <v>0</v>
      </c>
      <c r="BF292" s="26" t="str">
        <f aca="false">IF(ISNUMBER(BF291),ROUND(BF289-BF291,1),"n/p")</f>
        <v>n/p</v>
      </c>
      <c r="BG292" s="26" t="n">
        <f aca="false">IF(ISNUMBER(BG291),ROUND(BG289-BG291,1),"n/p")</f>
        <v>0</v>
      </c>
      <c r="BH292" s="26" t="n">
        <f aca="false">IF(ISNUMBER(BH291),ROUND(BH289-BH291,1),"n/p")</f>
        <v>0</v>
      </c>
      <c r="BI292" s="26" t="n">
        <f aca="false">IF(ISNUMBER(BI291),ROUND(BI289-BI291,1),"n/p")</f>
        <v>0</v>
      </c>
      <c r="BJ292" s="26" t="n">
        <f aca="false">IF(ISNUMBER(BJ291),ROUND(BJ289-BJ291,1),"n/p")</f>
        <v>0</v>
      </c>
      <c r="BK292" s="26" t="str">
        <f aca="false">IF(ISNUMBER(BK291),ROUND(BK289-BK291,1),"n/p")</f>
        <v>n/p</v>
      </c>
      <c r="BL292" s="26" t="n">
        <f aca="false">IF(ISNUMBER(BL291),ROUND(BL289-BL291,1),"n/p")</f>
        <v>0</v>
      </c>
      <c r="BM292" s="26" t="n">
        <f aca="false">IF(ISNUMBER(BM291),ROUND(BM289-BM291,1),"n/p")</f>
        <v>0</v>
      </c>
      <c r="BN292" s="26" t="n">
        <f aca="false">IF(ISNUMBER(BN291),ROUND(BN289-BN291,1),"n/p")</f>
        <v>0</v>
      </c>
      <c r="BO292" s="26" t="n">
        <f aca="false">IF(ISNUMBER(BO291),ROUND(BO289-BO291,1),"n/p")</f>
        <v>0</v>
      </c>
      <c r="BP292" s="26" t="str">
        <f aca="false">IF(ISNUMBER(BP291),ROUND(BP289-BP291,1),"n/p")</f>
        <v>n/p</v>
      </c>
      <c r="BQ292" s="26" t="n">
        <f aca="false">IF(ISNUMBER(BQ291),ROUND(BQ289-BQ291,1),"n/p")</f>
        <v>0</v>
      </c>
      <c r="BR292" s="26" t="n">
        <f aca="false">IF(ISNUMBER(BR291),ROUND(BR289-BR291,1),"n/p")</f>
        <v>0</v>
      </c>
      <c r="BS292" s="26" t="n">
        <f aca="false">IF(ISNUMBER(BS291),ROUND(BS289-BS291,1),"n/p")</f>
        <v>0</v>
      </c>
      <c r="BT292" s="26" t="n">
        <f aca="false">IF(ISNUMBER(BT291),ROUND(BT289-BT291,1),"n/p")</f>
        <v>0</v>
      </c>
      <c r="BU292" s="26" t="str">
        <f aca="false">IF(ISNUMBER(BU291),ROUND(BU289-BU291,1),"n/p")</f>
        <v>n/p</v>
      </c>
      <c r="BV292" s="26" t="n">
        <f aca="false">IF(ISNUMBER(BV291),ROUND(BV289-BV291,1),"n/p")</f>
        <v>0</v>
      </c>
      <c r="BW292" s="26" t="n">
        <f aca="false">IF(ISNUMBER(BW291),ROUND(BW289-BW291,1),"n/p")</f>
        <v>0</v>
      </c>
      <c r="BX292" s="26" t="n">
        <f aca="false">IF(ISNUMBER(BX291),ROUND(BX289-BX291,1),"n/p")</f>
        <v>0</v>
      </c>
      <c r="BY292" s="28"/>
      <c r="BZ292" s="28"/>
      <c r="CA292" s="28"/>
      <c r="CB292" s="28"/>
      <c r="CC292" s="28"/>
      <c r="CD292" s="28"/>
      <c r="CE292" s="28"/>
      <c r="CF292" s="21" t="s">
        <v>488</v>
      </c>
    </row>
    <row r="293" customFormat="false" ht="15" hidden="false" customHeight="true" outlineLevel="0" collapsed="false">
      <c r="B293" s="24" t="s">
        <v>489</v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8"/>
      <c r="BZ293" s="28"/>
      <c r="CA293" s="47" t="n">
        <f aca="false">CA93</f>
        <v>1425</v>
      </c>
      <c r="CB293" s="28"/>
      <c r="CC293" s="28"/>
      <c r="CD293" s="28"/>
      <c r="CE293" s="28"/>
      <c r="CF293" s="21"/>
    </row>
    <row r="294" customFormat="false" ht="15" hidden="false" customHeight="true" outlineLevel="0" collapsed="false">
      <c r="B294" s="29" t="s">
        <v>490</v>
      </c>
      <c r="C294" s="63" t="n">
        <f aca="false">IF(AND(ISNUMBER(C289),ISNUMBER(C153)),IFERROR(C289/C153,""),"")</f>
        <v>0.615467110564004</v>
      </c>
      <c r="D294" s="63" t="n">
        <f aca="false">IF(AND(ISNUMBER(D289),ISNUMBER(D153)),IFERROR(D289/D153,""),"")</f>
        <v>0.67421600193654</v>
      </c>
      <c r="E294" s="63" t="n">
        <f aca="false">IF(AND(ISNUMBER(E289),ISNUMBER(E153)),IFERROR(E289/E153,""),"")</f>
        <v>0.95312621815109</v>
      </c>
      <c r="F294" s="63" t="n">
        <f aca="false">IF(AND(ISNUMBER(F289),ISNUMBER(F153)),IFERROR(F289/F153,""),"")</f>
        <v>1.06386261419504</v>
      </c>
      <c r="G294" s="63" t="n">
        <f aca="false">IF(AND(ISNUMBER(G289),ISNUMBER(G153)),IFERROR(G289/G153,""),"")</f>
        <v>1.23350854932038</v>
      </c>
      <c r="H294" s="63" t="n">
        <f aca="false">IF(AND(ISNUMBER(H289),ISNUMBER(H153)),IFERROR(H289/H153,""),"")</f>
        <v>1.49400239397477</v>
      </c>
      <c r="I294" s="63" t="n">
        <f aca="false">IF(AND(ISNUMBER(I289),ISNUMBER(I153)),IFERROR(I289/I153,""),"")</f>
        <v>1.50905245825146</v>
      </c>
      <c r="J294" s="63" t="n">
        <f aca="false">IF(AND(ISNUMBER(J289),ISNUMBER(J153)),IFERROR(J289/J153,""),"")</f>
        <v>0.538918566077921</v>
      </c>
      <c r="K294" s="63" t="n">
        <f aca="false">IF(AND(ISNUMBER(K289),ISNUMBER(K153)),IFERROR(K289/K153,""),"")</f>
        <v>0.405602528719082</v>
      </c>
      <c r="L294" s="63" t="n">
        <f aca="false">IF(AND(ISNUMBER(L289),ISNUMBER(L153)),IFERROR(L289/L153,""),"")</f>
        <v>0.470889582210496</v>
      </c>
      <c r="M294" s="63" t="n">
        <f aca="false">IF(AND(ISNUMBER(M289),ISNUMBER(M153)),IFERROR(M289/M153,""),"")</f>
        <v>0.204432268228514</v>
      </c>
      <c r="N294" s="63" t="n">
        <f aca="false">IF(AND(ISNUMBER(N289),ISNUMBER(N153)),IFERROR(N289/N153,""),"")</f>
        <v>1.6192371639861</v>
      </c>
      <c r="O294" s="63" t="n">
        <f aca="false">IF(AND(ISNUMBER(O289),ISNUMBER(O153)),IFERROR(O289/O153,""),"")</f>
        <v>0.617417505469864</v>
      </c>
      <c r="P294" s="63" t="n">
        <f aca="false">IF(AND(ISNUMBER(P289),ISNUMBER(P153)),IFERROR(P289/P153,""),"")</f>
        <v>0.497173833984666</v>
      </c>
      <c r="Q294" s="63" t="n">
        <f aca="false">IF(AND(ISNUMBER(Q289),ISNUMBER(Q153)),IFERROR(Q289/Q153,""),"")</f>
        <v>0.373700999975841</v>
      </c>
      <c r="R294" s="63" t="n">
        <f aca="false">IF(AND(ISNUMBER(R289),ISNUMBER(R153)),IFERROR(R289/R153,""),"")</f>
        <v>0.229814627870918</v>
      </c>
      <c r="S294" s="63" t="n">
        <f aca="false">IF(AND(ISNUMBER(S289),ISNUMBER(S153)),IFERROR(S289/S153,""),"")</f>
        <v>1.71798299018189</v>
      </c>
      <c r="T294" s="63" t="n">
        <f aca="false">IF(AND(ISNUMBER(T289),ISNUMBER(T153)),IFERROR(T289/T153,""),"")</f>
        <v>0.658927956527522</v>
      </c>
      <c r="U294" s="63" t="n">
        <f aca="false">IF(AND(ISNUMBER(U289),ISNUMBER(U153)),IFERROR(U289/U153,""),"")</f>
        <v>0.52109576866794</v>
      </c>
      <c r="V294" s="63" t="n">
        <f aca="false">IF(AND(ISNUMBER(V289),ISNUMBER(V153)),IFERROR(V289/V153,""),"")</f>
        <v>0.424596751930573</v>
      </c>
      <c r="W294" s="63" t="n">
        <f aca="false">IF(AND(ISNUMBER(W289),ISNUMBER(W153)),IFERROR(W289/W153,""),"")</f>
        <v>0.240124836979888</v>
      </c>
      <c r="X294" s="63" t="n">
        <f aca="false">IF(AND(ISNUMBER(X289),ISNUMBER(X153)),IFERROR(X289/X153,""),"")</f>
        <v>1.85160275775427</v>
      </c>
      <c r="Y294" s="63" t="n">
        <f aca="false">IF(AND(ISNUMBER(Y289),ISNUMBER(Y153)),IFERROR(Y289/Y153,""),"")</f>
        <v>0.613244027531967</v>
      </c>
      <c r="Z294" s="63" t="n">
        <f aca="false">IF(AND(ISNUMBER(Z289),ISNUMBER(Z153)),IFERROR(Z289/Z153,""),"")</f>
        <v>0.57229031106481</v>
      </c>
      <c r="AA294" s="63" t="n">
        <f aca="false">IF(AND(ISNUMBER(AA289),ISNUMBER(AA153)),IFERROR(AA289/AA153,""),"")</f>
        <v>0.780746792590818</v>
      </c>
      <c r="AB294" s="63" t="n">
        <f aca="false">IF(AND(ISNUMBER(AB289),ISNUMBER(AB153)),IFERROR(AB289/AB153,""),"")</f>
        <v>0.419405898295462</v>
      </c>
      <c r="AC294" s="63" t="n">
        <f aca="false">IF(AND(ISNUMBER(AC289),ISNUMBER(AC153)),IFERROR(AC289/AC153,""),"")</f>
        <v>2.38419781914473</v>
      </c>
      <c r="AD294" s="63" t="n">
        <f aca="false">IF(AND(ISNUMBER(AD289),ISNUMBER(AD153)),IFERROR(AD289/AD153,""),"")</f>
        <v>0.899913223113611</v>
      </c>
      <c r="AE294" s="63" t="n">
        <f aca="false">IF(AND(ISNUMBER(AE289),ISNUMBER(AE153)),IFERROR(AE289/AE153,""),"")</f>
        <v>0.591152322925459</v>
      </c>
      <c r="AF294" s="63" t="n">
        <f aca="false">IF(AND(ISNUMBER(AF289),ISNUMBER(AF153)),IFERROR(AF289/AF153,""),"")</f>
        <v>0.833936588416643</v>
      </c>
      <c r="AG294" s="63" t="n">
        <f aca="false">IF(AND(ISNUMBER(AG289),ISNUMBER(AG153)),IFERROR(AG289/AG153,""),"")</f>
        <v>0.566348564621077</v>
      </c>
      <c r="AH294" s="63" t="n">
        <f aca="false">IF(AND(ISNUMBER(AH289),ISNUMBER(AH153)),IFERROR(AH289/AH153,""),"")</f>
        <v>2.89021578391882</v>
      </c>
      <c r="AI294" s="63" t="n">
        <f aca="false">IF(AND(ISNUMBER(AI289),ISNUMBER(AI153)),IFERROR(AI289/AI153,""),"")</f>
        <v>0.832448722394962</v>
      </c>
      <c r="AJ294" s="63" t="n">
        <f aca="false">IF(AND(ISNUMBER(AJ289),ISNUMBER(AJ153)),IFERROR(AJ289/AJ153,""),"")</f>
        <v>0.95540824528684</v>
      </c>
      <c r="AK294" s="63" t="n">
        <f aca="false">IF(AND(ISNUMBER(AK289),ISNUMBER(AK153)),IFERROR(AK289/AK153,""),"")</f>
        <v>0.769962318125695</v>
      </c>
      <c r="AL294" s="63" t="n">
        <f aca="false">IF(AND(ISNUMBER(AL289),ISNUMBER(AL153)),IFERROR(AL289/AL153,""),"")</f>
        <v>0.763464585127402</v>
      </c>
      <c r="AM294" s="63" t="n">
        <f aca="false">IF(AND(ISNUMBER(AM289),ISNUMBER(AM153)),IFERROR(AM289/AM153,""),"")</f>
        <v>3.32836075974603</v>
      </c>
      <c r="AN294" s="63" t="n">
        <f aca="false">IF(AND(ISNUMBER(AN289),ISNUMBER(AN153)),IFERROR(AN289/AN153,""),"")</f>
        <v>0.931897786661894</v>
      </c>
      <c r="AO294" s="63" t="n">
        <f aca="false">IF(AND(ISNUMBER(AO289),ISNUMBER(AO153)),IFERROR(AO289/AO153,""),"")</f>
        <v>0.974283277695786</v>
      </c>
      <c r="AP294" s="63" t="n">
        <f aca="false">IF(AND(ISNUMBER(AP289),ISNUMBER(AP153)),IFERROR(AP289/AP153,""),"")</f>
        <v>0.978980651297392</v>
      </c>
      <c r="AQ294" s="63" t="n">
        <f aca="false">IF(AND(ISNUMBER(AQ289),ISNUMBER(AQ153)),IFERROR(AQ289/AQ153,""),"")</f>
        <v>0.583036643459862</v>
      </c>
      <c r="AR294" s="63" t="n">
        <f aca="false">IF(AND(ISNUMBER(AR289),ISNUMBER(AR153)),IFERROR(AR289/AR153,""),"")</f>
        <v>3.4678823802499</v>
      </c>
      <c r="AS294" s="63" t="n">
        <f aca="false">IF(AND(ISNUMBER(AS289),ISNUMBER(AS153)),IFERROR(AS289/AS153,""),"")</f>
        <v>0.891701093277652</v>
      </c>
      <c r="AT294" s="63" t="n">
        <f aca="false">IF(AND(ISNUMBER(AT289),ISNUMBER(AT153)),IFERROR(AT289/AT153,""),"")</f>
        <v>0.984222945537502</v>
      </c>
      <c r="AU294" s="63" t="n">
        <f aca="false">IF(AND(ISNUMBER(AU289),ISNUMBER(AU153)),IFERROR(AU289/AU153,""),"")</f>
        <v>1.07709273959678</v>
      </c>
      <c r="AV294" s="63" t="n">
        <f aca="false">IF(AND(ISNUMBER(AV289),ISNUMBER(AV153)),IFERROR(AV289/AV153,""),"")</f>
        <v>0.20157921778356</v>
      </c>
      <c r="AW294" s="63" t="n">
        <f aca="false">IF(AND(ISNUMBER(AW289),ISNUMBER(AW153)),IFERROR(AW289/AW153,""),"")</f>
        <v>3.19278644411028</v>
      </c>
      <c r="AX294" s="63" t="n">
        <f aca="false">IF(AND(ISNUMBER(AX289),ISNUMBER(AX153)),IFERROR(AX289/AX153,""),"")</f>
        <v>1.10120338776916</v>
      </c>
      <c r="AY294" s="63" t="n">
        <f aca="false">IF(AND(ISNUMBER(AY289),ISNUMBER(AY153)),IFERROR(AY289/AY153,""),"")</f>
        <v>1.13245970476627</v>
      </c>
      <c r="AZ294" s="63" t="n">
        <f aca="false">IF(AND(ISNUMBER(AZ289),ISNUMBER(AZ153)),IFERROR(AZ289/AZ153,""),"")</f>
        <v>0.919040371483729</v>
      </c>
      <c r="BA294" s="63" t="n">
        <f aca="false">IF(AND(ISNUMBER(BA289),ISNUMBER(BA153)),IFERROR(BA289/BA153,""),"")</f>
        <v>0.768886209124165</v>
      </c>
      <c r="BB294" s="63" t="n">
        <f aca="false">IF(AND(ISNUMBER(BB289),ISNUMBER(BB153)),IFERROR(BB289/BB153,""),"")</f>
        <v>3.85742521629382</v>
      </c>
      <c r="BC294" s="63" t="n">
        <f aca="false">IF(AND(ISNUMBER(BC289),ISNUMBER(BC153)),IFERROR(BC289/BC153,""),"")</f>
        <v>1.2343033852665</v>
      </c>
      <c r="BD294" s="63" t="n">
        <f aca="false">IF(AND(ISNUMBER(BD289),ISNUMBER(BD153)),IFERROR(BD289/BD153,""),"")</f>
        <v>1.23375500842924</v>
      </c>
      <c r="BE294" s="63" t="n">
        <f aca="false">IF(AND(ISNUMBER(BE289),ISNUMBER(BE153)),IFERROR(BE289/BE153,""),"")</f>
        <v>1.1268182467415</v>
      </c>
      <c r="BF294" s="63" t="n">
        <f aca="false">IF(AND(ISNUMBER(BF289),ISNUMBER(BF153)),IFERROR(BF289/BF153,""),"")</f>
        <v>0.914376313629052</v>
      </c>
      <c r="BG294" s="63" t="n">
        <f aca="false">IF(AND(ISNUMBER(BG289),ISNUMBER(BG153)),IFERROR(BG289/BG153,""),"")</f>
        <v>4.51422032456274</v>
      </c>
      <c r="BH294" s="63" t="n">
        <f aca="false">IF(AND(ISNUMBER(BH289),ISNUMBER(BH153)),IFERROR(BH289/BH153,""),"")</f>
        <v>1.0619872583623</v>
      </c>
      <c r="BI294" s="63" t="n">
        <f aca="false">IF(AND(ISNUMBER(BI289),ISNUMBER(BI153)),IFERROR(BI289/BI153,""),"")</f>
        <v>1.37915355017476</v>
      </c>
      <c r="BJ294" s="63" t="n">
        <f aca="false">IF(AND(ISNUMBER(BJ289),ISNUMBER(BJ153)),IFERROR(BJ289/BJ153,""),"")</f>
        <v>1.31404090604647</v>
      </c>
      <c r="BK294" s="63" t="n">
        <f aca="false">IF(AND(ISNUMBER(BK289),ISNUMBER(BK153)),IFERROR(BK289/BK153,""),"")</f>
        <v>0.986642179697462</v>
      </c>
      <c r="BL294" s="63" t="n">
        <f aca="false">IF(AND(ISNUMBER(BL289),ISNUMBER(BL153)),IFERROR(BL289/BL153,""),"")</f>
        <v>4.74195461908848</v>
      </c>
      <c r="BM294" s="63" t="n">
        <f aca="false">IF(AND(ISNUMBER(BM289),ISNUMBER(BM153)),IFERROR(BM289/BM153,""),"")</f>
        <v>1.25653780788456</v>
      </c>
      <c r="BN294" s="63" t="n">
        <f aca="false">IF(AND(ISNUMBER(BN289),ISNUMBER(BN153)),IFERROR(BN289/BN153,""),"")</f>
        <v>1.55720463685208</v>
      </c>
      <c r="BO294" s="63" t="n">
        <f aca="false">IF(AND(ISNUMBER(BO289),ISNUMBER(BO153)),IFERROR(BO289/BO153,""),"")</f>
        <v>1.22229573276698</v>
      </c>
      <c r="BP294" s="63" t="n">
        <f aca="false">IF(AND(ISNUMBER(BP289),ISNUMBER(BP153)),IFERROR(BP289/BP153,""),"")</f>
        <v>0.671515811543821</v>
      </c>
      <c r="BQ294" s="63" t="n">
        <f aca="false">IF(AND(ISNUMBER(BQ289),ISNUMBER(BQ153)),IFERROR(BQ289/BQ153,""),"")</f>
        <v>4.70701187521841</v>
      </c>
      <c r="BR294" s="63" t="n">
        <f aca="false">IF(AND(ISNUMBER(BR289),ISNUMBER(BR153)),IFERROR(BR289/BR153,""),"")</f>
        <v>1.28261427483891</v>
      </c>
      <c r="BS294" s="63" t="n">
        <f aca="false">IF(AND(ISNUMBER(BS289),ISNUMBER(BS153)),IFERROR(BS289/BS153,""),"")</f>
        <v>1.417133557987</v>
      </c>
      <c r="BT294" s="63" t="n">
        <f aca="false">IF(AND(ISNUMBER(BT289),ISNUMBER(BT153)),IFERROR(BT289/BT153,""),"")</f>
        <v>1.49304884203479</v>
      </c>
      <c r="BU294" s="63" t="n">
        <f aca="false">IF(AND(ISNUMBER(BU289),ISNUMBER(BU153)),IFERROR(BU289/BU153,""),"")</f>
        <v>0.684779118875631</v>
      </c>
      <c r="BV294" s="63" t="n">
        <f aca="false">IF(AND(ISNUMBER(BV289),ISNUMBER(BV153)),IFERROR(BV289/BV153,""),"")</f>
        <v>4.88142068590594</v>
      </c>
      <c r="BW294" s="63" t="n">
        <f aca="false">IF(AND(ISNUMBER(BW289),ISNUMBER(BW153)),IFERROR(BW289/BW153,""),"")</f>
        <v>0.960931168201485</v>
      </c>
      <c r="BX294" s="63" t="n">
        <f aca="false">IF(AND(ISNUMBER(BX289),ISNUMBER(BX153)),IFERROR(BX289/BX153,""),"")</f>
        <v>1.80215929953709</v>
      </c>
      <c r="BY294" s="67"/>
      <c r="BZ294" s="67"/>
      <c r="CA294" s="64" t="n">
        <f aca="false">IFERROR(CA289/CA153,"")</f>
        <v>5.60535283564801</v>
      </c>
      <c r="CB294" s="64" t="n">
        <f aca="false">IFERROR(CB289/CB153,"")</f>
        <v>6.9828791642261</v>
      </c>
      <c r="CC294" s="64" t="n">
        <f aca="false">IFERROR(CC289/CC153,"")</f>
        <v>7.8226430111068</v>
      </c>
      <c r="CD294" s="64" t="n">
        <f aca="false">IFERROR(CD289/CD153,"")</f>
        <v>8.63816113913795</v>
      </c>
      <c r="CE294" s="64" t="n">
        <f aca="false">IFERROR(CE289/CE153,"")</f>
        <v>9.50469970956704</v>
      </c>
      <c r="CF294" s="21"/>
      <c r="CH294" s="22" t="n">
        <f aca="false">IFERROR((CE294/BV294)^(1/5)-1,"n/m")</f>
        <v>0.14255846595402</v>
      </c>
      <c r="CI294" s="22" t="n">
        <f aca="false">IFERROR((BV294/AW294)^(1/5)-1,"n/m")</f>
        <v>0.0886174041518777</v>
      </c>
      <c r="CJ294" s="22" t="n">
        <f aca="false">IFERROR((BV294/X294)^(1/10)-1,"n/m")</f>
        <v>0.101792576265094</v>
      </c>
      <c r="CK294" s="22" t="n">
        <f aca="false">IFERROR((BV294/C294)^(1/19)-1,"n/m")</f>
        <v>0.115151202985301</v>
      </c>
    </row>
    <row r="295" customFormat="false" ht="15" hidden="false" customHeight="true" outlineLevel="0" collapsed="false"/>
    <row r="296" customFormat="false" ht="15" hidden="false" customHeight="true" outlineLevel="0" collapsed="false">
      <c r="B296" s="12" t="s">
        <v>491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</row>
    <row r="297" customFormat="false" ht="15" hidden="false" customHeight="true" outlineLevel="0" collapsed="false">
      <c r="B297" s="29" t="s">
        <v>492</v>
      </c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67"/>
      <c r="BZ297" s="67"/>
      <c r="CA297" s="64" t="n">
        <f aca="false">CA425</f>
        <v>155</v>
      </c>
      <c r="CB297" s="64" t="n">
        <f aca="false">CA297*(1+CB372)</f>
        <v>167.4</v>
      </c>
      <c r="CC297" s="64" t="n">
        <f aca="false">CB297*(1+CC372)</f>
        <v>180.792</v>
      </c>
      <c r="CD297" s="64" t="n">
        <f aca="false">CC297*(1+CD372)</f>
        <v>195.25536</v>
      </c>
      <c r="CE297" s="64" t="n">
        <f aca="false">CD297*(1+CE372)</f>
        <v>210.8757888</v>
      </c>
      <c r="CF297" s="21" t="s">
        <v>493</v>
      </c>
    </row>
    <row r="298" customFormat="false" ht="15" hidden="false" customHeight="true" outlineLevel="0" collapsed="false">
      <c r="B298" s="29" t="s">
        <v>494</v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8"/>
      <c r="BZ298" s="28"/>
      <c r="CA298" s="47" t="n">
        <f aca="false">CHOOSE(MATCH($CF$2,{"Bull","Base","Bear"},0),$CO$24,$CP$24,$CQ$24)</f>
        <v>400</v>
      </c>
      <c r="CB298" s="47" t="n">
        <f aca="false">-CB252</f>
        <v>1081.38206387148</v>
      </c>
      <c r="CC298" s="47" t="n">
        <f aca="false">-CC252</f>
        <v>1253.88282220514</v>
      </c>
      <c r="CD298" s="47" t="n">
        <f aca="false">-CD252</f>
        <v>1421.03398531039</v>
      </c>
      <c r="CE298" s="47" t="n">
        <f aca="false">-CE252</f>
        <v>1549.63074228917</v>
      </c>
      <c r="CF298" s="21" t="s">
        <v>495</v>
      </c>
    </row>
    <row r="299" customFormat="false" ht="15" hidden="false" customHeight="true" outlineLevel="0" collapsed="false">
      <c r="B299" s="29" t="s">
        <v>496</v>
      </c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2"/>
      <c r="AS299" s="52"/>
      <c r="AT299" s="52"/>
      <c r="AU299" s="52"/>
      <c r="AV299" s="52"/>
      <c r="AW299" s="52"/>
      <c r="AX299" s="52"/>
      <c r="AY299" s="52"/>
      <c r="AZ299" s="52"/>
      <c r="BA299" s="52"/>
      <c r="BB299" s="52"/>
      <c r="BC299" s="52"/>
      <c r="BD299" s="52"/>
      <c r="BE299" s="52"/>
      <c r="BF299" s="52"/>
      <c r="BG299" s="52"/>
      <c r="BH299" s="52"/>
      <c r="BI299" s="52"/>
      <c r="BJ299" s="52"/>
      <c r="BK299" s="52"/>
      <c r="BL299" s="52"/>
      <c r="BM299" s="52"/>
      <c r="BN299" s="52"/>
      <c r="BO299" s="52"/>
      <c r="BP299" s="52"/>
      <c r="BQ299" s="52"/>
      <c r="BR299" s="52"/>
      <c r="BS299" s="52"/>
      <c r="BT299" s="52"/>
      <c r="BU299" s="52"/>
      <c r="BV299" s="52"/>
      <c r="BW299" s="52"/>
      <c r="BX299" s="52"/>
      <c r="BY299" s="53"/>
      <c r="BZ299" s="53"/>
      <c r="CA299" s="62" t="n">
        <f aca="false">IFERROR(CA298/CA297,0)</f>
        <v>2.58064516129032</v>
      </c>
      <c r="CB299" s="62" t="n">
        <f aca="false">IFERROR(CB298/CB297,0)</f>
        <v>6.45986895980575</v>
      </c>
      <c r="CC299" s="62" t="n">
        <f aca="false">IFERROR(CC298/CC297,0)</f>
        <v>6.93549948120014</v>
      </c>
      <c r="CD299" s="62" t="n">
        <f aca="false">IFERROR(CD298/CD297,0)</f>
        <v>7.27782318145014</v>
      </c>
      <c r="CE299" s="62" t="n">
        <f aca="false">IFERROR(CE298/CE297,0)</f>
        <v>7.34854746060431</v>
      </c>
      <c r="CF299" s="21"/>
    </row>
    <row r="300" customFormat="false" ht="15" hidden="false" customHeight="true" outlineLevel="0" collapsed="false">
      <c r="B300" s="29" t="s">
        <v>497</v>
      </c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2"/>
      <c r="AS300" s="52"/>
      <c r="AT300" s="52"/>
      <c r="AU300" s="52"/>
      <c r="AV300" s="52"/>
      <c r="AW300" s="52"/>
      <c r="AX300" s="52"/>
      <c r="AY300" s="52"/>
      <c r="AZ300" s="52"/>
      <c r="BA300" s="52"/>
      <c r="BB300" s="52"/>
      <c r="BC300" s="52"/>
      <c r="BD300" s="52"/>
      <c r="BE300" s="52"/>
      <c r="BF300" s="52"/>
      <c r="BG300" s="52"/>
      <c r="BH300" s="52"/>
      <c r="BI300" s="52"/>
      <c r="BJ300" s="52"/>
      <c r="BK300" s="52"/>
      <c r="BL300" s="52"/>
      <c r="BM300" s="52"/>
      <c r="BN300" s="52"/>
      <c r="BO300" s="52"/>
      <c r="BP300" s="52"/>
      <c r="BQ300" s="52"/>
      <c r="BR300" s="52"/>
      <c r="BS300" s="52"/>
      <c r="BT300" s="52"/>
      <c r="BU300" s="52"/>
      <c r="BV300" s="52"/>
      <c r="BW300" s="52"/>
      <c r="BX300" s="52"/>
      <c r="BY300" s="53"/>
      <c r="BZ300" s="53"/>
      <c r="CA300" s="54" t="n">
        <v>0.3</v>
      </c>
      <c r="CB300" s="54" t="n">
        <v>0.6</v>
      </c>
      <c r="CC300" s="54" t="n">
        <v>0.6</v>
      </c>
      <c r="CD300" s="54" t="n">
        <v>0.6</v>
      </c>
      <c r="CE300" s="54" t="n">
        <v>0.6</v>
      </c>
      <c r="CF300" s="21"/>
    </row>
    <row r="301" customFormat="false" ht="15" hidden="false" customHeight="true" outlineLevel="0" collapsed="false">
      <c r="B301" s="29" t="s">
        <v>498</v>
      </c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52"/>
      <c r="AQ301" s="52"/>
      <c r="AR301" s="52"/>
      <c r="AS301" s="52"/>
      <c r="AT301" s="52"/>
      <c r="AU301" s="52"/>
      <c r="AV301" s="52"/>
      <c r="AW301" s="52"/>
      <c r="AX301" s="52"/>
      <c r="AY301" s="52"/>
      <c r="AZ301" s="52"/>
      <c r="BA301" s="52"/>
      <c r="BB301" s="52"/>
      <c r="BC301" s="52"/>
      <c r="BD301" s="52"/>
      <c r="BE301" s="52"/>
      <c r="BF301" s="52"/>
      <c r="BG301" s="52"/>
      <c r="BH301" s="52"/>
      <c r="BI301" s="52"/>
      <c r="BJ301" s="52"/>
      <c r="BK301" s="52"/>
      <c r="BL301" s="52"/>
      <c r="BM301" s="52"/>
      <c r="BN301" s="52"/>
      <c r="BO301" s="52"/>
      <c r="BP301" s="52"/>
      <c r="BQ301" s="52"/>
      <c r="BR301" s="52"/>
      <c r="BS301" s="52"/>
      <c r="BT301" s="52"/>
      <c r="BU301" s="52"/>
      <c r="BV301" s="52"/>
      <c r="BW301" s="52"/>
      <c r="BX301" s="52"/>
      <c r="BY301" s="53"/>
      <c r="BZ301" s="53"/>
      <c r="CA301" s="62" t="n">
        <f aca="false">BX348</f>
        <v>252.154695</v>
      </c>
      <c r="CB301" s="62" t="n">
        <f aca="false">CA302</f>
        <v>249.87404983871</v>
      </c>
      <c r="CC301" s="62" t="n">
        <f aca="false">CB302</f>
        <v>244.014180878904</v>
      </c>
      <c r="CD301" s="62" t="n">
        <f aca="false">CC302</f>
        <v>237.678681397704</v>
      </c>
      <c r="CE301" s="62" t="n">
        <f aca="false">CD302</f>
        <v>231.000858216254</v>
      </c>
      <c r="CF301" s="21" t="s">
        <v>499</v>
      </c>
    </row>
    <row r="302" customFormat="false" ht="15" hidden="false" customHeight="true" outlineLevel="0" collapsed="false">
      <c r="B302" s="29" t="s">
        <v>500</v>
      </c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52"/>
      <c r="AQ302" s="52"/>
      <c r="AR302" s="52"/>
      <c r="AS302" s="52"/>
      <c r="AT302" s="52"/>
      <c r="AU302" s="52"/>
      <c r="AV302" s="52"/>
      <c r="AW302" s="52"/>
      <c r="AX302" s="52"/>
      <c r="AY302" s="52"/>
      <c r="AZ302" s="52"/>
      <c r="BA302" s="52"/>
      <c r="BB302" s="52"/>
      <c r="BC302" s="52"/>
      <c r="BD302" s="52"/>
      <c r="BE302" s="52"/>
      <c r="BF302" s="52"/>
      <c r="BG302" s="52"/>
      <c r="BH302" s="52"/>
      <c r="BI302" s="52"/>
      <c r="BJ302" s="52"/>
      <c r="BK302" s="52"/>
      <c r="BL302" s="52"/>
      <c r="BM302" s="52"/>
      <c r="BN302" s="52"/>
      <c r="BO302" s="52"/>
      <c r="BP302" s="52"/>
      <c r="BQ302" s="52"/>
      <c r="BR302" s="52"/>
      <c r="BS302" s="52"/>
      <c r="BT302" s="52"/>
      <c r="BU302" s="52"/>
      <c r="BV302" s="52"/>
      <c r="BW302" s="52"/>
      <c r="BX302" s="52"/>
      <c r="BY302" s="53"/>
      <c r="BZ302" s="53"/>
      <c r="CA302" s="62" t="n">
        <f aca="false">CA301-CA299+CA300</f>
        <v>249.87404983871</v>
      </c>
      <c r="CB302" s="62" t="n">
        <f aca="false">CB301-CB299+CB300</f>
        <v>244.014180878904</v>
      </c>
      <c r="CC302" s="62" t="n">
        <f aca="false">CC301-CC299+CC300</f>
        <v>237.678681397704</v>
      </c>
      <c r="CD302" s="62" t="n">
        <f aca="false">CD301-CD299+CD300</f>
        <v>231.000858216254</v>
      </c>
      <c r="CE302" s="62" t="n">
        <f aca="false">CE301-CE299+CE300</f>
        <v>224.252310755649</v>
      </c>
      <c r="CF302" s="21"/>
    </row>
    <row r="303" customFormat="false" ht="15" hidden="false" customHeight="true" outlineLevel="0" collapsed="false">
      <c r="B303" s="29" t="s">
        <v>501</v>
      </c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9"/>
      <c r="BZ303" s="39"/>
      <c r="CA303" s="37" t="n">
        <f aca="false">IFERROR(CA299/CA301,"")</f>
        <v>0.0102343728372392</v>
      </c>
      <c r="CB303" s="37" t="n">
        <f aca="false">IFERROR(CB299/CB301,"")</f>
        <v>0.0258525003455761</v>
      </c>
      <c r="CC303" s="37" t="n">
        <f aca="false">IFERROR(CC299/CC301,"")</f>
        <v>0.0284225263311315</v>
      </c>
      <c r="CD303" s="37" t="n">
        <f aca="false">IFERROR(CD299/CD301,"")</f>
        <v>0.0306204289701199</v>
      </c>
      <c r="CE303" s="37" t="n">
        <f aca="false">IFERROR(CE299/CE301,"")</f>
        <v>0.0318117755810452</v>
      </c>
      <c r="CF303" s="21"/>
    </row>
    <row r="304" customFormat="false" ht="15" hidden="false" customHeight="true" outlineLevel="0" collapsed="false">
      <c r="B304" s="29" t="s">
        <v>502</v>
      </c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52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52"/>
      <c r="BJ304" s="52"/>
      <c r="BK304" s="52"/>
      <c r="BL304" s="52"/>
      <c r="BM304" s="52"/>
      <c r="BN304" s="52"/>
      <c r="BO304" s="52"/>
      <c r="BP304" s="52"/>
      <c r="BQ304" s="52"/>
      <c r="BR304" s="52"/>
      <c r="BS304" s="52"/>
      <c r="BT304" s="52"/>
      <c r="BU304" s="52"/>
      <c r="BV304" s="52"/>
      <c r="BW304" s="52"/>
      <c r="BX304" s="52"/>
      <c r="BY304" s="53"/>
      <c r="BZ304" s="53"/>
      <c r="CA304" s="62" t="n">
        <f aca="false">CA299</f>
        <v>2.58064516129032</v>
      </c>
      <c r="CB304" s="62" t="n">
        <f aca="false">CA304+CB299</f>
        <v>9.04051412109607</v>
      </c>
      <c r="CC304" s="62" t="n">
        <f aca="false">CB304+CC299</f>
        <v>15.9760136022962</v>
      </c>
      <c r="CD304" s="62" t="n">
        <f aca="false">CC304+CD299</f>
        <v>23.2538367837464</v>
      </c>
      <c r="CE304" s="62" t="n">
        <f aca="false">CD304+CE299</f>
        <v>30.6023842443507</v>
      </c>
      <c r="CF304" s="21"/>
    </row>
    <row r="305" customFormat="false" ht="15" hidden="false" customHeight="true" outlineLevel="0" collapsed="false"/>
    <row r="306" customFormat="false" ht="15" hidden="false" customHeight="true" outlineLevel="0" collapsed="false">
      <c r="B306" s="12" t="s">
        <v>503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</row>
    <row r="307" customFormat="false" ht="15" hidden="false" customHeight="true" outlineLevel="0" collapsed="false">
      <c r="B307" s="29" t="s">
        <v>504</v>
      </c>
      <c r="BY307" s="7"/>
      <c r="BZ307" s="7"/>
      <c r="CA307" s="7"/>
      <c r="CB307" s="7"/>
      <c r="CC307" s="7"/>
      <c r="CD307" s="7"/>
      <c r="CE307" s="7"/>
      <c r="CF307" s="21"/>
    </row>
    <row r="308" customFormat="false" ht="15" hidden="false" customHeight="true" outlineLevel="0" collapsed="false">
      <c r="B308" s="29" t="s">
        <v>505</v>
      </c>
      <c r="C308" s="27" t="n">
        <v>34.949</v>
      </c>
      <c r="D308" s="27" t="n">
        <v>10.298</v>
      </c>
      <c r="E308" s="27" t="n">
        <v>265.264</v>
      </c>
      <c r="F308" s="27" t="n">
        <v>9.639</v>
      </c>
      <c r="G308" s="27" t="n">
        <v>9.873</v>
      </c>
      <c r="H308" s="27" t="n">
        <v>12.643</v>
      </c>
      <c r="I308" s="27" t="n">
        <v>23.212</v>
      </c>
      <c r="J308" s="27" t="n">
        <v>14.28</v>
      </c>
      <c r="K308" s="27" t="n">
        <v>16.212</v>
      </c>
      <c r="L308" s="27" t="n">
        <v>19.281</v>
      </c>
      <c r="M308" s="27" t="n">
        <v>13.591</v>
      </c>
      <c r="N308" s="27" t="n">
        <v>13.591</v>
      </c>
      <c r="O308" s="27" t="n">
        <v>15.854</v>
      </c>
      <c r="P308" s="27" t="n">
        <v>21.404</v>
      </c>
      <c r="Q308" s="27" t="n">
        <v>13.327</v>
      </c>
      <c r="R308" s="27" t="n">
        <v>14.353</v>
      </c>
      <c r="S308" s="27" t="n">
        <v>14.353</v>
      </c>
      <c r="T308" s="27" t="n">
        <v>15.734</v>
      </c>
      <c r="U308" s="27" t="n">
        <v>15.624</v>
      </c>
      <c r="V308" s="27" t="n">
        <v>23.553</v>
      </c>
      <c r="W308" s="27" t="n">
        <v>10.974</v>
      </c>
      <c r="X308" s="27" t="n">
        <v>10.974</v>
      </c>
      <c r="Y308" s="27" t="n">
        <v>9.263</v>
      </c>
      <c r="Z308" s="27" t="n">
        <v>55.624</v>
      </c>
      <c r="AA308" s="27" t="n">
        <v>119.335</v>
      </c>
      <c r="AB308" s="27" t="n">
        <v>154.382</v>
      </c>
      <c r="AC308" s="27" t="n">
        <v>154.382</v>
      </c>
      <c r="AD308" s="27" t="n">
        <v>268.469</v>
      </c>
      <c r="AE308" s="27" t="n">
        <v>399.741</v>
      </c>
      <c r="AF308" s="27" t="n">
        <v>495.254</v>
      </c>
      <c r="AG308" s="27" t="n">
        <v>433.815</v>
      </c>
      <c r="AH308" s="27" t="n">
        <v>433.815</v>
      </c>
      <c r="AI308" s="27" t="n">
        <v>217.537</v>
      </c>
      <c r="AJ308" s="27" t="n">
        <v>145.801</v>
      </c>
      <c r="AK308" s="27" t="n">
        <v>244.389</v>
      </c>
      <c r="AL308" s="27" t="n">
        <v>319.305</v>
      </c>
      <c r="AM308" s="27" t="n">
        <v>319.305</v>
      </c>
      <c r="AN308" s="27" t="n">
        <v>499.482</v>
      </c>
      <c r="AO308" s="27" t="n">
        <v>209.209</v>
      </c>
      <c r="AP308" s="27" t="n">
        <v>303.778</v>
      </c>
      <c r="AQ308" s="27" t="n">
        <v>326.738</v>
      </c>
      <c r="AR308" s="27" t="n">
        <v>326.738</v>
      </c>
      <c r="AS308" s="27" t="n">
        <v>1195.279</v>
      </c>
      <c r="AT308" s="27" t="n">
        <v>790.551</v>
      </c>
      <c r="AU308" s="27" t="n">
        <v>859.096</v>
      </c>
      <c r="AV308" s="27" t="n">
        <v>617.294</v>
      </c>
      <c r="AW308" s="27" t="n">
        <v>617.294</v>
      </c>
      <c r="AX308" s="27" t="n">
        <v>743.464</v>
      </c>
      <c r="AY308" s="27" t="n">
        <v>727.395</v>
      </c>
      <c r="AZ308" s="27" t="n">
        <v>339.479</v>
      </c>
      <c r="BA308" s="27" t="n">
        <v>147.441</v>
      </c>
      <c r="BB308" s="27" t="n">
        <v>147.441</v>
      </c>
      <c r="BC308" s="27" t="n">
        <v>391.417</v>
      </c>
      <c r="BD308" s="27" t="n">
        <v>217.808</v>
      </c>
      <c r="BE308" s="27" t="n">
        <v>200.179</v>
      </c>
      <c r="BF308" s="27" t="n">
        <v>78.637</v>
      </c>
      <c r="BG308" s="27" t="n">
        <v>78.637</v>
      </c>
      <c r="BH308" s="27" t="n">
        <v>133.86</v>
      </c>
      <c r="BI308" s="27" t="n">
        <v>91.712</v>
      </c>
      <c r="BJ308" s="27" t="n">
        <v>96.187</v>
      </c>
      <c r="BK308" s="27" t="n">
        <v>78.399</v>
      </c>
      <c r="BL308" s="27" t="n">
        <v>78.399</v>
      </c>
      <c r="BM308" s="27" t="n">
        <v>111.985</v>
      </c>
      <c r="BN308" s="27" t="n">
        <v>78.658</v>
      </c>
      <c r="BO308" s="27" t="n">
        <v>115.265</v>
      </c>
      <c r="BP308" s="27" t="n">
        <v>62.366</v>
      </c>
      <c r="BQ308" s="27" t="n">
        <v>62.366</v>
      </c>
      <c r="BR308" s="27" t="n">
        <v>111.226</v>
      </c>
      <c r="BS308" s="27" t="n">
        <v>110.166</v>
      </c>
      <c r="BT308" s="27" t="n">
        <v>117.596</v>
      </c>
      <c r="BU308" s="27" t="n">
        <v>45.968</v>
      </c>
      <c r="BV308" s="27" t="n">
        <v>45.968</v>
      </c>
      <c r="BW308" s="27" t="n">
        <v>112.447</v>
      </c>
      <c r="BX308" s="27" t="n">
        <v>98.18</v>
      </c>
      <c r="BY308" s="28"/>
      <c r="BZ308" s="28"/>
      <c r="CA308" s="47" t="n">
        <f aca="false">CA261-N(CA312)</f>
        <v>136.602</v>
      </c>
      <c r="CB308" s="47" t="n">
        <f aca="false">CB261-N(CB312)</f>
        <v>136.602</v>
      </c>
      <c r="CC308" s="47" t="n">
        <f aca="false">CC261-N(CC312)</f>
        <v>136.602</v>
      </c>
      <c r="CD308" s="47" t="n">
        <f aca="false">CD261-N(CD312)</f>
        <v>136.602</v>
      </c>
      <c r="CE308" s="47" t="n">
        <f aca="false">CE261-N(CE312)</f>
        <v>136.602</v>
      </c>
      <c r="CF308" s="21"/>
    </row>
    <row r="309" customFormat="false" ht="15" hidden="false" customHeight="true" outlineLevel="0" collapsed="false">
      <c r="B309" s="29" t="s">
        <v>506</v>
      </c>
      <c r="C309" s="27" t="n">
        <v>100.269</v>
      </c>
      <c r="D309" s="27" t="n">
        <v>123.882</v>
      </c>
      <c r="E309" s="27" t="n">
        <v>118.456</v>
      </c>
      <c r="F309" s="27" t="n">
        <v>138.972</v>
      </c>
      <c r="G309" s="27" t="n">
        <v>152.156</v>
      </c>
      <c r="H309" s="27" t="n">
        <v>176.277</v>
      </c>
      <c r="I309" s="27" t="n">
        <v>235.762</v>
      </c>
      <c r="J309" s="27" t="n">
        <v>219.915</v>
      </c>
      <c r="K309" s="27" t="n">
        <v>240.557</v>
      </c>
      <c r="L309" s="27" t="n">
        <v>238.842</v>
      </c>
      <c r="M309" s="27" t="n">
        <v>234.001</v>
      </c>
      <c r="N309" s="27" t="n">
        <v>234.001</v>
      </c>
      <c r="O309" s="27" t="n">
        <v>228.504</v>
      </c>
      <c r="P309" s="27" t="n">
        <v>254.858</v>
      </c>
      <c r="Q309" s="27" t="n">
        <v>262.346</v>
      </c>
      <c r="R309" s="27" t="n">
        <v>259.969</v>
      </c>
      <c r="S309" s="27" t="n">
        <v>259.969</v>
      </c>
      <c r="T309" s="27" t="n">
        <v>250.431</v>
      </c>
      <c r="U309" s="27" t="n">
        <v>256.139</v>
      </c>
      <c r="V309" s="27" t="n">
        <v>255.976</v>
      </c>
      <c r="W309" s="27" t="n">
        <v>255.192</v>
      </c>
      <c r="X309" s="27" t="n">
        <v>255.192</v>
      </c>
      <c r="Y309" s="27" t="n">
        <v>236.746</v>
      </c>
      <c r="Z309" s="27" t="n">
        <v>502.833</v>
      </c>
      <c r="AA309" s="27" t="n">
        <v>498.291</v>
      </c>
      <c r="AB309" s="27" t="n">
        <v>485.138</v>
      </c>
      <c r="AC309" s="27" t="n">
        <v>485.138</v>
      </c>
      <c r="AD309" s="27" t="n">
        <v>486.413</v>
      </c>
      <c r="AE309" s="27" t="n">
        <v>547.671</v>
      </c>
      <c r="AF309" s="27" t="n">
        <v>588.534</v>
      </c>
      <c r="AG309" s="27" t="n">
        <v>554.458</v>
      </c>
      <c r="AH309" s="27" t="n">
        <v>554.458</v>
      </c>
      <c r="AI309" s="27" t="n">
        <v>555.285</v>
      </c>
      <c r="AJ309" s="27" t="n">
        <v>604.09</v>
      </c>
      <c r="AK309" s="27" t="n">
        <v>625.048</v>
      </c>
      <c r="AL309" s="27" t="n">
        <v>609.545</v>
      </c>
      <c r="AM309" s="27" t="n">
        <v>609.545</v>
      </c>
      <c r="AN309" s="27" t="n">
        <v>599.369</v>
      </c>
      <c r="AO309" s="27" t="n">
        <v>663.931</v>
      </c>
      <c r="AP309" s="27" t="n">
        <v>676.676</v>
      </c>
      <c r="AQ309" s="27" t="n">
        <v>662.808</v>
      </c>
      <c r="AR309" s="27" t="n">
        <v>662.808</v>
      </c>
      <c r="AS309" s="27" t="n">
        <v>624.389</v>
      </c>
      <c r="AT309" s="27" t="n">
        <v>608.801</v>
      </c>
      <c r="AU309" s="27" t="n">
        <v>616.63</v>
      </c>
      <c r="AV309" s="27" t="n">
        <v>630.264</v>
      </c>
      <c r="AW309" s="27" t="n">
        <v>630.264</v>
      </c>
      <c r="AX309" s="27" t="n">
        <v>608.758</v>
      </c>
      <c r="AY309" s="27" t="n">
        <v>649.561</v>
      </c>
      <c r="AZ309" s="27" t="n">
        <v>692.051</v>
      </c>
      <c r="BA309" s="27" t="n">
        <v>709.614</v>
      </c>
      <c r="BB309" s="27" t="n">
        <v>709.614</v>
      </c>
      <c r="BC309" s="27" t="n">
        <v>727.737</v>
      </c>
      <c r="BD309" s="27" t="n">
        <v>797.877</v>
      </c>
      <c r="BE309" s="27" t="n">
        <v>810.932</v>
      </c>
      <c r="BF309" s="27" t="n">
        <v>833.862</v>
      </c>
      <c r="BG309" s="27" t="n">
        <v>833.862</v>
      </c>
      <c r="BH309" s="27" t="n">
        <v>814.68</v>
      </c>
      <c r="BI309" s="27" t="n">
        <v>855.479</v>
      </c>
      <c r="BJ309" s="27" t="n">
        <v>868.093</v>
      </c>
      <c r="BK309" s="27" t="n">
        <v>856.953</v>
      </c>
      <c r="BL309" s="27" t="n">
        <v>856.953</v>
      </c>
      <c r="BM309" s="27" t="n">
        <v>896.682</v>
      </c>
      <c r="BN309" s="27" t="n">
        <v>961.492</v>
      </c>
      <c r="BO309" s="27" t="n">
        <v>990.896</v>
      </c>
      <c r="BP309" s="27" t="n">
        <v>935.027</v>
      </c>
      <c r="BQ309" s="27" t="n">
        <v>935.027</v>
      </c>
      <c r="BR309" s="27" t="n">
        <v>952.01</v>
      </c>
      <c r="BS309" s="27" t="n">
        <v>1031.911</v>
      </c>
      <c r="BT309" s="27" t="n">
        <v>1069.645</v>
      </c>
      <c r="BU309" s="27" t="n">
        <v>1024.992</v>
      </c>
      <c r="BV309" s="27" t="n">
        <v>1024.992</v>
      </c>
      <c r="BW309" s="27" t="n">
        <v>1033.086</v>
      </c>
      <c r="BX309" s="27" t="n">
        <v>1069.733</v>
      </c>
      <c r="BY309" s="28"/>
      <c r="BZ309" s="28"/>
      <c r="CA309" s="47" t="n">
        <f aca="false">BX309-((CA240-(BW240+BX240))-(CA321-BX321)-(CA323-BX323)-(CA324-BX324))</f>
        <v>1220.83220224608</v>
      </c>
      <c r="CB309" s="47" t="n">
        <f aca="false">CB128*CB351/365</f>
        <v>1296.0493772662</v>
      </c>
      <c r="CC309" s="47" t="n">
        <f aca="false">CC128*CC351/365</f>
        <v>1399.90728142806</v>
      </c>
      <c r="CD309" s="47" t="n">
        <f aca="false">CD128*CD351/365</f>
        <v>1510.73735807818</v>
      </c>
      <c r="CE309" s="47" t="n">
        <f aca="false">CE128*CE351/365</f>
        <v>1623.74618252156</v>
      </c>
      <c r="CF309" s="21" t="s">
        <v>507</v>
      </c>
    </row>
    <row r="310" customFormat="false" ht="15" hidden="false" customHeight="true" outlineLevel="0" collapsed="false">
      <c r="B310" s="29" t="s">
        <v>508</v>
      </c>
      <c r="C310" s="27" t="n">
        <v>25.015</v>
      </c>
      <c r="D310" s="27" t="n">
        <v>36.685</v>
      </c>
      <c r="E310" s="27" t="n">
        <v>45.491</v>
      </c>
      <c r="F310" s="27" t="n">
        <v>51.243</v>
      </c>
      <c r="G310" s="27" t="n">
        <v>53.532</v>
      </c>
      <c r="H310" s="27" t="n">
        <v>60.338</v>
      </c>
      <c r="I310" s="27" t="n">
        <v>103.512</v>
      </c>
      <c r="J310" s="27" t="n">
        <v>68.895</v>
      </c>
      <c r="K310" s="27" t="n">
        <v>75.972</v>
      </c>
      <c r="L310" s="27" t="n">
        <v>71.357</v>
      </c>
      <c r="M310" s="27" t="n">
        <v>80.913</v>
      </c>
      <c r="N310" s="27" t="n">
        <v>80.913</v>
      </c>
      <c r="O310" s="27" t="n">
        <v>65.159</v>
      </c>
      <c r="P310" s="27" t="n">
        <v>72.424</v>
      </c>
      <c r="Q310" s="27" t="n">
        <v>84.846</v>
      </c>
      <c r="R310" s="27" t="n">
        <v>91.822</v>
      </c>
      <c r="S310" s="27" t="n">
        <v>91.822</v>
      </c>
      <c r="T310" s="27" t="n">
        <v>70.31</v>
      </c>
      <c r="U310" s="27" t="n">
        <v>70.653</v>
      </c>
      <c r="V310" s="27" t="n">
        <v>81.395</v>
      </c>
      <c r="W310" s="27" t="n">
        <v>96.261</v>
      </c>
      <c r="X310" s="27" t="n">
        <v>96.261</v>
      </c>
      <c r="Y310" s="27" t="n">
        <v>75.144</v>
      </c>
      <c r="Z310" s="27" t="n">
        <v>175.611</v>
      </c>
      <c r="AA310" s="27" t="n">
        <v>167.007</v>
      </c>
      <c r="AB310" s="27" t="n">
        <v>193.049</v>
      </c>
      <c r="AC310" s="27" t="n">
        <v>193.049</v>
      </c>
      <c r="AD310" s="27" t="n">
        <v>122.461</v>
      </c>
      <c r="AE310" s="27" t="n">
        <v>101.784</v>
      </c>
      <c r="AF310" s="27" t="n">
        <v>109.155</v>
      </c>
      <c r="AG310" s="27" t="n">
        <v>188.595</v>
      </c>
      <c r="AH310" s="27" t="n">
        <v>188.595</v>
      </c>
      <c r="AI310" s="27" t="n">
        <v>196.827</v>
      </c>
      <c r="AJ310" s="27" t="n">
        <v>168.484</v>
      </c>
      <c r="AK310" s="27" t="n">
        <v>153.621</v>
      </c>
      <c r="AL310" s="27" t="n">
        <v>164.053</v>
      </c>
      <c r="AM310" s="27" t="n">
        <v>164.053</v>
      </c>
      <c r="AN310" s="27" t="n">
        <v>144.006</v>
      </c>
      <c r="AO310" s="27" t="n">
        <v>117.454</v>
      </c>
      <c r="AP310" s="27" t="n">
        <v>124.836</v>
      </c>
      <c r="AQ310" s="27" t="n">
        <v>141.052</v>
      </c>
      <c r="AR310" s="27" t="n">
        <v>141.052</v>
      </c>
      <c r="AS310" s="27" t="n">
        <v>142.553</v>
      </c>
      <c r="AT310" s="27" t="n">
        <v>105.574</v>
      </c>
      <c r="AU310" s="27" t="n">
        <v>115.69</v>
      </c>
      <c r="AV310" s="27" t="n">
        <v>160.714</v>
      </c>
      <c r="AW310" s="27" t="n">
        <v>160.714</v>
      </c>
      <c r="AX310" s="27" t="n">
        <v>151.769</v>
      </c>
      <c r="AY310" s="27" t="n">
        <v>129.487</v>
      </c>
      <c r="AZ310" s="27" t="n">
        <v>128.758</v>
      </c>
      <c r="BA310" s="27" t="n">
        <v>175.722</v>
      </c>
      <c r="BB310" s="27" t="n">
        <v>175.722</v>
      </c>
      <c r="BC310" s="27" t="n">
        <v>293.625</v>
      </c>
      <c r="BD310" s="27" t="n">
        <v>242.05</v>
      </c>
      <c r="BE310" s="27" t="n">
        <v>219.203</v>
      </c>
      <c r="BF310" s="27" t="n">
        <v>205.146</v>
      </c>
      <c r="BG310" s="27" t="n">
        <v>205.146</v>
      </c>
      <c r="BH310" s="27" t="n">
        <v>185.718</v>
      </c>
      <c r="BI310" s="27" t="n">
        <v>164.485</v>
      </c>
      <c r="BJ310" s="27" t="n">
        <v>187.442</v>
      </c>
      <c r="BK310" s="27" t="n">
        <v>206.433</v>
      </c>
      <c r="BL310" s="27" t="n">
        <v>206.433</v>
      </c>
      <c r="BM310" s="27" t="n">
        <v>208.387</v>
      </c>
      <c r="BN310" s="27" t="n">
        <v>195.557</v>
      </c>
      <c r="BO310" s="27" t="n">
        <v>248.971</v>
      </c>
      <c r="BP310" s="27" t="n">
        <v>229.519</v>
      </c>
      <c r="BQ310" s="27" t="n">
        <v>229.519</v>
      </c>
      <c r="BR310" s="27" t="n">
        <v>217.802</v>
      </c>
      <c r="BS310" s="27" t="n">
        <v>207.662</v>
      </c>
      <c r="BT310" s="27" t="n">
        <v>216.399</v>
      </c>
      <c r="BU310" s="27" t="n">
        <v>240.603</v>
      </c>
      <c r="BV310" s="27" t="n">
        <v>240.603</v>
      </c>
      <c r="BW310" s="27" t="n">
        <v>230.786</v>
      </c>
      <c r="BX310" s="27" t="n">
        <v>231.225</v>
      </c>
      <c r="BY310" s="28"/>
      <c r="BZ310" s="28"/>
      <c r="CA310" s="47" t="n">
        <f aca="false">BX310</f>
        <v>231.225</v>
      </c>
      <c r="CB310" s="47" t="n">
        <f aca="false">CA310</f>
        <v>231.225</v>
      </c>
      <c r="CC310" s="47" t="n">
        <f aca="false">CB310</f>
        <v>231.225</v>
      </c>
      <c r="CD310" s="47" t="n">
        <f aca="false">CC310</f>
        <v>231.225</v>
      </c>
      <c r="CE310" s="47" t="n">
        <f aca="false">CD310</f>
        <v>231.225</v>
      </c>
      <c r="CF310" s="21"/>
    </row>
    <row r="311" customFormat="false" ht="15" hidden="false" customHeight="true" outlineLevel="0" collapsed="false">
      <c r="B311" s="18" t="s">
        <v>509</v>
      </c>
      <c r="C311" s="32" t="n">
        <f aca="false">IF(ISNUMBER(C308),SUM(C308:C310),"")</f>
        <v>160.233</v>
      </c>
      <c r="D311" s="32" t="n">
        <f aca="false">IF(ISNUMBER(D308),SUM(D308:D310),"")</f>
        <v>170.865</v>
      </c>
      <c r="E311" s="32" t="n">
        <f aca="false">IF(ISNUMBER(E308),SUM(E308:E310),"")</f>
        <v>429.211</v>
      </c>
      <c r="F311" s="32" t="n">
        <f aca="false">IF(ISNUMBER(F308),SUM(F308:F310),"")</f>
        <v>199.854</v>
      </c>
      <c r="G311" s="32" t="n">
        <f aca="false">IF(ISNUMBER(G308),SUM(G308:G310),"")</f>
        <v>215.561</v>
      </c>
      <c r="H311" s="32" t="n">
        <f aca="false">IF(ISNUMBER(H308),SUM(H308:H310),"")</f>
        <v>249.258</v>
      </c>
      <c r="I311" s="32" t="n">
        <f aca="false">IF(ISNUMBER(I308),SUM(I308:I310),"")</f>
        <v>362.486</v>
      </c>
      <c r="J311" s="32" t="n">
        <f aca="false">IF(ISNUMBER(J308),SUM(J308:J310),"")</f>
        <v>303.09</v>
      </c>
      <c r="K311" s="32" t="n">
        <f aca="false">IF(ISNUMBER(K308),SUM(K308:K310),"")</f>
        <v>332.741</v>
      </c>
      <c r="L311" s="32" t="n">
        <f aca="false">IF(ISNUMBER(L308),SUM(L308:L310),"")</f>
        <v>329.48</v>
      </c>
      <c r="M311" s="32" t="n">
        <f aca="false">IF(ISNUMBER(M308),SUM(M308:M310),"")</f>
        <v>328.505</v>
      </c>
      <c r="N311" s="32" t="n">
        <f aca="false">IF(ISNUMBER(N308),SUM(N308:N310),"")</f>
        <v>328.505</v>
      </c>
      <c r="O311" s="32" t="n">
        <f aca="false">IF(ISNUMBER(O308),SUM(O308:O310),"")</f>
        <v>309.517</v>
      </c>
      <c r="P311" s="32" t="n">
        <f aca="false">IF(ISNUMBER(P308),SUM(P308:P310),"")</f>
        <v>348.686</v>
      </c>
      <c r="Q311" s="32" t="n">
        <f aca="false">IF(ISNUMBER(Q308),SUM(Q308:Q310),"")</f>
        <v>360.519</v>
      </c>
      <c r="R311" s="32" t="n">
        <f aca="false">IF(ISNUMBER(R308),SUM(R308:R310),"")</f>
        <v>366.144</v>
      </c>
      <c r="S311" s="32" t="n">
        <f aca="false">IF(ISNUMBER(S308),SUM(S308:S310),"")</f>
        <v>366.144</v>
      </c>
      <c r="T311" s="32" t="n">
        <f aca="false">IF(ISNUMBER(T308),SUM(T308:T310),"")</f>
        <v>336.475</v>
      </c>
      <c r="U311" s="32" t="n">
        <f aca="false">IF(ISNUMBER(U308),SUM(U308:U310),"")</f>
        <v>342.416</v>
      </c>
      <c r="V311" s="32" t="n">
        <f aca="false">IF(ISNUMBER(V308),SUM(V308:V310),"")</f>
        <v>360.924</v>
      </c>
      <c r="W311" s="32" t="n">
        <f aca="false">IF(ISNUMBER(W308),SUM(W308:W310),"")</f>
        <v>362.427</v>
      </c>
      <c r="X311" s="32" t="n">
        <f aca="false">IF(ISNUMBER(X308),SUM(X308:X310),"")</f>
        <v>362.427</v>
      </c>
      <c r="Y311" s="32" t="n">
        <f aca="false">IF(ISNUMBER(Y308),SUM(Y308:Y310),"")</f>
        <v>321.153</v>
      </c>
      <c r="Z311" s="32" t="n">
        <f aca="false">IF(ISNUMBER(Z308),SUM(Z308:Z310),"")</f>
        <v>734.068</v>
      </c>
      <c r="AA311" s="32" t="n">
        <f aca="false">IF(ISNUMBER(AA308),SUM(AA308:AA310),"")</f>
        <v>784.633</v>
      </c>
      <c r="AB311" s="32" t="n">
        <f aca="false">IF(ISNUMBER(AB308),SUM(AB308:AB310),"")</f>
        <v>832.569</v>
      </c>
      <c r="AC311" s="32" t="n">
        <f aca="false">IF(ISNUMBER(AC308),SUM(AC308:AC310),"")</f>
        <v>832.569</v>
      </c>
      <c r="AD311" s="32" t="n">
        <f aca="false">IF(ISNUMBER(AD308),SUM(AD308:AD310),"")</f>
        <v>877.343</v>
      </c>
      <c r="AE311" s="32" t="n">
        <f aca="false">IF(ISNUMBER(AE308),SUM(AE308:AE310),"")</f>
        <v>1049.196</v>
      </c>
      <c r="AF311" s="32" t="n">
        <f aca="false">IF(ISNUMBER(AF308),SUM(AF308:AF310),"")</f>
        <v>1192.943</v>
      </c>
      <c r="AG311" s="32" t="n">
        <f aca="false">IF(ISNUMBER(AG308),SUM(AG308:AG310),"")</f>
        <v>1176.868</v>
      </c>
      <c r="AH311" s="32" t="n">
        <f aca="false">IF(ISNUMBER(AH308),SUM(AH308:AH310),"")</f>
        <v>1176.868</v>
      </c>
      <c r="AI311" s="32" t="n">
        <f aca="false">IF(ISNUMBER(AI308),SUM(AI308:AI310),"")</f>
        <v>969.649</v>
      </c>
      <c r="AJ311" s="32" t="n">
        <f aca="false">IF(ISNUMBER(AJ308),SUM(AJ308:AJ310),"")</f>
        <v>918.375</v>
      </c>
      <c r="AK311" s="32" t="n">
        <f aca="false">IF(ISNUMBER(AK308),SUM(AK308:AK310),"")</f>
        <v>1023.058</v>
      </c>
      <c r="AL311" s="32" t="n">
        <f aca="false">IF(ISNUMBER(AL308),SUM(AL308:AL310),"")</f>
        <v>1092.903</v>
      </c>
      <c r="AM311" s="32" t="n">
        <f aca="false">IF(ISNUMBER(AM308),SUM(AM308:AM310),"")</f>
        <v>1092.903</v>
      </c>
      <c r="AN311" s="32" t="n">
        <f aca="false">IF(ISNUMBER(AN308),SUM(AN308:AN310),"")</f>
        <v>1242.857</v>
      </c>
      <c r="AO311" s="32" t="n">
        <f aca="false">IF(ISNUMBER(AO308),SUM(AO308:AO310),"")</f>
        <v>990.594</v>
      </c>
      <c r="AP311" s="32" t="n">
        <f aca="false">IF(ISNUMBER(AP308),SUM(AP308:AP310),"")</f>
        <v>1105.29</v>
      </c>
      <c r="AQ311" s="32" t="n">
        <f aca="false">IF(ISNUMBER(AQ308),SUM(AQ308:AQ310),"")</f>
        <v>1130.598</v>
      </c>
      <c r="AR311" s="32" t="n">
        <f aca="false">IF(ISNUMBER(AR308),SUM(AR308:AR310),"")</f>
        <v>1130.598</v>
      </c>
      <c r="AS311" s="32" t="n">
        <f aca="false">IF(ISNUMBER(AS308),SUM(AS308:AS310),"")</f>
        <v>1962.221</v>
      </c>
      <c r="AT311" s="32" t="n">
        <f aca="false">IF(ISNUMBER(AT308),SUM(AT308:AT310),"")</f>
        <v>1504.926</v>
      </c>
      <c r="AU311" s="32" t="n">
        <f aca="false">IF(ISNUMBER(AU308),SUM(AU308:AU310),"")</f>
        <v>1591.416</v>
      </c>
      <c r="AV311" s="32" t="n">
        <f aca="false">IF(ISNUMBER(AV308),SUM(AV308:AV310),"")</f>
        <v>1408.272</v>
      </c>
      <c r="AW311" s="32" t="n">
        <f aca="false">IF(ISNUMBER(AW308),SUM(AW308:AW310),"")</f>
        <v>1408.272</v>
      </c>
      <c r="AX311" s="32" t="n">
        <f aca="false">IF(ISNUMBER(AX308),SUM(AX308:AX310),"")</f>
        <v>1503.991</v>
      </c>
      <c r="AY311" s="32" t="n">
        <f aca="false">IF(ISNUMBER(AY308),SUM(AY308:AY310),"")</f>
        <v>1506.443</v>
      </c>
      <c r="AZ311" s="32" t="n">
        <f aca="false">IF(ISNUMBER(AZ308),SUM(AZ308:AZ310),"")</f>
        <v>1160.288</v>
      </c>
      <c r="BA311" s="32" t="n">
        <f aca="false">IF(ISNUMBER(BA308),SUM(BA308:BA310),"")</f>
        <v>1032.777</v>
      </c>
      <c r="BB311" s="32" t="n">
        <f aca="false">IF(ISNUMBER(BB308),SUM(BB308:BB310),"")</f>
        <v>1032.777</v>
      </c>
      <c r="BC311" s="32" t="n">
        <f aca="false">IF(ISNUMBER(BC308),SUM(BC308:BC310),"")</f>
        <v>1412.779</v>
      </c>
      <c r="BD311" s="32" t="n">
        <f aca="false">IF(ISNUMBER(BD308),SUM(BD308:BD310),"")</f>
        <v>1257.735</v>
      </c>
      <c r="BE311" s="32" t="n">
        <f aca="false">IF(ISNUMBER(BE308),SUM(BE308:BE310),"")</f>
        <v>1230.314</v>
      </c>
      <c r="BF311" s="32" t="n">
        <f aca="false">IF(ISNUMBER(BF308),SUM(BF308:BF310),"")</f>
        <v>1117.645</v>
      </c>
      <c r="BG311" s="32" t="n">
        <f aca="false">IF(ISNUMBER(BG308),SUM(BG308:BG310),"")</f>
        <v>1117.645</v>
      </c>
      <c r="BH311" s="32" t="n">
        <f aca="false">IF(ISNUMBER(BH308),SUM(BH308:BH310),"")</f>
        <v>1134.258</v>
      </c>
      <c r="BI311" s="32" t="n">
        <f aca="false">IF(ISNUMBER(BI308),SUM(BI308:BI310),"")</f>
        <v>1111.676</v>
      </c>
      <c r="BJ311" s="32" t="n">
        <f aca="false">IF(ISNUMBER(BJ308),SUM(BJ308:BJ310),"")</f>
        <v>1151.722</v>
      </c>
      <c r="BK311" s="32" t="n">
        <f aca="false">IF(ISNUMBER(BK308),SUM(BK308:BK310),"")</f>
        <v>1141.785</v>
      </c>
      <c r="BL311" s="32" t="n">
        <f aca="false">IF(ISNUMBER(BL308),SUM(BL308:BL310),"")</f>
        <v>1141.785</v>
      </c>
      <c r="BM311" s="32" t="n">
        <f aca="false">IF(ISNUMBER(BM308),SUM(BM308:BM310),"")</f>
        <v>1217.054</v>
      </c>
      <c r="BN311" s="32" t="n">
        <f aca="false">IF(ISNUMBER(BN308),SUM(BN308:BN310),"")</f>
        <v>1235.707</v>
      </c>
      <c r="BO311" s="32" t="n">
        <f aca="false">IF(ISNUMBER(BO308),SUM(BO308:BO310),"")</f>
        <v>1355.132</v>
      </c>
      <c r="BP311" s="32" t="n">
        <f aca="false">IF(ISNUMBER(BP308),SUM(BP308:BP310),"")</f>
        <v>1226.912</v>
      </c>
      <c r="BQ311" s="32" t="n">
        <f aca="false">IF(ISNUMBER(BQ308),SUM(BQ308:BQ310),"")</f>
        <v>1226.912</v>
      </c>
      <c r="BR311" s="32" t="n">
        <f aca="false">IF(ISNUMBER(BR308),SUM(BR308:BR310),"")</f>
        <v>1281.038</v>
      </c>
      <c r="BS311" s="32" t="n">
        <f aca="false">IF(ISNUMBER(BS308),SUM(BS308:BS310),"")</f>
        <v>1349.739</v>
      </c>
      <c r="BT311" s="32" t="n">
        <f aca="false">IF(ISNUMBER(BT308),SUM(BT308:BT310),"")</f>
        <v>1403.64</v>
      </c>
      <c r="BU311" s="32" t="n">
        <f aca="false">IF(ISNUMBER(BU308),SUM(BU308:BU310),"")</f>
        <v>1311.563</v>
      </c>
      <c r="BV311" s="32" t="n">
        <f aca="false">IF(ISNUMBER(BV308),SUM(BV308:BV310),"")</f>
        <v>1311.563</v>
      </c>
      <c r="BW311" s="32" t="n">
        <f aca="false">IF(ISNUMBER(BW308),SUM(BW308:BW310),"")</f>
        <v>1376.319</v>
      </c>
      <c r="BX311" s="32" t="n">
        <f aca="false">IF(ISNUMBER(BX308),SUM(BX308:BX310),"")</f>
        <v>1399.138</v>
      </c>
      <c r="BY311" s="51"/>
      <c r="BZ311" s="51"/>
      <c r="CA311" s="20" t="n">
        <f aca="false">IF(ISNUMBER(CA308),SUM(CA308:CA310),"")</f>
        <v>1588.65920224608</v>
      </c>
      <c r="CB311" s="20" t="n">
        <f aca="false">IF(ISNUMBER(CB308),SUM(CB308:CB310),"")</f>
        <v>1663.8763772662</v>
      </c>
      <c r="CC311" s="20" t="n">
        <f aca="false">IF(ISNUMBER(CC308),SUM(CC308:CC310),"")</f>
        <v>1767.73428142806</v>
      </c>
      <c r="CD311" s="20" t="n">
        <f aca="false">IF(ISNUMBER(CD308),SUM(CD308:CD310),"")</f>
        <v>1878.56435807818</v>
      </c>
      <c r="CE311" s="20" t="n">
        <f aca="false">IF(ISNUMBER(CE308),SUM(CE308:CE310),"")</f>
        <v>1991.57318252156</v>
      </c>
      <c r="CF311" s="21"/>
    </row>
    <row r="312" customFormat="false" ht="15" hidden="false" customHeight="true" outlineLevel="0" collapsed="false">
      <c r="B312" s="29" t="s">
        <v>510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7" t="n">
        <v>77.008</v>
      </c>
      <c r="AJ312" s="27" t="n">
        <v>80.045</v>
      </c>
      <c r="AK312" s="27" t="n">
        <v>83.399</v>
      </c>
      <c r="AL312" s="27" t="n">
        <v>84.661</v>
      </c>
      <c r="AM312" s="27" t="n">
        <v>84.661</v>
      </c>
      <c r="AN312" s="27" t="n">
        <v>85.2</v>
      </c>
      <c r="AO312" s="27" t="n">
        <v>84.527</v>
      </c>
      <c r="AP312" s="27" t="n">
        <v>92.05</v>
      </c>
      <c r="AQ312" s="27" t="n">
        <v>96.483</v>
      </c>
      <c r="AR312" s="27" t="n">
        <v>96.483</v>
      </c>
      <c r="AS312" s="27" t="n">
        <v>88.927</v>
      </c>
      <c r="AT312" s="27" t="n">
        <v>92.873</v>
      </c>
      <c r="AU312" s="27" t="n">
        <v>96.519</v>
      </c>
      <c r="AV312" s="27" t="n">
        <v>97.095</v>
      </c>
      <c r="AW312" s="27" t="n">
        <v>97.095</v>
      </c>
      <c r="AX312" s="27" t="n">
        <v>105.689</v>
      </c>
      <c r="AY312" s="27" t="n">
        <v>110.367</v>
      </c>
      <c r="AZ312" s="27" t="n">
        <v>118.893</v>
      </c>
      <c r="BA312" s="27" t="n">
        <v>72.174</v>
      </c>
      <c r="BB312" s="27" t="n">
        <v>72.174</v>
      </c>
      <c r="BC312" s="27" t="n">
        <v>71.867</v>
      </c>
      <c r="BD312" s="27" t="n">
        <v>106.736</v>
      </c>
      <c r="BE312" s="27" t="n">
        <v>108.194</v>
      </c>
      <c r="BF312" s="27" t="n">
        <v>102.727</v>
      </c>
      <c r="BG312" s="27" t="n">
        <v>102.727</v>
      </c>
      <c r="BH312" s="27" t="n">
        <v>106.625</v>
      </c>
      <c r="BI312" s="27" t="n">
        <v>112.623</v>
      </c>
      <c r="BJ312" s="27" t="n">
        <v>102.844</v>
      </c>
      <c r="BK312" s="27" t="n">
        <v>105.639</v>
      </c>
      <c r="BL312" s="27" t="n">
        <v>105.639</v>
      </c>
      <c r="BM312" s="27" t="n">
        <v>105.683</v>
      </c>
      <c r="BN312" s="27" t="n">
        <v>113.748</v>
      </c>
      <c r="BO312" s="27" t="n">
        <v>123.243</v>
      </c>
      <c r="BP312" s="27" t="n">
        <v>135.807</v>
      </c>
      <c r="BQ312" s="27" t="n">
        <v>135.807</v>
      </c>
      <c r="BR312" s="27" t="n">
        <v>138.22</v>
      </c>
      <c r="BS312" s="27" t="n">
        <v>157.305</v>
      </c>
      <c r="BT312" s="27" t="n">
        <v>172.989</v>
      </c>
      <c r="BU312" s="27" t="n">
        <v>183.612</v>
      </c>
      <c r="BV312" s="27" t="n">
        <v>183.612</v>
      </c>
      <c r="BW312" s="27" t="n">
        <v>210.199</v>
      </c>
      <c r="BX312" s="27" t="n">
        <v>163.398</v>
      </c>
      <c r="BY312" s="28"/>
      <c r="BZ312" s="28"/>
      <c r="CA312" s="47" t="n">
        <f aca="false">BX312</f>
        <v>163.398</v>
      </c>
      <c r="CB312" s="47" t="n">
        <f aca="false">CA312</f>
        <v>163.398</v>
      </c>
      <c r="CC312" s="47" t="n">
        <f aca="false">CB312</f>
        <v>163.398</v>
      </c>
      <c r="CD312" s="47" t="n">
        <f aca="false">CC312</f>
        <v>163.398</v>
      </c>
      <c r="CE312" s="47" t="n">
        <f aca="false">CD312</f>
        <v>163.398</v>
      </c>
      <c r="CF312" s="21"/>
    </row>
    <row r="313" customFormat="false" ht="15" hidden="false" customHeight="true" outlineLevel="0" collapsed="false">
      <c r="B313" s="29" t="s">
        <v>511</v>
      </c>
      <c r="C313" s="27" t="n">
        <v>15.917</v>
      </c>
      <c r="D313" s="27" t="n">
        <v>19.3</v>
      </c>
      <c r="E313" s="27" t="n">
        <v>23.009</v>
      </c>
      <c r="F313" s="27" t="n">
        <v>27.377</v>
      </c>
      <c r="G313" s="27" t="n">
        <v>30.441</v>
      </c>
      <c r="H313" s="27" t="n">
        <v>30.544</v>
      </c>
      <c r="I313" s="27" t="n">
        <v>34.889</v>
      </c>
      <c r="J313" s="27" t="n">
        <v>35.002</v>
      </c>
      <c r="K313" s="27" t="n">
        <v>35.166</v>
      </c>
      <c r="L313" s="27" t="n">
        <v>35.265</v>
      </c>
      <c r="M313" s="27" t="n">
        <v>35.921</v>
      </c>
      <c r="N313" s="27" t="n">
        <v>35.921</v>
      </c>
      <c r="O313" s="27" t="n">
        <v>37.99</v>
      </c>
      <c r="P313" s="27" t="n">
        <v>38.171</v>
      </c>
      <c r="Q313" s="27" t="n">
        <v>38.636</v>
      </c>
      <c r="R313" s="27" t="n">
        <v>40.841</v>
      </c>
      <c r="S313" s="27" t="n">
        <v>40.841</v>
      </c>
      <c r="T313" s="27" t="n">
        <v>42.161</v>
      </c>
      <c r="U313" s="27" t="n">
        <v>41.737</v>
      </c>
      <c r="V313" s="27" t="n">
        <v>42.505</v>
      </c>
      <c r="W313" s="27" t="n">
        <v>46.232</v>
      </c>
      <c r="X313" s="27" t="n">
        <v>46.232</v>
      </c>
      <c r="Y313" s="27" t="n">
        <v>46.101</v>
      </c>
      <c r="Z313" s="27" t="n">
        <v>62.985</v>
      </c>
      <c r="AA313" s="27" t="n">
        <v>63.314</v>
      </c>
      <c r="AB313" s="27" t="n">
        <v>63.406</v>
      </c>
      <c r="AC313" s="27" t="n">
        <v>63.406</v>
      </c>
      <c r="AD313" s="27" t="n">
        <v>59.193</v>
      </c>
      <c r="AE313" s="27" t="n">
        <v>60.393</v>
      </c>
      <c r="AF313" s="27" t="n">
        <v>59.192</v>
      </c>
      <c r="AG313" s="27" t="n">
        <v>167.012</v>
      </c>
      <c r="AH313" s="27" t="n">
        <v>167.012</v>
      </c>
      <c r="AI313" s="27" t="n">
        <v>44.23</v>
      </c>
      <c r="AJ313" s="27" t="n">
        <v>44.049</v>
      </c>
      <c r="AK313" s="27" t="n">
        <v>44.217</v>
      </c>
      <c r="AL313" s="27" t="n">
        <v>47.486</v>
      </c>
      <c r="AM313" s="27" t="n">
        <v>47.486</v>
      </c>
      <c r="AN313" s="27" t="n">
        <v>47.926</v>
      </c>
      <c r="AO313" s="27" t="n">
        <v>54.515</v>
      </c>
      <c r="AP313" s="27" t="n">
        <v>50.602</v>
      </c>
      <c r="AQ313" s="27" t="n">
        <v>51.179</v>
      </c>
      <c r="AR313" s="27" t="n">
        <v>51.179</v>
      </c>
      <c r="AS313" s="27" t="n">
        <v>45.856</v>
      </c>
      <c r="AT313" s="27" t="n">
        <v>46.391</v>
      </c>
      <c r="AU313" s="27" t="n">
        <v>47.161</v>
      </c>
      <c r="AV313" s="27" t="n">
        <v>57.516</v>
      </c>
      <c r="AW313" s="27" t="n">
        <v>57.516</v>
      </c>
      <c r="AX313" s="27" t="n">
        <v>56.62</v>
      </c>
      <c r="AY313" s="27" t="n">
        <v>59.825</v>
      </c>
      <c r="AZ313" s="27" t="n">
        <v>58.43</v>
      </c>
      <c r="BA313" s="27" t="n">
        <v>59.014</v>
      </c>
      <c r="BB313" s="27" t="n">
        <v>59.014</v>
      </c>
      <c r="BC313" s="27" t="n">
        <v>59.449</v>
      </c>
      <c r="BD313" s="27" t="n">
        <v>56.234</v>
      </c>
      <c r="BE313" s="27" t="n">
        <v>55.922</v>
      </c>
      <c r="BF313" s="27" t="n">
        <v>68.099</v>
      </c>
      <c r="BG313" s="27" t="n">
        <v>68.099</v>
      </c>
      <c r="BH313" s="27" t="n">
        <v>74.358</v>
      </c>
      <c r="BI313" s="27" t="n">
        <v>73.075</v>
      </c>
      <c r="BJ313" s="27" t="n">
        <v>75.99</v>
      </c>
      <c r="BK313" s="27" t="n">
        <v>70.35</v>
      </c>
      <c r="BL313" s="27" t="n">
        <v>70.35</v>
      </c>
      <c r="BM313" s="27" t="n">
        <v>74.655</v>
      </c>
      <c r="BN313" s="27" t="n">
        <v>75.49</v>
      </c>
      <c r="BO313" s="27" t="n">
        <v>79.455</v>
      </c>
      <c r="BP313" s="27" t="n">
        <v>78.126</v>
      </c>
      <c r="BQ313" s="27" t="n">
        <v>78.126</v>
      </c>
      <c r="BR313" s="27" t="n">
        <v>74.16</v>
      </c>
      <c r="BS313" s="27" t="n">
        <v>77.784</v>
      </c>
      <c r="BT313" s="27" t="n">
        <v>80.002</v>
      </c>
      <c r="BU313" s="27" t="n">
        <v>80.757</v>
      </c>
      <c r="BV313" s="27" t="n">
        <v>80.757</v>
      </c>
      <c r="BW313" s="27" t="n">
        <v>80.397</v>
      </c>
      <c r="BX313" s="27" t="n">
        <v>72.781</v>
      </c>
      <c r="BY313" s="28"/>
      <c r="BZ313" s="28"/>
      <c r="CA313" s="47" t="n">
        <f aca="false">BX313</f>
        <v>72.781</v>
      </c>
      <c r="CB313" s="47" t="n">
        <f aca="false">CA313</f>
        <v>72.781</v>
      </c>
      <c r="CC313" s="47" t="n">
        <f aca="false">CB313</f>
        <v>72.781</v>
      </c>
      <c r="CD313" s="47" t="n">
        <f aca="false">CC313</f>
        <v>72.781</v>
      </c>
      <c r="CE313" s="47" t="n">
        <f aca="false">CD313</f>
        <v>72.781</v>
      </c>
      <c r="CF313" s="21"/>
    </row>
    <row r="314" customFormat="false" ht="15" hidden="false" customHeight="true" outlineLevel="0" collapsed="false">
      <c r="B314" s="29" t="s">
        <v>512</v>
      </c>
      <c r="C314" s="27" t="n">
        <v>736.428</v>
      </c>
      <c r="D314" s="27" t="n">
        <v>865.33</v>
      </c>
      <c r="E314" s="27" t="n">
        <v>984.124</v>
      </c>
      <c r="F314" s="27" t="n">
        <v>1308.392</v>
      </c>
      <c r="G314" s="27" t="n">
        <v>1337.476</v>
      </c>
      <c r="H314" s="27" t="n">
        <v>1450.469</v>
      </c>
      <c r="I314" s="27" t="n">
        <v>2457.606</v>
      </c>
      <c r="J314" s="27" t="n">
        <v>2436.035</v>
      </c>
      <c r="K314" s="27" t="n">
        <v>2427.985</v>
      </c>
      <c r="L314" s="27" t="n">
        <v>2424.716</v>
      </c>
      <c r="M314" s="27" t="n">
        <v>2450.649</v>
      </c>
      <c r="N314" s="27" t="n">
        <v>2450.649</v>
      </c>
      <c r="O314" s="27" t="n">
        <v>2454.902</v>
      </c>
      <c r="P314" s="27" t="n">
        <v>2446.043</v>
      </c>
      <c r="Q314" s="27" t="n">
        <v>2450.067</v>
      </c>
      <c r="R314" s="27" t="n">
        <v>2594.205</v>
      </c>
      <c r="S314" s="27" t="n">
        <v>2594.205</v>
      </c>
      <c r="T314" s="27" t="n">
        <v>2597.232</v>
      </c>
      <c r="U314" s="27" t="n">
        <v>2598.865</v>
      </c>
      <c r="V314" s="27" t="n">
        <v>2555.254</v>
      </c>
      <c r="W314" s="27" t="n">
        <v>2738.288</v>
      </c>
      <c r="X314" s="27" t="n">
        <v>2738.288</v>
      </c>
      <c r="Y314" s="27" t="n">
        <v>2718.194</v>
      </c>
      <c r="Z314" s="27" t="n">
        <v>4788.084</v>
      </c>
      <c r="AA314" s="27" t="n">
        <v>4773.096</v>
      </c>
      <c r="AB314" s="27" t="n">
        <v>4738.055</v>
      </c>
      <c r="AC314" s="27" t="n">
        <v>4738.055</v>
      </c>
      <c r="AD314" s="27" t="n">
        <v>4721.669</v>
      </c>
      <c r="AE314" s="27" t="n">
        <v>4729.335</v>
      </c>
      <c r="AF314" s="27" t="n">
        <v>4783.928</v>
      </c>
      <c r="AG314" s="27" t="n">
        <v>4820.934</v>
      </c>
      <c r="AH314" s="27" t="n">
        <v>4820.934</v>
      </c>
      <c r="AI314" s="27" t="n">
        <v>4924.263</v>
      </c>
      <c r="AJ314" s="27" t="n">
        <v>5024.868</v>
      </c>
      <c r="AK314" s="27" t="n">
        <v>5069.767</v>
      </c>
      <c r="AL314" s="27" t="n">
        <v>5168.996</v>
      </c>
      <c r="AM314" s="27" t="n">
        <v>5168.996</v>
      </c>
      <c r="AN314" s="27" t="n">
        <v>5119.785</v>
      </c>
      <c r="AO314" s="27" t="n">
        <v>5318.196</v>
      </c>
      <c r="AP314" s="27" t="n">
        <v>5375.166</v>
      </c>
      <c r="AQ314" s="27" t="n">
        <v>5516.347</v>
      </c>
      <c r="AR314" s="27" t="n">
        <v>5516.347</v>
      </c>
      <c r="AS314" s="27" t="n">
        <v>5415.989</v>
      </c>
      <c r="AT314" s="27" t="n">
        <v>5045.872</v>
      </c>
      <c r="AU314" s="27" t="n">
        <v>5193.378</v>
      </c>
      <c r="AV314" s="27" t="n">
        <v>5284.506</v>
      </c>
      <c r="AW314" s="27" t="n">
        <v>5284.506</v>
      </c>
      <c r="AX314" s="27" t="n">
        <v>5232.682</v>
      </c>
      <c r="AY314" s="27" t="n">
        <v>5249.904</v>
      </c>
      <c r="AZ314" s="27" t="n">
        <v>5414.789</v>
      </c>
      <c r="BA314" s="27" t="n">
        <v>5721.949</v>
      </c>
      <c r="BB314" s="27" t="n">
        <v>5721.949</v>
      </c>
      <c r="BC314" s="27" t="n">
        <v>5770.931</v>
      </c>
      <c r="BD314" s="27" t="n">
        <v>5858.175</v>
      </c>
      <c r="BE314" s="27" t="n">
        <v>6353.367</v>
      </c>
      <c r="BF314" s="27" t="n">
        <v>6950.915</v>
      </c>
      <c r="BG314" s="27" t="n">
        <v>6950.915</v>
      </c>
      <c r="BH314" s="27" t="n">
        <v>6956.62</v>
      </c>
      <c r="BI314" s="27" t="n">
        <v>7030.118</v>
      </c>
      <c r="BJ314" s="27" t="n">
        <v>7096.769</v>
      </c>
      <c r="BK314" s="27" t="n">
        <v>7228.331</v>
      </c>
      <c r="BL314" s="27" t="n">
        <v>7228.331</v>
      </c>
      <c r="BM314" s="27" t="n">
        <v>7827.304</v>
      </c>
      <c r="BN314" s="27" t="n">
        <v>7896.221</v>
      </c>
      <c r="BO314" s="27" t="n">
        <v>8234.162</v>
      </c>
      <c r="BP314" s="27" t="n">
        <v>8035.929</v>
      </c>
      <c r="BQ314" s="27" t="n">
        <v>8035.929</v>
      </c>
      <c r="BR314" s="27" t="n">
        <v>8222.98</v>
      </c>
      <c r="BS314" s="27" t="n">
        <v>8380.628</v>
      </c>
      <c r="BT314" s="27" t="n">
        <v>8422.847</v>
      </c>
      <c r="BU314" s="27" t="n">
        <v>8733.327</v>
      </c>
      <c r="BV314" s="27" t="n">
        <v>8733.327</v>
      </c>
      <c r="BW314" s="27" t="n">
        <v>8714.069</v>
      </c>
      <c r="BX314" s="27" t="n">
        <v>8965.023</v>
      </c>
      <c r="BY314" s="28"/>
      <c r="BZ314" s="28"/>
      <c r="CA314" s="47" t="n">
        <f aca="false">BX314-(CA242-(BW242+BX242))-(CA243-(BW243+BX243))-(BY131+BZ131)</f>
        <v>9049.836</v>
      </c>
      <c r="CB314" s="47" t="n">
        <f aca="false">CA314-CB242-CB243-CB131+CB62*CB73</f>
        <v>9499.53361495604</v>
      </c>
      <c r="CC314" s="47" t="n">
        <f aca="false">CB314-CC242-CC243-CC131+CC62*CC73</f>
        <v>9964.9326351881</v>
      </c>
      <c r="CD314" s="47" t="n">
        <f aca="false">CC314-CD242-CD243-CD131+CD62*CD73</f>
        <v>10446.9497587359</v>
      </c>
      <c r="CE314" s="47" t="n">
        <f aca="false">CD314-CE242-CE243-CE131+CE62*CE73</f>
        <v>10946.1671200405</v>
      </c>
      <c r="CF314" s="21" t="s">
        <v>513</v>
      </c>
    </row>
    <row r="315" customFormat="false" ht="15" hidden="false" customHeight="true" outlineLevel="0" collapsed="false">
      <c r="B315" s="29" t="s">
        <v>514</v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7" t="n">
        <v>199.703</v>
      </c>
      <c r="AO315" s="27" t="n">
        <v>194.361</v>
      </c>
      <c r="AP315" s="27" t="n">
        <v>189.697</v>
      </c>
      <c r="AQ315" s="27" t="n">
        <v>183.22</v>
      </c>
      <c r="AR315" s="27" t="n">
        <v>183.22</v>
      </c>
      <c r="AS315" s="27" t="n">
        <v>176.772</v>
      </c>
      <c r="AT315" s="27" t="n">
        <v>173.905</v>
      </c>
      <c r="AU315" s="27" t="n">
        <v>168.974</v>
      </c>
      <c r="AV315" s="27" t="n">
        <v>170.923</v>
      </c>
      <c r="AW315" s="27" t="n">
        <v>170.923</v>
      </c>
      <c r="AX315" s="27" t="n">
        <v>174.635</v>
      </c>
      <c r="AY315" s="27" t="n">
        <v>169.523</v>
      </c>
      <c r="AZ315" s="27" t="n">
        <v>162.64</v>
      </c>
      <c r="BA315" s="27" t="n">
        <v>160.567</v>
      </c>
      <c r="BB315" s="27" t="n">
        <v>160.567</v>
      </c>
      <c r="BC315" s="27" t="n">
        <v>162.332</v>
      </c>
      <c r="BD315" s="27" t="n">
        <v>167.099</v>
      </c>
      <c r="BE315" s="27" t="n">
        <v>190.86</v>
      </c>
      <c r="BF315" s="27" t="n">
        <v>192.506</v>
      </c>
      <c r="BG315" s="27" t="n">
        <v>192.506</v>
      </c>
      <c r="BH315" s="27" t="n">
        <v>195.03</v>
      </c>
      <c r="BI315" s="27" t="n">
        <v>248.967</v>
      </c>
      <c r="BJ315" s="27" t="n">
        <v>263.491</v>
      </c>
      <c r="BK315" s="27" t="n">
        <v>261.782</v>
      </c>
      <c r="BL315" s="27" t="n">
        <v>261.782</v>
      </c>
      <c r="BM315" s="27" t="n">
        <v>273.371</v>
      </c>
      <c r="BN315" s="27" t="n">
        <v>296.092</v>
      </c>
      <c r="BO315" s="27" t="n">
        <v>311.717</v>
      </c>
      <c r="BP315" s="27" t="n">
        <v>308.198</v>
      </c>
      <c r="BQ315" s="27" t="n">
        <v>308.198</v>
      </c>
      <c r="BR315" s="27" t="n">
        <v>311.563</v>
      </c>
      <c r="BS315" s="27" t="n">
        <v>325.05</v>
      </c>
      <c r="BT315" s="27" t="n">
        <v>316.106</v>
      </c>
      <c r="BU315" s="27" t="n">
        <v>312.508</v>
      </c>
      <c r="BV315" s="27" t="n">
        <v>312.508</v>
      </c>
      <c r="BW315" s="27" t="n">
        <v>324.034</v>
      </c>
      <c r="BX315" s="27" t="n">
        <v>315.657</v>
      </c>
      <c r="BY315" s="28"/>
      <c r="BZ315" s="28"/>
      <c r="CA315" s="47" t="n">
        <f aca="false">BX315</f>
        <v>315.657</v>
      </c>
      <c r="CB315" s="47" t="n">
        <f aca="false">CA315</f>
        <v>315.657</v>
      </c>
      <c r="CC315" s="47" t="n">
        <f aca="false">CB315</f>
        <v>315.657</v>
      </c>
      <c r="CD315" s="47" t="n">
        <f aca="false">CC315</f>
        <v>315.657</v>
      </c>
      <c r="CE315" s="47" t="n">
        <f aca="false">CD315</f>
        <v>315.657</v>
      </c>
      <c r="CF315" s="21"/>
    </row>
    <row r="316" customFormat="false" ht="15" hidden="false" customHeight="true" outlineLevel="0" collapsed="false">
      <c r="B316" s="29" t="s">
        <v>515</v>
      </c>
      <c r="C316" s="27" t="n">
        <v>750.397</v>
      </c>
      <c r="D316" s="27" t="n">
        <v>811.049</v>
      </c>
      <c r="E316" s="27" t="n">
        <v>836.93</v>
      </c>
      <c r="F316" s="27" t="n">
        <v>906.71</v>
      </c>
      <c r="G316" s="27" t="n">
        <v>927.852</v>
      </c>
      <c r="H316" s="27" t="n">
        <v>1116.888</v>
      </c>
      <c r="I316" s="27" t="n">
        <v>1636.557</v>
      </c>
      <c r="J316" s="27" t="n">
        <v>1637.339</v>
      </c>
      <c r="K316" s="27" t="n">
        <v>1638.16</v>
      </c>
      <c r="L316" s="27" t="n">
        <v>1637.541</v>
      </c>
      <c r="M316" s="27" t="n">
        <v>1675.154</v>
      </c>
      <c r="N316" s="27" t="n">
        <v>1675.154</v>
      </c>
      <c r="O316" s="27" t="n">
        <v>1674.31</v>
      </c>
      <c r="P316" s="27" t="n">
        <v>1675.726</v>
      </c>
      <c r="Q316" s="27" t="n">
        <v>1687.915</v>
      </c>
      <c r="R316" s="27" t="n">
        <v>1693.789</v>
      </c>
      <c r="S316" s="27" t="n">
        <v>1693.789</v>
      </c>
      <c r="T316" s="27" t="n">
        <v>1721.759</v>
      </c>
      <c r="U316" s="27" t="n">
        <v>1722.324</v>
      </c>
      <c r="V316" s="27" t="n">
        <v>1319.97</v>
      </c>
      <c r="W316" s="27" t="n">
        <v>1422.825</v>
      </c>
      <c r="X316" s="27" t="n">
        <v>1422.825</v>
      </c>
      <c r="Y316" s="27" t="n">
        <v>1424.591</v>
      </c>
      <c r="Z316" s="27" t="n">
        <v>4299.463</v>
      </c>
      <c r="AA316" s="27" t="n">
        <v>4351.17</v>
      </c>
      <c r="AB316" s="27" t="n">
        <v>4390.261</v>
      </c>
      <c r="AC316" s="27" t="n">
        <v>4390.261</v>
      </c>
      <c r="AD316" s="27" t="n">
        <v>4529.645</v>
      </c>
      <c r="AE316" s="27" t="n">
        <v>4589.573</v>
      </c>
      <c r="AF316" s="27" t="n">
        <v>4688.348</v>
      </c>
      <c r="AG316" s="27" t="n">
        <v>4681.774</v>
      </c>
      <c r="AH316" s="27" t="n">
        <v>4681.774</v>
      </c>
      <c r="AI316" s="27" t="n">
        <v>4772.949</v>
      </c>
      <c r="AJ316" s="27" t="n">
        <v>4772.966</v>
      </c>
      <c r="AK316" s="27" t="n">
        <v>4813.296</v>
      </c>
      <c r="AL316" s="27" t="n">
        <v>5031.685</v>
      </c>
      <c r="AM316" s="27" t="n">
        <v>5031.685</v>
      </c>
      <c r="AN316" s="27" t="n">
        <v>5065.53</v>
      </c>
      <c r="AO316" s="27" t="n">
        <v>5316.67</v>
      </c>
      <c r="AP316" s="27" t="n">
        <v>5297.556</v>
      </c>
      <c r="AQ316" s="27" t="n">
        <v>5510.851</v>
      </c>
      <c r="AR316" s="27" t="n">
        <v>5510.851</v>
      </c>
      <c r="AS316" s="27" t="n">
        <v>5385.841</v>
      </c>
      <c r="AT316" s="27" t="n">
        <v>5488.305</v>
      </c>
      <c r="AU316" s="27" t="n">
        <v>5534.567</v>
      </c>
      <c r="AV316" s="27" t="n">
        <v>5726.65</v>
      </c>
      <c r="AW316" s="27" t="n">
        <v>5726.65</v>
      </c>
      <c r="AX316" s="27" t="n">
        <v>5754.101</v>
      </c>
      <c r="AY316" s="27" t="n">
        <v>5818.749</v>
      </c>
      <c r="AZ316" s="27" t="n">
        <v>6006.533</v>
      </c>
      <c r="BA316" s="27" t="n">
        <v>6187.643</v>
      </c>
      <c r="BB316" s="27" t="n">
        <v>6187.643</v>
      </c>
      <c r="BC316" s="27" t="n">
        <v>6427.763</v>
      </c>
      <c r="BD316" s="27" t="n">
        <v>6457.91</v>
      </c>
      <c r="BE316" s="27" t="n">
        <v>6574.86</v>
      </c>
      <c r="BF316" s="27" t="n">
        <v>6902.297</v>
      </c>
      <c r="BG316" s="27" t="n">
        <v>6902.297</v>
      </c>
      <c r="BH316" s="27" t="n">
        <v>6940.567</v>
      </c>
      <c r="BI316" s="27" t="n">
        <v>6992.466</v>
      </c>
      <c r="BJ316" s="27" t="n">
        <v>7313.084</v>
      </c>
      <c r="BK316" s="27" t="n">
        <v>7404.4</v>
      </c>
      <c r="BL316" s="27" t="n">
        <v>7404.4</v>
      </c>
      <c r="BM316" s="27" t="n">
        <v>7597.175</v>
      </c>
      <c r="BN316" s="27" t="n">
        <v>7704.719</v>
      </c>
      <c r="BO316" s="27" t="n">
        <v>7922.757</v>
      </c>
      <c r="BP316" s="27" t="n">
        <v>7950.406</v>
      </c>
      <c r="BQ316" s="27" t="n">
        <v>7950.406</v>
      </c>
      <c r="BR316" s="27" t="n">
        <v>8055.979</v>
      </c>
      <c r="BS316" s="27" t="n">
        <v>8220.824</v>
      </c>
      <c r="BT316" s="27" t="n">
        <v>8275.386</v>
      </c>
      <c r="BU316" s="27" t="n">
        <v>8392.249</v>
      </c>
      <c r="BV316" s="27" t="n">
        <v>8392.249</v>
      </c>
      <c r="BW316" s="27" t="n">
        <v>8414.577</v>
      </c>
      <c r="BX316" s="27" t="n">
        <v>8388.109</v>
      </c>
      <c r="BY316" s="28"/>
      <c r="BZ316" s="28"/>
      <c r="CA316" s="47" t="n">
        <f aca="false">BX316</f>
        <v>8388.109</v>
      </c>
      <c r="CB316" s="47" t="n">
        <f aca="false">CA316+CB62*(1-CB73-CB74)</f>
        <v>8788.109</v>
      </c>
      <c r="CC316" s="47" t="n">
        <f aca="false">CB316+CC62*(1-CC73-CC74)</f>
        <v>9188.109</v>
      </c>
      <c r="CD316" s="47" t="n">
        <f aca="false">CC316+CD62*(1-CD73-CD74)</f>
        <v>9588.109</v>
      </c>
      <c r="CE316" s="47" t="n">
        <f aca="false">CD316+CE62*(1-CE73-CE74)</f>
        <v>9988.109</v>
      </c>
      <c r="CF316" s="21"/>
    </row>
    <row r="317" customFormat="false" ht="15" hidden="false" customHeight="true" outlineLevel="0" collapsed="false">
      <c r="B317" s="29" t="s">
        <v>516</v>
      </c>
      <c r="C317" s="27" t="n">
        <v>86.098</v>
      </c>
      <c r="D317" s="27" t="n">
        <v>93.957</v>
      </c>
      <c r="E317" s="27" t="n">
        <v>306.444</v>
      </c>
      <c r="F317" s="27" t="n">
        <v>354.303</v>
      </c>
      <c r="G317" s="27" t="n">
        <v>381.475</v>
      </c>
      <c r="H317" s="27" t="n">
        <v>449.581</v>
      </c>
      <c r="I317" s="27" t="n">
        <v>541.908</v>
      </c>
      <c r="J317" s="27" t="n">
        <v>535.462</v>
      </c>
      <c r="K317" s="27" t="n">
        <v>527.149</v>
      </c>
      <c r="L317" s="27" t="n">
        <v>521.204</v>
      </c>
      <c r="M317" s="27" t="n">
        <v>527.871</v>
      </c>
      <c r="N317" s="27" t="n">
        <v>527.871</v>
      </c>
      <c r="O317" s="27" t="n">
        <v>521.294</v>
      </c>
      <c r="P317" s="27" t="n">
        <v>515.176</v>
      </c>
      <c r="Q317" s="27" t="n">
        <v>510.914</v>
      </c>
      <c r="R317" s="27" t="n">
        <v>509.995</v>
      </c>
      <c r="S317" s="27" t="n">
        <v>509.995</v>
      </c>
      <c r="T317" s="27" t="n">
        <v>544.778</v>
      </c>
      <c r="U317" s="27" t="n">
        <v>537.657</v>
      </c>
      <c r="V317" s="27" t="n">
        <v>496.409</v>
      </c>
      <c r="W317" s="27" t="n">
        <v>511.294</v>
      </c>
      <c r="X317" s="27" t="n">
        <v>511.294</v>
      </c>
      <c r="Y317" s="27" t="n">
        <v>505.075</v>
      </c>
      <c r="Z317" s="27" t="n">
        <v>1160.484</v>
      </c>
      <c r="AA317" s="27" t="n">
        <v>1164.308</v>
      </c>
      <c r="AB317" s="27" t="n">
        <v>1067.158</v>
      </c>
      <c r="AC317" s="27" t="n">
        <v>1067.158</v>
      </c>
      <c r="AD317" s="27" t="n">
        <v>1097.962</v>
      </c>
      <c r="AE317" s="27" t="n">
        <v>1083.787</v>
      </c>
      <c r="AF317" s="27" t="n">
        <v>1108.961</v>
      </c>
      <c r="AG317" s="27" t="n">
        <v>1087.436</v>
      </c>
      <c r="AH317" s="27" t="n">
        <v>1087.436</v>
      </c>
      <c r="AI317" s="27" t="n">
        <v>1077.56</v>
      </c>
      <c r="AJ317" s="27" t="n">
        <v>1085.775</v>
      </c>
      <c r="AK317" s="27" t="n">
        <v>1069.064</v>
      </c>
      <c r="AL317" s="27" t="n">
        <v>1128.628</v>
      </c>
      <c r="AM317" s="27" t="n">
        <v>1128.628</v>
      </c>
      <c r="AN317" s="27" t="n">
        <v>1105.553</v>
      </c>
      <c r="AO317" s="27" t="n">
        <v>1124.107</v>
      </c>
      <c r="AP317" s="27" t="n">
        <v>1097.036</v>
      </c>
      <c r="AQ317" s="27" t="n">
        <v>1163.063</v>
      </c>
      <c r="AR317" s="27" t="n">
        <v>1163.063</v>
      </c>
      <c r="AS317" s="27" t="n">
        <v>1120.197</v>
      </c>
      <c r="AT317" s="27" t="n">
        <v>1152.303</v>
      </c>
      <c r="AU317" s="27" t="n">
        <v>1127.279</v>
      </c>
      <c r="AV317" s="27" t="n">
        <v>1155.079</v>
      </c>
      <c r="AW317" s="27" t="n">
        <v>1155.079</v>
      </c>
      <c r="AX317" s="27" t="n">
        <v>1125.894</v>
      </c>
      <c r="AY317" s="27" t="n">
        <v>1102.516</v>
      </c>
      <c r="AZ317" s="27" t="n">
        <v>1264.728</v>
      </c>
      <c r="BA317" s="27" t="n">
        <v>1350.597</v>
      </c>
      <c r="BB317" s="27" t="n">
        <v>1350.597</v>
      </c>
      <c r="BC317" s="27" t="n">
        <v>1388.687</v>
      </c>
      <c r="BD317" s="27" t="n">
        <v>1400.249</v>
      </c>
      <c r="BE317" s="27" t="n">
        <v>1489.242</v>
      </c>
      <c r="BF317" s="27" t="n">
        <v>1673.917</v>
      </c>
      <c r="BG317" s="27" t="n">
        <v>1673.917</v>
      </c>
      <c r="BH317" s="27" t="n">
        <v>1697.193</v>
      </c>
      <c r="BI317" s="27" t="n">
        <v>1659.645</v>
      </c>
      <c r="BJ317" s="27" t="n">
        <v>1618.692</v>
      </c>
      <c r="BK317" s="27" t="n">
        <v>1603.541</v>
      </c>
      <c r="BL317" s="27" t="n">
        <v>1603.541</v>
      </c>
      <c r="BM317" s="27" t="n">
        <v>1877.226</v>
      </c>
      <c r="BN317" s="27" t="n">
        <v>1894.86</v>
      </c>
      <c r="BO317" s="27" t="n">
        <v>1982.809</v>
      </c>
      <c r="BP317" s="27" t="n">
        <v>1991.619</v>
      </c>
      <c r="BQ317" s="27" t="n">
        <v>1991.619</v>
      </c>
      <c r="BR317" s="27" t="n">
        <v>2067.264</v>
      </c>
      <c r="BS317" s="27" t="n">
        <v>2062.045</v>
      </c>
      <c r="BT317" s="27" t="n">
        <v>2003.6</v>
      </c>
      <c r="BU317" s="27" t="n">
        <v>2006.2</v>
      </c>
      <c r="BV317" s="27" t="n">
        <v>2006.2</v>
      </c>
      <c r="BW317" s="27" t="n">
        <v>1959.957</v>
      </c>
      <c r="BX317" s="27" t="n">
        <v>1973.464</v>
      </c>
      <c r="BY317" s="28"/>
      <c r="BZ317" s="28"/>
      <c r="CA317" s="47" t="n">
        <f aca="false">BX317-(BY132+BZ132)</f>
        <v>1876.328</v>
      </c>
      <c r="CB317" s="47" t="n">
        <f aca="false">CA317-CB132+CB62*CB74</f>
        <v>1933.828</v>
      </c>
      <c r="CC317" s="47" t="n">
        <f aca="false">CB317-CC132+CC62*CC74</f>
        <v>1978.328</v>
      </c>
      <c r="CD317" s="47" t="n">
        <f aca="false">CC317-CD132+CD62*CD74</f>
        <v>2009.828</v>
      </c>
      <c r="CE317" s="47" t="n">
        <f aca="false">CD317-CE132+CE62*CE74</f>
        <v>2027.328</v>
      </c>
      <c r="CF317" s="21" t="s">
        <v>517</v>
      </c>
    </row>
    <row r="318" customFormat="false" ht="15" hidden="false" customHeight="true" outlineLevel="0" collapsed="false">
      <c r="B318" s="29" t="s">
        <v>518</v>
      </c>
      <c r="C318" s="27" t="n">
        <v>24.818</v>
      </c>
      <c r="D318" s="27" t="n">
        <v>21.457</v>
      </c>
      <c r="E318" s="27" t="n">
        <v>20.922</v>
      </c>
      <c r="F318" s="27" t="n">
        <v>23.812</v>
      </c>
      <c r="G318" s="27" t="n">
        <v>23.179</v>
      </c>
      <c r="H318" s="27" t="n">
        <v>31.265</v>
      </c>
      <c r="I318" s="27" t="n">
        <v>42.58</v>
      </c>
      <c r="J318" s="27" t="n">
        <v>42.875</v>
      </c>
      <c r="K318" s="27" t="n">
        <v>43.327</v>
      </c>
      <c r="L318" s="27" t="n">
        <v>46.441</v>
      </c>
      <c r="M318" s="27" t="n">
        <v>46.152</v>
      </c>
      <c r="N318" s="27" t="n">
        <v>46.152</v>
      </c>
      <c r="O318" s="27" t="n">
        <v>46.208</v>
      </c>
      <c r="P318" s="27" t="n">
        <v>45.434</v>
      </c>
      <c r="Q318" s="27" t="n">
        <v>45.813</v>
      </c>
      <c r="R318" s="27" t="n">
        <v>45.057</v>
      </c>
      <c r="S318" s="27" t="n">
        <v>45.057</v>
      </c>
      <c r="T318" s="27" t="n">
        <v>37.169</v>
      </c>
      <c r="U318" s="27" t="n">
        <v>41.472</v>
      </c>
      <c r="V318" s="27" t="n">
        <v>39.661</v>
      </c>
      <c r="W318" s="27" t="n">
        <v>40.732</v>
      </c>
      <c r="X318" s="27" t="n">
        <v>40.732</v>
      </c>
      <c r="Y318" s="27" t="n">
        <v>40.257</v>
      </c>
      <c r="Z318" s="27" t="n">
        <v>48.468</v>
      </c>
      <c r="AA318" s="27" t="n">
        <v>51.172</v>
      </c>
      <c r="AB318" s="27" t="n">
        <v>101.653</v>
      </c>
      <c r="AC318" s="27" t="n">
        <v>101.653</v>
      </c>
      <c r="AD318" s="27" t="n">
        <v>183.62</v>
      </c>
      <c r="AE318" s="27" t="n">
        <v>143.079</v>
      </c>
      <c r="AF318" s="27" t="n">
        <v>76.903</v>
      </c>
      <c r="AG318" s="27" t="n">
        <v>80.657</v>
      </c>
      <c r="AH318" s="27" t="n">
        <v>80.657</v>
      </c>
      <c r="AI318" s="27" t="n">
        <v>97.559</v>
      </c>
      <c r="AJ318" s="27" t="n">
        <v>98.466</v>
      </c>
      <c r="AK318" s="27" t="n">
        <v>89.265</v>
      </c>
      <c r="AL318" s="27" t="n">
        <v>72.97</v>
      </c>
      <c r="AM318" s="27" t="n">
        <v>72.97</v>
      </c>
      <c r="AN318" s="27" t="n">
        <v>65.374</v>
      </c>
      <c r="AO318" s="27" t="n">
        <v>62.802</v>
      </c>
      <c r="AP318" s="27" t="n">
        <v>62.838</v>
      </c>
      <c r="AQ318" s="27" t="n">
        <v>85.954</v>
      </c>
      <c r="AR318" s="27" t="n">
        <v>85.954</v>
      </c>
      <c r="AS318" s="27" t="n">
        <v>83.608</v>
      </c>
      <c r="AT318" s="27" t="n">
        <v>89.43</v>
      </c>
      <c r="AU318" s="27" t="n">
        <v>90.153</v>
      </c>
      <c r="AV318" s="27" t="n">
        <v>92.323</v>
      </c>
      <c r="AW318" s="27" t="n">
        <v>92.323</v>
      </c>
      <c r="AX318" s="27" t="n">
        <v>89.317</v>
      </c>
      <c r="AY318" s="27" t="n">
        <v>88.88</v>
      </c>
      <c r="AZ318" s="27" t="n">
        <v>88.531</v>
      </c>
      <c r="BA318" s="27" t="n">
        <v>115.203</v>
      </c>
      <c r="BB318" s="27" t="n">
        <v>115.203</v>
      </c>
      <c r="BC318" s="27" t="n">
        <v>120.554</v>
      </c>
      <c r="BD318" s="27" t="n">
        <v>112.103</v>
      </c>
      <c r="BE318" s="27" t="n">
        <v>127.909</v>
      </c>
      <c r="BF318" s="27" t="n">
        <v>126.497</v>
      </c>
      <c r="BG318" s="27" t="n">
        <v>126.497</v>
      </c>
      <c r="BH318" s="27" t="n">
        <v>122.443</v>
      </c>
      <c r="BI318" s="27" t="n">
        <v>130.957</v>
      </c>
      <c r="BJ318" s="27" t="n">
        <v>108.648</v>
      </c>
      <c r="BK318" s="27" t="n">
        <v>100.048</v>
      </c>
      <c r="BL318" s="27" t="n">
        <v>100.048</v>
      </c>
      <c r="BM318" s="27" t="n">
        <v>110.192</v>
      </c>
      <c r="BN318" s="27" t="n">
        <v>84.689</v>
      </c>
      <c r="BO318" s="27" t="n">
        <v>86.089</v>
      </c>
      <c r="BP318" s="27" t="n">
        <v>90.812</v>
      </c>
      <c r="BQ318" s="27" t="n">
        <v>90.812</v>
      </c>
      <c r="BR318" s="27" t="n">
        <v>103.293</v>
      </c>
      <c r="BS318" s="27" t="n">
        <v>105.235</v>
      </c>
      <c r="BT318" s="27" t="n">
        <v>107.925</v>
      </c>
      <c r="BU318" s="27" t="n">
        <v>109.147</v>
      </c>
      <c r="BV318" s="27" t="n">
        <v>109.147</v>
      </c>
      <c r="BW318" s="27" t="n">
        <v>106.803</v>
      </c>
      <c r="BX318" s="27" t="n">
        <v>121.882</v>
      </c>
      <c r="BY318" s="28"/>
      <c r="BZ318" s="28"/>
      <c r="CA318" s="47" t="n">
        <f aca="false">BX318</f>
        <v>121.882</v>
      </c>
      <c r="CB318" s="47" t="n">
        <f aca="false">CA318</f>
        <v>121.882</v>
      </c>
      <c r="CC318" s="47" t="n">
        <f aca="false">CB318</f>
        <v>121.882</v>
      </c>
      <c r="CD318" s="47" t="n">
        <f aca="false">CC318</f>
        <v>121.882</v>
      </c>
      <c r="CE318" s="47" t="n">
        <f aca="false">CD318</f>
        <v>121.882</v>
      </c>
      <c r="CF318" s="21"/>
    </row>
    <row r="319" customFormat="false" ht="15" hidden="false" customHeight="true" outlineLevel="0" collapsed="false">
      <c r="B319" s="55" t="s">
        <v>519</v>
      </c>
      <c r="C319" s="56" t="n">
        <f aca="false">IF(ISNUMBER(C308),C311+SUM(C312:C318),"")</f>
        <v>1773.891</v>
      </c>
      <c r="D319" s="56" t="n">
        <f aca="false">IF(ISNUMBER(D308),D311+SUM(D312:D318),"")</f>
        <v>1981.958</v>
      </c>
      <c r="E319" s="56" t="n">
        <f aca="false">IF(ISNUMBER(E308),E311+SUM(E312:E318),"")</f>
        <v>2600.64</v>
      </c>
      <c r="F319" s="56" t="n">
        <f aca="false">IF(ISNUMBER(F308),F311+SUM(F312:F318),"")</f>
        <v>2820.448</v>
      </c>
      <c r="G319" s="56" t="n">
        <f aca="false">IF(ISNUMBER(G308),G311+SUM(G312:G318),"")</f>
        <v>2915.984</v>
      </c>
      <c r="H319" s="56" t="n">
        <f aca="false">IF(ISNUMBER(H308),H311+SUM(H312:H318),"")</f>
        <v>3328.005</v>
      </c>
      <c r="I319" s="56" t="n">
        <f aca="false">IF(ISNUMBER(I308),I311+SUM(I312:I318),"")</f>
        <v>5076.026</v>
      </c>
      <c r="J319" s="56" t="n">
        <f aca="false">IF(ISNUMBER(J308),J311+SUM(J312:J318),"")</f>
        <v>4989.803</v>
      </c>
      <c r="K319" s="56" t="n">
        <f aca="false">IF(ISNUMBER(K308),K311+SUM(K312:K318),"")</f>
        <v>5004.528</v>
      </c>
      <c r="L319" s="56" t="n">
        <f aca="false">IF(ISNUMBER(L308),L311+SUM(L312:L318),"")</f>
        <v>4994.647</v>
      </c>
      <c r="M319" s="56" t="n">
        <f aca="false">IF(ISNUMBER(M308),M311+SUM(M312:M318),"")</f>
        <v>5064.252</v>
      </c>
      <c r="N319" s="56" t="n">
        <f aca="false">IF(ISNUMBER(N308),N311+SUM(N312:N318),"")</f>
        <v>5064.252</v>
      </c>
      <c r="O319" s="56" t="n">
        <f aca="false">IF(ISNUMBER(O308),O311+SUM(O312:O318),"")</f>
        <v>5044.221</v>
      </c>
      <c r="P319" s="56" t="n">
        <f aca="false">IF(ISNUMBER(P308),P311+SUM(P312:P318),"")</f>
        <v>5069.236</v>
      </c>
      <c r="Q319" s="56" t="n">
        <f aca="false">IF(ISNUMBER(Q308),Q311+SUM(Q312:Q318),"")</f>
        <v>5093.864</v>
      </c>
      <c r="R319" s="56" t="n">
        <f aca="false">IF(ISNUMBER(R308),R311+SUM(R312:R318),"")</f>
        <v>5250.031</v>
      </c>
      <c r="S319" s="56" t="n">
        <f aca="false">IF(ISNUMBER(S308),S311+SUM(S312:S318),"")</f>
        <v>5250.031</v>
      </c>
      <c r="T319" s="56" t="n">
        <f aca="false">IF(ISNUMBER(T308),T311+SUM(T312:T318),"")</f>
        <v>5279.574</v>
      </c>
      <c r="U319" s="56" t="n">
        <f aca="false">IF(ISNUMBER(U308),U311+SUM(U312:U318),"")</f>
        <v>5284.471</v>
      </c>
      <c r="V319" s="56" t="n">
        <f aca="false">IF(ISNUMBER(V308),V311+SUM(V312:V318),"")</f>
        <v>4814.723</v>
      </c>
      <c r="W319" s="56" t="n">
        <f aca="false">IF(ISNUMBER(W308),W311+SUM(W312:W318),"")</f>
        <v>5121.798</v>
      </c>
      <c r="X319" s="56" t="n">
        <f aca="false">IF(ISNUMBER(X308),X311+SUM(X312:X318),"")</f>
        <v>5121.798</v>
      </c>
      <c r="Y319" s="56" t="n">
        <f aca="false">IF(ISNUMBER(Y308),Y311+SUM(Y312:Y318),"")</f>
        <v>5055.371</v>
      </c>
      <c r="Z319" s="56" t="n">
        <f aca="false">IF(ISNUMBER(Z308),Z311+SUM(Z312:Z318),"")</f>
        <v>11093.552</v>
      </c>
      <c r="AA319" s="56" t="n">
        <f aca="false">IF(ISNUMBER(AA308),AA311+SUM(AA312:AA318),"")</f>
        <v>11187.693</v>
      </c>
      <c r="AB319" s="56" t="n">
        <f aca="false">IF(ISNUMBER(AB308),AB311+SUM(AB312:AB318),"")</f>
        <v>11193.102</v>
      </c>
      <c r="AC319" s="56" t="n">
        <f aca="false">IF(ISNUMBER(AC308),AC311+SUM(AC312:AC318),"")</f>
        <v>11193.102</v>
      </c>
      <c r="AD319" s="56" t="n">
        <f aca="false">IF(ISNUMBER(AD308),AD311+SUM(AD312:AD318),"")</f>
        <v>11469.432</v>
      </c>
      <c r="AE319" s="56" t="n">
        <f aca="false">IF(ISNUMBER(AE308),AE311+SUM(AE312:AE318),"")</f>
        <v>11655.363</v>
      </c>
      <c r="AF319" s="56" t="n">
        <f aca="false">IF(ISNUMBER(AF308),AF311+SUM(AF312:AF318),"")</f>
        <v>11910.275</v>
      </c>
      <c r="AG319" s="56" t="n">
        <f aca="false">IF(ISNUMBER(AG308),AG311+SUM(AG312:AG318),"")</f>
        <v>12014.681</v>
      </c>
      <c r="AH319" s="56" t="n">
        <f aca="false">IF(ISNUMBER(AH308),AH311+SUM(AH312:AH318),"")</f>
        <v>12014.681</v>
      </c>
      <c r="AI319" s="56" t="n">
        <f aca="false">IF(ISNUMBER(AI308),AI311+SUM(AI312:AI318),"")</f>
        <v>11963.218</v>
      </c>
      <c r="AJ319" s="56" t="n">
        <f aca="false">IF(ISNUMBER(AJ308),AJ311+SUM(AJ312:AJ318),"")</f>
        <v>12024.544</v>
      </c>
      <c r="AK319" s="56" t="n">
        <f aca="false">IF(ISNUMBER(AK308),AK311+SUM(AK312:AK318),"")</f>
        <v>12192.066</v>
      </c>
      <c r="AL319" s="56" t="n">
        <f aca="false">IF(ISNUMBER(AL308),AL311+SUM(AL312:AL318),"")</f>
        <v>12627.329</v>
      </c>
      <c r="AM319" s="56" t="n">
        <f aca="false">IF(ISNUMBER(AM308),AM311+SUM(AM312:AM318),"")</f>
        <v>12627.329</v>
      </c>
      <c r="AN319" s="56" t="n">
        <f aca="false">IF(ISNUMBER(AN308),AN311+SUM(AN312:AN318),"")</f>
        <v>12931.928</v>
      </c>
      <c r="AO319" s="56" t="n">
        <f aca="false">IF(ISNUMBER(AO308),AO311+SUM(AO312:AO318),"")</f>
        <v>13145.772</v>
      </c>
      <c r="AP319" s="56" t="n">
        <f aca="false">IF(ISNUMBER(AP308),AP311+SUM(AP312:AP318),"")</f>
        <v>13270.235</v>
      </c>
      <c r="AQ319" s="56" t="n">
        <f aca="false">IF(ISNUMBER(AQ308),AQ311+SUM(AQ312:AQ318),"")</f>
        <v>13737.695</v>
      </c>
      <c r="AR319" s="56" t="n">
        <f aca="false">IF(ISNUMBER(AR308),AR311+SUM(AR312:AR318),"")</f>
        <v>13737.695</v>
      </c>
      <c r="AS319" s="56" t="n">
        <f aca="false">IF(ISNUMBER(AS308),AS311+SUM(AS312:AS318),"")</f>
        <v>14279.411</v>
      </c>
      <c r="AT319" s="56" t="n">
        <f aca="false">IF(ISNUMBER(AT308),AT311+SUM(AT312:AT318),"")</f>
        <v>13594.005</v>
      </c>
      <c r="AU319" s="56" t="n">
        <f aca="false">IF(ISNUMBER(AU308),AU311+SUM(AU312:AU318),"")</f>
        <v>13849.447</v>
      </c>
      <c r="AV319" s="56" t="n">
        <f aca="false">IF(ISNUMBER(AV308),AV311+SUM(AV312:AV318),"")</f>
        <v>13992.364</v>
      </c>
      <c r="AW319" s="56" t="n">
        <f aca="false">IF(ISNUMBER(AW308),AW311+SUM(AW312:AW318),"")</f>
        <v>13992.364</v>
      </c>
      <c r="AX319" s="56" t="n">
        <f aca="false">IF(ISNUMBER(AX308),AX311+SUM(AX312:AX318),"")</f>
        <v>14042.929</v>
      </c>
      <c r="AY319" s="56" t="n">
        <f aca="false">IF(ISNUMBER(AY308),AY311+SUM(AY312:AY318),"")</f>
        <v>14106.207</v>
      </c>
      <c r="AZ319" s="56" t="n">
        <f aca="false">IF(ISNUMBER(AZ308),AZ311+SUM(AZ312:AZ318),"")</f>
        <v>14274.832</v>
      </c>
      <c r="BA319" s="56" t="n">
        <f aca="false">IF(ISNUMBER(BA308),BA311+SUM(BA312:BA318),"")</f>
        <v>14699.924</v>
      </c>
      <c r="BB319" s="56" t="n">
        <f aca="false">IF(ISNUMBER(BB308),BB311+SUM(BB312:BB318),"")</f>
        <v>14699.924</v>
      </c>
      <c r="BC319" s="56" t="n">
        <f aca="false">IF(ISNUMBER(BC308),BC311+SUM(BC312:BC318),"")</f>
        <v>15414.362</v>
      </c>
      <c r="BD319" s="56" t="n">
        <f aca="false">IF(ISNUMBER(BD308),BD311+SUM(BD312:BD318),"")</f>
        <v>15416.241</v>
      </c>
      <c r="BE319" s="56" t="n">
        <f aca="false">IF(ISNUMBER(BE308),BE311+SUM(BE312:BE318),"")</f>
        <v>16130.668</v>
      </c>
      <c r="BF319" s="56" t="n">
        <f aca="false">IF(ISNUMBER(BF308),BF311+SUM(BF312:BF318),"")</f>
        <v>17134.603</v>
      </c>
      <c r="BG319" s="56" t="n">
        <f aca="false">IF(ISNUMBER(BG308),BG311+SUM(BG312:BG318),"")</f>
        <v>17134.603</v>
      </c>
      <c r="BH319" s="56" t="n">
        <f aca="false">IF(ISNUMBER(BH308),BH311+SUM(BH312:BH318),"")</f>
        <v>17227.094</v>
      </c>
      <c r="BI319" s="56" t="n">
        <f aca="false">IF(ISNUMBER(BI308),BI311+SUM(BI312:BI318),"")</f>
        <v>17359.527</v>
      </c>
      <c r="BJ319" s="56" t="n">
        <f aca="false">IF(ISNUMBER(BJ308),BJ311+SUM(BJ312:BJ318),"")</f>
        <v>17731.24</v>
      </c>
      <c r="BK319" s="56" t="n">
        <f aca="false">IF(ISNUMBER(BK308),BK311+SUM(BK312:BK318),"")</f>
        <v>17915.876</v>
      </c>
      <c r="BL319" s="56" t="n">
        <f aca="false">IF(ISNUMBER(BL308),BL311+SUM(BL312:BL318),"")</f>
        <v>17915.876</v>
      </c>
      <c r="BM319" s="56" t="n">
        <f aca="false">IF(ISNUMBER(BM308),BM311+SUM(BM312:BM318),"")</f>
        <v>19082.66</v>
      </c>
      <c r="BN319" s="56" t="n">
        <f aca="false">IF(ISNUMBER(BN308),BN311+SUM(BN312:BN318),"")</f>
        <v>19301.526</v>
      </c>
      <c r="BO319" s="56" t="n">
        <f aca="false">IF(ISNUMBER(BO308),BO311+SUM(BO312:BO318),"")</f>
        <v>20095.364</v>
      </c>
      <c r="BP319" s="56" t="n">
        <f aca="false">IF(ISNUMBER(BP308),BP311+SUM(BP312:BP318),"")</f>
        <v>19817.809</v>
      </c>
      <c r="BQ319" s="56" t="n">
        <f aca="false">IF(ISNUMBER(BQ308),BQ311+SUM(BQ312:BQ318),"")</f>
        <v>19817.809</v>
      </c>
      <c r="BR319" s="56" t="n">
        <f aca="false">IF(ISNUMBER(BR308),BR311+SUM(BR312:BR318),"")</f>
        <v>20254.497</v>
      </c>
      <c r="BS319" s="56" t="n">
        <f aca="false">IF(ISNUMBER(BS308),BS311+SUM(BS312:BS318),"")</f>
        <v>20678.61</v>
      </c>
      <c r="BT319" s="56" t="n">
        <f aca="false">IF(ISNUMBER(BT308),BT311+SUM(BT312:BT318),"")</f>
        <v>20782.495</v>
      </c>
      <c r="BU319" s="56" t="n">
        <f aca="false">IF(ISNUMBER(BU308),BU311+SUM(BU312:BU318),"")</f>
        <v>21129.363</v>
      </c>
      <c r="BV319" s="56" t="n">
        <f aca="false">IF(ISNUMBER(BV308),BV311+SUM(BV312:BV318),"")</f>
        <v>21129.363</v>
      </c>
      <c r="BW319" s="56" t="n">
        <f aca="false">IF(ISNUMBER(BW308),BW311+SUM(BW312:BW318),"")</f>
        <v>21186.355</v>
      </c>
      <c r="BX319" s="56" t="n">
        <f aca="false">IF(ISNUMBER(BX308),BX311+SUM(BX312:BX318),"")</f>
        <v>21399.452</v>
      </c>
      <c r="BY319" s="74"/>
      <c r="BZ319" s="74"/>
      <c r="CA319" s="56" t="n">
        <f aca="false">IF(ISNUMBER(CA308),CA311+SUM(CA312:CA318),"")</f>
        <v>21576.6502022461</v>
      </c>
      <c r="CB319" s="56" t="n">
        <f aca="false">IF(ISNUMBER(CB308),CB311+SUM(CB312:CB318),"")</f>
        <v>22559.0649922222</v>
      </c>
      <c r="CC319" s="56" t="n">
        <f aca="false">IF(ISNUMBER(CC308),CC311+SUM(CC312:CC318),"")</f>
        <v>23572.8219166162</v>
      </c>
      <c r="CD319" s="56" t="n">
        <f aca="false">IF(ISNUMBER(CD308),CD311+SUM(CD312:CD318),"")</f>
        <v>24597.1691168141</v>
      </c>
      <c r="CE319" s="56" t="n">
        <f aca="false">IF(ISNUMBER(CE308),CE311+SUM(CE312:CE318),"")</f>
        <v>25626.8953025621</v>
      </c>
      <c r="CF319" s="21"/>
      <c r="CH319" s="22" t="n">
        <f aca="false">IFERROR((CE319/BV319)^(1/5)-1,"n/m")</f>
        <v>0.0393502337479152</v>
      </c>
      <c r="CI319" s="22" t="n">
        <f aca="false">IFERROR((BV319/AW319)^(1/5)-1,"n/m")</f>
        <v>0.0859230758407417</v>
      </c>
      <c r="CJ319" s="22" t="n">
        <f aca="false">IFERROR((BV319/X319)^(1/10)-1,"n/m")</f>
        <v>0.152249148372097</v>
      </c>
      <c r="CK319" s="22" t="n">
        <f aca="false">IFERROR((BV319/C319)^(1/19)-1,"n/m")</f>
        <v>0.139277304759195</v>
      </c>
    </row>
    <row r="320" customFormat="false" ht="15" hidden="false" customHeight="true" outlineLevel="0" collapsed="false">
      <c r="B320" s="29" t="s">
        <v>520</v>
      </c>
      <c r="BY320" s="7"/>
      <c r="BZ320" s="7"/>
      <c r="CA320" s="7"/>
      <c r="CB320" s="7"/>
      <c r="CC320" s="7"/>
      <c r="CD320" s="7"/>
      <c r="CE320" s="7"/>
      <c r="CF320" s="21"/>
    </row>
    <row r="321" customFormat="false" ht="15" hidden="false" customHeight="true" outlineLevel="0" collapsed="false">
      <c r="B321" s="29" t="s">
        <v>521</v>
      </c>
      <c r="C321" s="27" t="n">
        <v>53.01</v>
      </c>
      <c r="D321" s="27" t="n">
        <v>59.912</v>
      </c>
      <c r="E321" s="27" t="n">
        <v>65.537</v>
      </c>
      <c r="F321" s="27" t="n">
        <v>86.669</v>
      </c>
      <c r="G321" s="27" t="n">
        <v>85.252</v>
      </c>
      <c r="H321" s="27" t="n">
        <v>95.097</v>
      </c>
      <c r="I321" s="27" t="n">
        <v>130.26</v>
      </c>
      <c r="J321" s="27" t="n">
        <v>118.237</v>
      </c>
      <c r="K321" s="27" t="n">
        <v>120.503</v>
      </c>
      <c r="L321" s="27" t="n">
        <v>115.404</v>
      </c>
      <c r="M321" s="27" t="n">
        <v>105.394</v>
      </c>
      <c r="N321" s="27" t="n">
        <v>105.394</v>
      </c>
      <c r="O321" s="27" t="n">
        <v>95.179</v>
      </c>
      <c r="P321" s="27" t="n">
        <v>115.623</v>
      </c>
      <c r="Q321" s="27" t="n">
        <v>113.303</v>
      </c>
      <c r="R321" s="27" t="n">
        <v>120.717</v>
      </c>
      <c r="S321" s="27" t="n">
        <v>120.717</v>
      </c>
      <c r="T321" s="27" t="n">
        <v>108</v>
      </c>
      <c r="U321" s="27" t="n">
        <v>129.836</v>
      </c>
      <c r="V321" s="27" t="n">
        <v>138.718</v>
      </c>
      <c r="W321" s="27" t="n">
        <v>115.206</v>
      </c>
      <c r="X321" s="27" t="n">
        <v>115.206</v>
      </c>
      <c r="Y321" s="27" t="n">
        <v>111.259</v>
      </c>
      <c r="Z321" s="27" t="n">
        <v>243.215</v>
      </c>
      <c r="AA321" s="27" t="n">
        <v>247.295</v>
      </c>
      <c r="AB321" s="27" t="n">
        <v>251.253</v>
      </c>
      <c r="AC321" s="27" t="n">
        <v>251.253</v>
      </c>
      <c r="AD321" s="27" t="n">
        <v>247.676</v>
      </c>
      <c r="AE321" s="27" t="n">
        <v>239.15</v>
      </c>
      <c r="AF321" s="27" t="n">
        <v>276.97</v>
      </c>
      <c r="AG321" s="27" t="n">
        <v>330.523</v>
      </c>
      <c r="AH321" s="27" t="n">
        <v>330.523</v>
      </c>
      <c r="AI321" s="27" t="n">
        <v>287.894</v>
      </c>
      <c r="AJ321" s="27" t="n">
        <v>343.87</v>
      </c>
      <c r="AK321" s="27" t="n">
        <v>331.535</v>
      </c>
      <c r="AL321" s="27" t="n">
        <v>359.967</v>
      </c>
      <c r="AM321" s="27" t="n">
        <v>359.967</v>
      </c>
      <c r="AN321" s="27" t="n">
        <v>339.261</v>
      </c>
      <c r="AO321" s="27" t="n">
        <v>408.229</v>
      </c>
      <c r="AP321" s="27" t="n">
        <v>428.492</v>
      </c>
      <c r="AQ321" s="27" t="n">
        <v>436.97</v>
      </c>
      <c r="AR321" s="27" t="n">
        <v>436.97</v>
      </c>
      <c r="AS321" s="27" t="n">
        <v>398.523</v>
      </c>
      <c r="AT321" s="27" t="n">
        <v>367.355</v>
      </c>
      <c r="AU321" s="27" t="n">
        <v>403.946</v>
      </c>
      <c r="AV321" s="27" t="n">
        <v>290.82</v>
      </c>
      <c r="AW321" s="27" t="n">
        <v>290.82</v>
      </c>
      <c r="AX321" s="27" t="n">
        <v>280.025</v>
      </c>
      <c r="AY321" s="27" t="n">
        <v>326.085</v>
      </c>
      <c r="AZ321" s="27" t="n">
        <v>341.211</v>
      </c>
      <c r="BA321" s="27" t="n">
        <v>392.868</v>
      </c>
      <c r="BB321" s="27" t="n">
        <v>392.868</v>
      </c>
      <c r="BC321" s="27" t="n">
        <v>423.175</v>
      </c>
      <c r="BD321" s="27" t="n">
        <v>496.622</v>
      </c>
      <c r="BE321" s="27" t="n">
        <v>507.899</v>
      </c>
      <c r="BF321" s="27" t="n">
        <v>638.728</v>
      </c>
      <c r="BG321" s="27" t="n">
        <v>638.728</v>
      </c>
      <c r="BH321" s="27" t="n">
        <v>526.229</v>
      </c>
      <c r="BI321" s="27" t="n">
        <v>539.216</v>
      </c>
      <c r="BJ321" s="27" t="n">
        <v>604.542</v>
      </c>
      <c r="BK321" s="27" t="n">
        <v>642.455</v>
      </c>
      <c r="BL321" s="27" t="n">
        <v>642.455</v>
      </c>
      <c r="BM321" s="27" t="n">
        <v>589.861</v>
      </c>
      <c r="BN321" s="27" t="n">
        <v>663.159</v>
      </c>
      <c r="BO321" s="27" t="n">
        <v>706.284</v>
      </c>
      <c r="BP321" s="27" t="n">
        <v>637.371</v>
      </c>
      <c r="BQ321" s="27" t="n">
        <v>637.371</v>
      </c>
      <c r="BR321" s="27" t="n">
        <v>625.582</v>
      </c>
      <c r="BS321" s="27" t="n">
        <v>729.886</v>
      </c>
      <c r="BT321" s="27" t="n">
        <v>759.271</v>
      </c>
      <c r="BU321" s="27" t="n">
        <v>765.227</v>
      </c>
      <c r="BV321" s="27" t="n">
        <v>765.227</v>
      </c>
      <c r="BW321" s="27" t="n">
        <v>712.423</v>
      </c>
      <c r="BX321" s="27" t="n">
        <v>771.781</v>
      </c>
      <c r="BY321" s="28"/>
      <c r="BZ321" s="28"/>
      <c r="CA321" s="47" t="n">
        <f aca="false">CA129*CA352/365</f>
        <v>807.097122606081</v>
      </c>
      <c r="CB321" s="47" t="n">
        <f aca="false">CB129*CB352/365</f>
        <v>852.172457455685</v>
      </c>
      <c r="CC321" s="47" t="n">
        <f aca="false">CC129*CC352/365</f>
        <v>924.190534335051</v>
      </c>
      <c r="CD321" s="47" t="n">
        <f aca="false">CD129*CD352/365</f>
        <v>1000.84209121119</v>
      </c>
      <c r="CE321" s="47" t="n">
        <f aca="false">CE129*CE352/365</f>
        <v>1079.00730140763</v>
      </c>
      <c r="CF321" s="21"/>
    </row>
    <row r="322" customFormat="false" ht="15" hidden="false" customHeight="true" outlineLevel="0" collapsed="false">
      <c r="B322" s="29" t="s">
        <v>522</v>
      </c>
      <c r="C322" s="27" t="n">
        <v>0</v>
      </c>
      <c r="D322" s="27" t="n">
        <v>8.835</v>
      </c>
      <c r="E322" s="27" t="n">
        <v>4.315</v>
      </c>
      <c r="F322" s="27" t="n">
        <v>12.117</v>
      </c>
      <c r="G322" s="27" t="n">
        <v>12.396</v>
      </c>
      <c r="H322" s="27" t="n">
        <v>12.169</v>
      </c>
      <c r="I322" s="27" t="n">
        <v>12.567</v>
      </c>
      <c r="J322" s="27" t="n">
        <v>12.549</v>
      </c>
      <c r="K322" s="27" t="n">
        <v>12.477</v>
      </c>
      <c r="L322" s="27" t="n">
        <v>12.192</v>
      </c>
      <c r="M322" s="27" t="n">
        <v>12.456</v>
      </c>
      <c r="N322" s="27" t="n">
        <v>12.456</v>
      </c>
      <c r="O322" s="27" t="n">
        <v>12.591</v>
      </c>
      <c r="P322" s="27" t="n">
        <v>12.475</v>
      </c>
      <c r="Q322" s="27" t="n">
        <v>12.276</v>
      </c>
      <c r="R322" s="27" t="n">
        <v>12.446</v>
      </c>
      <c r="S322" s="27" t="n">
        <v>12.446</v>
      </c>
      <c r="T322" s="27" t="n">
        <v>12.471</v>
      </c>
      <c r="U322" s="27" t="n">
        <v>12.424</v>
      </c>
      <c r="V322" s="27" t="n">
        <v>12.51</v>
      </c>
      <c r="W322" s="27" t="n">
        <v>12.357</v>
      </c>
      <c r="X322" s="27" t="n">
        <v>12.357</v>
      </c>
      <c r="Y322" s="27" t="n">
        <v>12.206</v>
      </c>
      <c r="Z322" s="27" t="n">
        <v>14.341</v>
      </c>
      <c r="AA322" s="27" t="n">
        <v>18.363</v>
      </c>
      <c r="AB322" s="27" t="n">
        <v>10.955</v>
      </c>
      <c r="AC322" s="27" t="n">
        <v>10.955</v>
      </c>
      <c r="AD322" s="27" t="n">
        <v>31.027</v>
      </c>
      <c r="AE322" s="27" t="n">
        <v>30.585</v>
      </c>
      <c r="AF322" s="27" t="n">
        <v>24.923</v>
      </c>
      <c r="AG322" s="27" t="n">
        <v>19.223</v>
      </c>
      <c r="AH322" s="27" t="n">
        <v>19.223</v>
      </c>
      <c r="AI322" s="27" t="n">
        <v>18.965</v>
      </c>
      <c r="AJ322" s="27" t="n">
        <v>18.041</v>
      </c>
      <c r="AK322" s="27" t="n">
        <v>19.087</v>
      </c>
      <c r="AL322" s="27" t="n">
        <v>18.518</v>
      </c>
      <c r="AM322" s="27" t="n">
        <v>18.518</v>
      </c>
      <c r="AN322" s="27" t="n">
        <v>15.734</v>
      </c>
      <c r="AO322" s="27" t="n">
        <v>17.984</v>
      </c>
      <c r="AP322" s="27" t="n">
        <v>20.429</v>
      </c>
      <c r="AQ322" s="27" t="n">
        <v>15.954</v>
      </c>
      <c r="AR322" s="27" t="n">
        <v>15.954</v>
      </c>
      <c r="AS322" s="27" t="n">
        <v>12.105</v>
      </c>
      <c r="AT322" s="27" t="n">
        <v>15.348</v>
      </c>
      <c r="AU322" s="27" t="n">
        <v>15.092</v>
      </c>
      <c r="AV322" s="27" t="n">
        <v>17.079</v>
      </c>
      <c r="AW322" s="27" t="n">
        <v>17.079</v>
      </c>
      <c r="AX322" s="27" t="n">
        <v>0.234</v>
      </c>
      <c r="AY322" s="27" t="n">
        <v>16.902</v>
      </c>
      <c r="AZ322" s="27" t="n">
        <v>16.527</v>
      </c>
      <c r="BA322" s="27" t="n">
        <v>16.721</v>
      </c>
      <c r="BB322" s="27" t="n">
        <v>16.721</v>
      </c>
      <c r="BC322" s="27" t="n">
        <v>16.809</v>
      </c>
      <c r="BD322" s="27" t="n">
        <v>16.668</v>
      </c>
      <c r="BE322" s="27" t="n">
        <v>10.734</v>
      </c>
      <c r="BF322" s="27" t="n">
        <v>15.645</v>
      </c>
      <c r="BG322" s="27" t="n">
        <v>15.645</v>
      </c>
      <c r="BH322" s="27" t="n">
        <v>21.067</v>
      </c>
      <c r="BI322" s="27" t="n">
        <v>15.411</v>
      </c>
      <c r="BJ322" s="27" t="n">
        <v>15.782</v>
      </c>
      <c r="BK322" s="27" t="n">
        <v>14.855</v>
      </c>
      <c r="BL322" s="27" t="n">
        <v>14.855</v>
      </c>
      <c r="BM322" s="27" t="n">
        <v>14.584</v>
      </c>
      <c r="BN322" s="27" t="n">
        <v>16.204</v>
      </c>
      <c r="BO322" s="27" t="n">
        <v>14.568</v>
      </c>
      <c r="BP322" s="27" t="n">
        <v>14.628</v>
      </c>
      <c r="BQ322" s="27" t="n">
        <v>14.628</v>
      </c>
      <c r="BR322" s="27" t="n">
        <v>14.518</v>
      </c>
      <c r="BS322" s="27" t="n">
        <v>15.024</v>
      </c>
      <c r="BT322" s="27" t="n">
        <v>14.292</v>
      </c>
      <c r="BU322" s="27" t="n">
        <v>14.674</v>
      </c>
      <c r="BV322" s="27" t="n">
        <v>14.674</v>
      </c>
      <c r="BW322" s="27" t="n">
        <v>8.56</v>
      </c>
      <c r="BX322" s="27" t="n">
        <v>28.918</v>
      </c>
      <c r="BY322" s="28"/>
      <c r="BZ322" s="28"/>
      <c r="CA322" s="47" t="n">
        <f aca="false">BX322</f>
        <v>28.918</v>
      </c>
      <c r="CB322" s="47" t="n">
        <f aca="false">CA322</f>
        <v>28.918</v>
      </c>
      <c r="CC322" s="47" t="n">
        <f aca="false">CB322</f>
        <v>28.918</v>
      </c>
      <c r="CD322" s="47" t="n">
        <f aca="false">CC322</f>
        <v>28.918</v>
      </c>
      <c r="CE322" s="47" t="n">
        <f aca="false">CD322</f>
        <v>28.918</v>
      </c>
      <c r="CF322" s="21"/>
    </row>
    <row r="323" customFormat="false" ht="15" hidden="false" customHeight="true" outlineLevel="0" collapsed="false">
      <c r="B323" s="29" t="s">
        <v>523</v>
      </c>
      <c r="C323" s="27" t="n">
        <v>57.81</v>
      </c>
      <c r="D323" s="27" t="n">
        <v>69.578</v>
      </c>
      <c r="E323" s="27" t="n">
        <v>95.22</v>
      </c>
      <c r="F323" s="27" t="n">
        <v>93.38</v>
      </c>
      <c r="G323" s="27" t="n">
        <v>99.075</v>
      </c>
      <c r="H323" s="27" t="n">
        <v>106.243</v>
      </c>
      <c r="I323" s="27" t="n">
        <v>121.829</v>
      </c>
      <c r="J323" s="27" t="n">
        <v>118.193</v>
      </c>
      <c r="K323" s="27" t="n">
        <v>127.177</v>
      </c>
      <c r="L323" s="27" t="n">
        <v>134.951</v>
      </c>
      <c r="M323" s="27" t="n">
        <v>119.026</v>
      </c>
      <c r="N323" s="27" t="n">
        <v>119.026</v>
      </c>
      <c r="O323" s="27" t="n">
        <v>124.484</v>
      </c>
      <c r="P323" s="27" t="n">
        <v>131.216</v>
      </c>
      <c r="Q323" s="27" t="n">
        <v>146.019</v>
      </c>
      <c r="R323" s="27" t="n">
        <v>120.947</v>
      </c>
      <c r="S323" s="27" t="n">
        <v>120.947</v>
      </c>
      <c r="T323" s="27" t="n">
        <v>125.08</v>
      </c>
      <c r="U323" s="27" t="n">
        <v>132.509</v>
      </c>
      <c r="V323" s="27" t="n">
        <v>150.352</v>
      </c>
      <c r="W323" s="27" t="n">
        <v>136.018</v>
      </c>
      <c r="X323" s="27" t="n">
        <v>136.018</v>
      </c>
      <c r="Y323" s="27" t="n">
        <v>131.58</v>
      </c>
      <c r="Z323" s="27" t="n">
        <v>269.334</v>
      </c>
      <c r="AA323" s="27" t="n">
        <v>266.906</v>
      </c>
      <c r="AB323" s="27" t="n">
        <v>269.402</v>
      </c>
      <c r="AC323" s="27" t="n">
        <v>269.402</v>
      </c>
      <c r="AD323" s="27" t="n">
        <v>260.603</v>
      </c>
      <c r="AE323" s="27" t="n">
        <v>270.621</v>
      </c>
      <c r="AF323" s="27" t="n">
        <v>347.439</v>
      </c>
      <c r="AG323" s="27" t="n">
        <v>278.039</v>
      </c>
      <c r="AH323" s="27" t="n">
        <v>278.039</v>
      </c>
      <c r="AI323" s="27" t="n">
        <v>260.542</v>
      </c>
      <c r="AJ323" s="27" t="n">
        <v>257.874</v>
      </c>
      <c r="AK323" s="27" t="n">
        <v>287.369</v>
      </c>
      <c r="AL323" s="27" t="n">
        <v>289.544</v>
      </c>
      <c r="AM323" s="27" t="n">
        <v>289.544</v>
      </c>
      <c r="AN323" s="27" t="n">
        <v>264.706</v>
      </c>
      <c r="AO323" s="27" t="n">
        <v>274.478</v>
      </c>
      <c r="AP323" s="27" t="n">
        <v>299.139</v>
      </c>
      <c r="AQ323" s="27" t="n">
        <v>281.308</v>
      </c>
      <c r="AR323" s="27" t="n">
        <v>281.308</v>
      </c>
      <c r="AS323" s="27" t="n">
        <v>297.266</v>
      </c>
      <c r="AT323" s="27" t="n">
        <v>341.333</v>
      </c>
      <c r="AU323" s="27" t="n">
        <v>400.293</v>
      </c>
      <c r="AV323" s="27" t="n">
        <v>404.923</v>
      </c>
      <c r="AW323" s="27" t="n">
        <v>404.923</v>
      </c>
      <c r="AX323" s="27" t="n">
        <v>399.47</v>
      </c>
      <c r="AY323" s="27" t="n">
        <v>411.333</v>
      </c>
      <c r="AZ323" s="27" t="n">
        <v>448.541</v>
      </c>
      <c r="BA323" s="27" t="n">
        <v>442.596</v>
      </c>
      <c r="BB323" s="27" t="n">
        <v>442.596</v>
      </c>
      <c r="BC323" s="27" t="n">
        <v>396.292</v>
      </c>
      <c r="BD323" s="27" t="n">
        <v>417.725</v>
      </c>
      <c r="BE323" s="27" t="n">
        <v>457.904</v>
      </c>
      <c r="BF323" s="27" t="n">
        <v>431.247</v>
      </c>
      <c r="BG323" s="27" t="n">
        <v>431.247</v>
      </c>
      <c r="BH323" s="27" t="n">
        <v>390.195</v>
      </c>
      <c r="BI323" s="27" t="n">
        <v>452.949</v>
      </c>
      <c r="BJ323" s="27" t="n">
        <v>446.436</v>
      </c>
      <c r="BK323" s="27" t="n">
        <v>521.428</v>
      </c>
      <c r="BL323" s="27" t="n">
        <v>521.428</v>
      </c>
      <c r="BM323" s="27" t="n">
        <v>507.259</v>
      </c>
      <c r="BN323" s="27" t="n">
        <v>569.732</v>
      </c>
      <c r="BO323" s="27" t="n">
        <v>552.741</v>
      </c>
      <c r="BP323" s="27" t="n">
        <v>736.824</v>
      </c>
      <c r="BQ323" s="27" t="n">
        <v>736.824</v>
      </c>
      <c r="BR323" s="27" t="n">
        <v>690.222</v>
      </c>
      <c r="BS323" s="27" t="n">
        <v>705.551</v>
      </c>
      <c r="BT323" s="27" t="n">
        <v>762.137</v>
      </c>
      <c r="BU323" s="27" t="n">
        <v>810.367</v>
      </c>
      <c r="BV323" s="27" t="n">
        <v>810.367</v>
      </c>
      <c r="BW323" s="27" t="n">
        <v>745.013</v>
      </c>
      <c r="BX323" s="27" t="n">
        <v>781.129</v>
      </c>
      <c r="BY323" s="28"/>
      <c r="BZ323" s="28"/>
      <c r="CA323" s="47" t="n">
        <f aca="false">CA128*CA353</f>
        <v>858.996</v>
      </c>
      <c r="CB323" s="47" t="n">
        <f aca="false">CB128*CB353</f>
        <v>911.919941844514</v>
      </c>
      <c r="CC323" s="47" t="n">
        <f aca="false">CC128*CC353</f>
        <v>984.995933843483</v>
      </c>
      <c r="CD323" s="47" t="n">
        <f aca="false">CD128*CD353</f>
        <v>1062.97765184453</v>
      </c>
      <c r="CE323" s="47" t="n">
        <f aca="false">CE128*CE353</f>
        <v>1142.49236974185</v>
      </c>
      <c r="CF323" s="21"/>
    </row>
    <row r="324" customFormat="false" ht="15" hidden="false" customHeight="true" outlineLevel="0" collapsed="false">
      <c r="B324" s="29" t="s">
        <v>524</v>
      </c>
      <c r="C324" s="27" t="n">
        <v>32.161</v>
      </c>
      <c r="D324" s="27" t="n">
        <v>44.074</v>
      </c>
      <c r="E324" s="27" t="n">
        <v>45.694</v>
      </c>
      <c r="F324" s="27" t="n">
        <v>50.138</v>
      </c>
      <c r="G324" s="27" t="n">
        <v>54.157</v>
      </c>
      <c r="H324" s="27" t="n">
        <v>64.694</v>
      </c>
      <c r="I324" s="27" t="n">
        <v>69.93</v>
      </c>
      <c r="J324" s="27" t="n">
        <v>68.85</v>
      </c>
      <c r="K324" s="27" t="n">
        <v>71.049</v>
      </c>
      <c r="L324" s="27" t="n">
        <v>68.644</v>
      </c>
      <c r="M324" s="27" t="n">
        <v>71.917</v>
      </c>
      <c r="N324" s="27" t="n">
        <v>71.917</v>
      </c>
      <c r="O324" s="27" t="n">
        <v>71.834</v>
      </c>
      <c r="P324" s="27" t="n">
        <v>77.927</v>
      </c>
      <c r="Q324" s="27" t="n">
        <v>78.44</v>
      </c>
      <c r="R324" s="27" t="n">
        <v>80.915</v>
      </c>
      <c r="S324" s="27" t="n">
        <v>80.915</v>
      </c>
      <c r="T324" s="27" t="n">
        <v>83.678</v>
      </c>
      <c r="U324" s="27" t="n">
        <v>84.563</v>
      </c>
      <c r="V324" s="27" t="n">
        <v>82.902</v>
      </c>
      <c r="W324" s="27" t="n">
        <v>90.349</v>
      </c>
      <c r="X324" s="27" t="n">
        <v>90.349</v>
      </c>
      <c r="Y324" s="27" t="n">
        <v>90.487</v>
      </c>
      <c r="Z324" s="27" t="n">
        <v>134.257</v>
      </c>
      <c r="AA324" s="27" t="n">
        <v>130.724</v>
      </c>
      <c r="AB324" s="27" t="n">
        <v>134.081</v>
      </c>
      <c r="AC324" s="27" t="n">
        <v>134.081</v>
      </c>
      <c r="AD324" s="27" t="n">
        <v>139.017</v>
      </c>
      <c r="AE324" s="27" t="n">
        <v>140.07</v>
      </c>
      <c r="AF324" s="27" t="n">
        <v>142.787</v>
      </c>
      <c r="AG324" s="27" t="n">
        <v>145.197</v>
      </c>
      <c r="AH324" s="27" t="n">
        <v>145.197</v>
      </c>
      <c r="AI324" s="27" t="n">
        <v>156.528</v>
      </c>
      <c r="AJ324" s="27" t="n">
        <v>162.463</v>
      </c>
      <c r="AK324" s="27" t="n">
        <v>162.965</v>
      </c>
      <c r="AL324" s="27" t="n">
        <v>179.282</v>
      </c>
      <c r="AM324" s="27" t="n">
        <v>179.282</v>
      </c>
      <c r="AN324" s="27" t="n">
        <v>181.95</v>
      </c>
      <c r="AO324" s="27" t="n">
        <v>199.401</v>
      </c>
      <c r="AP324" s="27" t="n">
        <v>200.677</v>
      </c>
      <c r="AQ324" s="27" t="n">
        <v>216.443</v>
      </c>
      <c r="AR324" s="27" t="n">
        <v>216.443</v>
      </c>
      <c r="AS324" s="27" t="n">
        <v>210.668</v>
      </c>
      <c r="AT324" s="27" t="n">
        <v>214.478</v>
      </c>
      <c r="AU324" s="27" t="n">
        <v>216.675</v>
      </c>
      <c r="AV324" s="27" t="n">
        <v>233.596</v>
      </c>
      <c r="AW324" s="27" t="n">
        <v>233.596</v>
      </c>
      <c r="AX324" s="27" t="n">
        <v>243.712</v>
      </c>
      <c r="AY324" s="27" t="n">
        <v>250.254</v>
      </c>
      <c r="AZ324" s="27" t="n">
        <v>254.135</v>
      </c>
      <c r="BA324" s="27" t="n">
        <v>273.72</v>
      </c>
      <c r="BB324" s="27" t="n">
        <v>273.72</v>
      </c>
      <c r="BC324" s="27" t="n">
        <v>293.729</v>
      </c>
      <c r="BD324" s="27" t="n">
        <v>305.724</v>
      </c>
      <c r="BE324" s="27" t="n">
        <v>306.019</v>
      </c>
      <c r="BF324" s="27" t="n">
        <v>325.002</v>
      </c>
      <c r="BG324" s="27" t="n">
        <v>325.002</v>
      </c>
      <c r="BH324" s="27" t="n">
        <v>336.613</v>
      </c>
      <c r="BI324" s="27" t="n">
        <v>341.408</v>
      </c>
      <c r="BJ324" s="27" t="n">
        <v>342.726</v>
      </c>
      <c r="BK324" s="27" t="n">
        <v>355.203</v>
      </c>
      <c r="BL324" s="27" t="n">
        <v>355.203</v>
      </c>
      <c r="BM324" s="27" t="n">
        <v>370.38</v>
      </c>
      <c r="BN324" s="27" t="n">
        <v>375.626</v>
      </c>
      <c r="BO324" s="27" t="n">
        <v>377.475</v>
      </c>
      <c r="BP324" s="27" t="n">
        <v>382.501</v>
      </c>
      <c r="BQ324" s="27" t="n">
        <v>382.501</v>
      </c>
      <c r="BR324" s="27" t="n">
        <v>404.382</v>
      </c>
      <c r="BS324" s="27" t="n">
        <v>412.417</v>
      </c>
      <c r="BT324" s="27" t="n">
        <v>411.579</v>
      </c>
      <c r="BU324" s="27" t="n">
        <v>416.025</v>
      </c>
      <c r="BV324" s="27" t="n">
        <v>416.025</v>
      </c>
      <c r="BW324" s="27" t="n">
        <v>424.835</v>
      </c>
      <c r="BX324" s="27" t="n">
        <v>429.904</v>
      </c>
      <c r="BY324" s="28"/>
      <c r="BZ324" s="28"/>
      <c r="CA324" s="47" t="n">
        <f aca="false">CA128*CA354</f>
        <v>440.5365</v>
      </c>
      <c r="CB324" s="47" t="n">
        <f aca="false">CB128*CB354</f>
        <v>467.678568305773</v>
      </c>
      <c r="CC324" s="47" t="n">
        <f aca="false">CC128*CC354</f>
        <v>505.155624950104</v>
      </c>
      <c r="CD324" s="47" t="n">
        <f aca="false">CD128*CD354</f>
        <v>545.148585466996</v>
      </c>
      <c r="CE324" s="47" t="n">
        <f aca="false">CE128*CE354</f>
        <v>585.927745697048</v>
      </c>
      <c r="CF324" s="21"/>
    </row>
    <row r="325" customFormat="false" ht="15" hidden="false" customHeight="true" outlineLevel="0" collapsed="false">
      <c r="B325" s="29" t="s">
        <v>525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7" t="n">
        <v>29.81</v>
      </c>
      <c r="AO325" s="27" t="n">
        <v>30.255</v>
      </c>
      <c r="AP325" s="27" t="n">
        <v>30.162</v>
      </c>
      <c r="AQ325" s="27" t="n">
        <v>29.929</v>
      </c>
      <c r="AR325" s="27" t="n">
        <v>29.929</v>
      </c>
      <c r="AS325" s="27" t="n">
        <v>29.741</v>
      </c>
      <c r="AT325" s="27" t="n">
        <v>30.933</v>
      </c>
      <c r="AU325" s="27" t="n">
        <v>30.196</v>
      </c>
      <c r="AV325" s="27" t="n">
        <v>30.671</v>
      </c>
      <c r="AW325" s="27" t="n">
        <v>30.671</v>
      </c>
      <c r="AX325" s="27" t="n">
        <v>35.699</v>
      </c>
      <c r="AY325" s="27" t="n">
        <v>37.352</v>
      </c>
      <c r="AZ325" s="27" t="n">
        <v>37.236</v>
      </c>
      <c r="BA325" s="27" t="n">
        <v>38.017</v>
      </c>
      <c r="BB325" s="27" t="n">
        <v>38.017</v>
      </c>
      <c r="BC325" s="27" t="n">
        <v>35.079</v>
      </c>
      <c r="BD325" s="27" t="n">
        <v>35.101</v>
      </c>
      <c r="BE325" s="27" t="n">
        <v>34.526</v>
      </c>
      <c r="BF325" s="27" t="n">
        <v>35.17</v>
      </c>
      <c r="BG325" s="27" t="n">
        <v>35.17</v>
      </c>
      <c r="BH325" s="27" t="n">
        <v>34.078</v>
      </c>
      <c r="BI325" s="27" t="n">
        <v>32.747</v>
      </c>
      <c r="BJ325" s="27" t="n">
        <v>32.677</v>
      </c>
      <c r="BK325" s="27" t="n">
        <v>32.533</v>
      </c>
      <c r="BL325" s="27" t="n">
        <v>32.533</v>
      </c>
      <c r="BM325" s="27" t="n">
        <v>36.43</v>
      </c>
      <c r="BN325" s="27" t="n">
        <v>38.434</v>
      </c>
      <c r="BO325" s="27" t="n">
        <v>39.618</v>
      </c>
      <c r="BP325" s="27" t="n">
        <v>40.49</v>
      </c>
      <c r="BQ325" s="27" t="n">
        <v>40.49</v>
      </c>
      <c r="BR325" s="27" t="n">
        <v>39.857</v>
      </c>
      <c r="BS325" s="27" t="n">
        <v>41.762</v>
      </c>
      <c r="BT325" s="27" t="n">
        <v>42.681</v>
      </c>
      <c r="BU325" s="27" t="n">
        <v>44.272</v>
      </c>
      <c r="BV325" s="27" t="n">
        <v>44.272</v>
      </c>
      <c r="BW325" s="27" t="n">
        <v>46.335</v>
      </c>
      <c r="BX325" s="27" t="n">
        <v>46.878</v>
      </c>
      <c r="BY325" s="28"/>
      <c r="BZ325" s="28"/>
      <c r="CA325" s="47" t="n">
        <f aca="false">BX325</f>
        <v>46.878</v>
      </c>
      <c r="CB325" s="47" t="n">
        <f aca="false">CA325</f>
        <v>46.878</v>
      </c>
      <c r="CC325" s="47" t="n">
        <f aca="false">CB325</f>
        <v>46.878</v>
      </c>
      <c r="CD325" s="47" t="n">
        <f aca="false">CC325</f>
        <v>46.878</v>
      </c>
      <c r="CE325" s="47" t="n">
        <f aca="false">CD325</f>
        <v>46.878</v>
      </c>
      <c r="CF325" s="21"/>
    </row>
    <row r="326" customFormat="false" ht="15" hidden="false" customHeight="true" outlineLevel="0" collapsed="false">
      <c r="B326" s="29" t="s">
        <v>526</v>
      </c>
      <c r="C326" s="25"/>
      <c r="D326" s="25"/>
      <c r="E326" s="25"/>
      <c r="F326" s="25"/>
      <c r="G326" s="25"/>
      <c r="H326" s="25"/>
      <c r="I326" s="27" t="n">
        <v>49.018</v>
      </c>
      <c r="J326" s="27" t="n">
        <v>49.136</v>
      </c>
      <c r="K326" s="27" t="n">
        <v>56.856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7" t="n">
        <v>25.981</v>
      </c>
      <c r="W326" s="27" t="n">
        <v>22.217</v>
      </c>
      <c r="X326" s="27" t="n">
        <v>22.217</v>
      </c>
      <c r="Y326" s="27" t="n">
        <v>20.407</v>
      </c>
      <c r="Z326" s="27" t="n">
        <v>21.92</v>
      </c>
      <c r="AA326" s="27" t="n">
        <v>24.338</v>
      </c>
      <c r="AB326" s="27" t="n">
        <v>21.453</v>
      </c>
      <c r="AC326" s="27" t="n">
        <v>21.453</v>
      </c>
      <c r="AD326" s="27" t="n">
        <v>27.562</v>
      </c>
      <c r="AE326" s="27" t="n">
        <v>27.097</v>
      </c>
      <c r="AF326" s="27" t="n">
        <v>13.819</v>
      </c>
      <c r="AG326" s="27" t="n">
        <v>15.803</v>
      </c>
      <c r="AH326" s="27" t="n">
        <v>15.803</v>
      </c>
      <c r="AI326" s="27" t="n">
        <v>14.462</v>
      </c>
      <c r="AJ326" s="27" t="n">
        <v>11.688</v>
      </c>
      <c r="AK326" s="27" t="n">
        <v>11.612</v>
      </c>
      <c r="AL326" s="27" t="n">
        <v>11.612</v>
      </c>
      <c r="AM326" s="27" t="n">
        <v>11.612</v>
      </c>
      <c r="AN326" s="27" t="n">
        <v>11.65</v>
      </c>
      <c r="AO326" s="27" t="n">
        <v>11.773</v>
      </c>
      <c r="AP326" s="27" t="n">
        <v>12.393</v>
      </c>
      <c r="AQ326" s="27" t="n">
        <v>26.159</v>
      </c>
      <c r="AR326" s="27" t="n">
        <v>26.159</v>
      </c>
      <c r="AS326" s="27" t="n">
        <v>37.549</v>
      </c>
      <c r="AT326" s="27" t="n">
        <v>62.213</v>
      </c>
      <c r="AU326" s="27" t="n">
        <v>62.492</v>
      </c>
      <c r="AV326" s="27" t="n">
        <v>43.297</v>
      </c>
      <c r="AW326" s="27" t="n">
        <v>43.297</v>
      </c>
      <c r="AX326" s="27" t="n">
        <v>42.36</v>
      </c>
      <c r="AY326" s="27" t="n">
        <v>43.359</v>
      </c>
      <c r="AZ326" s="27" t="n">
        <v>42.359</v>
      </c>
      <c r="BA326" s="27" t="n">
        <v>62.804</v>
      </c>
      <c r="BB326" s="27" t="n">
        <v>62.804</v>
      </c>
      <c r="BC326" s="27" t="n">
        <v>64.48</v>
      </c>
      <c r="BD326" s="27" t="n">
        <v>59.371</v>
      </c>
      <c r="BE326" s="27" t="n">
        <v>54.867</v>
      </c>
      <c r="BF326" s="27" t="n">
        <v>60.092</v>
      </c>
      <c r="BG326" s="27" t="n">
        <v>60.092</v>
      </c>
      <c r="BH326" s="27" t="n">
        <v>64.489</v>
      </c>
      <c r="BI326" s="27" t="n">
        <v>71.065</v>
      </c>
      <c r="BJ326" s="27" t="n">
        <v>100.813</v>
      </c>
      <c r="BK326" s="27" t="n">
        <v>94.996</v>
      </c>
      <c r="BL326" s="27" t="n">
        <v>94.996</v>
      </c>
      <c r="BM326" s="27" t="n">
        <v>96.931</v>
      </c>
      <c r="BN326" s="27" t="n">
        <v>97.253</v>
      </c>
      <c r="BO326" s="27" t="n">
        <v>55.474</v>
      </c>
      <c r="BP326" s="27" t="n">
        <v>59.169</v>
      </c>
      <c r="BQ326" s="27" t="n">
        <v>59.169</v>
      </c>
      <c r="BR326" s="27" t="n">
        <v>47.261</v>
      </c>
      <c r="BS326" s="27" t="n">
        <v>87.8</v>
      </c>
      <c r="BT326" s="27" t="n">
        <v>89.044</v>
      </c>
      <c r="BU326" s="27" t="n">
        <v>65.029</v>
      </c>
      <c r="BV326" s="27" t="n">
        <v>65.029</v>
      </c>
      <c r="BW326" s="27" t="n">
        <v>61.945</v>
      </c>
      <c r="BX326" s="27" t="n">
        <v>61.416</v>
      </c>
      <c r="BY326" s="28"/>
      <c r="BZ326" s="28"/>
      <c r="CA326" s="47" t="n">
        <f aca="false">BX326</f>
        <v>61.416</v>
      </c>
      <c r="CB326" s="47" t="n">
        <f aca="false">CA326</f>
        <v>61.416</v>
      </c>
      <c r="CC326" s="47" t="n">
        <f aca="false">CB326</f>
        <v>61.416</v>
      </c>
      <c r="CD326" s="47" t="n">
        <f aca="false">CC326</f>
        <v>61.416</v>
      </c>
      <c r="CE326" s="47" t="n">
        <f aca="false">CD326</f>
        <v>61.416</v>
      </c>
      <c r="CF326" s="21"/>
    </row>
    <row r="327" customFormat="false" ht="15" hidden="false" customHeight="true" outlineLevel="0" collapsed="false">
      <c r="B327" s="29" t="s">
        <v>527</v>
      </c>
      <c r="C327" s="27" t="n">
        <v>6.884</v>
      </c>
      <c r="D327" s="27" t="n">
        <v>13.315</v>
      </c>
      <c r="E327" s="27" t="n">
        <v>4.698</v>
      </c>
      <c r="F327" s="27" t="n">
        <v>2.609</v>
      </c>
      <c r="G327" s="27" t="n">
        <v>2.657</v>
      </c>
      <c r="H327" s="27" t="n">
        <v>5.899</v>
      </c>
      <c r="I327" s="27" t="n">
        <v>33.968</v>
      </c>
      <c r="J327" s="27" t="n">
        <v>35.182</v>
      </c>
      <c r="K327" s="27" t="n">
        <v>55.319</v>
      </c>
      <c r="L327" s="27" t="n">
        <v>7.456</v>
      </c>
      <c r="M327" s="27" t="n">
        <v>5.385</v>
      </c>
      <c r="N327" s="27" t="n">
        <v>5.385</v>
      </c>
      <c r="O327" s="27" t="n">
        <v>4.009</v>
      </c>
      <c r="P327" s="27" t="n">
        <v>4.031</v>
      </c>
      <c r="Q327" s="27" t="n">
        <v>3.621</v>
      </c>
      <c r="R327" s="27" t="n">
        <v>3.649</v>
      </c>
      <c r="S327" s="27" t="n">
        <v>3.649</v>
      </c>
      <c r="T327" s="27" t="n">
        <v>3.917</v>
      </c>
      <c r="U327" s="27" t="n">
        <v>3.942</v>
      </c>
      <c r="V327" s="27" t="n">
        <v>3.637</v>
      </c>
      <c r="W327" s="27" t="n">
        <v>2.127</v>
      </c>
      <c r="X327" s="27" t="n">
        <v>2.127</v>
      </c>
      <c r="Y327" s="27" t="n">
        <v>1.59</v>
      </c>
      <c r="Z327" s="27" t="n">
        <v>1.575</v>
      </c>
      <c r="AA327" s="27" t="n">
        <v>1.624</v>
      </c>
      <c r="AB327" s="27" t="n">
        <v>1.65</v>
      </c>
      <c r="AC327" s="27" t="n">
        <v>1.65</v>
      </c>
      <c r="AD327" s="27" t="n">
        <v>11.439</v>
      </c>
      <c r="AE327" s="27" t="n">
        <v>11.511</v>
      </c>
      <c r="AF327" s="27" t="n">
        <v>11.596</v>
      </c>
      <c r="AG327" s="27" t="n">
        <v>11.659</v>
      </c>
      <c r="AH327" s="27" t="n">
        <v>11.659</v>
      </c>
      <c r="AI327" s="27" t="n">
        <v>1.675</v>
      </c>
      <c r="AJ327" s="27" t="n">
        <v>1.69</v>
      </c>
      <c r="AK327" s="27" t="n">
        <v>1.753</v>
      </c>
      <c r="AL327" s="27" t="n">
        <v>1.786</v>
      </c>
      <c r="AM327" s="27" t="n">
        <v>1.786</v>
      </c>
      <c r="AN327" s="27" t="n">
        <v>1.016</v>
      </c>
      <c r="AO327" s="27" t="n">
        <v>0.798</v>
      </c>
      <c r="AP327" s="27" t="n">
        <v>0.502</v>
      </c>
      <c r="AQ327" s="27" t="n">
        <v>0.465</v>
      </c>
      <c r="AR327" s="27" t="n">
        <v>0.465</v>
      </c>
      <c r="AS327" s="27" t="n">
        <v>4.318</v>
      </c>
      <c r="AT327" s="27" t="n">
        <v>7.658</v>
      </c>
      <c r="AU327" s="27" t="n">
        <v>6.772</v>
      </c>
      <c r="AV327" s="27" t="n">
        <v>8.268</v>
      </c>
      <c r="AW327" s="27" t="n">
        <v>8.268</v>
      </c>
      <c r="AX327" s="27" t="n">
        <v>105.386</v>
      </c>
      <c r="AY327" s="27" t="n">
        <v>6.997</v>
      </c>
      <c r="AZ327" s="27" t="n">
        <v>5.289</v>
      </c>
      <c r="BA327" s="27" t="n">
        <v>6.02</v>
      </c>
      <c r="BB327" s="27" t="n">
        <v>6.02</v>
      </c>
      <c r="BC327" s="27" t="n">
        <v>28.07</v>
      </c>
      <c r="BD327" s="27" t="n">
        <v>6.342</v>
      </c>
      <c r="BE327" s="27" t="n">
        <v>6.718</v>
      </c>
      <c r="BF327" s="27" t="n">
        <v>6.759</v>
      </c>
      <c r="BG327" s="27" t="n">
        <v>6.759</v>
      </c>
      <c r="BH327" s="27" t="n">
        <v>10.513</v>
      </c>
      <c r="BI327" s="27" t="n">
        <v>10.699</v>
      </c>
      <c r="BJ327" s="27" t="n">
        <v>32.76</v>
      </c>
      <c r="BK327" s="27" t="n">
        <v>26.462</v>
      </c>
      <c r="BL327" s="27" t="n">
        <v>26.462</v>
      </c>
      <c r="BM327" s="27" t="n">
        <v>16.096</v>
      </c>
      <c r="BN327" s="27" t="n">
        <v>10.058</v>
      </c>
      <c r="BO327" s="27" t="n">
        <v>7.873</v>
      </c>
      <c r="BP327" s="27" t="n">
        <v>7.851</v>
      </c>
      <c r="BQ327" s="27" t="n">
        <v>7.851</v>
      </c>
      <c r="BR327" s="27" t="n">
        <v>7.657</v>
      </c>
      <c r="BS327" s="27" t="n">
        <v>8.759</v>
      </c>
      <c r="BT327" s="27" t="n">
        <v>8.619</v>
      </c>
      <c r="BU327" s="27" t="n">
        <v>8.667</v>
      </c>
      <c r="BV327" s="27" t="n">
        <v>8.667</v>
      </c>
      <c r="BW327" s="27" t="n">
        <v>8.355</v>
      </c>
      <c r="BX327" s="27" t="n">
        <v>8.094</v>
      </c>
      <c r="BY327" s="28"/>
      <c r="BZ327" s="28"/>
      <c r="CA327" s="47" t="n">
        <f aca="false">MIN(CA374,-CB375)</f>
        <v>-0</v>
      </c>
      <c r="CB327" s="47" t="n">
        <f aca="false">MIN(CB374,-CC375)</f>
        <v>500</v>
      </c>
      <c r="CC327" s="47" t="n">
        <f aca="false">MIN(CC374,-CD375)</f>
        <v>851.85</v>
      </c>
      <c r="CD327" s="47" t="n">
        <f aca="false">MIN(CD374,-CE375)</f>
        <v>600</v>
      </c>
      <c r="CE327" s="47" t="n">
        <f aca="false">CD327</f>
        <v>600</v>
      </c>
      <c r="CF327" s="21" t="s">
        <v>528</v>
      </c>
    </row>
    <row r="328" customFormat="false" ht="15" hidden="false" customHeight="true" outlineLevel="0" collapsed="false">
      <c r="B328" s="29" t="s">
        <v>529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7" t="n">
        <v>3.383</v>
      </c>
      <c r="AC328" s="27" t="n">
        <v>3.383</v>
      </c>
      <c r="AD328" s="27" t="n">
        <v>7.798</v>
      </c>
      <c r="AE328" s="27" t="n">
        <v>6.365</v>
      </c>
      <c r="AF328" s="27" t="n">
        <v>2.255</v>
      </c>
      <c r="AG328" s="27" t="n">
        <v>2.155</v>
      </c>
      <c r="AH328" s="27" t="n">
        <v>2.155</v>
      </c>
      <c r="AI328" s="27" t="n">
        <v>2.071</v>
      </c>
      <c r="AJ328" s="27" t="n">
        <v>2.044</v>
      </c>
      <c r="AK328" s="27" t="n">
        <v>0.928</v>
      </c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8"/>
      <c r="BZ328" s="28"/>
      <c r="CA328" s="47" t="n">
        <f aca="false">BX328</f>
        <v>0</v>
      </c>
      <c r="CB328" s="47" t="n">
        <f aca="false">CA328</f>
        <v>0</v>
      </c>
      <c r="CC328" s="47" t="n">
        <f aca="false">CB328</f>
        <v>0</v>
      </c>
      <c r="CD328" s="47" t="n">
        <f aca="false">CC328</f>
        <v>0</v>
      </c>
      <c r="CE328" s="47" t="n">
        <f aca="false">CD328</f>
        <v>0</v>
      </c>
      <c r="CF328" s="21"/>
    </row>
    <row r="329" customFormat="false" ht="15" hidden="false" customHeight="true" outlineLevel="0" collapsed="false">
      <c r="B329" s="18" t="s">
        <v>530</v>
      </c>
      <c r="C329" s="32" t="n">
        <f aca="false">IF(ISNUMBER(C321),SUM(C321:C328),"")</f>
        <v>149.865</v>
      </c>
      <c r="D329" s="32" t="n">
        <f aca="false">IF(ISNUMBER(D321),SUM(D321:D328),"")</f>
        <v>195.714</v>
      </c>
      <c r="E329" s="32" t="n">
        <f aca="false">IF(ISNUMBER(E321),SUM(E321:E328),"")</f>
        <v>215.464</v>
      </c>
      <c r="F329" s="32" t="n">
        <f aca="false">IF(ISNUMBER(F321),SUM(F321:F328),"")</f>
        <v>244.913</v>
      </c>
      <c r="G329" s="32" t="n">
        <f aca="false">IF(ISNUMBER(G321),SUM(G321:G328),"")</f>
        <v>253.537</v>
      </c>
      <c r="H329" s="32" t="n">
        <f aca="false">IF(ISNUMBER(H321),SUM(H321:H328),"")</f>
        <v>284.102</v>
      </c>
      <c r="I329" s="32" t="n">
        <f aca="false">IF(ISNUMBER(I321),SUM(I321:I328),"")</f>
        <v>417.572</v>
      </c>
      <c r="J329" s="32" t="n">
        <f aca="false">IF(ISNUMBER(J321),SUM(J321:J328),"")</f>
        <v>402.147</v>
      </c>
      <c r="K329" s="32" t="n">
        <f aca="false">IF(ISNUMBER(K321),SUM(K321:K328),"")</f>
        <v>443.381</v>
      </c>
      <c r="L329" s="32" t="n">
        <f aca="false">IF(ISNUMBER(L321),SUM(L321:L328),"")</f>
        <v>338.647</v>
      </c>
      <c r="M329" s="32" t="n">
        <f aca="false">IF(ISNUMBER(M321),SUM(M321:M328),"")</f>
        <v>314.178</v>
      </c>
      <c r="N329" s="32" t="n">
        <f aca="false">IF(ISNUMBER(N321),SUM(N321:N328),"")</f>
        <v>314.178</v>
      </c>
      <c r="O329" s="32" t="n">
        <f aca="false">IF(ISNUMBER(O321),SUM(O321:O328),"")</f>
        <v>308.097</v>
      </c>
      <c r="P329" s="32" t="n">
        <f aca="false">IF(ISNUMBER(P321),SUM(P321:P328),"")</f>
        <v>341.272</v>
      </c>
      <c r="Q329" s="32" t="n">
        <f aca="false">IF(ISNUMBER(Q321),SUM(Q321:Q328),"")</f>
        <v>353.659</v>
      </c>
      <c r="R329" s="32" t="n">
        <f aca="false">IF(ISNUMBER(R321),SUM(R321:R328),"")</f>
        <v>338.674</v>
      </c>
      <c r="S329" s="32" t="n">
        <f aca="false">IF(ISNUMBER(S321),SUM(S321:S328),"")</f>
        <v>338.674</v>
      </c>
      <c r="T329" s="32" t="n">
        <f aca="false">IF(ISNUMBER(T321),SUM(T321:T328),"")</f>
        <v>333.146</v>
      </c>
      <c r="U329" s="32" t="n">
        <f aca="false">IF(ISNUMBER(U321),SUM(U321:U328),"")</f>
        <v>363.274</v>
      </c>
      <c r="V329" s="32" t="n">
        <f aca="false">IF(ISNUMBER(V321),SUM(V321:V328),"")</f>
        <v>414.1</v>
      </c>
      <c r="W329" s="32" t="n">
        <f aca="false">IF(ISNUMBER(W321),SUM(W321:W328),"")</f>
        <v>378.274</v>
      </c>
      <c r="X329" s="32" t="n">
        <f aca="false">IF(ISNUMBER(X321),SUM(X321:X328),"")</f>
        <v>378.274</v>
      </c>
      <c r="Y329" s="32" t="n">
        <f aca="false">IF(ISNUMBER(Y321),SUM(Y321:Y328),"")</f>
        <v>367.529</v>
      </c>
      <c r="Z329" s="32" t="n">
        <f aca="false">IF(ISNUMBER(Z321),SUM(Z321:Z328),"")</f>
        <v>684.642</v>
      </c>
      <c r="AA329" s="32" t="n">
        <f aca="false">IF(ISNUMBER(AA321),SUM(AA321:AA328),"")</f>
        <v>689.25</v>
      </c>
      <c r="AB329" s="32" t="n">
        <f aca="false">IF(ISNUMBER(AB321),SUM(AB321:AB328),"")</f>
        <v>692.177</v>
      </c>
      <c r="AC329" s="32" t="n">
        <f aca="false">IF(ISNUMBER(AC321),SUM(AC321:AC328),"")</f>
        <v>692.177</v>
      </c>
      <c r="AD329" s="32" t="n">
        <f aca="false">IF(ISNUMBER(AD321),SUM(AD321:AD328),"")</f>
        <v>725.122</v>
      </c>
      <c r="AE329" s="32" t="n">
        <f aca="false">IF(ISNUMBER(AE321),SUM(AE321:AE328),"")</f>
        <v>725.399</v>
      </c>
      <c r="AF329" s="32" t="n">
        <f aca="false">IF(ISNUMBER(AF321),SUM(AF321:AF328),"")</f>
        <v>819.789</v>
      </c>
      <c r="AG329" s="32" t="n">
        <f aca="false">IF(ISNUMBER(AG321),SUM(AG321:AG328),"")</f>
        <v>802.599</v>
      </c>
      <c r="AH329" s="32" t="n">
        <f aca="false">IF(ISNUMBER(AH321),SUM(AH321:AH328),"")</f>
        <v>802.599</v>
      </c>
      <c r="AI329" s="32" t="n">
        <f aca="false">IF(ISNUMBER(AI321),SUM(AI321:AI328),"")</f>
        <v>742.137</v>
      </c>
      <c r="AJ329" s="32" t="n">
        <f aca="false">IF(ISNUMBER(AJ321),SUM(AJ321:AJ328),"")</f>
        <v>797.67</v>
      </c>
      <c r="AK329" s="32" t="n">
        <f aca="false">IF(ISNUMBER(AK321),SUM(AK321:AK328),"")</f>
        <v>815.249</v>
      </c>
      <c r="AL329" s="32" t="n">
        <f aca="false">IF(ISNUMBER(AL321),SUM(AL321:AL328),"")</f>
        <v>860.709</v>
      </c>
      <c r="AM329" s="32" t="n">
        <f aca="false">IF(ISNUMBER(AM321),SUM(AM321:AM328),"")</f>
        <v>860.709</v>
      </c>
      <c r="AN329" s="32" t="n">
        <f aca="false">IF(ISNUMBER(AN321),SUM(AN321:AN328),"")</f>
        <v>844.127</v>
      </c>
      <c r="AO329" s="32" t="n">
        <f aca="false">IF(ISNUMBER(AO321),SUM(AO321:AO328),"")</f>
        <v>942.918</v>
      </c>
      <c r="AP329" s="32" t="n">
        <f aca="false">IF(ISNUMBER(AP321),SUM(AP321:AP328),"")</f>
        <v>991.794</v>
      </c>
      <c r="AQ329" s="32" t="n">
        <f aca="false">IF(ISNUMBER(AQ321),SUM(AQ321:AQ328),"")</f>
        <v>1007.228</v>
      </c>
      <c r="AR329" s="32" t="n">
        <f aca="false">IF(ISNUMBER(AR321),SUM(AR321:AR328),"")</f>
        <v>1007.228</v>
      </c>
      <c r="AS329" s="32" t="n">
        <f aca="false">IF(ISNUMBER(AS321),SUM(AS321:AS328),"")</f>
        <v>990.17</v>
      </c>
      <c r="AT329" s="32" t="n">
        <f aca="false">IF(ISNUMBER(AT321),SUM(AT321:AT328),"")</f>
        <v>1039.318</v>
      </c>
      <c r="AU329" s="32" t="n">
        <f aca="false">IF(ISNUMBER(AU321),SUM(AU321:AU328),"")</f>
        <v>1135.466</v>
      </c>
      <c r="AV329" s="32" t="n">
        <f aca="false">IF(ISNUMBER(AV321),SUM(AV321:AV328),"")</f>
        <v>1028.654</v>
      </c>
      <c r="AW329" s="32" t="n">
        <f aca="false">IF(ISNUMBER(AW321),SUM(AW321:AW328),"")</f>
        <v>1028.654</v>
      </c>
      <c r="AX329" s="32" t="n">
        <f aca="false">IF(ISNUMBER(AX321),SUM(AX321:AX328),"")</f>
        <v>1106.886</v>
      </c>
      <c r="AY329" s="32" t="n">
        <f aca="false">IF(ISNUMBER(AY321),SUM(AY321:AY328),"")</f>
        <v>1092.282</v>
      </c>
      <c r="AZ329" s="32" t="n">
        <f aca="false">IF(ISNUMBER(AZ321),SUM(AZ321:AZ328),"")</f>
        <v>1145.298</v>
      </c>
      <c r="BA329" s="32" t="n">
        <f aca="false">IF(ISNUMBER(BA321),SUM(BA321:BA328),"")</f>
        <v>1232.746</v>
      </c>
      <c r="BB329" s="32" t="n">
        <f aca="false">IF(ISNUMBER(BB321),SUM(BB321:BB328),"")</f>
        <v>1232.746</v>
      </c>
      <c r="BC329" s="32" t="n">
        <f aca="false">IF(ISNUMBER(BC321),SUM(BC321:BC328),"")</f>
        <v>1257.634</v>
      </c>
      <c r="BD329" s="32" t="n">
        <f aca="false">IF(ISNUMBER(BD321),SUM(BD321:BD328),"")</f>
        <v>1337.553</v>
      </c>
      <c r="BE329" s="32" t="n">
        <f aca="false">IF(ISNUMBER(BE321),SUM(BE321:BE328),"")</f>
        <v>1378.667</v>
      </c>
      <c r="BF329" s="32" t="n">
        <f aca="false">IF(ISNUMBER(BF321),SUM(BF321:BF328),"")</f>
        <v>1512.643</v>
      </c>
      <c r="BG329" s="32" t="n">
        <f aca="false">IF(ISNUMBER(BG321),SUM(BG321:BG328),"")</f>
        <v>1512.643</v>
      </c>
      <c r="BH329" s="32" t="n">
        <f aca="false">IF(ISNUMBER(BH321),SUM(BH321:BH328),"")</f>
        <v>1383.184</v>
      </c>
      <c r="BI329" s="32" t="n">
        <f aca="false">IF(ISNUMBER(BI321),SUM(BI321:BI328),"")</f>
        <v>1463.495</v>
      </c>
      <c r="BJ329" s="32" t="n">
        <f aca="false">IF(ISNUMBER(BJ321),SUM(BJ321:BJ328),"")</f>
        <v>1575.736</v>
      </c>
      <c r="BK329" s="32" t="n">
        <f aca="false">IF(ISNUMBER(BK321),SUM(BK321:BK328),"")</f>
        <v>1687.932</v>
      </c>
      <c r="BL329" s="32" t="n">
        <f aca="false">IF(ISNUMBER(BL321),SUM(BL321:BL328),"")</f>
        <v>1687.932</v>
      </c>
      <c r="BM329" s="32" t="n">
        <f aca="false">IF(ISNUMBER(BM321),SUM(BM321:BM328),"")</f>
        <v>1631.541</v>
      </c>
      <c r="BN329" s="32" t="n">
        <f aca="false">IF(ISNUMBER(BN321),SUM(BN321:BN328),"")</f>
        <v>1770.466</v>
      </c>
      <c r="BO329" s="32" t="n">
        <f aca="false">IF(ISNUMBER(BO321),SUM(BO321:BO328),"")</f>
        <v>1754.033</v>
      </c>
      <c r="BP329" s="32" t="n">
        <f aca="false">IF(ISNUMBER(BP321),SUM(BP321:BP328),"")</f>
        <v>1878.834</v>
      </c>
      <c r="BQ329" s="32" t="n">
        <f aca="false">IF(ISNUMBER(BQ321),SUM(BQ321:BQ328),"")</f>
        <v>1878.834</v>
      </c>
      <c r="BR329" s="32" t="n">
        <f aca="false">IF(ISNUMBER(BR321),SUM(BR321:BR328),"")</f>
        <v>1829.479</v>
      </c>
      <c r="BS329" s="32" t="n">
        <f aca="false">IF(ISNUMBER(BS321),SUM(BS321:BS328),"")</f>
        <v>2001.199</v>
      </c>
      <c r="BT329" s="32" t="n">
        <f aca="false">IF(ISNUMBER(BT321),SUM(BT321:BT328),"")</f>
        <v>2087.623</v>
      </c>
      <c r="BU329" s="32" t="n">
        <f aca="false">IF(ISNUMBER(BU321),SUM(BU321:BU328),"")</f>
        <v>2124.261</v>
      </c>
      <c r="BV329" s="32" t="n">
        <f aca="false">IF(ISNUMBER(BV321),SUM(BV321:BV328),"")</f>
        <v>2124.261</v>
      </c>
      <c r="BW329" s="32" t="n">
        <f aca="false">IF(ISNUMBER(BW321),SUM(BW321:BW328),"")</f>
        <v>2007.466</v>
      </c>
      <c r="BX329" s="32" t="n">
        <f aca="false">IF(ISNUMBER(BX321),SUM(BX321:BX328),"")</f>
        <v>2128.12</v>
      </c>
      <c r="BY329" s="51"/>
      <c r="BZ329" s="51"/>
      <c r="CA329" s="20" t="n">
        <f aca="false">IF(ISNUMBER(CA321),SUM(CA321:CA328),"")</f>
        <v>2243.84162260608</v>
      </c>
      <c r="CB329" s="20" t="n">
        <f aca="false">IF(ISNUMBER(CB321),SUM(CB321:CB328),"")</f>
        <v>2868.98296760597</v>
      </c>
      <c r="CC329" s="20" t="n">
        <f aca="false">IF(ISNUMBER(CC321),SUM(CC321:CC328),"")</f>
        <v>3403.40409312864</v>
      </c>
      <c r="CD329" s="20" t="n">
        <f aca="false">IF(ISNUMBER(CD321),SUM(CD321:CD328),"")</f>
        <v>3346.18032852271</v>
      </c>
      <c r="CE329" s="20" t="n">
        <f aca="false">IF(ISNUMBER(CE321),SUM(CE321:CE328),"")</f>
        <v>3544.63941684653</v>
      </c>
      <c r="CF329" s="21"/>
    </row>
    <row r="330" customFormat="false" ht="15" hidden="false" customHeight="true" outlineLevel="0" collapsed="false">
      <c r="B330" s="29" t="s">
        <v>531</v>
      </c>
      <c r="C330" s="27" t="n">
        <v>637.308</v>
      </c>
      <c r="D330" s="27" t="n">
        <v>719.518</v>
      </c>
      <c r="E330" s="27" t="n">
        <v>830.758</v>
      </c>
      <c r="F330" s="27" t="n">
        <v>867.554</v>
      </c>
      <c r="G330" s="27" t="n">
        <v>909.978</v>
      </c>
      <c r="H330" s="27" t="n">
        <v>1172.758</v>
      </c>
      <c r="I330" s="27" t="n">
        <v>2204.967</v>
      </c>
      <c r="J330" s="27" t="n">
        <v>2096.171</v>
      </c>
      <c r="K330" s="27" t="n">
        <v>2020.384</v>
      </c>
      <c r="L330" s="27" t="n">
        <v>2025.664</v>
      </c>
      <c r="M330" s="27" t="n">
        <v>2067.59</v>
      </c>
      <c r="N330" s="27" t="n">
        <v>2067.59</v>
      </c>
      <c r="O330" s="27" t="n">
        <v>2004.865</v>
      </c>
      <c r="P330" s="27" t="n">
        <v>1931.262</v>
      </c>
      <c r="Q330" s="27" t="n">
        <v>1888.593</v>
      </c>
      <c r="R330" s="27" t="n">
        <v>1975.916</v>
      </c>
      <c r="S330" s="27" t="n">
        <v>1975.916</v>
      </c>
      <c r="T330" s="27" t="n">
        <v>1983.854</v>
      </c>
      <c r="U330" s="27" t="n">
        <v>1930.483</v>
      </c>
      <c r="V330" s="27" t="n">
        <v>1946.854</v>
      </c>
      <c r="W330" s="27" t="n">
        <v>2147.127</v>
      </c>
      <c r="X330" s="27" t="n">
        <v>2147.127</v>
      </c>
      <c r="Y330" s="27" t="n">
        <v>2066.051</v>
      </c>
      <c r="Z330" s="27" t="n">
        <v>3761.307</v>
      </c>
      <c r="AA330" s="27" t="n">
        <v>3661.971</v>
      </c>
      <c r="AB330" s="27" t="n">
        <v>3616.76</v>
      </c>
      <c r="AC330" s="27" t="n">
        <v>3616.76</v>
      </c>
      <c r="AD330" s="27" t="n">
        <v>3946.178</v>
      </c>
      <c r="AE330" s="27" t="n">
        <v>3963.909</v>
      </c>
      <c r="AF330" s="27" t="n">
        <v>3925.761</v>
      </c>
      <c r="AG330" s="27" t="n">
        <v>3899.572</v>
      </c>
      <c r="AH330" s="27" t="n">
        <v>3899.572</v>
      </c>
      <c r="AI330" s="27" t="n">
        <v>3878.698</v>
      </c>
      <c r="AJ330" s="27" t="n">
        <v>3792.847</v>
      </c>
      <c r="AK330" s="27" t="n">
        <v>3747.209</v>
      </c>
      <c r="AL330" s="27" t="n">
        <v>4153.465</v>
      </c>
      <c r="AM330" s="27" t="n">
        <v>4153.465</v>
      </c>
      <c r="AN330" s="27" t="n">
        <v>4157.081</v>
      </c>
      <c r="AO330" s="27" t="n">
        <v>4082.876</v>
      </c>
      <c r="AP330" s="27" t="n">
        <v>4039.405</v>
      </c>
      <c r="AQ330" s="27" t="n">
        <v>4353.782</v>
      </c>
      <c r="AR330" s="27" t="n">
        <v>4353.782</v>
      </c>
      <c r="AS330" s="27" t="n">
        <v>5160.735</v>
      </c>
      <c r="AT330" s="27" t="n">
        <v>4694.736</v>
      </c>
      <c r="AU330" s="27" t="n">
        <v>4680.219</v>
      </c>
      <c r="AV330" s="27" t="n">
        <v>4708.678</v>
      </c>
      <c r="AW330" s="27" t="n">
        <v>4708.678</v>
      </c>
      <c r="AX330" s="27" t="n">
        <v>4613.602</v>
      </c>
      <c r="AY330" s="27" t="n">
        <v>4762.857</v>
      </c>
      <c r="AZ330" s="27" t="n">
        <v>4869.213</v>
      </c>
      <c r="BA330" s="27" t="n">
        <v>5040.5</v>
      </c>
      <c r="BB330" s="27" t="n">
        <v>5040.5</v>
      </c>
      <c r="BC330" s="27" t="n">
        <v>5817.641</v>
      </c>
      <c r="BD330" s="27" t="n">
        <v>5633.524</v>
      </c>
      <c r="BE330" s="27" t="n">
        <v>6211.971</v>
      </c>
      <c r="BF330" s="27" t="n">
        <v>6890.149</v>
      </c>
      <c r="BG330" s="27" t="n">
        <v>6890.149</v>
      </c>
      <c r="BH330" s="27" t="n">
        <v>6921.839</v>
      </c>
      <c r="BI330" s="27" t="n">
        <v>6681.384</v>
      </c>
      <c r="BJ330" s="27" t="n">
        <v>6803.439</v>
      </c>
      <c r="BK330" s="27" t="n">
        <v>6724.771</v>
      </c>
      <c r="BL330" s="27" t="n">
        <v>6724.771</v>
      </c>
      <c r="BM330" s="27" t="n">
        <v>7795.191</v>
      </c>
      <c r="BN330" s="27" t="n">
        <v>7696.229</v>
      </c>
      <c r="BO330" s="27" t="n">
        <v>8160.538</v>
      </c>
      <c r="BP330" s="27" t="n">
        <v>8072.928</v>
      </c>
      <c r="BQ330" s="27" t="n">
        <v>8072.928</v>
      </c>
      <c r="BR330" s="27" t="n">
        <v>8388.364</v>
      </c>
      <c r="BS330" s="27" t="n">
        <v>8337.178</v>
      </c>
      <c r="BT330" s="27" t="n">
        <v>8621.371</v>
      </c>
      <c r="BU330" s="27" t="n">
        <v>8811.104</v>
      </c>
      <c r="BV330" s="27" t="n">
        <v>8811.104</v>
      </c>
      <c r="BW330" s="27" t="n">
        <v>9093.831</v>
      </c>
      <c r="BX330" s="27" t="n">
        <v>9283.81</v>
      </c>
      <c r="BY330" s="28"/>
      <c r="BZ330" s="28"/>
      <c r="CA330" s="47" t="n">
        <f aca="false">CA374-CA327</f>
        <v>9190.58328667306</v>
      </c>
      <c r="CB330" s="47" t="n">
        <f aca="false">CB374-CB327</f>
        <v>9464.2238021534</v>
      </c>
      <c r="CC330" s="47" t="n">
        <f aca="false">CC374-CC327</f>
        <v>9927.77303396633</v>
      </c>
      <c r="CD330" s="47" t="n">
        <f aca="false">CD374-CD327</f>
        <v>11051.9076130214</v>
      </c>
      <c r="CE330" s="47" t="n">
        <f aca="false">CE374-CE327</f>
        <v>11944.5517563342</v>
      </c>
      <c r="CF330" s="21"/>
    </row>
    <row r="331" customFormat="false" ht="15" hidden="false" customHeight="true" outlineLevel="0" collapsed="false">
      <c r="B331" s="29" t="s">
        <v>532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7" t="n">
        <v>176.328</v>
      </c>
      <c r="AO331" s="27" t="n">
        <v>170.829</v>
      </c>
      <c r="AP331" s="27" t="n">
        <v>166.347</v>
      </c>
      <c r="AQ331" s="27" t="n">
        <v>160.033</v>
      </c>
      <c r="AR331" s="27" t="n">
        <v>160.033</v>
      </c>
      <c r="AS331" s="27" t="n">
        <v>153.64</v>
      </c>
      <c r="AT331" s="27" t="n">
        <v>149.763</v>
      </c>
      <c r="AU331" s="27" t="n">
        <v>145.642</v>
      </c>
      <c r="AV331" s="27" t="n">
        <v>147.223</v>
      </c>
      <c r="AW331" s="27" t="n">
        <v>147.223</v>
      </c>
      <c r="AX331" s="27" t="n">
        <v>146.018</v>
      </c>
      <c r="AY331" s="27" t="n">
        <v>139.329</v>
      </c>
      <c r="AZ331" s="27" t="n">
        <v>132.589</v>
      </c>
      <c r="BA331" s="27" t="n">
        <v>129.628</v>
      </c>
      <c r="BB331" s="27" t="n">
        <v>129.628</v>
      </c>
      <c r="BC331" s="27" t="n">
        <v>134.392</v>
      </c>
      <c r="BD331" s="27" t="n">
        <v>139.191</v>
      </c>
      <c r="BE331" s="27" t="n">
        <v>163.848</v>
      </c>
      <c r="BF331" s="27" t="n">
        <v>165.462</v>
      </c>
      <c r="BG331" s="27" t="n">
        <v>165.462</v>
      </c>
      <c r="BH331" s="27" t="n">
        <v>169.051</v>
      </c>
      <c r="BI331" s="27" t="n">
        <v>224.566</v>
      </c>
      <c r="BJ331" s="27" t="n">
        <v>239.768</v>
      </c>
      <c r="BK331" s="27" t="n">
        <v>238.44</v>
      </c>
      <c r="BL331" s="27" t="n">
        <v>238.44</v>
      </c>
      <c r="BM331" s="27" t="n">
        <v>249.419</v>
      </c>
      <c r="BN331" s="27" t="n">
        <v>270.281</v>
      </c>
      <c r="BO331" s="27" t="n">
        <v>275.547</v>
      </c>
      <c r="BP331" s="27" t="n">
        <v>272.107</v>
      </c>
      <c r="BQ331" s="27" t="n">
        <v>272.107</v>
      </c>
      <c r="BR331" s="27" t="n">
        <v>266.675</v>
      </c>
      <c r="BS331" s="27" t="n">
        <v>279.115</v>
      </c>
      <c r="BT331" s="27" t="n">
        <v>270.414</v>
      </c>
      <c r="BU331" s="27" t="n">
        <v>267</v>
      </c>
      <c r="BV331" s="27" t="n">
        <v>267</v>
      </c>
      <c r="BW331" s="27" t="n">
        <v>278.167</v>
      </c>
      <c r="BX331" s="27" t="n">
        <v>270.86</v>
      </c>
      <c r="BY331" s="28"/>
      <c r="BZ331" s="28"/>
      <c r="CA331" s="47" t="n">
        <f aca="false">BX331</f>
        <v>270.86</v>
      </c>
      <c r="CB331" s="47" t="n">
        <f aca="false">CA331</f>
        <v>270.86</v>
      </c>
      <c r="CC331" s="47" t="n">
        <f aca="false">CB331</f>
        <v>270.86</v>
      </c>
      <c r="CD331" s="47" t="n">
        <f aca="false">CC331</f>
        <v>270.86</v>
      </c>
      <c r="CE331" s="47" t="n">
        <f aca="false">CD331</f>
        <v>270.86</v>
      </c>
      <c r="CF331" s="21"/>
    </row>
    <row r="332" customFormat="false" ht="15" hidden="false" customHeight="true" outlineLevel="0" collapsed="false">
      <c r="B332" s="29" t="s">
        <v>533</v>
      </c>
      <c r="C332" s="25"/>
      <c r="D332" s="25"/>
      <c r="E332" s="25"/>
      <c r="F332" s="25"/>
      <c r="G332" s="25"/>
      <c r="H332" s="25"/>
      <c r="I332" s="27" t="n">
        <v>30.346</v>
      </c>
      <c r="J332" s="27" t="n">
        <v>30.66</v>
      </c>
      <c r="K332" s="27" t="n">
        <v>24.847</v>
      </c>
      <c r="L332" s="27" t="n">
        <v>55.766</v>
      </c>
      <c r="M332" s="27" t="n">
        <v>55.55</v>
      </c>
      <c r="N332" s="27" t="n">
        <v>55.55</v>
      </c>
      <c r="O332" s="27" t="n">
        <v>58.921</v>
      </c>
      <c r="P332" s="27" t="n">
        <v>59.273</v>
      </c>
      <c r="Q332" s="27" t="n">
        <v>57.653</v>
      </c>
      <c r="R332" s="27" t="n">
        <v>70.165</v>
      </c>
      <c r="S332" s="27" t="n">
        <v>70.165</v>
      </c>
      <c r="T332" s="27" t="n">
        <v>72.448</v>
      </c>
      <c r="U332" s="27" t="n">
        <v>73.085</v>
      </c>
      <c r="V332" s="27" t="n">
        <v>27.128</v>
      </c>
      <c r="W332" s="27" t="n">
        <v>27.177</v>
      </c>
      <c r="X332" s="27" t="n">
        <v>27.177</v>
      </c>
      <c r="Y332" s="27" t="n">
        <v>27.231</v>
      </c>
      <c r="Z332" s="27" t="n">
        <v>34.604</v>
      </c>
      <c r="AA332" s="27" t="n">
        <v>27.351</v>
      </c>
      <c r="AB332" s="27" t="n">
        <v>30.373</v>
      </c>
      <c r="AC332" s="27" t="n">
        <v>30.373</v>
      </c>
      <c r="AD332" s="27" t="n">
        <v>30.765</v>
      </c>
      <c r="AE332" s="27" t="n">
        <v>31.218</v>
      </c>
      <c r="AF332" s="27" t="n">
        <v>31.136</v>
      </c>
      <c r="AG332" s="27" t="n">
        <v>31.482</v>
      </c>
      <c r="AH332" s="27" t="n">
        <v>31.482</v>
      </c>
      <c r="AI332" s="27" t="n">
        <v>43.199</v>
      </c>
      <c r="AJ332" s="27" t="n">
        <v>43.3</v>
      </c>
      <c r="AK332" s="27" t="n">
        <v>43.412</v>
      </c>
      <c r="AL332" s="27" t="n">
        <v>43.003</v>
      </c>
      <c r="AM332" s="27" t="n">
        <v>43.003</v>
      </c>
      <c r="AN332" s="27" t="n">
        <v>44.686</v>
      </c>
      <c r="AO332" s="27" t="n">
        <v>45.227</v>
      </c>
      <c r="AP332" s="27" t="n">
        <v>44.561</v>
      </c>
      <c r="AQ332" s="27" t="n">
        <v>42.825</v>
      </c>
      <c r="AR332" s="27" t="n">
        <v>42.825</v>
      </c>
      <c r="AS332" s="27" t="n">
        <v>30.05</v>
      </c>
      <c r="AT332" s="27" t="n">
        <v>25.801</v>
      </c>
      <c r="AU332" s="27" t="n">
        <v>26.03</v>
      </c>
      <c r="AV332" s="27" t="n">
        <v>28.439</v>
      </c>
      <c r="AW332" s="27" t="n">
        <v>28.439</v>
      </c>
      <c r="AX332" s="27" t="n">
        <v>24.618</v>
      </c>
      <c r="AY332" s="27" t="n">
        <v>24.67</v>
      </c>
      <c r="AZ332" s="27" t="n">
        <v>24.592</v>
      </c>
      <c r="BA332" s="27" t="n">
        <v>31.504</v>
      </c>
      <c r="BB332" s="27" t="n">
        <v>31.504</v>
      </c>
      <c r="BC332" s="27" t="n">
        <v>31.558</v>
      </c>
      <c r="BD332" s="27" t="n">
        <v>31.264</v>
      </c>
      <c r="BE332" s="27" t="n">
        <v>30.896</v>
      </c>
      <c r="BF332" s="27" t="n">
        <v>21.323</v>
      </c>
      <c r="BG332" s="27" t="n">
        <v>21.323</v>
      </c>
      <c r="BH332" s="27" t="n">
        <v>21.333</v>
      </c>
      <c r="BI332" s="27" t="n">
        <v>21.344</v>
      </c>
      <c r="BJ332" s="27" t="n">
        <v>21.195</v>
      </c>
      <c r="BK332" s="27" t="n">
        <v>20.034</v>
      </c>
      <c r="BL332" s="27" t="n">
        <v>20.034</v>
      </c>
      <c r="BM332" s="27" t="n">
        <v>20.802</v>
      </c>
      <c r="BN332" s="27" t="n">
        <v>20.806</v>
      </c>
      <c r="BO332" s="27" t="n">
        <v>27.125</v>
      </c>
      <c r="BP332" s="27" t="n">
        <v>27.993</v>
      </c>
      <c r="BQ332" s="27" t="n">
        <v>27.993</v>
      </c>
      <c r="BR332" s="27" t="n">
        <v>28.001</v>
      </c>
      <c r="BS332" s="27" t="n">
        <v>20.272</v>
      </c>
      <c r="BT332" s="27" t="n">
        <v>20.08</v>
      </c>
      <c r="BU332" s="27" t="n">
        <v>19.667</v>
      </c>
      <c r="BV332" s="27" t="n">
        <v>19.667</v>
      </c>
      <c r="BW332" s="27" t="n">
        <v>19.216</v>
      </c>
      <c r="BX332" s="27" t="n">
        <v>19.647</v>
      </c>
      <c r="BY332" s="28"/>
      <c r="BZ332" s="28"/>
      <c r="CA332" s="47" t="n">
        <f aca="false">BX332</f>
        <v>19.647</v>
      </c>
      <c r="CB332" s="47" t="n">
        <f aca="false">CA332</f>
        <v>19.647</v>
      </c>
      <c r="CC332" s="47" t="n">
        <f aca="false">CB332</f>
        <v>19.647</v>
      </c>
      <c r="CD332" s="47" t="n">
        <f aca="false">CC332</f>
        <v>19.647</v>
      </c>
      <c r="CE332" s="47" t="n">
        <f aca="false">CD332</f>
        <v>19.647</v>
      </c>
      <c r="CF332" s="21"/>
    </row>
    <row r="333" customFormat="false" ht="15" hidden="false" customHeight="true" outlineLevel="0" collapsed="false">
      <c r="B333" s="29" t="s">
        <v>534</v>
      </c>
      <c r="C333" s="27" t="n">
        <v>205.532</v>
      </c>
      <c r="D333" s="27" t="n">
        <v>223.308</v>
      </c>
      <c r="E333" s="27" t="n">
        <v>251.514</v>
      </c>
      <c r="F333" s="27" t="n">
        <v>305.932</v>
      </c>
      <c r="G333" s="27" t="n">
        <v>334.414</v>
      </c>
      <c r="H333" s="27" t="n">
        <v>397.134</v>
      </c>
      <c r="I333" s="27" t="n">
        <v>464.882</v>
      </c>
      <c r="J333" s="27" t="n">
        <v>472.436</v>
      </c>
      <c r="K333" s="27" t="n">
        <v>480.853</v>
      </c>
      <c r="L333" s="27" t="n">
        <v>483.433</v>
      </c>
      <c r="M333" s="27" t="n">
        <v>501.692</v>
      </c>
      <c r="N333" s="27" t="n">
        <v>501.692</v>
      </c>
      <c r="O333" s="27" t="n">
        <v>503.786</v>
      </c>
      <c r="P333" s="27" t="n">
        <v>509.11</v>
      </c>
      <c r="Q333" s="27" t="n">
        <v>513.654</v>
      </c>
      <c r="R333" s="27" t="n">
        <v>538.635</v>
      </c>
      <c r="S333" s="27" t="n">
        <v>538.635</v>
      </c>
      <c r="T333" s="27" t="n">
        <v>543.621</v>
      </c>
      <c r="U333" s="27" t="n">
        <v>545.186</v>
      </c>
      <c r="V333" s="27" t="n">
        <v>371.073</v>
      </c>
      <c r="W333" s="27" t="n">
        <v>452.493</v>
      </c>
      <c r="X333" s="27" t="n">
        <v>452.493</v>
      </c>
      <c r="Y333" s="27" t="n">
        <v>454.344</v>
      </c>
      <c r="Z333" s="27" t="n">
        <v>737.946</v>
      </c>
      <c r="AA333" s="27" t="n">
        <v>858.697</v>
      </c>
      <c r="AB333" s="27" t="n">
        <v>867.841</v>
      </c>
      <c r="AC333" s="27" t="n">
        <v>867.841</v>
      </c>
      <c r="AD333" s="27" t="n">
        <v>812.648</v>
      </c>
      <c r="AE333" s="27" t="n">
        <v>822.209</v>
      </c>
      <c r="AF333" s="27" t="n">
        <v>829.087</v>
      </c>
      <c r="AG333" s="27" t="n">
        <v>690.767</v>
      </c>
      <c r="AH333" s="27" t="n">
        <v>690.767</v>
      </c>
      <c r="AI333" s="27" t="n">
        <v>711.241</v>
      </c>
      <c r="AJ333" s="27" t="n">
        <v>718.627</v>
      </c>
      <c r="AK333" s="27" t="n">
        <v>741.3</v>
      </c>
      <c r="AL333" s="27" t="n">
        <v>760.033</v>
      </c>
      <c r="AM333" s="27" t="n">
        <v>760.033</v>
      </c>
      <c r="AN333" s="27" t="n">
        <v>766.641</v>
      </c>
      <c r="AO333" s="27" t="n">
        <v>783.609</v>
      </c>
      <c r="AP333" s="27" t="n">
        <v>800.223</v>
      </c>
      <c r="AQ333" s="27" t="n">
        <v>818.622</v>
      </c>
      <c r="AR333" s="27" t="n">
        <v>818.622</v>
      </c>
      <c r="AS333" s="27" t="n">
        <v>817.331</v>
      </c>
      <c r="AT333" s="27" t="n">
        <v>728.73</v>
      </c>
      <c r="AU333" s="27" t="n">
        <v>725.343</v>
      </c>
      <c r="AV333" s="27" t="n">
        <v>760.044</v>
      </c>
      <c r="AW333" s="27" t="n">
        <v>760.044</v>
      </c>
      <c r="AX333" s="27" t="n">
        <v>776.498</v>
      </c>
      <c r="AY333" s="27" t="n">
        <v>772.867</v>
      </c>
      <c r="AZ333" s="27" t="n">
        <v>777.968</v>
      </c>
      <c r="BA333" s="27" t="n">
        <v>850.921</v>
      </c>
      <c r="BB333" s="27" t="n">
        <v>850.921</v>
      </c>
      <c r="BC333" s="27" t="n">
        <v>1002.8</v>
      </c>
      <c r="BD333" s="27" t="n">
        <v>994.766</v>
      </c>
      <c r="BE333" s="27" t="n">
        <v>986.252</v>
      </c>
      <c r="BF333" s="27" t="n">
        <v>1013.742</v>
      </c>
      <c r="BG333" s="27" t="n">
        <v>1013.742</v>
      </c>
      <c r="BH333" s="27" t="n">
        <v>1041.152</v>
      </c>
      <c r="BI333" s="27" t="n">
        <v>1048.986</v>
      </c>
      <c r="BJ333" s="27" t="n">
        <v>1048.283</v>
      </c>
      <c r="BK333" s="27" t="n">
        <v>1022.48</v>
      </c>
      <c r="BL333" s="27" t="n">
        <v>1022.48</v>
      </c>
      <c r="BM333" s="27" t="n">
        <v>1052.508</v>
      </c>
      <c r="BN333" s="27" t="n">
        <v>1068.671</v>
      </c>
      <c r="BO333" s="27" t="n">
        <v>1099.369</v>
      </c>
      <c r="BP333" s="27" t="n">
        <v>958.34</v>
      </c>
      <c r="BQ333" s="27" t="n">
        <v>958.34</v>
      </c>
      <c r="BR333" s="27" t="n">
        <v>1011.613</v>
      </c>
      <c r="BS333" s="27" t="n">
        <v>1035.413</v>
      </c>
      <c r="BT333" s="27" t="n">
        <v>1067.84</v>
      </c>
      <c r="BU333" s="27" t="n">
        <v>1085.613</v>
      </c>
      <c r="BV333" s="27" t="n">
        <v>1085.613</v>
      </c>
      <c r="BW333" s="27" t="n">
        <v>1113.47</v>
      </c>
      <c r="BX333" s="27" t="n">
        <v>1121.465</v>
      </c>
      <c r="BY333" s="28"/>
      <c r="BZ333" s="28"/>
      <c r="CA333" s="47" t="n">
        <f aca="false">BX333+(CA238-(BW238+BX238))</f>
        <v>1145.18533664</v>
      </c>
      <c r="CB333" s="47" t="n">
        <f aca="false">CA333+CB238</f>
        <v>1197.10159281953</v>
      </c>
      <c r="CC333" s="47" t="n">
        <f aca="false">CB333+CC238</f>
        <v>1253.54905796859</v>
      </c>
      <c r="CD333" s="47" t="n">
        <f aca="false">CC333+CD238</f>
        <v>1314.69160804003</v>
      </c>
      <c r="CE333" s="47" t="n">
        <f aca="false">CD333+CE238</f>
        <v>1380.597663971</v>
      </c>
      <c r="CF333" s="21"/>
    </row>
    <row r="334" customFormat="false" ht="15" hidden="false" customHeight="true" outlineLevel="0" collapsed="false">
      <c r="B334" s="29" t="s">
        <v>535</v>
      </c>
      <c r="C334" s="27" t="n">
        <v>16.712</v>
      </c>
      <c r="D334" s="27" t="n">
        <v>38.053</v>
      </c>
      <c r="E334" s="27" t="n">
        <v>47.509</v>
      </c>
      <c r="F334" s="27" t="n">
        <v>45.013</v>
      </c>
      <c r="G334" s="27" t="n">
        <v>47.637</v>
      </c>
      <c r="H334" s="27" t="n">
        <v>74.324</v>
      </c>
      <c r="I334" s="27" t="n">
        <v>75.129</v>
      </c>
      <c r="J334" s="27" t="n">
        <v>73.716</v>
      </c>
      <c r="K334" s="27" t="n">
        <v>82.153</v>
      </c>
      <c r="L334" s="27" t="n">
        <v>83.784</v>
      </c>
      <c r="M334" s="27" t="n">
        <v>77.035</v>
      </c>
      <c r="N334" s="27" t="n">
        <v>77.035</v>
      </c>
      <c r="O334" s="27" t="n">
        <v>82.543</v>
      </c>
      <c r="P334" s="27" t="n">
        <v>84.699</v>
      </c>
      <c r="Q334" s="27" t="n">
        <v>85.675</v>
      </c>
      <c r="R334" s="27" t="n">
        <v>92.9</v>
      </c>
      <c r="S334" s="27" t="n">
        <v>92.9</v>
      </c>
      <c r="T334" s="27" t="n">
        <v>97.922</v>
      </c>
      <c r="U334" s="27" t="n">
        <v>99.052</v>
      </c>
      <c r="V334" s="27" t="n">
        <v>105.534</v>
      </c>
      <c r="W334" s="27" t="n">
        <v>124.943</v>
      </c>
      <c r="X334" s="27" t="n">
        <v>124.943</v>
      </c>
      <c r="Y334" s="27" t="n">
        <v>123.885</v>
      </c>
      <c r="Z334" s="27" t="n">
        <v>317.332</v>
      </c>
      <c r="AA334" s="27" t="n">
        <v>329.058</v>
      </c>
      <c r="AB334" s="27" t="n">
        <v>331.074</v>
      </c>
      <c r="AC334" s="27" t="n">
        <v>331.074</v>
      </c>
      <c r="AD334" s="27" t="n">
        <v>301.487</v>
      </c>
      <c r="AE334" s="27" t="n">
        <v>304.642</v>
      </c>
      <c r="AF334" s="27" t="n">
        <v>310.646</v>
      </c>
      <c r="AG334" s="27" t="n">
        <v>316.191</v>
      </c>
      <c r="AH334" s="27" t="n">
        <v>316.191</v>
      </c>
      <c r="AI334" s="27" t="n">
        <v>307.205</v>
      </c>
      <c r="AJ334" s="27" t="n">
        <v>325.459</v>
      </c>
      <c r="AK334" s="27" t="n">
        <v>339.817</v>
      </c>
      <c r="AL334" s="27" t="n">
        <v>349.931</v>
      </c>
      <c r="AM334" s="27" t="n">
        <v>349.931</v>
      </c>
      <c r="AN334" s="27" t="n">
        <v>374.391</v>
      </c>
      <c r="AO334" s="27" t="n">
        <v>412.508</v>
      </c>
      <c r="AP334" s="27" t="n">
        <v>431.565</v>
      </c>
      <c r="AQ334" s="27" t="n">
        <v>416.851</v>
      </c>
      <c r="AR334" s="27" t="n">
        <v>416.851</v>
      </c>
      <c r="AS334" s="27" t="n">
        <v>440.399</v>
      </c>
      <c r="AT334" s="27" t="n">
        <v>459.276</v>
      </c>
      <c r="AU334" s="27" t="n">
        <v>470.558</v>
      </c>
      <c r="AV334" s="27" t="n">
        <v>455.888</v>
      </c>
      <c r="AW334" s="27" t="n">
        <v>455.888</v>
      </c>
      <c r="AX334" s="27" t="n">
        <v>433.434</v>
      </c>
      <c r="AY334" s="27" t="n">
        <v>445.602</v>
      </c>
      <c r="AZ334" s="27" t="n">
        <v>442.016</v>
      </c>
      <c r="BA334" s="27" t="n">
        <v>421.08</v>
      </c>
      <c r="BB334" s="27" t="n">
        <v>421.08</v>
      </c>
      <c r="BC334" s="27" t="n">
        <v>411.278</v>
      </c>
      <c r="BD334" s="27" t="n">
        <v>410.281</v>
      </c>
      <c r="BE334" s="27" t="n">
        <v>415.664</v>
      </c>
      <c r="BF334" s="27" t="n">
        <v>417.64</v>
      </c>
      <c r="BG334" s="27" t="n">
        <v>417.64</v>
      </c>
      <c r="BH334" s="27" t="n">
        <v>451.571</v>
      </c>
      <c r="BI334" s="27" t="n">
        <v>460.295</v>
      </c>
      <c r="BJ334" s="27" t="n">
        <v>451.524</v>
      </c>
      <c r="BK334" s="27" t="n">
        <v>524.438</v>
      </c>
      <c r="BL334" s="27" t="n">
        <v>524.438</v>
      </c>
      <c r="BM334" s="27" t="n">
        <v>542.239</v>
      </c>
      <c r="BN334" s="27" t="n">
        <v>491.855</v>
      </c>
      <c r="BO334" s="27" t="n">
        <v>517.297</v>
      </c>
      <c r="BP334" s="27" t="n">
        <v>747.253</v>
      </c>
      <c r="BQ334" s="27" t="n">
        <v>747.253</v>
      </c>
      <c r="BR334" s="27" t="n">
        <v>716.185</v>
      </c>
      <c r="BS334" s="27" t="n">
        <v>651.776</v>
      </c>
      <c r="BT334" s="27" t="n">
        <v>621.799</v>
      </c>
      <c r="BU334" s="27" t="n">
        <v>576.337</v>
      </c>
      <c r="BV334" s="27" t="n">
        <v>576.337</v>
      </c>
      <c r="BW334" s="27" t="n">
        <v>616.586</v>
      </c>
      <c r="BX334" s="27" t="n">
        <v>654.332</v>
      </c>
      <c r="BY334" s="28"/>
      <c r="BZ334" s="28"/>
      <c r="CA334" s="47" t="n">
        <f aca="false">BX334+(CA239-(BW239+BX239))+(CA237-(BW237+BX237))</f>
        <v>674.321</v>
      </c>
      <c r="CB334" s="47" t="n">
        <f aca="false">CA334+CB239+CB237</f>
        <v>756.934081394604</v>
      </c>
      <c r="CC334" s="47" t="n">
        <f aca="false">CB334+CC239+CC237</f>
        <v>842.961928770467</v>
      </c>
      <c r="CD334" s="47" t="n">
        <f aca="false">CC334+CD239+CD237</f>
        <v>932.633781660398</v>
      </c>
      <c r="CE334" s="47" t="n">
        <f aca="false">CD334+CE239+CE237</f>
        <v>1026.02127557357</v>
      </c>
      <c r="CF334" s="21" t="s">
        <v>536</v>
      </c>
    </row>
    <row r="335" customFormat="false" ht="15" hidden="false" customHeight="true" outlineLevel="0" collapsed="false">
      <c r="B335" s="18" t="s">
        <v>537</v>
      </c>
      <c r="C335" s="32" t="n">
        <f aca="false">IF(ISNUMBER(C321),C329+SUM(C330:C334),"")</f>
        <v>1009.417</v>
      </c>
      <c r="D335" s="32" t="n">
        <f aca="false">IF(ISNUMBER(D321),D329+SUM(D330:D334),"")</f>
        <v>1176.593</v>
      </c>
      <c r="E335" s="32" t="n">
        <f aca="false">IF(ISNUMBER(E321),E329+SUM(E330:E334),"")</f>
        <v>1345.245</v>
      </c>
      <c r="F335" s="32" t="n">
        <f aca="false">IF(ISNUMBER(F321),F329+SUM(F330:F334),"")</f>
        <v>1463.412</v>
      </c>
      <c r="G335" s="32" t="n">
        <f aca="false">IF(ISNUMBER(G321),G329+SUM(G330:G334),"")</f>
        <v>1545.566</v>
      </c>
      <c r="H335" s="32" t="n">
        <f aca="false">IF(ISNUMBER(H321),H329+SUM(H330:H334),"")</f>
        <v>1928.318</v>
      </c>
      <c r="I335" s="32" t="n">
        <f aca="false">IF(ISNUMBER(I321),I329+SUM(I330:I334),"")</f>
        <v>3192.896</v>
      </c>
      <c r="J335" s="32" t="n">
        <f aca="false">IF(ISNUMBER(J321),J329+SUM(J330:J334),"")</f>
        <v>3075.13</v>
      </c>
      <c r="K335" s="32" t="n">
        <f aca="false">IF(ISNUMBER(K321),K329+SUM(K330:K334),"")</f>
        <v>3051.618</v>
      </c>
      <c r="L335" s="32" t="n">
        <f aca="false">IF(ISNUMBER(L321),L329+SUM(L330:L334),"")</f>
        <v>2987.294</v>
      </c>
      <c r="M335" s="32" t="n">
        <f aca="false">IF(ISNUMBER(M321),M329+SUM(M330:M334),"")</f>
        <v>3016.045</v>
      </c>
      <c r="N335" s="32" t="n">
        <f aca="false">IF(ISNUMBER(N321),N329+SUM(N330:N334),"")</f>
        <v>3016.045</v>
      </c>
      <c r="O335" s="32" t="n">
        <f aca="false">IF(ISNUMBER(O321),O329+SUM(O330:O334),"")</f>
        <v>2958.212</v>
      </c>
      <c r="P335" s="32" t="n">
        <f aca="false">IF(ISNUMBER(P321),P329+SUM(P330:P334),"")</f>
        <v>2925.616</v>
      </c>
      <c r="Q335" s="32" t="n">
        <f aca="false">IF(ISNUMBER(Q321),Q329+SUM(Q330:Q334),"")</f>
        <v>2899.234</v>
      </c>
      <c r="R335" s="32" t="n">
        <f aca="false">IF(ISNUMBER(R321),R329+SUM(R330:R334),"")</f>
        <v>3016.29</v>
      </c>
      <c r="S335" s="32" t="n">
        <f aca="false">IF(ISNUMBER(S321),S329+SUM(S330:S334),"")</f>
        <v>3016.29</v>
      </c>
      <c r="T335" s="32" t="n">
        <f aca="false">IF(ISNUMBER(T321),T329+SUM(T330:T334),"")</f>
        <v>3030.991</v>
      </c>
      <c r="U335" s="32" t="n">
        <f aca="false">IF(ISNUMBER(U321),U329+SUM(U330:U334),"")</f>
        <v>3011.08</v>
      </c>
      <c r="V335" s="32" t="n">
        <f aca="false">IF(ISNUMBER(V321),V329+SUM(V330:V334),"")</f>
        <v>2864.689</v>
      </c>
      <c r="W335" s="32" t="n">
        <f aca="false">IF(ISNUMBER(W321),W329+SUM(W330:W334),"")</f>
        <v>3130.014</v>
      </c>
      <c r="X335" s="32" t="n">
        <f aca="false">IF(ISNUMBER(X321),X329+SUM(X330:X334),"")</f>
        <v>3130.014</v>
      </c>
      <c r="Y335" s="32" t="n">
        <f aca="false">IF(ISNUMBER(Y321),Y329+SUM(Y330:Y334),"")</f>
        <v>3039.04</v>
      </c>
      <c r="Z335" s="32" t="n">
        <f aca="false">IF(ISNUMBER(Z321),Z329+SUM(Z330:Z334),"")</f>
        <v>5535.831</v>
      </c>
      <c r="AA335" s="32" t="n">
        <f aca="false">IF(ISNUMBER(AA321),AA329+SUM(AA330:AA334),"")</f>
        <v>5566.327</v>
      </c>
      <c r="AB335" s="32" t="n">
        <f aca="false">IF(ISNUMBER(AB321),AB329+SUM(AB330:AB334),"")</f>
        <v>5538.225</v>
      </c>
      <c r="AC335" s="32" t="n">
        <f aca="false">IF(ISNUMBER(AC321),AC329+SUM(AC330:AC334),"")</f>
        <v>5538.225</v>
      </c>
      <c r="AD335" s="32" t="n">
        <f aca="false">IF(ISNUMBER(AD321),AD329+SUM(AD330:AD334),"")</f>
        <v>5816.2</v>
      </c>
      <c r="AE335" s="32" t="n">
        <f aca="false">IF(ISNUMBER(AE321),AE329+SUM(AE330:AE334),"")</f>
        <v>5847.377</v>
      </c>
      <c r="AF335" s="32" t="n">
        <f aca="false">IF(ISNUMBER(AF321),AF329+SUM(AF330:AF334),"")</f>
        <v>5916.419</v>
      </c>
      <c r="AG335" s="32" t="n">
        <f aca="false">IF(ISNUMBER(AG321),AG329+SUM(AG330:AG334),"")</f>
        <v>5740.611</v>
      </c>
      <c r="AH335" s="32" t="n">
        <f aca="false">IF(ISNUMBER(AH321),AH329+SUM(AH330:AH334),"")</f>
        <v>5740.611</v>
      </c>
      <c r="AI335" s="32" t="n">
        <f aca="false">IF(ISNUMBER(AI321),AI329+SUM(AI330:AI334),"")</f>
        <v>5682.48</v>
      </c>
      <c r="AJ335" s="32" t="n">
        <f aca="false">IF(ISNUMBER(AJ321),AJ329+SUM(AJ330:AJ334),"")</f>
        <v>5677.903</v>
      </c>
      <c r="AK335" s="32" t="n">
        <f aca="false">IF(ISNUMBER(AK321),AK329+SUM(AK330:AK334),"")</f>
        <v>5686.987</v>
      </c>
      <c r="AL335" s="32" t="n">
        <f aca="false">IF(ISNUMBER(AL321),AL329+SUM(AL330:AL334),"")</f>
        <v>6167.141</v>
      </c>
      <c r="AM335" s="32" t="n">
        <f aca="false">IF(ISNUMBER(AM321),AM329+SUM(AM330:AM334),"")</f>
        <v>6167.141</v>
      </c>
      <c r="AN335" s="32" t="n">
        <f aca="false">IF(ISNUMBER(AN321),AN329+SUM(AN330:AN334),"")</f>
        <v>6363.254</v>
      </c>
      <c r="AO335" s="32" t="n">
        <f aca="false">IF(ISNUMBER(AO321),AO329+SUM(AO330:AO334),"")</f>
        <v>6437.967</v>
      </c>
      <c r="AP335" s="32" t="n">
        <f aca="false">IF(ISNUMBER(AP321),AP329+SUM(AP330:AP334),"")</f>
        <v>6473.895</v>
      </c>
      <c r="AQ335" s="32" t="n">
        <f aca="false">IF(ISNUMBER(AQ321),AQ329+SUM(AQ330:AQ334),"")</f>
        <v>6799.341</v>
      </c>
      <c r="AR335" s="32" t="n">
        <f aca="false">IF(ISNUMBER(AR321),AR329+SUM(AR330:AR334),"")</f>
        <v>6799.341</v>
      </c>
      <c r="AS335" s="32" t="n">
        <f aca="false">IF(ISNUMBER(AS321),AS329+SUM(AS330:AS334),"")</f>
        <v>7592.325</v>
      </c>
      <c r="AT335" s="32" t="n">
        <f aca="false">IF(ISNUMBER(AT321),AT329+SUM(AT330:AT334),"")</f>
        <v>7097.624</v>
      </c>
      <c r="AU335" s="32" t="n">
        <f aca="false">IF(ISNUMBER(AU321),AU329+SUM(AU330:AU334),"")</f>
        <v>7183.258</v>
      </c>
      <c r="AV335" s="32" t="n">
        <f aca="false">IF(ISNUMBER(AV321),AV329+SUM(AV330:AV334),"")</f>
        <v>7128.926</v>
      </c>
      <c r="AW335" s="32" t="n">
        <f aca="false">IF(ISNUMBER(AW321),AW329+SUM(AW330:AW334),"")</f>
        <v>7128.926</v>
      </c>
      <c r="AX335" s="32" t="n">
        <f aca="false">IF(ISNUMBER(AX321),AX329+SUM(AX330:AX334),"")</f>
        <v>7101.056</v>
      </c>
      <c r="AY335" s="32" t="n">
        <f aca="false">IF(ISNUMBER(AY321),AY329+SUM(AY330:AY334),"")</f>
        <v>7237.607</v>
      </c>
      <c r="AZ335" s="32" t="n">
        <f aca="false">IF(ISNUMBER(AZ321),AZ329+SUM(AZ330:AZ334),"")</f>
        <v>7391.676</v>
      </c>
      <c r="BA335" s="32" t="n">
        <f aca="false">IF(ISNUMBER(BA321),BA329+SUM(BA330:BA334),"")</f>
        <v>7706.379</v>
      </c>
      <c r="BB335" s="32" t="n">
        <f aca="false">IF(ISNUMBER(BB321),BB329+SUM(BB330:BB334),"")</f>
        <v>7706.379</v>
      </c>
      <c r="BC335" s="32" t="n">
        <f aca="false">IF(ISNUMBER(BC321),BC329+SUM(BC330:BC334),"")</f>
        <v>8655.303</v>
      </c>
      <c r="BD335" s="32" t="n">
        <f aca="false">IF(ISNUMBER(BD321),BD329+SUM(BD330:BD334),"")</f>
        <v>8546.579</v>
      </c>
      <c r="BE335" s="32" t="n">
        <f aca="false">IF(ISNUMBER(BE321),BE329+SUM(BE330:BE334),"")</f>
        <v>9187.298</v>
      </c>
      <c r="BF335" s="32" t="n">
        <f aca="false">IF(ISNUMBER(BF321),BF329+SUM(BF330:BF334),"")</f>
        <v>10020.959</v>
      </c>
      <c r="BG335" s="32" t="n">
        <f aca="false">IF(ISNUMBER(BG321),BG329+SUM(BG330:BG334),"")</f>
        <v>10020.959</v>
      </c>
      <c r="BH335" s="32" t="n">
        <f aca="false">IF(ISNUMBER(BH321),BH329+SUM(BH330:BH334),"")</f>
        <v>9988.13</v>
      </c>
      <c r="BI335" s="32" t="n">
        <f aca="false">IF(ISNUMBER(BI321),BI329+SUM(BI330:BI334),"")</f>
        <v>9900.07</v>
      </c>
      <c r="BJ335" s="32" t="n">
        <f aca="false">IF(ISNUMBER(BJ321),BJ329+SUM(BJ330:BJ334),"")</f>
        <v>10139.945</v>
      </c>
      <c r="BK335" s="32" t="n">
        <f aca="false">IF(ISNUMBER(BK321),BK329+SUM(BK330:BK334),"")</f>
        <v>10218.095</v>
      </c>
      <c r="BL335" s="32" t="n">
        <f aca="false">IF(ISNUMBER(BL321),BL329+SUM(BL330:BL334),"")</f>
        <v>10218.095</v>
      </c>
      <c r="BM335" s="32" t="n">
        <f aca="false">IF(ISNUMBER(BM321),BM329+SUM(BM330:BM334),"")</f>
        <v>11291.7</v>
      </c>
      <c r="BN335" s="32" t="n">
        <f aca="false">IF(ISNUMBER(BN321),BN329+SUM(BN330:BN334),"")</f>
        <v>11318.308</v>
      </c>
      <c r="BO335" s="32" t="n">
        <f aca="false">IF(ISNUMBER(BO321),BO329+SUM(BO330:BO334),"")</f>
        <v>11833.909</v>
      </c>
      <c r="BP335" s="32" t="n">
        <f aca="false">IF(ISNUMBER(BP321),BP329+SUM(BP330:BP334),"")</f>
        <v>11957.455</v>
      </c>
      <c r="BQ335" s="32" t="n">
        <f aca="false">IF(ISNUMBER(BQ321),BQ329+SUM(BQ330:BQ334),"")</f>
        <v>11957.455</v>
      </c>
      <c r="BR335" s="32" t="n">
        <f aca="false">IF(ISNUMBER(BR321),BR329+SUM(BR330:BR334),"")</f>
        <v>12240.317</v>
      </c>
      <c r="BS335" s="32" t="n">
        <f aca="false">IF(ISNUMBER(BS321),BS329+SUM(BS330:BS334),"")</f>
        <v>12324.953</v>
      </c>
      <c r="BT335" s="32" t="n">
        <f aca="false">IF(ISNUMBER(BT321),BT329+SUM(BT330:BT334),"")</f>
        <v>12689.127</v>
      </c>
      <c r="BU335" s="32" t="n">
        <f aca="false">IF(ISNUMBER(BU321),BU329+SUM(BU330:BU334),"")</f>
        <v>12883.982</v>
      </c>
      <c r="BV335" s="32" t="n">
        <f aca="false">IF(ISNUMBER(BV321),BV329+SUM(BV330:BV334),"")</f>
        <v>12883.982</v>
      </c>
      <c r="BW335" s="32" t="n">
        <f aca="false">IF(ISNUMBER(BW321),BW329+SUM(BW330:BW334),"")</f>
        <v>13128.736</v>
      </c>
      <c r="BX335" s="32" t="n">
        <f aca="false">IF(ISNUMBER(BX321),BX329+SUM(BX330:BX334),"")</f>
        <v>13478.234</v>
      </c>
      <c r="BY335" s="51"/>
      <c r="BZ335" s="51"/>
      <c r="CA335" s="20" t="n">
        <f aca="false">IF(ISNUMBER(CA321),CA329+SUM(CA330:CA334),"")</f>
        <v>13544.4382459191</v>
      </c>
      <c r="CB335" s="20" t="n">
        <f aca="false">IF(ISNUMBER(CB321),CB329+SUM(CB330:CB334),"")</f>
        <v>14577.7494439735</v>
      </c>
      <c r="CC335" s="20" t="n">
        <f aca="false">IF(ISNUMBER(CC321),CC329+SUM(CC330:CC334),"")</f>
        <v>15718.195113834</v>
      </c>
      <c r="CD335" s="20" t="n">
        <f aca="false">IF(ISNUMBER(CD321),CD329+SUM(CD330:CD334),"")</f>
        <v>16935.9203312446</v>
      </c>
      <c r="CE335" s="20" t="n">
        <f aca="false">IF(ISNUMBER(CE321),CE329+SUM(CE330:CE334),"")</f>
        <v>18186.3171127253</v>
      </c>
      <c r="CF335" s="21"/>
    </row>
    <row r="336" customFormat="false" ht="15" hidden="false" customHeight="true" outlineLevel="0" collapsed="false">
      <c r="B336" s="29" t="s">
        <v>538</v>
      </c>
      <c r="BY336" s="7"/>
      <c r="BZ336" s="7"/>
      <c r="CA336" s="7"/>
      <c r="CB336" s="7"/>
      <c r="CC336" s="7"/>
      <c r="CD336" s="7"/>
      <c r="CE336" s="7"/>
      <c r="CF336" s="21"/>
    </row>
    <row r="337" customFormat="false" ht="15" hidden="false" customHeight="true" outlineLevel="0" collapsed="false">
      <c r="B337" s="29" t="s">
        <v>539</v>
      </c>
      <c r="C337" s="27" t="n">
        <v>310.684</v>
      </c>
      <c r="D337" s="27" t="n">
        <v>254.954</v>
      </c>
      <c r="E337" s="27" t="n">
        <v>648.627</v>
      </c>
      <c r="F337" s="27" t="n">
        <v>625.959</v>
      </c>
      <c r="G337" s="27" t="n">
        <v>510.357</v>
      </c>
      <c r="H337" s="27" t="n">
        <v>409.83</v>
      </c>
      <c r="I337" s="27" t="n">
        <v>781.134</v>
      </c>
      <c r="J337" s="27" t="n">
        <v>782.307</v>
      </c>
      <c r="K337" s="27" t="n">
        <v>787.215</v>
      </c>
      <c r="L337" s="27" t="n">
        <v>792.754</v>
      </c>
      <c r="M337" s="27" t="n">
        <v>797.321</v>
      </c>
      <c r="N337" s="27" t="n">
        <v>797.321</v>
      </c>
      <c r="O337" s="27" t="n">
        <v>800.408</v>
      </c>
      <c r="P337" s="27" t="n">
        <v>810.09</v>
      </c>
      <c r="Q337" s="27" t="n">
        <v>814.549</v>
      </c>
      <c r="R337" s="27" t="n">
        <v>812.529</v>
      </c>
      <c r="S337" s="27" t="n">
        <v>812.529</v>
      </c>
      <c r="T337" s="27" t="n">
        <v>794.164</v>
      </c>
      <c r="U337" s="27" t="n">
        <v>776.706</v>
      </c>
      <c r="V337" s="27" t="n">
        <v>731.836</v>
      </c>
      <c r="W337" s="27" t="n">
        <v>737.876</v>
      </c>
      <c r="X337" s="27" t="n">
        <v>737.876</v>
      </c>
      <c r="Y337" s="27" t="n">
        <v>737.977</v>
      </c>
      <c r="Z337" s="27" t="n">
        <v>4256.166</v>
      </c>
      <c r="AA337" s="27" t="n">
        <v>4267.697</v>
      </c>
      <c r="AB337" s="27" t="n">
        <v>4277.028</v>
      </c>
      <c r="AC337" s="27" t="n">
        <v>4277.028</v>
      </c>
      <c r="AD337" s="27" t="n">
        <v>4275.868</v>
      </c>
      <c r="AE337" s="27" t="n">
        <v>4286.968</v>
      </c>
      <c r="AF337" s="27" t="n">
        <v>4295.085</v>
      </c>
      <c r="AG337" s="27" t="n">
        <v>4303.311</v>
      </c>
      <c r="AH337" s="27" t="n">
        <v>4303.311</v>
      </c>
      <c r="AI337" s="27" t="n">
        <v>4257.088</v>
      </c>
      <c r="AJ337" s="27" t="n">
        <v>4265.787</v>
      </c>
      <c r="AK337" s="27" t="n">
        <v>4272.226</v>
      </c>
      <c r="AL337" s="27" t="n">
        <v>4264.884</v>
      </c>
      <c r="AM337" s="27" t="n">
        <v>4264.884</v>
      </c>
      <c r="AN337" s="27" t="n">
        <v>4263.147</v>
      </c>
      <c r="AO337" s="27" t="n">
        <v>4273.196</v>
      </c>
      <c r="AP337" s="27" t="n">
        <v>4282.531</v>
      </c>
      <c r="AQ337" s="27" t="n">
        <v>4290.26</v>
      </c>
      <c r="AR337" s="27" t="n">
        <v>4290.26</v>
      </c>
      <c r="AS337" s="27" t="n">
        <v>4171.806</v>
      </c>
      <c r="AT337" s="27" t="n">
        <v>4181.517</v>
      </c>
      <c r="AU337" s="27" t="n">
        <v>4192.974</v>
      </c>
      <c r="AV337" s="27" t="n">
        <v>4200.923</v>
      </c>
      <c r="AW337" s="27" t="n">
        <v>4200.923</v>
      </c>
      <c r="AX337" s="27" t="n">
        <v>4126.138</v>
      </c>
      <c r="AY337" s="27" t="n">
        <v>3897.091</v>
      </c>
      <c r="AZ337" s="27" t="n">
        <v>3911.129</v>
      </c>
      <c r="BA337" s="27" t="n">
        <v>3892.509</v>
      </c>
      <c r="BB337" s="27" t="n">
        <v>3892.509</v>
      </c>
      <c r="BC337" s="27" t="n">
        <v>3466.272</v>
      </c>
      <c r="BD337" s="27" t="n">
        <v>3481.009</v>
      </c>
      <c r="BE337" s="27" t="n">
        <v>3501.403</v>
      </c>
      <c r="BF337" s="27" t="n">
        <v>3516.034</v>
      </c>
      <c r="BG337" s="27" t="n">
        <v>3516.034</v>
      </c>
      <c r="BH337" s="27" t="n">
        <v>3513.048</v>
      </c>
      <c r="BI337" s="27" t="n">
        <v>3530.231</v>
      </c>
      <c r="BJ337" s="27" t="n">
        <v>3546.735</v>
      </c>
      <c r="BK337" s="27" t="n">
        <v>3560.945</v>
      </c>
      <c r="BL337" s="27" t="n">
        <v>3560.945</v>
      </c>
      <c r="BM337" s="27" t="n">
        <v>3551.58</v>
      </c>
      <c r="BN337" s="27" t="n">
        <v>3569.922</v>
      </c>
      <c r="BO337" s="27" t="n">
        <v>3592.391</v>
      </c>
      <c r="BP337" s="27" t="n">
        <v>3609.089</v>
      </c>
      <c r="BQ337" s="27" t="n">
        <v>3609.089</v>
      </c>
      <c r="BR337" s="27" t="n">
        <v>3604.428</v>
      </c>
      <c r="BS337" s="27" t="n">
        <v>3621.628</v>
      </c>
      <c r="BT337" s="27" t="n">
        <v>3201.34</v>
      </c>
      <c r="BU337" s="27" t="n">
        <v>3156.67</v>
      </c>
      <c r="BV337" s="27" t="n">
        <v>3156.67</v>
      </c>
      <c r="BW337" s="27" t="n">
        <v>2869.049</v>
      </c>
      <c r="BX337" s="27" t="n">
        <v>2561.469</v>
      </c>
      <c r="BY337" s="28"/>
      <c r="BZ337" s="28"/>
      <c r="CA337" s="47" t="n">
        <f aca="false">BX337+(CA236-(BW236+BX236))+(CA253-(BW253+BX253))</f>
        <v>2599.739715</v>
      </c>
      <c r="CB337" s="47" t="n">
        <f aca="false">CA337+CB236+CB253</f>
        <v>2654.63924261488</v>
      </c>
      <c r="CC337" s="47" t="n">
        <f aca="false">CB337+CC236+CC253</f>
        <v>2715.94145644463</v>
      </c>
      <c r="CD337" s="47" t="n">
        <f aca="false">CC337+CD236+CD253</f>
        <v>2784.07618061325</v>
      </c>
      <c r="CE337" s="47" t="n">
        <f aca="false">CD337+CE236+CE253</f>
        <v>2859.17773170044</v>
      </c>
      <c r="CF337" s="21" t="s">
        <v>540</v>
      </c>
    </row>
    <row r="338" customFormat="false" ht="15" hidden="false" customHeight="true" outlineLevel="0" collapsed="false">
      <c r="B338" s="29" t="s">
        <v>541</v>
      </c>
      <c r="C338" s="27" t="n">
        <v>3.067</v>
      </c>
      <c r="D338" s="27" t="n">
        <v>-4.29</v>
      </c>
      <c r="E338" s="27" t="n">
        <v>-23.937</v>
      </c>
      <c r="F338" s="27" t="n">
        <v>-4.892</v>
      </c>
      <c r="G338" s="27" t="n">
        <v>-3.095</v>
      </c>
      <c r="H338" s="27" t="n">
        <v>-3.48</v>
      </c>
      <c r="I338" s="27" t="n">
        <v>-6.165</v>
      </c>
      <c r="J338" s="27" t="n">
        <v>-4.967</v>
      </c>
      <c r="K338" s="27" t="n">
        <v>-3.288</v>
      </c>
      <c r="L338" s="27" t="n">
        <v>-2.947</v>
      </c>
      <c r="M338" s="27" t="n">
        <v>-1.869</v>
      </c>
      <c r="N338" s="27" t="n">
        <v>-1.869</v>
      </c>
      <c r="O338" s="27" t="n">
        <v>-1.764</v>
      </c>
      <c r="P338" s="27" t="n">
        <v>-2.48</v>
      </c>
      <c r="Q338" s="27" t="n">
        <v>-1.94</v>
      </c>
      <c r="R338" s="27" t="n">
        <v>-5.593</v>
      </c>
      <c r="S338" s="27" t="n">
        <v>-5.593</v>
      </c>
      <c r="T338" s="27" t="n">
        <v>-8.268</v>
      </c>
      <c r="U338" s="27" t="n">
        <v>-7.597</v>
      </c>
      <c r="V338" s="27" t="n">
        <v>-13.236</v>
      </c>
      <c r="W338" s="27" t="n">
        <v>-12.171</v>
      </c>
      <c r="X338" s="27" t="n">
        <v>-12.171</v>
      </c>
      <c r="Y338" s="27" t="n">
        <v>-14.947</v>
      </c>
      <c r="Z338" s="27" t="n">
        <v>-1.673</v>
      </c>
      <c r="AA338" s="27" t="n">
        <v>-13.024</v>
      </c>
      <c r="AB338" s="27" t="n">
        <v>-43.001</v>
      </c>
      <c r="AC338" s="27" t="n">
        <v>-43.001</v>
      </c>
      <c r="AD338" s="27" t="n">
        <v>-25.415</v>
      </c>
      <c r="AE338" s="27" t="n">
        <v>26.108</v>
      </c>
      <c r="AF338" s="27" t="n">
        <v>114.779</v>
      </c>
      <c r="AG338" s="27" t="n">
        <v>108.413</v>
      </c>
      <c r="AH338" s="27" t="n">
        <v>108.413</v>
      </c>
      <c r="AI338" s="27" t="n">
        <v>56.893</v>
      </c>
      <c r="AJ338" s="27" t="n">
        <v>15.106</v>
      </c>
      <c r="AK338" s="27" t="n">
        <v>53.203</v>
      </c>
      <c r="AL338" s="27" t="n">
        <v>-74.786</v>
      </c>
      <c r="AM338" s="27" t="n">
        <v>-74.786</v>
      </c>
      <c r="AN338" s="27" t="n">
        <v>-45.978</v>
      </c>
      <c r="AO338" s="27" t="n">
        <v>-23.487</v>
      </c>
      <c r="AP338" s="27" t="n">
        <v>-61.228</v>
      </c>
      <c r="AQ338" s="27" t="n">
        <v>-10.963</v>
      </c>
      <c r="AR338" s="27" t="n">
        <v>-10.963</v>
      </c>
      <c r="AS338" s="27" t="n">
        <v>-238.652</v>
      </c>
      <c r="AT338" s="27" t="n">
        <v>-162.707</v>
      </c>
      <c r="AU338" s="27" t="n">
        <v>-113.338</v>
      </c>
      <c r="AV338" s="27" t="n">
        <v>-0.651</v>
      </c>
      <c r="AW338" s="27" t="n">
        <v>-0.651</v>
      </c>
      <c r="AX338" s="27" t="n">
        <v>46.171</v>
      </c>
      <c r="AY338" s="27" t="n">
        <v>78.265</v>
      </c>
      <c r="AZ338" s="27" t="n">
        <v>17.553</v>
      </c>
      <c r="BA338" s="27" t="n">
        <v>39.584</v>
      </c>
      <c r="BB338" s="27" t="n">
        <v>39.584</v>
      </c>
      <c r="BC338" s="27" t="n">
        <v>110.358</v>
      </c>
      <c r="BD338" s="27" t="n">
        <v>41.438</v>
      </c>
      <c r="BE338" s="27" t="n">
        <v>-83.476</v>
      </c>
      <c r="BF338" s="27" t="n">
        <v>-56.83</v>
      </c>
      <c r="BG338" s="27" t="n">
        <v>-56.83</v>
      </c>
      <c r="BH338" s="27" t="n">
        <v>-60.572</v>
      </c>
      <c r="BI338" s="27" t="n">
        <v>-1.081</v>
      </c>
      <c r="BJ338" s="27" t="n">
        <v>-49.262</v>
      </c>
      <c r="BK338" s="27" t="n">
        <v>-9.826</v>
      </c>
      <c r="BL338" s="27" t="n">
        <v>-9.826</v>
      </c>
      <c r="BM338" s="27" t="n">
        <v>-62.836</v>
      </c>
      <c r="BN338" s="27" t="n">
        <v>-86.655</v>
      </c>
      <c r="BO338" s="27" t="n">
        <v>-64.95</v>
      </c>
      <c r="BP338" s="27" t="n">
        <v>-205.74</v>
      </c>
      <c r="BQ338" s="27" t="n">
        <v>-205.74</v>
      </c>
      <c r="BR338" s="27" t="n">
        <v>-207.286</v>
      </c>
      <c r="BS338" s="27" t="n">
        <v>-93.812</v>
      </c>
      <c r="BT338" s="27" t="n">
        <v>-139.084</v>
      </c>
      <c r="BU338" s="27" t="n">
        <v>-111.044</v>
      </c>
      <c r="BV338" s="27" t="n">
        <v>-111.044</v>
      </c>
      <c r="BW338" s="27" t="n">
        <v>-141.783</v>
      </c>
      <c r="BX338" s="27" t="n">
        <v>-178.647</v>
      </c>
      <c r="BY338" s="28"/>
      <c r="BZ338" s="28"/>
      <c r="CA338" s="47" t="n">
        <f aca="false">BX338</f>
        <v>-178.647</v>
      </c>
      <c r="CB338" s="47" t="n">
        <f aca="false">CA338</f>
        <v>-178.647</v>
      </c>
      <c r="CC338" s="47" t="n">
        <f aca="false">CB338</f>
        <v>-178.647</v>
      </c>
      <c r="CD338" s="47" t="n">
        <f aca="false">CC338</f>
        <v>-178.647</v>
      </c>
      <c r="CE338" s="47" t="n">
        <f aca="false">CD338</f>
        <v>-178.647</v>
      </c>
      <c r="CF338" s="21"/>
    </row>
    <row r="339" customFormat="false" ht="15" hidden="false" customHeight="true" outlineLevel="0" collapsed="false">
      <c r="B339" s="29" t="s">
        <v>542</v>
      </c>
      <c r="C339" s="27" t="n">
        <v>422.731</v>
      </c>
      <c r="D339" s="27" t="n">
        <v>524.481</v>
      </c>
      <c r="E339" s="27" t="n">
        <v>630.037</v>
      </c>
      <c r="F339" s="27" t="n">
        <v>732.738</v>
      </c>
      <c r="G339" s="27" t="n">
        <v>858.887</v>
      </c>
      <c r="H339" s="27" t="n">
        <v>988.56</v>
      </c>
      <c r="I339" s="27" t="n">
        <v>1103.188</v>
      </c>
      <c r="J339" s="27" t="n">
        <v>1132.434</v>
      </c>
      <c r="K339" s="27" t="n">
        <v>1164.057</v>
      </c>
      <c r="L339" s="27" t="n">
        <v>1212.412</v>
      </c>
      <c r="M339" s="27" t="n">
        <v>1247.63</v>
      </c>
      <c r="N339" s="27" t="n">
        <v>1247.63</v>
      </c>
      <c r="O339" s="27" t="n">
        <v>1282.403</v>
      </c>
      <c r="P339" s="27" t="n">
        <v>1330.813</v>
      </c>
      <c r="Q339" s="27" t="n">
        <v>1376.623</v>
      </c>
      <c r="R339" s="27" t="n">
        <v>1421.249</v>
      </c>
      <c r="S339" s="27" t="n">
        <v>1421.249</v>
      </c>
      <c r="T339" s="27" t="n">
        <v>1456.917</v>
      </c>
      <c r="U339" s="27" t="n">
        <v>1498.23</v>
      </c>
      <c r="V339" s="27" t="n">
        <v>1225.178</v>
      </c>
      <c r="W339" s="27" t="n">
        <v>1259.495</v>
      </c>
      <c r="X339" s="27" t="n">
        <v>1259.495</v>
      </c>
      <c r="Y339" s="27" t="n">
        <v>1286.546</v>
      </c>
      <c r="Z339" s="27" t="n">
        <v>1296.241</v>
      </c>
      <c r="AA339" s="27" t="n">
        <v>1359.442</v>
      </c>
      <c r="AB339" s="27" t="n">
        <v>1413.488</v>
      </c>
      <c r="AC339" s="27" t="n">
        <v>1413.488</v>
      </c>
      <c r="AD339" s="27" t="n">
        <v>1395.271</v>
      </c>
      <c r="AE339" s="27" t="n">
        <v>1487.171</v>
      </c>
      <c r="AF339" s="27" t="n">
        <v>1578.635</v>
      </c>
      <c r="AG339" s="27" t="n">
        <v>1856.946</v>
      </c>
      <c r="AH339" s="27" t="n">
        <v>1856.946</v>
      </c>
      <c r="AI339" s="27" t="n">
        <v>1961.297</v>
      </c>
      <c r="AJ339" s="27" t="n">
        <v>2060.156</v>
      </c>
      <c r="AK339" s="27" t="n">
        <v>2174.135</v>
      </c>
      <c r="AL339" s="27" t="n">
        <v>2264.51</v>
      </c>
      <c r="AM339" s="27" t="n">
        <v>2264.51</v>
      </c>
      <c r="AN339" s="27" t="n">
        <v>2345.97</v>
      </c>
      <c r="AO339" s="27" t="n">
        <v>2452.687</v>
      </c>
      <c r="AP339" s="27" t="n">
        <v>2569.663</v>
      </c>
      <c r="AQ339" s="27" t="n">
        <v>2654.207</v>
      </c>
      <c r="AR339" s="27" t="n">
        <v>2654.207</v>
      </c>
      <c r="AS339" s="27" t="n">
        <v>2749.224</v>
      </c>
      <c r="AT339" s="27" t="n">
        <v>2473.258</v>
      </c>
      <c r="AU339" s="27" t="n">
        <v>2582.298</v>
      </c>
      <c r="AV339" s="27" t="n">
        <v>2659.001</v>
      </c>
      <c r="AW339" s="27" t="n">
        <v>2659.001</v>
      </c>
      <c r="AX339" s="27" t="n">
        <v>2765.401</v>
      </c>
      <c r="AY339" s="27" t="n">
        <v>2889.027</v>
      </c>
      <c r="AZ339" s="27" t="n">
        <v>2949.984</v>
      </c>
      <c r="BA339" s="27" t="n">
        <v>3056.845</v>
      </c>
      <c r="BB339" s="27" t="n">
        <v>3056.845</v>
      </c>
      <c r="BC339" s="27" t="n">
        <v>3177.778</v>
      </c>
      <c r="BD339" s="27" t="n">
        <v>3342.431</v>
      </c>
      <c r="BE339" s="27" t="n">
        <v>3520.446</v>
      </c>
      <c r="BF339" s="27" t="n">
        <v>3649.494</v>
      </c>
      <c r="BG339" s="27" t="n">
        <v>3649.494</v>
      </c>
      <c r="BH339" s="27" t="n">
        <v>3781.519</v>
      </c>
      <c r="BI339" s="27" t="n">
        <v>3925.376</v>
      </c>
      <c r="BJ339" s="27" t="n">
        <v>4088.726</v>
      </c>
      <c r="BK339" s="27" t="n">
        <v>4141.69</v>
      </c>
      <c r="BL339" s="27" t="n">
        <v>4141.69</v>
      </c>
      <c r="BM339" s="27" t="n">
        <v>4298.171</v>
      </c>
      <c r="BN339" s="27" t="n">
        <v>4499.951</v>
      </c>
      <c r="BO339" s="27" t="n">
        <v>4734.014</v>
      </c>
      <c r="BP339" s="27" t="n">
        <v>4457.005</v>
      </c>
      <c r="BQ339" s="27" t="n">
        <v>4457.005</v>
      </c>
      <c r="BR339" s="27" t="n">
        <v>4617.038</v>
      </c>
      <c r="BS339" s="27" t="n">
        <v>4825.841</v>
      </c>
      <c r="BT339" s="27" t="n">
        <v>5031.112</v>
      </c>
      <c r="BU339" s="27" t="n">
        <v>5199.755</v>
      </c>
      <c r="BV339" s="27" t="n">
        <v>5199.755</v>
      </c>
      <c r="BW339" s="27" t="n">
        <v>5330.353</v>
      </c>
      <c r="BX339" s="27" t="n">
        <v>5538.396</v>
      </c>
      <c r="BY339" s="28"/>
      <c r="BZ339" s="28"/>
      <c r="CA339" s="47" t="n">
        <f aca="false">BX339+(BY146+BZ146)+(CA251-(BW251+BX251))+(CA252-(BW252+BX252))</f>
        <v>5611.11824132694</v>
      </c>
      <c r="CB339" s="47" t="n">
        <f aca="false">CA339+CB146+CB251+CB252</f>
        <v>5505.32230563385</v>
      </c>
      <c r="CC339" s="47" t="n">
        <f aca="false">CB339+CC146+CC251+CC252</f>
        <v>5317.33134633751</v>
      </c>
      <c r="CD339" s="47" t="n">
        <f aca="false">CC339+CD146+CD251+CD252</f>
        <v>5055.81860495626</v>
      </c>
      <c r="CE339" s="47" t="n">
        <f aca="false">CD339+CE146+CE251+CE252</f>
        <v>4760.0464581363</v>
      </c>
      <c r="CF339" s="21" t="s">
        <v>543</v>
      </c>
    </row>
    <row r="340" customFormat="false" ht="15" hidden="false" customHeight="true" outlineLevel="0" collapsed="false">
      <c r="B340" s="18" t="s">
        <v>544</v>
      </c>
      <c r="C340" s="32" t="n">
        <f aca="false">IF(ISNUMBER(C339),N(C337)+N(C338)+C339,"")</f>
        <v>736.482</v>
      </c>
      <c r="D340" s="32" t="n">
        <f aca="false">IF(ISNUMBER(D339),N(D337)+N(D338)+D339,"")</f>
        <v>775.145</v>
      </c>
      <c r="E340" s="32" t="n">
        <f aca="false">IF(ISNUMBER(E339),N(E337)+N(E338)+E339,"")</f>
        <v>1254.727</v>
      </c>
      <c r="F340" s="32" t="n">
        <f aca="false">IF(ISNUMBER(F339),N(F337)+N(F338)+F339,"")</f>
        <v>1353.805</v>
      </c>
      <c r="G340" s="32" t="n">
        <f aca="false">IF(ISNUMBER(G339),N(G337)+N(G338)+G339,"")</f>
        <v>1366.149</v>
      </c>
      <c r="H340" s="32" t="n">
        <f aca="false">IF(ISNUMBER(H339),N(H337)+N(H338)+H339,"")</f>
        <v>1394.91</v>
      </c>
      <c r="I340" s="32" t="n">
        <f aca="false">IF(ISNUMBER(I339),N(I337)+N(I338)+I339,"")</f>
        <v>1878.157</v>
      </c>
      <c r="J340" s="32" t="n">
        <f aca="false">IF(ISNUMBER(J339),N(J337)+N(J338)+J339,"")</f>
        <v>1909.774</v>
      </c>
      <c r="K340" s="32" t="n">
        <f aca="false">IF(ISNUMBER(K339),N(K337)+N(K338)+K339,"")</f>
        <v>1947.984</v>
      </c>
      <c r="L340" s="32" t="n">
        <f aca="false">IF(ISNUMBER(L339),N(L337)+N(L338)+L339,"")</f>
        <v>2002.219</v>
      </c>
      <c r="M340" s="32" t="n">
        <f aca="false">IF(ISNUMBER(M339),N(M337)+N(M338)+M339,"")</f>
        <v>2043.082</v>
      </c>
      <c r="N340" s="32" t="n">
        <f aca="false">IF(ISNUMBER(N339),N(N337)+N(N338)+N339,"")</f>
        <v>2043.082</v>
      </c>
      <c r="O340" s="32" t="n">
        <f aca="false">IF(ISNUMBER(O339),N(O337)+N(O338)+O339,"")</f>
        <v>2081.047</v>
      </c>
      <c r="P340" s="32" t="n">
        <f aca="false">IF(ISNUMBER(P339),N(P337)+N(P338)+P339,"")</f>
        <v>2138.423</v>
      </c>
      <c r="Q340" s="32" t="n">
        <f aca="false">IF(ISNUMBER(Q339),N(Q337)+N(Q338)+Q339,"")</f>
        <v>2189.232</v>
      </c>
      <c r="R340" s="32" t="n">
        <f aca="false">IF(ISNUMBER(R339),N(R337)+N(R338)+R339,"")</f>
        <v>2228.185</v>
      </c>
      <c r="S340" s="32" t="n">
        <f aca="false">IF(ISNUMBER(S339),N(S337)+N(S338)+S339,"")</f>
        <v>2228.185</v>
      </c>
      <c r="T340" s="32" t="n">
        <f aca="false">IF(ISNUMBER(T339),N(T337)+N(T338)+T339,"")</f>
        <v>2242.813</v>
      </c>
      <c r="U340" s="32" t="n">
        <f aca="false">IF(ISNUMBER(U339),N(U337)+N(U338)+U339,"")</f>
        <v>2267.339</v>
      </c>
      <c r="V340" s="32" t="n">
        <f aca="false">IF(ISNUMBER(V339),N(V337)+N(V338)+V339,"")</f>
        <v>1943.778</v>
      </c>
      <c r="W340" s="32" t="n">
        <f aca="false">IF(ISNUMBER(W339),N(W337)+N(W338)+W339,"")</f>
        <v>1985.2</v>
      </c>
      <c r="X340" s="32" t="n">
        <f aca="false">IF(ISNUMBER(X339),N(X337)+N(X338)+X339,"")</f>
        <v>1985.2</v>
      </c>
      <c r="Y340" s="32" t="n">
        <f aca="false">IF(ISNUMBER(Y339),N(Y337)+N(Y338)+Y339,"")</f>
        <v>2009.576</v>
      </c>
      <c r="Z340" s="32" t="n">
        <f aca="false">IF(ISNUMBER(Z339),N(Z337)+N(Z338)+Z339,"")</f>
        <v>5550.734</v>
      </c>
      <c r="AA340" s="32" t="n">
        <f aca="false">IF(ISNUMBER(AA339),N(AA337)+N(AA338)+AA339,"")</f>
        <v>5614.115</v>
      </c>
      <c r="AB340" s="32" t="n">
        <f aca="false">IF(ISNUMBER(AB339),N(AB337)+N(AB338)+AB339,"")</f>
        <v>5647.515</v>
      </c>
      <c r="AC340" s="32" t="n">
        <f aca="false">IF(ISNUMBER(AC339),N(AC337)+N(AC338)+AC339,"")</f>
        <v>5647.515</v>
      </c>
      <c r="AD340" s="32" t="n">
        <f aca="false">IF(ISNUMBER(AD339),N(AD337)+N(AD338)+AD339,"")</f>
        <v>5645.724</v>
      </c>
      <c r="AE340" s="32" t="n">
        <f aca="false">IF(ISNUMBER(AE339),N(AE337)+N(AE338)+AE339,"")</f>
        <v>5800.247</v>
      </c>
      <c r="AF340" s="32" t="n">
        <f aca="false">IF(ISNUMBER(AF339),N(AF337)+N(AF338)+AF339,"")</f>
        <v>5988.499</v>
      </c>
      <c r="AG340" s="32" t="n">
        <f aca="false">IF(ISNUMBER(AG339),N(AG337)+N(AG338)+AG339,"")</f>
        <v>6268.67</v>
      </c>
      <c r="AH340" s="32" t="n">
        <f aca="false">IF(ISNUMBER(AH339),N(AH337)+N(AH338)+AH339,"")</f>
        <v>6268.67</v>
      </c>
      <c r="AI340" s="32" t="n">
        <f aca="false">IF(ISNUMBER(AI339),N(AI337)+N(AI338)+AI339,"")</f>
        <v>6275.278</v>
      </c>
      <c r="AJ340" s="32" t="n">
        <f aca="false">IF(ISNUMBER(AJ339),N(AJ337)+N(AJ338)+AJ339,"")</f>
        <v>6341.049</v>
      </c>
      <c r="AK340" s="32" t="n">
        <f aca="false">IF(ISNUMBER(AK339),N(AK337)+N(AK338)+AK339,"")</f>
        <v>6499.564</v>
      </c>
      <c r="AL340" s="32" t="n">
        <f aca="false">IF(ISNUMBER(AL339),N(AL337)+N(AL338)+AL339,"")</f>
        <v>6454.608</v>
      </c>
      <c r="AM340" s="32" t="n">
        <f aca="false">IF(ISNUMBER(AM339),N(AM337)+N(AM338)+AM339,"")</f>
        <v>6454.608</v>
      </c>
      <c r="AN340" s="32" t="n">
        <f aca="false">IF(ISNUMBER(AN339),N(AN337)+N(AN338)+AN339,"")</f>
        <v>6563.139</v>
      </c>
      <c r="AO340" s="32" t="n">
        <f aca="false">IF(ISNUMBER(AO339),N(AO337)+N(AO338)+AO339,"")</f>
        <v>6702.396</v>
      </c>
      <c r="AP340" s="32" t="n">
        <f aca="false">IF(ISNUMBER(AP339),N(AP337)+N(AP338)+AP339,"")</f>
        <v>6790.966</v>
      </c>
      <c r="AQ340" s="32" t="n">
        <f aca="false">IF(ISNUMBER(AQ339),N(AQ337)+N(AQ338)+AQ339,"")</f>
        <v>6933.504</v>
      </c>
      <c r="AR340" s="32" t="n">
        <f aca="false">IF(ISNUMBER(AR339),N(AR337)+N(AR338)+AR339,"")</f>
        <v>6933.504</v>
      </c>
      <c r="AS340" s="32" t="n">
        <f aca="false">IF(ISNUMBER(AS339),N(AS337)+N(AS338)+AS339,"")</f>
        <v>6682.378</v>
      </c>
      <c r="AT340" s="32" t="n">
        <f aca="false">IF(ISNUMBER(AT339),N(AT337)+N(AT338)+AT339,"")</f>
        <v>6492.068</v>
      </c>
      <c r="AU340" s="32" t="n">
        <f aca="false">IF(ISNUMBER(AU339),N(AU337)+N(AU338)+AU339,"")</f>
        <v>6661.934</v>
      </c>
      <c r="AV340" s="32" t="n">
        <f aca="false">IF(ISNUMBER(AV339),N(AV337)+N(AV338)+AV339,"")</f>
        <v>6859.273</v>
      </c>
      <c r="AW340" s="32" t="n">
        <f aca="false">IF(ISNUMBER(AW339),N(AW337)+N(AW338)+AW339,"")</f>
        <v>6859.273</v>
      </c>
      <c r="AX340" s="32" t="n">
        <f aca="false">IF(ISNUMBER(AX339),N(AX337)+N(AX338)+AX339,"")</f>
        <v>6937.71</v>
      </c>
      <c r="AY340" s="32" t="n">
        <f aca="false">IF(ISNUMBER(AY339),N(AY337)+N(AY338)+AY339,"")</f>
        <v>6864.383</v>
      </c>
      <c r="AZ340" s="32" t="n">
        <f aca="false">IF(ISNUMBER(AZ339),N(AZ337)+N(AZ338)+AZ339,"")</f>
        <v>6878.666</v>
      </c>
      <c r="BA340" s="32" t="n">
        <f aca="false">IF(ISNUMBER(BA339),N(BA337)+N(BA338)+BA339,"")</f>
        <v>6988.938</v>
      </c>
      <c r="BB340" s="32" t="n">
        <f aca="false">IF(ISNUMBER(BB339),N(BB337)+N(BB338)+BB339,"")</f>
        <v>6988.938</v>
      </c>
      <c r="BC340" s="32" t="n">
        <f aca="false">IF(ISNUMBER(BC339),N(BC337)+N(BC338)+BC339,"")</f>
        <v>6754.408</v>
      </c>
      <c r="BD340" s="32" t="n">
        <f aca="false">IF(ISNUMBER(BD339),N(BD337)+N(BD338)+BD339,"")</f>
        <v>6864.878</v>
      </c>
      <c r="BE340" s="32" t="n">
        <f aca="false">IF(ISNUMBER(BE339),N(BE337)+N(BE338)+BE339,"")</f>
        <v>6938.373</v>
      </c>
      <c r="BF340" s="32" t="n">
        <f aca="false">IF(ISNUMBER(BF339),N(BF337)+N(BF338)+BF339,"")</f>
        <v>7108.698</v>
      </c>
      <c r="BG340" s="32" t="n">
        <f aca="false">IF(ISNUMBER(BG339),N(BG337)+N(BG338)+BG339,"")</f>
        <v>7108.698</v>
      </c>
      <c r="BH340" s="32" t="n">
        <f aca="false">IF(ISNUMBER(BH339),N(BH337)+N(BH338)+BH339,"")</f>
        <v>7233.995</v>
      </c>
      <c r="BI340" s="32" t="n">
        <f aca="false">IF(ISNUMBER(BI339),N(BI337)+N(BI338)+BI339,"")</f>
        <v>7454.526</v>
      </c>
      <c r="BJ340" s="32" t="n">
        <f aca="false">IF(ISNUMBER(BJ339),N(BJ337)+N(BJ338)+BJ339,"")</f>
        <v>7586.199</v>
      </c>
      <c r="BK340" s="32" t="n">
        <f aca="false">IF(ISNUMBER(BK339),N(BK337)+N(BK338)+BK339,"")</f>
        <v>7692.809</v>
      </c>
      <c r="BL340" s="32" t="n">
        <f aca="false">IF(ISNUMBER(BL339),N(BL337)+N(BL338)+BL339,"")</f>
        <v>7692.809</v>
      </c>
      <c r="BM340" s="32" t="n">
        <f aca="false">IF(ISNUMBER(BM339),N(BM337)+N(BM338)+BM339,"")</f>
        <v>7786.915</v>
      </c>
      <c r="BN340" s="32" t="n">
        <f aca="false">IF(ISNUMBER(BN339),N(BN337)+N(BN338)+BN339,"")</f>
        <v>7983.218</v>
      </c>
      <c r="BO340" s="32" t="n">
        <f aca="false">IF(ISNUMBER(BO339),N(BO337)+N(BO338)+BO339,"")</f>
        <v>8261.455</v>
      </c>
      <c r="BP340" s="32" t="n">
        <f aca="false">IF(ISNUMBER(BP339),N(BP337)+N(BP338)+BP339,"")</f>
        <v>7860.354</v>
      </c>
      <c r="BQ340" s="32" t="n">
        <f aca="false">IF(ISNUMBER(BQ339),N(BQ337)+N(BQ338)+BQ339,"")</f>
        <v>7860.354</v>
      </c>
      <c r="BR340" s="32" t="n">
        <f aca="false">IF(ISNUMBER(BR339),N(BR337)+N(BR338)+BR339,"")</f>
        <v>8014.18</v>
      </c>
      <c r="BS340" s="32" t="n">
        <f aca="false">IF(ISNUMBER(BS339),N(BS337)+N(BS338)+BS339,"")</f>
        <v>8353.657</v>
      </c>
      <c r="BT340" s="32" t="n">
        <f aca="false">IF(ISNUMBER(BT339),N(BT337)+N(BT338)+BT339,"")</f>
        <v>8093.368</v>
      </c>
      <c r="BU340" s="32" t="n">
        <f aca="false">IF(ISNUMBER(BU339),N(BU337)+N(BU338)+BU339,"")</f>
        <v>8245.381</v>
      </c>
      <c r="BV340" s="32" t="n">
        <f aca="false">IF(ISNUMBER(BV339),N(BV337)+N(BV338)+BV339,"")</f>
        <v>8245.381</v>
      </c>
      <c r="BW340" s="32" t="n">
        <f aca="false">IF(ISNUMBER(BW339),N(BW337)+N(BW338)+BW339,"")</f>
        <v>8057.619</v>
      </c>
      <c r="BX340" s="32" t="n">
        <f aca="false">IF(ISNUMBER(BX339),N(BX337)+N(BX338)+BX339,"")</f>
        <v>7921.218</v>
      </c>
      <c r="BY340" s="51"/>
      <c r="BZ340" s="51"/>
      <c r="CA340" s="20" t="n">
        <f aca="false">IF(ISNUMBER(CA339),N(CA337)+N(CA338)+CA339,"")</f>
        <v>8032.21095632694</v>
      </c>
      <c r="CB340" s="20" t="n">
        <f aca="false">IF(ISNUMBER(CB339),N(CB337)+N(CB338)+CB339,"")</f>
        <v>7981.31454824873</v>
      </c>
      <c r="CC340" s="20" t="n">
        <f aca="false">IF(ISNUMBER(CC339),N(CC337)+N(CC338)+CC339,"")</f>
        <v>7854.62580278213</v>
      </c>
      <c r="CD340" s="20" t="n">
        <f aca="false">IF(ISNUMBER(CD339),N(CD337)+N(CD338)+CD339,"")</f>
        <v>7661.24778556951</v>
      </c>
      <c r="CE340" s="20" t="n">
        <f aca="false">IF(ISNUMBER(CE339),N(CE337)+N(CE338)+CE339,"")</f>
        <v>7440.57718983675</v>
      </c>
      <c r="CF340" s="21"/>
    </row>
    <row r="341" customFormat="false" ht="15" hidden="false" customHeight="true" outlineLevel="0" collapsed="false">
      <c r="B341" s="29" t="s">
        <v>545</v>
      </c>
      <c r="C341" s="27" t="n">
        <v>27.992</v>
      </c>
      <c r="D341" s="27" t="n">
        <v>30.22</v>
      </c>
      <c r="E341" s="27" t="n">
        <v>0.668</v>
      </c>
      <c r="F341" s="27" t="n">
        <v>3.231</v>
      </c>
      <c r="G341" s="27" t="n">
        <v>4.269</v>
      </c>
      <c r="H341" s="27" t="n">
        <v>4.777</v>
      </c>
      <c r="I341" s="27" t="n">
        <v>4.973</v>
      </c>
      <c r="J341" s="27" t="n">
        <v>4.899</v>
      </c>
      <c r="K341" s="27" t="n">
        <v>4.926</v>
      </c>
      <c r="L341" s="27" t="n">
        <v>5.134</v>
      </c>
      <c r="M341" s="27" t="n">
        <v>5.125</v>
      </c>
      <c r="N341" s="27" t="n">
        <v>5.125</v>
      </c>
      <c r="O341" s="27" t="n">
        <v>4.962</v>
      </c>
      <c r="P341" s="27" t="n">
        <v>5.197</v>
      </c>
      <c r="Q341" s="27" t="n">
        <v>5.398</v>
      </c>
      <c r="R341" s="27" t="n">
        <v>5.556</v>
      </c>
      <c r="S341" s="27" t="n">
        <v>5.556</v>
      </c>
      <c r="T341" s="27" t="n">
        <v>5.77</v>
      </c>
      <c r="U341" s="27" t="n">
        <v>6.052</v>
      </c>
      <c r="V341" s="27" t="n">
        <v>6.256</v>
      </c>
      <c r="W341" s="27" t="n">
        <v>6.584</v>
      </c>
      <c r="X341" s="27" t="n">
        <v>6.584</v>
      </c>
      <c r="Y341" s="27" t="n">
        <v>6.755</v>
      </c>
      <c r="Z341" s="27" t="n">
        <v>6.987</v>
      </c>
      <c r="AA341" s="27" t="n">
        <v>7.251</v>
      </c>
      <c r="AB341" s="27" t="n">
        <v>7.362</v>
      </c>
      <c r="AC341" s="27" t="n">
        <v>7.362</v>
      </c>
      <c r="AD341" s="27" t="n">
        <v>7.508</v>
      </c>
      <c r="AE341" s="27" t="n">
        <v>7.739</v>
      </c>
      <c r="AF341" s="27" t="n">
        <v>5.357</v>
      </c>
      <c r="AG341" s="27" t="n">
        <v>5.4</v>
      </c>
      <c r="AH341" s="27" t="n">
        <v>5.4</v>
      </c>
      <c r="AI341" s="27" t="n">
        <v>5.46</v>
      </c>
      <c r="AJ341" s="27" t="n">
        <v>5.592</v>
      </c>
      <c r="AK341" s="27" t="n">
        <v>5.515</v>
      </c>
      <c r="AL341" s="27" t="n">
        <v>5.58</v>
      </c>
      <c r="AM341" s="27" t="n">
        <v>5.58</v>
      </c>
      <c r="AN341" s="27" t="n">
        <v>5.535</v>
      </c>
      <c r="AO341" s="27" t="n">
        <v>5.409</v>
      </c>
      <c r="AP341" s="27" t="n">
        <v>5.374</v>
      </c>
      <c r="AQ341" s="27" t="n">
        <v>4.85</v>
      </c>
      <c r="AR341" s="27" t="n">
        <v>4.85</v>
      </c>
      <c r="AS341" s="27" t="n">
        <v>4.708</v>
      </c>
      <c r="AT341" s="27" t="n">
        <v>4.313</v>
      </c>
      <c r="AU341" s="27" t="n">
        <v>4.255</v>
      </c>
      <c r="AV341" s="27" t="n">
        <v>4.165</v>
      </c>
      <c r="AW341" s="27" t="n">
        <v>4.165</v>
      </c>
      <c r="AX341" s="27" t="n">
        <v>4.163</v>
      </c>
      <c r="AY341" s="27" t="n">
        <v>4.217</v>
      </c>
      <c r="AZ341" s="27" t="n">
        <v>4.49</v>
      </c>
      <c r="BA341" s="27" t="n">
        <v>4.607</v>
      </c>
      <c r="BB341" s="27" t="n">
        <v>4.607</v>
      </c>
      <c r="BC341" s="27" t="n">
        <v>4.651</v>
      </c>
      <c r="BD341" s="27" t="n">
        <v>4.784</v>
      </c>
      <c r="BE341" s="27" t="n">
        <v>4.997</v>
      </c>
      <c r="BF341" s="27" t="n">
        <v>4.946</v>
      </c>
      <c r="BG341" s="27" t="n">
        <v>4.946</v>
      </c>
      <c r="BH341" s="27" t="n">
        <v>4.969</v>
      </c>
      <c r="BI341" s="27" t="n">
        <v>4.931</v>
      </c>
      <c r="BJ341" s="27" t="n">
        <v>5.096</v>
      </c>
      <c r="BK341" s="27" t="n">
        <v>4.972</v>
      </c>
      <c r="BL341" s="27" t="n">
        <v>4.972</v>
      </c>
      <c r="BM341" s="27" t="n">
        <v>4.045</v>
      </c>
      <c r="BN341" s="25"/>
      <c r="BO341" s="25"/>
      <c r="BP341" s="25"/>
      <c r="BQ341" s="25"/>
      <c r="BR341" s="27" t="n">
        <v>0</v>
      </c>
      <c r="BS341" s="27" t="n">
        <v>0</v>
      </c>
      <c r="BT341" s="27" t="n">
        <v>0</v>
      </c>
      <c r="BU341" s="27" t="n">
        <v>0</v>
      </c>
      <c r="BV341" s="27" t="n">
        <v>0</v>
      </c>
      <c r="BW341" s="25"/>
      <c r="BX341" s="25"/>
      <c r="BY341" s="28"/>
      <c r="BZ341" s="28"/>
      <c r="CA341" s="47" t="n">
        <f aca="false">N(BX341)+(BY145+BZ145)</f>
        <v>0</v>
      </c>
      <c r="CB341" s="47" t="n">
        <f aca="false">N(CA341)+CB145+N(CB255)</f>
        <v>0</v>
      </c>
      <c r="CC341" s="47" t="n">
        <f aca="false">N(CB341)+CC145+N(CC255)</f>
        <v>0</v>
      </c>
      <c r="CD341" s="47" t="n">
        <f aca="false">N(CC341)+CD145+N(CD255)</f>
        <v>0</v>
      </c>
      <c r="CE341" s="47" t="n">
        <f aca="false">N(CD341)+CE145+N(CE255)</f>
        <v>0</v>
      </c>
      <c r="CF341" s="21"/>
    </row>
    <row r="342" customFormat="false" ht="15" hidden="false" customHeight="true" outlineLevel="0" collapsed="false">
      <c r="B342" s="18" t="s">
        <v>546</v>
      </c>
      <c r="C342" s="32" t="n">
        <f aca="false">IF(ISNUMBER(C340),C340+N(C341),"")</f>
        <v>764.474</v>
      </c>
      <c r="D342" s="32" t="n">
        <f aca="false">IF(ISNUMBER(D340),D340+N(D341),"")</f>
        <v>805.365</v>
      </c>
      <c r="E342" s="32" t="n">
        <f aca="false">IF(ISNUMBER(E340),E340+N(E341),"")</f>
        <v>1255.395</v>
      </c>
      <c r="F342" s="32" t="n">
        <f aca="false">IF(ISNUMBER(F340),F340+N(F341),"")</f>
        <v>1357.036</v>
      </c>
      <c r="G342" s="32" t="n">
        <f aca="false">IF(ISNUMBER(G340),G340+N(G341),"")</f>
        <v>1370.418</v>
      </c>
      <c r="H342" s="32" t="n">
        <f aca="false">IF(ISNUMBER(H340),H340+N(H341),"")</f>
        <v>1399.687</v>
      </c>
      <c r="I342" s="32" t="n">
        <f aca="false">IF(ISNUMBER(I340),I340+N(I341),"")</f>
        <v>1883.13</v>
      </c>
      <c r="J342" s="32" t="n">
        <f aca="false">IF(ISNUMBER(J340),J340+N(J341),"")</f>
        <v>1914.673</v>
      </c>
      <c r="K342" s="32" t="n">
        <f aca="false">IF(ISNUMBER(K340),K340+N(K341),"")</f>
        <v>1952.91</v>
      </c>
      <c r="L342" s="32" t="n">
        <f aca="false">IF(ISNUMBER(L340),L340+N(L341),"")</f>
        <v>2007.353</v>
      </c>
      <c r="M342" s="32" t="n">
        <f aca="false">IF(ISNUMBER(M340),M340+N(M341),"")</f>
        <v>2048.207</v>
      </c>
      <c r="N342" s="32" t="n">
        <f aca="false">IF(ISNUMBER(N340),N340+N(N341),"")</f>
        <v>2048.207</v>
      </c>
      <c r="O342" s="32" t="n">
        <f aca="false">IF(ISNUMBER(O340),O340+N(O341),"")</f>
        <v>2086.009</v>
      </c>
      <c r="P342" s="32" t="n">
        <f aca="false">IF(ISNUMBER(P340),P340+N(P341),"")</f>
        <v>2143.62</v>
      </c>
      <c r="Q342" s="32" t="n">
        <f aca="false">IF(ISNUMBER(Q340),Q340+N(Q341),"")</f>
        <v>2194.63</v>
      </c>
      <c r="R342" s="32" t="n">
        <f aca="false">IF(ISNUMBER(R340),R340+N(R341),"")</f>
        <v>2233.741</v>
      </c>
      <c r="S342" s="32" t="n">
        <f aca="false">IF(ISNUMBER(S340),S340+N(S341),"")</f>
        <v>2233.741</v>
      </c>
      <c r="T342" s="32" t="n">
        <f aca="false">IF(ISNUMBER(T340),T340+N(T341),"")</f>
        <v>2248.583</v>
      </c>
      <c r="U342" s="32" t="n">
        <f aca="false">IF(ISNUMBER(U340),U340+N(U341),"")</f>
        <v>2273.391</v>
      </c>
      <c r="V342" s="32" t="n">
        <f aca="false">IF(ISNUMBER(V340),V340+N(V341),"")</f>
        <v>1950.034</v>
      </c>
      <c r="W342" s="32" t="n">
        <f aca="false">IF(ISNUMBER(W340),W340+N(W341),"")</f>
        <v>1991.784</v>
      </c>
      <c r="X342" s="32" t="n">
        <f aca="false">IF(ISNUMBER(X340),X340+N(X341),"")</f>
        <v>1991.784</v>
      </c>
      <c r="Y342" s="32" t="n">
        <f aca="false">IF(ISNUMBER(Y340),Y340+N(Y341),"")</f>
        <v>2016.331</v>
      </c>
      <c r="Z342" s="32" t="n">
        <f aca="false">IF(ISNUMBER(Z340),Z340+N(Z341),"")</f>
        <v>5557.721</v>
      </c>
      <c r="AA342" s="32" t="n">
        <f aca="false">IF(ISNUMBER(AA340),AA340+N(AA341),"")</f>
        <v>5621.366</v>
      </c>
      <c r="AB342" s="32" t="n">
        <f aca="false">IF(ISNUMBER(AB340),AB340+N(AB341),"")</f>
        <v>5654.877</v>
      </c>
      <c r="AC342" s="32" t="n">
        <f aca="false">IF(ISNUMBER(AC340),AC340+N(AC341),"")</f>
        <v>5654.877</v>
      </c>
      <c r="AD342" s="32" t="n">
        <f aca="false">IF(ISNUMBER(AD340),AD340+N(AD341),"")</f>
        <v>5653.232</v>
      </c>
      <c r="AE342" s="32" t="n">
        <f aca="false">IF(ISNUMBER(AE340),AE340+N(AE341),"")</f>
        <v>5807.986</v>
      </c>
      <c r="AF342" s="32" t="n">
        <f aca="false">IF(ISNUMBER(AF340),AF340+N(AF341),"")</f>
        <v>5993.856</v>
      </c>
      <c r="AG342" s="32" t="n">
        <f aca="false">IF(ISNUMBER(AG340),AG340+N(AG341),"")</f>
        <v>6274.07</v>
      </c>
      <c r="AH342" s="32" t="n">
        <f aca="false">IF(ISNUMBER(AH340),AH340+N(AH341),"")</f>
        <v>6274.07</v>
      </c>
      <c r="AI342" s="32" t="n">
        <f aca="false">IF(ISNUMBER(AI340),AI340+N(AI341),"")</f>
        <v>6280.738</v>
      </c>
      <c r="AJ342" s="32" t="n">
        <f aca="false">IF(ISNUMBER(AJ340),AJ340+N(AJ341),"")</f>
        <v>6346.641</v>
      </c>
      <c r="AK342" s="32" t="n">
        <f aca="false">IF(ISNUMBER(AK340),AK340+N(AK341),"")</f>
        <v>6505.079</v>
      </c>
      <c r="AL342" s="32" t="n">
        <f aca="false">IF(ISNUMBER(AL340),AL340+N(AL341),"")</f>
        <v>6460.188</v>
      </c>
      <c r="AM342" s="32" t="n">
        <f aca="false">IF(ISNUMBER(AM340),AM340+N(AM341),"")</f>
        <v>6460.188</v>
      </c>
      <c r="AN342" s="32" t="n">
        <f aca="false">IF(ISNUMBER(AN340),AN340+N(AN341),"")</f>
        <v>6568.674</v>
      </c>
      <c r="AO342" s="32" t="n">
        <f aca="false">IF(ISNUMBER(AO340),AO340+N(AO341),"")</f>
        <v>6707.805</v>
      </c>
      <c r="AP342" s="32" t="n">
        <f aca="false">IF(ISNUMBER(AP340),AP340+N(AP341),"")</f>
        <v>6796.34</v>
      </c>
      <c r="AQ342" s="32" t="n">
        <f aca="false">IF(ISNUMBER(AQ340),AQ340+N(AQ341),"")</f>
        <v>6938.354</v>
      </c>
      <c r="AR342" s="32" t="n">
        <f aca="false">IF(ISNUMBER(AR340),AR340+N(AR341),"")</f>
        <v>6938.354</v>
      </c>
      <c r="AS342" s="32" t="n">
        <f aca="false">IF(ISNUMBER(AS340),AS340+N(AS341),"")</f>
        <v>6687.086</v>
      </c>
      <c r="AT342" s="32" t="n">
        <f aca="false">IF(ISNUMBER(AT340),AT340+N(AT341),"")</f>
        <v>6496.381</v>
      </c>
      <c r="AU342" s="32" t="n">
        <f aca="false">IF(ISNUMBER(AU340),AU340+N(AU341),"")</f>
        <v>6666.189</v>
      </c>
      <c r="AV342" s="32" t="n">
        <f aca="false">IF(ISNUMBER(AV340),AV340+N(AV341),"")</f>
        <v>6863.438</v>
      </c>
      <c r="AW342" s="32" t="n">
        <f aca="false">IF(ISNUMBER(AW340),AW340+N(AW341),"")</f>
        <v>6863.438</v>
      </c>
      <c r="AX342" s="32" t="n">
        <f aca="false">IF(ISNUMBER(AX340),AX340+N(AX341),"")</f>
        <v>6941.873</v>
      </c>
      <c r="AY342" s="32" t="n">
        <f aca="false">IF(ISNUMBER(AY340),AY340+N(AY341),"")</f>
        <v>6868.6</v>
      </c>
      <c r="AZ342" s="32" t="n">
        <f aca="false">IF(ISNUMBER(AZ340),AZ340+N(AZ341),"")</f>
        <v>6883.156</v>
      </c>
      <c r="BA342" s="32" t="n">
        <f aca="false">IF(ISNUMBER(BA340),BA340+N(BA341),"")</f>
        <v>6993.545</v>
      </c>
      <c r="BB342" s="32" t="n">
        <f aca="false">IF(ISNUMBER(BB340),BB340+N(BB341),"")</f>
        <v>6993.545</v>
      </c>
      <c r="BC342" s="32" t="n">
        <f aca="false">IF(ISNUMBER(BC340),BC340+N(BC341),"")</f>
        <v>6759.059</v>
      </c>
      <c r="BD342" s="32" t="n">
        <f aca="false">IF(ISNUMBER(BD340),BD340+N(BD341),"")</f>
        <v>6869.662</v>
      </c>
      <c r="BE342" s="32" t="n">
        <f aca="false">IF(ISNUMBER(BE340),BE340+N(BE341),"")</f>
        <v>6943.37</v>
      </c>
      <c r="BF342" s="32" t="n">
        <f aca="false">IF(ISNUMBER(BF340),BF340+N(BF341),"")</f>
        <v>7113.644</v>
      </c>
      <c r="BG342" s="32" t="n">
        <f aca="false">IF(ISNUMBER(BG340),BG340+N(BG341),"")</f>
        <v>7113.644</v>
      </c>
      <c r="BH342" s="32" t="n">
        <f aca="false">IF(ISNUMBER(BH340),BH340+N(BH341),"")</f>
        <v>7238.964</v>
      </c>
      <c r="BI342" s="32" t="n">
        <f aca="false">IF(ISNUMBER(BI340),BI340+N(BI341),"")</f>
        <v>7459.457</v>
      </c>
      <c r="BJ342" s="32" t="n">
        <f aca="false">IF(ISNUMBER(BJ340),BJ340+N(BJ341),"")</f>
        <v>7591.295</v>
      </c>
      <c r="BK342" s="32" t="n">
        <f aca="false">IF(ISNUMBER(BK340),BK340+N(BK341),"")</f>
        <v>7697.781</v>
      </c>
      <c r="BL342" s="32" t="n">
        <f aca="false">IF(ISNUMBER(BL340),BL340+N(BL341),"")</f>
        <v>7697.781</v>
      </c>
      <c r="BM342" s="32" t="n">
        <f aca="false">IF(ISNUMBER(BM340),BM340+N(BM341),"")</f>
        <v>7790.96</v>
      </c>
      <c r="BN342" s="32" t="n">
        <f aca="false">IF(ISNUMBER(BN340),BN340+N(BN341),"")</f>
        <v>7983.218</v>
      </c>
      <c r="BO342" s="32" t="n">
        <f aca="false">IF(ISNUMBER(BO340),BO340+N(BO341),"")</f>
        <v>8261.455</v>
      </c>
      <c r="BP342" s="32" t="n">
        <f aca="false">IF(ISNUMBER(BP340),BP340+N(BP341),"")</f>
        <v>7860.354</v>
      </c>
      <c r="BQ342" s="32" t="n">
        <f aca="false">IF(ISNUMBER(BQ340),BQ340+N(BQ341),"")</f>
        <v>7860.354</v>
      </c>
      <c r="BR342" s="32" t="n">
        <f aca="false">IF(ISNUMBER(BR340),BR340+N(BR341),"")</f>
        <v>8014.18</v>
      </c>
      <c r="BS342" s="32" t="n">
        <f aca="false">IF(ISNUMBER(BS340),BS340+N(BS341),"")</f>
        <v>8353.657</v>
      </c>
      <c r="BT342" s="32" t="n">
        <f aca="false">IF(ISNUMBER(BT340),BT340+N(BT341),"")</f>
        <v>8093.368</v>
      </c>
      <c r="BU342" s="32" t="n">
        <f aca="false">IF(ISNUMBER(BU340),BU340+N(BU341),"")</f>
        <v>8245.381</v>
      </c>
      <c r="BV342" s="32" t="n">
        <f aca="false">IF(ISNUMBER(BV340),BV340+N(BV341),"")</f>
        <v>8245.381</v>
      </c>
      <c r="BW342" s="32" t="n">
        <f aca="false">IF(ISNUMBER(BW340),BW340+N(BW341),"")</f>
        <v>8057.619</v>
      </c>
      <c r="BX342" s="32" t="n">
        <f aca="false">IF(ISNUMBER(BX340),BX340+N(BX341),"")</f>
        <v>7921.218</v>
      </c>
      <c r="BY342" s="51"/>
      <c r="BZ342" s="51"/>
      <c r="CA342" s="20" t="n">
        <f aca="false">IF(ISNUMBER(CA340),CA340+N(CA341),"")</f>
        <v>8032.21095632694</v>
      </c>
      <c r="CB342" s="20" t="n">
        <f aca="false">IF(ISNUMBER(CB340),CB340+N(CB341),"")</f>
        <v>7981.31454824873</v>
      </c>
      <c r="CC342" s="20" t="n">
        <f aca="false">IF(ISNUMBER(CC340),CC340+N(CC341),"")</f>
        <v>7854.62580278213</v>
      </c>
      <c r="CD342" s="20" t="n">
        <f aca="false">IF(ISNUMBER(CD340),CD340+N(CD341),"")</f>
        <v>7661.24778556951</v>
      </c>
      <c r="CE342" s="20" t="n">
        <f aca="false">IF(ISNUMBER(CE340),CE340+N(CE341),"")</f>
        <v>7440.57718983675</v>
      </c>
      <c r="CF342" s="21"/>
    </row>
    <row r="343" customFormat="false" ht="15" hidden="false" customHeight="true" outlineLevel="0" collapsed="false">
      <c r="B343" s="55" t="s">
        <v>547</v>
      </c>
      <c r="C343" s="56" t="n">
        <f aca="false">IF(ISNUMBER(C335),C335+C342,"")</f>
        <v>1773.891</v>
      </c>
      <c r="D343" s="56" t="n">
        <f aca="false">IF(ISNUMBER(D335),D335+D342,"")</f>
        <v>1981.958</v>
      </c>
      <c r="E343" s="56" t="n">
        <f aca="false">IF(ISNUMBER(E335),E335+E342,"")</f>
        <v>2600.64</v>
      </c>
      <c r="F343" s="56" t="n">
        <f aca="false">IF(ISNUMBER(F335),F335+F342,"")</f>
        <v>2820.448</v>
      </c>
      <c r="G343" s="56" t="n">
        <f aca="false">IF(ISNUMBER(G335),G335+G342,"")</f>
        <v>2915.984</v>
      </c>
      <c r="H343" s="56" t="n">
        <f aca="false">IF(ISNUMBER(H335),H335+H342,"")</f>
        <v>3328.005</v>
      </c>
      <c r="I343" s="56" t="n">
        <f aca="false">IF(ISNUMBER(I335),I335+I342,"")</f>
        <v>5076.026</v>
      </c>
      <c r="J343" s="56" t="n">
        <f aca="false">IF(ISNUMBER(J335),J335+J342,"")</f>
        <v>4989.803</v>
      </c>
      <c r="K343" s="56" t="n">
        <f aca="false">IF(ISNUMBER(K335),K335+K342,"")</f>
        <v>5004.528</v>
      </c>
      <c r="L343" s="56" t="n">
        <f aca="false">IF(ISNUMBER(L335),L335+L342,"")</f>
        <v>4994.647</v>
      </c>
      <c r="M343" s="56" t="n">
        <f aca="false">IF(ISNUMBER(M335),M335+M342,"")</f>
        <v>5064.252</v>
      </c>
      <c r="N343" s="56" t="n">
        <f aca="false">IF(ISNUMBER(N335),N335+N342,"")</f>
        <v>5064.252</v>
      </c>
      <c r="O343" s="56" t="n">
        <f aca="false">IF(ISNUMBER(O335),O335+O342,"")</f>
        <v>5044.221</v>
      </c>
      <c r="P343" s="56" t="n">
        <f aca="false">IF(ISNUMBER(P335),P335+P342,"")</f>
        <v>5069.236</v>
      </c>
      <c r="Q343" s="56" t="n">
        <f aca="false">IF(ISNUMBER(Q335),Q335+Q342,"")</f>
        <v>5093.864</v>
      </c>
      <c r="R343" s="56" t="n">
        <f aca="false">IF(ISNUMBER(R335),R335+R342,"")</f>
        <v>5250.031</v>
      </c>
      <c r="S343" s="56" t="n">
        <f aca="false">IF(ISNUMBER(S335),S335+S342,"")</f>
        <v>5250.031</v>
      </c>
      <c r="T343" s="56" t="n">
        <f aca="false">IF(ISNUMBER(T335),T335+T342,"")</f>
        <v>5279.574</v>
      </c>
      <c r="U343" s="56" t="n">
        <f aca="false">IF(ISNUMBER(U335),U335+U342,"")</f>
        <v>5284.471</v>
      </c>
      <c r="V343" s="56" t="n">
        <f aca="false">IF(ISNUMBER(V335),V335+V342,"")</f>
        <v>4814.723</v>
      </c>
      <c r="W343" s="56" t="n">
        <f aca="false">IF(ISNUMBER(W335),W335+W342,"")</f>
        <v>5121.798</v>
      </c>
      <c r="X343" s="56" t="n">
        <f aca="false">IF(ISNUMBER(X335),X335+X342,"")</f>
        <v>5121.798</v>
      </c>
      <c r="Y343" s="56" t="n">
        <f aca="false">IF(ISNUMBER(Y335),Y335+Y342,"")</f>
        <v>5055.371</v>
      </c>
      <c r="Z343" s="56" t="n">
        <f aca="false">IF(ISNUMBER(Z335),Z335+Z342,"")</f>
        <v>11093.552</v>
      </c>
      <c r="AA343" s="56" t="n">
        <f aca="false">IF(ISNUMBER(AA335),AA335+AA342,"")</f>
        <v>11187.693</v>
      </c>
      <c r="AB343" s="56" t="n">
        <f aca="false">IF(ISNUMBER(AB335),AB335+AB342,"")</f>
        <v>11193.102</v>
      </c>
      <c r="AC343" s="56" t="n">
        <f aca="false">IF(ISNUMBER(AC335),AC335+AC342,"")</f>
        <v>11193.102</v>
      </c>
      <c r="AD343" s="56" t="n">
        <f aca="false">IF(ISNUMBER(AD335),AD335+AD342,"")</f>
        <v>11469.432</v>
      </c>
      <c r="AE343" s="56" t="n">
        <f aca="false">IF(ISNUMBER(AE335),AE335+AE342,"")</f>
        <v>11655.363</v>
      </c>
      <c r="AF343" s="56" t="n">
        <f aca="false">IF(ISNUMBER(AF335),AF335+AF342,"")</f>
        <v>11910.275</v>
      </c>
      <c r="AG343" s="56" t="n">
        <f aca="false">IF(ISNUMBER(AG335),AG335+AG342,"")</f>
        <v>12014.681</v>
      </c>
      <c r="AH343" s="56" t="n">
        <f aca="false">IF(ISNUMBER(AH335),AH335+AH342,"")</f>
        <v>12014.681</v>
      </c>
      <c r="AI343" s="56" t="n">
        <f aca="false">IF(ISNUMBER(AI335),AI335+AI342,"")</f>
        <v>11963.218</v>
      </c>
      <c r="AJ343" s="56" t="n">
        <f aca="false">IF(ISNUMBER(AJ335),AJ335+AJ342,"")</f>
        <v>12024.544</v>
      </c>
      <c r="AK343" s="56" t="n">
        <f aca="false">IF(ISNUMBER(AK335),AK335+AK342,"")</f>
        <v>12192.066</v>
      </c>
      <c r="AL343" s="56" t="n">
        <f aca="false">IF(ISNUMBER(AL335),AL335+AL342,"")</f>
        <v>12627.329</v>
      </c>
      <c r="AM343" s="56" t="n">
        <f aca="false">IF(ISNUMBER(AM335),AM335+AM342,"")</f>
        <v>12627.329</v>
      </c>
      <c r="AN343" s="56" t="n">
        <f aca="false">IF(ISNUMBER(AN335),AN335+AN342,"")</f>
        <v>12931.928</v>
      </c>
      <c r="AO343" s="56" t="n">
        <f aca="false">IF(ISNUMBER(AO335),AO335+AO342,"")</f>
        <v>13145.772</v>
      </c>
      <c r="AP343" s="56" t="n">
        <f aca="false">IF(ISNUMBER(AP335),AP335+AP342,"")</f>
        <v>13270.235</v>
      </c>
      <c r="AQ343" s="56" t="n">
        <f aca="false">IF(ISNUMBER(AQ335),AQ335+AQ342,"")</f>
        <v>13737.695</v>
      </c>
      <c r="AR343" s="56" t="n">
        <f aca="false">IF(ISNUMBER(AR335),AR335+AR342,"")</f>
        <v>13737.695</v>
      </c>
      <c r="AS343" s="56" t="n">
        <f aca="false">IF(ISNUMBER(AS335),AS335+AS342,"")</f>
        <v>14279.411</v>
      </c>
      <c r="AT343" s="56" t="n">
        <f aca="false">IF(ISNUMBER(AT335),AT335+AT342,"")</f>
        <v>13594.005</v>
      </c>
      <c r="AU343" s="56" t="n">
        <f aca="false">IF(ISNUMBER(AU335),AU335+AU342,"")</f>
        <v>13849.447</v>
      </c>
      <c r="AV343" s="56" t="n">
        <f aca="false">IF(ISNUMBER(AV335),AV335+AV342,"")</f>
        <v>13992.364</v>
      </c>
      <c r="AW343" s="56" t="n">
        <f aca="false">IF(ISNUMBER(AW335),AW335+AW342,"")</f>
        <v>13992.364</v>
      </c>
      <c r="AX343" s="56" t="n">
        <f aca="false">IF(ISNUMBER(AX335),AX335+AX342,"")</f>
        <v>14042.929</v>
      </c>
      <c r="AY343" s="56" t="n">
        <f aca="false">IF(ISNUMBER(AY335),AY335+AY342,"")</f>
        <v>14106.207</v>
      </c>
      <c r="AZ343" s="56" t="n">
        <f aca="false">IF(ISNUMBER(AZ335),AZ335+AZ342,"")</f>
        <v>14274.832</v>
      </c>
      <c r="BA343" s="56" t="n">
        <f aca="false">IF(ISNUMBER(BA335),BA335+BA342,"")</f>
        <v>14699.924</v>
      </c>
      <c r="BB343" s="56" t="n">
        <f aca="false">IF(ISNUMBER(BB335),BB335+BB342,"")</f>
        <v>14699.924</v>
      </c>
      <c r="BC343" s="56" t="n">
        <f aca="false">IF(ISNUMBER(BC335),BC335+BC342,"")</f>
        <v>15414.362</v>
      </c>
      <c r="BD343" s="56" t="n">
        <f aca="false">IF(ISNUMBER(BD335),BD335+BD342,"")</f>
        <v>15416.241</v>
      </c>
      <c r="BE343" s="56" t="n">
        <f aca="false">IF(ISNUMBER(BE335),BE335+BE342,"")</f>
        <v>16130.668</v>
      </c>
      <c r="BF343" s="56" t="n">
        <f aca="false">IF(ISNUMBER(BF335),BF335+BF342,"")</f>
        <v>17134.603</v>
      </c>
      <c r="BG343" s="56" t="n">
        <f aca="false">IF(ISNUMBER(BG335),BG335+BG342,"")</f>
        <v>17134.603</v>
      </c>
      <c r="BH343" s="56" t="n">
        <f aca="false">IF(ISNUMBER(BH335),BH335+BH342,"")</f>
        <v>17227.094</v>
      </c>
      <c r="BI343" s="56" t="n">
        <f aca="false">IF(ISNUMBER(BI335),BI335+BI342,"")</f>
        <v>17359.527</v>
      </c>
      <c r="BJ343" s="56" t="n">
        <f aca="false">IF(ISNUMBER(BJ335),BJ335+BJ342,"")</f>
        <v>17731.24</v>
      </c>
      <c r="BK343" s="56" t="n">
        <f aca="false">IF(ISNUMBER(BK335),BK335+BK342,"")</f>
        <v>17915.876</v>
      </c>
      <c r="BL343" s="56" t="n">
        <f aca="false">IF(ISNUMBER(BL335),BL335+BL342,"")</f>
        <v>17915.876</v>
      </c>
      <c r="BM343" s="56" t="n">
        <f aca="false">IF(ISNUMBER(BM335),BM335+BM342,"")</f>
        <v>19082.66</v>
      </c>
      <c r="BN343" s="56" t="n">
        <f aca="false">IF(ISNUMBER(BN335),BN335+BN342,"")</f>
        <v>19301.526</v>
      </c>
      <c r="BO343" s="56" t="n">
        <f aca="false">IF(ISNUMBER(BO335),BO335+BO342,"")</f>
        <v>20095.364</v>
      </c>
      <c r="BP343" s="56" t="n">
        <f aca="false">IF(ISNUMBER(BP335),BP335+BP342,"")</f>
        <v>19817.809</v>
      </c>
      <c r="BQ343" s="56" t="n">
        <f aca="false">IF(ISNUMBER(BQ335),BQ335+BQ342,"")</f>
        <v>19817.809</v>
      </c>
      <c r="BR343" s="56" t="n">
        <f aca="false">IF(ISNUMBER(BR335),BR335+BR342,"")</f>
        <v>20254.497</v>
      </c>
      <c r="BS343" s="56" t="n">
        <f aca="false">IF(ISNUMBER(BS335),BS335+BS342,"")</f>
        <v>20678.61</v>
      </c>
      <c r="BT343" s="56" t="n">
        <f aca="false">IF(ISNUMBER(BT335),BT335+BT342,"")</f>
        <v>20782.495</v>
      </c>
      <c r="BU343" s="56" t="n">
        <f aca="false">IF(ISNUMBER(BU335),BU335+BU342,"")</f>
        <v>21129.363</v>
      </c>
      <c r="BV343" s="56" t="n">
        <f aca="false">IF(ISNUMBER(BV335),BV335+BV342,"")</f>
        <v>21129.363</v>
      </c>
      <c r="BW343" s="56" t="n">
        <f aca="false">IF(ISNUMBER(BW335),BW335+BW342,"")</f>
        <v>21186.355</v>
      </c>
      <c r="BX343" s="56" t="n">
        <f aca="false">IF(ISNUMBER(BX335),BX335+BX342,"")</f>
        <v>21399.452</v>
      </c>
      <c r="BY343" s="74"/>
      <c r="BZ343" s="74"/>
      <c r="CA343" s="56" t="n">
        <f aca="false">IF(ISNUMBER(CA335),CA335+CA342,"")</f>
        <v>21576.6492022461</v>
      </c>
      <c r="CB343" s="56" t="n">
        <f aca="false">IF(ISNUMBER(CB335),CB335+CB342,"")</f>
        <v>22559.0639922222</v>
      </c>
      <c r="CC343" s="56" t="n">
        <f aca="false">IF(ISNUMBER(CC335),CC335+CC342,"")</f>
        <v>23572.8209166162</v>
      </c>
      <c r="CD343" s="56" t="n">
        <f aca="false">IF(ISNUMBER(CD335),CD335+CD342,"")</f>
        <v>24597.1681168141</v>
      </c>
      <c r="CE343" s="56" t="n">
        <f aca="false">IF(ISNUMBER(CE335),CE335+CE342,"")</f>
        <v>25626.8943025621</v>
      </c>
      <c r="CF343" s="21"/>
    </row>
    <row r="344" customFormat="false" ht="15" hidden="false" customHeight="true" outlineLevel="0" collapsed="false">
      <c r="B344" s="46" t="s">
        <v>548</v>
      </c>
      <c r="C344" s="26" t="n">
        <f aca="false">IF(ISNUMBER(C319),ROUND(C319-C343,1),"")</f>
        <v>0</v>
      </c>
      <c r="D344" s="26" t="n">
        <f aca="false">IF(ISNUMBER(D319),ROUND(D319-D343,1),"")</f>
        <v>0</v>
      </c>
      <c r="E344" s="26" t="n">
        <f aca="false">IF(ISNUMBER(E319),ROUND(E319-E343,1),"")</f>
        <v>0</v>
      </c>
      <c r="F344" s="26" t="n">
        <f aca="false">IF(ISNUMBER(F319),ROUND(F319-F343,1),"")</f>
        <v>0</v>
      </c>
      <c r="G344" s="26" t="n">
        <f aca="false">IF(ISNUMBER(G319),ROUND(G319-G343,1),"")</f>
        <v>0</v>
      </c>
      <c r="H344" s="26" t="n">
        <f aca="false">IF(ISNUMBER(H319),ROUND(H319-H343,1),"")</f>
        <v>0</v>
      </c>
      <c r="I344" s="26" t="n">
        <f aca="false">IF(ISNUMBER(I319),ROUND(I319-I343,1),"")</f>
        <v>0</v>
      </c>
      <c r="J344" s="26" t="n">
        <f aca="false">IF(ISNUMBER(J319),ROUND(J319-J343,1),"")</f>
        <v>0</v>
      </c>
      <c r="K344" s="26" t="n">
        <f aca="false">IF(ISNUMBER(K319),ROUND(K319-K343,1),"")</f>
        <v>0</v>
      </c>
      <c r="L344" s="26" t="n">
        <f aca="false">IF(ISNUMBER(L319),ROUND(L319-L343,1),"")</f>
        <v>0</v>
      </c>
      <c r="M344" s="26" t="n">
        <f aca="false">IF(ISNUMBER(M319),ROUND(M319-M343,1),"")</f>
        <v>0</v>
      </c>
      <c r="N344" s="26" t="n">
        <f aca="false">IF(ISNUMBER(N319),ROUND(N319-N343,1),"")</f>
        <v>0</v>
      </c>
      <c r="O344" s="26" t="n">
        <f aca="false">IF(ISNUMBER(O319),ROUND(O319-O343,1),"")</f>
        <v>0</v>
      </c>
      <c r="P344" s="26" t="n">
        <f aca="false">IF(ISNUMBER(P319),ROUND(P319-P343,1),"")</f>
        <v>0</v>
      </c>
      <c r="Q344" s="26" t="n">
        <f aca="false">IF(ISNUMBER(Q319),ROUND(Q319-Q343,1),"")</f>
        <v>0</v>
      </c>
      <c r="R344" s="26" t="n">
        <f aca="false">IF(ISNUMBER(R319),ROUND(R319-R343,1),"")</f>
        <v>0</v>
      </c>
      <c r="S344" s="26" t="n">
        <f aca="false">IF(ISNUMBER(S319),ROUND(S319-S343,1),"")</f>
        <v>0</v>
      </c>
      <c r="T344" s="26" t="n">
        <f aca="false">IF(ISNUMBER(T319),ROUND(T319-T343,1),"")</f>
        <v>0</v>
      </c>
      <c r="U344" s="26" t="n">
        <f aca="false">IF(ISNUMBER(U319),ROUND(U319-U343,1),"")</f>
        <v>0</v>
      </c>
      <c r="V344" s="26" t="n">
        <f aca="false">IF(ISNUMBER(V319),ROUND(V319-V343,1),"")</f>
        <v>0</v>
      </c>
      <c r="W344" s="26" t="n">
        <f aca="false">IF(ISNUMBER(W319),ROUND(W319-W343,1),"")</f>
        <v>0</v>
      </c>
      <c r="X344" s="26" t="n">
        <f aca="false">IF(ISNUMBER(X319),ROUND(X319-X343,1),"")</f>
        <v>0</v>
      </c>
      <c r="Y344" s="26" t="n">
        <f aca="false">IF(ISNUMBER(Y319),ROUND(Y319-Y343,1),"")</f>
        <v>0</v>
      </c>
      <c r="Z344" s="26" t="n">
        <f aca="false">IF(ISNUMBER(Z319),ROUND(Z319-Z343,1),"")</f>
        <v>0</v>
      </c>
      <c r="AA344" s="26" t="n">
        <f aca="false">IF(ISNUMBER(AA319),ROUND(AA319-AA343,1),"")</f>
        <v>0</v>
      </c>
      <c r="AB344" s="26" t="n">
        <f aca="false">IF(ISNUMBER(AB319),ROUND(AB319-AB343,1),"")</f>
        <v>0</v>
      </c>
      <c r="AC344" s="26" t="n">
        <f aca="false">IF(ISNUMBER(AC319),ROUND(AC319-AC343,1),"")</f>
        <v>0</v>
      </c>
      <c r="AD344" s="26" t="n">
        <f aca="false">IF(ISNUMBER(AD319),ROUND(AD319-AD343,1),"")</f>
        <v>0</v>
      </c>
      <c r="AE344" s="26" t="n">
        <f aca="false">IF(ISNUMBER(AE319),ROUND(AE319-AE343,1),"")</f>
        <v>0</v>
      </c>
      <c r="AF344" s="26" t="n">
        <f aca="false">IF(ISNUMBER(AF319),ROUND(AF319-AF343,1),"")</f>
        <v>0</v>
      </c>
      <c r="AG344" s="26" t="n">
        <f aca="false">IF(ISNUMBER(AG319),ROUND(AG319-AG343,1),"")</f>
        <v>0</v>
      </c>
      <c r="AH344" s="26" t="n">
        <f aca="false">IF(ISNUMBER(AH319),ROUND(AH319-AH343,1),"")</f>
        <v>0</v>
      </c>
      <c r="AI344" s="26" t="n">
        <f aca="false">IF(ISNUMBER(AI319),ROUND(AI319-AI343,1),"")</f>
        <v>0</v>
      </c>
      <c r="AJ344" s="26" t="n">
        <f aca="false">IF(ISNUMBER(AJ319),ROUND(AJ319-AJ343,1),"")</f>
        <v>0</v>
      </c>
      <c r="AK344" s="26" t="n">
        <f aca="false">IF(ISNUMBER(AK319),ROUND(AK319-AK343,1),"")</f>
        <v>0</v>
      </c>
      <c r="AL344" s="26" t="n">
        <f aca="false">IF(ISNUMBER(AL319),ROUND(AL319-AL343,1),"")</f>
        <v>0</v>
      </c>
      <c r="AM344" s="26" t="n">
        <f aca="false">IF(ISNUMBER(AM319),ROUND(AM319-AM343,1),"")</f>
        <v>0</v>
      </c>
      <c r="AN344" s="26" t="n">
        <f aca="false">IF(ISNUMBER(AN319),ROUND(AN319-AN343,1),"")</f>
        <v>0</v>
      </c>
      <c r="AO344" s="26" t="n">
        <f aca="false">IF(ISNUMBER(AO319),ROUND(AO319-AO343,1),"")</f>
        <v>0</v>
      </c>
      <c r="AP344" s="26" t="n">
        <f aca="false">IF(ISNUMBER(AP319),ROUND(AP319-AP343,1),"")</f>
        <v>0</v>
      </c>
      <c r="AQ344" s="26" t="n">
        <f aca="false">IF(ISNUMBER(AQ319),ROUND(AQ319-AQ343,1),"")</f>
        <v>0</v>
      </c>
      <c r="AR344" s="26" t="n">
        <f aca="false">IF(ISNUMBER(AR319),ROUND(AR319-AR343,1),"")</f>
        <v>0</v>
      </c>
      <c r="AS344" s="26" t="n">
        <f aca="false">IF(ISNUMBER(AS319),ROUND(AS319-AS343,1),"")</f>
        <v>0</v>
      </c>
      <c r="AT344" s="26" t="n">
        <f aca="false">IF(ISNUMBER(AT319),ROUND(AT319-AT343,1),"")</f>
        <v>0</v>
      </c>
      <c r="AU344" s="26" t="n">
        <f aca="false">IF(ISNUMBER(AU319),ROUND(AU319-AU343,1),"")</f>
        <v>0</v>
      </c>
      <c r="AV344" s="26" t="n">
        <f aca="false">IF(ISNUMBER(AV319),ROUND(AV319-AV343,1),"")</f>
        <v>0</v>
      </c>
      <c r="AW344" s="26" t="n">
        <f aca="false">IF(ISNUMBER(AW319),ROUND(AW319-AW343,1),"")</f>
        <v>0</v>
      </c>
      <c r="AX344" s="26" t="n">
        <f aca="false">IF(ISNUMBER(AX319),ROUND(AX319-AX343,1),"")</f>
        <v>0</v>
      </c>
      <c r="AY344" s="26" t="n">
        <f aca="false">IF(ISNUMBER(AY319),ROUND(AY319-AY343,1),"")</f>
        <v>0</v>
      </c>
      <c r="AZ344" s="26" t="n">
        <f aca="false">IF(ISNUMBER(AZ319),ROUND(AZ319-AZ343,1),"")</f>
        <v>0</v>
      </c>
      <c r="BA344" s="26" t="n">
        <f aca="false">IF(ISNUMBER(BA319),ROUND(BA319-BA343,1),"")</f>
        <v>0</v>
      </c>
      <c r="BB344" s="26" t="n">
        <f aca="false">IF(ISNUMBER(BB319),ROUND(BB319-BB343,1),"")</f>
        <v>0</v>
      </c>
      <c r="BC344" s="26" t="n">
        <f aca="false">IF(ISNUMBER(BC319),ROUND(BC319-BC343,1),"")</f>
        <v>0</v>
      </c>
      <c r="BD344" s="26" t="n">
        <f aca="false">IF(ISNUMBER(BD319),ROUND(BD319-BD343,1),"")</f>
        <v>0</v>
      </c>
      <c r="BE344" s="26" t="n">
        <f aca="false">IF(ISNUMBER(BE319),ROUND(BE319-BE343,1),"")</f>
        <v>0</v>
      </c>
      <c r="BF344" s="26" t="n">
        <f aca="false">IF(ISNUMBER(BF319),ROUND(BF319-BF343,1),"")</f>
        <v>0</v>
      </c>
      <c r="BG344" s="26" t="n">
        <f aca="false">IF(ISNUMBER(BG319),ROUND(BG319-BG343,1),"")</f>
        <v>0</v>
      </c>
      <c r="BH344" s="26" t="n">
        <f aca="false">IF(ISNUMBER(BH319),ROUND(BH319-BH343,1),"")</f>
        <v>0</v>
      </c>
      <c r="BI344" s="26" t="n">
        <f aca="false">IF(ISNUMBER(BI319),ROUND(BI319-BI343,1),"")</f>
        <v>0</v>
      </c>
      <c r="BJ344" s="26" t="n">
        <f aca="false">IF(ISNUMBER(BJ319),ROUND(BJ319-BJ343,1),"")</f>
        <v>0</v>
      </c>
      <c r="BK344" s="26" t="n">
        <f aca="false">IF(ISNUMBER(BK319),ROUND(BK319-BK343,1),"")</f>
        <v>0</v>
      </c>
      <c r="BL344" s="26" t="n">
        <f aca="false">IF(ISNUMBER(BL319),ROUND(BL319-BL343,1),"")</f>
        <v>0</v>
      </c>
      <c r="BM344" s="26" t="n">
        <f aca="false">IF(ISNUMBER(BM319),ROUND(BM319-BM343,1),"")</f>
        <v>0</v>
      </c>
      <c r="BN344" s="26" t="n">
        <f aca="false">IF(ISNUMBER(BN319),ROUND(BN319-BN343,1),"")</f>
        <v>0</v>
      </c>
      <c r="BO344" s="26" t="n">
        <f aca="false">IF(ISNUMBER(BO319),ROUND(BO319-BO343,1),"")</f>
        <v>0</v>
      </c>
      <c r="BP344" s="26" t="n">
        <f aca="false">IF(ISNUMBER(BP319),ROUND(BP319-BP343,1),"")</f>
        <v>0</v>
      </c>
      <c r="BQ344" s="26" t="n">
        <f aca="false">IF(ISNUMBER(BQ319),ROUND(BQ319-BQ343,1),"")</f>
        <v>0</v>
      </c>
      <c r="BR344" s="26" t="n">
        <f aca="false">IF(ISNUMBER(BR319),ROUND(BR319-BR343,1),"")</f>
        <v>0</v>
      </c>
      <c r="BS344" s="26" t="n">
        <f aca="false">IF(ISNUMBER(BS319),ROUND(BS319-BS343,1),"")</f>
        <v>0</v>
      </c>
      <c r="BT344" s="26" t="n">
        <f aca="false">IF(ISNUMBER(BT319),ROUND(BT319-BT343,1),"")</f>
        <v>0</v>
      </c>
      <c r="BU344" s="26" t="n">
        <f aca="false">IF(ISNUMBER(BU319),ROUND(BU319-BU343,1),"")</f>
        <v>0</v>
      </c>
      <c r="BV344" s="26" t="n">
        <f aca="false">IF(ISNUMBER(BV319),ROUND(BV319-BV343,1),"")</f>
        <v>0</v>
      </c>
      <c r="BW344" s="26" t="n">
        <f aca="false">IF(ISNUMBER(BW319),ROUND(BW319-BW343,1),"")</f>
        <v>0</v>
      </c>
      <c r="BX344" s="26" t="n">
        <f aca="false">IF(ISNUMBER(BX319),ROUND(BX319-BX343,1),"")</f>
        <v>0</v>
      </c>
      <c r="BY344" s="28"/>
      <c r="BZ344" s="28"/>
      <c r="CA344" s="47" t="n">
        <f aca="false">ROUND(CA319-CA343,1)</f>
        <v>0</v>
      </c>
      <c r="CB344" s="47" t="n">
        <f aca="false">ROUND(CB319-CB343,1)</f>
        <v>0</v>
      </c>
      <c r="CC344" s="47" t="n">
        <f aca="false">ROUND(CC319-CC343,1)</f>
        <v>0</v>
      </c>
      <c r="CD344" s="47" t="n">
        <f aca="false">ROUND(CD319-CD343,1)</f>
        <v>0</v>
      </c>
      <c r="CE344" s="47" t="n">
        <f aca="false">ROUND(CE319-CE343,1)</f>
        <v>0</v>
      </c>
      <c r="CF344" s="21"/>
    </row>
    <row r="345" customFormat="false" ht="15" hidden="false" customHeight="true" outlineLevel="0" collapsed="false">
      <c r="B345" s="46" t="s">
        <v>549</v>
      </c>
      <c r="C345" s="26" t="n">
        <f aca="false">IF(ISNUMBER(C346),ROUND(C319-C346,1),"")</f>
        <v>0</v>
      </c>
      <c r="D345" s="26" t="n">
        <f aca="false">IF(ISNUMBER(D346),ROUND(D319-D346,1),"")</f>
        <v>0</v>
      </c>
      <c r="E345" s="26" t="n">
        <f aca="false">IF(ISNUMBER(E346),ROUND(E319-E346,1),"")</f>
        <v>0</v>
      </c>
      <c r="F345" s="26" t="n">
        <f aca="false">IF(ISNUMBER(F346),ROUND(F319-F346,1),"")</f>
        <v>0</v>
      </c>
      <c r="G345" s="26" t="n">
        <f aca="false">IF(ISNUMBER(G346),ROUND(G319-G346,1),"")</f>
        <v>0</v>
      </c>
      <c r="H345" s="26" t="n">
        <f aca="false">IF(ISNUMBER(H346),ROUND(H319-H346,1),"")</f>
        <v>0</v>
      </c>
      <c r="I345" s="26" t="n">
        <f aca="false">IF(ISNUMBER(I346),ROUND(I319-I346,1),"")</f>
        <v>0</v>
      </c>
      <c r="J345" s="26" t="n">
        <f aca="false">IF(ISNUMBER(J346),ROUND(J319-J346,1),"")</f>
        <v>0</v>
      </c>
      <c r="K345" s="26" t="n">
        <f aca="false">IF(ISNUMBER(K346),ROUND(K319-K346,1),"")</f>
        <v>0</v>
      </c>
      <c r="L345" s="26" t="n">
        <f aca="false">IF(ISNUMBER(L346),ROUND(L319-L346,1),"")</f>
        <v>0</v>
      </c>
      <c r="M345" s="26" t="n">
        <f aca="false">IF(ISNUMBER(M346),ROUND(M319-M346,1),"")</f>
        <v>0</v>
      </c>
      <c r="N345" s="26" t="n">
        <f aca="false">IF(ISNUMBER(N346),ROUND(N319-N346,1),"")</f>
        <v>0</v>
      </c>
      <c r="O345" s="26" t="n">
        <f aca="false">IF(ISNUMBER(O346),ROUND(O319-O346,1),"")</f>
        <v>0</v>
      </c>
      <c r="P345" s="26" t="n">
        <f aca="false">IF(ISNUMBER(P346),ROUND(P319-P346,1),"")</f>
        <v>0</v>
      </c>
      <c r="Q345" s="26" t="n">
        <f aca="false">IF(ISNUMBER(Q346),ROUND(Q319-Q346,1),"")</f>
        <v>0</v>
      </c>
      <c r="R345" s="26" t="n">
        <f aca="false">IF(ISNUMBER(R346),ROUND(R319-R346,1),"")</f>
        <v>0</v>
      </c>
      <c r="S345" s="26" t="n">
        <f aca="false">IF(ISNUMBER(S346),ROUND(S319-S346,1),"")</f>
        <v>0</v>
      </c>
      <c r="T345" s="26" t="n">
        <f aca="false">IF(ISNUMBER(T346),ROUND(T319-T346,1),"")</f>
        <v>0</v>
      </c>
      <c r="U345" s="26" t="n">
        <f aca="false">IF(ISNUMBER(U346),ROUND(U319-U346,1),"")</f>
        <v>0</v>
      </c>
      <c r="V345" s="26" t="n">
        <f aca="false">IF(ISNUMBER(V346),ROUND(V319-V346,1),"")</f>
        <v>0</v>
      </c>
      <c r="W345" s="26" t="n">
        <f aca="false">IF(ISNUMBER(W346),ROUND(W319-W346,1),"")</f>
        <v>0</v>
      </c>
      <c r="X345" s="26" t="n">
        <f aca="false">IF(ISNUMBER(X346),ROUND(X319-X346,1),"")</f>
        <v>0</v>
      </c>
      <c r="Y345" s="26" t="n">
        <f aca="false">IF(ISNUMBER(Y346),ROUND(Y319-Y346,1),"")</f>
        <v>0</v>
      </c>
      <c r="Z345" s="26" t="n">
        <f aca="false">IF(ISNUMBER(Z346),ROUND(Z319-Z346,1),"")</f>
        <v>0</v>
      </c>
      <c r="AA345" s="26" t="n">
        <f aca="false">IF(ISNUMBER(AA346),ROUND(AA319-AA346,1),"")</f>
        <v>0</v>
      </c>
      <c r="AB345" s="26" t="n">
        <f aca="false">IF(ISNUMBER(AB346),ROUND(AB319-AB346,1),"")</f>
        <v>0</v>
      </c>
      <c r="AC345" s="26" t="n">
        <f aca="false">IF(ISNUMBER(AC346),ROUND(AC319-AC346,1),"")</f>
        <v>0</v>
      </c>
      <c r="AD345" s="26" t="n">
        <f aca="false">IF(ISNUMBER(AD346),ROUND(AD319-AD346,1),"")</f>
        <v>0</v>
      </c>
      <c r="AE345" s="26" t="n">
        <f aca="false">IF(ISNUMBER(AE346),ROUND(AE319-AE346,1),"")</f>
        <v>0</v>
      </c>
      <c r="AF345" s="26" t="n">
        <f aca="false">IF(ISNUMBER(AF346),ROUND(AF319-AF346,1),"")</f>
        <v>0</v>
      </c>
      <c r="AG345" s="26" t="n">
        <f aca="false">IF(ISNUMBER(AG346),ROUND(AG319-AG346,1),"")</f>
        <v>0</v>
      </c>
      <c r="AH345" s="26" t="n">
        <f aca="false">IF(ISNUMBER(AH346),ROUND(AH319-AH346,1),"")</f>
        <v>0</v>
      </c>
      <c r="AI345" s="26" t="n">
        <f aca="false">IF(ISNUMBER(AI346),ROUND(AI319-AI346,1),"")</f>
        <v>0</v>
      </c>
      <c r="AJ345" s="26" t="n">
        <f aca="false">IF(ISNUMBER(AJ346),ROUND(AJ319-AJ346,1),"")</f>
        <v>0</v>
      </c>
      <c r="AK345" s="26" t="n">
        <f aca="false">IF(ISNUMBER(AK346),ROUND(AK319-AK346,1),"")</f>
        <v>0</v>
      </c>
      <c r="AL345" s="26" t="n">
        <f aca="false">IF(ISNUMBER(AL346),ROUND(AL319-AL346,1),"")</f>
        <v>0</v>
      </c>
      <c r="AM345" s="26" t="n">
        <f aca="false">IF(ISNUMBER(AM346),ROUND(AM319-AM346,1),"")</f>
        <v>0</v>
      </c>
      <c r="AN345" s="26" t="n">
        <f aca="false">IF(ISNUMBER(AN346),ROUND(AN319-AN346,1),"")</f>
        <v>0</v>
      </c>
      <c r="AO345" s="26" t="n">
        <f aca="false">IF(ISNUMBER(AO346),ROUND(AO319-AO346,1),"")</f>
        <v>0</v>
      </c>
      <c r="AP345" s="26" t="n">
        <f aca="false">IF(ISNUMBER(AP346),ROUND(AP319-AP346,1),"")</f>
        <v>0</v>
      </c>
      <c r="AQ345" s="26" t="n">
        <f aca="false">IF(ISNUMBER(AQ346),ROUND(AQ319-AQ346,1),"")</f>
        <v>0</v>
      </c>
      <c r="AR345" s="26" t="n">
        <f aca="false">IF(ISNUMBER(AR346),ROUND(AR319-AR346,1),"")</f>
        <v>0</v>
      </c>
      <c r="AS345" s="26" t="n">
        <f aca="false">IF(ISNUMBER(AS346),ROUND(AS319-AS346,1),"")</f>
        <v>0</v>
      </c>
      <c r="AT345" s="26" t="n">
        <f aca="false">IF(ISNUMBER(AT346),ROUND(AT319-AT346,1),"")</f>
        <v>0</v>
      </c>
      <c r="AU345" s="26" t="n">
        <f aca="false">IF(ISNUMBER(AU346),ROUND(AU319-AU346,1),"")</f>
        <v>0</v>
      </c>
      <c r="AV345" s="26" t="n">
        <f aca="false">IF(ISNUMBER(AV346),ROUND(AV319-AV346,1),"")</f>
        <v>0</v>
      </c>
      <c r="AW345" s="26" t="n">
        <f aca="false">IF(ISNUMBER(AW346),ROUND(AW319-AW346,1),"")</f>
        <v>0</v>
      </c>
      <c r="AX345" s="26" t="n">
        <f aca="false">IF(ISNUMBER(AX346),ROUND(AX319-AX346,1),"")</f>
        <v>0</v>
      </c>
      <c r="AY345" s="26" t="n">
        <f aca="false">IF(ISNUMBER(AY346),ROUND(AY319-AY346,1),"")</f>
        <v>0</v>
      </c>
      <c r="AZ345" s="26" t="n">
        <f aca="false">IF(ISNUMBER(AZ346),ROUND(AZ319-AZ346,1),"")</f>
        <v>0</v>
      </c>
      <c r="BA345" s="26" t="n">
        <f aca="false">IF(ISNUMBER(BA346),ROUND(BA319-BA346,1),"")</f>
        <v>0</v>
      </c>
      <c r="BB345" s="26" t="n">
        <f aca="false">IF(ISNUMBER(BB346),ROUND(BB319-BB346,1),"")</f>
        <v>0</v>
      </c>
      <c r="BC345" s="26" t="n">
        <f aca="false">IF(ISNUMBER(BC346),ROUND(BC319-BC346,1),"")</f>
        <v>0</v>
      </c>
      <c r="BD345" s="26" t="n">
        <f aca="false">IF(ISNUMBER(BD346),ROUND(BD319-BD346,1),"")</f>
        <v>0</v>
      </c>
      <c r="BE345" s="26" t="n">
        <f aca="false">IF(ISNUMBER(BE346),ROUND(BE319-BE346,1),"")</f>
        <v>0</v>
      </c>
      <c r="BF345" s="26" t="n">
        <f aca="false">IF(ISNUMBER(BF346),ROUND(BF319-BF346,1),"")</f>
        <v>0</v>
      </c>
      <c r="BG345" s="26" t="n">
        <f aca="false">IF(ISNUMBER(BG346),ROUND(BG319-BG346,1),"")</f>
        <v>0</v>
      </c>
      <c r="BH345" s="26" t="n">
        <f aca="false">IF(ISNUMBER(BH346),ROUND(BH319-BH346,1),"")</f>
        <v>0</v>
      </c>
      <c r="BI345" s="26" t="n">
        <f aca="false">IF(ISNUMBER(BI346),ROUND(BI319-BI346,1),"")</f>
        <v>0</v>
      </c>
      <c r="BJ345" s="26" t="n">
        <f aca="false">IF(ISNUMBER(BJ346),ROUND(BJ319-BJ346,1),"")</f>
        <v>0</v>
      </c>
      <c r="BK345" s="26" t="n">
        <f aca="false">IF(ISNUMBER(BK346),ROUND(BK319-BK346,1),"")</f>
        <v>0</v>
      </c>
      <c r="BL345" s="26" t="n">
        <f aca="false">IF(ISNUMBER(BL346),ROUND(BL319-BL346,1),"")</f>
        <v>0</v>
      </c>
      <c r="BM345" s="26" t="n">
        <f aca="false">IF(ISNUMBER(BM346),ROUND(BM319-BM346,1),"")</f>
        <v>0</v>
      </c>
      <c r="BN345" s="26" t="n">
        <f aca="false">IF(ISNUMBER(BN346),ROUND(BN319-BN346,1),"")</f>
        <v>0</v>
      </c>
      <c r="BO345" s="26" t="n">
        <f aca="false">IF(ISNUMBER(BO346),ROUND(BO319-BO346,1),"")</f>
        <v>0</v>
      </c>
      <c r="BP345" s="26" t="n">
        <f aca="false">IF(ISNUMBER(BP346),ROUND(BP319-BP346,1),"")</f>
        <v>0</v>
      </c>
      <c r="BQ345" s="26" t="n">
        <f aca="false">IF(ISNUMBER(BQ346),ROUND(BQ319-BQ346,1),"")</f>
        <v>0</v>
      </c>
      <c r="BR345" s="26" t="n">
        <f aca="false">IF(ISNUMBER(BR346),ROUND(BR319-BR346,1),"")</f>
        <v>0</v>
      </c>
      <c r="BS345" s="26" t="n">
        <f aca="false">IF(ISNUMBER(BS346),ROUND(BS319-BS346,1),"")</f>
        <v>0</v>
      </c>
      <c r="BT345" s="26" t="n">
        <f aca="false">IF(ISNUMBER(BT346),ROUND(BT319-BT346,1),"")</f>
        <v>0</v>
      </c>
      <c r="BU345" s="26" t="n">
        <f aca="false">IF(ISNUMBER(BU346),ROUND(BU319-BU346,1),"")</f>
        <v>0</v>
      </c>
      <c r="BV345" s="26" t="n">
        <f aca="false">IF(ISNUMBER(BV346),ROUND(BV319-BV346,1),"")</f>
        <v>0</v>
      </c>
      <c r="BW345" s="26" t="n">
        <f aca="false">IF(ISNUMBER(BW346),ROUND(BW319-BW346,1),"")</f>
        <v>0</v>
      </c>
      <c r="BX345" s="26" t="n">
        <f aca="false">IF(ISNUMBER(BX346),ROUND(BX319-BX346,1),"")</f>
        <v>0</v>
      </c>
      <c r="BY345" s="28"/>
      <c r="BZ345" s="28"/>
      <c r="CA345" s="28"/>
      <c r="CB345" s="28"/>
      <c r="CC345" s="28"/>
      <c r="CD345" s="28"/>
      <c r="CE345" s="28"/>
      <c r="CF345" s="21"/>
    </row>
    <row r="346" customFormat="false" ht="15" hidden="false" customHeight="true" outlineLevel="0" collapsed="false">
      <c r="B346" s="24" t="s">
        <v>550</v>
      </c>
      <c r="C346" s="27" t="n">
        <v>1773.891</v>
      </c>
      <c r="D346" s="27" t="n">
        <v>1981.958</v>
      </c>
      <c r="E346" s="27" t="n">
        <v>2600.64</v>
      </c>
      <c r="F346" s="27" t="n">
        <v>2820.448</v>
      </c>
      <c r="G346" s="27" t="n">
        <v>2915.984</v>
      </c>
      <c r="H346" s="27" t="n">
        <v>3328.005</v>
      </c>
      <c r="I346" s="27" t="n">
        <v>5076.026</v>
      </c>
      <c r="J346" s="27" t="n">
        <v>4989.803</v>
      </c>
      <c r="K346" s="27" t="n">
        <v>5004.528</v>
      </c>
      <c r="L346" s="27" t="n">
        <v>4994.647</v>
      </c>
      <c r="M346" s="27" t="n">
        <v>5064.252</v>
      </c>
      <c r="N346" s="27" t="n">
        <v>5064.252</v>
      </c>
      <c r="O346" s="27" t="n">
        <v>5044.221</v>
      </c>
      <c r="P346" s="27" t="n">
        <v>5069.236</v>
      </c>
      <c r="Q346" s="27" t="n">
        <v>5093.864</v>
      </c>
      <c r="R346" s="27" t="n">
        <v>5250.031</v>
      </c>
      <c r="S346" s="27" t="n">
        <v>5250.031</v>
      </c>
      <c r="T346" s="27" t="n">
        <v>5279.574</v>
      </c>
      <c r="U346" s="27" t="n">
        <v>5284.471</v>
      </c>
      <c r="V346" s="27" t="n">
        <v>4814.723</v>
      </c>
      <c r="W346" s="27" t="n">
        <v>5121.798</v>
      </c>
      <c r="X346" s="27" t="n">
        <v>5121.798</v>
      </c>
      <c r="Y346" s="27" t="n">
        <v>5055.371</v>
      </c>
      <c r="Z346" s="27" t="n">
        <v>11093.552</v>
      </c>
      <c r="AA346" s="27" t="n">
        <v>11187.693</v>
      </c>
      <c r="AB346" s="27" t="n">
        <v>11193.102</v>
      </c>
      <c r="AC346" s="27" t="n">
        <v>11193.102</v>
      </c>
      <c r="AD346" s="27" t="n">
        <v>11469.432</v>
      </c>
      <c r="AE346" s="27" t="n">
        <v>11655.363</v>
      </c>
      <c r="AF346" s="27" t="n">
        <v>11910.275</v>
      </c>
      <c r="AG346" s="27" t="n">
        <v>12014.681</v>
      </c>
      <c r="AH346" s="27" t="n">
        <v>12014.681</v>
      </c>
      <c r="AI346" s="27" t="n">
        <v>11963.218</v>
      </c>
      <c r="AJ346" s="27" t="n">
        <v>12024.544</v>
      </c>
      <c r="AK346" s="27" t="n">
        <v>12192.066</v>
      </c>
      <c r="AL346" s="27" t="n">
        <v>12627.329</v>
      </c>
      <c r="AM346" s="27" t="n">
        <v>12627.329</v>
      </c>
      <c r="AN346" s="27" t="n">
        <v>12931.928</v>
      </c>
      <c r="AO346" s="27" t="n">
        <v>13145.772</v>
      </c>
      <c r="AP346" s="27" t="n">
        <v>13270.235</v>
      </c>
      <c r="AQ346" s="27" t="n">
        <v>13737.695</v>
      </c>
      <c r="AR346" s="27" t="n">
        <v>13737.695</v>
      </c>
      <c r="AS346" s="27" t="n">
        <v>14279.411</v>
      </c>
      <c r="AT346" s="27" t="n">
        <v>13594.005</v>
      </c>
      <c r="AU346" s="27" t="n">
        <v>13849.447</v>
      </c>
      <c r="AV346" s="27" t="n">
        <v>13992.364</v>
      </c>
      <c r="AW346" s="27" t="n">
        <v>13992.364</v>
      </c>
      <c r="AX346" s="27" t="n">
        <v>14042.929</v>
      </c>
      <c r="AY346" s="27" t="n">
        <v>14106.207</v>
      </c>
      <c r="AZ346" s="27" t="n">
        <v>14274.832</v>
      </c>
      <c r="BA346" s="27" t="n">
        <v>14699.924</v>
      </c>
      <c r="BB346" s="27" t="n">
        <v>14699.924</v>
      </c>
      <c r="BC346" s="27" t="n">
        <v>15414.362</v>
      </c>
      <c r="BD346" s="27" t="n">
        <v>15416.241</v>
      </c>
      <c r="BE346" s="27" t="n">
        <v>16130.668</v>
      </c>
      <c r="BF346" s="27" t="n">
        <v>17134.603</v>
      </c>
      <c r="BG346" s="27" t="n">
        <v>17134.603</v>
      </c>
      <c r="BH346" s="27" t="n">
        <v>17227.094</v>
      </c>
      <c r="BI346" s="27" t="n">
        <v>17359.527</v>
      </c>
      <c r="BJ346" s="27" t="n">
        <v>17731.24</v>
      </c>
      <c r="BK346" s="27" t="n">
        <v>17915.876</v>
      </c>
      <c r="BL346" s="27" t="n">
        <v>17915.876</v>
      </c>
      <c r="BM346" s="27" t="n">
        <v>19082.66</v>
      </c>
      <c r="BN346" s="27" t="n">
        <v>19301.526</v>
      </c>
      <c r="BO346" s="27" t="n">
        <v>20095.364</v>
      </c>
      <c r="BP346" s="27" t="n">
        <v>19817.809</v>
      </c>
      <c r="BQ346" s="27" t="n">
        <v>19817.809</v>
      </c>
      <c r="BR346" s="27" t="n">
        <v>20254.497</v>
      </c>
      <c r="BS346" s="27" t="n">
        <v>20678.61</v>
      </c>
      <c r="BT346" s="27" t="n">
        <v>20782.495</v>
      </c>
      <c r="BU346" s="27" t="n">
        <v>21129.363</v>
      </c>
      <c r="BV346" s="27" t="n">
        <v>21129.363</v>
      </c>
      <c r="BW346" s="27" t="n">
        <v>21186.355</v>
      </c>
      <c r="BX346" s="27" t="n">
        <v>21399.452</v>
      </c>
      <c r="BY346" s="28"/>
      <c r="BZ346" s="28"/>
      <c r="CA346" s="28"/>
      <c r="CB346" s="28"/>
      <c r="CC346" s="28"/>
      <c r="CD346" s="28"/>
      <c r="CE346" s="28"/>
      <c r="CF346" s="21"/>
    </row>
    <row r="347" customFormat="false" ht="15" hidden="false" customHeight="true" outlineLevel="0" collapsed="false">
      <c r="B347" s="46" t="s">
        <v>551</v>
      </c>
      <c r="C347" s="26" t="n">
        <f aca="false">IF(AND(ISNUMBER(C308),ISNUMBER(C261)),ROUND(C308-C261,1),"")</f>
        <v>0</v>
      </c>
      <c r="D347" s="26" t="n">
        <f aca="false">IF(AND(ISNUMBER(D308),ISNUMBER(D261)),ROUND(D308-D261,1),"")</f>
        <v>0</v>
      </c>
      <c r="E347" s="26" t="n">
        <f aca="false">IF(AND(ISNUMBER(E308),ISNUMBER(E261)),ROUND(E308-E261,1),"")</f>
        <v>0</v>
      </c>
      <c r="F347" s="26" t="n">
        <f aca="false">IF(AND(ISNUMBER(F308),ISNUMBER(F261)),ROUND(F308-F261,1),"")</f>
        <v>0</v>
      </c>
      <c r="G347" s="26" t="n">
        <f aca="false">IF(AND(ISNUMBER(G308),ISNUMBER(G261)),ROUND(G308-G261,1),"")</f>
        <v>0</v>
      </c>
      <c r="H347" s="26" t="n">
        <f aca="false">IF(AND(ISNUMBER(H308),ISNUMBER(H261)),ROUND(H308-H261,1),"")</f>
        <v>0</v>
      </c>
      <c r="I347" s="26" t="n">
        <f aca="false">IF(AND(ISNUMBER(I308),ISNUMBER(I261)),ROUND(I308-I261,1),"")</f>
        <v>0</v>
      </c>
      <c r="J347" s="26" t="n">
        <f aca="false">IF(AND(ISNUMBER(J308),ISNUMBER(J261)),ROUND(J308-J261,1),"")</f>
        <v>0</v>
      </c>
      <c r="K347" s="26" t="n">
        <f aca="false">IF(AND(ISNUMBER(K308),ISNUMBER(K261)),ROUND(K308-K261,1),"")</f>
        <v>0</v>
      </c>
      <c r="L347" s="26" t="n">
        <f aca="false">IF(AND(ISNUMBER(L308),ISNUMBER(L261)),ROUND(L308-L261,1),"")</f>
        <v>0</v>
      </c>
      <c r="M347" s="26" t="n">
        <f aca="false">IF(AND(ISNUMBER(M308),ISNUMBER(M261)),ROUND(M308-M261,1),"")</f>
        <v>0</v>
      </c>
      <c r="N347" s="26" t="n">
        <f aca="false">IF(AND(ISNUMBER(N308),ISNUMBER(N261)),ROUND(N308-N261,1),"")</f>
        <v>0</v>
      </c>
      <c r="O347" s="26" t="n">
        <f aca="false">IF(AND(ISNUMBER(O308),ISNUMBER(O261)),ROUND(O308-O261,1),"")</f>
        <v>0</v>
      </c>
      <c r="P347" s="26" t="n">
        <f aca="false">IF(AND(ISNUMBER(P308),ISNUMBER(P261)),ROUND(P308-P261,1),"")</f>
        <v>0</v>
      </c>
      <c r="Q347" s="26" t="n">
        <f aca="false">IF(AND(ISNUMBER(Q308),ISNUMBER(Q261)),ROUND(Q308-Q261,1),"")</f>
        <v>0</v>
      </c>
      <c r="R347" s="26" t="n">
        <f aca="false">IF(AND(ISNUMBER(R308),ISNUMBER(R261)),ROUND(R308-R261,1),"")</f>
        <v>0</v>
      </c>
      <c r="S347" s="26" t="n">
        <f aca="false">IF(AND(ISNUMBER(S308),ISNUMBER(S261)),ROUND(S308-S261,1),"")</f>
        <v>0</v>
      </c>
      <c r="T347" s="26" t="n">
        <f aca="false">IF(AND(ISNUMBER(T308),ISNUMBER(T261)),ROUND(T308-T261,1),"")</f>
        <v>0</v>
      </c>
      <c r="U347" s="26" t="n">
        <f aca="false">IF(AND(ISNUMBER(U308),ISNUMBER(U261)),ROUND(U308-U261,1),"")</f>
        <v>0</v>
      </c>
      <c r="V347" s="26" t="n">
        <f aca="false">IF(AND(ISNUMBER(V308),ISNUMBER(V261)),ROUND(V308-V261,1),"")</f>
        <v>0</v>
      </c>
      <c r="W347" s="26" t="n">
        <f aca="false">IF(AND(ISNUMBER(W308),ISNUMBER(W261)),ROUND(W308-W261,1),"")</f>
        <v>0</v>
      </c>
      <c r="X347" s="26" t="n">
        <f aca="false">IF(AND(ISNUMBER(X308),ISNUMBER(X261)),ROUND(X308-X261,1),"")</f>
        <v>0</v>
      </c>
      <c r="Y347" s="26" t="n">
        <f aca="false">IF(AND(ISNUMBER(Y308),ISNUMBER(Y261)),ROUND(Y308-Y261,1),"")</f>
        <v>0</v>
      </c>
      <c r="Z347" s="26" t="n">
        <f aca="false">IF(AND(ISNUMBER(Z308),ISNUMBER(Z261)),ROUND(Z308-Z261,1),"")</f>
        <v>0</v>
      </c>
      <c r="AA347" s="26" t="n">
        <f aca="false">IF(AND(ISNUMBER(AA308),ISNUMBER(AA261)),ROUND(AA308-AA261,1),"")</f>
        <v>0</v>
      </c>
      <c r="AB347" s="26" t="n">
        <f aca="false">IF(AND(ISNUMBER(AB308),ISNUMBER(AB261)),ROUND(AB308-AB261,1),"")</f>
        <v>0</v>
      </c>
      <c r="AC347" s="26" t="n">
        <f aca="false">IF(AND(ISNUMBER(AC308),ISNUMBER(AC261)),ROUND(AC308-AC261,1),"")</f>
        <v>0</v>
      </c>
      <c r="AD347" s="26" t="n">
        <f aca="false">IF(AND(ISNUMBER(AD308),ISNUMBER(AD261)),ROUND(AD308-AD261,1),"")</f>
        <v>0</v>
      </c>
      <c r="AE347" s="26" t="n">
        <f aca="false">IF(AND(ISNUMBER(AE308),ISNUMBER(AE261)),ROUND(AE308-AE261,1),"")</f>
        <v>0</v>
      </c>
      <c r="AF347" s="26" t="n">
        <f aca="false">IF(AND(ISNUMBER(AF308),ISNUMBER(AF261)),ROUND(AF308-AF261,1),"")</f>
        <v>0</v>
      </c>
      <c r="AG347" s="26" t="n">
        <f aca="false">IF(AND(ISNUMBER(AG308),ISNUMBER(AG261)),ROUND(AG308-AG261,1),"")</f>
        <v>0</v>
      </c>
      <c r="AH347" s="26" t="n">
        <f aca="false">IF(AND(ISNUMBER(AH308),ISNUMBER(AH261)),ROUND(AH308-AH261,1),"")</f>
        <v>0</v>
      </c>
      <c r="AI347" s="26" t="n">
        <f aca="false">IF(AND(ISNUMBER(AI308),ISNUMBER(AI261)),ROUND(AI308+N(AI312)-AI261,1),"")</f>
        <v>0</v>
      </c>
      <c r="AJ347" s="26" t="n">
        <f aca="false">IF(AND(ISNUMBER(AJ308),ISNUMBER(AJ261)),ROUND(AJ308+N(AJ312)-AJ261,1),"")</f>
        <v>0</v>
      </c>
      <c r="AK347" s="26" t="n">
        <f aca="false">IF(AND(ISNUMBER(AK308),ISNUMBER(AK261)),ROUND(AK308+N(AK312)-AK261,1),"")</f>
        <v>0</v>
      </c>
      <c r="AL347" s="26" t="n">
        <f aca="false">IF(AND(ISNUMBER(AL308),ISNUMBER(AL261)),ROUND(AL308+N(AL312)-AL261,1),"")</f>
        <v>0</v>
      </c>
      <c r="AM347" s="26" t="n">
        <f aca="false">IF(AND(ISNUMBER(AM308),ISNUMBER(AM261)),ROUND(AM308+N(AM312)-AM261,1),"")</f>
        <v>0</v>
      </c>
      <c r="AN347" s="26" t="n">
        <f aca="false">IF(AND(ISNUMBER(AN308),ISNUMBER(AN261)),ROUND(AN308+N(AN312)-AN261,1),"")</f>
        <v>0</v>
      </c>
      <c r="AO347" s="26" t="n">
        <f aca="false">IF(AND(ISNUMBER(AO308),ISNUMBER(AO261)),ROUND(AO308+N(AO312)-AO261,1),"")</f>
        <v>0</v>
      </c>
      <c r="AP347" s="26" t="n">
        <f aca="false">IF(AND(ISNUMBER(AP308),ISNUMBER(AP261)),ROUND(AP308+N(AP312)-AP261,1),"")</f>
        <v>0</v>
      </c>
      <c r="AQ347" s="26" t="n">
        <f aca="false">IF(AND(ISNUMBER(AQ308),ISNUMBER(AQ261)),ROUND(AQ308+N(AQ312)-AQ261,1),"")</f>
        <v>0</v>
      </c>
      <c r="AR347" s="26" t="n">
        <f aca="false">IF(AND(ISNUMBER(AR308),ISNUMBER(AR261)),ROUND(AR308+N(AR312)-AR261,1),"")</f>
        <v>0</v>
      </c>
      <c r="AS347" s="26" t="n">
        <f aca="false">IF(AND(ISNUMBER(AS308),ISNUMBER(AS261)),ROUND(AS308+N(AS312)-AS261,1),"")</f>
        <v>0</v>
      </c>
      <c r="AT347" s="26" t="n">
        <f aca="false">IF(AND(ISNUMBER(AT308),ISNUMBER(AT261)),ROUND(AT308+N(AT312)-AT261,1),"")</f>
        <v>0</v>
      </c>
      <c r="AU347" s="26" t="n">
        <f aca="false">IF(AND(ISNUMBER(AU308),ISNUMBER(AU261)),ROUND(AU308+N(AU312)-AU261,1),"")</f>
        <v>0</v>
      </c>
      <c r="AV347" s="26" t="n">
        <f aca="false">IF(AND(ISNUMBER(AV308),ISNUMBER(AV261)),ROUND(AV308+N(AV312)-AV261,1),"")</f>
        <v>0</v>
      </c>
      <c r="AW347" s="26" t="n">
        <f aca="false">IF(AND(ISNUMBER(AW308),ISNUMBER(AW261)),ROUND(AW308+N(AW312)-AW261,1),"")</f>
        <v>0</v>
      </c>
      <c r="AX347" s="26" t="n">
        <f aca="false">IF(AND(ISNUMBER(AX308),ISNUMBER(AX261)),ROUND(AX308+N(AX312)-AX261,1),"")</f>
        <v>0</v>
      </c>
      <c r="AY347" s="26" t="n">
        <f aca="false">IF(AND(ISNUMBER(AY308),ISNUMBER(AY261)),ROUND(AY308+N(AY312)-AY261,1),"")</f>
        <v>0</v>
      </c>
      <c r="AZ347" s="26" t="n">
        <f aca="false">IF(AND(ISNUMBER(AZ308),ISNUMBER(AZ261)),ROUND(AZ308+N(AZ312)-AZ261,1),"")</f>
        <v>0</v>
      </c>
      <c r="BA347" s="26" t="n">
        <f aca="false">IF(AND(ISNUMBER(BA308),ISNUMBER(BA261)),ROUND(BA308+N(BA312)-BA261,1),"")</f>
        <v>0</v>
      </c>
      <c r="BB347" s="26" t="n">
        <f aca="false">IF(AND(ISNUMBER(BB308),ISNUMBER(BB261)),ROUND(BB308+N(BB312)-BB261,1),"")</f>
        <v>0</v>
      </c>
      <c r="BC347" s="26" t="n">
        <f aca="false">IF(AND(ISNUMBER(BC308),ISNUMBER(BC261)),ROUND(BC308+N(BC312)-BC261,1),"")</f>
        <v>0</v>
      </c>
      <c r="BD347" s="26" t="n">
        <f aca="false">IF(AND(ISNUMBER(BD308),ISNUMBER(BD261)),ROUND(BD308+N(BD312)-BD261,1),"")</f>
        <v>0</v>
      </c>
      <c r="BE347" s="26" t="n">
        <f aca="false">IF(AND(ISNUMBER(BE308),ISNUMBER(BE261)),ROUND(BE308+N(BE312)-BE261,1),"")</f>
        <v>0</v>
      </c>
      <c r="BF347" s="26" t="n">
        <f aca="false">IF(AND(ISNUMBER(BF308),ISNUMBER(BF261)),ROUND(BF308+N(BF312)-BF261,1),"")</f>
        <v>0</v>
      </c>
      <c r="BG347" s="26" t="n">
        <f aca="false">IF(AND(ISNUMBER(BG308),ISNUMBER(BG261)),ROUND(BG308+N(BG312)-BG261,1),"")</f>
        <v>0</v>
      </c>
      <c r="BH347" s="26" t="n">
        <f aca="false">IF(AND(ISNUMBER(BH308),ISNUMBER(BH261)),ROUND(BH308+N(BH312)-BH261,1),"")</f>
        <v>0</v>
      </c>
      <c r="BI347" s="26" t="n">
        <f aca="false">IF(AND(ISNUMBER(BI308),ISNUMBER(BI261)),ROUND(BI308+N(BI312)-BI261,1),"")</f>
        <v>0</v>
      </c>
      <c r="BJ347" s="26" t="n">
        <f aca="false">IF(AND(ISNUMBER(BJ308),ISNUMBER(BJ261)),ROUND(BJ308+N(BJ312)-BJ261,1),"")</f>
        <v>0</v>
      </c>
      <c r="BK347" s="26" t="n">
        <f aca="false">IF(AND(ISNUMBER(BK308),ISNUMBER(BK261)),ROUND(BK308+N(BK312)-BK261,1),"")</f>
        <v>0</v>
      </c>
      <c r="BL347" s="26" t="n">
        <f aca="false">IF(AND(ISNUMBER(BL308),ISNUMBER(BL261)),ROUND(BL308+N(BL312)-BL261,1),"")</f>
        <v>0</v>
      </c>
      <c r="BM347" s="26" t="n">
        <f aca="false">IF(AND(ISNUMBER(BM308),ISNUMBER(BM261)),ROUND(BM308+N(BM312)-BM261,1),"")</f>
        <v>0</v>
      </c>
      <c r="BN347" s="26" t="n">
        <f aca="false">IF(AND(ISNUMBER(BN308),ISNUMBER(BN261)),ROUND(BN308+N(BN312)-BN261,1),"")</f>
        <v>0</v>
      </c>
      <c r="BO347" s="26" t="n">
        <f aca="false">IF(AND(ISNUMBER(BO308),ISNUMBER(BO261)),ROUND(BO308+N(BO312)-BO261,1),"")</f>
        <v>0</v>
      </c>
      <c r="BP347" s="26" t="n">
        <f aca="false">IF(AND(ISNUMBER(BP308),ISNUMBER(BP261)),ROUND(BP308+N(BP312)-BP261,1),"")</f>
        <v>0</v>
      </c>
      <c r="BQ347" s="26" t="n">
        <f aca="false">IF(AND(ISNUMBER(BQ308),ISNUMBER(BQ261)),ROUND(BQ308+N(BQ312)-BQ261,1),"")</f>
        <v>0</v>
      </c>
      <c r="BR347" s="26" t="n">
        <f aca="false">IF(AND(ISNUMBER(BR308),ISNUMBER(BR261)),ROUND(BR308+N(BR312)-BR261,1),"")</f>
        <v>0</v>
      </c>
      <c r="BS347" s="26" t="n">
        <f aca="false">IF(AND(ISNUMBER(BS308),ISNUMBER(BS261)),ROUND(BS308+N(BS312)-BS261,1),"")</f>
        <v>0</v>
      </c>
      <c r="BT347" s="26" t="n">
        <f aca="false">IF(AND(ISNUMBER(BT308),ISNUMBER(BT261)),ROUND(BT308+N(BT312)-BT261,1),"")</f>
        <v>0</v>
      </c>
      <c r="BU347" s="26" t="n">
        <f aca="false">IF(AND(ISNUMBER(BU308),ISNUMBER(BU261)),ROUND(BU308+N(BU312)-BU261,1),"")</f>
        <v>0</v>
      </c>
      <c r="BV347" s="26" t="n">
        <f aca="false">IF(AND(ISNUMBER(BV308),ISNUMBER(BV261)),ROUND(BV308+N(BV312)-BV261,1),"")</f>
        <v>0</v>
      </c>
      <c r="BW347" s="26" t="n">
        <f aca="false">IF(AND(ISNUMBER(BW308),ISNUMBER(BW261)),ROUND(BW308+N(BW312)-BW261,1),"")</f>
        <v>0</v>
      </c>
      <c r="BX347" s="26" t="n">
        <f aca="false">IF(AND(ISNUMBER(BX308),ISNUMBER(BX261)),ROUND(BX308+N(BX312)-BX261,1),"")</f>
        <v>0</v>
      </c>
      <c r="BY347" s="28"/>
      <c r="BZ347" s="28"/>
      <c r="CA347" s="47" t="n">
        <f aca="false">IF(AND(ISNUMBER(CA308),ISNUMBER(CA261)),ROUND(CA308+N(CA312)-CA261,1),"")</f>
        <v>0</v>
      </c>
      <c r="CB347" s="47" t="n">
        <f aca="false">IF(AND(ISNUMBER(CB308),ISNUMBER(CB261)),ROUND(CB308+N(CB312)-CB261,1),"")</f>
        <v>0</v>
      </c>
      <c r="CC347" s="47" t="n">
        <f aca="false">IF(AND(ISNUMBER(CC308),ISNUMBER(CC261)),ROUND(CC308+N(CC312)-CC261,1),"")</f>
        <v>0</v>
      </c>
      <c r="CD347" s="47" t="n">
        <f aca="false">IF(AND(ISNUMBER(CD308),ISNUMBER(CD261)),ROUND(CD308+N(CD312)-CD261,1),"")</f>
        <v>0</v>
      </c>
      <c r="CE347" s="47" t="n">
        <f aca="false">IF(AND(ISNUMBER(CE308),ISNUMBER(CE261)),ROUND(CE308+N(CE312)-CE261,1),"")</f>
        <v>0</v>
      </c>
      <c r="CF347" s="21"/>
    </row>
    <row r="348" customFormat="false" ht="15" hidden="false" customHeight="true" outlineLevel="0" collapsed="false">
      <c r="B348" s="24" t="s">
        <v>552</v>
      </c>
      <c r="C348" s="52"/>
      <c r="D348" s="52"/>
      <c r="E348" s="52"/>
      <c r="F348" s="52"/>
      <c r="G348" s="61" t="n">
        <v>166.361673</v>
      </c>
      <c r="H348" s="61" t="n">
        <v>166.361673</v>
      </c>
      <c r="I348" s="61" t="n">
        <v>184.529241</v>
      </c>
      <c r="J348" s="61" t="n">
        <v>185.127918</v>
      </c>
      <c r="K348" s="61" t="n">
        <v>185.20914</v>
      </c>
      <c r="L348" s="61" t="n">
        <v>185.319282</v>
      </c>
      <c r="M348" s="61" t="n">
        <v>185.34973</v>
      </c>
      <c r="N348" s="61" t="n">
        <v>185.34973</v>
      </c>
      <c r="O348" s="61" t="n">
        <v>185.925256</v>
      </c>
      <c r="P348" s="61" t="n">
        <v>186.175189</v>
      </c>
      <c r="Q348" s="61" t="n">
        <v>186.179568</v>
      </c>
      <c r="R348" s="61" t="n">
        <v>185.97679</v>
      </c>
      <c r="S348" s="61" t="n">
        <v>185.97679</v>
      </c>
      <c r="T348" s="61" t="n">
        <v>185.795673</v>
      </c>
      <c r="U348" s="61" t="n">
        <v>185.129547</v>
      </c>
      <c r="V348" s="61" t="n">
        <v>185.12983</v>
      </c>
      <c r="W348" s="61" t="n">
        <v>183.563933</v>
      </c>
      <c r="X348" s="61" t="n">
        <v>183.563933</v>
      </c>
      <c r="Y348" s="61" t="n">
        <v>184.076591</v>
      </c>
      <c r="Z348" s="61" t="n">
        <v>262.556401</v>
      </c>
      <c r="AA348" s="61" t="n">
        <v>262.711422</v>
      </c>
      <c r="AB348" s="61" t="n">
        <v>262.802842</v>
      </c>
      <c r="AC348" s="61" t="n">
        <v>262.802842</v>
      </c>
      <c r="AD348" s="61" t="n">
        <v>263.335242</v>
      </c>
      <c r="AE348" s="61" t="n">
        <v>263.42544</v>
      </c>
      <c r="AF348" s="61" t="n">
        <v>263.443234</v>
      </c>
      <c r="AG348" s="61" t="n">
        <v>263.49467</v>
      </c>
      <c r="AH348" s="61" t="n">
        <v>263.49467</v>
      </c>
      <c r="AI348" s="61" t="n">
        <v>263.327956</v>
      </c>
      <c r="AJ348" s="61" t="n">
        <v>263.362026</v>
      </c>
      <c r="AK348" s="61" t="n">
        <v>263.37291</v>
      </c>
      <c r="AL348" s="61" t="n">
        <v>263.141413</v>
      </c>
      <c r="AM348" s="61" t="n">
        <v>263.141413</v>
      </c>
      <c r="AN348" s="61" t="n">
        <v>263.587245</v>
      </c>
      <c r="AO348" s="61" t="n">
        <v>263.601239</v>
      </c>
      <c r="AP348" s="61" t="n">
        <v>263.616104</v>
      </c>
      <c r="AQ348" s="61" t="n">
        <v>263.618161</v>
      </c>
      <c r="AR348" s="61" t="n">
        <v>263.618161</v>
      </c>
      <c r="AS348" s="61" t="n">
        <v>262.804517</v>
      </c>
      <c r="AT348" s="61" t="n">
        <v>262.811165</v>
      </c>
      <c r="AU348" s="61" t="n">
        <v>262.822825</v>
      </c>
      <c r="AV348" s="61" t="n">
        <v>262.82499</v>
      </c>
      <c r="AW348" s="61" t="n">
        <v>262.82499</v>
      </c>
      <c r="AX348" s="61" t="n">
        <v>262.491505</v>
      </c>
      <c r="AY348" s="61" t="n">
        <v>260.43345</v>
      </c>
      <c r="AZ348" s="61" t="n">
        <v>260.453918</v>
      </c>
      <c r="BA348" s="61" t="n">
        <v>260.212496</v>
      </c>
      <c r="BB348" s="61" t="n">
        <v>260.212496</v>
      </c>
      <c r="BC348" s="61" t="n">
        <v>257.096408</v>
      </c>
      <c r="BD348" s="61" t="n">
        <v>257.100591</v>
      </c>
      <c r="BE348" s="61" t="n">
        <v>257.118204</v>
      </c>
      <c r="BF348" s="61" t="n">
        <v>257.145716</v>
      </c>
      <c r="BG348" s="61" t="n">
        <v>257.145716</v>
      </c>
      <c r="BH348" s="61" t="n">
        <v>257.487434</v>
      </c>
      <c r="BI348" s="61" t="n">
        <v>257.555015</v>
      </c>
      <c r="BJ348" s="61" t="n">
        <v>257.581304</v>
      </c>
      <c r="BK348" s="61" t="n">
        <v>257.600479</v>
      </c>
      <c r="BL348" s="61" t="n">
        <v>257.600479</v>
      </c>
      <c r="BM348" s="61" t="n">
        <v>257.961725</v>
      </c>
      <c r="BN348" s="61" t="n">
        <v>257.965548</v>
      </c>
      <c r="BO348" s="61" t="n">
        <v>258.009392</v>
      </c>
      <c r="BP348" s="61" t="n">
        <v>258.019389</v>
      </c>
      <c r="BQ348" s="61" t="n">
        <v>258.019389</v>
      </c>
      <c r="BR348" s="61" t="n">
        <v>258.318013</v>
      </c>
      <c r="BS348" s="61" t="n">
        <v>258.346757</v>
      </c>
      <c r="BT348" s="61" t="n">
        <v>255.976094</v>
      </c>
      <c r="BU348" s="61" t="n">
        <v>255.614663</v>
      </c>
      <c r="BV348" s="61" t="n">
        <v>255.614663</v>
      </c>
      <c r="BW348" s="61" t="n">
        <v>254.213909</v>
      </c>
      <c r="BX348" s="61" t="n">
        <v>252.154695</v>
      </c>
      <c r="BY348" s="53"/>
      <c r="BZ348" s="53"/>
      <c r="CA348" s="62" t="n">
        <f aca="false">CA302</f>
        <v>249.87404983871</v>
      </c>
      <c r="CB348" s="62" t="n">
        <f aca="false">CB302</f>
        <v>244.014180878904</v>
      </c>
      <c r="CC348" s="62" t="n">
        <f aca="false">CC302</f>
        <v>237.678681397704</v>
      </c>
      <c r="CD348" s="62" t="n">
        <f aca="false">CD302</f>
        <v>231.000858216254</v>
      </c>
      <c r="CE348" s="62" t="n">
        <f aca="false">CE302</f>
        <v>224.252310755649</v>
      </c>
      <c r="CF348" s="21"/>
    </row>
    <row r="349" customFormat="false" ht="15" hidden="false" customHeight="true" outlineLevel="0" collapsed="false"/>
    <row r="350" customFormat="false" ht="15" hidden="false" customHeight="true" outlineLevel="0" collapsed="false">
      <c r="B350" s="12" t="s">
        <v>553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</row>
    <row r="351" customFormat="false" ht="15" hidden="true" customHeight="true" outlineLevel="1" collapsed="false">
      <c r="B351" s="29" t="s">
        <v>554</v>
      </c>
      <c r="C351" s="77" t="n">
        <f aca="false">IFERROR(C309/C128*365,"n/a")</f>
        <v>44.3961999335237</v>
      </c>
      <c r="D351" s="77" t="n">
        <f aca="false">IFERROR(D309/D128*365,"n/a")</f>
        <v>47.172661367641</v>
      </c>
      <c r="E351" s="77" t="n">
        <f aca="false">IFERROR(E309/E128*365,"n/a")</f>
        <v>41.1931368336409</v>
      </c>
      <c r="F351" s="77" t="n">
        <f aca="false">IFERROR(F309/F128*365,"n/a")</f>
        <v>42.576026550433</v>
      </c>
      <c r="G351" s="77" t="n">
        <f aca="false">IFERROR(G309/G128*365,"n/a")</f>
        <v>42.0811861577548</v>
      </c>
      <c r="H351" s="77" t="n">
        <f aca="false">IFERROR(H309/H128*365,"n/a")</f>
        <v>42.7411705857579</v>
      </c>
      <c r="I351" s="77" t="n">
        <f aca="false">IFERROR(I309/I128*365,"n/a")</f>
        <v>51.7887565011934</v>
      </c>
      <c r="J351" s="77" t="n">
        <f aca="false">IFERROR(J309/J128*91.25,"n/a")</f>
        <v>44.6045800992238</v>
      </c>
      <c r="K351" s="77" t="n">
        <f aca="false">IFERROR(K309/K128*91.25,"n/a")</f>
        <v>44.8542674317148</v>
      </c>
      <c r="L351" s="77" t="n">
        <f aca="false">IFERROR(L309/L128*91.25,"n/a")</f>
        <v>43.2731174277171</v>
      </c>
      <c r="M351" s="77" t="n">
        <f aca="false">IFERROR(M309/M128*91.25,"n/a")</f>
        <v>43.9464952035186</v>
      </c>
      <c r="N351" s="77" t="n">
        <f aca="false">IFERROR(N309/N128*365,"n/a")</f>
        <v>44.2817225262405</v>
      </c>
      <c r="O351" s="77" t="n">
        <f aca="false">IFERROR(O309/O128*91.25,"n/a")</f>
        <v>43.285358410662</v>
      </c>
      <c r="P351" s="77" t="n">
        <f aca="false">IFERROR(P309/P128*91.25,"n/a")</f>
        <v>44.3226658255399</v>
      </c>
      <c r="Q351" s="77" t="n">
        <f aca="false">IFERROR(Q309/Q128*91.25,"n/a")</f>
        <v>43.8002537732069</v>
      </c>
      <c r="R351" s="77" t="n">
        <f aca="false">IFERROR(R309/R128*91.25,"n/a")</f>
        <v>45.0809296805666</v>
      </c>
      <c r="S351" s="77" t="n">
        <f aca="false">IFERROR(S309/S128*365,"n/a")</f>
        <v>45.6378591223596</v>
      </c>
      <c r="T351" s="77" t="n">
        <f aca="false">IFERROR(T309/T128*91.25,"n/a")</f>
        <v>45.1527934202727</v>
      </c>
      <c r="U351" s="77" t="n">
        <f aca="false">IFERROR(U309/U128*91.25,"n/a")</f>
        <v>43.9905060491764</v>
      </c>
      <c r="V351" s="77" t="n">
        <f aca="false">IFERROR(V309/V128*91.25,"n/a")</f>
        <v>42.6285638156142</v>
      </c>
      <c r="W351" s="77" t="n">
        <f aca="false">IFERROR(W309/W128*91.25,"n/a")</f>
        <v>43.7763682541354</v>
      </c>
      <c r="X351" s="77" t="n">
        <f aca="false">IFERROR(X309/X128*365,"n/a")</f>
        <v>43.9926566403138</v>
      </c>
      <c r="Y351" s="77" t="n">
        <f aca="false">IFERROR(Y309/Y128*91.25,"n/a")</f>
        <v>41.9737943965182</v>
      </c>
      <c r="Z351" s="77" t="n">
        <f aca="false">IFERROR(Z309/Z128*91.25,"n/a")</f>
        <v>63.058070348071</v>
      </c>
      <c r="AA351" s="77" t="n">
        <f aca="false">IFERROR(AA309/AA128*91.25,"n/a")</f>
        <v>41.9099748645525</v>
      </c>
      <c r="AB351" s="77" t="n">
        <f aca="false">IFERROR(AB309/AB128*91.25,"n/a")</f>
        <v>42.2162061257536</v>
      </c>
      <c r="AC351" s="77" t="n">
        <f aca="false">IFERROR(AC309/AC128*365,"n/a")</f>
        <v>52.4533637769068</v>
      </c>
      <c r="AD351" s="77" t="n">
        <f aca="false">IFERROR(AD309/AD128*91.25,"n/a")</f>
        <v>40.673113842088</v>
      </c>
      <c r="AE351" s="77" t="n">
        <f aca="false">IFERROR(AE309/AE128*91.25,"n/a")</f>
        <v>42.5113104802866</v>
      </c>
      <c r="AF351" s="77" t="n">
        <f aca="false">IFERROR(AF309/AF128*91.25,"n/a")</f>
        <v>44.5128112572297</v>
      </c>
      <c r="AG351" s="77" t="n">
        <f aca="false">IFERROR(AG309/AG128*91.25,"n/a")</f>
        <v>43.722248147428</v>
      </c>
      <c r="AH351" s="77" t="n">
        <f aca="false">IFERROR(AH309/AH128*365,"n/a")</f>
        <v>43.7053653956127</v>
      </c>
      <c r="AI351" s="77" t="n">
        <f aca="false">IFERROR(AI309/AI128*91.25,"n/a")</f>
        <v>44.4420476682065</v>
      </c>
      <c r="AJ351" s="77" t="n">
        <f aca="false">IFERROR(AJ309/AJ128*91.25,"n/a")</f>
        <v>44.4553508638933</v>
      </c>
      <c r="AK351" s="77" t="n">
        <f aca="false">IFERROR(AK309/AK128*91.25,"n/a")</f>
        <v>44.5204783351937</v>
      </c>
      <c r="AL351" s="77" t="n">
        <f aca="false">IFERROR(AL309/AL128*91.25,"n/a")</f>
        <v>44.0830392270308</v>
      </c>
      <c r="AM351" s="77" t="n">
        <f aca="false">IFERROR(AM309/AM128*365,"n/a")</f>
        <v>45.1932950242548</v>
      </c>
      <c r="AN351" s="77" t="n">
        <f aca="false">IFERROR(AN309/AN128*91.25,"n/a")</f>
        <v>43.9424677636934</v>
      </c>
      <c r="AO351" s="77" t="n">
        <f aca="false">IFERROR(AO309/AO128*91.25,"n/a")</f>
        <v>44.2333372151348</v>
      </c>
      <c r="AP351" s="77" t="n">
        <f aca="false">IFERROR(AP309/AP128*91.25,"n/a")</f>
        <v>43.7162004298932</v>
      </c>
      <c r="AQ351" s="77" t="n">
        <f aca="false">IFERROR(AQ309/AQ128*91.25,"n/a")</f>
        <v>44.4074936121472</v>
      </c>
      <c r="AR351" s="77" t="n">
        <f aca="false">IFERROR(AR309/AR128*365,"n/a")</f>
        <v>44.8950327158103</v>
      </c>
      <c r="AS351" s="77" t="n">
        <f aca="false">IFERROR(AS309/AS128*91.25,"n/a")</f>
        <v>42.1290503799161</v>
      </c>
      <c r="AT351" s="77" t="n">
        <f aca="false">IFERROR(AT309/AT128*91.25,"n/a")</f>
        <v>42.5439248281873</v>
      </c>
      <c r="AU351" s="77" t="n">
        <f aca="false">IFERROR(AU309/AU128*91.25,"n/a")</f>
        <v>40.4932578989487</v>
      </c>
      <c r="AV351" s="77" t="n">
        <f aca="false">IFERROR(AV309/AV128*91.25,"n/a")</f>
        <v>41.131091628041</v>
      </c>
      <c r="AW351" s="77" t="n">
        <f aca="false">IFERROR(AW309/AW128*365,"n/a")</f>
        <v>42.2414216698892</v>
      </c>
      <c r="AX351" s="77" t="n">
        <f aca="false">IFERROR(AX309/AX128*91.25,"n/a")</f>
        <v>39.79332056776</v>
      </c>
      <c r="AY351" s="77" t="n">
        <f aca="false">IFERROR(AY309/AY128*91.25,"n/a")</f>
        <v>38.6408784032659</v>
      </c>
      <c r="AZ351" s="77" t="n">
        <f aca="false">IFERROR(AZ309/AZ128*91.25,"n/a")</f>
        <v>39.5385167684301</v>
      </c>
      <c r="BA351" s="77" t="n">
        <f aca="false">IFERROR(BA309/BA128*91.25,"n/a")</f>
        <v>39.8642615766977</v>
      </c>
      <c r="BB351" s="77" t="n">
        <f aca="false">IFERROR(BB309/BB128*365,"n/a")</f>
        <v>42.1059843504551</v>
      </c>
      <c r="BC351" s="77" t="n">
        <f aca="false">IFERROR(BC309/BC128*91.25,"n/a")</f>
        <v>40.3376155273636</v>
      </c>
      <c r="BD351" s="77" t="n">
        <f aca="false">IFERROR(BD309/BD128*91.25,"n/a")</f>
        <v>40.0819606812245</v>
      </c>
      <c r="BE351" s="77" t="n">
        <f aca="false">IFERROR(BE309/BE128*91.25,"n/a")</f>
        <v>39.3631600729413</v>
      </c>
      <c r="BF351" s="77" t="n">
        <f aca="false">IFERROR(BF309/BF128*91.25,"n/a")</f>
        <v>40.7050055074063</v>
      </c>
      <c r="BG351" s="77" t="n">
        <f aca="false">IFERROR(BG309/BG128*365,"n/a")</f>
        <v>42.2026595361889</v>
      </c>
      <c r="BH351" s="77" t="n">
        <f aca="false">IFERROR(BH309/BH128*91.25,"n/a")</f>
        <v>39.1157235742327</v>
      </c>
      <c r="BI351" s="77" t="n">
        <f aca="false">IFERROR(BI309/BI128*91.25,"n/a")</f>
        <v>38.6238443764395</v>
      </c>
      <c r="BJ351" s="77" t="n">
        <f aca="false">IFERROR(BJ309/BJ128*91.25,"n/a")</f>
        <v>38.3647978877769</v>
      </c>
      <c r="BK351" s="77" t="n">
        <f aca="false">IFERROR(BK309/BK128*91.25,"n/a")</f>
        <v>38.4145291409107</v>
      </c>
      <c r="BL351" s="77" t="n">
        <f aca="false">IFERROR(BL309/BL128*365,"n/a")</f>
        <v>38.9914928425766</v>
      </c>
      <c r="BM351" s="77" t="n">
        <f aca="false">IFERROR(BM309/BM128*91.25,"n/a")</f>
        <v>39.4770530812442</v>
      </c>
      <c r="BN351" s="77" t="n">
        <f aca="false">IFERROR(BN309/BN128*91.25,"n/a")</f>
        <v>39.0256524651649</v>
      </c>
      <c r="BO351" s="77" t="n">
        <f aca="false">IFERROR(BO309/BO128*91.25,"n/a")</f>
        <v>38.6656933882064</v>
      </c>
      <c r="BP351" s="77" t="n">
        <f aca="false">IFERROR(BP309/BP128*91.25,"n/a")</f>
        <v>37.7480225927461</v>
      </c>
      <c r="BQ351" s="77" t="n">
        <f aca="false">IFERROR(BQ309/BQ128*365,"n/a")</f>
        <v>38.262388376328</v>
      </c>
      <c r="BR351" s="77" t="n">
        <f aca="false">IFERROR(BR309/BR128*91.25,"n/a")</f>
        <v>38.9874554344002</v>
      </c>
      <c r="BS351" s="77" t="n">
        <f aca="false">IFERROR(BS309/BS128*91.25,"n/a")</f>
        <v>39.1191222261228</v>
      </c>
      <c r="BT351" s="77" t="n">
        <f aca="false">IFERROR(BT309/BT128*91.25,"n/a")</f>
        <v>39.703050649656</v>
      </c>
      <c r="BU351" s="77" t="n">
        <f aca="false">IFERROR(BU309/BU128*91.25,"n/a")</f>
        <v>39.4093808383748</v>
      </c>
      <c r="BV351" s="77" t="n">
        <f aca="false">IFERROR(BV309/BV128*365,"n/a")</f>
        <v>39.5189013527638</v>
      </c>
      <c r="BW351" s="77" t="n">
        <f aca="false">IFERROR(BW309/BW128*91.25,"n/a")</f>
        <v>39.7654031774663</v>
      </c>
      <c r="BX351" s="77" t="n">
        <f aca="false">IFERROR(BX309/BX128*91.25,"n/a")</f>
        <v>38.1062107692554</v>
      </c>
      <c r="BY351" s="78"/>
      <c r="BZ351" s="78"/>
      <c r="CA351" s="79" t="n">
        <f aca="false">IFERROR(CA309/CA128*365,"n/a")</f>
        <v>44.4049580288809</v>
      </c>
      <c r="CB351" s="79" t="n">
        <f aca="false">CA351</f>
        <v>44.4049580288809</v>
      </c>
      <c r="CC351" s="79" t="n">
        <f aca="false">CB351</f>
        <v>44.4049580288809</v>
      </c>
      <c r="CD351" s="79" t="n">
        <f aca="false">CC351</f>
        <v>44.4049580288809</v>
      </c>
      <c r="CE351" s="79" t="n">
        <f aca="false">CD351</f>
        <v>44.4049580288809</v>
      </c>
      <c r="CF351" s="21" t="s">
        <v>555</v>
      </c>
    </row>
    <row r="352" customFormat="false" ht="15" hidden="true" customHeight="true" outlineLevel="1" collapsed="false">
      <c r="B352" s="29" t="s">
        <v>556</v>
      </c>
      <c r="C352" s="77" t="n">
        <f aca="false">IFERROR(C321/C129*365,"n/a")</f>
        <v>39.2653916869265</v>
      </c>
      <c r="D352" s="77" t="n">
        <f aca="false">IFERROR(D321/D129*365,"n/a")</f>
        <v>38.6297560984227</v>
      </c>
      <c r="E352" s="77" t="n">
        <f aca="false">IFERROR(E321/E129*365,"n/a")</f>
        <v>38.0862237790073</v>
      </c>
      <c r="F352" s="77" t="n">
        <f aca="false">IFERROR(F321/F129*365,"n/a")</f>
        <v>45.6867413328712</v>
      </c>
      <c r="G352" s="77" t="n">
        <f aca="false">IFERROR(G321/G129*365,"n/a")</f>
        <v>41.517704776734</v>
      </c>
      <c r="H352" s="77" t="n">
        <f aca="false">IFERROR(H321/H129*365,"n/a")</f>
        <v>40.4748303365284</v>
      </c>
      <c r="I352" s="77" t="n">
        <f aca="false">IFERROR(I321/I129*365,"n/a")</f>
        <v>49.7145940271259</v>
      </c>
      <c r="J352" s="77" t="n">
        <f aca="false">IFERROR(J321/J129*91.25,"n/a")</f>
        <v>42.8202801601823</v>
      </c>
      <c r="K352" s="77" t="n">
        <f aca="false">IFERROR(K321/K129*91.25,"n/a")</f>
        <v>40.9555085219231</v>
      </c>
      <c r="L352" s="77" t="n">
        <f aca="false">IFERROR(L321/L129*91.25,"n/a")</f>
        <v>38.4131341171149</v>
      </c>
      <c r="M352" s="77" t="n">
        <f aca="false">IFERROR(M321/M129*91.25,"n/a")</f>
        <v>35.5888203055904</v>
      </c>
      <c r="N352" s="77" t="n">
        <f aca="false">IFERROR(N321/N129*365,"n/a")</f>
        <v>36.1270882657053</v>
      </c>
      <c r="O352" s="77" t="n">
        <f aca="false">IFERROR(O321/O129*91.25,"n/a")</f>
        <v>33.0154745477285</v>
      </c>
      <c r="P352" s="77" t="n">
        <f aca="false">IFERROR(P321/P129*91.25,"n/a")</f>
        <v>36.7680737062206</v>
      </c>
      <c r="Q352" s="77" t="n">
        <f aca="false">IFERROR(Q321/Q129*91.25,"n/a")</f>
        <v>34.7118800130267</v>
      </c>
      <c r="R352" s="77" t="n">
        <f aca="false">IFERROR(R321/R129*91.25,"n/a")</f>
        <v>37.915196641976</v>
      </c>
      <c r="S352" s="77" t="n">
        <f aca="false">IFERROR(S321/S129*365,"n/a")</f>
        <v>38.705349142823</v>
      </c>
      <c r="T352" s="77" t="n">
        <f aca="false">IFERROR(T321/T129*91.25,"n/a")</f>
        <v>35.0558296546352</v>
      </c>
      <c r="U352" s="77" t="n">
        <f aca="false">IFERROR(U321/U129*91.25,"n/a")</f>
        <v>39.8320820879716</v>
      </c>
      <c r="V352" s="77" t="n">
        <f aca="false">IFERROR(V321/V129*91.25,"n/a")</f>
        <v>42.0657920973048</v>
      </c>
      <c r="W352" s="77" t="n">
        <f aca="false">IFERROR(W321/W129*91.25,"n/a")</f>
        <v>35.2842276439137</v>
      </c>
      <c r="X352" s="77" t="n">
        <f aca="false">IFERROR(X321/X129*365,"n/a")</f>
        <v>35.7141740890379</v>
      </c>
      <c r="Y352" s="77" t="n">
        <f aca="false">IFERROR(Y321/Y129*91.25,"n/a")</f>
        <v>35.3505102858018</v>
      </c>
      <c r="Z352" s="77" t="n">
        <f aca="false">IFERROR(Z321/Z129*91.25,"n/a")</f>
        <v>53.3158653684458</v>
      </c>
      <c r="AA352" s="77" t="n">
        <f aca="false">IFERROR(AA321/AA129*91.25,"n/a")</f>
        <v>35.463325658877</v>
      </c>
      <c r="AB352" s="77" t="n">
        <f aca="false">IFERROR(AB321/AB129*91.25,"n/a")</f>
        <v>37.1015623482882</v>
      </c>
      <c r="AC352" s="77" t="n">
        <f aca="false">IFERROR(AC321/AC129*365,"n/a")</f>
        <v>46.8441451040807</v>
      </c>
      <c r="AD352" s="77" t="n">
        <f aca="false">IFERROR(AD321/AD129*91.25,"n/a")</f>
        <v>35.12766172402</v>
      </c>
      <c r="AE352" s="77" t="n">
        <f aca="false">IFERROR(AE321/AE129*91.25,"n/a")</f>
        <v>31.8157712494533</v>
      </c>
      <c r="AF352" s="77" t="n">
        <f aca="false">IFERROR(AF321/AF129*91.25,"n/a")</f>
        <v>36.3583838520432</v>
      </c>
      <c r="AG352" s="77" t="n">
        <f aca="false">IFERROR(AG321/AG129*91.25,"n/a")</f>
        <v>44.3289544852603</v>
      </c>
      <c r="AH352" s="77" t="n">
        <f aca="false">IFERROR(AH321/AH129*365,"n/a")</f>
        <v>44.6029318520025</v>
      </c>
      <c r="AI352" s="77" t="n">
        <f aca="false">IFERROR(AI321/AI129*91.25,"n/a")</f>
        <v>39.8154108120151</v>
      </c>
      <c r="AJ352" s="77" t="n">
        <f aca="false">IFERROR(AJ321/AJ129*91.25,"n/a")</f>
        <v>43.278876365131</v>
      </c>
      <c r="AK352" s="77" t="n">
        <f aca="false">IFERROR(AK321/AK129*91.25,"n/a")</f>
        <v>41.0972213165752</v>
      </c>
      <c r="AL352" s="77" t="n">
        <f aca="false">IFERROR(AL321/AL129*91.25,"n/a")</f>
        <v>44.1043034842237</v>
      </c>
      <c r="AM352" s="77" t="n">
        <f aca="false">IFERROR(AM321/AM129*365,"n/a")</f>
        <v>45.8484040919788</v>
      </c>
      <c r="AN352" s="77" t="n">
        <f aca="false">IFERROR(AN321/AN129*91.25,"n/a")</f>
        <v>42.1943412749254</v>
      </c>
      <c r="AO352" s="77" t="n">
        <f aca="false">IFERROR(AO321/AO129*91.25,"n/a")</f>
        <v>45.6607363275433</v>
      </c>
      <c r="AP352" s="77" t="n">
        <f aca="false">IFERROR(AP321/AP129*91.25,"n/a")</f>
        <v>46.8207264297124</v>
      </c>
      <c r="AQ352" s="77" t="n">
        <f aca="false">IFERROR(AQ321/AQ129*91.25,"n/a")</f>
        <v>48.9756340969109</v>
      </c>
      <c r="AR352" s="77" t="n">
        <f aca="false">IFERROR(AR321/AR129*365,"n/a")</f>
        <v>49.8612586076404</v>
      </c>
      <c r="AS352" s="77" t="n">
        <f aca="false">IFERROR(AS321/AS129*91.25,"n/a")</f>
        <v>44.5967052110313</v>
      </c>
      <c r="AT352" s="77" t="n">
        <f aca="false">IFERROR(AT321/AT129*91.25,"n/a")</f>
        <v>42.6635065736722</v>
      </c>
      <c r="AU352" s="77" t="n">
        <f aca="false">IFERROR(AU321/AU129*91.25,"n/a")</f>
        <v>44.4728451947463</v>
      </c>
      <c r="AV352" s="77" t="n">
        <f aca="false">IFERROR(AV321/AV129*91.25,"n/a")</f>
        <v>31.3364747753737</v>
      </c>
      <c r="AW352" s="77" t="n">
        <f aca="false">IFERROR(AW321/AW129*365,"n/a")</f>
        <v>32.3941164694422</v>
      </c>
      <c r="AX352" s="77" t="n">
        <f aca="false">IFERROR(AX321/AX129*91.25,"n/a")</f>
        <v>30.937961606451</v>
      </c>
      <c r="AY352" s="77" t="n">
        <f aca="false">IFERROR(AY321/AY129*91.25,"n/a")</f>
        <v>33.0177024071479</v>
      </c>
      <c r="AZ352" s="77" t="n">
        <f aca="false">IFERROR(AZ321/AZ129*91.25,"n/a")</f>
        <v>32.909385444214</v>
      </c>
      <c r="BA352" s="77" t="n">
        <f aca="false">IFERROR(BA321/BA129*91.25,"n/a")</f>
        <v>36.5485617286782</v>
      </c>
      <c r="BB352" s="77" t="n">
        <f aca="false">IFERROR(BB321/BB129*365,"n/a")</f>
        <v>39.2429983629231</v>
      </c>
      <c r="BC352" s="77" t="n">
        <f aca="false">IFERROR(BC321/BC129*91.25,"n/a")</f>
        <v>39.0237658637842</v>
      </c>
      <c r="BD352" s="77" t="n">
        <f aca="false">IFERROR(BD321/BD129*91.25,"n/a")</f>
        <v>41.6555664532876</v>
      </c>
      <c r="BE352" s="77" t="n">
        <f aca="false">IFERROR(BE321/BE129*91.25,"n/a")</f>
        <v>41.3569377108749</v>
      </c>
      <c r="BF352" s="77" t="n">
        <f aca="false">IFERROR(BF321/BF129*91.25,"n/a")</f>
        <v>51.2173223793535</v>
      </c>
      <c r="BG352" s="77" t="n">
        <f aca="false">IFERROR(BG321/BG129*365,"n/a")</f>
        <v>53.7673142971007</v>
      </c>
      <c r="BH352" s="77" t="n">
        <f aca="false">IFERROR(BH321/BH129*91.25,"n/a")</f>
        <v>41.8664920427468</v>
      </c>
      <c r="BI352" s="77" t="n">
        <f aca="false">IFERROR(BI321/BI129*91.25,"n/a")</f>
        <v>41.093666090672</v>
      </c>
      <c r="BJ352" s="77" t="n">
        <f aca="false">IFERROR(BJ321/BJ129*91.25,"n/a")</f>
        <v>45.7947203352474</v>
      </c>
      <c r="BK352" s="77" t="n">
        <f aca="false">IFERROR(BK321/BK129*91.25,"n/a")</f>
        <v>49.0323169150734</v>
      </c>
      <c r="BL352" s="77" t="n">
        <f aca="false">IFERROR(BL321/BL129*365,"n/a")</f>
        <v>49.4246880554443</v>
      </c>
      <c r="BM352" s="77" t="n">
        <f aca="false">IFERROR(BM321/BM129*91.25,"n/a")</f>
        <v>44.0543175424769</v>
      </c>
      <c r="BN352" s="77" t="n">
        <f aca="false">IFERROR(BN321/BN129*91.25,"n/a")</f>
        <v>46.5103789573197</v>
      </c>
      <c r="BO352" s="77" t="n">
        <f aca="false">IFERROR(BO321/BO129*91.25,"n/a")</f>
        <v>47.9498712501274</v>
      </c>
      <c r="BP352" s="77" t="n">
        <f aca="false">IFERROR(BP321/BP129*91.25,"n/a")</f>
        <v>43.9019060987006</v>
      </c>
      <c r="BQ352" s="77" t="n">
        <f aca="false">IFERROR(BQ321/BQ129*365,"n/a")</f>
        <v>44.8100133173951</v>
      </c>
      <c r="BR352" s="77" t="n">
        <f aca="false">IFERROR(BR321/BR129*91.25,"n/a")</f>
        <v>44.2019953648748</v>
      </c>
      <c r="BS352" s="77" t="n">
        <f aca="false">IFERROR(BS321/BS129*91.25,"n/a")</f>
        <v>47.8168954171175</v>
      </c>
      <c r="BT352" s="77" t="n">
        <f aca="false">IFERROR(BT321/BT129*91.25,"n/a")</f>
        <v>49.2470993791822</v>
      </c>
      <c r="BU352" s="77" t="n">
        <f aca="false">IFERROR(BU321/BU129*91.25,"n/a")</f>
        <v>51.1841954319986</v>
      </c>
      <c r="BV352" s="77" t="n">
        <f aca="false">IFERROR(BV321/BV129*365,"n/a")</f>
        <v>51.198587926565</v>
      </c>
      <c r="BW352" s="77" t="n">
        <f aca="false">IFERROR(BW321/BW129*91.25,"n/a")</f>
        <v>47.7618444727386</v>
      </c>
      <c r="BX352" s="77" t="n">
        <f aca="false">IFERROR(BX321/BX129*91.25,"n/a")</f>
        <v>47.6096585220424</v>
      </c>
      <c r="BY352" s="78"/>
      <c r="BZ352" s="78"/>
      <c r="CA352" s="80" t="n">
        <v>51.2</v>
      </c>
      <c r="CB352" s="80" t="n">
        <v>51.2</v>
      </c>
      <c r="CC352" s="80" t="n">
        <v>51.2</v>
      </c>
      <c r="CD352" s="80" t="n">
        <v>51.2</v>
      </c>
      <c r="CE352" s="80" t="n">
        <v>51.2</v>
      </c>
      <c r="CF352" s="21" t="s">
        <v>557</v>
      </c>
    </row>
    <row r="353" customFormat="false" ht="15" hidden="true" customHeight="true" outlineLevel="1" collapsed="false">
      <c r="B353" s="29" t="s">
        <v>558</v>
      </c>
      <c r="C353" s="38" t="n">
        <f aca="false">IFERROR(C323/(C128*1),"n/a")</f>
        <v>0.07012763933941</v>
      </c>
      <c r="D353" s="38" t="n">
        <f aca="false">IFERROR(D323/(D128*1),"n/a")</f>
        <v>0.0725874010605702</v>
      </c>
      <c r="E353" s="38" t="n">
        <f aca="false">IFERROR(E323/(E128*1),"n/a")</f>
        <v>0.0907200150914203</v>
      </c>
      <c r="F353" s="38" t="n">
        <f aca="false">IFERROR(F323/(F128*1),"n/a")</f>
        <v>0.0783788388885951</v>
      </c>
      <c r="G353" s="38" t="n">
        <f aca="false">IFERROR(G323/(G128*1),"n/a")</f>
        <v>0.0750706380038143</v>
      </c>
      <c r="H353" s="38" t="n">
        <f aca="false">IFERROR(H323/(H128*1),"n/a")</f>
        <v>0.07057619210212</v>
      </c>
      <c r="I353" s="38" t="n">
        <f aca="false">IFERROR(I323/(I128*1),"n/a")</f>
        <v>0.0733194994276663</v>
      </c>
      <c r="J353" s="38" t="n">
        <f aca="false">IFERROR(J323/(J128*4),"n/a")</f>
        <v>0.0656785406275284</v>
      </c>
      <c r="K353" s="38" t="n">
        <f aca="false">IFERROR(K323/(K128*4),"n/a")</f>
        <v>0.064968296684996</v>
      </c>
      <c r="L353" s="38" t="n">
        <f aca="false">IFERROR(L323/(L128*4),"n/a")</f>
        <v>0.0669870305730612</v>
      </c>
      <c r="M353" s="38" t="n">
        <f aca="false">IFERROR(M323/(M128*4),"n/a")</f>
        <v>0.0612428659928336</v>
      </c>
      <c r="N353" s="38" t="n">
        <f aca="false">IFERROR(N323/(N128*1),"n/a")</f>
        <v>0.0617100313926571</v>
      </c>
      <c r="O353" s="38" t="n">
        <f aca="false">IFERROR(O323/(O128*4),"n/a")</f>
        <v>0.0646052604263976</v>
      </c>
      <c r="P353" s="38" t="n">
        <f aca="false">IFERROR(P323/(P128*4),"n/a")</f>
        <v>0.0625203690539039</v>
      </c>
      <c r="Q353" s="38" t="n">
        <f aca="false">IFERROR(Q323/(Q128*4),"n/a")</f>
        <v>0.0667911137295513</v>
      </c>
      <c r="R353" s="38" t="n">
        <f aca="false">IFERROR(R323/(R128*4),"n/a")</f>
        <v>0.0574610471425069</v>
      </c>
      <c r="S353" s="38" t="n">
        <f aca="false">IFERROR(S323/(S128*1),"n/a")</f>
        <v>0.0581709204556058</v>
      </c>
      <c r="T353" s="38" t="n">
        <f aca="false">IFERROR(T323/(T128*4),"n/a")</f>
        <v>0.0617862082592373</v>
      </c>
      <c r="U353" s="38" t="n">
        <f aca="false">IFERROR(U323/(U128*4),"n/a")</f>
        <v>0.0623498998705092</v>
      </c>
      <c r="V353" s="38" t="n">
        <f aca="false">IFERROR(V323/(V128*4),"n/a")</f>
        <v>0.0685990020768773</v>
      </c>
      <c r="W353" s="38" t="n">
        <f aca="false">IFERROR(W323/(W128*4),"n/a")</f>
        <v>0.0639258032436172</v>
      </c>
      <c r="X353" s="38" t="n">
        <f aca="false">IFERROR(X323/(X128*1),"n/a")</f>
        <v>0.0642416450863771</v>
      </c>
      <c r="Y353" s="38" t="n">
        <f aca="false">IFERROR(Y323/(Y128*4),"n/a")</f>
        <v>0.0639134996502681</v>
      </c>
      <c r="Z353" s="38" t="n">
        <f aca="false">IFERROR(Z323/(Z128*4),"n/a")</f>
        <v>0.0925369585742381</v>
      </c>
      <c r="AA353" s="38" t="n">
        <f aca="false">IFERROR(AA323/(AA128*4),"n/a")</f>
        <v>0.0615034997907684</v>
      </c>
      <c r="AB353" s="38" t="n">
        <f aca="false">IFERROR(AB323/(AB128*4),"n/a")</f>
        <v>0.0642276244442707</v>
      </c>
      <c r="AC353" s="38" t="n">
        <f aca="false">IFERROR(AC323/(AC128*1),"n/a")</f>
        <v>0.079802409043258</v>
      </c>
      <c r="AD353" s="38" t="n">
        <f aca="false">IFERROR(AD323/(AD128*4),"n/a")</f>
        <v>0.0597019883328171</v>
      </c>
      <c r="AE353" s="38" t="n">
        <f aca="false">IFERROR(AE323/(AE128*4),"n/a")</f>
        <v>0.0575510667600115</v>
      </c>
      <c r="AF353" s="38" t="n">
        <f aca="false">IFERROR(AF323/(AF128*4),"n/a")</f>
        <v>0.0719944748267271</v>
      </c>
      <c r="AG353" s="38" t="n">
        <f aca="false">IFERROR(AG323/(AG128*4),"n/a")</f>
        <v>0.060068485751939</v>
      </c>
      <c r="AH353" s="38" t="n">
        <f aca="false">IFERROR(AH323/(AH128*1),"n/a")</f>
        <v>0.0600452911226635</v>
      </c>
      <c r="AI353" s="38" t="n">
        <f aca="false">IFERROR(AI323/(AI128*4),"n/a")</f>
        <v>0.0571298385887236</v>
      </c>
      <c r="AJ353" s="38" t="n">
        <f aca="false">IFERROR(AJ323/(AJ128*4),"n/a")</f>
        <v>0.0519920675372268</v>
      </c>
      <c r="AK353" s="38" t="n">
        <f aca="false">IFERROR(AK323/(AK128*4),"n/a")</f>
        <v>0.0560781275612555</v>
      </c>
      <c r="AL353" s="38" t="n">
        <f aca="false">IFERROR(AL323/(AL128*4),"n/a")</f>
        <v>0.0573703448909911</v>
      </c>
      <c r="AM353" s="38" t="n">
        <f aca="false">IFERROR(AM323/(AM128*1),"n/a")</f>
        <v>0.0588152488522613</v>
      </c>
      <c r="AN353" s="38" t="n">
        <f aca="false">IFERROR(AN323/(AN128*4),"n/a")</f>
        <v>0.0531693176404044</v>
      </c>
      <c r="AO353" s="38" t="n">
        <f aca="false">IFERROR(AO323/(AO128*4),"n/a")</f>
        <v>0.0501004279229783</v>
      </c>
      <c r="AP353" s="38" t="n">
        <f aca="false">IFERROR(AP323/(AP128*4),"n/a")</f>
        <v>0.0529470548920878</v>
      </c>
      <c r="AQ353" s="38" t="n">
        <f aca="false">IFERROR(AQ323/(AQ128*4),"n/a")</f>
        <v>0.0516366119416136</v>
      </c>
      <c r="AR353" s="38" t="n">
        <f aca="false">IFERROR(AR323/(AR128*1),"n/a")</f>
        <v>0.052203517782373</v>
      </c>
      <c r="AS353" s="38" t="n">
        <f aca="false">IFERROR(AS323/(AS128*4),"n/a")</f>
        <v>0.0549514050535195</v>
      </c>
      <c r="AT353" s="38" t="n">
        <f aca="false">IFERROR(AT323/(AT128*4),"n/a")</f>
        <v>0.0653503034962957</v>
      </c>
      <c r="AU353" s="38" t="n">
        <f aca="false">IFERROR(AU323/(AU128*4),"n/a")</f>
        <v>0.0720183555563232</v>
      </c>
      <c r="AV353" s="38" t="n">
        <f aca="false">IFERROR(AV323/(AV128*4),"n/a")</f>
        <v>0.0723981245141252</v>
      </c>
      <c r="AW353" s="38" t="n">
        <f aca="false">IFERROR(AW323/(AW128*1),"n/a")</f>
        <v>0.0743525052377988</v>
      </c>
      <c r="AX353" s="38" t="n">
        <f aca="false">IFERROR(AX323/(AX128*4),"n/a")</f>
        <v>0.0715412961283492</v>
      </c>
      <c r="AY353" s="38" t="n">
        <f aca="false">IFERROR(AY323/(AY128*4),"n/a")</f>
        <v>0.0670390323945471</v>
      </c>
      <c r="AZ353" s="38" t="n">
        <f aca="false">IFERROR(AZ323/(AZ128*4),"n/a")</f>
        <v>0.0702088008274646</v>
      </c>
      <c r="BA353" s="38" t="n">
        <f aca="false">IFERROR(BA323/(BA128*4),"n/a")</f>
        <v>0.0681202399282407</v>
      </c>
      <c r="BB353" s="38" t="n">
        <f aca="false">IFERROR(BB323/(BB128*1),"n/a")</f>
        <v>0.0719509064741933</v>
      </c>
      <c r="BC353" s="38" t="n">
        <f aca="false">IFERROR(BC323/(BC128*4),"n/a")</f>
        <v>0.0601808346823548</v>
      </c>
      <c r="BD353" s="38" t="n">
        <f aca="false">IFERROR(BD323/(BD128*4),"n/a")</f>
        <v>0.0574924233457294</v>
      </c>
      <c r="BE353" s="38" t="n">
        <f aca="false">IFERROR(BE323/(BE128*4),"n/a")</f>
        <v>0.0608957650217994</v>
      </c>
      <c r="BF353" s="38" t="n">
        <f aca="false">IFERROR(BF323/(BF128*4),"n/a")</f>
        <v>0.0576749009389071</v>
      </c>
      <c r="BG353" s="38" t="n">
        <f aca="false">IFERROR(BG323/(BG128*1),"n/a")</f>
        <v>0.0597969261462267</v>
      </c>
      <c r="BH353" s="38" t="n">
        <f aca="false">IFERROR(BH323/(BH128*4),"n/a")</f>
        <v>0.0513278589931192</v>
      </c>
      <c r="BI353" s="38" t="n">
        <f aca="false">IFERROR(BI323/(BI128*4),"n/a")</f>
        <v>0.0560276731177901</v>
      </c>
      <c r="BJ353" s="38" t="n">
        <f aca="false">IFERROR(BJ323/(BJ128*4),"n/a")</f>
        <v>0.0540546430937685</v>
      </c>
      <c r="BK353" s="38" t="n">
        <f aca="false">IFERROR(BK323/(BK128*4),"n/a")</f>
        <v>0.0640383295613254</v>
      </c>
      <c r="BL353" s="38" t="n">
        <f aca="false">IFERROR(BL323/(BL128*1),"n/a")</f>
        <v>0.0650001477196757</v>
      </c>
      <c r="BM353" s="38" t="n">
        <f aca="false">IFERROR(BM323/(BM128*4),"n/a")</f>
        <v>0.0611847472780055</v>
      </c>
      <c r="BN353" s="38" t="n">
        <f aca="false">IFERROR(BN323/(BN128*4),"n/a")</f>
        <v>0.0633551970806426</v>
      </c>
      <c r="BO353" s="38" t="n">
        <f aca="false">IFERROR(BO323/(BO128*4),"n/a")</f>
        <v>0.0590917079754098</v>
      </c>
      <c r="BP353" s="38" t="n">
        <f aca="false">IFERROR(BP323/(BP128*4),"n/a")</f>
        <v>0.0814968745064224</v>
      </c>
      <c r="BQ353" s="38" t="n">
        <f aca="false">IFERROR(BQ323/(BQ128*1),"n/a")</f>
        <v>0.0826073751587937</v>
      </c>
      <c r="BR353" s="38" t="n">
        <f aca="false">IFERROR(BR323/(BR128*4),"n/a")</f>
        <v>0.0774424910779041</v>
      </c>
      <c r="BS353" s="38" t="n">
        <f aca="false">IFERROR(BS323/(BS128*4),"n/a")</f>
        <v>0.0732794846814884</v>
      </c>
      <c r="BT353" s="38" t="n">
        <f aca="false">IFERROR(BT323/(BT128*4),"n/a")</f>
        <v>0.0775040494179495</v>
      </c>
      <c r="BU353" s="38" t="n">
        <f aca="false">IFERROR(BU323/(BU128*4),"n/a")</f>
        <v>0.0853626755251957</v>
      </c>
      <c r="BV353" s="38" t="n">
        <f aca="false">IFERROR(BV323/(BV128*1),"n/a")</f>
        <v>0.0855999023969266</v>
      </c>
      <c r="BW353" s="38" t="n">
        <f aca="false">IFERROR(BW323/(BW128*4),"n/a")</f>
        <v>0.078566951161948</v>
      </c>
      <c r="BX353" s="38" t="n">
        <f aca="false">IFERROR(BX323/(BX128*4),"n/a")</f>
        <v>0.076234274031887</v>
      </c>
      <c r="BY353" s="39"/>
      <c r="BZ353" s="39"/>
      <c r="CA353" s="42" t="n">
        <v>0.0856</v>
      </c>
      <c r="CB353" s="42" t="n">
        <v>0.0856</v>
      </c>
      <c r="CC353" s="42" t="n">
        <v>0.0856</v>
      </c>
      <c r="CD353" s="42" t="n">
        <v>0.0856</v>
      </c>
      <c r="CE353" s="42" t="n">
        <v>0.0856</v>
      </c>
      <c r="CF353" s="21" t="s">
        <v>559</v>
      </c>
    </row>
    <row r="354" customFormat="false" ht="15" hidden="true" customHeight="true" outlineLevel="1" collapsed="false">
      <c r="B354" s="29" t="s">
        <v>560</v>
      </c>
      <c r="C354" s="38" t="n">
        <f aca="false">IFERROR(C324/(C128*1),"n/a")</f>
        <v>0.0390135791177091</v>
      </c>
      <c r="D354" s="38" t="n">
        <f aca="false">IFERROR(D324/(D128*1),"n/a")</f>
        <v>0.0459802971390895</v>
      </c>
      <c r="E354" s="38" t="n">
        <f aca="false">IFERROR(E324/(E128*1),"n/a")</f>
        <v>0.043534555446202</v>
      </c>
      <c r="F354" s="38" t="n">
        <f aca="false">IFERROR(F324/(F128*1),"n/a")</f>
        <v>0.0420835106467807</v>
      </c>
      <c r="G354" s="38" t="n">
        <f aca="false">IFERROR(G324/(G128*1),"n/a")</f>
        <v>0.0410355845811009</v>
      </c>
      <c r="H354" s="38" t="n">
        <f aca="false">IFERROR(H324/(H128*1),"n/a")</f>
        <v>0.0429755953037334</v>
      </c>
      <c r="I354" s="38" t="n">
        <f aca="false">IFERROR(I324/(I128*1),"n/a")</f>
        <v>0.042085485352229</v>
      </c>
      <c r="J354" s="38" t="n">
        <f aca="false">IFERROR(J324/(J128*4),"n/a")</f>
        <v>0.0382591822037289</v>
      </c>
      <c r="K354" s="38" t="n">
        <f aca="false">IFERROR(K324/(K128*4),"n/a")</f>
        <v>0.0362953404402705</v>
      </c>
      <c r="L354" s="38" t="n">
        <f aca="false">IFERROR(L324/(L128*4),"n/a")</f>
        <v>0.0340735357771133</v>
      </c>
      <c r="M354" s="38" t="n">
        <f aca="false">IFERROR(M324/(M128*4),"n/a")</f>
        <v>0.0370037066994322</v>
      </c>
      <c r="N354" s="38" t="n">
        <f aca="false">IFERROR(N324/(N128*1),"n/a")</f>
        <v>0.0372859738852496</v>
      </c>
      <c r="O354" s="38" t="n">
        <f aca="false">IFERROR(O324/(O128*4),"n/a")</f>
        <v>0.0372807290693571</v>
      </c>
      <c r="P354" s="38" t="n">
        <f aca="false">IFERROR(P324/(P128*4),"n/a")</f>
        <v>0.0371298073349559</v>
      </c>
      <c r="Q354" s="38" t="n">
        <f aca="false">IFERROR(Q324/(Q128*4),"n/a")</f>
        <v>0.0358795428057034</v>
      </c>
      <c r="R354" s="38" t="n">
        <f aca="false">IFERROR(R324/(R128*4),"n/a")</f>
        <v>0.0384421327485258</v>
      </c>
      <c r="S354" s="38" t="n">
        <f aca="false">IFERROR(S324/(S128*1),"n/a")</f>
        <v>0.038917046546548</v>
      </c>
      <c r="T354" s="38" t="n">
        <f aca="false">IFERROR(T324/(T128*4),"n/a")</f>
        <v>0.0413347164591978</v>
      </c>
      <c r="U354" s="38" t="n">
        <f aca="false">IFERROR(U324/(U128*4),"n/a")</f>
        <v>0.0397897092480501</v>
      </c>
      <c r="V354" s="38" t="n">
        <f aca="false">IFERROR(V324/(V128*4),"n/a")</f>
        <v>0.0378245348926338</v>
      </c>
      <c r="W354" s="38" t="n">
        <f aca="false">IFERROR(W324/(W128*4),"n/a")</f>
        <v>0.0424622652682555</v>
      </c>
      <c r="X354" s="38" t="n">
        <f aca="false">IFERROR(X324/(X128*1),"n/a")</f>
        <v>0.0426720609912591</v>
      </c>
      <c r="Y354" s="38" t="n">
        <f aca="false">IFERROR(Y324/(Y128*4),"n/a")</f>
        <v>0.0439530387813787</v>
      </c>
      <c r="Z354" s="38" t="n">
        <f aca="false">IFERROR(Z324/(Z128*4),"n/a")</f>
        <v>0.0461276127310383</v>
      </c>
      <c r="AA354" s="38" t="n">
        <f aca="false">IFERROR(AA324/(AA128*4),"n/a")</f>
        <v>0.0301229028446285</v>
      </c>
      <c r="AB354" s="38" t="n">
        <f aca="false">IFERROR(AB324/(AB128*4),"n/a")</f>
        <v>0.0319659991875051</v>
      </c>
      <c r="AC354" s="38" t="n">
        <f aca="false">IFERROR(AC324/(AC128*1),"n/a")</f>
        <v>0.0397175477796344</v>
      </c>
      <c r="AD354" s="38" t="n">
        <f aca="false">IFERROR(AD324/(AD128*4),"n/a")</f>
        <v>0.0318476430127943</v>
      </c>
      <c r="AE354" s="38" t="n">
        <f aca="false">IFERROR(AE324/(AE128*4),"n/a")</f>
        <v>0.0297877028060454</v>
      </c>
      <c r="AF354" s="38" t="n">
        <f aca="false">IFERROR(AF324/(AF128*4),"n/a")</f>
        <v>0.0295875681114782</v>
      </c>
      <c r="AG354" s="38" t="n">
        <f aca="false">IFERROR(AG324/(AG128*4),"n/a")</f>
        <v>0.0313688508652538</v>
      </c>
      <c r="AH354" s="38" t="n">
        <f aca="false">IFERROR(AH324/(AH128*1),"n/a")</f>
        <v>0.031356738209882</v>
      </c>
      <c r="AI354" s="38" t="n">
        <f aca="false">IFERROR(AI324/(AI128*4),"n/a")</f>
        <v>0.0343223717274594</v>
      </c>
      <c r="AJ354" s="38" t="n">
        <f aca="false">IFERROR(AJ324/(AJ128*4),"n/a")</f>
        <v>0.0327554823995458</v>
      </c>
      <c r="AK354" s="38" t="n">
        <f aca="false">IFERROR(AK324/(AK128*4),"n/a")</f>
        <v>0.0318015236786849</v>
      </c>
      <c r="AL354" s="38" t="n">
        <f aca="false">IFERROR(AL324/(AL128*4),"n/a")</f>
        <v>0.035522995374612</v>
      </c>
      <c r="AM354" s="38" t="n">
        <f aca="false">IFERROR(AM324/(AM128*1),"n/a")</f>
        <v>0.036417661718879</v>
      </c>
      <c r="AN354" s="38" t="n">
        <f aca="false">IFERROR(AN324/(AN128*4),"n/a")</f>
        <v>0.0365468003924036</v>
      </c>
      <c r="AO354" s="38" t="n">
        <f aca="false">IFERROR(AO324/(AO128*4),"n/a")</f>
        <v>0.0363966344416302</v>
      </c>
      <c r="AP354" s="38" t="n">
        <f aca="false">IFERROR(AP324/(AP128*4),"n/a")</f>
        <v>0.0355194613025366</v>
      </c>
      <c r="AQ354" s="38" t="n">
        <f aca="false">IFERROR(AQ324/(AQ128*4),"n/a")</f>
        <v>0.0397300581514876</v>
      </c>
      <c r="AR354" s="38" t="n">
        <f aca="false">IFERROR(AR324/(AR128*1),"n/a")</f>
        <v>0.0401662448254943</v>
      </c>
      <c r="AS354" s="38" t="n">
        <f aca="false">IFERROR(AS324/(AS128*4),"n/a")</f>
        <v>0.0389432447700539</v>
      </c>
      <c r="AT354" s="38" t="n">
        <f aca="false">IFERROR(AT324/(AT128*4),"n/a")</f>
        <v>0.041063133049774</v>
      </c>
      <c r="AU354" s="38" t="n">
        <f aca="false">IFERROR(AU324/(AU128*4),"n/a")</f>
        <v>0.0389828880099485</v>
      </c>
      <c r="AV354" s="38" t="n">
        <f aca="false">IFERROR(AV324/(AV128*4),"n/a")</f>
        <v>0.0417657487818711</v>
      </c>
      <c r="AW354" s="38" t="n">
        <f aca="false">IFERROR(AW324/(AW128*1),"n/a")</f>
        <v>0.0428932113353128</v>
      </c>
      <c r="AX354" s="38" t="n">
        <f aca="false">IFERROR(AX324/(AX128*4),"n/a")</f>
        <v>0.0436465125341884</v>
      </c>
      <c r="AY354" s="38" t="n">
        <f aca="false">IFERROR(AY324/(AY128*4),"n/a")</f>
        <v>0.0407863847852348</v>
      </c>
      <c r="AZ354" s="38" t="n">
        <f aca="false">IFERROR(AZ324/(AZ128*4),"n/a")</f>
        <v>0.0397790025845747</v>
      </c>
      <c r="BA354" s="38" t="n">
        <f aca="false">IFERROR(BA324/(BA128*4),"n/a")</f>
        <v>0.0421284242811911</v>
      </c>
      <c r="BB354" s="38" t="n">
        <f aca="false">IFERROR(BB324/(BB128*1),"n/a")</f>
        <v>0.0444974697469389</v>
      </c>
      <c r="BC354" s="38" t="n">
        <f aca="false">IFERROR(BC324/(BC128*4),"n/a")</f>
        <v>0.0446056352144716</v>
      </c>
      <c r="BD354" s="38" t="n">
        <f aca="false">IFERROR(BD324/(BD128*4),"n/a")</f>
        <v>0.0420774759350046</v>
      </c>
      <c r="BE354" s="38" t="n">
        <f aca="false">IFERROR(BE324/(BE128*4),"n/a")</f>
        <v>0.0406968733974939</v>
      </c>
      <c r="BF354" s="38" t="n">
        <f aca="false">IFERROR(BF324/(BF128*4),"n/a")</f>
        <v>0.0434657125845436</v>
      </c>
      <c r="BG354" s="38" t="n">
        <f aca="false">IFERROR(BG324/(BG128*1),"n/a")</f>
        <v>0.0450649409535045</v>
      </c>
      <c r="BH354" s="38" t="n">
        <f aca="false">IFERROR(BH324/(BH128*4),"n/a")</f>
        <v>0.0442794618056378</v>
      </c>
      <c r="BI354" s="38" t="n">
        <f aca="false">IFERROR(BI324/(BI128*4),"n/a")</f>
        <v>0.042230573030956</v>
      </c>
      <c r="BJ354" s="38" t="n">
        <f aca="false">IFERROR(BJ324/(BJ128*4),"n/a")</f>
        <v>0.0414973962873848</v>
      </c>
      <c r="BK354" s="38" t="n">
        <f aca="false">IFERROR(BK324/(BK128*4),"n/a")</f>
        <v>0.0436236772386053</v>
      </c>
      <c r="BL354" s="38" t="n">
        <f aca="false">IFERROR(BL324/(BL128*1),"n/a")</f>
        <v>0.0442788792900879</v>
      </c>
      <c r="BM354" s="38" t="n">
        <f aca="false">IFERROR(BM324/(BM128*4),"n/a")</f>
        <v>0.0446746271565959</v>
      </c>
      <c r="BN354" s="38" t="n">
        <f aca="false">IFERROR(BN324/(BN128*4),"n/a")</f>
        <v>0.0417702696331143</v>
      </c>
      <c r="BO354" s="38" t="n">
        <f aca="false">IFERROR(BO324/(BO128*4),"n/a")</f>
        <v>0.0403546009216212</v>
      </c>
      <c r="BP354" s="38" t="n">
        <f aca="false">IFERROR(BP324/(BP128*4),"n/a")</f>
        <v>0.0423067598172441</v>
      </c>
      <c r="BQ354" s="38" t="n">
        <f aca="false">IFERROR(BQ324/(BQ128*1),"n/a")</f>
        <v>0.0428832443101931</v>
      </c>
      <c r="BR354" s="38" t="n">
        <f aca="false">IFERROR(BR324/(BR128*4),"n/a")</f>
        <v>0.045371415902514</v>
      </c>
      <c r="BS354" s="38" t="n">
        <f aca="false">IFERROR(BS324/(BS128*4),"n/a")</f>
        <v>0.0428341894971241</v>
      </c>
      <c r="BT354" s="38" t="n">
        <f aca="false">IFERROR(BT324/(BT128*4),"n/a")</f>
        <v>0.0418547310462427</v>
      </c>
      <c r="BU354" s="38" t="n">
        <f aca="false">IFERROR(BU324/(BU128*4),"n/a")</f>
        <v>0.0438233628533362</v>
      </c>
      <c r="BV354" s="38" t="n">
        <f aca="false">IFERROR(BV324/(BV128*1),"n/a")</f>
        <v>0.0439451500303953</v>
      </c>
      <c r="BW354" s="38" t="n">
        <f aca="false">IFERROR(BW324/(BW128*4),"n/a")</f>
        <v>0.0448018902984058</v>
      </c>
      <c r="BX354" s="38" t="n">
        <f aca="false">IFERROR(BX324/(BX128*4),"n/a")</f>
        <v>0.0419564749784022</v>
      </c>
      <c r="BY354" s="39"/>
      <c r="BZ354" s="39"/>
      <c r="CA354" s="42" t="n">
        <v>0.0439</v>
      </c>
      <c r="CB354" s="42" t="n">
        <v>0.0439</v>
      </c>
      <c r="CC354" s="42" t="n">
        <v>0.0439</v>
      </c>
      <c r="CD354" s="42" t="n">
        <v>0.0439</v>
      </c>
      <c r="CE354" s="42" t="n">
        <v>0.0439</v>
      </c>
      <c r="CF354" s="21" t="s">
        <v>561</v>
      </c>
    </row>
    <row r="355" customFormat="false" ht="15" hidden="true" customHeight="true" outlineLevel="1" collapsed="false">
      <c r="B355" s="29" t="s">
        <v>562</v>
      </c>
      <c r="C355" s="26" t="n">
        <f aca="false">IF(ISNUMBER(C309),C309+N(C310)-C321-C323-C324,"n/a")</f>
        <v>-17.697</v>
      </c>
      <c r="D355" s="26" t="n">
        <f aca="false">IF(ISNUMBER(D309),D309+N(D310)-D321-D323-D324,"n/a")</f>
        <v>-12.997</v>
      </c>
      <c r="E355" s="26" t="n">
        <f aca="false">IF(ISNUMBER(E309),E309+N(E310)-E321-E323-E324,"n/a")</f>
        <v>-42.504</v>
      </c>
      <c r="F355" s="26" t="n">
        <f aca="false">IF(ISNUMBER(F309),F309+N(F310)-F321-F323-F324,"n/a")</f>
        <v>-39.972</v>
      </c>
      <c r="G355" s="26" t="n">
        <f aca="false">IF(ISNUMBER(G309),G309+N(G310)-G321-G323-G324,"n/a")</f>
        <v>-32.796</v>
      </c>
      <c r="H355" s="26" t="n">
        <f aca="false">IF(ISNUMBER(H309),H309+N(H310)-H321-H323-H324,"n/a")</f>
        <v>-29.419</v>
      </c>
      <c r="I355" s="26" t="n">
        <f aca="false">IF(ISNUMBER(I309),I309+N(I310)-I321-I323-I324,"n/a")</f>
        <v>17.255</v>
      </c>
      <c r="J355" s="26" t="n">
        <f aca="false">IF(ISNUMBER(J309),J309+N(J310)-J321-J323-J324,"n/a")</f>
        <v>-16.47</v>
      </c>
      <c r="K355" s="26" t="n">
        <f aca="false">IF(ISNUMBER(K309),K309+N(K310)-K321-K323-K324,"n/a")</f>
        <v>-2.2</v>
      </c>
      <c r="L355" s="26" t="n">
        <f aca="false">IF(ISNUMBER(L309),L309+N(L310)-L321-L323-L324,"n/a")</f>
        <v>-8.79999999999998</v>
      </c>
      <c r="M355" s="26" t="n">
        <f aca="false">IF(ISNUMBER(M309),M309+N(M310)-M321-M323-M324,"n/a")</f>
        <v>18.577</v>
      </c>
      <c r="N355" s="26" t="n">
        <f aca="false">IF(ISNUMBER(N309),N309+N(N310)-N321-N323-N324,"n/a")</f>
        <v>18.577</v>
      </c>
      <c r="O355" s="26" t="n">
        <f aca="false">IF(ISNUMBER(O309),O309+N(O310)-O321-O323-O324,"n/a")</f>
        <v>2.16600000000001</v>
      </c>
      <c r="P355" s="26" t="n">
        <f aca="false">IF(ISNUMBER(P309),P309+N(P310)-P321-P323-P324,"n/a")</f>
        <v>2.51600000000003</v>
      </c>
      <c r="Q355" s="26" t="n">
        <f aca="false">IF(ISNUMBER(Q309),Q309+N(Q310)-Q321-Q323-Q324,"n/a")</f>
        <v>9.43000000000001</v>
      </c>
      <c r="R355" s="26" t="n">
        <f aca="false">IF(ISNUMBER(R309),R309+N(R310)-R321-R323-R324,"n/a")</f>
        <v>29.212</v>
      </c>
      <c r="S355" s="26" t="n">
        <f aca="false">IF(ISNUMBER(S309),S309+N(S310)-S321-S323-S324,"n/a")</f>
        <v>29.212</v>
      </c>
      <c r="T355" s="26" t="n">
        <f aca="false">IF(ISNUMBER(T309),T309+N(T310)-T321-T323-T324,"n/a")</f>
        <v>3.98299999999999</v>
      </c>
      <c r="U355" s="26" t="n">
        <f aca="false">IF(ISNUMBER(U309),U309+N(U310)-U321-U323-U324,"n/a")</f>
        <v>-20.116</v>
      </c>
      <c r="V355" s="26" t="n">
        <f aca="false">IF(ISNUMBER(V309),V309+N(V310)-V321-V323-V324,"n/a")</f>
        <v>-34.601</v>
      </c>
      <c r="W355" s="26" t="n">
        <f aca="false">IF(ISNUMBER(W309),W309+N(W310)-W321-W323-W324,"n/a")</f>
        <v>9.87999999999995</v>
      </c>
      <c r="X355" s="26" t="n">
        <f aca="false">IF(ISNUMBER(X309),X309+N(X310)-X321-X323-X324,"n/a")</f>
        <v>9.87999999999995</v>
      </c>
      <c r="Y355" s="26" t="n">
        <f aca="false">IF(ISNUMBER(Y309),Y309+N(Y310)-Y321-Y323-Y324,"n/a")</f>
        <v>-21.436</v>
      </c>
      <c r="Z355" s="26" t="n">
        <f aca="false">IF(ISNUMBER(Z309),Z309+N(Z310)-Z321-Z323-Z324,"n/a")</f>
        <v>31.6379999999999</v>
      </c>
      <c r="AA355" s="26" t="n">
        <f aca="false">IF(ISNUMBER(AA309),AA309+N(AA310)-AA321-AA323-AA324,"n/a")</f>
        <v>20.373</v>
      </c>
      <c r="AB355" s="26" t="n">
        <f aca="false">IF(ISNUMBER(AB309),AB309+N(AB310)-AB321-AB323-AB324,"n/a")</f>
        <v>23.4510000000001</v>
      </c>
      <c r="AC355" s="26" t="n">
        <f aca="false">IF(ISNUMBER(AC309),AC309+N(AC310)-AC321-AC323-AC324,"n/a")</f>
        <v>23.4510000000001</v>
      </c>
      <c r="AD355" s="26" t="n">
        <f aca="false">IF(ISNUMBER(AD309),AD309+N(AD310)-AD321-AD323-AD324,"n/a")</f>
        <v>-38.422</v>
      </c>
      <c r="AE355" s="26" t="n">
        <f aca="false">IF(ISNUMBER(AE309),AE309+N(AE310)-AE321-AE323-AE324,"n/a")</f>
        <v>-0.38599999999991</v>
      </c>
      <c r="AF355" s="26" t="n">
        <f aca="false">IF(ISNUMBER(AF309),AF309+N(AF310)-AF321-AF323-AF324,"n/a")</f>
        <v>-69.5070000000001</v>
      </c>
      <c r="AG355" s="26" t="n">
        <f aca="false">IF(ISNUMBER(AG309),AG309+N(AG310)-AG321-AG323-AG324,"n/a")</f>
        <v>-10.706</v>
      </c>
      <c r="AH355" s="26" t="n">
        <f aca="false">IF(ISNUMBER(AH309),AH309+N(AH310)-AH321-AH323-AH324,"n/a")</f>
        <v>-10.706</v>
      </c>
      <c r="AI355" s="26" t="n">
        <f aca="false">IF(ISNUMBER(AI309),AI309+N(AI310)-AI321-AI323-AI324,"n/a")</f>
        <v>47.148</v>
      </c>
      <c r="AJ355" s="26" t="n">
        <f aca="false">IF(ISNUMBER(AJ309),AJ309+N(AJ310)-AJ321-AJ323-AJ324,"n/a")</f>
        <v>8.36700000000005</v>
      </c>
      <c r="AK355" s="26" t="n">
        <f aca="false">IF(ISNUMBER(AK309),AK309+N(AK310)-AK321-AK323-AK324,"n/a")</f>
        <v>-3.20000000000007</v>
      </c>
      <c r="AL355" s="26" t="n">
        <f aca="false">IF(ISNUMBER(AL309),AL309+N(AL310)-AL321-AL323-AL324,"n/a")</f>
        <v>-55.195</v>
      </c>
      <c r="AM355" s="26" t="n">
        <f aca="false">IF(ISNUMBER(AM309),AM309+N(AM310)-AM321-AM323-AM324,"n/a")</f>
        <v>-55.195</v>
      </c>
      <c r="AN355" s="26" t="n">
        <f aca="false">IF(ISNUMBER(AN309),AN309+N(AN310)-AN321-AN323-AN324,"n/a")</f>
        <v>-42.542</v>
      </c>
      <c r="AO355" s="26" t="n">
        <f aca="false">IF(ISNUMBER(AO309),AO309+N(AO310)-AO321-AO323-AO324,"n/a")</f>
        <v>-100.723</v>
      </c>
      <c r="AP355" s="26" t="n">
        <f aca="false">IF(ISNUMBER(AP309),AP309+N(AP310)-AP321-AP323-AP324,"n/a")</f>
        <v>-126.796</v>
      </c>
      <c r="AQ355" s="26" t="n">
        <f aca="false">IF(ISNUMBER(AQ309),AQ309+N(AQ310)-AQ321-AQ323-AQ324,"n/a")</f>
        <v>-130.861</v>
      </c>
      <c r="AR355" s="26" t="n">
        <f aca="false">IF(ISNUMBER(AR309),AR309+N(AR310)-AR321-AR323-AR324,"n/a")</f>
        <v>-130.861</v>
      </c>
      <c r="AS355" s="26" t="n">
        <f aca="false">IF(ISNUMBER(AS309),AS309+N(AS310)-AS321-AS323-AS324,"n/a")</f>
        <v>-139.515</v>
      </c>
      <c r="AT355" s="26" t="n">
        <f aca="false">IF(ISNUMBER(AT309),AT309+N(AT310)-AT321-AT323-AT324,"n/a")</f>
        <v>-208.791</v>
      </c>
      <c r="AU355" s="26" t="n">
        <f aca="false">IF(ISNUMBER(AU309),AU309+N(AU310)-AU321-AU323-AU324,"n/a")</f>
        <v>-288.594</v>
      </c>
      <c r="AV355" s="26" t="n">
        <f aca="false">IF(ISNUMBER(AV309),AV309+N(AV310)-AV321-AV323-AV324,"n/a")</f>
        <v>-138.361</v>
      </c>
      <c r="AW355" s="26" t="n">
        <f aca="false">IF(ISNUMBER(AW309),AW309+N(AW310)-AW321-AW323-AW324,"n/a")</f>
        <v>-138.361</v>
      </c>
      <c r="AX355" s="26" t="n">
        <f aca="false">IF(ISNUMBER(AX309),AX309+N(AX310)-AX321-AX323-AX324,"n/a")</f>
        <v>-162.68</v>
      </c>
      <c r="AY355" s="26" t="n">
        <f aca="false">IF(ISNUMBER(AY309),AY309+N(AY310)-AY321-AY323-AY324,"n/a")</f>
        <v>-208.624</v>
      </c>
      <c r="AZ355" s="26" t="n">
        <f aca="false">IF(ISNUMBER(AZ309),AZ309+N(AZ310)-AZ321-AZ323-AZ324,"n/a")</f>
        <v>-223.078</v>
      </c>
      <c r="BA355" s="26" t="n">
        <f aca="false">IF(ISNUMBER(BA309),BA309+N(BA310)-BA321-BA323-BA324,"n/a")</f>
        <v>-223.848</v>
      </c>
      <c r="BB355" s="26" t="n">
        <f aca="false">IF(ISNUMBER(BB309),BB309+N(BB310)-BB321-BB323-BB324,"n/a")</f>
        <v>-223.848</v>
      </c>
      <c r="BC355" s="26" t="n">
        <f aca="false">IF(ISNUMBER(BC309),BC309+N(BC310)-BC321-BC323-BC324,"n/a")</f>
        <v>-91.8340000000001</v>
      </c>
      <c r="BD355" s="26" t="n">
        <f aca="false">IF(ISNUMBER(BD309),BD309+N(BD310)-BD321-BD323-BD324,"n/a")</f>
        <v>-180.144</v>
      </c>
      <c r="BE355" s="26" t="n">
        <f aca="false">IF(ISNUMBER(BE309),BE309+N(BE310)-BE321-BE323-BE324,"n/a")</f>
        <v>-241.687</v>
      </c>
      <c r="BF355" s="26" t="n">
        <f aca="false">IF(ISNUMBER(BF309),BF309+N(BF310)-BF321-BF323-BF324,"n/a")</f>
        <v>-355.969</v>
      </c>
      <c r="BG355" s="26" t="n">
        <f aca="false">IF(ISNUMBER(BG309),BG309+N(BG310)-BG321-BG323-BG324,"n/a")</f>
        <v>-355.969</v>
      </c>
      <c r="BH355" s="26" t="n">
        <f aca="false">IF(ISNUMBER(BH309),BH309+N(BH310)-BH321-BH323-BH324,"n/a")</f>
        <v>-252.639</v>
      </c>
      <c r="BI355" s="26" t="n">
        <f aca="false">IF(ISNUMBER(BI309),BI309+N(BI310)-BI321-BI323-BI324,"n/a")</f>
        <v>-313.609</v>
      </c>
      <c r="BJ355" s="26" t="n">
        <f aca="false">IF(ISNUMBER(BJ309),BJ309+N(BJ310)-BJ321-BJ323-BJ324,"n/a")</f>
        <v>-338.169</v>
      </c>
      <c r="BK355" s="26" t="n">
        <f aca="false">IF(ISNUMBER(BK309),BK309+N(BK310)-BK321-BK323-BK324,"n/a")</f>
        <v>-455.7</v>
      </c>
      <c r="BL355" s="26" t="n">
        <f aca="false">IF(ISNUMBER(BL309),BL309+N(BL310)-BL321-BL323-BL324,"n/a")</f>
        <v>-455.7</v>
      </c>
      <c r="BM355" s="26" t="n">
        <f aca="false">IF(ISNUMBER(BM309),BM309+N(BM310)-BM321-BM323-BM324,"n/a")</f>
        <v>-362.431</v>
      </c>
      <c r="BN355" s="26" t="n">
        <f aca="false">IF(ISNUMBER(BN309),BN309+N(BN310)-BN321-BN323-BN324,"n/a")</f>
        <v>-451.468</v>
      </c>
      <c r="BO355" s="26" t="n">
        <f aca="false">IF(ISNUMBER(BO309),BO309+N(BO310)-BO321-BO323-BO324,"n/a")</f>
        <v>-396.633</v>
      </c>
      <c r="BP355" s="26" t="n">
        <f aca="false">IF(ISNUMBER(BP309),BP309+N(BP310)-BP321-BP323-BP324,"n/a")</f>
        <v>-592.15</v>
      </c>
      <c r="BQ355" s="26" t="n">
        <f aca="false">IF(ISNUMBER(BQ309),BQ309+N(BQ310)-BQ321-BQ323-BQ324,"n/a")</f>
        <v>-592.15</v>
      </c>
      <c r="BR355" s="26" t="n">
        <f aca="false">IF(ISNUMBER(BR309),BR309+N(BR310)-BR321-BR323-BR324,"n/a")</f>
        <v>-550.374</v>
      </c>
      <c r="BS355" s="26" t="n">
        <f aca="false">IF(ISNUMBER(BS309),BS309+N(BS310)-BS321-BS323-BS324,"n/a")</f>
        <v>-608.281</v>
      </c>
      <c r="BT355" s="26" t="n">
        <f aca="false">IF(ISNUMBER(BT309),BT309+N(BT310)-BT321-BT323-BT324,"n/a")</f>
        <v>-646.943</v>
      </c>
      <c r="BU355" s="26" t="n">
        <f aca="false">IF(ISNUMBER(BU309),BU309+N(BU310)-BU321-BU323-BU324,"n/a")</f>
        <v>-726.024</v>
      </c>
      <c r="BV355" s="26" t="n">
        <f aca="false">IF(ISNUMBER(BV309),BV309+N(BV310)-BV321-BV323-BV324,"n/a")</f>
        <v>-726.024</v>
      </c>
      <c r="BW355" s="26" t="n">
        <f aca="false">IF(ISNUMBER(BW309),BW309+N(BW310)-BW321-BW323-BW324,"n/a")</f>
        <v>-618.399</v>
      </c>
      <c r="BX355" s="26" t="n">
        <f aca="false">IF(ISNUMBER(BX309),BX309+N(BX310)-BX321-BX323-BX324,"n/a")</f>
        <v>-681.856</v>
      </c>
      <c r="BY355" s="28"/>
      <c r="BZ355" s="28"/>
      <c r="CA355" s="47" t="n">
        <f aca="false">IF(ISNUMBER(CA309),CA309+N(CA310)-CA321-CA323-CA324,"n/a")</f>
        <v>-654.572420360001</v>
      </c>
      <c r="CB355" s="47" t="n">
        <f aca="false">IF(ISNUMBER(CB309),CB309+N(CB310)-CB321-CB323-CB324,"n/a")</f>
        <v>-704.496590339773</v>
      </c>
      <c r="CC355" s="47" t="n">
        <f aca="false">IF(ISNUMBER(CC309),CC309+N(CC310)-CC321-CC323-CC324,"n/a")</f>
        <v>-783.209811700582</v>
      </c>
      <c r="CD355" s="47" t="n">
        <f aca="false">IF(ISNUMBER(CD309),CD309+N(CD310)-CD321-CD323-CD324,"n/a")</f>
        <v>-867.00597044453</v>
      </c>
      <c r="CE355" s="47" t="n">
        <f aca="false">IF(ISNUMBER(CE309),CE309+N(CE310)-CE321-CE323-CE324,"n/a")</f>
        <v>-952.45623432497</v>
      </c>
      <c r="CF355" s="21"/>
    </row>
    <row r="356" customFormat="false" ht="15" hidden="true" customHeight="true" outlineLevel="1" collapsed="false">
      <c r="B356" s="29" t="s">
        <v>563</v>
      </c>
      <c r="C356" s="38" t="n">
        <f aca="false">IFERROR(C355/(C128*1),"n/a")</f>
        <v>-0.0214677189653959</v>
      </c>
      <c r="D356" s="38" t="n">
        <f aca="false">IFERROR(D355/(D128*1),"n/a")</f>
        <v>-0.0135591487479409</v>
      </c>
      <c r="E356" s="38" t="n">
        <f aca="false">IFERROR(E355/(E128*1),"n/a")</f>
        <v>-0.0404953110842862</v>
      </c>
      <c r="F356" s="38" t="n">
        <f aca="false">IFERROR(F355/(F128*1),"n/a")</f>
        <v>-0.0335506419795987</v>
      </c>
      <c r="G356" s="38" t="n">
        <f aca="false">IFERROR(G355/(G128*1),"n/a")</f>
        <v>-0.0248500292099227</v>
      </c>
      <c r="H356" s="38" t="n">
        <f aca="false">IFERROR(H355/(H128*1),"n/a")</f>
        <v>-0.0195427557152214</v>
      </c>
      <c r="I356" s="38" t="n">
        <f aca="false">IFERROR(I355/(I128*1),"n/a")</f>
        <v>0.0103844565959204</v>
      </c>
      <c r="J356" s="38" t="n">
        <f aca="false">IFERROR(J355/(J128*4),"n/a")</f>
        <v>-0.00915219652716651</v>
      </c>
      <c r="K356" s="38" t="n">
        <f aca="false">IFERROR(K355/(K128*4),"n/a")</f>
        <v>-0.00112386872395945</v>
      </c>
      <c r="L356" s="38" t="n">
        <f aca="false">IFERROR(L355/(L128*4),"n/a")</f>
        <v>-0.00436814746865853</v>
      </c>
      <c r="M356" s="38" t="n">
        <f aca="false">IFERROR(M355/(M128*4),"n/a")</f>
        <v>0.0095584890826279</v>
      </c>
      <c r="N356" s="38" t="n">
        <f aca="false">IFERROR(N355/(N128*1),"n/a")</f>
        <v>0.00963140198932493</v>
      </c>
      <c r="O356" s="38" t="n">
        <f aca="false">IFERROR(O355/(O128*4),"n/a")</f>
        <v>0.00112412032135518</v>
      </c>
      <c r="P356" s="38" t="n">
        <f aca="false">IFERROR(P355/(P128*4),"n/a")</f>
        <v>0.00119879624847293</v>
      </c>
      <c r="Q356" s="38" t="n">
        <f aca="false">IFERROR(Q355/(Q128*4),"n/a")</f>
        <v>0.00431341265499469</v>
      </c>
      <c r="R356" s="38" t="n">
        <f aca="false">IFERROR(R355/(R128*4),"n/a")</f>
        <v>0.0138784104535616</v>
      </c>
      <c r="S356" s="38" t="n">
        <f aca="false">IFERROR(S355/(S128*1),"n/a")</f>
        <v>0.0140498642244054</v>
      </c>
      <c r="T356" s="38" t="n">
        <f aca="false">IFERROR(T355/(T128*4),"n/a")</f>
        <v>0.00196749654218533</v>
      </c>
      <c r="U356" s="38" t="n">
        <f aca="false">IFERROR(U355/(U128*4),"n/a")</f>
        <v>-0.00946524829102296</v>
      </c>
      <c r="V356" s="38" t="n">
        <f aca="false">IFERROR(V355/(V128*4),"n/a")</f>
        <v>-0.0157869138479171</v>
      </c>
      <c r="W356" s="38" t="n">
        <f aca="false">IFERROR(W355/(W128*4),"n/a")</f>
        <v>0.00464340702000423</v>
      </c>
      <c r="X356" s="38" t="n">
        <f aca="false">IFERROR(X355/(X128*1),"n/a")</f>
        <v>0.0046663489645003</v>
      </c>
      <c r="Y356" s="38" t="n">
        <f aca="false">IFERROR(Y355/(Y128*4),"n/a")</f>
        <v>-0.0104122950182638</v>
      </c>
      <c r="Z356" s="38" t="n">
        <f aca="false">IFERROR(Z355/(Z128*4),"n/a")</f>
        <v>0.0108700880519048</v>
      </c>
      <c r="AA356" s="38" t="n">
        <f aca="false">IFERROR(AA355/(AA128*4),"n/a")</f>
        <v>0.00469457712167327</v>
      </c>
      <c r="AB356" s="38" t="n">
        <f aca="false">IFERROR(AB355/(AB128*4),"n/a")</f>
        <v>0.00559090883082752</v>
      </c>
      <c r="AC356" s="38" t="n">
        <f aca="false">IFERROR(AC355/(AC128*1),"n/a")</f>
        <v>0.00694666815566866</v>
      </c>
      <c r="AD356" s="38" t="n">
        <f aca="false">IFERROR(AD355/(AD128*4),"n/a")</f>
        <v>-0.00880216189270076</v>
      </c>
      <c r="AE356" s="38" t="n">
        <f aca="false">IFERROR(AE355/(AE128*4),"n/a")</f>
        <v>-8.20879080683291E-005</v>
      </c>
      <c r="AF356" s="38" t="n">
        <f aca="false">IFERROR(AF355/(AF128*4),"n/a")</f>
        <v>-0.0144028734879542</v>
      </c>
      <c r="AG356" s="38" t="n">
        <f aca="false">IFERROR(AG355/(AG128*4),"n/a")</f>
        <v>-0.00231296044245685</v>
      </c>
      <c r="AH356" s="38" t="n">
        <f aca="false">IFERROR(AH355/(AH128*1),"n/a")</f>
        <v>-0.00231206732422155</v>
      </c>
      <c r="AI356" s="38" t="n">
        <f aca="false">IFERROR(AI355/(AI128*4),"n/a")</f>
        <v>0.0103382856882235</v>
      </c>
      <c r="AJ356" s="38" t="n">
        <f aca="false">IFERROR(AJ355/(AJ128*4),"n/a")</f>
        <v>0.00168693869519214</v>
      </c>
      <c r="AK356" s="38" t="n">
        <f aca="false">IFERROR(AK355/(AK128*4),"n/a")</f>
        <v>-0.000624458477414132</v>
      </c>
      <c r="AL356" s="38" t="n">
        <f aca="false">IFERROR(AL355/(AL128*4),"n/a")</f>
        <v>-0.0109363557395707</v>
      </c>
      <c r="AM356" s="38" t="n">
        <f aca="false">IFERROR(AM355/(AM128*1),"n/a")</f>
        <v>-0.0112117939256229</v>
      </c>
      <c r="AN356" s="38" t="n">
        <f aca="false">IFERROR(AN355/(AN128*4),"n/a")</f>
        <v>-0.00854506173285866</v>
      </c>
      <c r="AO356" s="38" t="n">
        <f aca="false">IFERROR(AO355/(AO128*4),"n/a")</f>
        <v>-0.0183849539915262</v>
      </c>
      <c r="AP356" s="38" t="n">
        <f aca="false">IFERROR(AP355/(AP128*4),"n/a")</f>
        <v>-0.0224426596735871</v>
      </c>
      <c r="AQ356" s="38" t="n">
        <f aca="false">IFERROR(AQ355/(AQ128*4),"n/a")</f>
        <v>-0.0240207127962642</v>
      </c>
      <c r="AR356" s="38" t="n">
        <f aca="false">IFERROR(AR355/(AR128*1),"n/a")</f>
        <v>-0.0242844303770924</v>
      </c>
      <c r="AS356" s="38" t="n">
        <f aca="false">IFERROR(AS355/(AS128*4),"n/a")</f>
        <v>-0.0257901854771208</v>
      </c>
      <c r="AT356" s="38" t="n">
        <f aca="false">IFERROR(AT355/(AT128*4),"n/a")</f>
        <v>-0.0399743219005929</v>
      </c>
      <c r="AU356" s="38" t="n">
        <f aca="false">IFERROR(AU355/(AU128*4),"n/a")</f>
        <v>-0.0519221302981105</v>
      </c>
      <c r="AV356" s="38" t="n">
        <f aca="false">IFERROR(AV355/(AV128*4),"n/a")</f>
        <v>-0.0247382265415866</v>
      </c>
      <c r="AW356" s="38" t="n">
        <f aca="false">IFERROR(AW355/(AW128*1),"n/a")</f>
        <v>-0.0254060326956164</v>
      </c>
      <c r="AX356" s="38" t="n">
        <f aca="false">IFERROR(AX355/(AX128*4),"n/a")</f>
        <v>-0.0291344482793698</v>
      </c>
      <c r="AY356" s="38" t="n">
        <f aca="false">IFERROR(AY355/(AY128*4),"n/a")</f>
        <v>-0.034001529403865</v>
      </c>
      <c r="AZ356" s="38" t="n">
        <f aca="false">IFERROR(AZ355/(AZ128*4),"n/a")</f>
        <v>-0.0349177419031686</v>
      </c>
      <c r="BA356" s="38" t="n">
        <f aca="false">IFERROR(BA355/(BA128*4),"n/a")</f>
        <v>-0.0344525921324567</v>
      </c>
      <c r="BB356" s="38" t="n">
        <f aca="false">IFERROR(BB355/(BB128*1),"n/a")</f>
        <v>-0.0363899956448662</v>
      </c>
      <c r="BC356" s="38" t="n">
        <f aca="false">IFERROR(BC355/(BC128*4),"n/a")</f>
        <v>-0.0139458953807278</v>
      </c>
      <c r="BD356" s="38" t="n">
        <f aca="false">IFERROR(BD355/(BD128*4),"n/a")</f>
        <v>-0.0247936204708674</v>
      </c>
      <c r="BE356" s="38" t="n">
        <f aca="false">IFERROR(BE355/(BE128*4),"n/a")</f>
        <v>-0.0321414854660008</v>
      </c>
      <c r="BF356" s="38" t="n">
        <f aca="false">IFERROR(BF355/(BF128*4),"n/a")</f>
        <v>-0.0476072339339678</v>
      </c>
      <c r="BG356" s="38" t="n">
        <f aca="false">IFERROR(BG355/(BG128*1),"n/a")</f>
        <v>-0.0493588407649123</v>
      </c>
      <c r="BH356" s="38" t="n">
        <f aca="false">IFERROR(BH355/(BH128*4),"n/a")</f>
        <v>-0.0332331756382389</v>
      </c>
      <c r="BI356" s="38" t="n">
        <f aca="false">IFERROR(BI355/(BI128*4),"n/a")</f>
        <v>-0.0387919667309058</v>
      </c>
      <c r="BJ356" s="38" t="n">
        <f aca="false">IFERROR(BJ355/(BJ128*4),"n/a")</f>
        <v>-0.040945632969511</v>
      </c>
      <c r="BK356" s="38" t="n">
        <f aca="false">IFERROR(BK355/(BK128*4),"n/a")</f>
        <v>-0.0559660524196936</v>
      </c>
      <c r="BL356" s="38" t="n">
        <f aca="false">IFERROR(BL355/(BL128*1),"n/a")</f>
        <v>-0.0568066297089075</v>
      </c>
      <c r="BM356" s="38" t="n">
        <f aca="false">IFERROR(BM355/(BM128*4),"n/a")</f>
        <v>-0.0437158318348513</v>
      </c>
      <c r="BN356" s="38" t="n">
        <f aca="false">IFERROR(BN355/(BN128*4),"n/a")</f>
        <v>-0.0502040329762126</v>
      </c>
      <c r="BO356" s="38" t="n">
        <f aca="false">IFERROR(BO355/(BO128*4),"n/a")</f>
        <v>-0.0424027191929144</v>
      </c>
      <c r="BP356" s="38" t="n">
        <f aca="false">IFERROR(BP355/(BP128*4),"n/a")</f>
        <v>-0.0654951172043501</v>
      </c>
      <c r="BQ356" s="38" t="n">
        <f aca="false">IFERROR(BQ355/(BQ128*1),"n/a")</f>
        <v>-0.066387573152177</v>
      </c>
      <c r="BR356" s="38" t="n">
        <f aca="false">IFERROR(BR355/(BR128*4),"n/a")</f>
        <v>-0.0617516300328161</v>
      </c>
      <c r="BS356" s="38" t="n">
        <f aca="false">IFERROR(BS355/(BS128*4),"n/a")</f>
        <v>-0.0631768904324995</v>
      </c>
      <c r="BT356" s="38" t="n">
        <f aca="false">IFERROR(BT355/(BT128*4),"n/a")</f>
        <v>-0.0657896181954118</v>
      </c>
      <c r="BU356" s="38" t="n">
        <f aca="false">IFERROR(BU355/(BU128*4),"n/a")</f>
        <v>-0.0764781279784402</v>
      </c>
      <c r="BV356" s="38" t="n">
        <f aca="false">IFERROR(BV355/(BV128*1),"n/a")</f>
        <v>-0.0766906642765885</v>
      </c>
      <c r="BW356" s="38" t="n">
        <f aca="false">IFERROR(BW355/(BW128*4),"n/a")</f>
        <v>-0.0652145989822963</v>
      </c>
      <c r="BX356" s="38" t="n">
        <f aca="false">IFERROR(BX355/(BX128*4),"n/a")</f>
        <v>-0.0665457269596781</v>
      </c>
      <c r="BY356" s="39"/>
      <c r="BZ356" s="39"/>
      <c r="CA356" s="37" t="n">
        <f aca="false">IFERROR(CA355/CA128,"n/a")</f>
        <v>-0.0652289407433982</v>
      </c>
      <c r="CB356" s="37" t="n">
        <f aca="false">IFERROR(CB355/CB128,"n/a")</f>
        <v>-0.0661296078371831</v>
      </c>
      <c r="CC356" s="37" t="n">
        <f aca="false">IFERROR(CC355/CC128,"n/a")</f>
        <v>-0.0680639965892722</v>
      </c>
      <c r="CD356" s="37" t="n">
        <f aca="false">IFERROR(CD355/CD128,"n/a")</f>
        <v>-0.0698186936868044</v>
      </c>
      <c r="CE356" s="37" t="n">
        <f aca="false">IFERROR(CE355/CE128,"n/a")</f>
        <v>-0.0713617489424803</v>
      </c>
      <c r="CF356" s="21"/>
    </row>
    <row r="357" customFormat="false" ht="15" hidden="true" customHeight="true" outlineLevel="1" collapsed="false">
      <c r="B357" s="29" t="s">
        <v>564</v>
      </c>
      <c r="C357" s="25"/>
      <c r="D357" s="26" t="n">
        <f aca="false">IFERROR(D355-C355,"n/a")</f>
        <v>4.7</v>
      </c>
      <c r="E357" s="26" t="n">
        <f aca="false">IFERROR(E355-D355,"n/a")</f>
        <v>-29.507</v>
      </c>
      <c r="F357" s="26" t="n">
        <f aca="false">IFERROR(F355-E355,"n/a")</f>
        <v>2.53200000000002</v>
      </c>
      <c r="G357" s="26" t="n">
        <f aca="false">IFERROR(G355-F355,"n/a")</f>
        <v>7.17599999999998</v>
      </c>
      <c r="H357" s="26" t="n">
        <f aca="false">IFERROR(H355-G355,"n/a")</f>
        <v>3.37699999999998</v>
      </c>
      <c r="I357" s="26" t="n">
        <f aca="false">IFERROR(I355-H355,"n/a")</f>
        <v>46.674</v>
      </c>
      <c r="J357" s="25"/>
      <c r="K357" s="25"/>
      <c r="L357" s="25"/>
      <c r="M357" s="25"/>
      <c r="N357" s="26" t="n">
        <f aca="false">IFERROR(N355-I355,"n/a")</f>
        <v>1.32199999999997</v>
      </c>
      <c r="O357" s="26" t="n">
        <f aca="false">IFERROR(O355-J355,"n/a")</f>
        <v>18.636</v>
      </c>
      <c r="P357" s="26" t="n">
        <f aca="false">IFERROR(P355-K355,"n/a")</f>
        <v>4.71600000000004</v>
      </c>
      <c r="Q357" s="26" t="n">
        <f aca="false">IFERROR(Q355-L355,"n/a")</f>
        <v>18.23</v>
      </c>
      <c r="R357" s="26" t="n">
        <f aca="false">IFERROR(R355-M355,"n/a")</f>
        <v>10.635</v>
      </c>
      <c r="S357" s="26" t="n">
        <f aca="false">IFERROR(S355-N355,"n/a")</f>
        <v>10.635</v>
      </c>
      <c r="T357" s="26" t="n">
        <f aca="false">IFERROR(T355-O355,"n/a")</f>
        <v>1.81699999999998</v>
      </c>
      <c r="U357" s="26" t="n">
        <f aca="false">IFERROR(U355-P355,"n/a")</f>
        <v>-22.632</v>
      </c>
      <c r="V357" s="26" t="n">
        <f aca="false">IFERROR(V355-Q355,"n/a")</f>
        <v>-44.031</v>
      </c>
      <c r="W357" s="26" t="n">
        <f aca="false">IFERROR(W355-R355,"n/a")</f>
        <v>-19.3320000000001</v>
      </c>
      <c r="X357" s="26" t="n">
        <f aca="false">IFERROR(X355-S355,"n/a")</f>
        <v>-19.3320000000001</v>
      </c>
      <c r="Y357" s="26" t="n">
        <f aca="false">IFERROR(Y355-T355,"n/a")</f>
        <v>-25.419</v>
      </c>
      <c r="Z357" s="26" t="n">
        <f aca="false">IFERROR(Z355-U355,"n/a")</f>
        <v>51.7539999999999</v>
      </c>
      <c r="AA357" s="26" t="n">
        <f aca="false">IFERROR(AA355-V355,"n/a")</f>
        <v>54.9740000000001</v>
      </c>
      <c r="AB357" s="26" t="n">
        <f aca="false">IFERROR(AB355-W355,"n/a")</f>
        <v>13.5710000000001</v>
      </c>
      <c r="AC357" s="26" t="n">
        <f aca="false">IFERROR(AC355-X355,"n/a")</f>
        <v>13.5710000000001</v>
      </c>
      <c r="AD357" s="26" t="n">
        <f aca="false">IFERROR(AD355-Y355,"n/a")</f>
        <v>-16.9859999999999</v>
      </c>
      <c r="AE357" s="26" t="n">
        <f aca="false">IFERROR(AE355-Z355,"n/a")</f>
        <v>-32.0239999999998</v>
      </c>
      <c r="AF357" s="26" t="n">
        <f aca="false">IFERROR(AF355-AA355,"n/a")</f>
        <v>-89.8800000000001</v>
      </c>
      <c r="AG357" s="26" t="n">
        <f aca="false">IFERROR(AG355-AB355,"n/a")</f>
        <v>-34.1570000000001</v>
      </c>
      <c r="AH357" s="26" t="n">
        <f aca="false">IFERROR(AH355-AC355,"n/a")</f>
        <v>-34.1570000000001</v>
      </c>
      <c r="AI357" s="26" t="n">
        <f aca="false">IFERROR(AI355-AD355,"n/a")</f>
        <v>85.57</v>
      </c>
      <c r="AJ357" s="26" t="n">
        <f aca="false">IFERROR(AJ355-AE355,"n/a")</f>
        <v>8.75299999999996</v>
      </c>
      <c r="AK357" s="26" t="n">
        <f aca="false">IFERROR(AK355-AF355,"n/a")</f>
        <v>66.307</v>
      </c>
      <c r="AL357" s="26" t="n">
        <f aca="false">IFERROR(AL355-AG355,"n/a")</f>
        <v>-44.489</v>
      </c>
      <c r="AM357" s="26" t="n">
        <f aca="false">IFERROR(AM355-AH355,"n/a")</f>
        <v>-44.489</v>
      </c>
      <c r="AN357" s="26" t="n">
        <f aca="false">IFERROR(AN355-AI355,"n/a")</f>
        <v>-89.69</v>
      </c>
      <c r="AO357" s="26" t="n">
        <f aca="false">IFERROR(AO355-AJ355,"n/a")</f>
        <v>-109.09</v>
      </c>
      <c r="AP357" s="26" t="n">
        <f aca="false">IFERROR(AP355-AK355,"n/a")</f>
        <v>-123.596</v>
      </c>
      <c r="AQ357" s="26" t="n">
        <f aca="false">IFERROR(AQ355-AL355,"n/a")</f>
        <v>-75.666</v>
      </c>
      <c r="AR357" s="26" t="n">
        <f aca="false">IFERROR(AR355-AM355,"n/a")</f>
        <v>-75.666</v>
      </c>
      <c r="AS357" s="26" t="n">
        <f aca="false">IFERROR(AS355-AN355,"n/a")</f>
        <v>-96.973</v>
      </c>
      <c r="AT357" s="26" t="n">
        <f aca="false">IFERROR(AT355-AO355,"n/a")</f>
        <v>-108.068</v>
      </c>
      <c r="AU357" s="26" t="n">
        <f aca="false">IFERROR(AU355-AP355,"n/a")</f>
        <v>-161.798</v>
      </c>
      <c r="AV357" s="26" t="n">
        <f aca="false">IFERROR(AV355-AQ355,"n/a")</f>
        <v>-7.49999999999992</v>
      </c>
      <c r="AW357" s="26" t="n">
        <f aca="false">IFERROR(AW355-AR355,"n/a")</f>
        <v>-7.49999999999992</v>
      </c>
      <c r="AX357" s="26" t="n">
        <f aca="false">IFERROR(AX355-AS355,"n/a")</f>
        <v>-23.1649999999999</v>
      </c>
      <c r="AY357" s="26" t="n">
        <f aca="false">IFERROR(AY355-AT355,"n/a")</f>
        <v>0.167000000000058</v>
      </c>
      <c r="AZ357" s="26" t="n">
        <f aca="false">IFERROR(AZ355-AU355,"n/a")</f>
        <v>65.5160000000002</v>
      </c>
      <c r="BA357" s="26" t="n">
        <f aca="false">IFERROR(BA355-AV355,"n/a")</f>
        <v>-85.4870000000001</v>
      </c>
      <c r="BB357" s="26" t="n">
        <f aca="false">IFERROR(BB355-AW355,"n/a")</f>
        <v>-85.4870000000001</v>
      </c>
      <c r="BC357" s="26" t="n">
        <f aca="false">IFERROR(BC355-AX355,"n/a")</f>
        <v>70.8459999999999</v>
      </c>
      <c r="BD357" s="26" t="n">
        <f aca="false">IFERROR(BD355-AY355,"n/a")</f>
        <v>28.4799999999998</v>
      </c>
      <c r="BE357" s="26" t="n">
        <f aca="false">IFERROR(BE355-AZ355,"n/a")</f>
        <v>-18.6090000000001</v>
      </c>
      <c r="BF357" s="26" t="n">
        <f aca="false">IFERROR(BF355-BA355,"n/a")</f>
        <v>-132.121</v>
      </c>
      <c r="BG357" s="26" t="n">
        <f aca="false">IFERROR(BG355-BB355,"n/a")</f>
        <v>-132.121</v>
      </c>
      <c r="BH357" s="26" t="n">
        <f aca="false">IFERROR(BH355-BC355,"n/a")</f>
        <v>-160.805</v>
      </c>
      <c r="BI357" s="26" t="n">
        <f aca="false">IFERROR(BI355-BD355,"n/a")</f>
        <v>-133.465</v>
      </c>
      <c r="BJ357" s="26" t="n">
        <f aca="false">IFERROR(BJ355-BE355,"n/a")</f>
        <v>-96.4820000000001</v>
      </c>
      <c r="BK357" s="26" t="n">
        <f aca="false">IFERROR(BK355-BF355,"n/a")</f>
        <v>-99.7310000000001</v>
      </c>
      <c r="BL357" s="26" t="n">
        <f aca="false">IFERROR(BL355-BG355,"n/a")</f>
        <v>-99.7310000000001</v>
      </c>
      <c r="BM357" s="26" t="n">
        <f aca="false">IFERROR(BM355-BH355,"n/a")</f>
        <v>-109.792</v>
      </c>
      <c r="BN357" s="26" t="n">
        <f aca="false">IFERROR(BN355-BI355,"n/a")</f>
        <v>-137.859</v>
      </c>
      <c r="BO357" s="26" t="n">
        <f aca="false">IFERROR(BO355-BJ355,"n/a")</f>
        <v>-58.4639999999999</v>
      </c>
      <c r="BP357" s="26" t="n">
        <f aca="false">IFERROR(BP355-BK355,"n/a")</f>
        <v>-136.45</v>
      </c>
      <c r="BQ357" s="26" t="n">
        <f aca="false">IFERROR(BQ355-BL355,"n/a")</f>
        <v>-136.45</v>
      </c>
      <c r="BR357" s="26" t="n">
        <f aca="false">IFERROR(BR355-BM355,"n/a")</f>
        <v>-187.943</v>
      </c>
      <c r="BS357" s="26" t="n">
        <f aca="false">IFERROR(BS355-BN355,"n/a")</f>
        <v>-156.813</v>
      </c>
      <c r="BT357" s="26" t="n">
        <f aca="false">IFERROR(BT355-BO355,"n/a")</f>
        <v>-250.31</v>
      </c>
      <c r="BU357" s="26" t="n">
        <f aca="false">IFERROR(BU355-BP355,"n/a")</f>
        <v>-133.874</v>
      </c>
      <c r="BV357" s="26" t="n">
        <f aca="false">IFERROR(BV355-BQ355,"n/a")</f>
        <v>-133.874</v>
      </c>
      <c r="BW357" s="26" t="n">
        <f aca="false">IFERROR(BW355-BR355,"n/a")</f>
        <v>-68.0249999999999</v>
      </c>
      <c r="BX357" s="26" t="n">
        <f aca="false">IFERROR(BX355-BS355,"n/a")</f>
        <v>-73.5750000000002</v>
      </c>
      <c r="BY357" s="28"/>
      <c r="BZ357" s="28"/>
      <c r="CA357" s="47" t="n">
        <f aca="false">IFERROR(CA355-BV355,"n/a")</f>
        <v>71.4515796399992</v>
      </c>
      <c r="CB357" s="47" t="n">
        <f aca="false">IFERROR(CB355-CA355,"n/a")</f>
        <v>-49.9241699797723</v>
      </c>
      <c r="CC357" s="47" t="n">
        <f aca="false">IFERROR(CC355-CB355,"n/a")</f>
        <v>-78.7132213608091</v>
      </c>
      <c r="CD357" s="47" t="n">
        <f aca="false">IFERROR(CD355-CC355,"n/a")</f>
        <v>-83.7961587439482</v>
      </c>
      <c r="CE357" s="47" t="n">
        <f aca="false">IFERROR(CE355-CD355,"n/a")</f>
        <v>-85.4502638804393</v>
      </c>
      <c r="CF357" s="21"/>
    </row>
    <row r="358" customFormat="false" ht="15" hidden="true" customHeight="true" outlineLevel="1" collapsed="false"/>
    <row r="359" customFormat="false" ht="15" hidden="true" customHeight="true" outlineLevel="1" collapsed="false">
      <c r="B359" s="12" t="s">
        <v>565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</row>
    <row r="360" customFormat="false" ht="15" hidden="true" customHeight="true" outlineLevel="1" collapsed="false">
      <c r="B360" s="16" t="s">
        <v>566</v>
      </c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7" t="s">
        <v>567</v>
      </c>
    </row>
    <row r="361" customFormat="false" ht="15" hidden="true" customHeight="true" outlineLevel="1" collapsed="false">
      <c r="B361" s="81" t="s">
        <v>568</v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7" t="n">
        <v>64.156</v>
      </c>
      <c r="O361" s="25"/>
      <c r="P361" s="25"/>
      <c r="Q361" s="25"/>
      <c r="R361" s="25"/>
      <c r="S361" s="27" t="n">
        <v>126.181</v>
      </c>
      <c r="T361" s="25"/>
      <c r="U361" s="25"/>
      <c r="V361" s="25"/>
      <c r="W361" s="25"/>
      <c r="X361" s="27" t="n">
        <v>230.517</v>
      </c>
      <c r="Y361" s="25"/>
      <c r="Z361" s="25"/>
      <c r="AA361" s="25"/>
      <c r="AB361" s="25"/>
      <c r="AC361" s="27" t="n">
        <v>17.131</v>
      </c>
      <c r="AD361" s="25"/>
      <c r="AE361" s="25"/>
      <c r="AF361" s="25"/>
      <c r="AG361" s="25"/>
      <c r="AH361" s="27" t="n">
        <v>410.695</v>
      </c>
      <c r="AI361" s="25"/>
      <c r="AJ361" s="25"/>
      <c r="AK361" s="25"/>
      <c r="AL361" s="25"/>
      <c r="AM361" s="27" t="n">
        <v>830.091</v>
      </c>
      <c r="AN361" s="25"/>
      <c r="AO361" s="25"/>
      <c r="AP361" s="25"/>
      <c r="AQ361" s="25"/>
      <c r="AR361" s="27" t="n">
        <v>736.61</v>
      </c>
      <c r="AS361" s="25"/>
      <c r="AT361" s="25"/>
      <c r="AU361" s="25"/>
      <c r="AV361" s="25"/>
      <c r="AW361" s="27" t="n">
        <v>388.789</v>
      </c>
      <c r="AX361" s="25"/>
      <c r="AY361" s="25"/>
      <c r="AZ361" s="25"/>
      <c r="BA361" s="25"/>
      <c r="BB361" s="27" t="n">
        <v>960.449</v>
      </c>
      <c r="BC361" s="25"/>
      <c r="BD361" s="25"/>
      <c r="BE361" s="25"/>
      <c r="BF361" s="25"/>
      <c r="BG361" s="27" t="n">
        <v>2206.901</v>
      </c>
      <c r="BH361" s="25"/>
      <c r="BI361" s="25"/>
      <c r="BJ361" s="25"/>
      <c r="BK361" s="25"/>
      <c r="BL361" s="27" t="n">
        <v>676.793</v>
      </c>
      <c r="BM361" s="25"/>
      <c r="BN361" s="25"/>
      <c r="BO361" s="25"/>
      <c r="BP361" s="25"/>
      <c r="BQ361" s="27" t="n">
        <v>2120.878</v>
      </c>
      <c r="BR361" s="25"/>
      <c r="BS361" s="25"/>
      <c r="BT361" s="25"/>
      <c r="BU361" s="25"/>
      <c r="BV361" s="27" t="n">
        <v>817.577</v>
      </c>
      <c r="BW361" s="25"/>
      <c r="BX361" s="25"/>
      <c r="BY361" s="28"/>
      <c r="BZ361" s="28"/>
      <c r="CA361" s="28"/>
      <c r="CB361" s="28"/>
      <c r="CC361" s="28"/>
      <c r="CD361" s="28"/>
      <c r="CE361" s="28"/>
      <c r="CF361" s="21"/>
    </row>
    <row r="362" customFormat="false" ht="15" hidden="true" customHeight="true" outlineLevel="1" collapsed="false">
      <c r="B362" s="81" t="s">
        <v>569</v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7" t="n">
        <v>360</v>
      </c>
      <c r="AN362" s="25"/>
      <c r="AO362" s="25"/>
      <c r="AP362" s="25"/>
      <c r="AQ362" s="25"/>
      <c r="AR362" s="27" t="n">
        <v>300</v>
      </c>
      <c r="AS362" s="25"/>
      <c r="AT362" s="25"/>
      <c r="AU362" s="25"/>
      <c r="AV362" s="25"/>
      <c r="AW362" s="27" t="n">
        <v>180</v>
      </c>
      <c r="AX362" s="25"/>
      <c r="AY362" s="25"/>
      <c r="AZ362" s="25"/>
      <c r="BA362" s="25"/>
      <c r="BB362" s="27" t="n">
        <v>400</v>
      </c>
      <c r="BC362" s="25"/>
      <c r="BD362" s="25"/>
      <c r="BE362" s="25"/>
      <c r="BF362" s="25"/>
      <c r="BG362" s="27" t="n">
        <v>640</v>
      </c>
      <c r="BH362" s="25"/>
      <c r="BI362" s="25"/>
      <c r="BJ362" s="25"/>
      <c r="BK362" s="25"/>
      <c r="BL362" s="27" t="n">
        <v>215</v>
      </c>
      <c r="BM362" s="25"/>
      <c r="BN362" s="25"/>
      <c r="BO362" s="25"/>
      <c r="BP362" s="25"/>
      <c r="BQ362" s="27" t="n">
        <v>750</v>
      </c>
      <c r="BR362" s="25"/>
      <c r="BS362" s="25"/>
      <c r="BT362" s="25"/>
      <c r="BU362" s="25"/>
      <c r="BV362" s="27" t="n">
        <v>330</v>
      </c>
      <c r="BW362" s="25"/>
      <c r="BX362" s="25"/>
      <c r="BY362" s="28"/>
      <c r="BZ362" s="28"/>
      <c r="CA362" s="28"/>
      <c r="CB362" s="28"/>
      <c r="CC362" s="28"/>
      <c r="CD362" s="28"/>
      <c r="CE362" s="28"/>
      <c r="CF362" s="21" t="s">
        <v>570</v>
      </c>
    </row>
    <row r="363" customFormat="false" ht="15" hidden="true" customHeight="true" outlineLevel="1" collapsed="false">
      <c r="B363" s="81" t="s">
        <v>571</v>
      </c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75" t="n">
        <f aca="false">IFERROR(AM361/AM362,"")</f>
        <v>2.30580833333333</v>
      </c>
      <c r="AN363" s="48"/>
      <c r="AO363" s="48"/>
      <c r="AP363" s="48"/>
      <c r="AQ363" s="48"/>
      <c r="AR363" s="75" t="n">
        <f aca="false">IFERROR(AR361/AR362,"")</f>
        <v>2.45536666666667</v>
      </c>
      <c r="AS363" s="48"/>
      <c r="AT363" s="48"/>
      <c r="AU363" s="48"/>
      <c r="AV363" s="48"/>
      <c r="AW363" s="75" t="n">
        <f aca="false">IFERROR(AW361/AW362,"")</f>
        <v>2.15993888888889</v>
      </c>
      <c r="AX363" s="48"/>
      <c r="AY363" s="48"/>
      <c r="AZ363" s="48"/>
      <c r="BA363" s="48"/>
      <c r="BB363" s="75" t="n">
        <f aca="false">IFERROR(BB361/BB362,"")</f>
        <v>2.4011225</v>
      </c>
      <c r="BC363" s="48"/>
      <c r="BD363" s="48"/>
      <c r="BE363" s="48"/>
      <c r="BF363" s="48"/>
      <c r="BG363" s="75" t="n">
        <f aca="false">IFERROR(BG361/BG362,"")</f>
        <v>3.4482828125</v>
      </c>
      <c r="BH363" s="48"/>
      <c r="BI363" s="48"/>
      <c r="BJ363" s="48"/>
      <c r="BK363" s="48"/>
      <c r="BL363" s="75" t="n">
        <f aca="false">IFERROR(BL361/BL362,"")</f>
        <v>3.14787441860465</v>
      </c>
      <c r="BM363" s="48"/>
      <c r="BN363" s="48"/>
      <c r="BO363" s="48"/>
      <c r="BP363" s="48"/>
      <c r="BQ363" s="75" t="n">
        <f aca="false">IFERROR(BQ361/BQ362,"")</f>
        <v>2.82783733333333</v>
      </c>
      <c r="BR363" s="48"/>
      <c r="BS363" s="48"/>
      <c r="BT363" s="48"/>
      <c r="BU363" s="48"/>
      <c r="BV363" s="75" t="n">
        <f aca="false">IFERROR(BV361/BV362,"")</f>
        <v>2.47750606060606</v>
      </c>
      <c r="BW363" s="48"/>
      <c r="BX363" s="48"/>
      <c r="BY363" s="49"/>
      <c r="BZ363" s="49"/>
      <c r="CA363" s="49"/>
      <c r="CB363" s="49"/>
      <c r="CC363" s="49"/>
      <c r="CD363" s="49"/>
      <c r="CE363" s="49"/>
      <c r="CF363" s="21"/>
    </row>
    <row r="364" customFormat="false" ht="15" hidden="true" customHeight="true" outlineLevel="1" collapsed="false">
      <c r="B364" s="81" t="s">
        <v>572</v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7" t="n">
        <v>12.775</v>
      </c>
      <c r="O364" s="25"/>
      <c r="P364" s="25"/>
      <c r="Q364" s="25"/>
      <c r="R364" s="25"/>
      <c r="S364" s="27" t="n">
        <v>140.412</v>
      </c>
      <c r="T364" s="25"/>
      <c r="U364" s="25"/>
      <c r="V364" s="25"/>
      <c r="W364" s="25"/>
      <c r="X364" s="27" t="n">
        <v>208.363</v>
      </c>
      <c r="Y364" s="25"/>
      <c r="Z364" s="25"/>
      <c r="AA364" s="25"/>
      <c r="AB364" s="25"/>
      <c r="AC364" s="27" t="n">
        <v>4.735</v>
      </c>
      <c r="AD364" s="25"/>
      <c r="AE364" s="25"/>
      <c r="AF364" s="25"/>
      <c r="AG364" s="25"/>
      <c r="AH364" s="27" t="n">
        <v>169.433</v>
      </c>
      <c r="AI364" s="25"/>
      <c r="AJ364" s="25"/>
      <c r="AK364" s="25"/>
      <c r="AL364" s="25"/>
      <c r="AM364" s="27" t="n">
        <v>437.914</v>
      </c>
      <c r="AN364" s="25"/>
      <c r="AO364" s="25"/>
      <c r="AP364" s="25"/>
      <c r="AQ364" s="25"/>
      <c r="AR364" s="27" t="n">
        <v>294.037</v>
      </c>
      <c r="AS364" s="25"/>
      <c r="AT364" s="25"/>
      <c r="AU364" s="25"/>
      <c r="AV364" s="25"/>
      <c r="AW364" s="27" t="n">
        <v>173.394</v>
      </c>
      <c r="AX364" s="25"/>
      <c r="AY364" s="25"/>
      <c r="AZ364" s="25"/>
      <c r="BA364" s="25"/>
      <c r="BB364" s="27" t="n">
        <v>394.687</v>
      </c>
      <c r="BC364" s="25"/>
      <c r="BD364" s="25"/>
      <c r="BE364" s="25"/>
      <c r="BF364" s="25"/>
      <c r="BG364" s="27" t="n">
        <v>1073.155</v>
      </c>
      <c r="BH364" s="25"/>
      <c r="BI364" s="25"/>
      <c r="BJ364" s="25"/>
      <c r="BK364" s="25"/>
      <c r="BL364" s="27" t="n">
        <v>207.164</v>
      </c>
      <c r="BM364" s="25"/>
      <c r="BN364" s="25"/>
      <c r="BO364" s="25"/>
      <c r="BP364" s="25"/>
      <c r="BQ364" s="27" t="n">
        <v>913.729</v>
      </c>
      <c r="BR364" s="25"/>
      <c r="BS364" s="25"/>
      <c r="BT364" s="25"/>
      <c r="BU364" s="25"/>
      <c r="BV364" s="27" t="n">
        <v>380.264</v>
      </c>
      <c r="BW364" s="25"/>
      <c r="BX364" s="25"/>
      <c r="BY364" s="28"/>
      <c r="BZ364" s="28"/>
      <c r="CA364" s="28"/>
      <c r="CB364" s="28"/>
      <c r="CC364" s="28"/>
      <c r="CD364" s="28"/>
      <c r="CE364" s="28"/>
      <c r="CF364" s="21"/>
    </row>
    <row r="365" customFormat="false" ht="15" hidden="true" customHeight="true" outlineLevel="1" collapsed="false">
      <c r="B365" s="81" t="s">
        <v>573</v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7" t="n">
        <v>14.067</v>
      </c>
      <c r="O365" s="25"/>
      <c r="P365" s="25"/>
      <c r="Q365" s="25"/>
      <c r="R365" s="25"/>
      <c r="S365" s="27" t="n">
        <v>9.789</v>
      </c>
      <c r="T365" s="25"/>
      <c r="U365" s="25"/>
      <c r="V365" s="25"/>
      <c r="W365" s="25"/>
      <c r="X365" s="27" t="n">
        <v>67.293</v>
      </c>
      <c r="Y365" s="25"/>
      <c r="Z365" s="25"/>
      <c r="AA365" s="25"/>
      <c r="AB365" s="25"/>
      <c r="AC365" s="27" t="n">
        <v>8.508</v>
      </c>
      <c r="AD365" s="25"/>
      <c r="AE365" s="25"/>
      <c r="AF365" s="25"/>
      <c r="AG365" s="25"/>
      <c r="AH365" s="27" t="n">
        <v>121.294</v>
      </c>
      <c r="AI365" s="25"/>
      <c r="AJ365" s="25"/>
      <c r="AK365" s="25"/>
      <c r="AL365" s="25"/>
      <c r="AM365" s="27" t="n">
        <v>168.21</v>
      </c>
      <c r="AN365" s="25"/>
      <c r="AO365" s="25"/>
      <c r="AP365" s="25"/>
      <c r="AQ365" s="25"/>
      <c r="AR365" s="27" t="n">
        <v>178.875</v>
      </c>
      <c r="AS365" s="25"/>
      <c r="AT365" s="25"/>
      <c r="AU365" s="25"/>
      <c r="AV365" s="25"/>
      <c r="AW365" s="27" t="n">
        <v>131.633</v>
      </c>
      <c r="AX365" s="25"/>
      <c r="AY365" s="25"/>
      <c r="AZ365" s="25"/>
      <c r="BA365" s="25"/>
      <c r="BB365" s="27" t="n">
        <v>336.963</v>
      </c>
      <c r="BC365" s="25"/>
      <c r="BD365" s="25"/>
      <c r="BE365" s="25"/>
      <c r="BF365" s="25"/>
      <c r="BG365" s="27" t="n">
        <v>501.913</v>
      </c>
      <c r="BH365" s="25"/>
      <c r="BI365" s="25"/>
      <c r="BJ365" s="25"/>
      <c r="BK365" s="25"/>
      <c r="BL365" s="27" t="n">
        <v>99.17</v>
      </c>
      <c r="BM365" s="25"/>
      <c r="BN365" s="25"/>
      <c r="BO365" s="25"/>
      <c r="BP365" s="25"/>
      <c r="BQ365" s="27" t="n">
        <v>598.215</v>
      </c>
      <c r="BR365" s="25"/>
      <c r="BS365" s="25"/>
      <c r="BT365" s="25"/>
      <c r="BU365" s="25"/>
      <c r="BV365" s="27" t="n">
        <v>238.532</v>
      </c>
      <c r="BW365" s="25"/>
      <c r="BX365" s="25"/>
      <c r="BY365" s="28"/>
      <c r="BZ365" s="28"/>
      <c r="CA365" s="28"/>
      <c r="CB365" s="28"/>
      <c r="CC365" s="28"/>
      <c r="CD365" s="28"/>
      <c r="CE365" s="28"/>
      <c r="CF365" s="21"/>
    </row>
    <row r="366" customFormat="false" ht="15" hidden="true" customHeight="true" outlineLevel="1" collapsed="false">
      <c r="B366" s="81" t="s">
        <v>574</v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7" t="n">
        <v>39.901</v>
      </c>
      <c r="O366" s="25"/>
      <c r="P366" s="25"/>
      <c r="Q366" s="25"/>
      <c r="R366" s="25"/>
      <c r="S366" s="27" t="n">
        <v>18.778</v>
      </c>
      <c r="T366" s="25"/>
      <c r="U366" s="25"/>
      <c r="V366" s="25"/>
      <c r="W366" s="25"/>
      <c r="X366" s="27" t="n">
        <v>140.822</v>
      </c>
      <c r="Y366" s="25"/>
      <c r="Z366" s="25"/>
      <c r="AA366" s="25"/>
      <c r="AB366" s="25"/>
      <c r="AC366" s="27" t="n">
        <v>6.82</v>
      </c>
      <c r="AD366" s="25"/>
      <c r="AE366" s="25"/>
      <c r="AF366" s="25"/>
      <c r="AG366" s="25"/>
      <c r="AH366" s="27" t="n">
        <v>311.632</v>
      </c>
      <c r="AI366" s="25"/>
      <c r="AJ366" s="25"/>
      <c r="AK366" s="25"/>
      <c r="AL366" s="25"/>
      <c r="AM366" s="27" t="n">
        <v>466.441</v>
      </c>
      <c r="AN366" s="25"/>
      <c r="AO366" s="25"/>
      <c r="AP366" s="25"/>
      <c r="AQ366" s="25"/>
      <c r="AR366" s="27" t="n">
        <v>407.068</v>
      </c>
      <c r="AS366" s="25"/>
      <c r="AT366" s="25"/>
      <c r="AU366" s="25"/>
      <c r="AV366" s="25"/>
      <c r="AW366" s="27" t="n">
        <v>185.303</v>
      </c>
      <c r="AX366" s="25"/>
      <c r="AY366" s="25"/>
      <c r="AZ366" s="25"/>
      <c r="BA366" s="25"/>
      <c r="BB366" s="27" t="n">
        <v>454.595</v>
      </c>
      <c r="BC366" s="25"/>
      <c r="BD366" s="25"/>
      <c r="BE366" s="25"/>
      <c r="BF366" s="25"/>
      <c r="BG366" s="27" t="n">
        <v>824.591</v>
      </c>
      <c r="BH366" s="25"/>
      <c r="BI366" s="25"/>
      <c r="BJ366" s="25"/>
      <c r="BK366" s="25"/>
      <c r="BL366" s="27" t="n">
        <v>462.921</v>
      </c>
      <c r="BM366" s="25"/>
      <c r="BN366" s="25"/>
      <c r="BO366" s="25"/>
      <c r="BP366" s="25"/>
      <c r="BQ366" s="27" t="n">
        <v>699.514</v>
      </c>
      <c r="BR366" s="25"/>
      <c r="BS366" s="25"/>
      <c r="BT366" s="25"/>
      <c r="BU366" s="25"/>
      <c r="BV366" s="27" t="n">
        <v>346.604</v>
      </c>
      <c r="BW366" s="25"/>
      <c r="BX366" s="25"/>
      <c r="BY366" s="28"/>
      <c r="BZ366" s="28"/>
      <c r="CA366" s="28"/>
      <c r="CB366" s="28"/>
      <c r="CC366" s="28"/>
      <c r="CD366" s="28"/>
      <c r="CE366" s="28"/>
      <c r="CF366" s="21"/>
    </row>
    <row r="367" customFormat="false" ht="15" hidden="true" customHeight="true" outlineLevel="1" collapsed="false">
      <c r="B367" s="81" t="s">
        <v>575</v>
      </c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8" t="n">
        <f aca="false">IFERROR(N365/(N364+N365+N366),"")</f>
        <v>0.210763675591448</v>
      </c>
      <c r="O367" s="35"/>
      <c r="P367" s="35"/>
      <c r="Q367" s="35"/>
      <c r="R367" s="35"/>
      <c r="S367" s="38" t="n">
        <f aca="false">IFERROR(S365/(S364+S365+S366),"")</f>
        <v>0.0579302753596601</v>
      </c>
      <c r="T367" s="35"/>
      <c r="U367" s="35"/>
      <c r="V367" s="35"/>
      <c r="W367" s="35"/>
      <c r="X367" s="38" t="n">
        <f aca="false">IFERROR(X365/(X364+X365+X366),"")</f>
        <v>0.161576361776612</v>
      </c>
      <c r="Y367" s="35"/>
      <c r="Z367" s="35"/>
      <c r="AA367" s="35"/>
      <c r="AB367" s="35"/>
      <c r="AC367" s="38" t="n">
        <f aca="false">IFERROR(AC365/(AC364+AC365+AC366),"")</f>
        <v>0.424064197777002</v>
      </c>
      <c r="AD367" s="35"/>
      <c r="AE367" s="35"/>
      <c r="AF367" s="35"/>
      <c r="AG367" s="35"/>
      <c r="AH367" s="38" t="n">
        <f aca="false">IFERROR(AH365/(AH364+AH365+AH366),"")</f>
        <v>0.201364966739104</v>
      </c>
      <c r="AI367" s="35"/>
      <c r="AJ367" s="35"/>
      <c r="AK367" s="35"/>
      <c r="AL367" s="35"/>
      <c r="AM367" s="38" t="n">
        <f aca="false">IFERROR(AM365/(AM364+AM365+AM366),"")</f>
        <v>0.156829656011524</v>
      </c>
      <c r="AN367" s="35"/>
      <c r="AO367" s="35"/>
      <c r="AP367" s="35"/>
      <c r="AQ367" s="35"/>
      <c r="AR367" s="38" t="n">
        <f aca="false">IFERROR(AR365/(AR364+AR365+AR366),"")</f>
        <v>0.20327166526512</v>
      </c>
      <c r="AS367" s="35"/>
      <c r="AT367" s="35"/>
      <c r="AU367" s="35"/>
      <c r="AV367" s="35"/>
      <c r="AW367" s="38" t="n">
        <f aca="false">IFERROR(AW365/(AW364+AW365+AW366),"")</f>
        <v>0.268457977280607</v>
      </c>
      <c r="AX367" s="35"/>
      <c r="AY367" s="35"/>
      <c r="AZ367" s="35"/>
      <c r="BA367" s="35"/>
      <c r="BB367" s="38" t="n">
        <f aca="false">IFERROR(BB365/(BB364+BB365+BB366),"")</f>
        <v>0.284058520794608</v>
      </c>
      <c r="BC367" s="35"/>
      <c r="BD367" s="35"/>
      <c r="BE367" s="35"/>
      <c r="BF367" s="35"/>
      <c r="BG367" s="38" t="n">
        <f aca="false">IFERROR(BG365/(BG364+BG365+BG366),"")</f>
        <v>0.209160134835825</v>
      </c>
      <c r="BH367" s="35"/>
      <c r="BI367" s="35"/>
      <c r="BJ367" s="35"/>
      <c r="BK367" s="35"/>
      <c r="BL367" s="38" t="n">
        <f aca="false">IFERROR(BL365/(BL364+BL365+BL366),"")</f>
        <v>0.128916939116418</v>
      </c>
      <c r="BM367" s="35"/>
      <c r="BN367" s="35"/>
      <c r="BO367" s="35"/>
      <c r="BP367" s="35"/>
      <c r="BQ367" s="38" t="n">
        <f aca="false">IFERROR(BQ365/(BQ364+BQ365+BQ366),"")</f>
        <v>0.270507059143787</v>
      </c>
      <c r="BR367" s="35"/>
      <c r="BS367" s="35"/>
      <c r="BT367" s="35"/>
      <c r="BU367" s="35"/>
      <c r="BV367" s="38" t="n">
        <f aca="false">IFERROR(BV365/(BV364+BV365+BV366),"")</f>
        <v>0.247081002693184</v>
      </c>
      <c r="BW367" s="35"/>
      <c r="BX367" s="35"/>
      <c r="BY367" s="39"/>
      <c r="BZ367" s="39"/>
      <c r="CA367" s="39"/>
      <c r="CB367" s="39"/>
      <c r="CC367" s="39"/>
      <c r="CD367" s="39"/>
      <c r="CE367" s="39"/>
      <c r="CF367" s="21"/>
    </row>
    <row r="368" customFormat="false" ht="15" hidden="true" customHeight="true" outlineLevel="1" collapsed="false">
      <c r="B368" s="16" t="s">
        <v>576</v>
      </c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7"/>
    </row>
    <row r="369" customFormat="false" ht="15" hidden="true" customHeight="true" outlineLevel="1" collapsed="false">
      <c r="B369" s="81" t="s">
        <v>577</v>
      </c>
      <c r="C369" s="38" t="n">
        <f aca="false">IFERROR(C238/C142,"")</f>
        <v>0.550083800616607</v>
      </c>
      <c r="D369" s="38" t="n">
        <f aca="false">IFERROR(D238/D142,"")</f>
        <v>0.20762054174942</v>
      </c>
      <c r="E369" s="38" t="n">
        <f aca="false">IFERROR(E238/E142,"")</f>
        <v>0.546267123287671</v>
      </c>
      <c r="F369" s="38" t="n">
        <f aca="false">IFERROR(F238/F142,"")</f>
        <v>0.592023542166809</v>
      </c>
      <c r="G369" s="38" t="n">
        <f aca="false">IFERROR(G238/G142,"")</f>
        <v>0.295867195020933</v>
      </c>
      <c r="H369" s="38" t="n">
        <f aca="false">IFERROR(H238/H142,"")</f>
        <v>0.476719833953514</v>
      </c>
      <c r="I369" s="38" t="n">
        <f aca="false">IFERROR(I238/I142,"")</f>
        <v>0.281564447142058</v>
      </c>
      <c r="J369" s="38" t="n">
        <f aca="false">IFERROR(J238/J142,"")</f>
        <v>0.612839817527723</v>
      </c>
      <c r="K369" s="38" t="n">
        <f aca="false">IFERROR(K238/K142,"")</f>
        <v>-0.0539286342063632</v>
      </c>
      <c r="L369" s="38" t="n">
        <f aca="false">IFERROR(L238/L142,"")</f>
        <v>0.250285592837597</v>
      </c>
      <c r="M369" s="38" t="n">
        <f aca="false">IFERROR(M238/M142,"")</f>
        <v>0.447767282769009</v>
      </c>
      <c r="N369" s="38" t="n">
        <f aca="false">IFERROR(N238/N142,"")</f>
        <v>0.30964808351212</v>
      </c>
      <c r="O369" s="38" t="n">
        <f aca="false">IFERROR(O238/O142,"")</f>
        <v>0.290109631026759</v>
      </c>
      <c r="P369" s="38" t="n">
        <f aca="false">IFERROR(P238/P142,"")</f>
        <v>-0.0673458815403212</v>
      </c>
      <c r="Q369" s="38" t="n">
        <f aca="false">IFERROR(Q238/Q142,"")</f>
        <v>-0.0643169799863371</v>
      </c>
      <c r="R369" s="38" t="n">
        <f aca="false">IFERROR(R238/R142,"")</f>
        <v>0.690060767284772</v>
      </c>
      <c r="S369" s="38" t="n">
        <f aca="false">IFERROR(S238/S142,"")</f>
        <v>0.203702366494896</v>
      </c>
      <c r="T369" s="38" t="n">
        <f aca="false">IFERROR(T238/T142,"")</f>
        <v>0.52419759648035</v>
      </c>
      <c r="U369" s="38" t="n">
        <f aca="false">IFERROR(U238/U142,"")</f>
        <v>-0.0815008209296692</v>
      </c>
      <c r="V369" s="38" t="n">
        <f aca="false">IFERROR(V238/V142,"")</f>
        <v>1.2978965864561</v>
      </c>
      <c r="W369" s="38" t="n">
        <f aca="false">IFERROR(W238/W142,"")</f>
        <v>0.878846844689259</v>
      </c>
      <c r="X369" s="38" t="n">
        <f aca="false">IFERROR(X238/X142,"")</f>
        <v>4.19264370726766</v>
      </c>
      <c r="Y369" s="38" t="n">
        <f aca="false">IFERROR(Y238/Y142,"")</f>
        <v>0.60251724137931</v>
      </c>
      <c r="Z369" s="38" t="n">
        <f aca="false">IFERROR(Z238/Z142,"")</f>
        <v>0.516868653783164</v>
      </c>
      <c r="AA369" s="38" t="n">
        <f aca="false">IFERROR(AA238/AA142,"")</f>
        <v>0.249617512063081</v>
      </c>
      <c r="AB369" s="38" t="n">
        <f aca="false">IFERROR(AB238/AB142,"")</f>
        <v>0.231919103099582</v>
      </c>
      <c r="AC369" s="38" t="n">
        <f aca="false">IFERROR(AC238/AC142,"")</f>
        <v>0.370891936445582</v>
      </c>
      <c r="AD369" s="38" t="n">
        <f aca="false">IFERROR(AD238/AD142,"")</f>
        <v>1.57240234722305</v>
      </c>
      <c r="AE369" s="38" t="n">
        <f aca="false">IFERROR(AE238/AE142,"")</f>
        <v>0.306597057427622</v>
      </c>
      <c r="AF369" s="38" t="n">
        <f aca="false">IFERROR(AF238/AF142,"")</f>
        <v>-0.00920950458145675</v>
      </c>
      <c r="AG369" s="38" t="n">
        <f aca="false">IFERROR(AG238/AG142,"")</f>
        <v>0.841435582096612</v>
      </c>
      <c r="AH369" s="38" t="n">
        <f aca="false">IFERROR(AH238/AH142,"")</f>
        <v>2.22439413728051</v>
      </c>
      <c r="AI369" s="38" t="n">
        <f aca="false">IFERROR(AI238/AI142,"")</f>
        <v>0.657949265352254</v>
      </c>
      <c r="AJ369" s="38" t="n">
        <f aca="false">IFERROR(AJ238/AJ142,"")</f>
        <v>0.127851521202866</v>
      </c>
      <c r="AK369" s="38" t="n">
        <f aca="false">IFERROR(AK238/AK142,"")</f>
        <v>0.371765338247716</v>
      </c>
      <c r="AL369" s="38" t="n">
        <f aca="false">IFERROR(AL238/AL142,"")</f>
        <v>0.958688054485169</v>
      </c>
      <c r="AM369" s="38" t="n">
        <f aca="false">IFERROR(AM238/AM142,"")</f>
        <v>0.486661332866626</v>
      </c>
      <c r="AN369" s="38" t="n">
        <f aca="false">IFERROR(AN238/AN142,"")</f>
        <v>0.362056636155606</v>
      </c>
      <c r="AO369" s="38" t="n">
        <f aca="false">IFERROR(AO238/AO142,"")</f>
        <v>0.220795214637579</v>
      </c>
      <c r="AP369" s="38" t="n">
        <f aca="false">IFERROR(AP238/AP142,"")</f>
        <v>0.527545987892387</v>
      </c>
      <c r="AQ369" s="38" t="n">
        <f aca="false">IFERROR(AQ238/AQ142,"")</f>
        <v>0.458860869868508</v>
      </c>
      <c r="AR369" s="38" t="n">
        <f aca="false">IFERROR(AR238/AR142,"")</f>
        <v>0.392478988578407</v>
      </c>
      <c r="AS369" s="38" t="n">
        <f aca="false">IFERROR(AS238/AS142,"")</f>
        <v>0.80945917728127</v>
      </c>
      <c r="AT369" s="38" t="n">
        <f aca="false">IFERROR(AT238/AT142,"")</f>
        <v>2.32542530397295</v>
      </c>
      <c r="AU369" s="38" t="n">
        <f aca="false">IFERROR(AU238/AU142,"")</f>
        <v>-0.32064652226877</v>
      </c>
      <c r="AV369" s="38" t="n">
        <f aca="false">IFERROR(AV238/AV142,"")</f>
        <v>1.03266331658291</v>
      </c>
      <c r="AW369" s="38" t="n">
        <f aca="false">IFERROR(AW238/AW142,"")</f>
        <v>-1.01131765554265</v>
      </c>
      <c r="AX369" s="38" t="n">
        <f aca="false">IFERROR(AX238/AX142,"")</f>
        <v>0.207962075897843</v>
      </c>
      <c r="AY369" s="38" t="n">
        <f aca="false">IFERROR(AY238/AY142,"")</f>
        <v>-0.101508314531629</v>
      </c>
      <c r="AZ369" s="38" t="n">
        <f aca="false">IFERROR(AZ238/AZ142,"")</f>
        <v>-1.50941962104349</v>
      </c>
      <c r="BA369" s="38" t="n">
        <f aca="false">IFERROR(BA238/BA142,"")</f>
        <v>0.850465243568692</v>
      </c>
      <c r="BB369" s="38" t="n">
        <f aca="false">IFERROR(BB238/BB142,"")</f>
        <v>0.0956500036124083</v>
      </c>
      <c r="BC369" s="38" t="n">
        <f aca="false">IFERROR(BC238/BC142,"")</f>
        <v>0.785806425192981</v>
      </c>
      <c r="BD369" s="38" t="n">
        <f aca="false">IFERROR(BD238/BD142,"")</f>
        <v>0.799440890459122</v>
      </c>
      <c r="BE369" s="38" t="n">
        <f aca="false">IFERROR(BE238/BE142,"")</f>
        <v>0.125264086312637</v>
      </c>
      <c r="BF369" s="38" t="n">
        <f aca="false">IFERROR(BF238/BF142,"")</f>
        <v>0.0417608608029721</v>
      </c>
      <c r="BG369" s="38" t="n">
        <f aca="false">IFERROR(BG238/BG142,"")</f>
        <v>0.438956245715198</v>
      </c>
      <c r="BH369" s="38" t="n">
        <f aca="false">IFERROR(BH238/BH142,"")</f>
        <v>0.519020390152421</v>
      </c>
      <c r="BI369" s="38" t="n">
        <f aca="false">IFERROR(BI238/BI142,"")</f>
        <v>0.0466513982290557</v>
      </c>
      <c r="BJ369" s="38" t="n">
        <f aca="false">IFERROR(BJ238/BJ142,"")</f>
        <v>-0.0375863437872172</v>
      </c>
      <c r="BK369" s="38" t="n">
        <f aca="false">IFERROR(BK238/BK142,"")</f>
        <v>-0.653941311852704</v>
      </c>
      <c r="BL369" s="38" t="n">
        <f aca="false">IFERROR(BL238/BL142,"")</f>
        <v>0.0286801857935879</v>
      </c>
      <c r="BM369" s="38" t="n">
        <f aca="false">IFERROR(BM238/BM142,"")</f>
        <v>0.511588372915019</v>
      </c>
      <c r="BN369" s="38" t="n">
        <f aca="false">IFERROR(BN238/BN142,"")</f>
        <v>0.21340464608359</v>
      </c>
      <c r="BO369" s="38" t="n">
        <f aca="false">IFERROR(BO238/BO142,"")</f>
        <v>0.366017475981394</v>
      </c>
      <c r="BP369" s="38" t="n">
        <f aca="false">IFERROR(BP238/BP142,"")</f>
        <v>1.61778270768872</v>
      </c>
      <c r="BQ369" s="38" t="n">
        <f aca="false">IFERROR(BQ238/BQ142,"")</f>
        <v>-0.391389900452983</v>
      </c>
      <c r="BR369" s="38" t="n">
        <f aca="false">IFERROR(BR238/BR142,"")</f>
        <v>0.506037751689591</v>
      </c>
      <c r="BS369" s="38" t="n">
        <f aca="false">IFERROR(BS238/BS142,"")</f>
        <v>0.223771768370381</v>
      </c>
      <c r="BT369" s="38" t="n">
        <f aca="false">IFERROR(BT238/BT142,"")</f>
        <v>0.40164740178299</v>
      </c>
      <c r="BU369" s="38" t="n">
        <f aca="false">IFERROR(BU238/BU142,"")</f>
        <v>0.2765219920734</v>
      </c>
      <c r="BV369" s="38" t="n">
        <f aca="false">IFERROR(BV238/BV142,"")</f>
        <v>0.341734068824903</v>
      </c>
      <c r="BW369" s="38" t="n">
        <f aca="false">IFERROR(BW238/BW142,"")</f>
        <v>0.444397726387916</v>
      </c>
      <c r="BX369" s="38" t="n">
        <f aca="false">IFERROR(BX238/BX142,"")</f>
        <v>0.0990713492345215</v>
      </c>
      <c r="BY369" s="39"/>
      <c r="BZ369" s="39"/>
      <c r="CA369" s="42" t="n">
        <v>0.12</v>
      </c>
      <c r="CB369" s="42" t="n">
        <v>0.12</v>
      </c>
      <c r="CC369" s="42" t="n">
        <v>0.12</v>
      </c>
      <c r="CD369" s="42" t="n">
        <v>0.12</v>
      </c>
      <c r="CE369" s="42" t="n">
        <v>0.12</v>
      </c>
      <c r="CF369" s="21" t="s">
        <v>578</v>
      </c>
    </row>
    <row r="370" customFormat="false" ht="15" hidden="true" customHeight="true" outlineLevel="1" collapsed="false">
      <c r="B370" s="81" t="s">
        <v>579</v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8"/>
      <c r="BZ370" s="28"/>
      <c r="CA370" s="28"/>
      <c r="CB370" s="57" t="n">
        <v>40</v>
      </c>
      <c r="CC370" s="57" t="n">
        <v>40</v>
      </c>
      <c r="CD370" s="57" t="n">
        <v>40</v>
      </c>
      <c r="CE370" s="57" t="n">
        <v>40</v>
      </c>
      <c r="CF370" s="21" t="s">
        <v>580</v>
      </c>
    </row>
    <row r="371" customFormat="false" ht="15" hidden="true" customHeight="true" outlineLevel="1" collapsed="false">
      <c r="B371" s="81" t="s">
        <v>581</v>
      </c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2"/>
      <c r="AS371" s="52"/>
      <c r="AT371" s="52"/>
      <c r="AU371" s="52"/>
      <c r="AV371" s="52"/>
      <c r="AW371" s="52"/>
      <c r="AX371" s="52"/>
      <c r="AY371" s="52"/>
      <c r="AZ371" s="52"/>
      <c r="BA371" s="52"/>
      <c r="BB371" s="52"/>
      <c r="BC371" s="52"/>
      <c r="BD371" s="52"/>
      <c r="BE371" s="52"/>
      <c r="BF371" s="52"/>
      <c r="BG371" s="52"/>
      <c r="BH371" s="52"/>
      <c r="BI371" s="52"/>
      <c r="BJ371" s="52"/>
      <c r="BK371" s="52"/>
      <c r="BL371" s="52"/>
      <c r="BM371" s="52"/>
      <c r="BN371" s="52"/>
      <c r="BO371" s="52"/>
      <c r="BP371" s="52"/>
      <c r="BQ371" s="52"/>
      <c r="BR371" s="52"/>
      <c r="BS371" s="52"/>
      <c r="BT371" s="52"/>
      <c r="BU371" s="52"/>
      <c r="BV371" s="52"/>
      <c r="BW371" s="52"/>
      <c r="BX371" s="52"/>
      <c r="BY371" s="53"/>
      <c r="BZ371" s="53"/>
      <c r="CA371" s="53"/>
      <c r="CB371" s="62" t="n">
        <f aca="false">$BX$153-$BX$152</f>
        <v>0.399092999999994</v>
      </c>
      <c r="CC371" s="62" t="n">
        <f aca="false">$BX$153-$BX$152</f>
        <v>0.399092999999994</v>
      </c>
      <c r="CD371" s="62" t="n">
        <f aca="false">$BX$153-$BX$152</f>
        <v>0.399092999999994</v>
      </c>
      <c r="CE371" s="62" t="n">
        <f aca="false">$BX$153-$BX$152</f>
        <v>0.399092999999994</v>
      </c>
      <c r="CF371" s="21"/>
    </row>
    <row r="372" customFormat="false" ht="15" hidden="true" customHeight="true" outlineLevel="1" collapsed="false">
      <c r="B372" s="81" t="s">
        <v>582</v>
      </c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35"/>
      <c r="AW372" s="35"/>
      <c r="AX372" s="35"/>
      <c r="AY372" s="35"/>
      <c r="AZ372" s="35"/>
      <c r="BA372" s="35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5"/>
      <c r="BU372" s="35"/>
      <c r="BV372" s="35"/>
      <c r="BW372" s="35"/>
      <c r="BX372" s="35"/>
      <c r="BY372" s="39"/>
      <c r="BZ372" s="39"/>
      <c r="CA372" s="39"/>
      <c r="CB372" s="42" t="n">
        <v>0.08</v>
      </c>
      <c r="CC372" s="42" t="n">
        <v>0.08</v>
      </c>
      <c r="CD372" s="42" t="n">
        <v>0.08</v>
      </c>
      <c r="CE372" s="42" t="n">
        <v>0.08</v>
      </c>
      <c r="CF372" s="21"/>
    </row>
    <row r="373" customFormat="false" ht="15" hidden="true" customHeight="true" outlineLevel="1" collapsed="false">
      <c r="B373" s="16" t="s">
        <v>583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7" t="s">
        <v>584</v>
      </c>
    </row>
    <row r="374" customFormat="false" ht="15" hidden="true" customHeight="true" outlineLevel="1" collapsed="false">
      <c r="B374" s="81" t="s">
        <v>585</v>
      </c>
      <c r="C374" s="26" t="n">
        <f aca="false">IF(ISNUMBER(C330),N(C327)+C330,"")</f>
        <v>644.192</v>
      </c>
      <c r="D374" s="26" t="n">
        <f aca="false">IF(ISNUMBER(D330),N(D327)+D330,"")</f>
        <v>732.833</v>
      </c>
      <c r="E374" s="26" t="n">
        <f aca="false">IF(ISNUMBER(E330),N(E327)+E330,"")</f>
        <v>835.456</v>
      </c>
      <c r="F374" s="26" t="n">
        <f aca="false">IF(ISNUMBER(F330),N(F327)+F330,"")</f>
        <v>870.163</v>
      </c>
      <c r="G374" s="26" t="n">
        <f aca="false">IF(ISNUMBER(G330),N(G327)+G330,"")</f>
        <v>912.635</v>
      </c>
      <c r="H374" s="26" t="n">
        <f aca="false">IF(ISNUMBER(H330),N(H327)+H330,"")</f>
        <v>1178.657</v>
      </c>
      <c r="I374" s="26" t="n">
        <f aca="false">IF(ISNUMBER(I330),N(I327)+I330,"")</f>
        <v>2238.935</v>
      </c>
      <c r="J374" s="26" t="n">
        <f aca="false">IF(ISNUMBER(J330),N(J327)+J330,"")</f>
        <v>2131.353</v>
      </c>
      <c r="K374" s="26" t="n">
        <f aca="false">IF(ISNUMBER(K330),N(K327)+K330,"")</f>
        <v>2075.703</v>
      </c>
      <c r="L374" s="26" t="n">
        <f aca="false">IF(ISNUMBER(L330),N(L327)+L330,"")</f>
        <v>2033.12</v>
      </c>
      <c r="M374" s="26" t="n">
        <f aca="false">IF(ISNUMBER(M330),N(M327)+M330,"")</f>
        <v>2072.975</v>
      </c>
      <c r="N374" s="26" t="n">
        <f aca="false">IF(ISNUMBER(N330),N(N327)+N330,"")</f>
        <v>2072.975</v>
      </c>
      <c r="O374" s="26" t="n">
        <f aca="false">IF(ISNUMBER(O330),N(O327)+O330,"")</f>
        <v>2008.874</v>
      </c>
      <c r="P374" s="26" t="n">
        <f aca="false">IF(ISNUMBER(P330),N(P327)+P330,"")</f>
        <v>1935.293</v>
      </c>
      <c r="Q374" s="26" t="n">
        <f aca="false">IF(ISNUMBER(Q330),N(Q327)+Q330,"")</f>
        <v>1892.214</v>
      </c>
      <c r="R374" s="26" t="n">
        <f aca="false">IF(ISNUMBER(R330),N(R327)+R330,"")</f>
        <v>1979.565</v>
      </c>
      <c r="S374" s="26" t="n">
        <f aca="false">IF(ISNUMBER(S330),N(S327)+S330,"")</f>
        <v>1979.565</v>
      </c>
      <c r="T374" s="26" t="n">
        <f aca="false">IF(ISNUMBER(T330),N(T327)+T330,"")</f>
        <v>1987.771</v>
      </c>
      <c r="U374" s="26" t="n">
        <f aca="false">IF(ISNUMBER(U330),N(U327)+U330,"")</f>
        <v>1934.425</v>
      </c>
      <c r="V374" s="26" t="n">
        <f aca="false">IF(ISNUMBER(V330),N(V327)+V330,"")</f>
        <v>1950.491</v>
      </c>
      <c r="W374" s="26" t="n">
        <f aca="false">IF(ISNUMBER(W330),N(W327)+W330,"")</f>
        <v>2149.254</v>
      </c>
      <c r="X374" s="26" t="n">
        <f aca="false">IF(ISNUMBER(X330),N(X327)+X330,"")</f>
        <v>2149.254</v>
      </c>
      <c r="Y374" s="26" t="n">
        <f aca="false">IF(ISNUMBER(Y330),N(Y327)+Y330,"")</f>
        <v>2067.641</v>
      </c>
      <c r="Z374" s="26" t="n">
        <f aca="false">IF(ISNUMBER(Z330),N(Z327)+Z330,"")</f>
        <v>3762.882</v>
      </c>
      <c r="AA374" s="26" t="n">
        <f aca="false">IF(ISNUMBER(AA330),N(AA327)+AA330,"")</f>
        <v>3663.595</v>
      </c>
      <c r="AB374" s="26" t="n">
        <f aca="false">IF(ISNUMBER(AB330),N(AB327)+AB330,"")</f>
        <v>3618.41</v>
      </c>
      <c r="AC374" s="26" t="n">
        <f aca="false">IF(ISNUMBER(AC330),N(AC327)+AC330,"")</f>
        <v>3618.41</v>
      </c>
      <c r="AD374" s="26" t="n">
        <f aca="false">IF(ISNUMBER(AD330),N(AD327)+AD330,"")</f>
        <v>3957.617</v>
      </c>
      <c r="AE374" s="26" t="n">
        <f aca="false">IF(ISNUMBER(AE330),N(AE327)+AE330,"")</f>
        <v>3975.42</v>
      </c>
      <c r="AF374" s="26" t="n">
        <f aca="false">IF(ISNUMBER(AF330),N(AF327)+AF330,"")</f>
        <v>3937.357</v>
      </c>
      <c r="AG374" s="26" t="n">
        <f aca="false">IF(ISNUMBER(AG330),N(AG327)+AG330,"")</f>
        <v>3911.231</v>
      </c>
      <c r="AH374" s="26" t="n">
        <f aca="false">IF(ISNUMBER(AH330),N(AH327)+AH330,"")</f>
        <v>3911.231</v>
      </c>
      <c r="AI374" s="26" t="n">
        <f aca="false">IF(ISNUMBER(AI330),N(AI327)+AI330,"")</f>
        <v>3880.373</v>
      </c>
      <c r="AJ374" s="26" t="n">
        <f aca="false">IF(ISNUMBER(AJ330),N(AJ327)+AJ330,"")</f>
        <v>3794.537</v>
      </c>
      <c r="AK374" s="26" t="n">
        <f aca="false">IF(ISNUMBER(AK330),N(AK327)+AK330,"")</f>
        <v>3748.962</v>
      </c>
      <c r="AL374" s="26" t="n">
        <f aca="false">IF(ISNUMBER(AL330),N(AL327)+AL330,"")</f>
        <v>4155.251</v>
      </c>
      <c r="AM374" s="26" t="n">
        <f aca="false">IF(ISNUMBER(AM330),N(AM327)+AM330,"")</f>
        <v>4155.251</v>
      </c>
      <c r="AN374" s="26" t="n">
        <f aca="false">IF(ISNUMBER(AN330),N(AN327)+AN330,"")</f>
        <v>4158.097</v>
      </c>
      <c r="AO374" s="26" t="n">
        <f aca="false">IF(ISNUMBER(AO330),N(AO327)+AO330,"")</f>
        <v>4083.674</v>
      </c>
      <c r="AP374" s="26" t="n">
        <f aca="false">IF(ISNUMBER(AP330),N(AP327)+AP330,"")</f>
        <v>4039.907</v>
      </c>
      <c r="AQ374" s="26" t="n">
        <f aca="false">IF(ISNUMBER(AQ330),N(AQ327)+AQ330,"")</f>
        <v>4354.247</v>
      </c>
      <c r="AR374" s="26" t="n">
        <f aca="false">IF(ISNUMBER(AR330),N(AR327)+AR330,"")</f>
        <v>4354.247</v>
      </c>
      <c r="AS374" s="26" t="n">
        <f aca="false">IF(ISNUMBER(AS330),N(AS327)+AS330,"")</f>
        <v>5165.053</v>
      </c>
      <c r="AT374" s="26" t="n">
        <f aca="false">IF(ISNUMBER(AT330),N(AT327)+AT330,"")</f>
        <v>4702.394</v>
      </c>
      <c r="AU374" s="26" t="n">
        <f aca="false">IF(ISNUMBER(AU330),N(AU327)+AU330,"")</f>
        <v>4686.991</v>
      </c>
      <c r="AV374" s="26" t="n">
        <f aca="false">IF(ISNUMBER(AV330),N(AV327)+AV330,"")</f>
        <v>4716.946</v>
      </c>
      <c r="AW374" s="26" t="n">
        <f aca="false">IF(ISNUMBER(AW330),N(AW327)+AW330,"")</f>
        <v>4716.946</v>
      </c>
      <c r="AX374" s="26" t="n">
        <f aca="false">IF(ISNUMBER(AX330),N(AX327)+AX330,"")</f>
        <v>4718.988</v>
      </c>
      <c r="AY374" s="26" t="n">
        <f aca="false">IF(ISNUMBER(AY330),N(AY327)+AY330,"")</f>
        <v>4769.854</v>
      </c>
      <c r="AZ374" s="26" t="n">
        <f aca="false">IF(ISNUMBER(AZ330),N(AZ327)+AZ330,"")</f>
        <v>4874.502</v>
      </c>
      <c r="BA374" s="26" t="n">
        <f aca="false">IF(ISNUMBER(BA330),N(BA327)+BA330,"")</f>
        <v>5046.52</v>
      </c>
      <c r="BB374" s="26" t="n">
        <f aca="false">IF(ISNUMBER(BB330),N(BB327)+BB330,"")</f>
        <v>5046.52</v>
      </c>
      <c r="BC374" s="26" t="n">
        <f aca="false">IF(ISNUMBER(BC330),N(BC327)+BC330,"")</f>
        <v>5845.711</v>
      </c>
      <c r="BD374" s="26" t="n">
        <f aca="false">IF(ISNUMBER(BD330),N(BD327)+BD330,"")</f>
        <v>5639.866</v>
      </c>
      <c r="BE374" s="26" t="n">
        <f aca="false">IF(ISNUMBER(BE330),N(BE327)+BE330,"")</f>
        <v>6218.689</v>
      </c>
      <c r="BF374" s="26" t="n">
        <f aca="false">IF(ISNUMBER(BF330),N(BF327)+BF330,"")</f>
        <v>6896.908</v>
      </c>
      <c r="BG374" s="26" t="n">
        <f aca="false">IF(ISNUMBER(BG330),N(BG327)+BG330,"")</f>
        <v>6896.908</v>
      </c>
      <c r="BH374" s="26" t="n">
        <f aca="false">IF(ISNUMBER(BH330),N(BH327)+BH330,"")</f>
        <v>6932.352</v>
      </c>
      <c r="BI374" s="26" t="n">
        <f aca="false">IF(ISNUMBER(BI330),N(BI327)+BI330,"")</f>
        <v>6692.083</v>
      </c>
      <c r="BJ374" s="26" t="n">
        <f aca="false">IF(ISNUMBER(BJ330),N(BJ327)+BJ330,"")</f>
        <v>6836.199</v>
      </c>
      <c r="BK374" s="26" t="n">
        <f aca="false">IF(ISNUMBER(BK330),N(BK327)+BK330,"")</f>
        <v>6751.233</v>
      </c>
      <c r="BL374" s="26" t="n">
        <f aca="false">IF(ISNUMBER(BL330),N(BL327)+BL330,"")</f>
        <v>6751.233</v>
      </c>
      <c r="BM374" s="26" t="n">
        <f aca="false">IF(ISNUMBER(BM330),N(BM327)+BM330,"")</f>
        <v>7811.287</v>
      </c>
      <c r="BN374" s="26" t="n">
        <f aca="false">IF(ISNUMBER(BN330),N(BN327)+BN330,"")</f>
        <v>7706.287</v>
      </c>
      <c r="BO374" s="26" t="n">
        <f aca="false">IF(ISNUMBER(BO330),N(BO327)+BO330,"")</f>
        <v>8168.411</v>
      </c>
      <c r="BP374" s="26" t="n">
        <f aca="false">IF(ISNUMBER(BP330),N(BP327)+BP330,"")</f>
        <v>8080.779</v>
      </c>
      <c r="BQ374" s="26" t="n">
        <f aca="false">IF(ISNUMBER(BQ330),N(BQ327)+BQ330,"")</f>
        <v>8080.779</v>
      </c>
      <c r="BR374" s="26" t="n">
        <f aca="false">IF(ISNUMBER(BR330),N(BR327)+BR330,"")</f>
        <v>8396.021</v>
      </c>
      <c r="BS374" s="26" t="n">
        <f aca="false">IF(ISNUMBER(BS330),N(BS327)+BS330,"")</f>
        <v>8345.937</v>
      </c>
      <c r="BT374" s="26" t="n">
        <f aca="false">IF(ISNUMBER(BT330),N(BT327)+BT330,"")</f>
        <v>8629.99</v>
      </c>
      <c r="BU374" s="26" t="n">
        <f aca="false">IF(ISNUMBER(BU330),N(BU327)+BU330,"")</f>
        <v>8819.771</v>
      </c>
      <c r="BV374" s="26" t="n">
        <f aca="false">IF(ISNUMBER(BV330),N(BV327)+BV330,"")</f>
        <v>8819.771</v>
      </c>
      <c r="BW374" s="26" t="n">
        <f aca="false">IF(ISNUMBER(BW330),N(BW327)+BW330,"")</f>
        <v>9102.186</v>
      </c>
      <c r="BX374" s="26" t="n">
        <f aca="false">IF(ISNUMBER(BX330),N(BX327)+BX330,"")</f>
        <v>9291.904</v>
      </c>
      <c r="BY374" s="28"/>
      <c r="BZ374" s="28"/>
      <c r="CA374" s="47" t="n">
        <f aca="false">CA378+CA381</f>
        <v>9190.58328667306</v>
      </c>
      <c r="CB374" s="47" t="n">
        <f aca="false">CB378+CB381</f>
        <v>9964.2238021534</v>
      </c>
      <c r="CC374" s="47" t="n">
        <f aca="false">CC378+CC381</f>
        <v>10779.6230339663</v>
      </c>
      <c r="CD374" s="47" t="n">
        <f aca="false">CD378+CD381</f>
        <v>11651.9076130214</v>
      </c>
      <c r="CE374" s="47" t="n">
        <f aca="false">CE378+CE381</f>
        <v>12544.5517563342</v>
      </c>
      <c r="CF374" s="21"/>
    </row>
    <row r="375" customFormat="false" ht="15" hidden="true" customHeight="true" outlineLevel="1" collapsed="false">
      <c r="B375" s="81" t="s">
        <v>586</v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8"/>
      <c r="BZ375" s="28"/>
      <c r="CA375" s="57" t="n">
        <v>0</v>
      </c>
      <c r="CB375" s="57" t="n">
        <v>0</v>
      </c>
      <c r="CC375" s="57" t="n">
        <v>-500</v>
      </c>
      <c r="CD375" s="57" t="n">
        <v>-851.85</v>
      </c>
      <c r="CE375" s="57" t="n">
        <v>-600</v>
      </c>
      <c r="CF375" s="21" t="s">
        <v>587</v>
      </c>
    </row>
    <row r="376" customFormat="false" ht="15" hidden="true" customHeight="true" outlineLevel="1" collapsed="false">
      <c r="B376" s="81" t="s">
        <v>588</v>
      </c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35"/>
      <c r="AW376" s="35"/>
      <c r="AX376" s="35"/>
      <c r="AY376" s="35"/>
      <c r="AZ376" s="35"/>
      <c r="BA376" s="35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5"/>
      <c r="BU376" s="35"/>
      <c r="BV376" s="35"/>
      <c r="BW376" s="35"/>
      <c r="BX376" s="35"/>
      <c r="BY376" s="39"/>
      <c r="BZ376" s="39"/>
      <c r="CA376" s="42" t="n">
        <v>1</v>
      </c>
      <c r="CB376" s="42" t="n">
        <v>1</v>
      </c>
      <c r="CC376" s="42" t="n">
        <v>1</v>
      </c>
      <c r="CD376" s="42" t="n">
        <v>1</v>
      </c>
      <c r="CE376" s="42" t="n">
        <v>1</v>
      </c>
      <c r="CF376" s="21"/>
    </row>
    <row r="377" customFormat="false" ht="15" hidden="true" customHeight="true" outlineLevel="1" collapsed="false">
      <c r="B377" s="81" t="s">
        <v>589</v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8"/>
      <c r="BZ377" s="28"/>
      <c r="CA377" s="47" t="n">
        <f aca="false">-CA375*CA376</f>
        <v>-0</v>
      </c>
      <c r="CB377" s="47" t="n">
        <f aca="false">-CB375*CB376</f>
        <v>-0</v>
      </c>
      <c r="CC377" s="47" t="n">
        <f aca="false">-CC375*CC376</f>
        <v>500</v>
      </c>
      <c r="CD377" s="47" t="n">
        <f aca="false">-CD375*CD376</f>
        <v>851.85</v>
      </c>
      <c r="CE377" s="47" t="n">
        <f aca="false">-CE375*CE376</f>
        <v>600</v>
      </c>
      <c r="CF377" s="21"/>
    </row>
    <row r="378" customFormat="false" ht="15" hidden="true" customHeight="true" outlineLevel="1" collapsed="false">
      <c r="B378" s="81" t="s">
        <v>590</v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7" t="n">
        <v>6464.8</v>
      </c>
      <c r="BW378" s="25"/>
      <c r="BX378" s="27" t="n">
        <v>7051.85</v>
      </c>
      <c r="BY378" s="28"/>
      <c r="BZ378" s="28"/>
      <c r="CA378" s="47" t="n">
        <f aca="false">BX378+CA375+CA377</f>
        <v>7051.85</v>
      </c>
      <c r="CB378" s="47" t="n">
        <f aca="false">CA378+CB375+CB377</f>
        <v>7051.85</v>
      </c>
      <c r="CC378" s="47" t="n">
        <f aca="false">CB378+CC375+CC377</f>
        <v>7051.85</v>
      </c>
      <c r="CD378" s="47" t="n">
        <f aca="false">CC378+CD375+CD377</f>
        <v>7051.85</v>
      </c>
      <c r="CE378" s="47" t="n">
        <f aca="false">CD378+CE375+CE377</f>
        <v>7051.85</v>
      </c>
      <c r="CF378" s="21" t="s">
        <v>591</v>
      </c>
    </row>
    <row r="379" customFormat="false" ht="15" hidden="true" customHeight="true" outlineLevel="1" collapsed="false">
      <c r="B379" s="81" t="s">
        <v>592</v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8"/>
      <c r="BZ379" s="28"/>
      <c r="CA379" s="47" t="n">
        <f aca="false">CA260+CA241+CA247+CA250+CA251+CA252+CA253+N(CA254)+CA255+CA256+CA258+(BW248+BX248)+(BW249+BX249)+CA375+CA377</f>
        <v>401.320713326935</v>
      </c>
      <c r="CB379" s="47" t="n">
        <f aca="false">CB260+CB241+CB247+CB250+CB251+CB252+CB253+CB255+CB256+CB258+CB375+CB377</f>
        <v>-473.640515480339</v>
      </c>
      <c r="CC379" s="47" t="n">
        <f aca="false">CC260+CC241+CC247+CC250+CC251+CC252+CC253+CC255+CC256+CC258+CC375+CC377</f>
        <v>-515.399231812923</v>
      </c>
      <c r="CD379" s="47" t="n">
        <f aca="false">CD260+CD241+CD247+CD250+CD251+CD252+CD253+CD255+CD256+CD258+CD375+CD377</f>
        <v>-572.284579055107</v>
      </c>
      <c r="CE379" s="47" t="n">
        <f aca="false">CE260+CE241+CE247+CE250+CE251+CE252+CE253+CE255+CE256+CE258+CE375+CE377</f>
        <v>-592.644143312809</v>
      </c>
      <c r="CF379" s="21"/>
    </row>
    <row r="380" customFormat="false" ht="15" hidden="true" customHeight="true" outlineLevel="1" collapsed="false">
      <c r="B380" s="81" t="s">
        <v>593</v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8"/>
      <c r="BZ380" s="28"/>
      <c r="CA380" s="57" t="n">
        <v>300</v>
      </c>
      <c r="CB380" s="57" t="n">
        <v>300</v>
      </c>
      <c r="CC380" s="57" t="n">
        <v>300</v>
      </c>
      <c r="CD380" s="57" t="n">
        <v>300</v>
      </c>
      <c r="CE380" s="57" t="n">
        <v>300</v>
      </c>
      <c r="CF380" s="21"/>
    </row>
    <row r="381" customFormat="false" ht="15" hidden="true" customHeight="true" outlineLevel="1" collapsed="false">
      <c r="B381" s="81" t="s">
        <v>594</v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6" t="n">
        <f aca="false">BV374-BV378</f>
        <v>2354.971</v>
      </c>
      <c r="BW381" s="25"/>
      <c r="BX381" s="26" t="n">
        <f aca="false">BX374-BX378</f>
        <v>2240.054</v>
      </c>
      <c r="BY381" s="28"/>
      <c r="BZ381" s="28"/>
      <c r="CA381" s="47" t="n">
        <f aca="false">MAX(0,BX381+CA380-CA379)</f>
        <v>2138.73328667306</v>
      </c>
      <c r="CB381" s="47" t="n">
        <f aca="false">MAX(0,CA381+CB380-CB379)</f>
        <v>2912.3738021534</v>
      </c>
      <c r="CC381" s="47" t="n">
        <f aca="false">MAX(0,CB381+CC380-CC379)</f>
        <v>3727.77303396633</v>
      </c>
      <c r="CD381" s="47" t="n">
        <f aca="false">MAX(0,CC381+CD380-CD379)</f>
        <v>4600.05761302143</v>
      </c>
      <c r="CE381" s="47" t="n">
        <f aca="false">MAX(0,CD381+CE380-CE379)</f>
        <v>5492.70175633424</v>
      </c>
      <c r="CF381" s="21" t="s">
        <v>595</v>
      </c>
    </row>
    <row r="382" customFormat="false" ht="15" hidden="true" customHeight="true" outlineLevel="1" collapsed="false">
      <c r="B382" s="81" t="s">
        <v>596</v>
      </c>
      <c r="C382" s="25"/>
      <c r="D382" s="26" t="n">
        <f aca="false">IFERROR(D374-C374,"")</f>
        <v>88.6410000000001</v>
      </c>
      <c r="E382" s="26" t="n">
        <f aca="false">IFERROR(E374-D374,"")</f>
        <v>102.623</v>
      </c>
      <c r="F382" s="26" t="n">
        <f aca="false">IFERROR(F374-E374,"")</f>
        <v>34.707</v>
      </c>
      <c r="G382" s="26" t="n">
        <f aca="false">IFERROR(G374-F374,"")</f>
        <v>42.472</v>
      </c>
      <c r="H382" s="26" t="n">
        <f aca="false">IFERROR(H374-G374,"")</f>
        <v>266.022</v>
      </c>
      <c r="I382" s="26" t="n">
        <f aca="false">IFERROR(I374-H374,"")</f>
        <v>1060.278</v>
      </c>
      <c r="J382" s="25"/>
      <c r="K382" s="25"/>
      <c r="L382" s="25"/>
      <c r="M382" s="25"/>
      <c r="N382" s="26" t="n">
        <f aca="false">IFERROR(N374-I374,"")</f>
        <v>-165.96</v>
      </c>
      <c r="O382" s="26" t="n">
        <f aca="false">IFERROR(O374-J374,"")</f>
        <v>-122.479</v>
      </c>
      <c r="P382" s="26" t="n">
        <f aca="false">IFERROR(P374-K374,"")</f>
        <v>-140.41</v>
      </c>
      <c r="Q382" s="26" t="n">
        <f aca="false">IFERROR(Q374-L374,"")</f>
        <v>-140.906</v>
      </c>
      <c r="R382" s="26" t="n">
        <f aca="false">IFERROR(R374-M374,"")</f>
        <v>-93.4100000000005</v>
      </c>
      <c r="S382" s="26" t="n">
        <f aca="false">IFERROR(S374-N374,"")</f>
        <v>-93.4100000000005</v>
      </c>
      <c r="T382" s="26" t="n">
        <f aca="false">IFERROR(T374-O374,"")</f>
        <v>-21.1030000000001</v>
      </c>
      <c r="U382" s="26" t="n">
        <f aca="false">IFERROR(U374-P374,"")</f>
        <v>-0.867999999999938</v>
      </c>
      <c r="V382" s="26" t="n">
        <f aca="false">IFERROR(V374-Q374,"")</f>
        <v>58.2769999999998</v>
      </c>
      <c r="W382" s="26" t="n">
        <f aca="false">IFERROR(W374-R374,"")</f>
        <v>169.689</v>
      </c>
      <c r="X382" s="26" t="n">
        <f aca="false">IFERROR(X374-S374,"")</f>
        <v>169.689</v>
      </c>
      <c r="Y382" s="26" t="n">
        <f aca="false">IFERROR(Y374-T374,"")</f>
        <v>79.8700000000001</v>
      </c>
      <c r="Z382" s="26" t="n">
        <f aca="false">IFERROR(Z374-U374,"")</f>
        <v>1828.457</v>
      </c>
      <c r="AA382" s="26" t="n">
        <f aca="false">IFERROR(AA374-V374,"")</f>
        <v>1713.104</v>
      </c>
      <c r="AB382" s="26" t="n">
        <f aca="false">IFERROR(AB374-W374,"")</f>
        <v>1469.156</v>
      </c>
      <c r="AC382" s="26" t="n">
        <f aca="false">IFERROR(AC374-X374,"")</f>
        <v>1469.156</v>
      </c>
      <c r="AD382" s="26" t="n">
        <f aca="false">IFERROR(AD374-Y374,"")</f>
        <v>1889.976</v>
      </c>
      <c r="AE382" s="26" t="n">
        <f aca="false">IFERROR(AE374-Z374,"")</f>
        <v>212.538</v>
      </c>
      <c r="AF382" s="26" t="n">
        <f aca="false">IFERROR(AF374-AA374,"")</f>
        <v>273.762</v>
      </c>
      <c r="AG382" s="26" t="n">
        <f aca="false">IFERROR(AG374-AB374,"")</f>
        <v>292.821</v>
      </c>
      <c r="AH382" s="26" t="n">
        <f aca="false">IFERROR(AH374-AC374,"")</f>
        <v>292.821</v>
      </c>
      <c r="AI382" s="26" t="n">
        <f aca="false">IFERROR(AI374-AD374,"")</f>
        <v>-77.2439999999997</v>
      </c>
      <c r="AJ382" s="26" t="n">
        <f aca="false">IFERROR(AJ374-AE374,"")</f>
        <v>-180.883</v>
      </c>
      <c r="AK382" s="26" t="n">
        <f aca="false">IFERROR(AK374-AF374,"")</f>
        <v>-188.395</v>
      </c>
      <c r="AL382" s="26" t="n">
        <f aca="false">IFERROR(AL374-AG374,"")</f>
        <v>244.02</v>
      </c>
      <c r="AM382" s="26" t="n">
        <f aca="false">IFERROR(AM374-AH374,"")</f>
        <v>244.02</v>
      </c>
      <c r="AN382" s="26" t="n">
        <f aca="false">IFERROR(AN374-AI374,"")</f>
        <v>277.724</v>
      </c>
      <c r="AO382" s="26" t="n">
        <f aca="false">IFERROR(AO374-AJ374,"")</f>
        <v>289.137</v>
      </c>
      <c r="AP382" s="26" t="n">
        <f aca="false">IFERROR(AP374-AK374,"")</f>
        <v>290.945</v>
      </c>
      <c r="AQ382" s="26" t="n">
        <f aca="false">IFERROR(AQ374-AL374,"")</f>
        <v>198.996</v>
      </c>
      <c r="AR382" s="26" t="n">
        <f aca="false">IFERROR(AR374-AM374,"")</f>
        <v>198.996</v>
      </c>
      <c r="AS382" s="26" t="n">
        <f aca="false">IFERROR(AS374-AN374,"")</f>
        <v>1006.956</v>
      </c>
      <c r="AT382" s="26" t="n">
        <f aca="false">IFERROR(AT374-AO374,"")</f>
        <v>618.72</v>
      </c>
      <c r="AU382" s="26" t="n">
        <f aca="false">IFERROR(AU374-AP374,"")</f>
        <v>647.084</v>
      </c>
      <c r="AV382" s="26" t="n">
        <f aca="false">IFERROR(AV374-AQ374,"")</f>
        <v>362.699</v>
      </c>
      <c r="AW382" s="26" t="n">
        <f aca="false">IFERROR(AW374-AR374,"")</f>
        <v>362.699</v>
      </c>
      <c r="AX382" s="26" t="n">
        <f aca="false">IFERROR(AX374-AS374,"")</f>
        <v>-446.065</v>
      </c>
      <c r="AY382" s="26" t="n">
        <f aca="false">IFERROR(AY374-AT374,"")</f>
        <v>67.46</v>
      </c>
      <c r="AZ382" s="26" t="n">
        <f aca="false">IFERROR(AZ374-AU374,"")</f>
        <v>187.511</v>
      </c>
      <c r="BA382" s="26" t="n">
        <f aca="false">IFERROR(BA374-AV374,"")</f>
        <v>329.574000000001</v>
      </c>
      <c r="BB382" s="26" t="n">
        <f aca="false">IFERROR(BB374-AW374,"")</f>
        <v>329.574000000001</v>
      </c>
      <c r="BC382" s="26" t="n">
        <f aca="false">IFERROR(BC374-AX374,"")</f>
        <v>1126.723</v>
      </c>
      <c r="BD382" s="26" t="n">
        <f aca="false">IFERROR(BD374-AY374,"")</f>
        <v>870.012</v>
      </c>
      <c r="BE382" s="26" t="n">
        <f aca="false">IFERROR(BE374-AZ374,"")</f>
        <v>1344.187</v>
      </c>
      <c r="BF382" s="26" t="n">
        <f aca="false">IFERROR(BF374-BA374,"")</f>
        <v>1850.388</v>
      </c>
      <c r="BG382" s="26" t="n">
        <f aca="false">IFERROR(BG374-BB374,"")</f>
        <v>1850.388</v>
      </c>
      <c r="BH382" s="26" t="n">
        <f aca="false">IFERROR(BH374-BC374,"")</f>
        <v>1086.641</v>
      </c>
      <c r="BI382" s="26" t="n">
        <f aca="false">IFERROR(BI374-BD374,"")</f>
        <v>1052.217</v>
      </c>
      <c r="BJ382" s="26" t="n">
        <f aca="false">IFERROR(BJ374-BE374,"")</f>
        <v>617.510000000001</v>
      </c>
      <c r="BK382" s="26" t="n">
        <f aca="false">IFERROR(BK374-BF374,"")</f>
        <v>-145.675</v>
      </c>
      <c r="BL382" s="26" t="n">
        <f aca="false">IFERROR(BL374-BG374,"")</f>
        <v>-145.675</v>
      </c>
      <c r="BM382" s="26" t="n">
        <f aca="false">IFERROR(BM374-BH374,"")</f>
        <v>878.935</v>
      </c>
      <c r="BN382" s="26" t="n">
        <f aca="false">IFERROR(BN374-BI374,"")</f>
        <v>1014.204</v>
      </c>
      <c r="BO382" s="26" t="n">
        <f aca="false">IFERROR(BO374-BJ374,"")</f>
        <v>1332.212</v>
      </c>
      <c r="BP382" s="26" t="n">
        <f aca="false">IFERROR(BP374-BK374,"")</f>
        <v>1329.546</v>
      </c>
      <c r="BQ382" s="26" t="n">
        <f aca="false">IFERROR(BQ374-BL374,"")</f>
        <v>1329.546</v>
      </c>
      <c r="BR382" s="26" t="n">
        <f aca="false">IFERROR(BR374-BM374,"")</f>
        <v>584.734</v>
      </c>
      <c r="BS382" s="26" t="n">
        <f aca="false">IFERROR(BS374-BN374,"")</f>
        <v>639.65</v>
      </c>
      <c r="BT382" s="26" t="n">
        <f aca="false">IFERROR(BT374-BO374,"")</f>
        <v>461.579000000001</v>
      </c>
      <c r="BU382" s="26" t="n">
        <f aca="false">IFERROR(BU374-BP374,"")</f>
        <v>738.991999999999</v>
      </c>
      <c r="BV382" s="26" t="n">
        <f aca="false">IFERROR(BV374-BQ374,"")</f>
        <v>738.991999999999</v>
      </c>
      <c r="BW382" s="26" t="n">
        <f aca="false">IFERROR(BW374-BR374,"")</f>
        <v>706.165000000001</v>
      </c>
      <c r="BX382" s="26" t="n">
        <f aca="false">IFERROR(BX374-BS374,"")</f>
        <v>945.966999999999</v>
      </c>
      <c r="BY382" s="28"/>
      <c r="BZ382" s="28"/>
      <c r="CA382" s="47" t="n">
        <f aca="false">IFERROR(CA374-BV374,"")</f>
        <v>370.812286673065</v>
      </c>
      <c r="CB382" s="47" t="n">
        <f aca="false">IFERROR(CB374-CA374,"")</f>
        <v>773.64051548034</v>
      </c>
      <c r="CC382" s="47" t="n">
        <f aca="false">IFERROR(CC374-CB374,"")</f>
        <v>815.399231812924</v>
      </c>
      <c r="CD382" s="47" t="n">
        <f aca="false">IFERROR(CD374-CC374,"")</f>
        <v>872.284579055107</v>
      </c>
      <c r="CE382" s="47" t="n">
        <f aca="false">IFERROR(CE374-CD374,"")</f>
        <v>892.644143312809</v>
      </c>
      <c r="CF382" s="21"/>
    </row>
    <row r="383" customFormat="false" ht="15" hidden="true" customHeight="true" outlineLevel="1" collapsed="false">
      <c r="B383" s="81" t="s">
        <v>597</v>
      </c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35"/>
      <c r="AW383" s="35"/>
      <c r="AX383" s="35"/>
      <c r="AY383" s="35"/>
      <c r="AZ383" s="35"/>
      <c r="BA383" s="35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5"/>
      <c r="BU383" s="35"/>
      <c r="BV383" s="35"/>
      <c r="BW383" s="35"/>
      <c r="BX383" s="35"/>
      <c r="BY383" s="39"/>
      <c r="BZ383" s="39"/>
      <c r="CA383" s="39"/>
      <c r="CB383" s="42" t="n">
        <v>0.0385</v>
      </c>
      <c r="CC383" s="42" t="n">
        <v>0.039</v>
      </c>
      <c r="CD383" s="42" t="n">
        <v>0.0405</v>
      </c>
      <c r="CE383" s="42" t="n">
        <v>0.042</v>
      </c>
      <c r="CF383" s="21" t="s">
        <v>598</v>
      </c>
    </row>
    <row r="384" customFormat="false" ht="15" hidden="true" customHeight="true" outlineLevel="1" collapsed="false">
      <c r="B384" s="81" t="s">
        <v>599</v>
      </c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35"/>
      <c r="AW384" s="35"/>
      <c r="AX384" s="35"/>
      <c r="AY384" s="35"/>
      <c r="AZ384" s="35"/>
      <c r="BA384" s="35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5"/>
      <c r="BU384" s="35"/>
      <c r="BV384" s="35"/>
      <c r="BW384" s="35"/>
      <c r="BX384" s="35"/>
      <c r="BY384" s="39"/>
      <c r="BZ384" s="39"/>
      <c r="CA384" s="39"/>
      <c r="CB384" s="42" t="n">
        <v>0.042</v>
      </c>
      <c r="CC384" s="42" t="n">
        <v>0.042</v>
      </c>
      <c r="CD384" s="42" t="n">
        <v>0.042</v>
      </c>
      <c r="CE384" s="42" t="n">
        <v>0.042</v>
      </c>
      <c r="CF384" s="21" t="s">
        <v>600</v>
      </c>
    </row>
    <row r="385" customFormat="false" ht="15" hidden="true" customHeight="true" outlineLevel="1" collapsed="false">
      <c r="B385" s="81" t="s">
        <v>601</v>
      </c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35"/>
      <c r="BA385" s="35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5"/>
      <c r="BU385" s="35"/>
      <c r="BV385" s="35"/>
      <c r="BW385" s="35"/>
      <c r="BX385" s="35"/>
      <c r="BY385" s="39"/>
      <c r="BZ385" s="39"/>
      <c r="CA385" s="39"/>
      <c r="CB385" s="42" t="n">
        <v>0.03</v>
      </c>
      <c r="CC385" s="42" t="n">
        <v>0.03</v>
      </c>
      <c r="CD385" s="42" t="n">
        <v>0.03</v>
      </c>
      <c r="CE385" s="42" t="n">
        <v>0.03</v>
      </c>
      <c r="CF385" s="21"/>
    </row>
    <row r="386" customFormat="false" ht="15" hidden="true" customHeight="true" outlineLevel="1" collapsed="false">
      <c r="B386" s="16" t="s">
        <v>602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7"/>
    </row>
    <row r="387" customFormat="false" ht="15" hidden="true" customHeight="true" outlineLevel="1" collapsed="false">
      <c r="B387" s="81" t="s">
        <v>603</v>
      </c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9"/>
      <c r="BZ387" s="49"/>
      <c r="CA387" s="49"/>
      <c r="CB387" s="76" t="n">
        <f aca="false">CHOOSE(MATCH($CF$2,{"Bull","Base","Bear"},0),$CO$26,$CP$26,$CQ$26)</f>
        <v>2.75</v>
      </c>
      <c r="CC387" s="76" t="n">
        <f aca="false">CHOOSE(MATCH($CF$2,{"Bull","Base","Bear"},0),$CO$26,$CP$26,$CQ$26)</f>
        <v>2.75</v>
      </c>
      <c r="CD387" s="76" t="n">
        <f aca="false">CHOOSE(MATCH($CF$2,{"Bull","Base","Bear"},0),$CO$26,$CP$26,$CQ$26)</f>
        <v>2.75</v>
      </c>
      <c r="CE387" s="76" t="n">
        <f aca="false">CHOOSE(MATCH($CF$2,{"Bull","Base","Bear"},0),$CO$26,$CP$26,$CQ$26)</f>
        <v>2.75</v>
      </c>
      <c r="CF387" s="21" t="s">
        <v>604</v>
      </c>
    </row>
    <row r="388" customFormat="false" ht="15" hidden="true" customHeight="true" outlineLevel="1" collapsed="false">
      <c r="B388" s="81" t="s">
        <v>605</v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8"/>
      <c r="BZ388" s="28"/>
      <c r="CA388" s="28"/>
      <c r="CB388" s="47" t="n">
        <f aca="false">CA374-CA308-CB241-CB247-CB251-CB253-CB255-CB256-CB250-CB258</f>
        <v>8746.23973828192</v>
      </c>
      <c r="CC388" s="47" t="n">
        <f aca="false">CB374-CB308-CC241-CC247-CC251-CC253-CC255-CC256-CC250-CC258</f>
        <v>9389.13821176119</v>
      </c>
      <c r="CD388" s="47" t="n">
        <f aca="false">CC374-CC308-CD241-CD247-CD251-CD253-CD255-CD256-CD250-CD258</f>
        <v>10094.271627711</v>
      </c>
      <c r="CE388" s="47" t="n">
        <f aca="false">CD374-CD308-CE241-CE247-CE251-CE253-CE255-CE256-CE250-CE258</f>
        <v>10858.3190140451</v>
      </c>
      <c r="CF388" s="21"/>
    </row>
    <row r="389" customFormat="false" ht="15" hidden="true" customHeight="true" outlineLevel="1" collapsed="false">
      <c r="B389" s="81" t="s">
        <v>606</v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8"/>
      <c r="BZ389" s="28"/>
      <c r="CA389" s="28"/>
      <c r="CB389" s="47" t="n">
        <f aca="false">CB387*CB180</f>
        <v>9827.6218021534</v>
      </c>
      <c r="CC389" s="47" t="n">
        <f aca="false">CC387*CC180</f>
        <v>10643.0210339663</v>
      </c>
      <c r="CD389" s="47" t="n">
        <f aca="false">CD387*CD180</f>
        <v>11515.3056130214</v>
      </c>
      <c r="CE389" s="47" t="n">
        <f aca="false">CE387*CE180</f>
        <v>12407.9497563342</v>
      </c>
      <c r="CF389" s="21"/>
    </row>
    <row r="390" customFormat="false" ht="15" hidden="true" customHeight="true" outlineLevel="1" collapsed="false">
      <c r="B390" s="81" t="s">
        <v>607</v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8"/>
      <c r="BZ390" s="28"/>
      <c r="CA390" s="28"/>
      <c r="CB390" s="47" t="n">
        <f aca="false">MAX(0,CB389-CB388)</f>
        <v>1081.38206387148</v>
      </c>
      <c r="CC390" s="47" t="n">
        <f aca="false">MAX(0,CC389-CC388)</f>
        <v>1253.88282220514</v>
      </c>
      <c r="CD390" s="47" t="n">
        <f aca="false">MAX(0,CD389-CD388)</f>
        <v>1421.03398531039</v>
      </c>
      <c r="CE390" s="47" t="n">
        <f aca="false">MAX(0,CE389-CE388)</f>
        <v>1549.63074228917</v>
      </c>
      <c r="CF390" s="21" t="s">
        <v>608</v>
      </c>
    </row>
    <row r="391" customFormat="false" ht="15" hidden="true" customHeight="true" outlineLevel="1" collapsed="false">
      <c r="B391" s="16" t="s">
        <v>609</v>
      </c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7"/>
    </row>
    <row r="392" customFormat="false" ht="15" hidden="true" customHeight="true" outlineLevel="1" collapsed="false">
      <c r="B392" s="81" t="s">
        <v>610</v>
      </c>
      <c r="C392" s="38" t="n">
        <f aca="false">IFERROR(C169/C128,"")</f>
        <v>0.0908165666691737</v>
      </c>
      <c r="D392" s="38" t="n">
        <f aca="false">IFERROR(D169/D128,"")</f>
        <v>0.0893315987526877</v>
      </c>
      <c r="E392" s="38" t="n">
        <f aca="false">IFERROR(E169/E128,"")</f>
        <v>0.0928246203564586</v>
      </c>
      <c r="F392" s="38" t="n">
        <f aca="false">IFERROR(F169/F128,"")</f>
        <v>0.109752197637555</v>
      </c>
      <c r="G392" s="38" t="n">
        <f aca="false">IFERROR(G169/G128,"")</f>
        <v>0.111729659323648</v>
      </c>
      <c r="H392" s="38" t="n">
        <f aca="false">IFERROR(H169/H128,"")</f>
        <v>0.11100290560568</v>
      </c>
      <c r="I392" s="38" t="n">
        <f aca="false">IFERROR(I169/I128,"")</f>
        <v>0.116503311832202</v>
      </c>
      <c r="J392" s="38" t="n">
        <f aca="false">IFERROR(J169/J128,"")</f>
        <v>0.129113209392476</v>
      </c>
      <c r="K392" s="38" t="n">
        <f aca="false">IFERROR(K169/K128,"")</f>
        <v>0.124600260328864</v>
      </c>
      <c r="L392" s="38" t="n">
        <f aca="false">IFERROR(L169/L128,"")</f>
        <v>0.123249266349777</v>
      </c>
      <c r="M392" s="38" t="n">
        <f aca="false">IFERROR(M169/M128,"")</f>
        <v>0.129098516702787</v>
      </c>
      <c r="N392" s="38" t="n">
        <f aca="false">IFERROR(N169/N128,"")</f>
        <v>0.126433343097634</v>
      </c>
      <c r="O392" s="38" t="n">
        <f aca="false">IFERROR(O169/O128,"")</f>
        <v>0.129858213447925</v>
      </c>
      <c r="P392" s="38" t="n">
        <f aca="false">IFERROR(P169/P128,"")</f>
        <v>0.121642560506811</v>
      </c>
      <c r="Q392" s="38" t="n">
        <f aca="false">IFERROR(Q169/Q128,"")</f>
        <v>0.120208361159343</v>
      </c>
      <c r="R392" s="38" t="n">
        <f aca="false">IFERROR(R169/R128,"")</f>
        <v>0.125169845670859</v>
      </c>
      <c r="S392" s="38" t="n">
        <f aca="false">IFERROR(S169/S128,"")</f>
        <v>0.124061282264139</v>
      </c>
      <c r="T392" s="38" t="n">
        <f aca="false">IFERROR(T169/T128,"")</f>
        <v>0.127061845485082</v>
      </c>
      <c r="U392" s="38" t="n">
        <f aca="false">IFERROR(U169/U128,"")</f>
        <v>0.125920363176439</v>
      </c>
      <c r="V392" s="38" t="n">
        <f aca="false">IFERROR(V169/V128,"")</f>
        <v>0.125138245567929</v>
      </c>
      <c r="W392" s="38" t="n">
        <f aca="false">IFERROR(W169/W128,"")</f>
        <v>0.130951597651602</v>
      </c>
      <c r="X392" s="38" t="n">
        <f aca="false">IFERROR(X169/X128,"")</f>
        <v>0.127254358998095</v>
      </c>
      <c r="Y392" s="38" t="n">
        <f aca="false">IFERROR(Y169/Y128,"")</f>
        <v>0.133269215823424</v>
      </c>
      <c r="Z392" s="38" t="n">
        <f aca="false">IFERROR(Z169/Z128,"")</f>
        <v>0.135271748765528</v>
      </c>
      <c r="AA392" s="38" t="n">
        <f aca="false">IFERROR(AA169/AA128,"")</f>
        <v>0.140736384735493</v>
      </c>
      <c r="AB392" s="38" t="n">
        <f aca="false">IFERROR(AB169/AB128,"")</f>
        <v>0.137518571992577</v>
      </c>
      <c r="AC392" s="38" t="n">
        <f aca="false">IFERROR(AC169/AC128,"")</f>
        <v>0.137420268535779</v>
      </c>
      <c r="AD392" s="38" t="n">
        <f aca="false">IFERROR(AD169/AD128,"")</f>
        <v>0.13814230444273</v>
      </c>
      <c r="AE392" s="38" t="n">
        <f aca="false">IFERROR(AE169/AE128,"")</f>
        <v>0.134053381809149</v>
      </c>
      <c r="AF392" s="38" t="n">
        <f aca="false">IFERROR(AF169/AF128,"")</f>
        <v>0.13556318474104</v>
      </c>
      <c r="AG392" s="38" t="n">
        <f aca="false">IFERROR(AG169/AG128,"")</f>
        <v>0.138777626547411</v>
      </c>
      <c r="AH392" s="38" t="n">
        <f aca="false">IFERROR(AH169/AH128,"")</f>
        <v>0.136591218895287</v>
      </c>
      <c r="AI392" s="38" t="n">
        <f aca="false">IFERROR(AI169/AI128,"")</f>
        <v>0.139705875903734</v>
      </c>
      <c r="AJ392" s="38" t="n">
        <f aca="false">IFERROR(AJ169/AJ128,"")</f>
        <v>0.136232547936721</v>
      </c>
      <c r="AK392" s="38" t="n">
        <f aca="false">IFERROR(AK169/AK128,"")</f>
        <v>0.136680690963305</v>
      </c>
      <c r="AL392" s="38" t="n">
        <f aca="false">IFERROR(AL169/AL128,"")</f>
        <v>0.140423639885491</v>
      </c>
      <c r="AM392" s="38" t="n">
        <f aca="false">IFERROR(AM169/AM128,"")</f>
        <v>0.138227738256461</v>
      </c>
      <c r="AN392" s="38" t="n">
        <f aca="false">IFERROR(AN169/AN128,"")</f>
        <v>0.142522679303283</v>
      </c>
      <c r="AO392" s="38" t="n">
        <f aca="false">IFERROR(AO169/AO128,"")</f>
        <v>0.137350060855452</v>
      </c>
      <c r="AP392" s="38" t="n">
        <f aca="false">IFERROR(AP169/AP128,"")</f>
        <v>0.134467631991074</v>
      </c>
      <c r="AQ392" s="38" t="n">
        <f aca="false">IFERROR(AQ169/AQ128,"")</f>
        <v>0.138389526858351</v>
      </c>
      <c r="AR392" s="38" t="n">
        <f aca="false">IFERROR(AR169/AR128,"")</f>
        <v>0.138052016087802</v>
      </c>
      <c r="AS392" s="38" t="n">
        <f aca="false">IFERROR(AS169/AS128,"")</f>
        <v>0.134914566948929</v>
      </c>
      <c r="AT392" s="38" t="n">
        <f aca="false">IFERROR(AT169/AT128,"")</f>
        <v>0.140146670730643</v>
      </c>
      <c r="AU392" s="38" t="n">
        <f aca="false">IFERROR(AU169/AU128,"")</f>
        <v>0.136909593883496</v>
      </c>
      <c r="AV392" s="38" t="n">
        <f aca="false">IFERROR(AV169/AV128,"")</f>
        <v>0.14067645937675</v>
      </c>
      <c r="AW392" s="38" t="n">
        <f aca="false">IFERROR(AW169/AW128,"")</f>
        <v>0.138157433267413</v>
      </c>
      <c r="AX392" s="38" t="n">
        <f aca="false">IFERROR(AX169/AX128,"")</f>
        <v>0.135817963783596</v>
      </c>
      <c r="AY392" s="38" t="n">
        <f aca="false">IFERROR(AY169/AY128,"")</f>
        <v>0.131640862594211</v>
      </c>
      <c r="AZ392" s="38" t="n">
        <f aca="false">IFERROR(AZ169/AZ128,"")</f>
        <v>0.129793484467508</v>
      </c>
      <c r="BA392" s="38" t="n">
        <f aca="false">IFERROR(BA169/BA128,"")</f>
        <v>0.131860798279156</v>
      </c>
      <c r="BB392" s="38" t="n">
        <f aca="false">IFERROR(BB169/BB128,"")</f>
        <v>0.132167336626805</v>
      </c>
      <c r="BC392" s="38" t="n">
        <f aca="false">IFERROR(BC169/BC128,"")</f>
        <v>0.132169682096638</v>
      </c>
      <c r="BD392" s="38" t="n">
        <f aca="false">IFERROR(BD169/BD128,"")</f>
        <v>0.124639197108622</v>
      </c>
      <c r="BE392" s="38" t="n">
        <f aca="false">IFERROR(BE169/BE128,"")</f>
        <v>0.123490585509195</v>
      </c>
      <c r="BF392" s="38" t="n">
        <f aca="false">IFERROR(BF169/BF128,"")</f>
        <v>0.129904172736226</v>
      </c>
      <c r="BG392" s="38" t="n">
        <f aca="false">IFERROR(BG169/BG128,"")</f>
        <v>0.127423456282215</v>
      </c>
      <c r="BH392" s="38" t="n">
        <f aca="false">IFERROR(BH169/BH128,"")</f>
        <v>0.128040313538048</v>
      </c>
      <c r="BI392" s="38" t="n">
        <f aca="false">IFERROR(BI169/BI128,"")</f>
        <v>0.124869934367261</v>
      </c>
      <c r="BJ392" s="38" t="n">
        <f aca="false">IFERROR(BJ169/BJ128,"")</f>
        <v>0.123197355216918</v>
      </c>
      <c r="BK392" s="38" t="n">
        <f aca="false">IFERROR(BK169/BK128,"")</f>
        <v>0.124348045228725</v>
      </c>
      <c r="BL392" s="38" t="n">
        <f aca="false">IFERROR(BL169/BL128,"")</f>
        <v>0.125058230846835</v>
      </c>
      <c r="BM392" s="38" t="n">
        <f aca="false">IFERROR(BM169/BM128,"")</f>
        <v>0.126881344827137</v>
      </c>
      <c r="BN392" s="38" t="n">
        <f aca="false">IFERROR(BN169/BN128,"")</f>
        <v>0.126927015175926</v>
      </c>
      <c r="BO392" s="38" t="n">
        <f aca="false">IFERROR(BO169/BO128,"")</f>
        <v>0.125569598817698</v>
      </c>
      <c r="BP392" s="38" t="n">
        <f aca="false">IFERROR(BP169/BP128,"")</f>
        <v>0.142368455631441</v>
      </c>
      <c r="BQ392" s="38" t="n">
        <f aca="false">IFERROR(BQ169/BQ128,"")</f>
        <v>0.130473359148418</v>
      </c>
      <c r="BR392" s="38" t="n">
        <f aca="false">IFERROR(BR169/BR128,"")</f>
        <v>0.130128409964024</v>
      </c>
      <c r="BS392" s="38" t="n">
        <f aca="false">IFERROR(BS169/BS128,"")</f>
        <v>0.127814694720312</v>
      </c>
      <c r="BT392" s="38" t="n">
        <f aca="false">IFERROR(BT169/BT128,"")</f>
        <v>0.128267499953221</v>
      </c>
      <c r="BU392" s="38" t="n">
        <f aca="false">IFERROR(BU169/BU128,"")</f>
        <v>0.134483290397446</v>
      </c>
      <c r="BV392" s="38" t="n">
        <f aca="false">IFERROR(BV169/BV128,"")</f>
        <v>0.130148628143381</v>
      </c>
      <c r="BW392" s="38" t="n">
        <f aca="false">IFERROR(BW169/BW128,"")</f>
        <v>0.132770135883653</v>
      </c>
      <c r="BX392" s="38" t="n">
        <f aca="false">IFERROR(BX169/BX128,"")</f>
        <v>0.127215845365819</v>
      </c>
      <c r="BY392" s="37" t="n">
        <f aca="false">IFERROR(BY169/BY128,"")</f>
        <v>0.127730580025839</v>
      </c>
      <c r="BZ392" s="37" t="n">
        <f aca="false">IFERROR(BZ169/BZ128,"")</f>
        <v>0.132357590902764</v>
      </c>
      <c r="CA392" s="37" t="n">
        <f aca="false">IFERROR(CA169/CA128,"")</f>
        <v>0.1299451918286</v>
      </c>
      <c r="CB392" s="37" t="n">
        <f aca="false">IFERROR(CB169/CB128,"")</f>
        <v>0.128711163990663</v>
      </c>
      <c r="CC392" s="37" t="n">
        <f aca="false">IFERROR(CC169/CC128,"")</f>
        <v>0.127830127620975</v>
      </c>
      <c r="CD392" s="37" t="n">
        <f aca="false">IFERROR(CD169/CD128,"")</f>
        <v>0.126964336655114</v>
      </c>
      <c r="CE392" s="37" t="n">
        <f aca="false">IFERROR(CE169/CE128,"")</f>
        <v>0.126239861255208</v>
      </c>
      <c r="CF392" s="21"/>
      <c r="CH392" s="41" t="n">
        <f aca="false">IFERROR(AVERAGE(CA392,CB392,CC392,CD392,CE392),"n/m")</f>
        <v>0.127938136270112</v>
      </c>
      <c r="CI392" s="41" t="n">
        <f aca="false">IFERROR(AVERAGE(BB392,BG392,BL392,BQ392,BV392),"n/m")</f>
        <v>0.129054202209531</v>
      </c>
      <c r="CJ392" s="41" t="n">
        <f aca="false">IFERROR(AVERAGE(AC392,AH392,AM392,AR392,AW392,BB392,BG392,BL392,BQ392,BV392),"n/m")</f>
        <v>0.13337196860904</v>
      </c>
      <c r="CK392" s="41" t="n">
        <f aca="false">IFERROR(AVERAGE(C392,D392,E392,F392,G392,H392,I392,N392,S392,X392,AC392,AH392,AM392,AR392,AW392,BB392,BG392,BL392,BQ392,BV392),"n/m")</f>
        <v>0.121671476531384</v>
      </c>
    </row>
    <row r="393" customFormat="false" ht="15" hidden="true" customHeight="true" outlineLevel="1" collapsed="false">
      <c r="B393" s="81" t="s">
        <v>611</v>
      </c>
      <c r="C393" s="38" t="n">
        <f aca="false">IFERROR(-(N(C242)+N(C243))/C128,"")</f>
        <v>0.117084407912135</v>
      </c>
      <c r="D393" s="38" t="n">
        <f aca="false">IFERROR(-(N(D242)+N(D243))/D128,"")</f>
        <v>0.129607392902338</v>
      </c>
      <c r="E393" s="38" t="n">
        <f aca="false">IFERROR(-(N(E242)+N(E243))/E128,"")</f>
        <v>0.108132312884014</v>
      </c>
      <c r="F393" s="38" t="n">
        <f aca="false">IFERROR(-(N(F242)+N(F243))/F128,"")</f>
        <v>0.107647938169857</v>
      </c>
      <c r="G393" s="38" t="n">
        <f aca="false">IFERROR(-(N(G242)+N(G243))/G128,"")</f>
        <v>0.102161988911595</v>
      </c>
      <c r="H393" s="38" t="n">
        <f aca="false">IFERROR(-(N(H242)+N(H243))/H128,"")</f>
        <v>0.0942787335438691</v>
      </c>
      <c r="I393" s="38" t="n">
        <f aca="false">IFERROR(-(N(I242)+N(I243))/I128,"")</f>
        <v>0.0923900679939673</v>
      </c>
      <c r="J393" s="38" t="n">
        <f aca="false">IFERROR(-(N(J242)+N(J243))/J128,"")</f>
        <v>0.0820307985027518</v>
      </c>
      <c r="K393" s="38" t="n">
        <f aca="false">IFERROR(-(N(K242)+N(K243))/K128,"")</f>
        <v>0.103469484920747</v>
      </c>
      <c r="L393" s="38" t="n">
        <f aca="false">IFERROR(-(N(L242)+N(L243))/L128,"")</f>
        <v>0.105889851205013</v>
      </c>
      <c r="M393" s="38" t="n">
        <f aca="false">IFERROR(-(N(M242)+N(M243))/M128,"")</f>
        <v>0.142015366028851</v>
      </c>
      <c r="N393" s="38" t="n">
        <f aca="false">IFERROR(-(N(N242)+N(N243))/N128,"")</f>
        <v>0.108810941546406</v>
      </c>
      <c r="O393" s="38" t="n">
        <f aca="false">IFERROR(-(N(O242)+N(O243))/O128,"")</f>
        <v>0.0738867783521206</v>
      </c>
      <c r="P393" s="38" t="n">
        <f aca="false">IFERROR(-(N(P242)+N(P243))/P128,"")</f>
        <v>0.091647877901935</v>
      </c>
      <c r="Q393" s="38" t="n">
        <f aca="false">IFERROR(-(N(Q242)+N(Q243))/Q128,"")</f>
        <v>0.11922766585369</v>
      </c>
      <c r="R393" s="38" t="n">
        <f aca="false">IFERROR(-(N(R242)+N(R243))/R128,"")</f>
        <v>0.175658906184378</v>
      </c>
      <c r="S393" s="38" t="n">
        <f aca="false">IFERROR(-(N(S242)+N(S243))/S128,"")</f>
        <v>0.116045087309046</v>
      </c>
      <c r="T393" s="38" t="n">
        <f aca="false">IFERROR(-(N(T242)+N(T243))/T128,"")</f>
        <v>0.0824066390041494</v>
      </c>
      <c r="U393" s="38" t="n">
        <f aca="false">IFERROR(-(N(U242)+N(U243))/U128,"")</f>
        <v>0.113801306953353</v>
      </c>
      <c r="V393" s="38" t="n">
        <f aca="false">IFERROR(-(N(V242)+N(V243))/V128,"")</f>
        <v>0.120833013954133</v>
      </c>
      <c r="W393" s="38" t="n">
        <f aca="false">IFERROR(-(N(W242)+N(W243))/W128,"")</f>
        <v>0.132448015460478</v>
      </c>
      <c r="X393" s="38" t="n">
        <f aca="false">IFERROR(-(N(X242)+N(X243))/X128,"")</f>
        <v>0.112801429376367</v>
      </c>
      <c r="Y393" s="38" t="n">
        <f aca="false">IFERROR(-(N(Y242)+N(Y243))/Y128,"")</f>
        <v>0.10992267039714</v>
      </c>
      <c r="Z393" s="38" t="n">
        <f aca="false">IFERROR(-(N(Z242)+N(Z243))/Z128,"")</f>
        <v>0.0762905781575754</v>
      </c>
      <c r="AA393" s="38" t="n">
        <f aca="false">IFERROR(-(N(AA242)+N(AA243))/AA128,"")</f>
        <v>0.0855794241429338</v>
      </c>
      <c r="AB393" s="38" t="n">
        <f aca="false">IFERROR(-(N(AB242)+N(AB243))/AB128,"")</f>
        <v>0.133307330954338</v>
      </c>
      <c r="AC393" s="38" t="n">
        <f aca="false">IFERROR(-(N(AC242)+N(AC243))/AC128,"")</f>
        <v>0.102114037210633</v>
      </c>
      <c r="AD393" s="38" t="n">
        <f aca="false">IFERROR(-(N(AD242)+N(AD243))/AD128,"")</f>
        <v>0.083577239646429</v>
      </c>
      <c r="AE393" s="38" t="n">
        <f aca="false">IFERROR(-(N(AE242)+N(AE243))/AE128,"")</f>
        <v>0.094772829157625</v>
      </c>
      <c r="AF393" s="38" t="n">
        <f aca="false">IFERROR(-(N(AF242)+N(AF243))/AF128,"")</f>
        <v>0.0951264755760155</v>
      </c>
      <c r="AG393" s="38" t="n">
        <f aca="false">IFERROR(-(N(AG242)+N(AG243))/AG128,"")</f>
        <v>0.139911422213581</v>
      </c>
      <c r="AH393" s="38" t="n">
        <f aca="false">IFERROR(-(N(AH242)+N(AH243))/AH128,"")</f>
        <v>0.103506801011038</v>
      </c>
      <c r="AI393" s="38" t="n">
        <f aca="false">IFERROR(-(N(AI242)+N(AI243))/AI128,"")</f>
        <v>0.0800048415489097</v>
      </c>
      <c r="AJ393" s="38" t="n">
        <f aca="false">IFERROR(-(N(AJ242)+N(AJ243))/AJ128,"")</f>
        <v>0.0891119770832796</v>
      </c>
      <c r="AK393" s="38" t="n">
        <f aca="false">IFERROR(-(N(AK242)+N(AK243))/AK128,"")</f>
        <v>0.134102458024682</v>
      </c>
      <c r="AL393" s="38" t="n">
        <f aca="false">IFERROR(-(N(AL242)+N(AL243))/AL128,"")</f>
        <v>0.136822241173244</v>
      </c>
      <c r="AM393" s="38" t="n">
        <f aca="false">IFERROR(-(N(AM242)+N(AM243))/AM128,"")</f>
        <v>0.110938766074995</v>
      </c>
      <c r="AN393" s="38" t="n">
        <f aca="false">IFERROR(-(N(AN242)+N(AN243))/AN128,"")</f>
        <v>0.0917841908926056</v>
      </c>
      <c r="AO393" s="38" t="n">
        <f aca="false">IFERROR(-(N(AO242)+N(AO243))/AO128,"")</f>
        <v>0.101889622009887</v>
      </c>
      <c r="AP393" s="38" t="n">
        <f aca="false">IFERROR(-(N(AP242)+N(AP243))/AP128,"")</f>
        <v>0.149683102480523</v>
      </c>
      <c r="AQ393" s="38" t="n">
        <f aca="false">IFERROR(-(N(AQ242)+N(AQ243))/AQ128,"")</f>
        <v>0.147493318452818</v>
      </c>
      <c r="AR393" s="38" t="n">
        <f aca="false">IFERROR(-(N(AR242)+N(AR243))/AR128,"")</f>
        <v>0.123608958707691</v>
      </c>
      <c r="AS393" s="38" t="n">
        <f aca="false">IFERROR(-(N(AS242)+N(AS243))/AS128,"")</f>
        <v>0.101878580660808</v>
      </c>
      <c r="AT393" s="38" t="n">
        <f aca="false">IFERROR(-(N(AT242)+N(AT243))/AT128,"")</f>
        <v>0.112867232049454</v>
      </c>
      <c r="AU393" s="38" t="n">
        <f aca="false">IFERROR(-(N(AU242)+N(AU243))/AU128,"")</f>
        <v>0.145616716754753</v>
      </c>
      <c r="AV393" s="38" t="n">
        <f aca="false">IFERROR(-(N(AV242)+N(AV243))/AV128,"")</f>
        <v>0.126628194794783</v>
      </c>
      <c r="AW393" s="38" t="n">
        <f aca="false">IFERROR(-(N(AW242)+N(AW243))/AW128,"")</f>
        <v>0.122027583598207</v>
      </c>
      <c r="AX393" s="38" t="n">
        <f aca="false">IFERROR(-(N(AX242)+N(AX243))/AX128,"")</f>
        <v>0.0693388407254743</v>
      </c>
      <c r="AY393" s="38" t="n">
        <f aca="false">IFERROR(-(N(AY242)+N(AY243))/AY128,"")</f>
        <v>0.113824546214921</v>
      </c>
      <c r="AZ393" s="38" t="n">
        <f aca="false">IFERROR(-(N(AZ242)+N(AZ243))/AZ128,"")</f>
        <v>0.130285605521774</v>
      </c>
      <c r="BA393" s="38" t="n">
        <f aca="false">IFERROR(-(N(BA242)+N(BA243))/BA128,"")</f>
        <v>0.163043712472735</v>
      </c>
      <c r="BB393" s="38" t="n">
        <f aca="false">IFERROR(-(N(BB242)+N(BB243))/BB128,"")</f>
        <v>0.121000051858442</v>
      </c>
      <c r="BC393" s="38" t="n">
        <f aca="false">IFERROR(-(N(BC242)+N(BC243))/BC128,"")</f>
        <v>0.0925239407017746</v>
      </c>
      <c r="BD393" s="38" t="n">
        <f aca="false">IFERROR(-(N(BD242)+N(BD243))/BD128,"")</f>
        <v>0.120626391805928</v>
      </c>
      <c r="BE393" s="38" t="n">
        <f aca="false">IFERROR(-(N(BE242)+N(BE243))/BE128,"")</f>
        <v>0.131331029625484</v>
      </c>
      <c r="BF393" s="38" t="n">
        <f aca="false">IFERROR(-(N(BF242)+N(BF243))/BF128,"")</f>
        <v>0.157472766558195</v>
      </c>
      <c r="BG393" s="38" t="n">
        <f aca="false">IFERROR(-(N(BG242)+N(BG243))/BG128,"")</f>
        <v>0.126552252338821</v>
      </c>
      <c r="BH393" s="38" t="n">
        <f aca="false">IFERROR(-(N(BH242)+N(BH243))/BH128,"")</f>
        <v>0.0924944606769892</v>
      </c>
      <c r="BI393" s="38" t="n">
        <f aca="false">IFERROR(-(N(BI242)+N(BI243))/BI128,"")</f>
        <v>0.108038959079113</v>
      </c>
      <c r="BJ393" s="38" t="n">
        <f aca="false">IFERROR(-(N(BJ242)+N(BJ243))/BJ128,"")</f>
        <v>0.107234117159319</v>
      </c>
      <c r="BK393" s="38" t="n">
        <f aca="false">IFERROR(-(N(BK242)+N(BK243))/BK128,"")</f>
        <v>0.156437704883403</v>
      </c>
      <c r="BL393" s="38" t="n">
        <f aca="false">IFERROR(-(N(BL242)+N(BL243))/BL128,"")</f>
        <v>0.116430529181741</v>
      </c>
      <c r="BM393" s="38" t="n">
        <f aca="false">IFERROR(-(N(BM242)+N(BM243))/BM128,"")</f>
        <v>0.0819968417289339</v>
      </c>
      <c r="BN393" s="38" t="n">
        <f aca="false">IFERROR(-(N(BN242)+N(BN243))/BN128,"")</f>
        <v>0.0966205342488055</v>
      </c>
      <c r="BO393" s="38" t="n">
        <f aca="false">IFERROR(-(N(BO242)+N(BO243))/BO128,"")</f>
        <v>0.116370920013274</v>
      </c>
      <c r="BP393" s="38" t="n">
        <f aca="false">IFERROR(-(N(BP242)+N(BP243))/BP128,"")</f>
        <v>0.175502802082748</v>
      </c>
      <c r="BQ393" s="38" t="n">
        <f aca="false">IFERROR(-(N(BQ242)+N(BQ243))/BQ128,"")</f>
        <v>0.118389733340912</v>
      </c>
      <c r="BR393" s="38" t="n">
        <f aca="false">IFERROR(-(N(BR242)+N(BR243))/BR128,"")</f>
        <v>0.0953492901817451</v>
      </c>
      <c r="BS393" s="38" t="n">
        <f aca="false">IFERROR(-(N(BS242)+N(BS243))/BS128,"")</f>
        <v>0.11853073569154</v>
      </c>
      <c r="BT393" s="38" t="n">
        <f aca="false">IFERROR(-(N(BT242)+N(BT243))/BT128,"")</f>
        <v>0.120881329071445</v>
      </c>
      <c r="BU393" s="38" t="n">
        <f aca="false">IFERROR(-(N(BU242)+N(BU243))/BU128,"")</f>
        <v>0.168300674249338</v>
      </c>
      <c r="BV393" s="38" t="n">
        <f aca="false">IFERROR(-(N(BV242)+N(BV243))/BV128,"")</f>
        <v>0.126162113000909</v>
      </c>
      <c r="BW393" s="38" t="n">
        <f aca="false">IFERROR(-(N(BW242)+N(BW243))/BW128,"")</f>
        <v>0.12511268096975</v>
      </c>
      <c r="BX393" s="38" t="n">
        <f aca="false">IFERROR(-(N(BX242)+N(BX243))/BX128,"")</f>
        <v>0.137961053354398</v>
      </c>
      <c r="BY393" s="39"/>
      <c r="BZ393" s="39"/>
      <c r="CA393" s="37" t="n">
        <f aca="false">IFERROR(-(CA242+CA243)/CA128,"")</f>
        <v>0.129651121076233</v>
      </c>
      <c r="CB393" s="37" t="n">
        <f aca="false">IFERROR(-(CB242+CB243)/CB128,"")</f>
        <v>0.12</v>
      </c>
      <c r="CC393" s="37" t="n">
        <f aca="false">IFERROR(-(CC242+CC243)/CC128,"")</f>
        <v>0.12</v>
      </c>
      <c r="CD393" s="37" t="n">
        <f aca="false">IFERROR(-(CD242+CD243)/CD128,"")</f>
        <v>0.12</v>
      </c>
      <c r="CE393" s="37" t="n">
        <f aca="false">IFERROR(-(CE242+CE243)/CE128,"")</f>
        <v>0.12</v>
      </c>
      <c r="CF393" s="21"/>
      <c r="CH393" s="41" t="n">
        <f aca="false">IFERROR(AVERAGE(CA393,CB393,CC393,CD393,CE393),"n/m")</f>
        <v>0.121930224215247</v>
      </c>
      <c r="CI393" s="41" t="n">
        <f aca="false">IFERROR(AVERAGE(BB393,BG393,BL393,BQ393,BV393),"n/m")</f>
        <v>0.121706935944165</v>
      </c>
      <c r="CJ393" s="41" t="n">
        <f aca="false">IFERROR(AVERAGE(AC393,AH393,AM393,AR393,AW393,BB393,BG393,BL393,BQ393,BV393),"n/m")</f>
        <v>0.117073082632339</v>
      </c>
      <c r="CK393" s="41" t="n">
        <f aca="false">IFERROR(AVERAGE(C393,D393,E393,F393,G393,H393,I393,N393,S393,X393,AC393,AH393,AM393,AR393,AW393,BB393,BG393,BL393,BQ393,BV393),"n/m")</f>
        <v>0.112984556343649</v>
      </c>
    </row>
    <row r="394" customFormat="false" ht="15" hidden="true" customHeight="true" outlineLevel="1" collapsed="false"/>
    <row r="395" customFormat="false" ht="15" hidden="true" customHeight="true" outlineLevel="1" collapsed="false">
      <c r="B395" s="12" t="s">
        <v>612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</row>
    <row r="396" customFormat="false" ht="15" hidden="true" customHeight="true" outlineLevel="1" collapsed="false">
      <c r="B396" s="16" t="s">
        <v>613</v>
      </c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7"/>
    </row>
    <row r="397" customFormat="false" ht="15" hidden="true" customHeight="true" outlineLevel="1" collapsed="false">
      <c r="B397" s="29" t="s">
        <v>614</v>
      </c>
      <c r="C397" s="26" t="n">
        <f aca="false">C187</f>
        <v>172.182</v>
      </c>
      <c r="D397" s="26" t="n">
        <f aca="false">D187</f>
        <v>207.259</v>
      </c>
      <c r="E397" s="26" t="n">
        <f aca="false">E187</f>
        <v>215.885</v>
      </c>
      <c r="F397" s="26" t="n">
        <f aca="false">F187</f>
        <v>238.075</v>
      </c>
      <c r="G397" s="26" t="n">
        <f aca="false">G187</f>
        <v>276.801</v>
      </c>
      <c r="H397" s="26" t="n">
        <f aca="false">H187</f>
        <v>322.43</v>
      </c>
      <c r="I397" s="26" t="n">
        <f aca="false">I187</f>
        <v>334.835</v>
      </c>
      <c r="J397" s="25"/>
      <c r="K397" s="25"/>
      <c r="L397" s="25"/>
      <c r="M397" s="25"/>
      <c r="N397" s="26" t="n">
        <f aca="false">N187</f>
        <v>413.138</v>
      </c>
      <c r="O397" s="25"/>
      <c r="P397" s="25"/>
      <c r="Q397" s="25"/>
      <c r="R397" s="25"/>
      <c r="S397" s="26" t="n">
        <f aca="false">S187</f>
        <v>459.134</v>
      </c>
      <c r="T397" s="25"/>
      <c r="U397" s="25"/>
      <c r="V397" s="25"/>
      <c r="W397" s="25"/>
      <c r="X397" s="26" t="n">
        <f aca="false">X187</f>
        <v>441.173</v>
      </c>
      <c r="Y397" s="25"/>
      <c r="Z397" s="25"/>
      <c r="AA397" s="25"/>
      <c r="AB397" s="25"/>
      <c r="AC397" s="26" t="n">
        <f aca="false">AC187</f>
        <v>607.177</v>
      </c>
      <c r="AD397" s="25"/>
      <c r="AE397" s="25"/>
      <c r="AF397" s="25"/>
      <c r="AG397" s="25"/>
      <c r="AH397" s="26" t="n">
        <f aca="false">AH187</f>
        <v>828.041</v>
      </c>
      <c r="AI397" s="25"/>
      <c r="AJ397" s="25"/>
      <c r="AK397" s="25"/>
      <c r="AL397" s="25"/>
      <c r="AM397" s="26" t="n">
        <f aca="false">AM187</f>
        <v>885.931</v>
      </c>
      <c r="AN397" s="25"/>
      <c r="AO397" s="25"/>
      <c r="AP397" s="25"/>
      <c r="AQ397" s="25"/>
      <c r="AR397" s="26" t="n">
        <f aca="false">AR187</f>
        <v>929.636</v>
      </c>
      <c r="AS397" s="25"/>
      <c r="AT397" s="25"/>
      <c r="AU397" s="25"/>
      <c r="AV397" s="25"/>
      <c r="AW397" s="26" t="n">
        <f aca="false">AW187</f>
        <v>909.58</v>
      </c>
      <c r="AX397" s="25"/>
      <c r="AY397" s="25"/>
      <c r="AZ397" s="25"/>
      <c r="BA397" s="25"/>
      <c r="BB397" s="26" t="n">
        <f aca="false">BB187</f>
        <v>1106.149</v>
      </c>
      <c r="BC397" s="25"/>
      <c r="BD397" s="25"/>
      <c r="BE397" s="25"/>
      <c r="BF397" s="25"/>
      <c r="BG397" s="26" t="n">
        <f aca="false">BG187</f>
        <v>1301.692</v>
      </c>
      <c r="BH397" s="25"/>
      <c r="BI397" s="25"/>
      <c r="BJ397" s="25"/>
      <c r="BK397" s="25"/>
      <c r="BL397" s="26" t="n">
        <f aca="false">BL187</f>
        <v>1519.745</v>
      </c>
      <c r="BM397" s="25"/>
      <c r="BN397" s="25"/>
      <c r="BO397" s="25"/>
      <c r="BP397" s="25"/>
      <c r="BQ397" s="26" t="n">
        <f aca="false">BQ187</f>
        <v>1738.096</v>
      </c>
      <c r="BR397" s="25"/>
      <c r="BS397" s="25"/>
      <c r="BT397" s="25"/>
      <c r="BU397" s="25"/>
      <c r="BV397" s="26" t="n">
        <f aca="false">BV187</f>
        <v>1892.449</v>
      </c>
      <c r="BW397" s="25"/>
      <c r="BX397" s="25"/>
      <c r="BY397" s="28"/>
      <c r="BZ397" s="28"/>
      <c r="CA397" s="47" t="n">
        <f aca="false">CA187</f>
        <v>2031</v>
      </c>
      <c r="CB397" s="47" t="n">
        <f aca="false">CB187</f>
        <v>2202.48582844645</v>
      </c>
      <c r="CC397" s="47" t="n">
        <f aca="false">CC187</f>
        <v>2399.25306585299</v>
      </c>
      <c r="CD397" s="47" t="n">
        <f aca="false">CD187</f>
        <v>2610.74539613038</v>
      </c>
      <c r="CE397" s="47" t="n">
        <f aca="false">CE187</f>
        <v>2827.0742734856</v>
      </c>
      <c r="CF397" s="21"/>
    </row>
    <row r="398" customFormat="false" ht="15" hidden="true" customHeight="true" outlineLevel="1" collapsed="false">
      <c r="B398" s="29" t="s">
        <v>615</v>
      </c>
      <c r="C398" s="38" t="n">
        <f aca="false">C143</f>
        <v>0.348550740316032</v>
      </c>
      <c r="D398" s="38" t="n">
        <f aca="false">D143</f>
        <v>0.344612004509168</v>
      </c>
      <c r="E398" s="38" t="n">
        <f aca="false">E143</f>
        <v>0.331449068083271</v>
      </c>
      <c r="F398" s="38" t="n">
        <f aca="false">F143</f>
        <v>0.368151856582428</v>
      </c>
      <c r="G398" s="38" t="n">
        <f aca="false">G143</f>
        <v>0.396201813053274</v>
      </c>
      <c r="H398" s="38" t="n">
        <f aca="false">H143</f>
        <v>0.39160250284664</v>
      </c>
      <c r="I398" s="38" t="n">
        <f aca="false">I143</f>
        <v>0.397743518556938</v>
      </c>
      <c r="J398" s="35"/>
      <c r="K398" s="35"/>
      <c r="L398" s="35"/>
      <c r="M398" s="35"/>
      <c r="N398" s="38" t="n">
        <f aca="false">N143</f>
        <v>0.389242212257845</v>
      </c>
      <c r="O398" s="35"/>
      <c r="P398" s="35"/>
      <c r="Q398" s="35"/>
      <c r="R398" s="35"/>
      <c r="S398" s="38" t="n">
        <f aca="false">S143</f>
        <v>0.39499613651332</v>
      </c>
      <c r="T398" s="35"/>
      <c r="U398" s="35"/>
      <c r="V398" s="35"/>
      <c r="W398" s="35"/>
      <c r="X398" s="38" t="n">
        <f aca="false">X143</f>
        <v>0.250162329949479</v>
      </c>
      <c r="Y398" s="35"/>
      <c r="Z398" s="35"/>
      <c r="AA398" s="35"/>
      <c r="AB398" s="35"/>
      <c r="AC398" s="38" t="n">
        <f aca="false">AC143</f>
        <v>0.315592268205277</v>
      </c>
      <c r="AD398" s="35"/>
      <c r="AE398" s="35"/>
      <c r="AF398" s="35"/>
      <c r="AG398" s="35"/>
      <c r="AH398" s="38" t="n">
        <f aca="false">AH143</f>
        <v>-0.135513559222041</v>
      </c>
      <c r="AI398" s="35"/>
      <c r="AJ398" s="35"/>
      <c r="AK398" s="35"/>
      <c r="AL398" s="35"/>
      <c r="AM398" s="38" t="n">
        <f aca="false">AM143</f>
        <v>0.226243742398959</v>
      </c>
      <c r="AN398" s="35"/>
      <c r="AO398" s="35"/>
      <c r="AP398" s="35"/>
      <c r="AQ398" s="35"/>
      <c r="AR398" s="38" t="n">
        <f aca="false">AR143</f>
        <v>0.197211750822719</v>
      </c>
      <c r="AS398" s="35"/>
      <c r="AT398" s="35"/>
      <c r="AU398" s="35"/>
      <c r="AV398" s="35"/>
      <c r="AW398" s="38" t="n">
        <f aca="false">AW143</f>
        <v>0.196609875784715</v>
      </c>
      <c r="AX398" s="35"/>
      <c r="AY398" s="35"/>
      <c r="AZ398" s="35"/>
      <c r="BA398" s="35"/>
      <c r="BB398" s="38" t="n">
        <f aca="false">BB143</f>
        <v>0.197540811322077</v>
      </c>
      <c r="BC398" s="35"/>
      <c r="BD398" s="35"/>
      <c r="BE398" s="35"/>
      <c r="BF398" s="35"/>
      <c r="BG398" s="38" t="n">
        <f aca="false">BG143</f>
        <v>0.203021460242163</v>
      </c>
      <c r="BH398" s="35"/>
      <c r="BI398" s="35"/>
      <c r="BJ398" s="35"/>
      <c r="BK398" s="35"/>
      <c r="BL398" s="38" t="n">
        <f aca="false">BL143</f>
        <v>0.22437699605796</v>
      </c>
      <c r="BM398" s="35"/>
      <c r="BN398" s="35"/>
      <c r="BO398" s="35"/>
      <c r="BP398" s="35"/>
      <c r="BQ398" s="38" t="n">
        <f aca="false">BQ143</f>
        <v>0.191842534010195</v>
      </c>
      <c r="BR398" s="35"/>
      <c r="BS398" s="35"/>
      <c r="BT398" s="35"/>
      <c r="BU398" s="35"/>
      <c r="BV398" s="38" t="n">
        <f aca="false">BV143</f>
        <v>0.240746983601285</v>
      </c>
      <c r="BW398" s="35"/>
      <c r="BX398" s="35"/>
      <c r="BY398" s="39"/>
      <c r="BZ398" s="39"/>
      <c r="CA398" s="37" t="n">
        <f aca="false">CA143</f>
        <v>0.229294315630784</v>
      </c>
      <c r="CB398" s="37" t="n">
        <f aca="false">CB143</f>
        <v>0.24</v>
      </c>
      <c r="CC398" s="37" t="n">
        <f aca="false">CC143</f>
        <v>0.24</v>
      </c>
      <c r="CD398" s="37" t="n">
        <f aca="false">CD143</f>
        <v>0.24</v>
      </c>
      <c r="CE398" s="37" t="n">
        <f aca="false">CE143</f>
        <v>0.24</v>
      </c>
      <c r="CF398" s="21"/>
    </row>
    <row r="399" customFormat="false" ht="15" hidden="true" customHeight="true" outlineLevel="1" collapsed="false">
      <c r="B399" s="29" t="s">
        <v>616</v>
      </c>
      <c r="C399" s="26" t="n">
        <f aca="false">IFERROR(C397*(1-C398),"n/a")</f>
        <v>112.167836430905</v>
      </c>
      <c r="D399" s="26" t="n">
        <f aca="false">IFERROR(D397*(1-D398),"n/a")</f>
        <v>135.835060557434</v>
      </c>
      <c r="E399" s="26" t="n">
        <f aca="false">IFERROR(E397*(1-E398),"n/a")</f>
        <v>144.330117936843</v>
      </c>
      <c r="F399" s="26" t="n">
        <f aca="false">IFERROR(F397*(1-F398),"n/a")</f>
        <v>150.427246744138</v>
      </c>
      <c r="G399" s="26" t="n">
        <f aca="false">IFERROR(G397*(1-G398),"n/a")</f>
        <v>167.131941945041</v>
      </c>
      <c r="H399" s="26" t="n">
        <f aca="false">IFERROR(H397*(1-H398),"n/a")</f>
        <v>196.165605007158</v>
      </c>
      <c r="I399" s="26" t="n">
        <f aca="false">IFERROR(I397*(1-I398),"n/a")</f>
        <v>201.656548963988</v>
      </c>
      <c r="J399" s="25"/>
      <c r="K399" s="25"/>
      <c r="L399" s="25"/>
      <c r="M399" s="25"/>
      <c r="N399" s="26" t="n">
        <f aca="false">IFERROR(N397*(1-N398),"n/a")</f>
        <v>252.327250912218</v>
      </c>
      <c r="O399" s="25"/>
      <c r="P399" s="25"/>
      <c r="Q399" s="25"/>
      <c r="R399" s="25"/>
      <c r="S399" s="26" t="n">
        <f aca="false">IFERROR(S397*(1-S398),"n/a")</f>
        <v>277.777843858094</v>
      </c>
      <c r="T399" s="25"/>
      <c r="U399" s="25"/>
      <c r="V399" s="25"/>
      <c r="W399" s="25"/>
      <c r="X399" s="26" t="n">
        <f aca="false">IFERROR(X397*(1-X398),"n/a")</f>
        <v>330.808134409198</v>
      </c>
      <c r="Y399" s="25"/>
      <c r="Z399" s="25"/>
      <c r="AA399" s="25"/>
      <c r="AB399" s="25"/>
      <c r="AC399" s="26" t="n">
        <f aca="false">IFERROR(AC397*(1-AC398),"n/a")</f>
        <v>415.556633367924</v>
      </c>
      <c r="AD399" s="25"/>
      <c r="AE399" s="25"/>
      <c r="AF399" s="25"/>
      <c r="AG399" s="25"/>
      <c r="AH399" s="26" t="n">
        <f aca="false">IFERROR(AH397*(1-AH398),"n/a")</f>
        <v>940.251783091778</v>
      </c>
      <c r="AI399" s="25"/>
      <c r="AJ399" s="25"/>
      <c r="AK399" s="25"/>
      <c r="AL399" s="25"/>
      <c r="AM399" s="26" t="n">
        <f aca="false">IFERROR(AM397*(1-AM398),"n/a")</f>
        <v>685.494655052747</v>
      </c>
      <c r="AN399" s="25"/>
      <c r="AO399" s="25"/>
      <c r="AP399" s="25"/>
      <c r="AQ399" s="25"/>
      <c r="AR399" s="26" t="n">
        <f aca="false">IFERROR(AR397*(1-AR398),"n/a")</f>
        <v>746.300856812171</v>
      </c>
      <c r="AS399" s="25"/>
      <c r="AT399" s="25"/>
      <c r="AU399" s="25"/>
      <c r="AV399" s="25"/>
      <c r="AW399" s="26" t="n">
        <f aca="false">IFERROR(AW397*(1-AW398),"n/a")</f>
        <v>730.747589183739</v>
      </c>
      <c r="AX399" s="25"/>
      <c r="AY399" s="25"/>
      <c r="AZ399" s="25"/>
      <c r="BA399" s="25"/>
      <c r="BB399" s="26" t="n">
        <f aca="false">IFERROR(BB397*(1-BB398),"n/a")</f>
        <v>887.639429096896</v>
      </c>
      <c r="BC399" s="25"/>
      <c r="BD399" s="25"/>
      <c r="BE399" s="25"/>
      <c r="BF399" s="25"/>
      <c r="BG399" s="26" t="n">
        <f aca="false">IFERROR(BG397*(1-BG398),"n/a")</f>
        <v>1037.42058937446</v>
      </c>
      <c r="BH399" s="25"/>
      <c r="BI399" s="25"/>
      <c r="BJ399" s="25"/>
      <c r="BK399" s="25"/>
      <c r="BL399" s="26" t="n">
        <f aca="false">IFERROR(BL397*(1-BL398),"n/a")</f>
        <v>1178.7491821259</v>
      </c>
      <c r="BM399" s="25"/>
      <c r="BN399" s="25"/>
      <c r="BO399" s="25"/>
      <c r="BP399" s="25"/>
      <c r="BQ399" s="26" t="n">
        <f aca="false">IFERROR(BQ397*(1-BQ398),"n/a")</f>
        <v>1404.65525900702</v>
      </c>
      <c r="BR399" s="25"/>
      <c r="BS399" s="25"/>
      <c r="BT399" s="25"/>
      <c r="BU399" s="25"/>
      <c r="BV399" s="26" t="n">
        <f aca="false">IFERROR(BV397*(1-BV398),"n/a")</f>
        <v>1436.84761163073</v>
      </c>
      <c r="BW399" s="25"/>
      <c r="BX399" s="25"/>
      <c r="BY399" s="28"/>
      <c r="BZ399" s="28"/>
      <c r="CA399" s="47" t="n">
        <f aca="false">IFERROR(CA397*(1-CA398),"n/a")</f>
        <v>1565.30324495388</v>
      </c>
      <c r="CB399" s="47" t="n">
        <f aca="false">IFERROR(CB397*(1-CB398),"n/a")</f>
        <v>1673.8892296193</v>
      </c>
      <c r="CC399" s="47" t="n">
        <f aca="false">IFERROR(CC397*(1-CC398),"n/a")</f>
        <v>1823.43233004827</v>
      </c>
      <c r="CD399" s="47" t="n">
        <f aca="false">IFERROR(CD397*(1-CD398),"n/a")</f>
        <v>1984.16650105909</v>
      </c>
      <c r="CE399" s="47" t="n">
        <f aca="false">IFERROR(CE397*(1-CE398),"n/a")</f>
        <v>2148.57644784906</v>
      </c>
      <c r="CF399" s="21"/>
    </row>
    <row r="400" customFormat="false" ht="15" hidden="true" customHeight="true" outlineLevel="1" collapsed="false">
      <c r="B400" s="29" t="s">
        <v>617</v>
      </c>
      <c r="C400" s="26" t="n">
        <f aca="false">IFERROR(C401+C402,"n/a")</f>
        <v>1373.717</v>
      </c>
      <c r="D400" s="26" t="n">
        <f aca="false">IFERROR(D401+D402,"n/a")</f>
        <v>1527.9</v>
      </c>
      <c r="E400" s="26" t="n">
        <f aca="false">IFERROR(E401+E402,"n/a")</f>
        <v>1825.587</v>
      </c>
      <c r="F400" s="26" t="n">
        <f aca="false">IFERROR(F401+F402,"n/a")</f>
        <v>2217.56</v>
      </c>
      <c r="G400" s="26" t="n">
        <f aca="false">IFERROR(G401+G402,"n/a")</f>
        <v>2273.18</v>
      </c>
      <c r="H400" s="26" t="n">
        <f aca="false">IFERROR(H401+H402,"n/a")</f>
        <v>2565.701</v>
      </c>
      <c r="I400" s="26" t="n">
        <f aca="false">IFERROR(I401+I402,"n/a")</f>
        <v>4098.853</v>
      </c>
      <c r="J400" s="25"/>
      <c r="K400" s="25"/>
      <c r="L400" s="25"/>
      <c r="M400" s="25"/>
      <c r="N400" s="26" t="n">
        <f aca="false">IFERROR(N401+N402,"n/a")</f>
        <v>4107.591</v>
      </c>
      <c r="O400" s="25"/>
      <c r="P400" s="25"/>
      <c r="Q400" s="25"/>
      <c r="R400" s="25"/>
      <c r="S400" s="26" t="n">
        <f aca="false">IFERROR(S401+S402,"n/a")</f>
        <v>4198.953</v>
      </c>
      <c r="T400" s="25"/>
      <c r="U400" s="25"/>
      <c r="V400" s="25"/>
      <c r="W400" s="25"/>
      <c r="X400" s="26" t="n">
        <f aca="false">IFERROR(X401+X402,"n/a")</f>
        <v>4130.064</v>
      </c>
      <c r="Y400" s="25"/>
      <c r="Z400" s="25"/>
      <c r="AA400" s="25"/>
      <c r="AB400" s="25"/>
      <c r="AC400" s="26" t="n">
        <f aca="false">IFERROR(AC401+AC402,"n/a")</f>
        <v>9118.905</v>
      </c>
      <c r="AD400" s="25"/>
      <c r="AE400" s="25"/>
      <c r="AF400" s="25"/>
      <c r="AG400" s="25"/>
      <c r="AH400" s="26" t="n">
        <f aca="false">IFERROR(AH401+AH402,"n/a")</f>
        <v>9751.486</v>
      </c>
      <c r="AI400" s="25"/>
      <c r="AJ400" s="25"/>
      <c r="AK400" s="25"/>
      <c r="AL400" s="25"/>
      <c r="AM400" s="26" t="n">
        <f aca="false">IFERROR(AM401+AM402,"n/a")</f>
        <v>10296.134</v>
      </c>
      <c r="AN400" s="25"/>
      <c r="AO400" s="25"/>
      <c r="AP400" s="25"/>
      <c r="AQ400" s="25"/>
      <c r="AR400" s="26" t="n">
        <f aca="false">IFERROR(AR401+AR402,"n/a")</f>
        <v>10965.863</v>
      </c>
      <c r="AS400" s="25"/>
      <c r="AT400" s="25"/>
      <c r="AU400" s="25"/>
      <c r="AV400" s="25"/>
      <c r="AW400" s="26" t="n">
        <f aca="false">IFERROR(AW401+AW402,"n/a")</f>
        <v>10963.09</v>
      </c>
      <c r="AX400" s="25"/>
      <c r="AY400" s="25"/>
      <c r="AZ400" s="25"/>
      <c r="BA400" s="25"/>
      <c r="BB400" s="26" t="n">
        <f aca="false">IFERROR(BB401+BB402,"n/a")</f>
        <v>11892.624</v>
      </c>
      <c r="BC400" s="25"/>
      <c r="BD400" s="25"/>
      <c r="BE400" s="25"/>
      <c r="BF400" s="25"/>
      <c r="BG400" s="26" t="n">
        <f aca="false">IFERROR(BG401+BG402,"n/a")</f>
        <v>13931.915</v>
      </c>
      <c r="BH400" s="25"/>
      <c r="BI400" s="25"/>
      <c r="BJ400" s="25"/>
      <c r="BK400" s="25"/>
      <c r="BL400" s="26" t="n">
        <f aca="false">IFERROR(BL401+BL402,"n/a")</f>
        <v>14370.615</v>
      </c>
      <c r="BM400" s="25"/>
      <c r="BN400" s="25"/>
      <c r="BO400" s="25"/>
      <c r="BP400" s="25"/>
      <c r="BQ400" s="26" t="n">
        <f aca="false">IFERROR(BQ401+BQ402,"n/a")</f>
        <v>15878.767</v>
      </c>
      <c r="BR400" s="25"/>
      <c r="BS400" s="25"/>
      <c r="BT400" s="25"/>
      <c r="BU400" s="25"/>
      <c r="BV400" s="26" t="n">
        <f aca="false">IFERROR(BV401+BV402,"n/a")</f>
        <v>17019.184</v>
      </c>
      <c r="BW400" s="25"/>
      <c r="BX400" s="25"/>
      <c r="BY400" s="28"/>
      <c r="BZ400" s="28"/>
      <c r="CA400" s="47" t="n">
        <f aca="false">IFERROR(CA401+CA402,"n/a")</f>
        <v>17086.192243</v>
      </c>
      <c r="CB400" s="47" t="n">
        <f aca="false">IFERROR(CB401+CB402,"n/a")</f>
        <v>17808.9363504021</v>
      </c>
      <c r="CC400" s="47" t="n">
        <f aca="false">IFERROR(CC401+CC402,"n/a")</f>
        <v>18497.6468367485</v>
      </c>
      <c r="CD400" s="47" t="n">
        <f aca="false">IFERROR(CD401+CD402,"n/a")</f>
        <v>19176.5533985909</v>
      </c>
      <c r="CE400" s="47" t="n">
        <f aca="false">IFERROR(CE401+CE402,"n/a")</f>
        <v>19848.526946171</v>
      </c>
      <c r="CF400" s="21"/>
    </row>
    <row r="401" customFormat="false" ht="15" hidden="true" customHeight="true" outlineLevel="1" collapsed="false">
      <c r="B401" s="29" t="s">
        <v>618</v>
      </c>
      <c r="C401" s="26" t="n">
        <f aca="false">C342</f>
        <v>764.474</v>
      </c>
      <c r="D401" s="26" t="n">
        <f aca="false">D342</f>
        <v>805.365</v>
      </c>
      <c r="E401" s="26" t="n">
        <f aca="false">E342</f>
        <v>1255.395</v>
      </c>
      <c r="F401" s="26" t="n">
        <f aca="false">F342</f>
        <v>1357.036</v>
      </c>
      <c r="G401" s="26" t="n">
        <f aca="false">G342</f>
        <v>1370.418</v>
      </c>
      <c r="H401" s="26" t="n">
        <f aca="false">H342</f>
        <v>1399.687</v>
      </c>
      <c r="I401" s="26" t="n">
        <f aca="false">I342</f>
        <v>1883.13</v>
      </c>
      <c r="J401" s="25"/>
      <c r="K401" s="25"/>
      <c r="L401" s="25"/>
      <c r="M401" s="25"/>
      <c r="N401" s="26" t="n">
        <f aca="false">N342</f>
        <v>2048.207</v>
      </c>
      <c r="O401" s="25"/>
      <c r="P401" s="25"/>
      <c r="Q401" s="25"/>
      <c r="R401" s="25"/>
      <c r="S401" s="26" t="n">
        <f aca="false">S342</f>
        <v>2233.741</v>
      </c>
      <c r="T401" s="25"/>
      <c r="U401" s="25"/>
      <c r="V401" s="25"/>
      <c r="W401" s="25"/>
      <c r="X401" s="26" t="n">
        <f aca="false">X342</f>
        <v>1991.784</v>
      </c>
      <c r="Y401" s="25"/>
      <c r="Z401" s="25"/>
      <c r="AA401" s="25"/>
      <c r="AB401" s="25"/>
      <c r="AC401" s="26" t="n">
        <f aca="false">AC342</f>
        <v>5654.877</v>
      </c>
      <c r="AD401" s="25"/>
      <c r="AE401" s="25"/>
      <c r="AF401" s="25"/>
      <c r="AG401" s="25"/>
      <c r="AH401" s="26" t="n">
        <f aca="false">AH342</f>
        <v>6274.07</v>
      </c>
      <c r="AI401" s="25"/>
      <c r="AJ401" s="25"/>
      <c r="AK401" s="25"/>
      <c r="AL401" s="25"/>
      <c r="AM401" s="26" t="n">
        <f aca="false">AM342</f>
        <v>6460.188</v>
      </c>
      <c r="AN401" s="25"/>
      <c r="AO401" s="25"/>
      <c r="AP401" s="25"/>
      <c r="AQ401" s="25"/>
      <c r="AR401" s="26" t="n">
        <f aca="false">AR342</f>
        <v>6938.354</v>
      </c>
      <c r="AS401" s="25"/>
      <c r="AT401" s="25"/>
      <c r="AU401" s="25"/>
      <c r="AV401" s="25"/>
      <c r="AW401" s="26" t="n">
        <f aca="false">AW342</f>
        <v>6863.438</v>
      </c>
      <c r="AX401" s="25"/>
      <c r="AY401" s="25"/>
      <c r="AZ401" s="25"/>
      <c r="BA401" s="25"/>
      <c r="BB401" s="26" t="n">
        <f aca="false">BB342</f>
        <v>6993.545</v>
      </c>
      <c r="BC401" s="25"/>
      <c r="BD401" s="25"/>
      <c r="BE401" s="25"/>
      <c r="BF401" s="25"/>
      <c r="BG401" s="26" t="n">
        <f aca="false">BG342</f>
        <v>7113.644</v>
      </c>
      <c r="BH401" s="25"/>
      <c r="BI401" s="25"/>
      <c r="BJ401" s="25"/>
      <c r="BK401" s="25"/>
      <c r="BL401" s="26" t="n">
        <f aca="false">BL342</f>
        <v>7697.781</v>
      </c>
      <c r="BM401" s="25"/>
      <c r="BN401" s="25"/>
      <c r="BO401" s="25"/>
      <c r="BP401" s="25"/>
      <c r="BQ401" s="26" t="n">
        <f aca="false">BQ342</f>
        <v>7860.354</v>
      </c>
      <c r="BR401" s="25"/>
      <c r="BS401" s="25"/>
      <c r="BT401" s="25"/>
      <c r="BU401" s="25"/>
      <c r="BV401" s="26" t="n">
        <f aca="false">BV342</f>
        <v>8245.381</v>
      </c>
      <c r="BW401" s="25"/>
      <c r="BX401" s="25"/>
      <c r="BY401" s="28"/>
      <c r="BZ401" s="28"/>
      <c r="CA401" s="47" t="n">
        <f aca="false">CA342</f>
        <v>8032.21095632694</v>
      </c>
      <c r="CB401" s="47" t="n">
        <f aca="false">CB342</f>
        <v>7981.31454824873</v>
      </c>
      <c r="CC401" s="47" t="n">
        <f aca="false">CC342</f>
        <v>7854.62580278213</v>
      </c>
      <c r="CD401" s="47" t="n">
        <f aca="false">CD342</f>
        <v>7661.24778556951</v>
      </c>
      <c r="CE401" s="47" t="n">
        <f aca="false">CE342</f>
        <v>7440.57718983675</v>
      </c>
      <c r="CF401" s="21"/>
    </row>
    <row r="402" customFormat="false" ht="15" hidden="false" customHeight="true" outlineLevel="0" collapsed="false">
      <c r="B402" s="29" t="s">
        <v>619</v>
      </c>
      <c r="C402" s="26" t="n">
        <f aca="false">IFERROR(C374-C308,"n/a")</f>
        <v>609.243</v>
      </c>
      <c r="D402" s="26" t="n">
        <f aca="false">IFERROR(D374-D308,"n/a")</f>
        <v>722.535</v>
      </c>
      <c r="E402" s="26" t="n">
        <f aca="false">IFERROR(E374-E308,"n/a")</f>
        <v>570.192</v>
      </c>
      <c r="F402" s="26" t="n">
        <f aca="false">IFERROR(F374-F308,"n/a")</f>
        <v>860.524</v>
      </c>
      <c r="G402" s="26" t="n">
        <f aca="false">IFERROR(G374-G308,"n/a")</f>
        <v>902.762</v>
      </c>
      <c r="H402" s="26" t="n">
        <f aca="false">IFERROR(H374-H308,"n/a")</f>
        <v>1166.014</v>
      </c>
      <c r="I402" s="26" t="n">
        <f aca="false">IFERROR(I374-I308,"n/a")</f>
        <v>2215.723</v>
      </c>
      <c r="J402" s="25"/>
      <c r="K402" s="25"/>
      <c r="L402" s="25"/>
      <c r="M402" s="25"/>
      <c r="N402" s="26" t="n">
        <f aca="false">IFERROR(N374-N308,"n/a")</f>
        <v>2059.384</v>
      </c>
      <c r="O402" s="25"/>
      <c r="P402" s="25"/>
      <c r="Q402" s="25"/>
      <c r="R402" s="25"/>
      <c r="S402" s="26" t="n">
        <f aca="false">IFERROR(S374-S308,"n/a")</f>
        <v>1965.212</v>
      </c>
      <c r="T402" s="25"/>
      <c r="U402" s="25"/>
      <c r="V402" s="25"/>
      <c r="W402" s="25"/>
      <c r="X402" s="26" t="n">
        <f aca="false">IFERROR(X374-X308,"n/a")</f>
        <v>2138.28</v>
      </c>
      <c r="Y402" s="25"/>
      <c r="Z402" s="25"/>
      <c r="AA402" s="25"/>
      <c r="AB402" s="25"/>
      <c r="AC402" s="26" t="n">
        <f aca="false">IFERROR(AC374-AC308,"n/a")</f>
        <v>3464.028</v>
      </c>
      <c r="AD402" s="25"/>
      <c r="AE402" s="25"/>
      <c r="AF402" s="25"/>
      <c r="AG402" s="25"/>
      <c r="AH402" s="26" t="n">
        <f aca="false">IFERROR(AH374-AH308,"n/a")</f>
        <v>3477.416</v>
      </c>
      <c r="AI402" s="25"/>
      <c r="AJ402" s="25"/>
      <c r="AK402" s="25"/>
      <c r="AL402" s="25"/>
      <c r="AM402" s="26" t="n">
        <f aca="false">IFERROR(AM374-AM308,"n/a")</f>
        <v>3835.946</v>
      </c>
      <c r="AN402" s="25"/>
      <c r="AO402" s="25"/>
      <c r="AP402" s="25"/>
      <c r="AQ402" s="25"/>
      <c r="AR402" s="26" t="n">
        <f aca="false">IFERROR(AR374-AR308,"n/a")</f>
        <v>4027.509</v>
      </c>
      <c r="AS402" s="25"/>
      <c r="AT402" s="25"/>
      <c r="AU402" s="25"/>
      <c r="AV402" s="25"/>
      <c r="AW402" s="26" t="n">
        <f aca="false">IFERROR(AW374-AW308,"n/a")</f>
        <v>4099.652</v>
      </c>
      <c r="AX402" s="25"/>
      <c r="AY402" s="25"/>
      <c r="AZ402" s="25"/>
      <c r="BA402" s="25"/>
      <c r="BB402" s="26" t="n">
        <f aca="false">IFERROR(BB374-BB308,"n/a")</f>
        <v>4899.079</v>
      </c>
      <c r="BC402" s="25"/>
      <c r="BD402" s="25"/>
      <c r="BE402" s="25"/>
      <c r="BF402" s="25"/>
      <c r="BG402" s="26" t="n">
        <f aca="false">IFERROR(BG374-BG308,"n/a")</f>
        <v>6818.271</v>
      </c>
      <c r="BH402" s="25"/>
      <c r="BI402" s="25"/>
      <c r="BJ402" s="25"/>
      <c r="BK402" s="25"/>
      <c r="BL402" s="26" t="n">
        <f aca="false">IFERROR(BL374-BL308,"n/a")</f>
        <v>6672.834</v>
      </c>
      <c r="BM402" s="25"/>
      <c r="BN402" s="25"/>
      <c r="BO402" s="25"/>
      <c r="BP402" s="25"/>
      <c r="BQ402" s="26" t="n">
        <f aca="false">IFERROR(BQ374-BQ308,"n/a")</f>
        <v>8018.413</v>
      </c>
      <c r="BR402" s="25"/>
      <c r="BS402" s="25"/>
      <c r="BT402" s="25"/>
      <c r="BU402" s="25"/>
      <c r="BV402" s="26" t="n">
        <f aca="false">IFERROR(BV374-BV308,"n/a")</f>
        <v>8773.803</v>
      </c>
      <c r="BW402" s="25"/>
      <c r="BX402" s="25"/>
      <c r="BY402" s="28"/>
      <c r="BZ402" s="28"/>
      <c r="CA402" s="47" t="n">
        <f aca="false">CA374-CA308</f>
        <v>9053.98128667306</v>
      </c>
      <c r="CB402" s="47" t="n">
        <f aca="false">CB374-CB308</f>
        <v>9827.6218021534</v>
      </c>
      <c r="CC402" s="47" t="n">
        <f aca="false">CC374-CC308</f>
        <v>10643.0210339663</v>
      </c>
      <c r="CD402" s="47" t="n">
        <f aca="false">CD374-CD308</f>
        <v>11515.3056130214</v>
      </c>
      <c r="CE402" s="47" t="n">
        <f aca="false">CE374-CE308</f>
        <v>12407.9497563342</v>
      </c>
      <c r="CF402" s="21"/>
    </row>
    <row r="403" customFormat="false" ht="15" hidden="false" customHeight="true" outlineLevel="0" collapsed="false">
      <c r="B403" s="55" t="s">
        <v>620</v>
      </c>
      <c r="C403" s="82" t="n">
        <f aca="false">IFERROR(C399/C400,"n/a")</f>
        <v>0.0816527977967115</v>
      </c>
      <c r="D403" s="82" t="n">
        <f aca="false">IFERROR(D399/D400,"n/a")</f>
        <v>0.0889031092070386</v>
      </c>
      <c r="E403" s="82" t="n">
        <f aca="false">IFERROR(E399/E400,"n/a")</f>
        <v>0.0790595671073704</v>
      </c>
      <c r="F403" s="82" t="n">
        <f aca="false">IFERROR(F399/F400,"n/a")</f>
        <v>0.0678345779794632</v>
      </c>
      <c r="G403" s="82" t="n">
        <f aca="false">IFERROR(G399/G400,"n/a")</f>
        <v>0.0735234085928262</v>
      </c>
      <c r="H403" s="82" t="n">
        <f aca="false">IFERROR(H399/H400,"n/a")</f>
        <v>0.0764569234712688</v>
      </c>
      <c r="I403" s="82" t="n">
        <f aca="false">IFERROR(I399/I400,"n/a")</f>
        <v>0.04919828765852</v>
      </c>
      <c r="J403" s="83"/>
      <c r="K403" s="83"/>
      <c r="L403" s="83"/>
      <c r="M403" s="83"/>
      <c r="N403" s="82" t="n">
        <f aca="false">IFERROR(N399/N400,"n/a")</f>
        <v>0.0614294974626779</v>
      </c>
      <c r="O403" s="83"/>
      <c r="P403" s="83"/>
      <c r="Q403" s="83"/>
      <c r="R403" s="83"/>
      <c r="S403" s="82" t="n">
        <f aca="false">IFERROR(S399/S400,"n/a")</f>
        <v>0.0661540731363494</v>
      </c>
      <c r="T403" s="83"/>
      <c r="U403" s="83"/>
      <c r="V403" s="83"/>
      <c r="W403" s="83"/>
      <c r="X403" s="82" t="n">
        <f aca="false">IFERROR(X399/X400,"n/a")</f>
        <v>0.080097580669258</v>
      </c>
      <c r="Y403" s="83"/>
      <c r="Z403" s="83"/>
      <c r="AA403" s="83"/>
      <c r="AB403" s="83"/>
      <c r="AC403" s="82" t="n">
        <f aca="false">IFERROR(AC399/AC400,"n/a")</f>
        <v>0.0455708918305349</v>
      </c>
      <c r="AD403" s="83"/>
      <c r="AE403" s="83"/>
      <c r="AF403" s="83"/>
      <c r="AG403" s="83"/>
      <c r="AH403" s="82" t="n">
        <f aca="false">IFERROR(AH399/AH400,"n/a")</f>
        <v>0.0964213847091385</v>
      </c>
      <c r="AI403" s="83"/>
      <c r="AJ403" s="83"/>
      <c r="AK403" s="83"/>
      <c r="AL403" s="83"/>
      <c r="AM403" s="82" t="n">
        <f aca="false">IFERROR(AM399/AM400,"n/a")</f>
        <v>0.0665778684555531</v>
      </c>
      <c r="AN403" s="83"/>
      <c r="AO403" s="83"/>
      <c r="AP403" s="83"/>
      <c r="AQ403" s="83"/>
      <c r="AR403" s="82" t="n">
        <f aca="false">IFERROR(AR399/AR400,"n/a")</f>
        <v>0.0680567372410334</v>
      </c>
      <c r="AS403" s="83"/>
      <c r="AT403" s="83"/>
      <c r="AU403" s="83"/>
      <c r="AV403" s="83"/>
      <c r="AW403" s="82" t="n">
        <f aca="false">IFERROR(AW399/AW400,"n/a")</f>
        <v>0.0666552577041454</v>
      </c>
      <c r="AX403" s="83"/>
      <c r="AY403" s="83"/>
      <c r="AZ403" s="83"/>
      <c r="BA403" s="83"/>
      <c r="BB403" s="82" t="n">
        <f aca="false">IFERROR(BB399/BB400,"n/a")</f>
        <v>0.0746378115626035</v>
      </c>
      <c r="BC403" s="83"/>
      <c r="BD403" s="83"/>
      <c r="BE403" s="83"/>
      <c r="BF403" s="83"/>
      <c r="BG403" s="82" t="n">
        <f aca="false">IFERROR(BG399/BG400,"n/a")</f>
        <v>0.0744636031281026</v>
      </c>
      <c r="BH403" s="83"/>
      <c r="BI403" s="83"/>
      <c r="BJ403" s="83"/>
      <c r="BK403" s="83"/>
      <c r="BL403" s="82" t="n">
        <f aca="false">IFERROR(BL399/BL400,"n/a")</f>
        <v>0.0820249642848198</v>
      </c>
      <c r="BM403" s="83"/>
      <c r="BN403" s="83"/>
      <c r="BO403" s="83"/>
      <c r="BP403" s="83"/>
      <c r="BQ403" s="82" t="n">
        <f aca="false">IFERROR(BQ399/BQ400,"n/a")</f>
        <v>0.0884612299561431</v>
      </c>
      <c r="BR403" s="83"/>
      <c r="BS403" s="83"/>
      <c r="BT403" s="83"/>
      <c r="BU403" s="83"/>
      <c r="BV403" s="82" t="n">
        <f aca="false">IFERROR(BV399/BV400,"n/a")</f>
        <v>0.0844251764144939</v>
      </c>
      <c r="BW403" s="83"/>
      <c r="BX403" s="83"/>
      <c r="BY403" s="83"/>
      <c r="BZ403" s="83"/>
      <c r="CA403" s="82" t="n">
        <f aca="false">IFERROR(CA399/CA400,"n/a")</f>
        <v>0.0916121756499118</v>
      </c>
      <c r="CB403" s="82" t="n">
        <f aca="false">IFERROR(CB399/CB400,"n/a")</f>
        <v>0.0939915330530957</v>
      </c>
      <c r="CC403" s="82" t="n">
        <f aca="false">IFERROR(CC399/CC400,"n/a")</f>
        <v>0.0985764484607708</v>
      </c>
      <c r="CD403" s="82" t="n">
        <f aca="false">IFERROR(CD399/CD400,"n/a")</f>
        <v>0.103468358459288</v>
      </c>
      <c r="CE403" s="82" t="n">
        <f aca="false">IFERROR(CE399/CE400,"n/a")</f>
        <v>0.108248660148734</v>
      </c>
      <c r="CF403" s="21"/>
      <c r="CH403" s="41" t="n">
        <f aca="false">IFERROR(AVERAGE(CA403,CB403,CC403,CD403,CE403),"n/m")</f>
        <v>0.0991794351543602</v>
      </c>
      <c r="CI403" s="41" t="n">
        <f aca="false">IFERROR(AVERAGE(BB403,BG403,BL403,BQ403,BV403),"n/m")</f>
        <v>0.0808025570692326</v>
      </c>
      <c r="CJ403" s="41" t="n">
        <f aca="false">IFERROR(AVERAGE(AC403,AH403,AM403,AR403,AW403,BB403,BG403,BL403,BQ403,BV403),"n/m")</f>
        <v>0.0747294925286568</v>
      </c>
      <c r="CK403" s="41" t="n">
        <f aca="false">IFERROR(AVERAGE(C403,D403,E403,F403,G403,H403,I403,N403,S403,X403,AC403,AH403,AM403,AR403,AW403,BB403,BG403,BL403,BQ403,BV403),"n/m")</f>
        <v>0.0735802374184026</v>
      </c>
    </row>
    <row r="404" customFormat="false" ht="15" hidden="false" customHeight="true" outlineLevel="0" collapsed="false">
      <c r="B404" s="29" t="s">
        <v>621</v>
      </c>
      <c r="C404" s="38" t="n">
        <f aca="false">IFERROR(C397/C128,"n/a")</f>
        <v>0.208869005305973</v>
      </c>
      <c r="D404" s="38" t="n">
        <f aca="false">IFERROR(D397/D128,"n/a")</f>
        <v>0.216223406197544</v>
      </c>
      <c r="E404" s="38" t="n">
        <f aca="false">IFERROR(E397/E128,"n/a")</f>
        <v>0.205682529489721</v>
      </c>
      <c r="F404" s="38" t="n">
        <f aca="false">IFERROR(F397/F128,"n/a")</f>
        <v>0.199829107607649</v>
      </c>
      <c r="G404" s="38" t="n">
        <f aca="false">IFERROR(G397/G128,"n/a")</f>
        <v>0.209736337825827</v>
      </c>
      <c r="H404" s="38" t="n">
        <f aca="false">IFERROR(H397/H128,"n/a")</f>
        <v>0.214187114628602</v>
      </c>
      <c r="I404" s="38" t="n">
        <f aca="false">IFERROR(I397/I128,"n/a")</f>
        <v>0.201511418388583</v>
      </c>
      <c r="J404" s="35"/>
      <c r="K404" s="35"/>
      <c r="L404" s="35"/>
      <c r="M404" s="35"/>
      <c r="N404" s="38" t="n">
        <f aca="false">IFERROR(N397/N128,"n/a")</f>
        <v>0.214194872964727</v>
      </c>
      <c r="O404" s="35"/>
      <c r="P404" s="35"/>
      <c r="Q404" s="35"/>
      <c r="R404" s="35"/>
      <c r="S404" s="38" t="n">
        <f aca="false">IFERROR(S397/S128,"n/a")</f>
        <v>0.220826042749834</v>
      </c>
      <c r="T404" s="35"/>
      <c r="U404" s="35"/>
      <c r="V404" s="35"/>
      <c r="W404" s="35"/>
      <c r="X404" s="38" t="n">
        <f aca="false">IFERROR(X397/X128,"n/a")</f>
        <v>0.208367122643269</v>
      </c>
      <c r="Y404" s="35"/>
      <c r="Z404" s="35"/>
      <c r="AA404" s="35"/>
      <c r="AB404" s="35"/>
      <c r="AC404" s="38" t="n">
        <f aca="false">IFERROR(AC397/AC128,"n/a")</f>
        <v>0.179858305861346</v>
      </c>
      <c r="AD404" s="35"/>
      <c r="AE404" s="35"/>
      <c r="AF404" s="35"/>
      <c r="AG404" s="35"/>
      <c r="AH404" s="38" t="n">
        <f aca="false">IFERROR(AH397/AH128,"n/a")</f>
        <v>0.178823700655309</v>
      </c>
      <c r="AI404" s="35"/>
      <c r="AJ404" s="35"/>
      <c r="AK404" s="35"/>
      <c r="AL404" s="35"/>
      <c r="AM404" s="38" t="n">
        <f aca="false">IFERROR(AM397/AM128,"n/a")</f>
        <v>0.179959702949924</v>
      </c>
      <c r="AN404" s="35"/>
      <c r="AO404" s="35"/>
      <c r="AP404" s="35"/>
      <c r="AQ404" s="35"/>
      <c r="AR404" s="38" t="n">
        <f aca="false">IFERROR(AR397/AR128,"n/a")</f>
        <v>0.172516492446479</v>
      </c>
      <c r="AS404" s="35"/>
      <c r="AT404" s="35"/>
      <c r="AU404" s="35"/>
      <c r="AV404" s="35"/>
      <c r="AW404" s="38" t="n">
        <f aca="false">IFERROR(AW397/AW128,"n/a")</f>
        <v>0.167018301539298</v>
      </c>
      <c r="AX404" s="35"/>
      <c r="AY404" s="35"/>
      <c r="AZ404" s="35"/>
      <c r="BA404" s="35"/>
      <c r="BB404" s="38" t="n">
        <f aca="false">IFERROR(BB397/BB128,"n/a")</f>
        <v>0.179821831298797</v>
      </c>
      <c r="BC404" s="35"/>
      <c r="BD404" s="35"/>
      <c r="BE404" s="35"/>
      <c r="BF404" s="35"/>
      <c r="BG404" s="38" t="n">
        <f aca="false">IFERROR(BG397/BG128,"n/a")</f>
        <v>0.180493268101886</v>
      </c>
      <c r="BH404" s="35"/>
      <c r="BI404" s="35"/>
      <c r="BJ404" s="35"/>
      <c r="BK404" s="35"/>
      <c r="BL404" s="38" t="n">
        <f aca="false">IFERROR(BL397/BL128,"n/a")</f>
        <v>0.189448302538871</v>
      </c>
      <c r="BM404" s="35"/>
      <c r="BN404" s="35"/>
      <c r="BO404" s="35"/>
      <c r="BP404" s="35"/>
      <c r="BQ404" s="38" t="n">
        <f aca="false">IFERROR(BQ397/BQ128,"n/a")</f>
        <v>0.194862746509341</v>
      </c>
      <c r="BR404" s="35"/>
      <c r="BS404" s="35"/>
      <c r="BT404" s="35"/>
      <c r="BU404" s="35"/>
      <c r="BV404" s="38" t="n">
        <f aca="false">IFERROR(BV397/BV128,"n/a")</f>
        <v>0.199901340616241</v>
      </c>
      <c r="BW404" s="35"/>
      <c r="BX404" s="35"/>
      <c r="BY404" s="39"/>
      <c r="BZ404" s="39"/>
      <c r="CA404" s="37" t="n">
        <f aca="false">IFERROR(CA397/CA128,"n/a")</f>
        <v>0.202391629297459</v>
      </c>
      <c r="CB404" s="37" t="n">
        <f aca="false">IFERROR(CB397/CB128,"n/a")</f>
        <v>0.206742695563468</v>
      </c>
      <c r="CC404" s="37" t="n">
        <f aca="false">IFERROR(CC397/CC128,"n/a")</f>
        <v>0.208504477410006</v>
      </c>
      <c r="CD404" s="37" t="n">
        <f aca="false">IFERROR(CD397/CD128,"n/a")</f>
        <v>0.210239420857972</v>
      </c>
      <c r="CE404" s="37" t="n">
        <f aca="false">IFERROR(CE397/CE128,"n/a")</f>
        <v>0.211815469599195</v>
      </c>
      <c r="CF404" s="21"/>
    </row>
    <row r="405" customFormat="false" ht="15" hidden="false" customHeight="true" outlineLevel="0" collapsed="false">
      <c r="B405" s="29" t="s">
        <v>622</v>
      </c>
      <c r="C405" s="75" t="n">
        <f aca="false">IFERROR(C128/C400,"n/a")</f>
        <v>0.600090120454213</v>
      </c>
      <c r="D405" s="75" t="n">
        <f aca="false">IFERROR(D128/D400,"n/a")</f>
        <v>0.627358465868185</v>
      </c>
      <c r="E405" s="75" t="n">
        <f aca="false">IFERROR(E128/E400,"n/a")</f>
        <v>0.5749400055982</v>
      </c>
      <c r="F405" s="75" t="n">
        <f aca="false">IFERROR(F128/F400,"n/a")</f>
        <v>0.537254008910695</v>
      </c>
      <c r="G405" s="75" t="n">
        <f aca="false">IFERROR(G128/G400,"n/a")</f>
        <v>0.580577428976148</v>
      </c>
      <c r="H405" s="75" t="n">
        <f aca="false">IFERROR(H128/H400,"n/a")</f>
        <v>0.586726980267771</v>
      </c>
      <c r="I405" s="75" t="n">
        <f aca="false">IFERROR(I128/I400,"n/a")</f>
        <v>0.405386092157977</v>
      </c>
      <c r="J405" s="48"/>
      <c r="K405" s="48"/>
      <c r="L405" s="48"/>
      <c r="M405" s="48"/>
      <c r="N405" s="75" t="n">
        <f aca="false">IFERROR(N128/N400,"n/a")</f>
        <v>0.469568416134907</v>
      </c>
      <c r="O405" s="48"/>
      <c r="P405" s="48"/>
      <c r="Q405" s="48"/>
      <c r="R405" s="48"/>
      <c r="S405" s="75" t="n">
        <f aca="false">IFERROR(S128/S400,"n/a")</f>
        <v>0.49516296086191</v>
      </c>
      <c r="T405" s="48"/>
      <c r="U405" s="48"/>
      <c r="V405" s="48"/>
      <c r="W405" s="48"/>
      <c r="X405" s="75" t="n">
        <f aca="false">IFERROR(X128/X400,"n/a")</f>
        <v>0.512652346307467</v>
      </c>
      <c r="Y405" s="48"/>
      <c r="Z405" s="48"/>
      <c r="AA405" s="48"/>
      <c r="AB405" s="48"/>
      <c r="AC405" s="75" t="n">
        <f aca="false">IFERROR(AC128/AC400,"n/a")</f>
        <v>0.370204865606123</v>
      </c>
      <c r="AD405" s="48"/>
      <c r="AE405" s="48"/>
      <c r="AF405" s="48"/>
      <c r="AG405" s="48"/>
      <c r="AH405" s="75" t="n">
        <f aca="false">IFERROR(AH128/AH400,"n/a")</f>
        <v>0.474849474223723</v>
      </c>
      <c r="AI405" s="48"/>
      <c r="AJ405" s="48"/>
      <c r="AK405" s="48"/>
      <c r="AL405" s="48"/>
      <c r="AM405" s="75" t="n">
        <f aca="false">IFERROR(AM128/AM400,"n/a")</f>
        <v>0.478134899953711</v>
      </c>
      <c r="AN405" s="48"/>
      <c r="AO405" s="48"/>
      <c r="AP405" s="48"/>
      <c r="AQ405" s="48"/>
      <c r="AR405" s="75" t="n">
        <f aca="false">IFERROR(AR128/AR400,"n/a")</f>
        <v>0.491404917241808</v>
      </c>
      <c r="AS405" s="48"/>
      <c r="AT405" s="48"/>
      <c r="AU405" s="48"/>
      <c r="AV405" s="48"/>
      <c r="AW405" s="75" t="n">
        <f aca="false">IFERROR(AW128/AW400,"n/a")</f>
        <v>0.496756845013586</v>
      </c>
      <c r="AX405" s="48"/>
      <c r="AY405" s="48"/>
      <c r="AZ405" s="48"/>
      <c r="BA405" s="48"/>
      <c r="BB405" s="75" t="n">
        <f aca="false">IFERROR(BB128/BB400,"n/a")</f>
        <v>0.517241695356719</v>
      </c>
      <c r="BC405" s="48"/>
      <c r="BD405" s="48"/>
      <c r="BE405" s="48"/>
      <c r="BF405" s="48"/>
      <c r="BG405" s="75" t="n">
        <f aca="false">IFERROR(BG128/BG400,"n/a")</f>
        <v>0.517650229706397</v>
      </c>
      <c r="BH405" s="48"/>
      <c r="BI405" s="48"/>
      <c r="BJ405" s="48"/>
      <c r="BK405" s="48"/>
      <c r="BL405" s="75" t="n">
        <f aca="false">IFERROR(BL128/BL400,"n/a")</f>
        <v>0.558219046296905</v>
      </c>
      <c r="BM405" s="48"/>
      <c r="BN405" s="48"/>
      <c r="BO405" s="48"/>
      <c r="BP405" s="48"/>
      <c r="BQ405" s="75" t="n">
        <f aca="false">IFERROR(BQ128/BQ400,"n/a")</f>
        <v>0.56173070616881</v>
      </c>
      <c r="BR405" s="48"/>
      <c r="BS405" s="48"/>
      <c r="BT405" s="48"/>
      <c r="BU405" s="48"/>
      <c r="BV405" s="75" t="n">
        <f aca="false">IFERROR(BV128/BV400,"n/a")</f>
        <v>0.556249641580936</v>
      </c>
      <c r="BW405" s="48"/>
      <c r="BX405" s="48"/>
      <c r="BY405" s="49"/>
      <c r="BZ405" s="49"/>
      <c r="CA405" s="76" t="n">
        <f aca="false">IFERROR(CA128/CA400,"n/a")</f>
        <v>0.587316346280209</v>
      </c>
      <c r="CB405" s="76" t="n">
        <f aca="false">IFERROR(CB128/CB400,"n/a")</f>
        <v>0.598198013572569</v>
      </c>
      <c r="CC405" s="76" t="n">
        <f aca="false">IFERROR(CC128/CC400,"n/a")</f>
        <v>0.622077064478577</v>
      </c>
      <c r="CD405" s="76" t="n">
        <f aca="false">IFERROR(CD128/CD400,"n/a")</f>
        <v>0.647559702954508</v>
      </c>
      <c r="CE405" s="76" t="n">
        <f aca="false">IFERROR(CE128/CE400,"n/a")</f>
        <v>0.672436474227495</v>
      </c>
      <c r="CF405" s="21"/>
    </row>
    <row r="406" customFormat="false" ht="15" hidden="false" customHeight="true" outlineLevel="0" collapsed="false">
      <c r="B406" s="29" t="s">
        <v>623</v>
      </c>
      <c r="C406" s="38" t="n">
        <f aca="false">IFERROR(1-C398,"n/a")</f>
        <v>0.651449259683969</v>
      </c>
      <c r="D406" s="38" t="n">
        <f aca="false">IFERROR(1-D398,"n/a")</f>
        <v>0.655387995490832</v>
      </c>
      <c r="E406" s="38" t="n">
        <f aca="false">IFERROR(1-E398,"n/a")</f>
        <v>0.668550931916729</v>
      </c>
      <c r="F406" s="38" t="n">
        <f aca="false">IFERROR(1-F398,"n/a")</f>
        <v>0.631848143417572</v>
      </c>
      <c r="G406" s="38" t="n">
        <f aca="false">IFERROR(1-G398,"n/a")</f>
        <v>0.603798186946726</v>
      </c>
      <c r="H406" s="38" t="n">
        <f aca="false">IFERROR(1-H398,"n/a")</f>
        <v>0.60839749715336</v>
      </c>
      <c r="I406" s="38" t="n">
        <f aca="false">IFERROR(1-I398,"n/a")</f>
        <v>0.602256481443062</v>
      </c>
      <c r="J406" s="35"/>
      <c r="K406" s="35"/>
      <c r="L406" s="35"/>
      <c r="M406" s="35"/>
      <c r="N406" s="38" t="n">
        <f aca="false">IFERROR(1-N398,"n/a")</f>
        <v>0.610757787742155</v>
      </c>
      <c r="O406" s="35"/>
      <c r="P406" s="35"/>
      <c r="Q406" s="35"/>
      <c r="R406" s="35"/>
      <c r="S406" s="38" t="n">
        <f aca="false">IFERROR(1-S398,"n/a")</f>
        <v>0.60500386348668</v>
      </c>
      <c r="T406" s="35"/>
      <c r="U406" s="35"/>
      <c r="V406" s="35"/>
      <c r="W406" s="35"/>
      <c r="X406" s="38" t="n">
        <f aca="false">IFERROR(1-X398,"n/a")</f>
        <v>0.749837670050521</v>
      </c>
      <c r="Y406" s="35"/>
      <c r="Z406" s="35"/>
      <c r="AA406" s="35"/>
      <c r="AB406" s="35"/>
      <c r="AC406" s="38" t="n">
        <f aca="false">IFERROR(1-AC398,"n/a")</f>
        <v>0.684407731794723</v>
      </c>
      <c r="AD406" s="35"/>
      <c r="AE406" s="35"/>
      <c r="AF406" s="35"/>
      <c r="AG406" s="35"/>
      <c r="AH406" s="38" t="n">
        <f aca="false">IFERROR(1-AH398,"n/a")</f>
        <v>1.13551355922204</v>
      </c>
      <c r="AI406" s="35"/>
      <c r="AJ406" s="35"/>
      <c r="AK406" s="35"/>
      <c r="AL406" s="35"/>
      <c r="AM406" s="38" t="n">
        <f aca="false">IFERROR(1-AM398,"n/a")</f>
        <v>0.773756257601041</v>
      </c>
      <c r="AN406" s="35"/>
      <c r="AO406" s="35"/>
      <c r="AP406" s="35"/>
      <c r="AQ406" s="35"/>
      <c r="AR406" s="38" t="n">
        <f aca="false">IFERROR(1-AR398,"n/a")</f>
        <v>0.802788249177281</v>
      </c>
      <c r="AS406" s="35"/>
      <c r="AT406" s="35"/>
      <c r="AU406" s="35"/>
      <c r="AV406" s="35"/>
      <c r="AW406" s="38" t="n">
        <f aca="false">IFERROR(1-AW398,"n/a")</f>
        <v>0.803390124215285</v>
      </c>
      <c r="AX406" s="35"/>
      <c r="AY406" s="35"/>
      <c r="AZ406" s="35"/>
      <c r="BA406" s="35"/>
      <c r="BB406" s="38" t="n">
        <f aca="false">IFERROR(1-BB398,"n/a")</f>
        <v>0.802459188677923</v>
      </c>
      <c r="BC406" s="35"/>
      <c r="BD406" s="35"/>
      <c r="BE406" s="35"/>
      <c r="BF406" s="35"/>
      <c r="BG406" s="38" t="n">
        <f aca="false">IFERROR(1-BG398,"n/a")</f>
        <v>0.796978539757837</v>
      </c>
      <c r="BH406" s="35"/>
      <c r="BI406" s="35"/>
      <c r="BJ406" s="35"/>
      <c r="BK406" s="35"/>
      <c r="BL406" s="38" t="n">
        <f aca="false">IFERROR(1-BL398,"n/a")</f>
        <v>0.77562300394204</v>
      </c>
      <c r="BM406" s="35"/>
      <c r="BN406" s="35"/>
      <c r="BO406" s="35"/>
      <c r="BP406" s="35"/>
      <c r="BQ406" s="38" t="n">
        <f aca="false">IFERROR(1-BQ398,"n/a")</f>
        <v>0.808157465989805</v>
      </c>
      <c r="BR406" s="35"/>
      <c r="BS406" s="35"/>
      <c r="BT406" s="35"/>
      <c r="BU406" s="35"/>
      <c r="BV406" s="38" t="n">
        <f aca="false">IFERROR(1-BV398,"n/a")</f>
        <v>0.759253016398715</v>
      </c>
      <c r="BW406" s="35"/>
      <c r="BX406" s="35"/>
      <c r="BY406" s="39"/>
      <c r="BZ406" s="39"/>
      <c r="CA406" s="37" t="n">
        <f aca="false">IFERROR(1-CA398,"n/a")</f>
        <v>0.770705684369216</v>
      </c>
      <c r="CB406" s="37" t="n">
        <f aca="false">IFERROR(1-CB398,"n/a")</f>
        <v>0.76</v>
      </c>
      <c r="CC406" s="37" t="n">
        <f aca="false">IFERROR(1-CC398,"n/a")</f>
        <v>0.76</v>
      </c>
      <c r="CD406" s="37" t="n">
        <f aca="false">IFERROR(1-CD398,"n/a")</f>
        <v>0.76</v>
      </c>
      <c r="CE406" s="37" t="n">
        <f aca="false">IFERROR(1-CE398,"n/a")</f>
        <v>0.76</v>
      </c>
      <c r="CF406" s="21"/>
    </row>
    <row r="407" customFormat="false" ht="15" hidden="false" customHeight="true" outlineLevel="0" collapsed="false">
      <c r="B407" s="29" t="s">
        <v>624</v>
      </c>
      <c r="C407" s="38" t="n">
        <f aca="false">IFERROR(C404*C405*C406,"n/a")</f>
        <v>0.0816527977967115</v>
      </c>
      <c r="D407" s="38" t="n">
        <f aca="false">IFERROR(D404*D405*D406,"n/a")</f>
        <v>0.0889031092070387</v>
      </c>
      <c r="E407" s="38" t="n">
        <f aca="false">IFERROR(E404*E405*E406,"n/a")</f>
        <v>0.0790595671073704</v>
      </c>
      <c r="F407" s="38" t="n">
        <f aca="false">IFERROR(F404*F405*F406,"n/a")</f>
        <v>0.0678345779794632</v>
      </c>
      <c r="G407" s="38" t="n">
        <f aca="false">IFERROR(G404*G405*G406,"n/a")</f>
        <v>0.0735234085928262</v>
      </c>
      <c r="H407" s="38" t="n">
        <f aca="false">IFERROR(H404*H405*H406,"n/a")</f>
        <v>0.0764569234712687</v>
      </c>
      <c r="I407" s="38" t="n">
        <f aca="false">IFERROR(I404*I405*I406,"n/a")</f>
        <v>0.04919828765852</v>
      </c>
      <c r="J407" s="35"/>
      <c r="K407" s="35"/>
      <c r="L407" s="35"/>
      <c r="M407" s="35"/>
      <c r="N407" s="38" t="n">
        <f aca="false">IFERROR(N404*N405*N406,"n/a")</f>
        <v>0.0614294974626779</v>
      </c>
      <c r="O407" s="35"/>
      <c r="P407" s="35"/>
      <c r="Q407" s="35"/>
      <c r="R407" s="35"/>
      <c r="S407" s="38" t="n">
        <f aca="false">IFERROR(S404*S405*S406,"n/a")</f>
        <v>0.0661540731363494</v>
      </c>
      <c r="T407" s="35"/>
      <c r="U407" s="35"/>
      <c r="V407" s="35"/>
      <c r="W407" s="35"/>
      <c r="X407" s="38" t="n">
        <f aca="false">IFERROR(X404*X405*X406,"n/a")</f>
        <v>0.080097580669258</v>
      </c>
      <c r="Y407" s="35"/>
      <c r="Z407" s="35"/>
      <c r="AA407" s="35"/>
      <c r="AB407" s="35"/>
      <c r="AC407" s="38" t="n">
        <f aca="false">IFERROR(AC404*AC405*AC406,"n/a")</f>
        <v>0.0455708918305349</v>
      </c>
      <c r="AD407" s="35"/>
      <c r="AE407" s="35"/>
      <c r="AF407" s="35"/>
      <c r="AG407" s="35"/>
      <c r="AH407" s="38" t="n">
        <f aca="false">IFERROR(AH404*AH405*AH406,"n/a")</f>
        <v>0.0964213847091385</v>
      </c>
      <c r="AI407" s="35"/>
      <c r="AJ407" s="35"/>
      <c r="AK407" s="35"/>
      <c r="AL407" s="35"/>
      <c r="AM407" s="38" t="n">
        <f aca="false">IFERROR(AM404*AM405*AM406,"n/a")</f>
        <v>0.0665778684555531</v>
      </c>
      <c r="AN407" s="35"/>
      <c r="AO407" s="35"/>
      <c r="AP407" s="35"/>
      <c r="AQ407" s="35"/>
      <c r="AR407" s="38" t="n">
        <f aca="false">IFERROR(AR404*AR405*AR406,"n/a")</f>
        <v>0.0680567372410335</v>
      </c>
      <c r="AS407" s="35"/>
      <c r="AT407" s="35"/>
      <c r="AU407" s="35"/>
      <c r="AV407" s="35"/>
      <c r="AW407" s="38" t="n">
        <f aca="false">IFERROR(AW404*AW405*AW406,"n/a")</f>
        <v>0.0666552577041454</v>
      </c>
      <c r="AX407" s="35"/>
      <c r="AY407" s="35"/>
      <c r="AZ407" s="35"/>
      <c r="BA407" s="35"/>
      <c r="BB407" s="38" t="n">
        <f aca="false">IFERROR(BB404*BB405*BB406,"n/a")</f>
        <v>0.0746378115626035</v>
      </c>
      <c r="BC407" s="35"/>
      <c r="BD407" s="35"/>
      <c r="BE407" s="35"/>
      <c r="BF407" s="35"/>
      <c r="BG407" s="38" t="n">
        <f aca="false">IFERROR(BG404*BG405*BG406,"n/a")</f>
        <v>0.0744636031281026</v>
      </c>
      <c r="BH407" s="35"/>
      <c r="BI407" s="35"/>
      <c r="BJ407" s="35"/>
      <c r="BK407" s="35"/>
      <c r="BL407" s="38" t="n">
        <f aca="false">IFERROR(BL404*BL405*BL406,"n/a")</f>
        <v>0.0820249642848198</v>
      </c>
      <c r="BM407" s="35"/>
      <c r="BN407" s="35"/>
      <c r="BO407" s="35"/>
      <c r="BP407" s="35"/>
      <c r="BQ407" s="38" t="n">
        <f aca="false">IFERROR(BQ404*BQ405*BQ406,"n/a")</f>
        <v>0.0884612299561431</v>
      </c>
      <c r="BR407" s="35"/>
      <c r="BS407" s="35"/>
      <c r="BT407" s="35"/>
      <c r="BU407" s="35"/>
      <c r="BV407" s="38" t="n">
        <f aca="false">IFERROR(BV404*BV405*BV406,"n/a")</f>
        <v>0.0844251764144939</v>
      </c>
      <c r="BW407" s="35"/>
      <c r="BX407" s="35"/>
      <c r="BY407" s="39"/>
      <c r="BZ407" s="39"/>
      <c r="CA407" s="37" t="n">
        <f aca="false">IFERROR(CA404*CA405*CA406,"n/a")</f>
        <v>0.0916121756499118</v>
      </c>
      <c r="CB407" s="37" t="n">
        <f aca="false">IFERROR(CB404*CB405*CB406,"n/a")</f>
        <v>0.0939915330530957</v>
      </c>
      <c r="CC407" s="37" t="n">
        <f aca="false">IFERROR(CC404*CC405*CC406,"n/a")</f>
        <v>0.0985764484607708</v>
      </c>
      <c r="CD407" s="37" t="n">
        <f aca="false">IFERROR(CD404*CD405*CD406,"n/a")</f>
        <v>0.103468358459288</v>
      </c>
      <c r="CE407" s="37" t="n">
        <f aca="false">IFERROR(CE404*CE405*CE406,"n/a")</f>
        <v>0.108248660148734</v>
      </c>
      <c r="CF407" s="21"/>
    </row>
    <row r="408" customFormat="false" ht="15" hidden="false" customHeight="true" outlineLevel="0" collapsed="false">
      <c r="B408" s="16" t="s">
        <v>625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7"/>
    </row>
    <row r="409" customFormat="false" ht="15" hidden="false" customHeight="true" outlineLevel="0" collapsed="false">
      <c r="B409" s="29" t="s">
        <v>616</v>
      </c>
      <c r="C409" s="26" t="n">
        <f aca="false">C399</f>
        <v>112.167836430905</v>
      </c>
      <c r="D409" s="26" t="n">
        <f aca="false">D399</f>
        <v>135.835060557434</v>
      </c>
      <c r="E409" s="26" t="n">
        <f aca="false">E399</f>
        <v>144.330117936843</v>
      </c>
      <c r="F409" s="26" t="n">
        <f aca="false">F399</f>
        <v>150.427246744138</v>
      </c>
      <c r="G409" s="26" t="n">
        <f aca="false">G399</f>
        <v>167.131941945041</v>
      </c>
      <c r="H409" s="26" t="n">
        <f aca="false">H399</f>
        <v>196.165605007158</v>
      </c>
      <c r="I409" s="26" t="n">
        <f aca="false">I399</f>
        <v>201.656548963988</v>
      </c>
      <c r="J409" s="25"/>
      <c r="K409" s="25"/>
      <c r="L409" s="25"/>
      <c r="M409" s="25"/>
      <c r="N409" s="26" t="n">
        <f aca="false">N399</f>
        <v>252.327250912218</v>
      </c>
      <c r="O409" s="25"/>
      <c r="P409" s="25"/>
      <c r="Q409" s="25"/>
      <c r="R409" s="25"/>
      <c r="S409" s="26" t="n">
        <f aca="false">S399</f>
        <v>277.777843858094</v>
      </c>
      <c r="T409" s="25"/>
      <c r="U409" s="25"/>
      <c r="V409" s="25"/>
      <c r="W409" s="25"/>
      <c r="X409" s="26" t="n">
        <f aca="false">X399</f>
        <v>330.808134409198</v>
      </c>
      <c r="Y409" s="25"/>
      <c r="Z409" s="25"/>
      <c r="AA409" s="25"/>
      <c r="AB409" s="25"/>
      <c r="AC409" s="26" t="n">
        <f aca="false">AC399</f>
        <v>415.556633367924</v>
      </c>
      <c r="AD409" s="25"/>
      <c r="AE409" s="25"/>
      <c r="AF409" s="25"/>
      <c r="AG409" s="25"/>
      <c r="AH409" s="26" t="n">
        <f aca="false">AH399</f>
        <v>940.251783091778</v>
      </c>
      <c r="AI409" s="25"/>
      <c r="AJ409" s="25"/>
      <c r="AK409" s="25"/>
      <c r="AL409" s="25"/>
      <c r="AM409" s="26" t="n">
        <f aca="false">AM399</f>
        <v>685.494655052747</v>
      </c>
      <c r="AN409" s="25"/>
      <c r="AO409" s="25"/>
      <c r="AP409" s="25"/>
      <c r="AQ409" s="25"/>
      <c r="AR409" s="26" t="n">
        <f aca="false">AR399</f>
        <v>746.300856812171</v>
      </c>
      <c r="AS409" s="25"/>
      <c r="AT409" s="25"/>
      <c r="AU409" s="25"/>
      <c r="AV409" s="25"/>
      <c r="AW409" s="26" t="n">
        <f aca="false">AW399</f>
        <v>730.747589183739</v>
      </c>
      <c r="AX409" s="25"/>
      <c r="AY409" s="25"/>
      <c r="AZ409" s="25"/>
      <c r="BA409" s="25"/>
      <c r="BB409" s="26" t="n">
        <f aca="false">BB399</f>
        <v>887.639429096896</v>
      </c>
      <c r="BC409" s="25"/>
      <c r="BD409" s="25"/>
      <c r="BE409" s="25"/>
      <c r="BF409" s="25"/>
      <c r="BG409" s="26" t="n">
        <f aca="false">BG399</f>
        <v>1037.42058937446</v>
      </c>
      <c r="BH409" s="25"/>
      <c r="BI409" s="25"/>
      <c r="BJ409" s="25"/>
      <c r="BK409" s="25"/>
      <c r="BL409" s="26" t="n">
        <f aca="false">BL399</f>
        <v>1178.7491821259</v>
      </c>
      <c r="BM409" s="25"/>
      <c r="BN409" s="25"/>
      <c r="BO409" s="25"/>
      <c r="BP409" s="25"/>
      <c r="BQ409" s="26" t="n">
        <f aca="false">BQ399</f>
        <v>1404.65525900702</v>
      </c>
      <c r="BR409" s="25"/>
      <c r="BS409" s="25"/>
      <c r="BT409" s="25"/>
      <c r="BU409" s="25"/>
      <c r="BV409" s="26" t="n">
        <f aca="false">BV399</f>
        <v>1436.84761163073</v>
      </c>
      <c r="BW409" s="25"/>
      <c r="BX409" s="25"/>
      <c r="BY409" s="28"/>
      <c r="BZ409" s="28"/>
      <c r="CA409" s="47" t="n">
        <f aca="false">CA399</f>
        <v>1565.30324495388</v>
      </c>
      <c r="CB409" s="47" t="n">
        <f aca="false">CB399</f>
        <v>1673.8892296193</v>
      </c>
      <c r="CC409" s="47" t="n">
        <f aca="false">CC399</f>
        <v>1823.43233004827</v>
      </c>
      <c r="CD409" s="47" t="n">
        <f aca="false">CD399</f>
        <v>1984.16650105909</v>
      </c>
      <c r="CE409" s="47" t="n">
        <f aca="false">CE399</f>
        <v>2148.57644784906</v>
      </c>
      <c r="CF409" s="21"/>
    </row>
    <row r="410" customFormat="false" ht="15" hidden="false" customHeight="true" outlineLevel="0" collapsed="false">
      <c r="B410" s="29" t="s">
        <v>626</v>
      </c>
      <c r="C410" s="26" t="n">
        <f aca="false">C319</f>
        <v>1773.891</v>
      </c>
      <c r="D410" s="26" t="n">
        <f aca="false">D319</f>
        <v>1981.958</v>
      </c>
      <c r="E410" s="26" t="n">
        <f aca="false">E319</f>
        <v>2600.64</v>
      </c>
      <c r="F410" s="26" t="n">
        <f aca="false">F319</f>
        <v>2820.448</v>
      </c>
      <c r="G410" s="26" t="n">
        <f aca="false">G319</f>
        <v>2915.984</v>
      </c>
      <c r="H410" s="26" t="n">
        <f aca="false">H319</f>
        <v>3328.005</v>
      </c>
      <c r="I410" s="26" t="n">
        <f aca="false">I319</f>
        <v>5076.026</v>
      </c>
      <c r="J410" s="25"/>
      <c r="K410" s="25"/>
      <c r="L410" s="25"/>
      <c r="M410" s="25"/>
      <c r="N410" s="26" t="n">
        <f aca="false">N319</f>
        <v>5064.252</v>
      </c>
      <c r="O410" s="25"/>
      <c r="P410" s="25"/>
      <c r="Q410" s="25"/>
      <c r="R410" s="25"/>
      <c r="S410" s="26" t="n">
        <f aca="false">S319</f>
        <v>5250.031</v>
      </c>
      <c r="T410" s="25"/>
      <c r="U410" s="25"/>
      <c r="V410" s="25"/>
      <c r="W410" s="25"/>
      <c r="X410" s="26" t="n">
        <f aca="false">X319</f>
        <v>5121.798</v>
      </c>
      <c r="Y410" s="25"/>
      <c r="Z410" s="25"/>
      <c r="AA410" s="25"/>
      <c r="AB410" s="25"/>
      <c r="AC410" s="26" t="n">
        <f aca="false">AC319</f>
        <v>11193.102</v>
      </c>
      <c r="AD410" s="25"/>
      <c r="AE410" s="25"/>
      <c r="AF410" s="25"/>
      <c r="AG410" s="25"/>
      <c r="AH410" s="26" t="n">
        <f aca="false">AH319</f>
        <v>12014.681</v>
      </c>
      <c r="AI410" s="25"/>
      <c r="AJ410" s="25"/>
      <c r="AK410" s="25"/>
      <c r="AL410" s="25"/>
      <c r="AM410" s="26" t="n">
        <f aca="false">AM319</f>
        <v>12627.329</v>
      </c>
      <c r="AN410" s="25"/>
      <c r="AO410" s="25"/>
      <c r="AP410" s="25"/>
      <c r="AQ410" s="25"/>
      <c r="AR410" s="26" t="n">
        <f aca="false">AR319</f>
        <v>13737.695</v>
      </c>
      <c r="AS410" s="25"/>
      <c r="AT410" s="25"/>
      <c r="AU410" s="25"/>
      <c r="AV410" s="25"/>
      <c r="AW410" s="26" t="n">
        <f aca="false">AW319</f>
        <v>13992.364</v>
      </c>
      <c r="AX410" s="25"/>
      <c r="AY410" s="25"/>
      <c r="AZ410" s="25"/>
      <c r="BA410" s="25"/>
      <c r="BB410" s="26" t="n">
        <f aca="false">BB319</f>
        <v>14699.924</v>
      </c>
      <c r="BC410" s="25"/>
      <c r="BD410" s="25"/>
      <c r="BE410" s="25"/>
      <c r="BF410" s="25"/>
      <c r="BG410" s="26" t="n">
        <f aca="false">BG319</f>
        <v>17134.603</v>
      </c>
      <c r="BH410" s="25"/>
      <c r="BI410" s="25"/>
      <c r="BJ410" s="25"/>
      <c r="BK410" s="25"/>
      <c r="BL410" s="26" t="n">
        <f aca="false">BL319</f>
        <v>17915.876</v>
      </c>
      <c r="BM410" s="25"/>
      <c r="BN410" s="25"/>
      <c r="BO410" s="25"/>
      <c r="BP410" s="25"/>
      <c r="BQ410" s="26" t="n">
        <f aca="false">BQ319</f>
        <v>19817.809</v>
      </c>
      <c r="BR410" s="25"/>
      <c r="BS410" s="25"/>
      <c r="BT410" s="25"/>
      <c r="BU410" s="25"/>
      <c r="BV410" s="26" t="n">
        <f aca="false">BV319</f>
        <v>21129.363</v>
      </c>
      <c r="BW410" s="25"/>
      <c r="BX410" s="25"/>
      <c r="BY410" s="28"/>
      <c r="BZ410" s="28"/>
      <c r="CA410" s="47" t="n">
        <f aca="false">CA319</f>
        <v>21576.6502022461</v>
      </c>
      <c r="CB410" s="47" t="n">
        <f aca="false">CB319</f>
        <v>22559.0649922222</v>
      </c>
      <c r="CC410" s="47" t="n">
        <f aca="false">CC319</f>
        <v>23572.8219166162</v>
      </c>
      <c r="CD410" s="47" t="n">
        <f aca="false">CD319</f>
        <v>24597.1691168141</v>
      </c>
      <c r="CE410" s="47" t="n">
        <f aca="false">CE319</f>
        <v>25626.8953025621</v>
      </c>
      <c r="CF410" s="21"/>
    </row>
    <row r="411" customFormat="false" ht="15" hidden="false" customHeight="true" outlineLevel="0" collapsed="false">
      <c r="B411" s="29" t="s">
        <v>627</v>
      </c>
      <c r="C411" s="26" t="n">
        <f aca="false">-(C316+C317)</f>
        <v>-836.495</v>
      </c>
      <c r="D411" s="26" t="n">
        <f aca="false">-(D316+D317)</f>
        <v>-905.006</v>
      </c>
      <c r="E411" s="26" t="n">
        <f aca="false">-(E316+E317)</f>
        <v>-1143.374</v>
      </c>
      <c r="F411" s="26" t="n">
        <f aca="false">-(F316+F317)</f>
        <v>-1261.013</v>
      </c>
      <c r="G411" s="26" t="n">
        <f aca="false">-(G316+G317)</f>
        <v>-1309.327</v>
      </c>
      <c r="H411" s="26" t="n">
        <f aca="false">-(H316+H317)</f>
        <v>-1566.469</v>
      </c>
      <c r="I411" s="26" t="n">
        <f aca="false">-(I316+I317)</f>
        <v>-2178.465</v>
      </c>
      <c r="J411" s="25"/>
      <c r="K411" s="25"/>
      <c r="L411" s="25"/>
      <c r="M411" s="25"/>
      <c r="N411" s="26" t="n">
        <f aca="false">-(N316+N317)</f>
        <v>-2203.025</v>
      </c>
      <c r="O411" s="25"/>
      <c r="P411" s="25"/>
      <c r="Q411" s="25"/>
      <c r="R411" s="25"/>
      <c r="S411" s="26" t="n">
        <f aca="false">-(S316+S317)</f>
        <v>-2203.784</v>
      </c>
      <c r="T411" s="25"/>
      <c r="U411" s="25"/>
      <c r="V411" s="25"/>
      <c r="W411" s="25"/>
      <c r="X411" s="26" t="n">
        <f aca="false">-(X316+X317)</f>
        <v>-1934.119</v>
      </c>
      <c r="Y411" s="25"/>
      <c r="Z411" s="25"/>
      <c r="AA411" s="25"/>
      <c r="AB411" s="25"/>
      <c r="AC411" s="26" t="n">
        <f aca="false">-(AC316+AC317)</f>
        <v>-5457.419</v>
      </c>
      <c r="AD411" s="25"/>
      <c r="AE411" s="25"/>
      <c r="AF411" s="25"/>
      <c r="AG411" s="25"/>
      <c r="AH411" s="26" t="n">
        <f aca="false">-(AH316+AH317)</f>
        <v>-5769.21</v>
      </c>
      <c r="AI411" s="25"/>
      <c r="AJ411" s="25"/>
      <c r="AK411" s="25"/>
      <c r="AL411" s="25"/>
      <c r="AM411" s="26" t="n">
        <f aca="false">-(AM316+AM317)</f>
        <v>-6160.313</v>
      </c>
      <c r="AN411" s="25"/>
      <c r="AO411" s="25"/>
      <c r="AP411" s="25"/>
      <c r="AQ411" s="25"/>
      <c r="AR411" s="26" t="n">
        <f aca="false">-(AR316+AR317)</f>
        <v>-6673.914</v>
      </c>
      <c r="AS411" s="25"/>
      <c r="AT411" s="25"/>
      <c r="AU411" s="25"/>
      <c r="AV411" s="25"/>
      <c r="AW411" s="26" t="n">
        <f aca="false">-(AW316+AW317)</f>
        <v>-6881.729</v>
      </c>
      <c r="AX411" s="25"/>
      <c r="AY411" s="25"/>
      <c r="AZ411" s="25"/>
      <c r="BA411" s="25"/>
      <c r="BB411" s="26" t="n">
        <f aca="false">-(BB316+BB317)</f>
        <v>-7538.24</v>
      </c>
      <c r="BC411" s="25"/>
      <c r="BD411" s="25"/>
      <c r="BE411" s="25"/>
      <c r="BF411" s="25"/>
      <c r="BG411" s="26" t="n">
        <f aca="false">-(BG316+BG317)</f>
        <v>-8576.214</v>
      </c>
      <c r="BH411" s="25"/>
      <c r="BI411" s="25"/>
      <c r="BJ411" s="25"/>
      <c r="BK411" s="25"/>
      <c r="BL411" s="26" t="n">
        <f aca="false">-(BL316+BL317)</f>
        <v>-9007.941</v>
      </c>
      <c r="BM411" s="25"/>
      <c r="BN411" s="25"/>
      <c r="BO411" s="25"/>
      <c r="BP411" s="25"/>
      <c r="BQ411" s="26" t="n">
        <f aca="false">-(BQ316+BQ317)</f>
        <v>-9942.025</v>
      </c>
      <c r="BR411" s="25"/>
      <c r="BS411" s="25"/>
      <c r="BT411" s="25"/>
      <c r="BU411" s="25"/>
      <c r="BV411" s="26" t="n">
        <f aca="false">-(BV316+BV317)</f>
        <v>-10398.449</v>
      </c>
      <c r="BW411" s="25"/>
      <c r="BX411" s="25"/>
      <c r="BY411" s="28"/>
      <c r="BZ411" s="28"/>
      <c r="CA411" s="47" t="n">
        <f aca="false">-(CA316+CA317)</f>
        <v>-10264.437</v>
      </c>
      <c r="CB411" s="47" t="n">
        <f aca="false">-(CB316+CB317)</f>
        <v>-10721.937</v>
      </c>
      <c r="CC411" s="47" t="n">
        <f aca="false">-(CC316+CC317)</f>
        <v>-11166.437</v>
      </c>
      <c r="CD411" s="47" t="n">
        <f aca="false">-(CD316+CD317)</f>
        <v>-11597.937</v>
      </c>
      <c r="CE411" s="47" t="n">
        <f aca="false">-(CE316+CE317)</f>
        <v>-12015.437</v>
      </c>
      <c r="CF411" s="21"/>
    </row>
    <row r="412" customFormat="false" ht="15" hidden="false" customHeight="true" outlineLevel="0" collapsed="false">
      <c r="B412" s="29" t="s">
        <v>628</v>
      </c>
      <c r="C412" s="26" t="n">
        <f aca="false">-(C329-N(C327))</f>
        <v>-142.981</v>
      </c>
      <c r="D412" s="26" t="n">
        <f aca="false">-(D329-N(D327))</f>
        <v>-182.399</v>
      </c>
      <c r="E412" s="26" t="n">
        <f aca="false">-(E329-N(E327))</f>
        <v>-210.766</v>
      </c>
      <c r="F412" s="26" t="n">
        <f aca="false">-(F329-N(F327))</f>
        <v>-242.304</v>
      </c>
      <c r="G412" s="26" t="n">
        <f aca="false">-(G329-N(G327))</f>
        <v>-250.88</v>
      </c>
      <c r="H412" s="26" t="n">
        <f aca="false">-(H329-N(H327))</f>
        <v>-278.203</v>
      </c>
      <c r="I412" s="26" t="n">
        <f aca="false">-(I329-N(I327))</f>
        <v>-383.604</v>
      </c>
      <c r="J412" s="25"/>
      <c r="K412" s="25"/>
      <c r="L412" s="25"/>
      <c r="M412" s="25"/>
      <c r="N412" s="26" t="n">
        <f aca="false">-(N329-N(N327))</f>
        <v>-308.793</v>
      </c>
      <c r="O412" s="25"/>
      <c r="P412" s="25"/>
      <c r="Q412" s="25"/>
      <c r="R412" s="25"/>
      <c r="S412" s="26" t="n">
        <f aca="false">-(S329-N(S327))</f>
        <v>-335.025</v>
      </c>
      <c r="T412" s="25"/>
      <c r="U412" s="25"/>
      <c r="V412" s="25"/>
      <c r="W412" s="25"/>
      <c r="X412" s="26" t="n">
        <f aca="false">-(X329-N(X327))</f>
        <v>-376.147</v>
      </c>
      <c r="Y412" s="25"/>
      <c r="Z412" s="25"/>
      <c r="AA412" s="25"/>
      <c r="AB412" s="25"/>
      <c r="AC412" s="26" t="n">
        <f aca="false">-(AC329-N(AC327))</f>
        <v>-690.527</v>
      </c>
      <c r="AD412" s="25"/>
      <c r="AE412" s="25"/>
      <c r="AF412" s="25"/>
      <c r="AG412" s="25"/>
      <c r="AH412" s="26" t="n">
        <f aca="false">-(AH329-N(AH327))</f>
        <v>-790.94</v>
      </c>
      <c r="AI412" s="25"/>
      <c r="AJ412" s="25"/>
      <c r="AK412" s="25"/>
      <c r="AL412" s="25"/>
      <c r="AM412" s="26" t="n">
        <f aca="false">-(AM329-N(AM327))</f>
        <v>-858.923</v>
      </c>
      <c r="AN412" s="25"/>
      <c r="AO412" s="25"/>
      <c r="AP412" s="25"/>
      <c r="AQ412" s="25"/>
      <c r="AR412" s="26" t="n">
        <f aca="false">-(AR329-N(AR327))</f>
        <v>-1006.763</v>
      </c>
      <c r="AS412" s="25"/>
      <c r="AT412" s="25"/>
      <c r="AU412" s="25"/>
      <c r="AV412" s="25"/>
      <c r="AW412" s="26" t="n">
        <f aca="false">-(AW329-N(AW327))</f>
        <v>-1020.386</v>
      </c>
      <c r="AX412" s="25"/>
      <c r="AY412" s="25"/>
      <c r="AZ412" s="25"/>
      <c r="BA412" s="25"/>
      <c r="BB412" s="26" t="n">
        <f aca="false">-(BB329-N(BB327))</f>
        <v>-1226.726</v>
      </c>
      <c r="BC412" s="25"/>
      <c r="BD412" s="25"/>
      <c r="BE412" s="25"/>
      <c r="BF412" s="25"/>
      <c r="BG412" s="26" t="n">
        <f aca="false">-(BG329-N(BG327))</f>
        <v>-1505.884</v>
      </c>
      <c r="BH412" s="25"/>
      <c r="BI412" s="25"/>
      <c r="BJ412" s="25"/>
      <c r="BK412" s="25"/>
      <c r="BL412" s="26" t="n">
        <f aca="false">-(BL329-N(BL327))</f>
        <v>-1661.47</v>
      </c>
      <c r="BM412" s="25"/>
      <c r="BN412" s="25"/>
      <c r="BO412" s="25"/>
      <c r="BP412" s="25"/>
      <c r="BQ412" s="26" t="n">
        <f aca="false">-(BQ329-N(BQ327))</f>
        <v>-1870.983</v>
      </c>
      <c r="BR412" s="25"/>
      <c r="BS412" s="25"/>
      <c r="BT412" s="25"/>
      <c r="BU412" s="25"/>
      <c r="BV412" s="26" t="n">
        <f aca="false">-(BV329-N(BV327))</f>
        <v>-2115.594</v>
      </c>
      <c r="BW412" s="25"/>
      <c r="BX412" s="25"/>
      <c r="BY412" s="28"/>
      <c r="BZ412" s="28"/>
      <c r="CA412" s="47" t="n">
        <f aca="false">-(CA329-N(CA327))</f>
        <v>-2243.84162260608</v>
      </c>
      <c r="CB412" s="47" t="n">
        <f aca="false">-(CB329-N(CB327))</f>
        <v>-2368.98296760597</v>
      </c>
      <c r="CC412" s="47" t="n">
        <f aca="false">-(CC329-N(CC327))</f>
        <v>-2551.55409312864</v>
      </c>
      <c r="CD412" s="47" t="n">
        <f aca="false">-(CD329-N(CD327))</f>
        <v>-2746.18032852271</v>
      </c>
      <c r="CE412" s="47" t="n">
        <f aca="false">-(CE329-N(CE327))</f>
        <v>-2944.63941684653</v>
      </c>
      <c r="CF412" s="21"/>
    </row>
    <row r="413" customFormat="false" ht="15" hidden="false" customHeight="true" outlineLevel="0" collapsed="false">
      <c r="B413" s="29" t="s">
        <v>629</v>
      </c>
      <c r="C413" s="26" t="n">
        <f aca="false">SUM(C410:C412)</f>
        <v>794.415</v>
      </c>
      <c r="D413" s="26" t="n">
        <f aca="false">SUM(D410:D412)</f>
        <v>894.553</v>
      </c>
      <c r="E413" s="26" t="n">
        <f aca="false">SUM(E410:E412)</f>
        <v>1246.5</v>
      </c>
      <c r="F413" s="26" t="n">
        <f aca="false">SUM(F410:F412)</f>
        <v>1317.131</v>
      </c>
      <c r="G413" s="26" t="n">
        <f aca="false">SUM(G410:G412)</f>
        <v>1355.777</v>
      </c>
      <c r="H413" s="26" t="n">
        <f aca="false">SUM(H410:H412)</f>
        <v>1483.333</v>
      </c>
      <c r="I413" s="26" t="n">
        <f aca="false">SUM(I410:I412)</f>
        <v>2513.957</v>
      </c>
      <c r="J413" s="25"/>
      <c r="K413" s="25"/>
      <c r="L413" s="25"/>
      <c r="M413" s="25"/>
      <c r="N413" s="26" t="n">
        <f aca="false">SUM(N410:N412)</f>
        <v>2552.434</v>
      </c>
      <c r="O413" s="25"/>
      <c r="P413" s="25"/>
      <c r="Q413" s="25"/>
      <c r="R413" s="25"/>
      <c r="S413" s="26" t="n">
        <f aca="false">SUM(S410:S412)</f>
        <v>2711.222</v>
      </c>
      <c r="T413" s="25"/>
      <c r="U413" s="25"/>
      <c r="V413" s="25"/>
      <c r="W413" s="25"/>
      <c r="X413" s="26" t="n">
        <f aca="false">SUM(X410:X412)</f>
        <v>2811.532</v>
      </c>
      <c r="Y413" s="25"/>
      <c r="Z413" s="25"/>
      <c r="AA413" s="25"/>
      <c r="AB413" s="25"/>
      <c r="AC413" s="26" t="n">
        <f aca="false">SUM(AC410:AC412)</f>
        <v>5045.156</v>
      </c>
      <c r="AD413" s="25"/>
      <c r="AE413" s="25"/>
      <c r="AF413" s="25"/>
      <c r="AG413" s="25"/>
      <c r="AH413" s="26" t="n">
        <f aca="false">SUM(AH410:AH412)</f>
        <v>5454.531</v>
      </c>
      <c r="AI413" s="25"/>
      <c r="AJ413" s="25"/>
      <c r="AK413" s="25"/>
      <c r="AL413" s="25"/>
      <c r="AM413" s="26" t="n">
        <f aca="false">SUM(AM410:AM412)</f>
        <v>5608.093</v>
      </c>
      <c r="AN413" s="25"/>
      <c r="AO413" s="25"/>
      <c r="AP413" s="25"/>
      <c r="AQ413" s="25"/>
      <c r="AR413" s="26" t="n">
        <f aca="false">SUM(AR410:AR412)</f>
        <v>6057.018</v>
      </c>
      <c r="AS413" s="25"/>
      <c r="AT413" s="25"/>
      <c r="AU413" s="25"/>
      <c r="AV413" s="25"/>
      <c r="AW413" s="26" t="n">
        <f aca="false">SUM(AW410:AW412)</f>
        <v>6090.249</v>
      </c>
      <c r="AX413" s="25"/>
      <c r="AY413" s="25"/>
      <c r="AZ413" s="25"/>
      <c r="BA413" s="25"/>
      <c r="BB413" s="26" t="n">
        <f aca="false">SUM(BB410:BB412)</f>
        <v>5934.958</v>
      </c>
      <c r="BC413" s="25"/>
      <c r="BD413" s="25"/>
      <c r="BE413" s="25"/>
      <c r="BF413" s="25"/>
      <c r="BG413" s="26" t="n">
        <f aca="false">SUM(BG410:BG412)</f>
        <v>7052.505</v>
      </c>
      <c r="BH413" s="25"/>
      <c r="BI413" s="25"/>
      <c r="BJ413" s="25"/>
      <c r="BK413" s="25"/>
      <c r="BL413" s="26" t="n">
        <f aca="false">SUM(BL410:BL412)</f>
        <v>7246.465</v>
      </c>
      <c r="BM413" s="25"/>
      <c r="BN413" s="25"/>
      <c r="BO413" s="25"/>
      <c r="BP413" s="25"/>
      <c r="BQ413" s="26" t="n">
        <f aca="false">SUM(BQ410:BQ412)</f>
        <v>8004.801</v>
      </c>
      <c r="BR413" s="25"/>
      <c r="BS413" s="25"/>
      <c r="BT413" s="25"/>
      <c r="BU413" s="25"/>
      <c r="BV413" s="26" t="n">
        <f aca="false">SUM(BV410:BV412)</f>
        <v>8615.32</v>
      </c>
      <c r="BW413" s="25"/>
      <c r="BX413" s="25"/>
      <c r="BY413" s="28"/>
      <c r="BZ413" s="28"/>
      <c r="CA413" s="47" t="n">
        <f aca="false">SUM(CA410:CA412)</f>
        <v>9068.37157964</v>
      </c>
      <c r="CB413" s="47" t="n">
        <f aca="false">SUM(CB410:CB412)</f>
        <v>9468.14502461627</v>
      </c>
      <c r="CC413" s="47" t="n">
        <f aca="false">SUM(CC410:CC412)</f>
        <v>9854.83082348752</v>
      </c>
      <c r="CD413" s="47" t="n">
        <f aca="false">SUM(CD410:CD412)</f>
        <v>10253.0517882914</v>
      </c>
      <c r="CE413" s="47" t="n">
        <f aca="false">SUM(CE410:CE412)</f>
        <v>10666.8188857156</v>
      </c>
      <c r="CF413" s="21"/>
    </row>
    <row r="414" customFormat="false" ht="15" hidden="false" customHeight="true" outlineLevel="0" collapsed="false">
      <c r="B414" s="55" t="s">
        <v>630</v>
      </c>
      <c r="C414" s="82" t="n">
        <f aca="false">IFERROR(C409/C413,"n/a")</f>
        <v>0.141195516739872</v>
      </c>
      <c r="D414" s="82" t="n">
        <f aca="false">IFERROR(D409/D413,"n/a")</f>
        <v>0.151846855979952</v>
      </c>
      <c r="E414" s="82" t="n">
        <f aca="false">IFERROR(E409/E413,"n/a")</f>
        <v>0.115788301593937</v>
      </c>
      <c r="F414" s="82" t="n">
        <f aca="false">IFERROR(F409/F413,"n/a")</f>
        <v>0.114208265346528</v>
      </c>
      <c r="G414" s="82" t="n">
        <f aca="false">IFERROR(G409/G413,"n/a")</f>
        <v>0.123273917425241</v>
      </c>
      <c r="H414" s="82" t="n">
        <f aca="false">IFERROR(H409/H413,"n/a")</f>
        <v>0.13224650500404</v>
      </c>
      <c r="I414" s="82" t="n">
        <f aca="false">IFERROR(I409/I413,"n/a")</f>
        <v>0.0802147964201407</v>
      </c>
      <c r="J414" s="83"/>
      <c r="K414" s="83"/>
      <c r="L414" s="83"/>
      <c r="M414" s="83"/>
      <c r="N414" s="82" t="n">
        <f aca="false">IFERROR(N409/N413,"n/a")</f>
        <v>0.0988575026473627</v>
      </c>
      <c r="O414" s="83"/>
      <c r="P414" s="83"/>
      <c r="Q414" s="83"/>
      <c r="R414" s="83"/>
      <c r="S414" s="82" t="n">
        <f aca="false">IFERROR(S409/S413,"n/a")</f>
        <v>0.102454850195998</v>
      </c>
      <c r="T414" s="83"/>
      <c r="U414" s="83"/>
      <c r="V414" s="83"/>
      <c r="W414" s="83"/>
      <c r="X414" s="82" t="n">
        <f aca="false">IFERROR(X409/X413,"n/a")</f>
        <v>0.117661166370932</v>
      </c>
      <c r="Y414" s="83"/>
      <c r="Z414" s="83"/>
      <c r="AA414" s="83"/>
      <c r="AB414" s="83"/>
      <c r="AC414" s="82" t="n">
        <f aca="false">IFERROR(AC409/AC413,"n/a")</f>
        <v>0.0823674497613006</v>
      </c>
      <c r="AD414" s="83"/>
      <c r="AE414" s="83"/>
      <c r="AF414" s="83"/>
      <c r="AG414" s="83"/>
      <c r="AH414" s="82" t="n">
        <f aca="false">IFERROR(AH409/AH413,"n/a")</f>
        <v>0.172379950373695</v>
      </c>
      <c r="AI414" s="83"/>
      <c r="AJ414" s="83"/>
      <c r="AK414" s="83"/>
      <c r="AL414" s="83"/>
      <c r="AM414" s="82" t="n">
        <f aca="false">IFERROR(AM409/AM413,"n/a")</f>
        <v>0.122233111157883</v>
      </c>
      <c r="AN414" s="83"/>
      <c r="AO414" s="83"/>
      <c r="AP414" s="83"/>
      <c r="AQ414" s="83"/>
      <c r="AR414" s="82" t="n">
        <f aca="false">IFERROR(AR409/AR413,"n/a")</f>
        <v>0.123212586921844</v>
      </c>
      <c r="AS414" s="83"/>
      <c r="AT414" s="83"/>
      <c r="AU414" s="83"/>
      <c r="AV414" s="83"/>
      <c r="AW414" s="82" t="n">
        <f aca="false">IFERROR(AW409/AW413,"n/a")</f>
        <v>0.119986488103153</v>
      </c>
      <c r="AX414" s="83"/>
      <c r="AY414" s="83"/>
      <c r="AZ414" s="83"/>
      <c r="BA414" s="83"/>
      <c r="BB414" s="82" t="n">
        <f aca="false">IFERROR(BB409/BB413,"n/a")</f>
        <v>0.149561198090517</v>
      </c>
      <c r="BC414" s="83"/>
      <c r="BD414" s="83"/>
      <c r="BE414" s="83"/>
      <c r="BF414" s="83"/>
      <c r="BG414" s="82" t="n">
        <f aca="false">IFERROR(BG409/BG413,"n/a")</f>
        <v>0.147099589347964</v>
      </c>
      <c r="BH414" s="83"/>
      <c r="BI414" s="83"/>
      <c r="BJ414" s="83"/>
      <c r="BK414" s="83"/>
      <c r="BL414" s="82" t="n">
        <f aca="false">IFERROR(BL409/BL413,"n/a")</f>
        <v>0.162665407495364</v>
      </c>
      <c r="BM414" s="83"/>
      <c r="BN414" s="83"/>
      <c r="BO414" s="83"/>
      <c r="BP414" s="83"/>
      <c r="BQ414" s="82" t="n">
        <f aca="false">IFERROR(BQ409/BQ413,"n/a")</f>
        <v>0.175476599481613</v>
      </c>
      <c r="BR414" s="83"/>
      <c r="BS414" s="83"/>
      <c r="BT414" s="83"/>
      <c r="BU414" s="83"/>
      <c r="BV414" s="82" t="n">
        <f aca="false">IFERROR(BV409/BV413,"n/a")</f>
        <v>0.166778205757968</v>
      </c>
      <c r="BW414" s="83"/>
      <c r="BX414" s="83"/>
      <c r="BY414" s="83"/>
      <c r="BZ414" s="83"/>
      <c r="CA414" s="82" t="n">
        <f aca="false">IFERROR(CA409/CA413,"n/a")</f>
        <v>0.172611282103641</v>
      </c>
      <c r="CB414" s="82" t="n">
        <f aca="false">IFERROR(CB409/CB413,"n/a")</f>
        <v>0.176791676222465</v>
      </c>
      <c r="CC414" s="82" t="n">
        <f aca="false">IFERROR(CC409/CC413,"n/a")</f>
        <v>0.185029287940935</v>
      </c>
      <c r="CD414" s="82" t="n">
        <f aca="false">IFERROR(CD409/CD413,"n/a")</f>
        <v>0.193519601971087</v>
      </c>
      <c r="CE414" s="82" t="n">
        <f aca="false">IFERROR(CE409/CE413,"n/a")</f>
        <v>0.201426167526508</v>
      </c>
      <c r="CF414" s="21"/>
      <c r="CH414" s="41" t="n">
        <f aca="false">IFERROR(AVERAGE(CA414,CB414,CC414,CD414,CE414),"n/m")</f>
        <v>0.185875603152927</v>
      </c>
      <c r="CI414" s="41" t="n">
        <f aca="false">IFERROR(AVERAGE(BB414,BG414,BL414,BQ414,BV414),"n/m")</f>
        <v>0.160316200034685</v>
      </c>
      <c r="CJ414" s="41" t="n">
        <f aca="false">IFERROR(AVERAGE(AC414,AH414,AM414,AR414,AW414,BB414,BG414,BL414,BQ414,BV414),"n/m")</f>
        <v>0.14217605864913</v>
      </c>
      <c r="CK414" s="41" t="n">
        <f aca="false">IFERROR(AVERAGE(C414,D414,E414,F414,G414,H414,I414,N414,S414,X414,AC414,AH414,AM414,AR414,AW414,BB414,BG414,BL414,BQ414,BV414),"n/m")</f>
        <v>0.129975413210765</v>
      </c>
    </row>
    <row r="415" customFormat="false" ht="15" hidden="false" customHeight="true" outlineLevel="0" collapsed="false">
      <c r="B415" s="16" t="s">
        <v>631</v>
      </c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7"/>
    </row>
    <row r="416" customFormat="false" ht="15" hidden="false" customHeight="true" outlineLevel="0" collapsed="false">
      <c r="B416" s="29" t="s">
        <v>313</v>
      </c>
      <c r="C416" s="26" t="n">
        <f aca="false">C146</f>
        <v>77.423</v>
      </c>
      <c r="D416" s="26" t="n">
        <f aca="false">D146</f>
        <v>99.081</v>
      </c>
      <c r="E416" s="26" t="n">
        <f aca="false">E146</f>
        <v>105.556</v>
      </c>
      <c r="F416" s="26" t="n">
        <f aca="false">F146</f>
        <v>109.825</v>
      </c>
      <c r="G416" s="26" t="n">
        <f aca="false">G146</f>
        <v>135.104</v>
      </c>
      <c r="H416" s="26" t="n">
        <f aca="false">H146</f>
        <v>165.239</v>
      </c>
      <c r="I416" s="26" t="n">
        <f aca="false">I146</f>
        <v>159.093</v>
      </c>
      <c r="J416" s="25"/>
      <c r="K416" s="25"/>
      <c r="L416" s="25"/>
      <c r="M416" s="25"/>
      <c r="N416" s="26" t="n">
        <f aca="false">N146</f>
        <v>195.655</v>
      </c>
      <c r="O416" s="25"/>
      <c r="P416" s="25"/>
      <c r="Q416" s="25"/>
      <c r="R416" s="25"/>
      <c r="S416" s="26" t="n">
        <f aca="false">S146</f>
        <v>232.525</v>
      </c>
      <c r="T416" s="25"/>
      <c r="U416" s="25"/>
      <c r="V416" s="25"/>
      <c r="W416" s="25"/>
      <c r="X416" s="26" t="n">
        <f aca="false">X146</f>
        <v>-95.7640000000003</v>
      </c>
      <c r="Y416" s="25"/>
      <c r="Z416" s="25"/>
      <c r="AA416" s="25"/>
      <c r="AB416" s="25"/>
      <c r="AC416" s="26" t="n">
        <f aca="false">AC146</f>
        <v>246.54</v>
      </c>
      <c r="AD416" s="25"/>
      <c r="AE416" s="25"/>
      <c r="AF416" s="25"/>
      <c r="AG416" s="25"/>
      <c r="AH416" s="26" t="n">
        <f aca="false">AH146</f>
        <v>576.817</v>
      </c>
      <c r="AI416" s="25"/>
      <c r="AJ416" s="25"/>
      <c r="AK416" s="25"/>
      <c r="AL416" s="25"/>
      <c r="AM416" s="26" t="n">
        <f aca="false">AM146</f>
        <v>546.871</v>
      </c>
      <c r="AN416" s="25"/>
      <c r="AO416" s="25"/>
      <c r="AP416" s="25"/>
      <c r="AQ416" s="25"/>
      <c r="AR416" s="26" t="n">
        <f aca="false">AR146</f>
        <v>566.841</v>
      </c>
      <c r="AS416" s="25"/>
      <c r="AT416" s="25"/>
      <c r="AU416" s="25"/>
      <c r="AV416" s="25"/>
      <c r="AW416" s="26" t="n">
        <f aca="false">AW146</f>
        <v>204.677</v>
      </c>
      <c r="AX416" s="25"/>
      <c r="AY416" s="25"/>
      <c r="AZ416" s="25"/>
      <c r="BA416" s="25"/>
      <c r="BB416" s="26" t="n">
        <f aca="false">BB146</f>
        <v>618.047</v>
      </c>
      <c r="BC416" s="25"/>
      <c r="BD416" s="25"/>
      <c r="BE416" s="25"/>
      <c r="BF416" s="25"/>
      <c r="BG416" s="26" t="n">
        <f aca="false">BG146</f>
        <v>835.662000000001</v>
      </c>
      <c r="BH416" s="25"/>
      <c r="BI416" s="25"/>
      <c r="BJ416" s="25"/>
      <c r="BK416" s="25"/>
      <c r="BL416" s="26" t="n">
        <f aca="false">BL146</f>
        <v>762.8</v>
      </c>
      <c r="BM416" s="25"/>
      <c r="BN416" s="25"/>
      <c r="BO416" s="25"/>
      <c r="BP416" s="25"/>
      <c r="BQ416" s="26" t="n">
        <f aca="false">BQ146</f>
        <v>617.573</v>
      </c>
      <c r="BR416" s="25"/>
      <c r="BS416" s="25"/>
      <c r="BT416" s="25"/>
      <c r="BU416" s="25"/>
      <c r="BV416" s="26" t="n">
        <f aca="false">BV146</f>
        <v>1076.557</v>
      </c>
      <c r="BW416" s="25"/>
      <c r="BX416" s="25"/>
      <c r="BY416" s="28"/>
      <c r="BZ416" s="28"/>
      <c r="CA416" s="47" t="n">
        <f aca="false">CA146</f>
        <v>1173.785528</v>
      </c>
      <c r="CB416" s="47" t="n">
        <f aca="false">CB146</f>
        <v>1370.0123158488</v>
      </c>
      <c r="CC416" s="47" t="n">
        <f aca="false">CC146</f>
        <v>1489.58588587788</v>
      </c>
      <c r="CD416" s="47" t="n">
        <f aca="false">CD146</f>
        <v>1613.48396021854</v>
      </c>
      <c r="CE416" s="47" t="n">
        <f aca="false">CE146</f>
        <v>1739.1875870674</v>
      </c>
      <c r="CF416" s="21"/>
    </row>
    <row r="417" customFormat="false" ht="15" hidden="false" customHeight="true" outlineLevel="0" collapsed="false">
      <c r="B417" s="29" t="s">
        <v>632</v>
      </c>
      <c r="C417" s="26" t="n">
        <f aca="false">C340</f>
        <v>736.482</v>
      </c>
      <c r="D417" s="26" t="n">
        <f aca="false">D340</f>
        <v>775.145</v>
      </c>
      <c r="E417" s="26" t="n">
        <f aca="false">E340</f>
        <v>1254.727</v>
      </c>
      <c r="F417" s="26" t="n">
        <f aca="false">F340</f>
        <v>1353.805</v>
      </c>
      <c r="G417" s="26" t="n">
        <f aca="false">G340</f>
        <v>1366.149</v>
      </c>
      <c r="H417" s="26" t="n">
        <f aca="false">H340</f>
        <v>1394.91</v>
      </c>
      <c r="I417" s="26" t="n">
        <f aca="false">I340</f>
        <v>1878.157</v>
      </c>
      <c r="J417" s="25"/>
      <c r="K417" s="25"/>
      <c r="L417" s="25"/>
      <c r="M417" s="25"/>
      <c r="N417" s="26" t="n">
        <f aca="false">N340</f>
        <v>2043.082</v>
      </c>
      <c r="O417" s="25"/>
      <c r="P417" s="25"/>
      <c r="Q417" s="25"/>
      <c r="R417" s="25"/>
      <c r="S417" s="26" t="n">
        <f aca="false">S340</f>
        <v>2228.185</v>
      </c>
      <c r="T417" s="25"/>
      <c r="U417" s="25"/>
      <c r="V417" s="25"/>
      <c r="W417" s="25"/>
      <c r="X417" s="26" t="n">
        <f aca="false">X340</f>
        <v>1985.2</v>
      </c>
      <c r="Y417" s="25"/>
      <c r="Z417" s="25"/>
      <c r="AA417" s="25"/>
      <c r="AB417" s="25"/>
      <c r="AC417" s="26" t="n">
        <f aca="false">AC340</f>
        <v>5647.515</v>
      </c>
      <c r="AD417" s="25"/>
      <c r="AE417" s="25"/>
      <c r="AF417" s="25"/>
      <c r="AG417" s="25"/>
      <c r="AH417" s="26" t="n">
        <f aca="false">AH340</f>
        <v>6268.67</v>
      </c>
      <c r="AI417" s="25"/>
      <c r="AJ417" s="25"/>
      <c r="AK417" s="25"/>
      <c r="AL417" s="25"/>
      <c r="AM417" s="26" t="n">
        <f aca="false">AM340</f>
        <v>6454.608</v>
      </c>
      <c r="AN417" s="25"/>
      <c r="AO417" s="25"/>
      <c r="AP417" s="25"/>
      <c r="AQ417" s="25"/>
      <c r="AR417" s="26" t="n">
        <f aca="false">AR340</f>
        <v>6933.504</v>
      </c>
      <c r="AS417" s="25"/>
      <c r="AT417" s="25"/>
      <c r="AU417" s="25"/>
      <c r="AV417" s="25"/>
      <c r="AW417" s="26" t="n">
        <f aca="false">AW340</f>
        <v>6859.273</v>
      </c>
      <c r="AX417" s="25"/>
      <c r="AY417" s="25"/>
      <c r="AZ417" s="25"/>
      <c r="BA417" s="25"/>
      <c r="BB417" s="26" t="n">
        <f aca="false">BB340</f>
        <v>6988.938</v>
      </c>
      <c r="BC417" s="25"/>
      <c r="BD417" s="25"/>
      <c r="BE417" s="25"/>
      <c r="BF417" s="25"/>
      <c r="BG417" s="26" t="n">
        <f aca="false">BG340</f>
        <v>7108.698</v>
      </c>
      <c r="BH417" s="25"/>
      <c r="BI417" s="25"/>
      <c r="BJ417" s="25"/>
      <c r="BK417" s="25"/>
      <c r="BL417" s="26" t="n">
        <f aca="false">BL340</f>
        <v>7692.809</v>
      </c>
      <c r="BM417" s="25"/>
      <c r="BN417" s="25"/>
      <c r="BO417" s="25"/>
      <c r="BP417" s="25"/>
      <c r="BQ417" s="26" t="n">
        <f aca="false">BQ340</f>
        <v>7860.354</v>
      </c>
      <c r="BR417" s="25"/>
      <c r="BS417" s="25"/>
      <c r="BT417" s="25"/>
      <c r="BU417" s="25"/>
      <c r="BV417" s="26" t="n">
        <f aca="false">BV340</f>
        <v>8245.381</v>
      </c>
      <c r="BW417" s="25"/>
      <c r="BX417" s="25"/>
      <c r="BY417" s="28"/>
      <c r="BZ417" s="28"/>
      <c r="CA417" s="47" t="n">
        <f aca="false">CA340</f>
        <v>8032.21095632694</v>
      </c>
      <c r="CB417" s="47" t="n">
        <f aca="false">CB340</f>
        <v>7981.31454824873</v>
      </c>
      <c r="CC417" s="47" t="n">
        <f aca="false">CC340</f>
        <v>7854.62580278213</v>
      </c>
      <c r="CD417" s="47" t="n">
        <f aca="false">CD340</f>
        <v>7661.24778556951</v>
      </c>
      <c r="CE417" s="47" t="n">
        <f aca="false">CE340</f>
        <v>7440.57718983675</v>
      </c>
      <c r="CF417" s="21"/>
    </row>
    <row r="418" customFormat="false" ht="15" hidden="false" customHeight="true" outlineLevel="0" collapsed="false">
      <c r="B418" s="55" t="s">
        <v>633</v>
      </c>
      <c r="C418" s="82" t="n">
        <f aca="false">IFERROR(C416/C417,"n/a")</f>
        <v>0.105125447736673</v>
      </c>
      <c r="D418" s="82" t="n">
        <f aca="false">IFERROR(D416/D417,"n/a")</f>
        <v>0.127822536428668</v>
      </c>
      <c r="E418" s="82" t="n">
        <f aca="false">IFERROR(E416/E417,"n/a")</f>
        <v>0.0841266665975945</v>
      </c>
      <c r="F418" s="82" t="n">
        <f aca="false">IFERROR(F416/F417,"n/a")</f>
        <v>0.0811232045974126</v>
      </c>
      <c r="G418" s="82" t="n">
        <f aca="false">IFERROR(G416/G417,"n/a")</f>
        <v>0.0988940445002705</v>
      </c>
      <c r="H418" s="82" t="n">
        <f aca="false">IFERROR(H416/H417,"n/a")</f>
        <v>0.118458538543705</v>
      </c>
      <c r="I418" s="82" t="n">
        <f aca="false">IFERROR(I416/I417,"n/a")</f>
        <v>0.0847069760408741</v>
      </c>
      <c r="J418" s="83"/>
      <c r="K418" s="83"/>
      <c r="L418" s="83"/>
      <c r="M418" s="83"/>
      <c r="N418" s="82" t="n">
        <f aca="false">IFERROR(N416/N417,"n/a")</f>
        <v>0.0957646340186053</v>
      </c>
      <c r="O418" s="83"/>
      <c r="P418" s="83"/>
      <c r="Q418" s="83"/>
      <c r="R418" s="83"/>
      <c r="S418" s="82" t="n">
        <f aca="false">IFERROR(S416/S417,"n/a")</f>
        <v>0.104356236129406</v>
      </c>
      <c r="T418" s="83"/>
      <c r="U418" s="83"/>
      <c r="V418" s="83"/>
      <c r="W418" s="83"/>
      <c r="X418" s="82" t="n">
        <f aca="false">IFERROR(X416/X417,"n/a")</f>
        <v>-0.0482389683659079</v>
      </c>
      <c r="Y418" s="83"/>
      <c r="Z418" s="83"/>
      <c r="AA418" s="83"/>
      <c r="AB418" s="83"/>
      <c r="AC418" s="82" t="n">
        <f aca="false">IFERROR(AC416/AC417,"n/a")</f>
        <v>0.0436545985269627</v>
      </c>
      <c r="AD418" s="83"/>
      <c r="AE418" s="83"/>
      <c r="AF418" s="83"/>
      <c r="AG418" s="83"/>
      <c r="AH418" s="82" t="n">
        <f aca="false">IFERROR(AH416/AH417,"n/a")</f>
        <v>0.0920158502521269</v>
      </c>
      <c r="AI418" s="83"/>
      <c r="AJ418" s="83"/>
      <c r="AK418" s="83"/>
      <c r="AL418" s="83"/>
      <c r="AM418" s="82" t="n">
        <f aca="false">IFERROR(AM416/AM417,"n/a")</f>
        <v>0.084725671954052</v>
      </c>
      <c r="AN418" s="83"/>
      <c r="AO418" s="83"/>
      <c r="AP418" s="83"/>
      <c r="AQ418" s="83"/>
      <c r="AR418" s="82" t="n">
        <f aca="false">IFERROR(AR416/AR417,"n/a")</f>
        <v>0.0817539010578201</v>
      </c>
      <c r="AS418" s="83"/>
      <c r="AT418" s="83"/>
      <c r="AU418" s="83"/>
      <c r="AV418" s="83"/>
      <c r="AW418" s="82" t="n">
        <f aca="false">IFERROR(AW416/AW417,"n/a")</f>
        <v>0.0298394596628534</v>
      </c>
      <c r="AX418" s="83"/>
      <c r="AY418" s="83"/>
      <c r="AZ418" s="83"/>
      <c r="BA418" s="83"/>
      <c r="BB418" s="82" t="n">
        <f aca="false">IFERROR(BB416/BB417,"n/a")</f>
        <v>0.0884321766769143</v>
      </c>
      <c r="BC418" s="83"/>
      <c r="BD418" s="83"/>
      <c r="BE418" s="83"/>
      <c r="BF418" s="83"/>
      <c r="BG418" s="82" t="n">
        <f aca="false">IFERROR(BG416/BG417,"n/a")</f>
        <v>0.11755486025711</v>
      </c>
      <c r="BH418" s="83"/>
      <c r="BI418" s="83"/>
      <c r="BJ418" s="83"/>
      <c r="BK418" s="83"/>
      <c r="BL418" s="82" t="n">
        <f aca="false">IFERROR(BL416/BL417,"n/a")</f>
        <v>0.0991575379032548</v>
      </c>
      <c r="BM418" s="83"/>
      <c r="BN418" s="83"/>
      <c r="BO418" s="83"/>
      <c r="BP418" s="83"/>
      <c r="BQ418" s="82" t="n">
        <f aca="false">IFERROR(BQ416/BQ417,"n/a")</f>
        <v>0.0785680899358986</v>
      </c>
      <c r="BR418" s="83"/>
      <c r="BS418" s="83"/>
      <c r="BT418" s="83"/>
      <c r="BU418" s="83"/>
      <c r="BV418" s="82" t="n">
        <f aca="false">IFERROR(BV416/BV417,"n/a")</f>
        <v>0.130564858070234</v>
      </c>
      <c r="BW418" s="83"/>
      <c r="BX418" s="83"/>
      <c r="BY418" s="83"/>
      <c r="BZ418" s="83"/>
      <c r="CA418" s="82" t="n">
        <f aca="false">IFERROR(CA416/CA417,"n/a")</f>
        <v>0.146134798299267</v>
      </c>
      <c r="CB418" s="82" t="n">
        <f aca="false">IFERROR(CB416/CB417,"n/a")</f>
        <v>0.171652464962605</v>
      </c>
      <c r="CC418" s="82" t="n">
        <f aca="false">IFERROR(CC416/CC417,"n/a")</f>
        <v>0.189644411239841</v>
      </c>
      <c r="CD418" s="82" t="n">
        <f aca="false">IFERROR(CD416/CD417,"n/a")</f>
        <v>0.210603286224164</v>
      </c>
      <c r="CE418" s="82" t="n">
        <f aca="false">IFERROR(CE416/CE417,"n/a")</f>
        <v>0.233743638792297</v>
      </c>
      <c r="CF418" s="21"/>
      <c r="CH418" s="41" t="n">
        <f aca="false">IFERROR(AVERAGE(CA418,CB418,CC418,CD418,CE418),"n/m")</f>
        <v>0.190355719903635</v>
      </c>
      <c r="CI418" s="41" t="n">
        <f aca="false">IFERROR(AVERAGE(BB418,BG418,BL418,BQ418,BV418),"n/m")</f>
        <v>0.102855504568682</v>
      </c>
      <c r="CJ418" s="41" t="n">
        <f aca="false">IFERROR(AVERAGE(AC418,AH418,AM418,AR418,AW418,BB418,BG418,BL418,BQ418,BV418),"n/m")</f>
        <v>0.0846267004297227</v>
      </c>
      <c r="CK418" s="41" t="n">
        <f aca="false">IFERROR(AVERAGE(C418,D418,E418,F418,G418,H418,I418,N418,S418,X418,AC418,AH418,AM418,AR418,AW418,BB418,BG418,BL418,BQ418,BV418),"n/m")</f>
        <v>0.0849203160262264</v>
      </c>
    </row>
    <row r="419" customFormat="false" ht="15" hidden="false" customHeight="true" outlineLevel="0" collapsed="false">
      <c r="B419" s="16" t="s">
        <v>634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7"/>
    </row>
    <row r="420" customFormat="false" ht="15" hidden="false" customHeight="true" outlineLevel="0" collapsed="false">
      <c r="B420" s="29" t="s">
        <v>635</v>
      </c>
      <c r="C420" s="26" t="n">
        <f aca="false">C402</f>
        <v>609.243</v>
      </c>
      <c r="D420" s="26" t="n">
        <f aca="false">D402</f>
        <v>722.535</v>
      </c>
      <c r="E420" s="26" t="n">
        <f aca="false">E402</f>
        <v>570.192</v>
      </c>
      <c r="F420" s="26" t="n">
        <f aca="false">F402</f>
        <v>860.524</v>
      </c>
      <c r="G420" s="26" t="n">
        <f aca="false">G402</f>
        <v>902.762</v>
      </c>
      <c r="H420" s="26" t="n">
        <f aca="false">H402</f>
        <v>1166.014</v>
      </c>
      <c r="I420" s="26" t="n">
        <f aca="false">I402</f>
        <v>2215.723</v>
      </c>
      <c r="J420" s="25"/>
      <c r="K420" s="25"/>
      <c r="L420" s="25"/>
      <c r="M420" s="25"/>
      <c r="N420" s="26" t="n">
        <f aca="false">N402</f>
        <v>2059.384</v>
      </c>
      <c r="O420" s="25"/>
      <c r="P420" s="25"/>
      <c r="Q420" s="25"/>
      <c r="R420" s="25"/>
      <c r="S420" s="26" t="n">
        <f aca="false">S402</f>
        <v>1965.212</v>
      </c>
      <c r="T420" s="25"/>
      <c r="U420" s="25"/>
      <c r="V420" s="25"/>
      <c r="W420" s="25"/>
      <c r="X420" s="26" t="n">
        <f aca="false">X402</f>
        <v>2138.28</v>
      </c>
      <c r="Y420" s="25"/>
      <c r="Z420" s="25"/>
      <c r="AA420" s="25"/>
      <c r="AB420" s="25"/>
      <c r="AC420" s="26" t="n">
        <f aca="false">AC402</f>
        <v>3464.028</v>
      </c>
      <c r="AD420" s="25"/>
      <c r="AE420" s="25"/>
      <c r="AF420" s="25"/>
      <c r="AG420" s="25"/>
      <c r="AH420" s="26" t="n">
        <f aca="false">AH402</f>
        <v>3477.416</v>
      </c>
      <c r="AI420" s="25"/>
      <c r="AJ420" s="25"/>
      <c r="AK420" s="25"/>
      <c r="AL420" s="25"/>
      <c r="AM420" s="26" t="n">
        <f aca="false">AM402</f>
        <v>3835.946</v>
      </c>
      <c r="AN420" s="25"/>
      <c r="AO420" s="25"/>
      <c r="AP420" s="25"/>
      <c r="AQ420" s="25"/>
      <c r="AR420" s="26" t="n">
        <f aca="false">AR402</f>
        <v>4027.509</v>
      </c>
      <c r="AS420" s="25"/>
      <c r="AT420" s="25"/>
      <c r="AU420" s="25"/>
      <c r="AV420" s="25"/>
      <c r="AW420" s="26" t="n">
        <f aca="false">AW402</f>
        <v>4099.652</v>
      </c>
      <c r="AX420" s="25"/>
      <c r="AY420" s="25"/>
      <c r="AZ420" s="25"/>
      <c r="BA420" s="25"/>
      <c r="BB420" s="26" t="n">
        <f aca="false">BB402</f>
        <v>4899.079</v>
      </c>
      <c r="BC420" s="25"/>
      <c r="BD420" s="25"/>
      <c r="BE420" s="25"/>
      <c r="BF420" s="25"/>
      <c r="BG420" s="26" t="n">
        <f aca="false">BG402</f>
        <v>6818.271</v>
      </c>
      <c r="BH420" s="25"/>
      <c r="BI420" s="25"/>
      <c r="BJ420" s="25"/>
      <c r="BK420" s="25"/>
      <c r="BL420" s="26" t="n">
        <f aca="false">BL402</f>
        <v>6672.834</v>
      </c>
      <c r="BM420" s="25"/>
      <c r="BN420" s="25"/>
      <c r="BO420" s="25"/>
      <c r="BP420" s="25"/>
      <c r="BQ420" s="26" t="n">
        <f aca="false">BQ402</f>
        <v>8018.413</v>
      </c>
      <c r="BR420" s="25"/>
      <c r="BS420" s="25"/>
      <c r="BT420" s="25"/>
      <c r="BU420" s="25"/>
      <c r="BV420" s="26" t="n">
        <f aca="false">BV402</f>
        <v>8773.803</v>
      </c>
      <c r="BW420" s="25"/>
      <c r="BX420" s="25"/>
      <c r="BY420" s="28"/>
      <c r="BZ420" s="28"/>
      <c r="CA420" s="47" t="n">
        <f aca="false">CA402</f>
        <v>9053.98128667306</v>
      </c>
      <c r="CB420" s="47" t="n">
        <f aca="false">CB402</f>
        <v>9827.6218021534</v>
      </c>
      <c r="CC420" s="47" t="n">
        <f aca="false">CC402</f>
        <v>10643.0210339663</v>
      </c>
      <c r="CD420" s="47" t="n">
        <f aca="false">CD402</f>
        <v>11515.3056130214</v>
      </c>
      <c r="CE420" s="47" t="n">
        <f aca="false">CE402</f>
        <v>12407.9497563342</v>
      </c>
      <c r="CF420" s="21"/>
    </row>
    <row r="421" customFormat="false" ht="15" hidden="false" customHeight="true" outlineLevel="0" collapsed="false">
      <c r="B421" s="29" t="s">
        <v>636</v>
      </c>
      <c r="C421" s="26" t="n">
        <f aca="false">C180</f>
        <v>247.047</v>
      </c>
      <c r="D421" s="26" t="n">
        <f aca="false">D180</f>
        <v>292.887</v>
      </c>
      <c r="E421" s="26" t="n">
        <f aca="false">E180</f>
        <v>313.314</v>
      </c>
      <c r="F421" s="26" t="n">
        <f aca="false">F180</f>
        <v>368.833</v>
      </c>
      <c r="G421" s="26" t="n">
        <f aca="false">G180</f>
        <v>424.257</v>
      </c>
      <c r="H421" s="26" t="n">
        <f aca="false">H180</f>
        <v>489.53</v>
      </c>
      <c r="I421" s="26" t="n">
        <f aca="false">I180</f>
        <v>528.419</v>
      </c>
      <c r="J421" s="25"/>
      <c r="K421" s="25"/>
      <c r="L421" s="25"/>
      <c r="M421" s="25"/>
      <c r="N421" s="26" t="n">
        <f aca="false">N180</f>
        <v>657.002</v>
      </c>
      <c r="O421" s="25"/>
      <c r="P421" s="25"/>
      <c r="Q421" s="25"/>
      <c r="R421" s="25"/>
      <c r="S421" s="26" t="n">
        <f aca="false">S180</f>
        <v>717.078</v>
      </c>
      <c r="T421" s="25"/>
      <c r="U421" s="25"/>
      <c r="V421" s="25"/>
      <c r="W421" s="25"/>
      <c r="X421" s="26" t="n">
        <f aca="false">X180</f>
        <v>710.607</v>
      </c>
      <c r="Y421" s="25"/>
      <c r="Z421" s="25"/>
      <c r="AA421" s="25"/>
      <c r="AB421" s="25"/>
      <c r="AC421" s="26" t="n">
        <f aca="false">AC180</f>
        <v>1071.089</v>
      </c>
      <c r="AD421" s="25"/>
      <c r="AE421" s="25"/>
      <c r="AF421" s="25"/>
      <c r="AG421" s="25"/>
      <c r="AH421" s="26" t="n">
        <f aca="false">AH180</f>
        <v>1460.525</v>
      </c>
      <c r="AI421" s="25"/>
      <c r="AJ421" s="25"/>
      <c r="AK421" s="25"/>
      <c r="AL421" s="25"/>
      <c r="AM421" s="26" t="n">
        <f aca="false">AM180</f>
        <v>1566.418</v>
      </c>
      <c r="AN421" s="25"/>
      <c r="AO421" s="25"/>
      <c r="AP421" s="25"/>
      <c r="AQ421" s="25"/>
      <c r="AR421" s="26" t="n">
        <f aca="false">AR180</f>
        <v>1673.554</v>
      </c>
      <c r="AS421" s="25"/>
      <c r="AT421" s="25"/>
      <c r="AU421" s="25"/>
      <c r="AV421" s="25"/>
      <c r="AW421" s="26" t="n">
        <f aca="false">AW180</f>
        <v>1661.984</v>
      </c>
      <c r="AX421" s="25"/>
      <c r="AY421" s="25"/>
      <c r="AZ421" s="25"/>
      <c r="BA421" s="25"/>
      <c r="BB421" s="26" t="n">
        <f aca="false">BB180</f>
        <v>1919.158</v>
      </c>
      <c r="BC421" s="25"/>
      <c r="BD421" s="25"/>
      <c r="BE421" s="25"/>
      <c r="BF421" s="25"/>
      <c r="BG421" s="26" t="n">
        <f aca="false">BG180</f>
        <v>2220.652</v>
      </c>
      <c r="BH421" s="25"/>
      <c r="BI421" s="25"/>
      <c r="BJ421" s="25"/>
      <c r="BK421" s="25"/>
      <c r="BL421" s="26" t="n">
        <f aca="false">BL180</f>
        <v>2522.956</v>
      </c>
      <c r="BM421" s="25"/>
      <c r="BN421" s="25"/>
      <c r="BO421" s="25"/>
      <c r="BP421" s="25"/>
      <c r="BQ421" s="26" t="n">
        <f aca="false">BQ180</f>
        <v>2901.865</v>
      </c>
      <c r="BR421" s="25"/>
      <c r="BS421" s="25"/>
      <c r="BT421" s="25"/>
      <c r="BU421" s="25"/>
      <c r="BV421" s="26" t="n">
        <f aca="false">BV180</f>
        <v>3124.555</v>
      </c>
      <c r="BW421" s="25"/>
      <c r="BX421" s="25"/>
      <c r="BY421" s="28"/>
      <c r="BZ421" s="28"/>
      <c r="CA421" s="47" t="n">
        <f aca="false">CA180</f>
        <v>3335</v>
      </c>
      <c r="CB421" s="47" t="n">
        <f aca="false">CB180</f>
        <v>3573.68065532851</v>
      </c>
      <c r="CC421" s="47" t="n">
        <f aca="false">CC180</f>
        <v>3870.18946689685</v>
      </c>
      <c r="CD421" s="47" t="n">
        <f aca="false">CD180</f>
        <v>4187.38385928052</v>
      </c>
      <c r="CE421" s="47" t="n">
        <f aca="false">CE180</f>
        <v>4511.98172957609</v>
      </c>
      <c r="CF421" s="21"/>
    </row>
    <row r="422" customFormat="false" ht="15" hidden="false" customHeight="true" outlineLevel="0" collapsed="false">
      <c r="B422" s="55" t="s">
        <v>637</v>
      </c>
      <c r="C422" s="84" t="n">
        <f aca="false">IFERROR(C420/C421,"n/a")</f>
        <v>2.46610159200476</v>
      </c>
      <c r="D422" s="84" t="n">
        <f aca="false">IFERROR(D420/D421,"n/a")</f>
        <v>2.46694117526555</v>
      </c>
      <c r="E422" s="84" t="n">
        <f aca="false">IFERROR(E420/E421,"n/a")</f>
        <v>1.81987399222505</v>
      </c>
      <c r="F422" s="84" t="n">
        <f aca="false">IFERROR(F420/F421,"n/a")</f>
        <v>2.3330992617255</v>
      </c>
      <c r="G422" s="84" t="n">
        <f aca="false">IFERROR(G420/G421,"n/a")</f>
        <v>2.12786589260755</v>
      </c>
      <c r="H422" s="84" t="n">
        <f aca="false">IFERROR(H420/H421,"n/a")</f>
        <v>2.38190509263988</v>
      </c>
      <c r="I422" s="84" t="n">
        <f aca="false">IFERROR(I420/I421,"n/a")</f>
        <v>4.19311758282726</v>
      </c>
      <c r="J422" s="85"/>
      <c r="K422" s="85"/>
      <c r="L422" s="85"/>
      <c r="M422" s="85"/>
      <c r="N422" s="84" t="n">
        <f aca="false">IFERROR(N420/N421,"n/a")</f>
        <v>3.1345170943163</v>
      </c>
      <c r="O422" s="85"/>
      <c r="P422" s="85"/>
      <c r="Q422" s="85"/>
      <c r="R422" s="85"/>
      <c r="S422" s="84" t="n">
        <f aca="false">IFERROR(S420/S421,"n/a")</f>
        <v>2.74058331171783</v>
      </c>
      <c r="T422" s="85"/>
      <c r="U422" s="85"/>
      <c r="V422" s="85"/>
      <c r="W422" s="85"/>
      <c r="X422" s="84" t="n">
        <f aca="false">IFERROR(X420/X421,"n/a")</f>
        <v>3.00908941229118</v>
      </c>
      <c r="Y422" s="85"/>
      <c r="Z422" s="85"/>
      <c r="AA422" s="85"/>
      <c r="AB422" s="85"/>
      <c r="AC422" s="84" t="n">
        <f aca="false">IFERROR(AC420/AC421,"n/a")</f>
        <v>3.23411779973466</v>
      </c>
      <c r="AD422" s="85"/>
      <c r="AE422" s="85"/>
      <c r="AF422" s="85"/>
      <c r="AG422" s="85"/>
      <c r="AH422" s="84" t="n">
        <f aca="false">IFERROR(AH420/AH421,"n/a")</f>
        <v>2.38093562246452</v>
      </c>
      <c r="AI422" s="85"/>
      <c r="AJ422" s="85"/>
      <c r="AK422" s="85"/>
      <c r="AL422" s="85"/>
      <c r="AM422" s="84" t="n">
        <f aca="false">IFERROR(AM420/AM421,"n/a")</f>
        <v>2.44886486238029</v>
      </c>
      <c r="AN422" s="85"/>
      <c r="AO422" s="85"/>
      <c r="AP422" s="85"/>
      <c r="AQ422" s="85"/>
      <c r="AR422" s="84" t="n">
        <f aca="false">IFERROR(AR420/AR421,"n/a")</f>
        <v>2.40656052926885</v>
      </c>
      <c r="AS422" s="85"/>
      <c r="AT422" s="85"/>
      <c r="AU422" s="85"/>
      <c r="AV422" s="85"/>
      <c r="AW422" s="84" t="n">
        <f aca="false">IFERROR(AW420/AW421,"n/a")</f>
        <v>2.46672170129195</v>
      </c>
      <c r="AX422" s="85"/>
      <c r="AY422" s="85"/>
      <c r="AZ422" s="85"/>
      <c r="BA422" s="85"/>
      <c r="BB422" s="84" t="n">
        <f aca="false">IFERROR(BB420/BB421,"n/a")</f>
        <v>2.55272312128548</v>
      </c>
      <c r="BC422" s="85"/>
      <c r="BD422" s="85"/>
      <c r="BE422" s="85"/>
      <c r="BF422" s="85"/>
      <c r="BG422" s="84" t="n">
        <f aca="false">IFERROR(BG420/BG421,"n/a")</f>
        <v>3.07039148862586</v>
      </c>
      <c r="BH422" s="85"/>
      <c r="BI422" s="85"/>
      <c r="BJ422" s="85"/>
      <c r="BK422" s="85"/>
      <c r="BL422" s="84" t="n">
        <f aca="false">IFERROR(BL420/BL421,"n/a")</f>
        <v>2.64484755183998</v>
      </c>
      <c r="BM422" s="85"/>
      <c r="BN422" s="85"/>
      <c r="BO422" s="85"/>
      <c r="BP422" s="85"/>
      <c r="BQ422" s="84" t="n">
        <f aca="false">IFERROR(BQ420/BQ421,"n/a")</f>
        <v>2.76319298106563</v>
      </c>
      <c r="BR422" s="85"/>
      <c r="BS422" s="85"/>
      <c r="BT422" s="85"/>
      <c r="BU422" s="85"/>
      <c r="BV422" s="84" t="n">
        <f aca="false">IFERROR(BV420/BV421,"n/a")</f>
        <v>2.80801682159539</v>
      </c>
      <c r="BW422" s="85"/>
      <c r="BX422" s="85"/>
      <c r="BY422" s="85"/>
      <c r="BZ422" s="85"/>
      <c r="CA422" s="84" t="n">
        <f aca="false">IFERROR(CA420/CA421,"n/a")</f>
        <v>2.71483696751816</v>
      </c>
      <c r="CB422" s="84" t="n">
        <f aca="false">IFERROR(CB420/CB421,"n/a")</f>
        <v>2.75</v>
      </c>
      <c r="CC422" s="84" t="n">
        <f aca="false">IFERROR(CC420/CC421,"n/a")</f>
        <v>2.75</v>
      </c>
      <c r="CD422" s="84" t="n">
        <f aca="false">IFERROR(CD420/CD421,"n/a")</f>
        <v>2.75</v>
      </c>
      <c r="CE422" s="84" t="n">
        <f aca="false">IFERROR(CE420/CE421,"n/a")</f>
        <v>2.75</v>
      </c>
      <c r="CF422" s="21"/>
    </row>
    <row r="423" customFormat="false" ht="15" hidden="false" customHeight="true" outlineLevel="0" collapsed="false"/>
    <row r="424" customFormat="false" ht="15" hidden="false" customHeight="true" outlineLevel="0" collapsed="false">
      <c r="B424" s="12" t="s">
        <v>638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</row>
    <row r="425" customFormat="false" ht="15" hidden="false" customHeight="true" outlineLevel="0" collapsed="false">
      <c r="B425" s="81" t="s">
        <v>639</v>
      </c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67"/>
      <c r="BZ425" s="67"/>
      <c r="CA425" s="86" t="n">
        <v>155</v>
      </c>
      <c r="CB425" s="64" t="n">
        <f aca="false">CA425</f>
        <v>155</v>
      </c>
      <c r="CC425" s="64" t="n">
        <f aca="false">CB425</f>
        <v>155</v>
      </c>
      <c r="CD425" s="64" t="n">
        <f aca="false">CC425</f>
        <v>155</v>
      </c>
      <c r="CE425" s="64" t="n">
        <f aca="false">CD425</f>
        <v>155</v>
      </c>
      <c r="CF425" s="21" t="s">
        <v>640</v>
      </c>
    </row>
    <row r="426" customFormat="false" ht="15" hidden="false" customHeight="true" outlineLevel="0" collapsed="false">
      <c r="B426" s="29" t="s">
        <v>641</v>
      </c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2"/>
      <c r="AS426" s="52"/>
      <c r="AT426" s="52"/>
      <c r="AU426" s="52"/>
      <c r="AV426" s="52"/>
      <c r="AW426" s="52"/>
      <c r="AX426" s="52"/>
      <c r="AY426" s="52"/>
      <c r="AZ426" s="52"/>
      <c r="BA426" s="52"/>
      <c r="BB426" s="52"/>
      <c r="BC426" s="52"/>
      <c r="BD426" s="52"/>
      <c r="BE426" s="52"/>
      <c r="BF426" s="52"/>
      <c r="BG426" s="52"/>
      <c r="BH426" s="52"/>
      <c r="BI426" s="52"/>
      <c r="BJ426" s="52"/>
      <c r="BK426" s="52"/>
      <c r="BL426" s="52"/>
      <c r="BM426" s="52"/>
      <c r="BN426" s="52"/>
      <c r="BO426" s="52"/>
      <c r="BP426" s="52"/>
      <c r="BQ426" s="52"/>
      <c r="BR426" s="52"/>
      <c r="BS426" s="52"/>
      <c r="BT426" s="52"/>
      <c r="BU426" s="52"/>
      <c r="BV426" s="52"/>
      <c r="BW426" s="52"/>
      <c r="BX426" s="52"/>
      <c r="BY426" s="53"/>
      <c r="BZ426" s="53"/>
      <c r="CA426" s="62" t="n">
        <f aca="false">CA302+($BX$153-$BX$152)</f>
        <v>250.27314283871</v>
      </c>
      <c r="CB426" s="62" t="n">
        <f aca="false">CB302+($BX$153-$BX$152)</f>
        <v>244.413273878904</v>
      </c>
      <c r="CC426" s="62" t="n">
        <f aca="false">CC302+($BX$153-$BX$152)</f>
        <v>238.077774397704</v>
      </c>
      <c r="CD426" s="62" t="n">
        <f aca="false">CD302+($BX$153-$BX$152)</f>
        <v>231.399951216254</v>
      </c>
      <c r="CE426" s="62" t="n">
        <f aca="false">CE302+($BX$153-$BX$152)</f>
        <v>224.651403755649</v>
      </c>
      <c r="CF426" s="21"/>
    </row>
    <row r="427" customFormat="false" ht="15" hidden="false" customHeight="true" outlineLevel="0" collapsed="false">
      <c r="B427" s="29" t="s">
        <v>642</v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8"/>
      <c r="BZ427" s="28"/>
      <c r="CA427" s="47" t="n">
        <f aca="false">IFERROR(CA425*CA426,"n/a")</f>
        <v>38792.33714</v>
      </c>
      <c r="CB427" s="47" t="n">
        <f aca="false">IFERROR(CB425*CB426,"n/a")</f>
        <v>37884.0574512301</v>
      </c>
      <c r="CC427" s="47" t="n">
        <f aca="false">IFERROR(CC425*CC426,"n/a")</f>
        <v>36902.0550316441</v>
      </c>
      <c r="CD427" s="47" t="n">
        <f aca="false">IFERROR(CD425*CD426,"n/a")</f>
        <v>35866.9924385193</v>
      </c>
      <c r="CE427" s="47" t="n">
        <f aca="false">IFERROR(CE425*CE426,"n/a")</f>
        <v>34820.9675821256</v>
      </c>
      <c r="CF427" s="21"/>
    </row>
    <row r="428" customFormat="false" ht="15" hidden="false" customHeight="true" outlineLevel="0" collapsed="false">
      <c r="B428" s="29" t="s">
        <v>643</v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8"/>
      <c r="BZ428" s="28"/>
      <c r="CA428" s="47" t="n">
        <f aca="false">CA420</f>
        <v>9053.98128667306</v>
      </c>
      <c r="CB428" s="47" t="n">
        <f aca="false">CB420</f>
        <v>9827.6218021534</v>
      </c>
      <c r="CC428" s="47" t="n">
        <f aca="false">CC420</f>
        <v>10643.0210339663</v>
      </c>
      <c r="CD428" s="47" t="n">
        <f aca="false">CD420</f>
        <v>11515.3056130214</v>
      </c>
      <c r="CE428" s="47" t="n">
        <f aca="false">CE420</f>
        <v>12407.9497563342</v>
      </c>
      <c r="CF428" s="21"/>
    </row>
    <row r="429" customFormat="false" ht="15" hidden="false" customHeight="true" outlineLevel="0" collapsed="false">
      <c r="B429" s="29" t="s">
        <v>644</v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8"/>
      <c r="BZ429" s="28"/>
      <c r="CA429" s="47" t="n">
        <f aca="false">N(CA341)</f>
        <v>0</v>
      </c>
      <c r="CB429" s="47" t="n">
        <f aca="false">N(CB341)</f>
        <v>0</v>
      </c>
      <c r="CC429" s="47" t="n">
        <f aca="false">N(CC341)</f>
        <v>0</v>
      </c>
      <c r="CD429" s="47" t="n">
        <f aca="false">N(CD341)</f>
        <v>0</v>
      </c>
      <c r="CE429" s="47" t="n">
        <f aca="false">N(CE341)</f>
        <v>0</v>
      </c>
      <c r="CF429" s="21"/>
    </row>
    <row r="430" customFormat="false" ht="15" hidden="false" customHeight="true" outlineLevel="0" collapsed="false">
      <c r="B430" s="29" t="s">
        <v>645</v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8"/>
      <c r="BZ430" s="28"/>
      <c r="CA430" s="47" t="n">
        <f aca="false">IFERROR(CA427+CA428+CA429,"n/a")</f>
        <v>47846.3184266731</v>
      </c>
      <c r="CB430" s="47" t="n">
        <f aca="false">IFERROR(CB427+CB428+CB429,"n/a")</f>
        <v>47711.6792533835</v>
      </c>
      <c r="CC430" s="47" t="n">
        <f aca="false">IFERROR(CC427+CC428+CC429,"n/a")</f>
        <v>47545.0760656104</v>
      </c>
      <c r="CD430" s="47" t="n">
        <f aca="false">IFERROR(CD427+CD428+CD429,"n/a")</f>
        <v>47382.2980515407</v>
      </c>
      <c r="CE430" s="47" t="n">
        <f aca="false">IFERROR(CE427+CE428+CE429,"n/a")</f>
        <v>47228.9173384599</v>
      </c>
      <c r="CF430" s="21"/>
    </row>
    <row r="431" customFormat="false" ht="15" hidden="false" customHeight="true" outlineLevel="0" collapsed="false">
      <c r="B431" s="16" t="s">
        <v>646</v>
      </c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7"/>
    </row>
    <row r="432" customFormat="false" ht="15" hidden="false" customHeight="true" outlineLevel="0" collapsed="false">
      <c r="B432" s="29" t="s">
        <v>647</v>
      </c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9"/>
      <c r="BZ432" s="49"/>
      <c r="CA432" s="76" t="n">
        <f aca="false">IFERROR(CA430/CA128,"n/a")</f>
        <v>4.76794403853244</v>
      </c>
      <c r="CB432" s="76" t="n">
        <f aca="false">IFERROR(CB430/CB128,"n/a")</f>
        <v>4.47859461854601</v>
      </c>
      <c r="CC432" s="76" t="n">
        <f aca="false">IFERROR(CC430/CC128,"n/a")</f>
        <v>4.1318531086068</v>
      </c>
      <c r="CD432" s="76" t="n">
        <f aca="false">IFERROR(CD430/CD128,"n/a")</f>
        <v>3.81562557422901</v>
      </c>
      <c r="CE432" s="76" t="n">
        <f aca="false">IFERROR(CE430/CE128,"n/a")</f>
        <v>3.53857533865687</v>
      </c>
      <c r="CF432" s="21"/>
    </row>
    <row r="433" customFormat="false" ht="15" hidden="false" customHeight="true" outlineLevel="0" collapsed="false">
      <c r="B433" s="29" t="s">
        <v>648</v>
      </c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9"/>
      <c r="BZ433" s="49"/>
      <c r="CA433" s="76" t="n">
        <f aca="false">IFERROR(CA430/CA180,"n/a")</f>
        <v>14.3467221669185</v>
      </c>
      <c r="CB433" s="76" t="n">
        <f aca="false">IFERROR(CB430/CB180,"n/a")</f>
        <v>13.350851364473</v>
      </c>
      <c r="CC433" s="76" t="n">
        <f aca="false">IFERROR(CC430/CC180,"n/a")</f>
        <v>12.2849479262659</v>
      </c>
      <c r="CD433" s="76" t="n">
        <f aca="false">IFERROR(CD430/CD180,"n/a")</f>
        <v>11.3154894903</v>
      </c>
      <c r="CE433" s="76" t="n">
        <f aca="false">IFERROR(CE430/CE180,"n/a")</f>
        <v>10.4674442781702</v>
      </c>
      <c r="CF433" s="21"/>
    </row>
    <row r="434" customFormat="false" ht="15" hidden="false" customHeight="true" outlineLevel="0" collapsed="false">
      <c r="B434" s="29" t="s">
        <v>649</v>
      </c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9"/>
      <c r="BZ434" s="49"/>
      <c r="CA434" s="76" t="n">
        <f aca="false">IFERROR(CA430/CA187,"n/a")</f>
        <v>23.5580100574461</v>
      </c>
      <c r="CB434" s="76" t="n">
        <f aca="false">IFERROR(CB430/CB187,"n/a")</f>
        <v>21.6626498282795</v>
      </c>
      <c r="CC434" s="76" t="n">
        <f aca="false">IFERROR(CC430/CC187,"n/a")</f>
        <v>19.8166157385765</v>
      </c>
      <c r="CD434" s="76" t="n">
        <f aca="false">IFERROR(CD430/CD187,"n/a")</f>
        <v>18.1489539814071</v>
      </c>
      <c r="CE434" s="76" t="n">
        <f aca="false">IFERROR(CE430/CE187,"n/a")</f>
        <v>16.7059343935204</v>
      </c>
      <c r="CF434" s="21"/>
    </row>
    <row r="435" customFormat="false" ht="15" hidden="false" customHeight="true" outlineLevel="0" collapsed="false">
      <c r="B435" s="29" t="s">
        <v>650</v>
      </c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9"/>
      <c r="BZ435" s="49"/>
      <c r="CA435" s="76" t="n">
        <f aca="false">IFERROR(CA430/CA400,"n/a")</f>
        <v>2.80029147197938</v>
      </c>
      <c r="CB435" s="76" t="n">
        <f aca="false">IFERROR(CB430/CB400,"n/a")</f>
        <v>2.67908640441102</v>
      </c>
      <c r="CC435" s="76" t="n">
        <f aca="false">IFERROR(CC430/CC400,"n/a")</f>
        <v>2.5703310526588</v>
      </c>
      <c r="CD435" s="76" t="n">
        <f aca="false">IFERROR(CD430/CD400,"n/a")</f>
        <v>2.47084536343336</v>
      </c>
      <c r="CE435" s="76" t="n">
        <f aca="false">IFERROR(CE430/CE400,"n/a")</f>
        <v>2.37946712451479</v>
      </c>
      <c r="CF435" s="21"/>
    </row>
    <row r="436" customFormat="false" ht="15" hidden="false" customHeight="true" outlineLevel="0" collapsed="false">
      <c r="B436" s="29" t="s">
        <v>651</v>
      </c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9"/>
      <c r="BZ436" s="49"/>
      <c r="CA436" s="76" t="n">
        <f aca="false">IFERROR(CA425/CA155,"n/a")</f>
        <v>33.5035081383283</v>
      </c>
      <c r="CB436" s="76" t="n">
        <f aca="false">IFERROR(CB425/CB155,"n/a")</f>
        <v>27.9838340517855</v>
      </c>
      <c r="CC436" s="76" t="n">
        <f aca="false">IFERROR(CC425/CC155,"n/a")</f>
        <v>25.1029877470943</v>
      </c>
      <c r="CD436" s="76" t="n">
        <f aca="false">IFERROR(CD425/CD155,"n/a")</f>
        <v>22.550285365188</v>
      </c>
      <c r="CE436" s="76" t="n">
        <f aca="false">IFERROR(CE425/CE155,"n/a")</f>
        <v>20.3221206689493</v>
      </c>
      <c r="CF436" s="21"/>
    </row>
    <row r="437" customFormat="false" ht="15" hidden="false" customHeight="true" outlineLevel="0" collapsed="false">
      <c r="B437" s="29" t="s">
        <v>652</v>
      </c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9"/>
      <c r="BZ437" s="49"/>
      <c r="CA437" s="76" t="n">
        <f aca="false">IFERROR(CA425/CA210,"n/a")</f>
        <v>27.549479982959</v>
      </c>
      <c r="CB437" s="76" t="n">
        <f aca="false">IFERROR(CB425/CB210,"n/a")</f>
        <v>25.3159788743522</v>
      </c>
      <c r="CC437" s="76" t="n">
        <f aca="false">IFERROR(CC425/CC210,"n/a")</f>
        <v>22.7491687027832</v>
      </c>
      <c r="CD437" s="76" t="n">
        <f aca="false">IFERROR(CD425/CD210,"n/a")</f>
        <v>20.471117286633</v>
      </c>
      <c r="CE437" s="76" t="n">
        <f aca="false">IFERROR(CE425/CE210,"n/a")</f>
        <v>18.4702503326469</v>
      </c>
      <c r="CF437" s="21"/>
    </row>
    <row r="438" customFormat="false" ht="15" hidden="false" customHeight="true" outlineLevel="0" collapsed="false">
      <c r="B438" s="29" t="s">
        <v>653</v>
      </c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35"/>
      <c r="BA438" s="35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5"/>
      <c r="BU438" s="35"/>
      <c r="BV438" s="35"/>
      <c r="BW438" s="35"/>
      <c r="BX438" s="35"/>
      <c r="BY438" s="39"/>
      <c r="BZ438" s="39"/>
      <c r="CA438" s="37" t="n">
        <f aca="false">IFERROR(CA289/CA427,"n/a")</f>
        <v>0.0366610033024682</v>
      </c>
      <c r="CB438" s="37" t="n">
        <f aca="false">IFERROR(CB289/CB427,"n/a")</f>
        <v>0.0455908857778766</v>
      </c>
      <c r="CC438" s="37" t="n">
        <f aca="false">IFERROR(CC289/CC427,"n/a")</f>
        <v>0.0511401766579941</v>
      </c>
      <c r="CD438" s="37" t="n">
        <f aca="false">IFERROR(CD289/CD427,"n/a")</f>
        <v>0.0565342111140331</v>
      </c>
      <c r="CE438" s="37" t="n">
        <f aca="false">IFERROR(CE289/CE427,"n/a")</f>
        <v>0.062241681982642</v>
      </c>
      <c r="CF438" s="21"/>
    </row>
    <row r="439" customFormat="false" ht="15" hidden="false" customHeight="true" outlineLevel="0" collapsed="false">
      <c r="B439" s="29" t="s">
        <v>654</v>
      </c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35"/>
      <c r="AW439" s="35"/>
      <c r="AX439" s="35"/>
      <c r="AY439" s="35"/>
      <c r="AZ439" s="35"/>
      <c r="BA439" s="35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5"/>
      <c r="BU439" s="35"/>
      <c r="BV439" s="35"/>
      <c r="BW439" s="35"/>
      <c r="BX439" s="35"/>
      <c r="BY439" s="39"/>
      <c r="BZ439" s="39"/>
      <c r="CA439" s="37" t="n">
        <f aca="false">IFERROR(CA160/CA425,"n/a")</f>
        <v>0.00925806451612903</v>
      </c>
      <c r="CB439" s="37" t="n">
        <f aca="false">IFERROR(CB160/CB425,"n/a")</f>
        <v>0.0101838709677419</v>
      </c>
      <c r="CC439" s="37" t="n">
        <f aca="false">IFERROR(CC160/CC425,"n/a")</f>
        <v>0.0112022580645161</v>
      </c>
      <c r="CD439" s="37" t="n">
        <f aca="false">IFERROR(CD160/CD425,"n/a")</f>
        <v>0.0123224838709677</v>
      </c>
      <c r="CE439" s="37" t="n">
        <f aca="false">IFERROR(CE160/CE425,"n/a")</f>
        <v>0.0135547322580645</v>
      </c>
      <c r="CF439" s="21"/>
    </row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</sheetData>
  <dataValidations count="1">
    <dataValidation allowBlank="false" errorStyle="stop" operator="between" showDropDown="false" showErrorMessage="false" showInputMessage="false" sqref="CF2" type="list">
      <formula1>"Bull,Base,Bear"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J47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H26" activeCellId="0" sqref="H26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63.86"/>
    <col collapsed="false" customWidth="true" hidden="false" outlineLevel="0" max="8" min="3" style="1" width="11.86"/>
    <col collapsed="false" customWidth="true" hidden="false" outlineLevel="0" max="9" min="9" style="1" width="13.29"/>
    <col collapsed="false" customWidth="true" hidden="false" outlineLevel="0" max="12" min="10" style="1" width="12.57"/>
    <col collapsed="false" customWidth="true" hidden="false" outlineLevel="0" max="13" min="13" style="1" width="3.86"/>
    <col collapsed="false" customWidth="true" hidden="false" outlineLevel="0" max="14" min="14" style="1" width="63.86"/>
    <col collapsed="false" customWidth="true" hidden="false" outlineLevel="0" max="20" min="15" style="1" width="11.86"/>
    <col collapsed="false" customWidth="true" hidden="false" outlineLevel="0" max="21" min="21" style="1" width="13.29"/>
    <col collapsed="false" customWidth="true" hidden="false" outlineLevel="0" max="24" min="22" style="1" width="12.57"/>
    <col collapsed="false" customWidth="true" hidden="false" outlineLevel="0" max="25" min="25" style="1" width="3.86"/>
    <col collapsed="false" customWidth="true" hidden="false" outlineLevel="0" max="26" min="26" style="1" width="63.86"/>
    <col collapsed="false" customWidth="true" hidden="false" outlineLevel="0" max="32" min="27" style="1" width="11.86"/>
    <col collapsed="false" customWidth="true" hidden="false" outlineLevel="0" max="33" min="33" style="1" width="13.29"/>
    <col collapsed="false" customWidth="true" hidden="false" outlineLevel="0" max="36" min="34" style="1" width="12.57"/>
  </cols>
  <sheetData>
    <row r="2" customFormat="false" ht="19.5" hidden="false" customHeight="true" outlineLevel="0" collapsed="false">
      <c r="B2" s="87" t="s">
        <v>655</v>
      </c>
      <c r="J2" s="88" t="s">
        <v>656</v>
      </c>
      <c r="K2" s="89" t="n">
        <f aca="false">Model!$CA$425</f>
        <v>155</v>
      </c>
    </row>
    <row r="3" customFormat="false" ht="15" hidden="false" customHeight="true" outlineLevel="0" collapsed="false">
      <c r="B3" s="90" t="s">
        <v>657</v>
      </c>
      <c r="J3" s="88" t="s">
        <v>658</v>
      </c>
      <c r="K3" s="91" t="n">
        <f aca="true">TODAY()</f>
        <v>46301</v>
      </c>
    </row>
    <row r="5" customFormat="false" ht="15" hidden="false" customHeight="true" outlineLevel="0" collapsed="false">
      <c r="B5" s="92" t="s">
        <v>659</v>
      </c>
      <c r="C5" s="93" t="str">
        <f aca="false">Model!$CF$2</f>
        <v>Base</v>
      </c>
      <c r="N5" s="94" t="s">
        <v>659</v>
      </c>
      <c r="O5" s="95" t="s">
        <v>80</v>
      </c>
      <c r="P5" s="90" t="s">
        <v>660</v>
      </c>
      <c r="Z5" s="94" t="s">
        <v>659</v>
      </c>
      <c r="AA5" s="95" t="s">
        <v>81</v>
      </c>
      <c r="AB5" s="90" t="s">
        <v>661</v>
      </c>
    </row>
    <row r="7" customFormat="false" ht="31.5" hidden="false" customHeight="true" outlineLevel="0" collapsed="false">
      <c r="B7" s="96" t="s">
        <v>662</v>
      </c>
      <c r="C7" s="97" t="s">
        <v>663</v>
      </c>
      <c r="D7" s="97" t="s">
        <v>64</v>
      </c>
      <c r="E7" s="97" t="s">
        <v>65</v>
      </c>
      <c r="F7" s="97" t="s">
        <v>66</v>
      </c>
      <c r="G7" s="97" t="s">
        <v>67</v>
      </c>
      <c r="H7" s="97" t="s">
        <v>68</v>
      </c>
      <c r="I7" s="97" t="s">
        <v>664</v>
      </c>
      <c r="J7" s="98" t="s">
        <v>665</v>
      </c>
      <c r="K7" s="98" t="s">
        <v>666</v>
      </c>
      <c r="L7" s="98" t="s">
        <v>667</v>
      </c>
      <c r="N7" s="96" t="s">
        <v>662</v>
      </c>
      <c r="O7" s="97" t="s">
        <v>663</v>
      </c>
      <c r="P7" s="97" t="s">
        <v>64</v>
      </c>
      <c r="Q7" s="97" t="s">
        <v>65</v>
      </c>
      <c r="R7" s="97" t="s">
        <v>66</v>
      </c>
      <c r="S7" s="97" t="s">
        <v>67</v>
      </c>
      <c r="T7" s="97" t="s">
        <v>68</v>
      </c>
      <c r="U7" s="97" t="s">
        <v>664</v>
      </c>
      <c r="V7" s="98" t="s">
        <v>665</v>
      </c>
      <c r="W7" s="98" t="s">
        <v>666</v>
      </c>
      <c r="X7" s="98" t="s">
        <v>667</v>
      </c>
      <c r="Z7" s="96" t="s">
        <v>662</v>
      </c>
      <c r="AA7" s="97" t="s">
        <v>663</v>
      </c>
      <c r="AB7" s="97" t="s">
        <v>64</v>
      </c>
      <c r="AC7" s="97" t="s">
        <v>65</v>
      </c>
      <c r="AD7" s="97" t="s">
        <v>66</v>
      </c>
      <c r="AE7" s="97" t="s">
        <v>67</v>
      </c>
      <c r="AF7" s="97" t="s">
        <v>68</v>
      </c>
      <c r="AG7" s="97" t="s">
        <v>664</v>
      </c>
      <c r="AH7" s="98" t="s">
        <v>665</v>
      </c>
      <c r="AI7" s="98" t="s">
        <v>666</v>
      </c>
      <c r="AJ7" s="98" t="s">
        <v>667</v>
      </c>
    </row>
    <row r="9" customFormat="false" ht="15" hidden="false" customHeight="true" outlineLevel="0" collapsed="false">
      <c r="B9" s="99" t="s">
        <v>283</v>
      </c>
      <c r="C9" s="100" t="n">
        <f aca="false">Model!BV128</f>
        <v>9466.915</v>
      </c>
      <c r="D9" s="101" t="n">
        <f aca="false">Model!CA128</f>
        <v>10035</v>
      </c>
      <c r="E9" s="101" t="n">
        <f aca="false">Model!CB128</f>
        <v>10653.2703486509</v>
      </c>
      <c r="F9" s="101" t="n">
        <f aca="false">Model!CC128</f>
        <v>11506.9618439659</v>
      </c>
      <c r="G9" s="101" t="n">
        <f aca="false">Model!CD128</f>
        <v>12417.9632224828</v>
      </c>
      <c r="H9" s="101" t="n">
        <f aca="false">Model!CE128</f>
        <v>13346.8734782927</v>
      </c>
      <c r="I9" s="102" t="n">
        <f aca="false">IFERROR((H9/C9)^(1/5)-1,"n/m")</f>
        <v>0.0711103433507032</v>
      </c>
      <c r="N9" s="99" t="s">
        <v>283</v>
      </c>
      <c r="O9" s="100" t="n">
        <v>9466.915</v>
      </c>
      <c r="P9" s="101" t="n">
        <v>10050</v>
      </c>
      <c r="Q9" s="101" t="n">
        <v>10962.5445159095</v>
      </c>
      <c r="R9" s="101" t="n">
        <v>12234.6374680915</v>
      </c>
      <c r="S9" s="101" t="n">
        <v>13599.8835756265</v>
      </c>
      <c r="T9" s="101" t="n">
        <v>15020.3499933597</v>
      </c>
      <c r="U9" s="102" t="n">
        <v>0.0967163421398285</v>
      </c>
      <c r="Z9" s="99" t="s">
        <v>283</v>
      </c>
      <c r="AA9" s="100" t="n">
        <v>9466.915</v>
      </c>
      <c r="AB9" s="101" t="n">
        <v>10020</v>
      </c>
      <c r="AC9" s="101" t="n">
        <v>10344.5957615707</v>
      </c>
      <c r="AD9" s="101" t="n">
        <v>10791.2659525981</v>
      </c>
      <c r="AE9" s="101" t="n">
        <v>11271.7128559916</v>
      </c>
      <c r="AF9" s="101" t="n">
        <v>11746.595812079</v>
      </c>
      <c r="AG9" s="102" t="n">
        <v>0.0440966673161833</v>
      </c>
    </row>
    <row r="10" customFormat="false" ht="15" hidden="false" customHeight="true" outlineLevel="0" collapsed="false">
      <c r="B10" s="103" t="s">
        <v>668</v>
      </c>
      <c r="C10" s="104"/>
      <c r="D10" s="105" t="n">
        <f aca="false">IFERROR(D9/C9-1,"")</f>
        <v>0.0600074047353334</v>
      </c>
      <c r="E10" s="105" t="n">
        <f aca="false">IFERROR(E9/D9-1,"")</f>
        <v>0.0616113949826476</v>
      </c>
      <c r="F10" s="105" t="n">
        <f aca="false">IFERROR(F9/E9-1,"")</f>
        <v>0.0801342186367369</v>
      </c>
      <c r="G10" s="105" t="n">
        <f aca="false">IFERROR(G9/F9-1,"")</f>
        <v>0.0791695836720456</v>
      </c>
      <c r="H10" s="105" t="n">
        <f aca="false">IFERROR(H9/G9-1,"")</f>
        <v>0.0748037531733097</v>
      </c>
      <c r="N10" s="103" t="s">
        <v>668</v>
      </c>
      <c r="O10" s="104"/>
      <c r="P10" s="105" t="n">
        <v>0.0615918702132638</v>
      </c>
      <c r="Q10" s="105" t="n">
        <v>0.0908004493442323</v>
      </c>
      <c r="R10" s="105" t="n">
        <v>0.116039934919841</v>
      </c>
      <c r="S10" s="105" t="n">
        <v>0.111588603348124</v>
      </c>
      <c r="T10" s="105" t="n">
        <v>0.104446954257678</v>
      </c>
      <c r="Z10" s="103" t="s">
        <v>668</v>
      </c>
      <c r="AA10" s="104"/>
      <c r="AB10" s="105" t="n">
        <v>0.0584229392574036</v>
      </c>
      <c r="AC10" s="105" t="n">
        <v>0.0323947865838972</v>
      </c>
      <c r="AD10" s="105" t="n">
        <v>0.0431790860969961</v>
      </c>
      <c r="AE10" s="105" t="n">
        <v>0.0445218295521475</v>
      </c>
      <c r="AF10" s="105" t="n">
        <v>0.0421305051108494</v>
      </c>
    </row>
    <row r="11" customFormat="false" ht="15" hidden="false" customHeight="true" outlineLevel="0" collapsed="false">
      <c r="B11" s="99" t="s">
        <v>669</v>
      </c>
      <c r="C11" s="106" t="n">
        <f aca="false">Model!BV20</f>
        <v>0.0537984208990932</v>
      </c>
      <c r="D11" s="107" t="n">
        <f aca="false">Model!CA20</f>
        <v>0.0490518058248244</v>
      </c>
      <c r="E11" s="107" t="n">
        <f aca="false">Model!CB20</f>
        <v>0.0425</v>
      </c>
      <c r="F11" s="107" t="n">
        <f aca="false">Model!CC20</f>
        <v>0.045</v>
      </c>
      <c r="G11" s="107" t="n">
        <f aca="false">Model!CD20</f>
        <v>0.0475</v>
      </c>
      <c r="H11" s="107" t="n">
        <f aca="false">Model!CE20</f>
        <v>0.045</v>
      </c>
      <c r="N11" s="99" t="s">
        <v>669</v>
      </c>
      <c r="O11" s="106" t="n">
        <v>0.0537984208990932</v>
      </c>
      <c r="P11" s="107" t="n">
        <v>0.0506386861401811</v>
      </c>
      <c r="Q11" s="107" t="n">
        <v>0.06</v>
      </c>
      <c r="R11" s="107" t="n">
        <v>0.0625</v>
      </c>
      <c r="S11" s="107" t="n">
        <v>0.065</v>
      </c>
      <c r="T11" s="107" t="n">
        <v>0.0625</v>
      </c>
      <c r="Z11" s="99" t="s">
        <v>669</v>
      </c>
      <c r="AA11" s="106" t="n">
        <v>0.0537984208990932</v>
      </c>
      <c r="AB11" s="107" t="n">
        <v>0.0474649255094679</v>
      </c>
      <c r="AC11" s="107" t="n">
        <v>0.025</v>
      </c>
      <c r="AD11" s="107" t="n">
        <v>0.0275</v>
      </c>
      <c r="AE11" s="107" t="n">
        <v>0.03</v>
      </c>
      <c r="AF11" s="107" t="n">
        <v>0.0275</v>
      </c>
    </row>
    <row r="12" customFormat="false" ht="15" hidden="false" customHeight="true" outlineLevel="0" collapsed="false">
      <c r="B12" s="99" t="s">
        <v>636</v>
      </c>
      <c r="C12" s="100" t="n">
        <f aca="false">Model!BV180</f>
        <v>3124.555</v>
      </c>
      <c r="D12" s="101" t="n">
        <f aca="false">Model!CA180</f>
        <v>3335</v>
      </c>
      <c r="E12" s="101" t="n">
        <f aca="false">Model!CB180</f>
        <v>3573.68065532851</v>
      </c>
      <c r="F12" s="101" t="n">
        <f aca="false">Model!CC180</f>
        <v>3870.18946689685</v>
      </c>
      <c r="G12" s="101" t="n">
        <f aca="false">Model!CD180</f>
        <v>4187.38385928052</v>
      </c>
      <c r="H12" s="101" t="n">
        <f aca="false">Model!CE180</f>
        <v>4511.98172957609</v>
      </c>
      <c r="I12" s="102" t="n">
        <f aca="false">IFERROR((H12/C12)^(1/5)-1,"n/m")</f>
        <v>0.0762566099267559</v>
      </c>
      <c r="N12" s="99" t="s">
        <v>636</v>
      </c>
      <c r="O12" s="100" t="n">
        <v>3124.555</v>
      </c>
      <c r="P12" s="101" t="n">
        <v>3340</v>
      </c>
      <c r="Q12" s="101" t="n">
        <v>3754.8613139422</v>
      </c>
      <c r="R12" s="101" t="n">
        <v>4191.98088158926</v>
      </c>
      <c r="S12" s="101" t="n">
        <v>4663.02295162112</v>
      </c>
      <c r="T12" s="101" t="n">
        <v>5155.05194767922</v>
      </c>
      <c r="U12" s="102" t="n">
        <v>0.105322407938696</v>
      </c>
      <c r="Z12" s="99" t="s">
        <v>636</v>
      </c>
      <c r="AA12" s="100" t="n">
        <v>3124.555</v>
      </c>
      <c r="AB12" s="101" t="n">
        <v>3330</v>
      </c>
      <c r="AC12" s="101" t="n">
        <v>3395.97243494869</v>
      </c>
      <c r="AD12" s="101" t="n">
        <v>3559.0452155155</v>
      </c>
      <c r="AE12" s="101" t="n">
        <v>3734.09975188994</v>
      </c>
      <c r="AF12" s="101" t="n">
        <v>3908.10742414042</v>
      </c>
      <c r="AG12" s="102" t="n">
        <v>0.0457687593166849</v>
      </c>
    </row>
    <row r="13" customFormat="false" ht="15" hidden="false" customHeight="true" outlineLevel="0" collapsed="false">
      <c r="B13" s="103" t="s">
        <v>670</v>
      </c>
      <c r="C13" s="108" t="n">
        <f aca="false">IFERROR(C12/C9,"")</f>
        <v>0.330049968759622</v>
      </c>
      <c r="D13" s="109" t="n">
        <f aca="false">IFERROR(D12/D9,"")</f>
        <v>0.332336821126059</v>
      </c>
      <c r="E13" s="109" t="n">
        <f aca="false">IFERROR(E12/E9,"")</f>
        <v>0.33545385955413</v>
      </c>
      <c r="F13" s="109" t="n">
        <f aca="false">IFERROR(F12/F9,"")</f>
        <v>0.336334605030981</v>
      </c>
      <c r="G13" s="109" t="n">
        <f aca="false">IFERROR(G12/G9,"")</f>
        <v>0.337203757513086</v>
      </c>
      <c r="H13" s="109" t="n">
        <f aca="false">IFERROR(H12/H9,"")</f>
        <v>0.338055330854404</v>
      </c>
      <c r="J13" s="110" t="n">
        <f aca="false">IFERROR(AVERAGE(Model!C181,Model!D181,Model!E181,Model!F181,Model!G181,Model!H181,Model!I181,Model!N181,Model!S181,Model!X181,Model!AC181,Model!AH181,Model!AM181,Model!AR181,Model!AW181,Model!BB181,Model!BG181,Model!BL181,Model!BQ181,Model!BV181),"")</f>
        <v>0.317778024047345</v>
      </c>
      <c r="K13" s="110" t="n">
        <f aca="false">IFERROR(MIN(Model!C181,Model!D181,Model!E181,Model!F181,Model!G181,Model!H181,Model!I181,Model!N181,Model!S181,Model!X181,Model!AC181,Model!AH181,Model!AM181,Model!AR181,Model!AW181,Model!BB181,Model!BG181,Model!BL181,Model!BQ181,Model!BV181),"")</f>
        <v>0.29850714984618</v>
      </c>
      <c r="L13" s="110" t="n">
        <f aca="false">IFERROR(MAX(Model!C181,Model!D181,Model!E181,Model!F181,Model!G181,Model!H181,Model!I181,Model!N181,Model!S181,Model!X181,Model!AC181,Model!AH181,Model!AM181,Model!AR181,Model!AW181,Model!BB181,Model!BG181,Model!BL181,Model!BQ181,Model!BV181),"")</f>
        <v>0.344887325013972</v>
      </c>
      <c r="N13" s="103" t="s">
        <v>670</v>
      </c>
      <c r="O13" s="108" t="n">
        <v>0.330049968759622</v>
      </c>
      <c r="P13" s="109" t="n">
        <v>0.332338308457712</v>
      </c>
      <c r="Q13" s="109" t="n">
        <v>0.342517315071597</v>
      </c>
      <c r="R13" s="109" t="n">
        <v>0.342632210600611</v>
      </c>
      <c r="S13" s="109" t="n">
        <v>0.342872269875759</v>
      </c>
      <c r="T13" s="109" t="n">
        <v>0.343204515870682</v>
      </c>
      <c r="V13" s="110" t="n">
        <v>0.317778024047345</v>
      </c>
      <c r="W13" s="110" t="n">
        <v>0.29850714984618</v>
      </c>
      <c r="X13" s="110" t="n">
        <v>0.344887325013972</v>
      </c>
      <c r="Z13" s="103" t="s">
        <v>670</v>
      </c>
      <c r="AA13" s="108" t="n">
        <v>0.330049968759622</v>
      </c>
      <c r="AB13" s="109" t="n">
        <v>0.332335329341318</v>
      </c>
      <c r="AC13" s="109" t="n">
        <v>0.328284692144709</v>
      </c>
      <c r="AD13" s="109" t="n">
        <v>0.329807942010605</v>
      </c>
      <c r="AE13" s="109" t="n">
        <v>0.331280595912717</v>
      </c>
      <c r="AF13" s="109" t="n">
        <v>0.33270127674962</v>
      </c>
      <c r="AH13" s="110" t="n">
        <v>0.317778024047345</v>
      </c>
      <c r="AI13" s="110" t="n">
        <v>0.29850714984618</v>
      </c>
      <c r="AJ13" s="110" t="n">
        <v>0.344887325013972</v>
      </c>
    </row>
    <row r="15" customFormat="false" ht="15" hidden="false" customHeight="true" outlineLevel="0" collapsed="false">
      <c r="B15" s="99" t="s">
        <v>671</v>
      </c>
      <c r="C15" s="100" t="n">
        <f aca="false">Model!BV134</f>
        <v>1710.174</v>
      </c>
      <c r="D15" s="101" t="n">
        <f aca="false">Model!CA134</f>
        <v>1843.663</v>
      </c>
      <c r="E15" s="101" t="n">
        <f aca="false">Model!CB134</f>
        <v>2159.87274705184</v>
      </c>
      <c r="F15" s="101" t="n">
        <f aca="false">Model!CC134</f>
        <v>2353.22521847713</v>
      </c>
      <c r="G15" s="101" t="n">
        <f aca="false">Model!CD134</f>
        <v>2561.07354324045</v>
      </c>
      <c r="H15" s="101" t="n">
        <f aca="false">Model!CE134</f>
        <v>2773.68677957243</v>
      </c>
      <c r="I15" s="102" t="n">
        <f aca="false">IFERROR((H15/C15)^(1/5)-1,"n/m")</f>
        <v>0.101547992646364</v>
      </c>
      <c r="N15" s="99" t="s">
        <v>671</v>
      </c>
      <c r="O15" s="100" t="n">
        <v>1710.174</v>
      </c>
      <c r="P15" s="101" t="n">
        <v>1848.663</v>
      </c>
      <c r="Q15" s="101" t="n">
        <v>2301.14596733987</v>
      </c>
      <c r="R15" s="101" t="n">
        <v>2578.50211821328</v>
      </c>
      <c r="S15" s="101" t="n">
        <v>2879.66952224225</v>
      </c>
      <c r="T15" s="101" t="n">
        <v>3195.10494844285</v>
      </c>
      <c r="U15" s="102" t="n">
        <v>0.133154076959798</v>
      </c>
      <c r="Z15" s="99" t="s">
        <v>671</v>
      </c>
      <c r="AA15" s="100" t="n">
        <v>1710.174</v>
      </c>
      <c r="AB15" s="101" t="n">
        <v>1838.663</v>
      </c>
      <c r="AC15" s="101" t="n">
        <v>2022.00301327715</v>
      </c>
      <c r="AD15" s="101" t="n">
        <v>2137.2178127849</v>
      </c>
      <c r="AE15" s="101" t="n">
        <v>2260.73050072363</v>
      </c>
      <c r="AF15" s="101" t="n">
        <v>2383.04665575134</v>
      </c>
      <c r="AG15" s="102" t="n">
        <v>0.0686080688305928</v>
      </c>
    </row>
    <row r="16" customFormat="false" ht="15" hidden="false" customHeight="true" outlineLevel="0" collapsed="false">
      <c r="B16" s="103" t="s">
        <v>672</v>
      </c>
      <c r="C16" s="104"/>
      <c r="D16" s="105" t="n">
        <f aca="false">IFERROR(D15/C15-1,"")</f>
        <v>0.07805580017004</v>
      </c>
      <c r="E16" s="105" t="n">
        <f aca="false">IFERROR(E15/D15-1,"")</f>
        <v>0.171511684647272</v>
      </c>
      <c r="F16" s="105" t="n">
        <f aca="false">IFERROR(F15/E15-1,"")</f>
        <v>0.0895203070130894</v>
      </c>
      <c r="G16" s="105" t="n">
        <f aca="false">IFERROR(G15/F15-1,"")</f>
        <v>0.0883248756350792</v>
      </c>
      <c r="H16" s="105" t="n">
        <f aca="false">IFERROR(H15/G15-1,"")</f>
        <v>0.0830172319311715</v>
      </c>
      <c r="N16" s="103" t="s">
        <v>672</v>
      </c>
      <c r="O16" s="104"/>
      <c r="P16" s="105" t="n">
        <v>0.0809794792810559</v>
      </c>
      <c r="Q16" s="105" t="n">
        <v>0.244762278111192</v>
      </c>
      <c r="R16" s="105" t="n">
        <v>0.120529577354031</v>
      </c>
      <c r="S16" s="105" t="n">
        <v>0.116799362661628</v>
      </c>
      <c r="T16" s="105" t="n">
        <v>0.109538759140315</v>
      </c>
      <c r="Z16" s="103" t="s">
        <v>672</v>
      </c>
      <c r="AA16" s="104"/>
      <c r="AB16" s="105" t="n">
        <v>0.0751321210590281</v>
      </c>
      <c r="AC16" s="105" t="n">
        <v>0.0997137666212613</v>
      </c>
      <c r="AD16" s="105" t="n">
        <v>0.0569805280957585</v>
      </c>
      <c r="AE16" s="105" t="n">
        <v>0.057791343119018</v>
      </c>
      <c r="AF16" s="105" t="n">
        <v>0.0541047042044838</v>
      </c>
    </row>
    <row r="17" customFormat="false" ht="15" hidden="false" customHeight="true" outlineLevel="0" collapsed="false">
      <c r="B17" s="103" t="s">
        <v>673</v>
      </c>
      <c r="C17" s="108" t="n">
        <f aca="false">IFERROR(C15/C9,"")</f>
        <v>0.180647444283592</v>
      </c>
      <c r="D17" s="109" t="n">
        <f aca="false">IFERROR(D15/D9,"")</f>
        <v>0.18372326856004</v>
      </c>
      <c r="E17" s="109" t="n">
        <f aca="false">IFERROR(E15/E9,"")</f>
        <v>0.202742695563468</v>
      </c>
      <c r="F17" s="109" t="n">
        <f aca="false">IFERROR(F15/F9,"")</f>
        <v>0.204504477410006</v>
      </c>
      <c r="G17" s="109" t="n">
        <f aca="false">IFERROR(G15/G9,"")</f>
        <v>0.206239420857972</v>
      </c>
      <c r="H17" s="109" t="n">
        <f aca="false">IFERROR(H15/H9,"")</f>
        <v>0.207815469599195</v>
      </c>
      <c r="J17" s="110" t="n">
        <f aca="false">IFERROR(AVERAGE(Model!C227,Model!D227,Model!E227,Model!F227,Model!G227,Model!H227,Model!I227,Model!N227,Model!S227,Model!X227,Model!AC227,Model!AH227,Model!AM227,Model!AR227,Model!AW227,Model!BB227,Model!BG227,Model!BL227,Model!BQ227,Model!BV227),"")</f>
        <v>0.164205942961518</v>
      </c>
      <c r="K17" s="110" t="n">
        <f aca="false">IFERROR(MIN(Model!C227,Model!D227,Model!E227,Model!F227,Model!G227,Model!H227,Model!I227,Model!N227,Model!S227,Model!X227,Model!AC227,Model!AH227,Model!AM227,Model!AR227,Model!AW227,Model!BB227,Model!BG227,Model!BL227,Model!BQ227,Model!BV227),"")</f>
        <v>-0.0290617190772911</v>
      </c>
      <c r="L17" s="110" t="n">
        <f aca="false">IFERROR(MAX(Model!C227,Model!D227,Model!E227,Model!F227,Model!G227,Model!H227,Model!I227,Model!N227,Model!S227,Model!X227,Model!AC227,Model!AH227,Model!AM227,Model!AR227,Model!AW227,Model!BB227,Model!BG227,Model!BL227,Model!BQ227,Model!BV227),"")</f>
        <v>0.216081351849732</v>
      </c>
      <c r="N17" s="103" t="s">
        <v>673</v>
      </c>
      <c r="O17" s="108" t="n">
        <v>0.180647444283592</v>
      </c>
      <c r="P17" s="109" t="n">
        <v>0.183946567164179</v>
      </c>
      <c r="Q17" s="109" t="n">
        <v>0.209909840183573</v>
      </c>
      <c r="R17" s="109" t="n">
        <v>0.21075427244478</v>
      </c>
      <c r="S17" s="109" t="n">
        <v>0.211742218690986</v>
      </c>
      <c r="T17" s="109" t="n">
        <v>0.212718408682578</v>
      </c>
      <c r="V17" s="110" t="n">
        <v>0.164205942961518</v>
      </c>
      <c r="W17" s="110" t="n">
        <v>-0.0290617190772911</v>
      </c>
      <c r="X17" s="110" t="n">
        <v>0.216081351849732</v>
      </c>
      <c r="Z17" s="103" t="s">
        <v>673</v>
      </c>
      <c r="AA17" s="108" t="n">
        <v>0.180647444283592</v>
      </c>
      <c r="AB17" s="109" t="n">
        <v>0.183499301397206</v>
      </c>
      <c r="AC17" s="109" t="n">
        <v>0.195464671591009</v>
      </c>
      <c r="AD17" s="109" t="n">
        <v>0.198050703427464</v>
      </c>
      <c r="AE17" s="109" t="n">
        <v>0.200566722166092</v>
      </c>
      <c r="AF17" s="109" t="n">
        <v>0.202871256819857</v>
      </c>
      <c r="AH17" s="110" t="n">
        <v>0.164205942961518</v>
      </c>
      <c r="AI17" s="110" t="n">
        <v>-0.0290617190772911</v>
      </c>
      <c r="AJ17" s="110" t="n">
        <v>0.216081351849732</v>
      </c>
    </row>
    <row r="19" customFormat="false" ht="15" hidden="false" customHeight="true" outlineLevel="0" collapsed="false">
      <c r="B19" s="99" t="s">
        <v>674</v>
      </c>
      <c r="C19" s="100" t="n">
        <f aca="false">Model!BV206</f>
        <v>1328.334</v>
      </c>
      <c r="D19" s="101" t="n">
        <f aca="false">Model!CA206</f>
        <v>1427.465528</v>
      </c>
      <c r="E19" s="101" t="n">
        <f aca="false">Model!CB206</f>
        <v>1514.3873158488</v>
      </c>
      <c r="F19" s="101" t="n">
        <f aca="false">Model!CC206</f>
        <v>1643.71088587788</v>
      </c>
      <c r="G19" s="101" t="n">
        <f aca="false">Model!CD206</f>
        <v>1777.35896021854</v>
      </c>
      <c r="H19" s="101" t="n">
        <f aca="false">Model!CE206</f>
        <v>1913.5625870674</v>
      </c>
      <c r="I19" s="102" t="n">
        <f aca="false">IFERROR((H19/C19)^(1/5)-1,"n/m")</f>
        <v>0.0757394027037375</v>
      </c>
      <c r="N19" s="99" t="s">
        <v>674</v>
      </c>
      <c r="O19" s="100" t="n">
        <v>1328.334</v>
      </c>
      <c r="P19" s="101" t="n">
        <v>1431.310528</v>
      </c>
      <c r="Q19" s="101" t="n">
        <v>1620.87195991286</v>
      </c>
      <c r="R19" s="101" t="n">
        <v>1783.11599817899</v>
      </c>
      <c r="S19" s="101" t="n">
        <v>1981.23054644312</v>
      </c>
      <c r="T19" s="101" t="n">
        <v>2187.69037272933</v>
      </c>
      <c r="U19" s="102" t="n">
        <v>0.104932412021997</v>
      </c>
      <c r="Z19" s="99" t="s">
        <v>674</v>
      </c>
      <c r="AA19" s="100" t="n">
        <v>1328.334</v>
      </c>
      <c r="AB19" s="101" t="n">
        <v>1423.620528</v>
      </c>
      <c r="AC19" s="101" t="n">
        <v>1410.48932153487</v>
      </c>
      <c r="AD19" s="101" t="n">
        <v>1508.18184516762</v>
      </c>
      <c r="AE19" s="101" t="n">
        <v>1581.37417111182</v>
      </c>
      <c r="AF19" s="101" t="n">
        <v>1653.4509879302</v>
      </c>
      <c r="AG19" s="102" t="n">
        <v>0.0447606511564154</v>
      </c>
    </row>
    <row r="21" customFormat="false" ht="15" hidden="false" customHeight="true" outlineLevel="0" collapsed="false">
      <c r="B21" s="99" t="s">
        <v>675</v>
      </c>
      <c r="C21" s="111" t="n">
        <f aca="false">Model!BV153</f>
        <v>257.976741</v>
      </c>
      <c r="D21" s="112" t="n">
        <f aca="false">Model!CA153</f>
        <v>253.715696709677</v>
      </c>
      <c r="E21" s="112" t="n">
        <f aca="false">Model!CB153</f>
        <v>247.343208358807</v>
      </c>
      <c r="F21" s="112" t="n">
        <f aca="false">Model!CC153</f>
        <v>241.245524138304</v>
      </c>
      <c r="G21" s="112" t="n">
        <f aca="false">Model!CD153</f>
        <v>234.738862806979</v>
      </c>
      <c r="H21" s="112" t="n">
        <f aca="false">Model!CE153</f>
        <v>228.025677485951</v>
      </c>
      <c r="I21" s="102" t="n">
        <f aca="false">IFERROR((H21/C21)^(1/5)-1,"n/m")</f>
        <v>-0.0243801216211416</v>
      </c>
      <c r="N21" s="99" t="s">
        <v>675</v>
      </c>
      <c r="O21" s="111" t="n">
        <v>257.976741</v>
      </c>
      <c r="P21" s="112" t="n">
        <v>253.393116064516</v>
      </c>
      <c r="Q21" s="112" t="n">
        <v>243.385630706273</v>
      </c>
      <c r="R21" s="112" t="n">
        <v>234.084298125403</v>
      </c>
      <c r="S21" s="112" t="n">
        <v>226.242492090371</v>
      </c>
      <c r="T21" s="112" t="n">
        <v>217.69864079007</v>
      </c>
      <c r="U21" s="102" t="n">
        <v>-0.0333816551339915</v>
      </c>
      <c r="Z21" s="99" t="s">
        <v>675</v>
      </c>
      <c r="AA21" s="111" t="n">
        <v>257.976741</v>
      </c>
      <c r="AB21" s="112" t="n">
        <v>254.038277354839</v>
      </c>
      <c r="AC21" s="112" t="n">
        <v>250.994085466706</v>
      </c>
      <c r="AD21" s="112" t="n">
        <v>247.529301130527</v>
      </c>
      <c r="AE21" s="112" t="n">
        <v>241.786703216215</v>
      </c>
      <c r="AF21" s="112" t="n">
        <v>236.244458168164</v>
      </c>
      <c r="AG21" s="102" t="n">
        <v>-0.0174464807636471</v>
      </c>
    </row>
    <row r="23" customFormat="false" ht="15" hidden="false" customHeight="true" outlineLevel="0" collapsed="false">
      <c r="B23" s="99" t="s">
        <v>676</v>
      </c>
      <c r="C23" s="113" t="n">
        <f aca="false">Model!BV210</f>
        <v>5.14904558779585</v>
      </c>
      <c r="D23" s="114" t="n">
        <f aca="false">Model!CA210</f>
        <v>5.62624049876356</v>
      </c>
      <c r="E23" s="114" t="n">
        <f aca="false">Model!CB210</f>
        <v>6.12261531617218</v>
      </c>
      <c r="F23" s="114" t="n">
        <f aca="false">Model!CC210</f>
        <v>6.81343577978905</v>
      </c>
      <c r="G23" s="114" t="n">
        <f aca="false">Model!CD210</f>
        <v>7.5716433954101</v>
      </c>
      <c r="H23" s="114" t="n">
        <f aca="false">Model!CE210</f>
        <v>8.39187326692757</v>
      </c>
      <c r="I23" s="102" t="n">
        <f aca="false">IFERROR((H23/C23)^(1/5)-1,"n/m")</f>
        <v>0.102621447700761</v>
      </c>
      <c r="N23" s="99" t="s">
        <v>676</v>
      </c>
      <c r="O23" s="113" t="n">
        <v>5.14904558779585</v>
      </c>
      <c r="P23" s="114" t="n">
        <v>5.64857700252432</v>
      </c>
      <c r="Q23" s="114" t="n">
        <v>6.65968633895642</v>
      </c>
      <c r="R23" s="114" t="n">
        <v>7.61740967872926</v>
      </c>
      <c r="S23" s="114" t="n">
        <v>8.75711069188423</v>
      </c>
      <c r="T23" s="114" t="n">
        <v>10.0491687260416</v>
      </c>
      <c r="U23" s="102" t="n">
        <v>0.143090670573981</v>
      </c>
      <c r="Z23" s="99" t="s">
        <v>676</v>
      </c>
      <c r="AA23" s="113" t="n">
        <v>5.14904558779585</v>
      </c>
      <c r="AB23" s="114" t="n">
        <v>5.6039607212873</v>
      </c>
      <c r="AC23" s="114" t="n">
        <v>5.61961178850954</v>
      </c>
      <c r="AD23" s="114" t="n">
        <v>6.09294268710565</v>
      </c>
      <c r="AE23" s="114" t="n">
        <v>6.54036863928656</v>
      </c>
      <c r="AF23" s="114" t="n">
        <v>6.99889851703204</v>
      </c>
      <c r="AG23" s="102" t="n">
        <v>0.0633116982456183</v>
      </c>
    </row>
    <row r="24" customFormat="false" ht="15" hidden="false" customHeight="true" outlineLevel="0" collapsed="false">
      <c r="B24" s="103" t="s">
        <v>677</v>
      </c>
      <c r="C24" s="104"/>
      <c r="D24" s="105" t="n">
        <f aca="false">IFERROR(D23/C23-1,"")</f>
        <v>0.0926763810556952</v>
      </c>
      <c r="E24" s="105" t="n">
        <f aca="false">IFERROR(E23/D23-1,"")</f>
        <v>0.0882249554596362</v>
      </c>
      <c r="F24" s="105" t="n">
        <f aca="false">IFERROR(F23/E23-1,"")</f>
        <v>0.11283094363158</v>
      </c>
      <c r="G24" s="105" t="n">
        <f aca="false">IFERROR(G23/F23-1,"")</f>
        <v>0.11128124489999</v>
      </c>
      <c r="H24" s="105" t="n">
        <f aca="false">IFERROR(H23/G23-1,"")</f>
        <v>0.108329173560219</v>
      </c>
      <c r="N24" s="103" t="s">
        <v>677</v>
      </c>
      <c r="O24" s="104"/>
      <c r="P24" s="105" t="n">
        <v>0.097014370180069</v>
      </c>
      <c r="Q24" s="105" t="n">
        <v>0.179002487879733</v>
      </c>
      <c r="R24" s="105" t="n">
        <v>0.143809076137799</v>
      </c>
      <c r="S24" s="105" t="n">
        <v>0.149617922787776</v>
      </c>
      <c r="T24" s="105" t="n">
        <v>0.147543873729354</v>
      </c>
      <c r="Z24" s="103" t="s">
        <v>677</v>
      </c>
      <c r="AA24" s="104"/>
      <c r="AB24" s="105" t="n">
        <v>0.0883494087855192</v>
      </c>
      <c r="AC24" s="105" t="n">
        <v>0.00279285812314689</v>
      </c>
      <c r="AD24" s="105" t="n">
        <v>0.0842283980476968</v>
      </c>
      <c r="AE24" s="105" t="n">
        <v>0.0734334746210217</v>
      </c>
      <c r="AF24" s="105" t="n">
        <v>0.0701076503534051</v>
      </c>
    </row>
    <row r="26" customFormat="false" ht="15" hidden="false" customHeight="true" outlineLevel="0" collapsed="false">
      <c r="B26" s="103" t="s">
        <v>678</v>
      </c>
      <c r="C26" s="115"/>
      <c r="D26" s="115"/>
      <c r="E26" s="115"/>
      <c r="F26" s="115" t="n">
        <v>30</v>
      </c>
      <c r="G26" s="115" t="n">
        <v>30</v>
      </c>
      <c r="H26" s="115" t="n">
        <v>30</v>
      </c>
      <c r="N26" s="103" t="s">
        <v>678</v>
      </c>
      <c r="O26" s="115"/>
      <c r="P26" s="115"/>
      <c r="Q26" s="115"/>
      <c r="R26" s="115" t="n">
        <v>34</v>
      </c>
      <c r="S26" s="115" t="n">
        <v>34</v>
      </c>
      <c r="T26" s="115" t="n">
        <v>34</v>
      </c>
      <c r="Z26" s="103" t="s">
        <v>678</v>
      </c>
      <c r="AA26" s="115"/>
      <c r="AB26" s="115"/>
      <c r="AC26" s="115"/>
      <c r="AD26" s="115" t="n">
        <v>24</v>
      </c>
      <c r="AE26" s="115" t="n">
        <v>24</v>
      </c>
      <c r="AF26" s="115" t="n">
        <v>24</v>
      </c>
    </row>
    <row r="27" customFormat="false" ht="15" hidden="false" customHeight="true" outlineLevel="0" collapsed="false">
      <c r="B27" s="92" t="s">
        <v>679</v>
      </c>
      <c r="C27" s="116"/>
      <c r="D27" s="116"/>
      <c r="E27" s="116"/>
      <c r="F27" s="116" t="n">
        <f aca="false">F26*F23</f>
        <v>204.403073393671</v>
      </c>
      <c r="G27" s="116" t="n">
        <f aca="false">G26*G23</f>
        <v>227.149301862303</v>
      </c>
      <c r="H27" s="116" t="n">
        <f aca="false">H26*H23</f>
        <v>251.756198007827</v>
      </c>
      <c r="N27" s="92" t="s">
        <v>679</v>
      </c>
      <c r="O27" s="116"/>
      <c r="P27" s="116"/>
      <c r="Q27" s="116"/>
      <c r="R27" s="116" t="n">
        <f aca="false">R26*R23</f>
        <v>258.991929076795</v>
      </c>
      <c r="S27" s="116" t="n">
        <f aca="false">S26*S23</f>
        <v>297.741763524064</v>
      </c>
      <c r="T27" s="116" t="n">
        <f aca="false">T26*T23</f>
        <v>341.671736685414</v>
      </c>
      <c r="Z27" s="92" t="s">
        <v>679</v>
      </c>
      <c r="AA27" s="116"/>
      <c r="AB27" s="116"/>
      <c r="AC27" s="116"/>
      <c r="AD27" s="116" t="n">
        <f aca="false">AD26*AD23</f>
        <v>146.230624490536</v>
      </c>
      <c r="AE27" s="116" t="n">
        <f aca="false">AE26*AE23</f>
        <v>156.968847342877</v>
      </c>
      <c r="AF27" s="116" t="n">
        <f aca="false">AF26*AF23</f>
        <v>167.973564408769</v>
      </c>
    </row>
    <row r="28" customFormat="false" ht="15" hidden="false" customHeight="true" outlineLevel="0" collapsed="false">
      <c r="B28" s="1" t="s">
        <v>680</v>
      </c>
      <c r="E28" s="117"/>
      <c r="F28" s="117" t="n">
        <f aca="false">IFERROR(F27/$K$2-1,"")</f>
        <v>0.318729505765622</v>
      </c>
      <c r="G28" s="117" t="n">
        <f aca="false">IFERROR(G27/$K$2-1,"")</f>
        <v>0.465479366853568</v>
      </c>
      <c r="H28" s="117" t="n">
        <f aca="false">IFERROR(H27/$K$2-1,"")</f>
        <v>0.624233535534369</v>
      </c>
      <c r="N28" s="1" t="s">
        <v>680</v>
      </c>
      <c r="O28" s="117"/>
      <c r="P28" s="117"/>
      <c r="Q28" s="117"/>
      <c r="R28" s="117" t="n">
        <f aca="false">IFERROR(R27/$K$2-1,"")</f>
        <v>0.670915671463192</v>
      </c>
      <c r="S28" s="117" t="n">
        <f aca="false">IFERROR(S27/$K$2-1,"")</f>
        <v>0.920914603381057</v>
      </c>
      <c r="T28" s="117" t="n">
        <f aca="false">IFERROR(T27/$K$2-1,"")</f>
        <v>1.20433378506719</v>
      </c>
      <c r="Z28" s="1" t="s">
        <v>680</v>
      </c>
      <c r="AA28" s="117"/>
      <c r="AB28" s="117"/>
      <c r="AC28" s="117"/>
      <c r="AD28" s="117" t="n">
        <f aca="false">IFERROR(AD27/$K$2-1,"")</f>
        <v>-0.0565766161900929</v>
      </c>
      <c r="AE28" s="117" t="n">
        <f aca="false">IFERROR(AE27/$K$2-1,"")</f>
        <v>0.0127022409217898</v>
      </c>
      <c r="AF28" s="117" t="n">
        <f aca="false">IFERROR(AF27/$K$2-1,"")</f>
        <v>0.0837004155404448</v>
      </c>
    </row>
    <row r="29" customFormat="false" ht="15" hidden="false" customHeight="true" outlineLevel="0" collapsed="false">
      <c r="B29" s="93" t="s">
        <v>681</v>
      </c>
      <c r="C29" s="118"/>
      <c r="D29" s="118"/>
      <c r="E29" s="118"/>
      <c r="F29" s="118" t="n">
        <f aca="false">IFERROR((F27/$K$2)^(1/((DATE(2028-1,12,31)-$K$3)/365.25))-1,"")</f>
        <v>0.251152219543072</v>
      </c>
      <c r="G29" s="118" t="n">
        <f aca="false">IFERROR((G27/$K$2)^(1/((DATE(2029-1,12,31)-$K$3)/365.25))-1,"")</f>
        <v>0.186323929205622</v>
      </c>
      <c r="H29" s="118" t="n">
        <f aca="false">IFERROR((H27/$K$2)^(1/((DATE(2030-1,12,31)-$K$3)/365.25))-1,"")</f>
        <v>0.161696060930557</v>
      </c>
      <c r="N29" s="93" t="s">
        <v>681</v>
      </c>
      <c r="O29" s="118"/>
      <c r="P29" s="118"/>
      <c r="Q29" s="118"/>
      <c r="R29" s="118" t="n">
        <f aca="false">IFERROR((R27/$K$2)^(1/((DATE(2028-1,12,31)-$K$3)/365.25))-1,"")</f>
        <v>0.51552641305181</v>
      </c>
      <c r="S29" s="118" t="n">
        <f aca="false">IFERROR((S27/$K$2)^(1/((DATE(2029-1,12,31)-$K$3)/365.25))-1,"")</f>
        <v>0.338892779852835</v>
      </c>
      <c r="T29" s="118" t="n">
        <f aca="false">IFERROR((T27/$K$2)^(1/((DATE(2030-1,12,31)-$K$3)/365.25))-1,"")</f>
        <v>0.276662754339186</v>
      </c>
      <c r="Z29" s="93" t="s">
        <v>681</v>
      </c>
      <c r="AA29" s="118"/>
      <c r="AB29" s="118"/>
      <c r="AC29" s="118"/>
      <c r="AD29" s="118" t="n">
        <f aca="false">IFERROR((AD27/$K$2)^(1/((DATE(2028-1,12,31)-$K$3)/365.25))-1,"")</f>
        <v>-0.0460716836442817</v>
      </c>
      <c r="AE29" s="118" t="n">
        <f aca="false">IFERROR((AE27/$K$2)^(1/((DATE(2029-1,12,31)-$K$3)/365.25))-1,"")</f>
        <v>0.00565888239532986</v>
      </c>
      <c r="AF29" s="118" t="n">
        <f aca="false">IFERROR((AF27/$K$2)^(1/((DATE(2030-1,12,31)-$K$3)/365.25))-1,"")</f>
        <v>0.025149748618112</v>
      </c>
    </row>
    <row r="31" customFormat="false" ht="15" hidden="false" customHeight="true" outlineLevel="0" collapsed="false">
      <c r="B31" s="99" t="s">
        <v>682</v>
      </c>
      <c r="C31" s="100" t="n">
        <f aca="false">Model!BV265</f>
        <v>1219.703</v>
      </c>
      <c r="D31" s="101" t="n">
        <f aca="false">Model!CA265</f>
        <v>1353.951</v>
      </c>
      <c r="E31" s="101" t="n">
        <f aca="false">Model!CB265</f>
        <v>1727.16773606155</v>
      </c>
      <c r="F31" s="101" t="n">
        <f aca="false">Model!CC265</f>
        <v>1887.1776133613</v>
      </c>
      <c r="G31" s="101" t="n">
        <f aca="false">Model!CD265</f>
        <v>2027.71212254468</v>
      </c>
      <c r="H31" s="101" t="n">
        <f aca="false">Model!CE265</f>
        <v>2167.31559057455</v>
      </c>
      <c r="I31" s="102" t="n">
        <f aca="false">IFERROR((H31/C31)^(1/5)-1,"n/m")</f>
        <v>0.121846952752132</v>
      </c>
      <c r="N31" s="99" t="s">
        <v>682</v>
      </c>
      <c r="O31" s="100" t="n">
        <v>1219.703</v>
      </c>
      <c r="P31" s="101" t="n">
        <v>1378.951</v>
      </c>
      <c r="Q31" s="101" t="n">
        <v>1855.68033639204</v>
      </c>
      <c r="R31" s="101" t="n">
        <v>2073.66634475354</v>
      </c>
      <c r="S31" s="101" t="n">
        <v>2284.08914436419</v>
      </c>
      <c r="T31" s="101" t="n">
        <v>2499.55544281886</v>
      </c>
      <c r="U31" s="102" t="n">
        <v>0.154308082093015</v>
      </c>
      <c r="Z31" s="99" t="s">
        <v>682</v>
      </c>
      <c r="AA31" s="100" t="n">
        <v>1219.703</v>
      </c>
      <c r="AB31" s="101" t="n">
        <v>1328.951</v>
      </c>
      <c r="AC31" s="101" t="n">
        <v>1602.06705318316</v>
      </c>
      <c r="AD31" s="101" t="n">
        <v>1706.85711948585</v>
      </c>
      <c r="AE31" s="101" t="n">
        <v>1782.86128238394</v>
      </c>
      <c r="AF31" s="101" t="n">
        <v>1854.31800131439</v>
      </c>
      <c r="AG31" s="102" t="n">
        <v>0.0873917268848765</v>
      </c>
    </row>
    <row r="32" customFormat="false" ht="15" hidden="false" customHeight="true" outlineLevel="0" collapsed="false">
      <c r="B32" s="103" t="s">
        <v>683</v>
      </c>
      <c r="C32" s="108" t="n">
        <f aca="false">IFERROR(C31/C9,"")</f>
        <v>0.128838486455197</v>
      </c>
      <c r="D32" s="109" t="n">
        <f aca="false">IFERROR(D31/D9,"")</f>
        <v>0.134922869955157</v>
      </c>
      <c r="E32" s="109" t="n">
        <f aca="false">IFERROR(E31/E9,"")</f>
        <v>0.162125589564173</v>
      </c>
      <c r="F32" s="109" t="n">
        <f aca="false">IFERROR(F31/F9,"")</f>
        <v>0.164003117325961</v>
      </c>
      <c r="G32" s="109" t="n">
        <f aca="false">IFERROR(G31/G9,"")</f>
        <v>0.163288623602419</v>
      </c>
      <c r="H32" s="109" t="n">
        <f aca="false">IFERROR(H31/H9,"")</f>
        <v>0.162383766812465</v>
      </c>
      <c r="J32" s="110" t="n">
        <f aca="false">IFERROR(AVERAGE(Model!C267,Model!D267,Model!E267,Model!F267,Model!G267,Model!H267,Model!I267,Model!N267,Model!S267,Model!X267,Model!AC267,Model!AH267,Model!AM267,Model!AR267,Model!AW267,Model!BB267,Model!BG267,Model!BL267,Model!BQ267,Model!BV267),"")</f>
        <v>0.146230962368367</v>
      </c>
      <c r="K32" s="110" t="n">
        <f aca="false">IFERROR(MIN(Model!C267,Model!D267,Model!E267,Model!F267,Model!G267,Model!H267,Model!I267,Model!N267,Model!S267,Model!X267,Model!AC267,Model!AH267,Model!AM267,Model!AR267,Model!AW267,Model!BB267,Model!BG267,Model!BL267,Model!BQ267,Model!BV267),"")</f>
        <v>0.098936821690465</v>
      </c>
      <c r="L32" s="110" t="n">
        <f aca="false">IFERROR(MAX(Model!C267,Model!D267,Model!E267,Model!F267,Model!G267,Model!H267,Model!I267,Model!N267,Model!S267,Model!X267,Model!AC267,Model!AH267,Model!AM267,Model!AR267,Model!AW267,Model!BB267,Model!BG267,Model!BL267,Model!BQ267,Model!BV267),"")</f>
        <v>0.175726257942153</v>
      </c>
      <c r="N32" s="103" t="s">
        <v>683</v>
      </c>
      <c r="O32" s="108" t="n">
        <v>0.128838486455197</v>
      </c>
      <c r="P32" s="109" t="n">
        <v>0.137209054726368</v>
      </c>
      <c r="Q32" s="109" t="n">
        <v>0.169274599861278</v>
      </c>
      <c r="R32" s="109" t="n">
        <v>0.169491441831583</v>
      </c>
      <c r="S32" s="109" t="n">
        <v>0.167949168951542</v>
      </c>
      <c r="T32" s="109" t="n">
        <v>0.166411264978771</v>
      </c>
      <c r="V32" s="110" t="n">
        <v>0.146230962368367</v>
      </c>
      <c r="W32" s="110" t="n">
        <v>0.098936821690465</v>
      </c>
      <c r="X32" s="110" t="n">
        <v>0.175726257942153</v>
      </c>
      <c r="Z32" s="103" t="s">
        <v>683</v>
      </c>
      <c r="AA32" s="108" t="n">
        <v>0.128838486455197</v>
      </c>
      <c r="AB32" s="109" t="n">
        <v>0.132629840319361</v>
      </c>
      <c r="AC32" s="109" t="n">
        <v>0.154869952399176</v>
      </c>
      <c r="AD32" s="109" t="n">
        <v>0.158170239430982</v>
      </c>
      <c r="AE32" s="109" t="n">
        <v>0.158171282853098</v>
      </c>
      <c r="AF32" s="109" t="n">
        <v>0.157860032896305</v>
      </c>
      <c r="AH32" s="110" t="n">
        <v>0.146230962368367</v>
      </c>
      <c r="AI32" s="110" t="n">
        <v>0.098936821690465</v>
      </c>
      <c r="AJ32" s="110" t="n">
        <v>0.175726257942153</v>
      </c>
    </row>
    <row r="33" customFormat="false" ht="15" hidden="false" customHeight="true" outlineLevel="0" collapsed="false">
      <c r="B33" s="103" t="s">
        <v>684</v>
      </c>
      <c r="C33" s="119" t="n">
        <f aca="false">IFERROR(C31/C21,"")</f>
        <v>4.72795723859462</v>
      </c>
      <c r="D33" s="120" t="n">
        <f aca="false">IFERROR(D31/D21,"")</f>
        <v>5.33648890296804</v>
      </c>
      <c r="E33" s="120" t="n">
        <f aca="false">IFERROR(E31/E21,"")</f>
        <v>6.9828791642261</v>
      </c>
      <c r="F33" s="120" t="n">
        <f aca="false">IFERROR(F31/F21,"")</f>
        <v>7.8226430111068</v>
      </c>
      <c r="G33" s="120" t="n">
        <f aca="false">IFERROR(G31/G21,"")</f>
        <v>8.63816113913795</v>
      </c>
      <c r="H33" s="120" t="n">
        <f aca="false">IFERROR(H31/H21,"")</f>
        <v>9.50469970956704</v>
      </c>
      <c r="N33" s="103" t="s">
        <v>684</v>
      </c>
      <c r="O33" s="119" t="n">
        <v>4.72795723859462</v>
      </c>
      <c r="P33" s="120" t="n">
        <v>5.44194341747195</v>
      </c>
      <c r="Q33" s="120" t="n">
        <v>7.62444492309219</v>
      </c>
      <c r="R33" s="120" t="n">
        <v>8.85863067860554</v>
      </c>
      <c r="S33" s="120" t="n">
        <v>10.0957566514597</v>
      </c>
      <c r="T33" s="120" t="n">
        <v>11.4817227785507</v>
      </c>
      <c r="Z33" s="103" t="s">
        <v>684</v>
      </c>
      <c r="AA33" s="119" t="n">
        <v>4.72795723859462</v>
      </c>
      <c r="AB33" s="120" t="n">
        <v>5.23130220310749</v>
      </c>
      <c r="AC33" s="120" t="n">
        <v>6.38288766926212</v>
      </c>
      <c r="AD33" s="120" t="n">
        <v>6.89557604570533</v>
      </c>
      <c r="AE33" s="120" t="n">
        <v>7.37369449464572</v>
      </c>
      <c r="AF33" s="120" t="n">
        <v>7.84914920626178</v>
      </c>
    </row>
    <row r="34" customFormat="false" ht="15" hidden="false" customHeight="true" outlineLevel="0" collapsed="false">
      <c r="B34" s="103" t="s">
        <v>685</v>
      </c>
      <c r="E34" s="121"/>
      <c r="F34" s="121" t="n">
        <f aca="false">IFERROR(F33/F$27,"")</f>
        <v>0.0382706721637239</v>
      </c>
      <c r="G34" s="121" t="n">
        <f aca="false">IFERROR(G33/G$27,"")</f>
        <v>0.0380285612516404</v>
      </c>
      <c r="H34" s="121" t="n">
        <f aca="false">IFERROR(H33/H$27,"")</f>
        <v>0.0377535877359871</v>
      </c>
      <c r="N34" s="103" t="s">
        <v>685</v>
      </c>
      <c r="Q34" s="121"/>
      <c r="R34" s="121" t="n">
        <f aca="false">IFERROR(R33/R$27,"")</f>
        <v>0.0342042731222672</v>
      </c>
      <c r="S34" s="121" t="n">
        <f aca="false">IFERROR(S33/S$27,"")</f>
        <v>0.0339077613162715</v>
      </c>
      <c r="T34" s="121" t="n">
        <f aca="false">IFERROR(T33/T$27,"")</f>
        <v>0.0336045436181987</v>
      </c>
      <c r="Z34" s="103" t="s">
        <v>685</v>
      </c>
      <c r="AC34" s="121"/>
      <c r="AD34" s="121" t="n">
        <f aca="false">IFERROR(AD33/AD$27,"")</f>
        <v>0.0471554851778099</v>
      </c>
      <c r="AE34" s="121" t="n">
        <f aca="false">IFERROR(AE33/AE$27,"")</f>
        <v>0.0469755280711138</v>
      </c>
      <c r="AF34" s="121" t="n">
        <f aca="false">IFERROR(AF33/AF$27,"")</f>
        <v>0.0467284791740242</v>
      </c>
    </row>
    <row r="35" customFormat="false" ht="15" hidden="false" customHeight="true" outlineLevel="0" collapsed="false">
      <c r="B35" s="99" t="s">
        <v>686</v>
      </c>
      <c r="C35" s="100" t="n">
        <f aca="false">Model!BV289</f>
        <v>1259.293</v>
      </c>
      <c r="D35" s="101" t="n">
        <f aca="false">Model!CA289</f>
        <v>1422.166</v>
      </c>
      <c r="E35" s="101" t="n">
        <f aca="false">Model!CB289</f>
        <v>1727.16773606155</v>
      </c>
      <c r="F35" s="101" t="n">
        <f aca="false">Model!CC289</f>
        <v>1887.1776133613</v>
      </c>
      <c r="G35" s="101" t="n">
        <f aca="false">Model!CD289</f>
        <v>2027.71212254468</v>
      </c>
      <c r="H35" s="101" t="n">
        <f aca="false">Model!CE289</f>
        <v>2167.31559057455</v>
      </c>
      <c r="I35" s="102" t="n">
        <f aca="false">IFERROR((H35/C35)^(1/5)-1,"n/m")</f>
        <v>0.114702751594796</v>
      </c>
      <c r="N35" s="99" t="s">
        <v>686</v>
      </c>
      <c r="O35" s="100" t="n">
        <v>1259.293</v>
      </c>
      <c r="P35" s="101" t="n">
        <v>1447.166</v>
      </c>
      <c r="Q35" s="101" t="n">
        <v>1855.68033639204</v>
      </c>
      <c r="R35" s="101" t="n">
        <v>2073.66634475354</v>
      </c>
      <c r="S35" s="101" t="n">
        <v>2284.08914436419</v>
      </c>
      <c r="T35" s="101" t="n">
        <v>2499.55544281886</v>
      </c>
      <c r="U35" s="102" t="n">
        <v>0.146957160368994</v>
      </c>
      <c r="Z35" s="99" t="s">
        <v>686</v>
      </c>
      <c r="AA35" s="100" t="n">
        <v>1259.293</v>
      </c>
      <c r="AB35" s="101" t="n">
        <v>1397.166</v>
      </c>
      <c r="AC35" s="101" t="n">
        <v>1602.06705318316</v>
      </c>
      <c r="AD35" s="101" t="n">
        <v>1706.85711948585</v>
      </c>
      <c r="AE35" s="101" t="n">
        <v>1782.86128238394</v>
      </c>
      <c r="AF35" s="101" t="n">
        <v>1854.31800131439</v>
      </c>
      <c r="AG35" s="102" t="n">
        <v>0.0804669451981841</v>
      </c>
    </row>
    <row r="36" customFormat="false" ht="15" hidden="false" customHeight="true" outlineLevel="0" collapsed="false">
      <c r="B36" s="103" t="s">
        <v>687</v>
      </c>
      <c r="C36" s="108" t="n">
        <f aca="false">IFERROR(C35/C9,"")</f>
        <v>0.133020419006614</v>
      </c>
      <c r="D36" s="109" t="n">
        <f aca="false">IFERROR(D35/D9,"")</f>
        <v>0.14172057797708</v>
      </c>
      <c r="E36" s="109" t="n">
        <f aca="false">IFERROR(E35/E9,"")</f>
        <v>0.162125589564173</v>
      </c>
      <c r="F36" s="109" t="n">
        <f aca="false">IFERROR(F35/F9,"")</f>
        <v>0.164003117325961</v>
      </c>
      <c r="G36" s="109" t="n">
        <f aca="false">IFERROR(G35/G9,"")</f>
        <v>0.163288623602419</v>
      </c>
      <c r="H36" s="109" t="n">
        <f aca="false">IFERROR(H35/H9,"")</f>
        <v>0.162383766812465</v>
      </c>
      <c r="J36" s="110" t="n">
        <f aca="false">IFERROR(AVERAGE(Model!C290,Model!D290,Model!E290,Model!F290,Model!G290,Model!H290,Model!I290,Model!N290,Model!S290,Model!X290,Model!AC290,Model!AH290,Model!AM290,Model!AR290,Model!AW290,Model!BB290,Model!BG290,Model!BL290,Model!BQ290,Model!BV290),"")</f>
        <v>0.15439219692568</v>
      </c>
      <c r="K36" s="110" t="n">
        <f aca="false">IFERROR(MIN(Model!C290,Model!D290,Model!E290,Model!F290,Model!G290,Model!H290,Model!I290,Model!N290,Model!S290,Model!X290,Model!AC290,Model!AH290,Model!AM290,Model!AR290,Model!AW290,Model!BB290,Model!BG290,Model!BL290,Model!BQ290,Model!BV290),"")</f>
        <v>0.110773561068332</v>
      </c>
      <c r="L36" s="110" t="n">
        <f aca="false">IFERROR(MAX(Model!C290,Model!D290,Model!E290,Model!F290,Model!G290,Model!H290,Model!I290,Model!N290,Model!S290,Model!X290,Model!AC290,Model!AH290,Model!AM290,Model!AR290,Model!AW290,Model!BB290,Model!BG290,Model!BL290,Model!BQ290,Model!BV290),"")</f>
        <v>0.178755747834475</v>
      </c>
      <c r="N36" s="103" t="s">
        <v>687</v>
      </c>
      <c r="O36" s="108" t="n">
        <v>0.133020419006614</v>
      </c>
      <c r="P36" s="109" t="n">
        <v>0.143996616915423</v>
      </c>
      <c r="Q36" s="109" t="n">
        <v>0.169274599861278</v>
      </c>
      <c r="R36" s="109" t="n">
        <v>0.169491441831583</v>
      </c>
      <c r="S36" s="109" t="n">
        <v>0.167949168951542</v>
      </c>
      <c r="T36" s="109" t="n">
        <v>0.166411264978771</v>
      </c>
      <c r="V36" s="110" t="n">
        <v>0.15439219692568</v>
      </c>
      <c r="W36" s="110" t="n">
        <v>0.110773561068332</v>
      </c>
      <c r="X36" s="110" t="n">
        <v>0.178755747834475</v>
      </c>
      <c r="Z36" s="103" t="s">
        <v>687</v>
      </c>
      <c r="AA36" s="108" t="n">
        <v>0.133020419006614</v>
      </c>
      <c r="AB36" s="109" t="n">
        <v>0.139437724550898</v>
      </c>
      <c r="AC36" s="109" t="n">
        <v>0.154869952399176</v>
      </c>
      <c r="AD36" s="109" t="n">
        <v>0.158170239430982</v>
      </c>
      <c r="AE36" s="109" t="n">
        <v>0.158171282853098</v>
      </c>
      <c r="AF36" s="109" t="n">
        <v>0.157860032896305</v>
      </c>
      <c r="AH36" s="110" t="n">
        <v>0.15439219692568</v>
      </c>
      <c r="AI36" s="110" t="n">
        <v>0.110773561068332</v>
      </c>
      <c r="AJ36" s="110" t="n">
        <v>0.178755747834475</v>
      </c>
    </row>
    <row r="38" customFormat="false" ht="15" hidden="false" customHeight="true" outlineLevel="0" collapsed="false">
      <c r="B38" s="99" t="s">
        <v>688</v>
      </c>
      <c r="C38" s="100" t="n">
        <f aca="false">Model!BV420</f>
        <v>8773.803</v>
      </c>
      <c r="D38" s="101" t="n">
        <f aca="false">Model!CA420</f>
        <v>9053.98128667306</v>
      </c>
      <c r="E38" s="101" t="n">
        <f aca="false">Model!CB420</f>
        <v>9827.6218021534</v>
      </c>
      <c r="F38" s="101" t="n">
        <f aca="false">Model!CC420</f>
        <v>10643.0210339663</v>
      </c>
      <c r="G38" s="101" t="n">
        <f aca="false">Model!CD420</f>
        <v>11515.3056130214</v>
      </c>
      <c r="H38" s="101" t="n">
        <f aca="false">Model!CE420</f>
        <v>12407.9497563342</v>
      </c>
      <c r="N38" s="99" t="s">
        <v>688</v>
      </c>
      <c r="O38" s="100" t="n">
        <v>8773.803</v>
      </c>
      <c r="P38" s="101" t="n">
        <v>9228.49580280209</v>
      </c>
      <c r="Q38" s="101" t="n">
        <v>11264.5839418266</v>
      </c>
      <c r="R38" s="101" t="n">
        <v>12575.9426447678</v>
      </c>
      <c r="S38" s="101" t="n">
        <v>13989.0688548633</v>
      </c>
      <c r="T38" s="101" t="n">
        <v>15465.1558430376</v>
      </c>
      <c r="Z38" s="99" t="s">
        <v>688</v>
      </c>
      <c r="AA38" s="100" t="n">
        <v>8773.803</v>
      </c>
      <c r="AB38" s="101" t="n">
        <v>8879.46677054403</v>
      </c>
      <c r="AC38" s="101" t="n">
        <v>8489.93108737172</v>
      </c>
      <c r="AD38" s="101" t="n">
        <v>8897.61303878876</v>
      </c>
      <c r="AE38" s="101" t="n">
        <v>9335.24937972484</v>
      </c>
      <c r="AF38" s="101" t="n">
        <v>9770.26856035105</v>
      </c>
    </row>
    <row r="39" customFormat="false" ht="15" hidden="false" customHeight="true" outlineLevel="0" collapsed="false">
      <c r="B39" s="103" t="s">
        <v>689</v>
      </c>
      <c r="C39" s="122" t="n">
        <f aca="false">IFERROR(C38/C12,"")</f>
        <v>2.80801682159539</v>
      </c>
      <c r="D39" s="123" t="n">
        <f aca="false">IFERROR(D38/D12,"")</f>
        <v>2.71483696751816</v>
      </c>
      <c r="E39" s="123" t="n">
        <f aca="false">IFERROR(E38/E12,"")</f>
        <v>2.75</v>
      </c>
      <c r="F39" s="123" t="n">
        <f aca="false">IFERROR(F38/F12,"")</f>
        <v>2.75</v>
      </c>
      <c r="G39" s="123" t="n">
        <f aca="false">IFERROR(G38/G12,"")</f>
        <v>2.75</v>
      </c>
      <c r="H39" s="123" t="n">
        <f aca="false">IFERROR(H38/H12,"")</f>
        <v>2.75</v>
      </c>
      <c r="N39" s="103" t="s">
        <v>689</v>
      </c>
      <c r="O39" s="122" t="n">
        <f aca="false">IFERROR(O38/O12,"")</f>
        <v>2.8080168215954</v>
      </c>
      <c r="P39" s="123" t="n">
        <f aca="false">IFERROR(P38/P12,"")</f>
        <v>2.76302269544973</v>
      </c>
      <c r="Q39" s="123" t="n">
        <f aca="false">IFERROR(Q38/Q12,"")</f>
        <v>3</v>
      </c>
      <c r="R39" s="123" t="n">
        <f aca="false">IFERROR(R38/R12,"")</f>
        <v>3</v>
      </c>
      <c r="S39" s="123" t="n">
        <f aca="false">IFERROR(S38/S12,"")</f>
        <v>2.99999999999999</v>
      </c>
      <c r="T39" s="123" t="n">
        <f aca="false">IFERROR(T38/T12,"")</f>
        <v>2.99999999999999</v>
      </c>
      <c r="Z39" s="103" t="s">
        <v>689</v>
      </c>
      <c r="AA39" s="122" t="n">
        <f aca="false">IFERROR(AA38/AA12,"")</f>
        <v>2.8080168215954</v>
      </c>
      <c r="AB39" s="123" t="n">
        <f aca="false">IFERROR(AB38/AB12,"")</f>
        <v>2.66650653770091</v>
      </c>
      <c r="AC39" s="123" t="n">
        <f aca="false">IFERROR(AC38/AC12,"")</f>
        <v>2.5</v>
      </c>
      <c r="AD39" s="123" t="n">
        <f aca="false">IFERROR(AD38/AD12,"")</f>
        <v>2.5</v>
      </c>
      <c r="AE39" s="123" t="n">
        <f aca="false">IFERROR(AE38/AE12,"")</f>
        <v>2.5</v>
      </c>
      <c r="AF39" s="123" t="n">
        <f aca="false">IFERROR(AF38/AF12,"")</f>
        <v>2.5</v>
      </c>
    </row>
    <row r="41" customFormat="false" ht="15" hidden="false" customHeight="true" outlineLevel="0" collapsed="false">
      <c r="B41" s="99" t="s">
        <v>690</v>
      </c>
      <c r="C41" s="106" t="n">
        <f aca="false">Model!BV403</f>
        <v>0.0844251764144939</v>
      </c>
      <c r="D41" s="107" t="n">
        <f aca="false">Model!CA403</f>
        <v>0.0916121756499118</v>
      </c>
      <c r="E41" s="107" t="n">
        <f aca="false">Model!CB403</f>
        <v>0.0939915330530957</v>
      </c>
      <c r="F41" s="107" t="n">
        <f aca="false">Model!CC403</f>
        <v>0.0985764484607708</v>
      </c>
      <c r="G41" s="107" t="n">
        <f aca="false">Model!CD403</f>
        <v>0.103468358459288</v>
      </c>
      <c r="H41" s="107" t="n">
        <f aca="false">Model!CE403</f>
        <v>0.108248660148734</v>
      </c>
      <c r="J41" s="110" t="n">
        <f aca="false">IFERROR(AVERAGE(Model!C403,Model!D403,Model!E403,Model!F403,Model!G403,Model!H403,Model!I403,Model!N403,Model!S403,Model!X403,Model!AC403,Model!AH403,Model!AM403,Model!AR403,Model!AW403,Model!BB403,Model!BG403,Model!BL403,Model!BQ403,Model!BV403),"")</f>
        <v>0.0735802374184026</v>
      </c>
      <c r="K41" s="110" t="n">
        <f aca="false">IFERROR(MIN(Model!C403,Model!D403,Model!E403,Model!F403,Model!G403,Model!H403,Model!I403,Model!N403,Model!S403,Model!X403,Model!AC403,Model!AH403,Model!AM403,Model!AR403,Model!AW403,Model!BB403,Model!BG403,Model!BL403,Model!BQ403,Model!BV403),"")</f>
        <v>0.0455708918305349</v>
      </c>
      <c r="L41" s="110" t="n">
        <f aca="false">IFERROR(MAX(Model!C403,Model!D403,Model!E403,Model!F403,Model!G403,Model!H403,Model!I403,Model!N403,Model!S403,Model!X403,Model!AC403,Model!AH403,Model!AM403,Model!AR403,Model!AW403,Model!BB403,Model!BG403,Model!BL403,Model!BQ403,Model!BV403),"")</f>
        <v>0.0964213847091385</v>
      </c>
      <c r="N41" s="99" t="s">
        <v>690</v>
      </c>
      <c r="O41" s="106" t="n">
        <v>0.0844251764144939</v>
      </c>
      <c r="P41" s="107" t="n">
        <v>0.0919502865915132</v>
      </c>
      <c r="Q41" s="107" t="n">
        <v>0.0975824606736191</v>
      </c>
      <c r="R41" s="107" t="n">
        <v>0.102949133122958</v>
      </c>
      <c r="S41" s="107" t="n">
        <v>0.108730966158516</v>
      </c>
      <c r="T41" s="107" t="n">
        <v>0.114524006279173</v>
      </c>
      <c r="V41" s="110" t="n">
        <v>0.0735802374184026</v>
      </c>
      <c r="W41" s="110" t="n">
        <v>0.0455708918305349</v>
      </c>
      <c r="X41" s="110" t="n">
        <v>0.0964213847091385</v>
      </c>
      <c r="Z41" s="99" t="s">
        <v>690</v>
      </c>
      <c r="AA41" s="106" t="n">
        <v>0.0844251764144939</v>
      </c>
      <c r="AB41" s="107" t="n">
        <v>0.0912748975768268</v>
      </c>
      <c r="AC41" s="107" t="n">
        <v>0.0903659194567623</v>
      </c>
      <c r="AD41" s="107" t="n">
        <v>0.0941756344742259</v>
      </c>
      <c r="AE41" s="107" t="n">
        <v>0.0982388964601244</v>
      </c>
      <c r="AF41" s="107" t="n">
        <v>0.102124621135336</v>
      </c>
      <c r="AH41" s="110" t="n">
        <v>0.0735802374184026</v>
      </c>
      <c r="AI41" s="110" t="n">
        <v>0.0455708918305349</v>
      </c>
      <c r="AJ41" s="110" t="n">
        <v>0.0964213847091385</v>
      </c>
    </row>
    <row r="42" customFormat="false" ht="15" hidden="false" customHeight="true" outlineLevel="0" collapsed="false">
      <c r="B42" s="99" t="s">
        <v>691</v>
      </c>
      <c r="C42" s="106" t="n">
        <f aca="false">Model!BV414</f>
        <v>0.166778205757968</v>
      </c>
      <c r="D42" s="107" t="n">
        <f aca="false">Model!CA414</f>
        <v>0.172611282103641</v>
      </c>
      <c r="E42" s="107" t="n">
        <f aca="false">Model!CB414</f>
        <v>0.176791676222465</v>
      </c>
      <c r="F42" s="107" t="n">
        <f aca="false">Model!CC414</f>
        <v>0.185029287940935</v>
      </c>
      <c r="G42" s="107" t="n">
        <f aca="false">Model!CD414</f>
        <v>0.193519601971087</v>
      </c>
      <c r="H42" s="107" t="n">
        <f aca="false">Model!CE414</f>
        <v>0.201426167526508</v>
      </c>
      <c r="J42" s="110" t="n">
        <f aca="false">IFERROR(AVERAGE(Model!C414,Model!D414,Model!E414,Model!F414,Model!G414,Model!H414,Model!I414,Model!N414,Model!S414,Model!X414,Model!AC414,Model!AH414,Model!AM414,Model!AR414,Model!AW414,Model!BB414,Model!BG414,Model!BL414,Model!BQ414,Model!BV414),"")</f>
        <v>0.129975413210765</v>
      </c>
      <c r="K42" s="110" t="n">
        <f aca="false">IFERROR(MIN(Model!C414,Model!D414,Model!E414,Model!F414,Model!G414,Model!H414,Model!I414,Model!N414,Model!S414,Model!X414,Model!AC414,Model!AH414,Model!AM414,Model!AR414,Model!AW414,Model!BB414,Model!BG414,Model!BL414,Model!BQ414,Model!BV414),"")</f>
        <v>0.0802147964201407</v>
      </c>
      <c r="L42" s="110" t="n">
        <f aca="false">IFERROR(MAX(Model!C414,Model!D414,Model!E414,Model!F414,Model!G414,Model!H414,Model!I414,Model!N414,Model!S414,Model!X414,Model!AC414,Model!AH414,Model!AM414,Model!AR414,Model!AW414,Model!BB414,Model!BG414,Model!BL414,Model!BQ414,Model!BV414),"")</f>
        <v>0.175476599481613</v>
      </c>
      <c r="N42" s="99" t="s">
        <v>691</v>
      </c>
      <c r="O42" s="106" t="n">
        <v>0.166778205757968</v>
      </c>
      <c r="P42" s="107" t="n">
        <v>0.17343476264934</v>
      </c>
      <c r="Q42" s="107" t="n">
        <v>0.185467983207934</v>
      </c>
      <c r="R42" s="107" t="n">
        <v>0.196897468458382</v>
      </c>
      <c r="S42" s="107" t="n">
        <v>0.208585281400614</v>
      </c>
      <c r="T42" s="107" t="n">
        <v>0.219700138799331</v>
      </c>
      <c r="V42" s="110" t="n">
        <v>0.129975413210765</v>
      </c>
      <c r="W42" s="110" t="n">
        <v>0.0802147964201407</v>
      </c>
      <c r="X42" s="110" t="n">
        <v>0.175476599481613</v>
      </c>
      <c r="Z42" s="99" t="s">
        <v>691</v>
      </c>
      <c r="AA42" s="106" t="n">
        <v>0.166778205757968</v>
      </c>
      <c r="AB42" s="107" t="n">
        <v>0.171791591363661</v>
      </c>
      <c r="AC42" s="107" t="n">
        <v>0.168143469905669</v>
      </c>
      <c r="AD42" s="107" t="n">
        <v>0.17323918028123</v>
      </c>
      <c r="AE42" s="107" t="n">
        <v>0.178638207782874</v>
      </c>
      <c r="AF42" s="107" t="n">
        <v>0.183515552742702</v>
      </c>
      <c r="AH42" s="110" t="n">
        <v>0.129975413210765</v>
      </c>
      <c r="AI42" s="110" t="n">
        <v>0.0802147964201407</v>
      </c>
      <c r="AJ42" s="110" t="n">
        <v>0.175476599481613</v>
      </c>
    </row>
    <row r="44" customFormat="false" ht="15" hidden="false" customHeight="true" outlineLevel="0" collapsed="false">
      <c r="B44" s="103" t="s">
        <v>692</v>
      </c>
      <c r="E44" s="124"/>
      <c r="F44" s="124" t="n">
        <f aca="false">F27*F21</f>
        <v>49311.3265763364</v>
      </c>
      <c r="G44" s="124" t="n">
        <f aca="false">G27*G21</f>
        <v>53320.7688065562</v>
      </c>
      <c r="H44" s="124" t="n">
        <f aca="false">H27*H21</f>
        <v>57406.8776120221</v>
      </c>
      <c r="N44" s="103" t="s">
        <v>692</v>
      </c>
      <c r="Q44" s="124"/>
      <c r="R44" s="124" t="n">
        <f aca="false">R27*R21</f>
        <v>60625.9439380857</v>
      </c>
      <c r="S44" s="124" t="n">
        <f aca="false">S27*S21</f>
        <v>67361.8385790661</v>
      </c>
      <c r="T44" s="124" t="n">
        <f aca="false">T27*T21</f>
        <v>74381.4726727974</v>
      </c>
      <c r="Z44" s="103" t="s">
        <v>692</v>
      </c>
      <c r="AC44" s="124"/>
      <c r="AD44" s="124" t="n">
        <f aca="false">AD27*AD21</f>
        <v>36196.3642840228</v>
      </c>
      <c r="AE44" s="124" t="n">
        <f aca="false">AE27*AE21</f>
        <v>37952.9801066837</v>
      </c>
      <c r="AF44" s="124" t="n">
        <f aca="false">AF27*AF21</f>
        <v>39682.8237103248</v>
      </c>
    </row>
    <row r="45" customFormat="false" ht="15" hidden="false" customHeight="true" outlineLevel="0" collapsed="false">
      <c r="B45" s="103" t="s">
        <v>693</v>
      </c>
      <c r="E45" s="124"/>
      <c r="F45" s="124" t="n">
        <f aca="false">F38+Model!CC341</f>
        <v>10643.0210339663</v>
      </c>
      <c r="G45" s="124" t="n">
        <f aca="false">G38+Model!CD341</f>
        <v>11515.3056130214</v>
      </c>
      <c r="H45" s="124" t="n">
        <f aca="false">H38+Model!CE341</f>
        <v>12407.9497563342</v>
      </c>
      <c r="N45" s="103" t="s">
        <v>693</v>
      </c>
      <c r="Q45" s="124"/>
      <c r="R45" s="124" t="n">
        <f aca="false">R38+Model!CC341</f>
        <v>12575.9426447678</v>
      </c>
      <c r="S45" s="124" t="n">
        <f aca="false">S38+Model!CD341</f>
        <v>13989.0688548633</v>
      </c>
      <c r="T45" s="124" t="n">
        <f aca="false">T38+Model!CE341</f>
        <v>15465.1558430376</v>
      </c>
      <c r="Z45" s="103" t="s">
        <v>693</v>
      </c>
      <c r="AC45" s="124"/>
      <c r="AD45" s="124" t="n">
        <f aca="false">AD38+Model!CC341</f>
        <v>8897.61303878876</v>
      </c>
      <c r="AE45" s="124" t="n">
        <f aca="false">AE38+Model!CD341</f>
        <v>9335.24937972484</v>
      </c>
      <c r="AF45" s="124" t="n">
        <f aca="false">AF38+Model!CE341</f>
        <v>9770.26856035105</v>
      </c>
    </row>
    <row r="46" customFormat="false" ht="15" hidden="false" customHeight="true" outlineLevel="0" collapsed="false">
      <c r="B46" s="103" t="s">
        <v>694</v>
      </c>
      <c r="E46" s="124"/>
      <c r="F46" s="124" t="n">
        <f aca="false">F44+F45</f>
        <v>59954.3476103028</v>
      </c>
      <c r="G46" s="124" t="n">
        <f aca="false">G44+G45</f>
        <v>64836.0744195776</v>
      </c>
      <c r="H46" s="124" t="n">
        <f aca="false">H44+H45</f>
        <v>69814.8273683564</v>
      </c>
      <c r="N46" s="103" t="s">
        <v>694</v>
      </c>
      <c r="Q46" s="124"/>
      <c r="R46" s="124" t="n">
        <f aca="false">R44+R45</f>
        <v>73201.8865828535</v>
      </c>
      <c r="S46" s="124" t="n">
        <f aca="false">S44+S45</f>
        <v>81350.9074339294</v>
      </c>
      <c r="T46" s="124" t="n">
        <f aca="false">T44+T45</f>
        <v>89846.628515835</v>
      </c>
      <c r="Z46" s="103" t="s">
        <v>694</v>
      </c>
      <c r="AC46" s="124"/>
      <c r="AD46" s="124" t="n">
        <f aca="false">AD44+AD45</f>
        <v>45093.9773228116</v>
      </c>
      <c r="AE46" s="124" t="n">
        <f aca="false">AE44+AE45</f>
        <v>47288.2294864085</v>
      </c>
      <c r="AF46" s="124" t="n">
        <f aca="false">AF44+AF45</f>
        <v>49453.0922706759</v>
      </c>
    </row>
    <row r="47" customFormat="false" ht="15" hidden="false" customHeight="true" outlineLevel="0" collapsed="false">
      <c r="B47" s="103" t="s">
        <v>695</v>
      </c>
      <c r="E47" s="125"/>
      <c r="F47" s="125" t="n">
        <f aca="false">IFERROR(F46/F12,"")</f>
        <v>15.491321064024</v>
      </c>
      <c r="G47" s="125" t="n">
        <f aca="false">IFERROR(G46/G12,"")</f>
        <v>15.4836710935591</v>
      </c>
      <c r="H47" s="125" t="n">
        <f aca="false">IFERROR(H46/H12,"")</f>
        <v>15.4732070191507</v>
      </c>
      <c r="N47" s="103" t="s">
        <v>695</v>
      </c>
      <c r="Q47" s="125"/>
      <c r="R47" s="125" t="n">
        <f aca="false">IFERROR(R46/R12,"")</f>
        <v>17.4623617450997</v>
      </c>
      <c r="S47" s="125" t="n">
        <f aca="false">IFERROR(S46/S12,"")</f>
        <v>17.4459590437245</v>
      </c>
      <c r="T47" s="125" t="n">
        <f aca="false">IFERROR(T46/T12,"")</f>
        <v>17.4288502672187</v>
      </c>
      <c r="Z47" s="103" t="s">
        <v>695</v>
      </c>
      <c r="AC47" s="125"/>
      <c r="AD47" s="125" t="n">
        <f aca="false">IFERROR(AD46/AD12,"")</f>
        <v>12.670245695735</v>
      </c>
      <c r="AE47" s="125" t="n">
        <f aca="false">IFERROR(AE46/AE12,"")</f>
        <v>12.663890262298</v>
      </c>
      <c r="AF47" s="125" t="n">
        <f aca="false">IFERROR(AF46/AF12,"")</f>
        <v>12.6539746490088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D61" activeCellId="0" sqref="D61"/>
    </sheetView>
  </sheetViews>
  <sheetFormatPr defaultColWidth="8.57421875" defaultRowHeight="15" zeroHeight="false" outlineLevelRow="0" outlineLevelCol="0"/>
  <cols>
    <col collapsed="false" customWidth="true" hidden="false" outlineLevel="0" max="1" min="1" style="1" width="3.43"/>
    <col collapsed="false" customWidth="true" hidden="false" outlineLevel="0" max="2" min="2" style="1" width="55.29"/>
    <col collapsed="false" customWidth="true" hidden="false" outlineLevel="0" max="14" min="3" style="1" width="12.57"/>
    <col collapsed="false" customWidth="true" hidden="false" outlineLevel="0" max="15" min="15" style="1" width="2.28"/>
    <col collapsed="false" customWidth="true" hidden="false" outlineLevel="0" max="17" min="16" style="1" width="14.86"/>
  </cols>
  <sheetData>
    <row r="1" customFormat="false" ht="15" hidden="false" customHeight="false" outlineLevel="0" collapsed="false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customFormat="false" ht="24" hidden="false" customHeight="true" outlineLevel="0" collapsed="false">
      <c r="A2" s="126"/>
      <c r="B2" s="127" t="s">
        <v>696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6"/>
      <c r="P2" s="126"/>
      <c r="Q2" s="126"/>
    </row>
    <row r="3" customFormat="false" ht="15" hidden="false" customHeight="true" outlineLevel="0" collapsed="false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</row>
    <row r="4" customFormat="false" ht="15.75" hidden="false" customHeight="true" outlineLevel="0" collapsed="false">
      <c r="A4" s="126"/>
      <c r="B4" s="17" t="s">
        <v>697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26"/>
      <c r="P4" s="126"/>
      <c r="Q4" s="126"/>
    </row>
    <row r="5" customFormat="false" ht="15.75" hidden="false" customHeight="true" outlineLevel="0" collapsed="false">
      <c r="A5" s="126"/>
      <c r="B5" s="129" t="s">
        <v>698</v>
      </c>
      <c r="C5" s="130" t="n">
        <v>0.0425</v>
      </c>
      <c r="D5" s="131" t="s">
        <v>699</v>
      </c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customFormat="false" ht="15.75" hidden="false" customHeight="true" outlineLevel="0" collapsed="false">
      <c r="A6" s="126"/>
      <c r="B6" s="129" t="s">
        <v>700</v>
      </c>
      <c r="C6" s="130" t="n">
        <v>0.05</v>
      </c>
      <c r="D6" s="131" t="s">
        <v>701</v>
      </c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customFormat="false" ht="15.75" hidden="false" customHeight="true" outlineLevel="0" collapsed="false">
      <c r="A7" s="126"/>
      <c r="B7" s="129" t="s">
        <v>702</v>
      </c>
      <c r="C7" s="132" t="n">
        <v>0.8</v>
      </c>
      <c r="D7" s="131" t="s">
        <v>703</v>
      </c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customFormat="false" ht="15.75" hidden="false" customHeight="true" outlineLevel="0" collapsed="false">
      <c r="A8" s="126"/>
      <c r="B8" s="129" t="s">
        <v>704</v>
      </c>
      <c r="C8" s="133" t="n">
        <f aca="false">C5+C7*C6</f>
        <v>0.0825</v>
      </c>
      <c r="D8" s="131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customFormat="false" ht="15.75" hidden="false" customHeight="true" outlineLevel="0" collapsed="false">
      <c r="A9" s="126"/>
      <c r="B9" s="129" t="s">
        <v>705</v>
      </c>
      <c r="C9" s="130" t="n">
        <v>0.05</v>
      </c>
      <c r="D9" s="131" t="s">
        <v>706</v>
      </c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</row>
    <row r="10" customFormat="false" ht="15.75" hidden="false" customHeight="true" outlineLevel="0" collapsed="false">
      <c r="A10" s="126"/>
      <c r="B10" s="129" t="s">
        <v>707</v>
      </c>
      <c r="C10" s="130" t="n">
        <v>0.24</v>
      </c>
      <c r="D10" s="131" t="s">
        <v>708</v>
      </c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customFormat="false" ht="15.75" hidden="false" customHeight="true" outlineLevel="0" collapsed="false">
      <c r="A11" s="126"/>
      <c r="B11" s="129" t="s">
        <v>709</v>
      </c>
      <c r="C11" s="133" t="n">
        <f aca="false">C9*(1-C10)</f>
        <v>0.038</v>
      </c>
      <c r="D11" s="131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customFormat="false" ht="15.75" hidden="false" customHeight="true" outlineLevel="0" collapsed="false">
      <c r="A12" s="126"/>
      <c r="B12" s="129" t="s">
        <v>710</v>
      </c>
      <c r="C12" s="130" t="n">
        <v>0.2</v>
      </c>
      <c r="D12" s="131" t="s">
        <v>711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customFormat="false" ht="15.75" hidden="false" customHeight="true" outlineLevel="0" collapsed="false">
      <c r="A13" s="126"/>
      <c r="B13" s="134" t="s">
        <v>712</v>
      </c>
      <c r="C13" s="135" t="n">
        <f aca="false">C8*(1-C12)+C11*C12</f>
        <v>0.0736</v>
      </c>
      <c r="D13" s="131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customFormat="false" ht="15" hidden="false" customHeight="true" outlineLevel="0" collapsed="false">
      <c r="A14" s="126"/>
      <c r="B14" s="126"/>
      <c r="C14" s="126"/>
      <c r="D14" s="131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</row>
    <row r="15" customFormat="false" ht="15.75" hidden="false" customHeight="true" outlineLevel="0" collapsed="false">
      <c r="A15" s="126"/>
      <c r="B15" s="129" t="s">
        <v>713</v>
      </c>
      <c r="C15" s="136" t="n">
        <f aca="true">TODAY()</f>
        <v>46301</v>
      </c>
      <c r="D15" s="131" t="s">
        <v>714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customFormat="false" ht="15.75" hidden="false" customHeight="true" outlineLevel="0" collapsed="false">
      <c r="A16" s="126"/>
      <c r="B16" s="17" t="s">
        <v>715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26"/>
      <c r="P16" s="137"/>
      <c r="Q16" s="137"/>
    </row>
    <row r="17" customFormat="false" ht="15.75" hidden="false" customHeight="true" outlineLevel="0" collapsed="false">
      <c r="A17" s="126"/>
      <c r="B17" s="128"/>
      <c r="C17" s="128"/>
      <c r="D17" s="10" t="s">
        <v>64</v>
      </c>
      <c r="E17" s="10" t="s">
        <v>65</v>
      </c>
      <c r="F17" s="10" t="s">
        <v>66</v>
      </c>
      <c r="G17" s="10" t="s">
        <v>67</v>
      </c>
      <c r="H17" s="10" t="s">
        <v>68</v>
      </c>
      <c r="I17" s="10" t="s">
        <v>716</v>
      </c>
      <c r="J17" s="10" t="s">
        <v>717</v>
      </c>
      <c r="K17" s="10" t="s">
        <v>718</v>
      </c>
      <c r="L17" s="10" t="s">
        <v>719</v>
      </c>
      <c r="M17" s="10" t="s">
        <v>720</v>
      </c>
      <c r="N17" s="10" t="s">
        <v>721</v>
      </c>
      <c r="O17" s="126"/>
      <c r="P17" s="138" t="s">
        <v>722</v>
      </c>
      <c r="Q17" s="138" t="s">
        <v>723</v>
      </c>
    </row>
    <row r="18" customFormat="false" ht="15.75" hidden="false" customHeight="true" outlineLevel="0" collapsed="false">
      <c r="A18" s="126"/>
      <c r="B18" s="129" t="s">
        <v>724</v>
      </c>
      <c r="C18" s="126"/>
      <c r="D18" s="139" t="n">
        <f aca="false">Model!CA187-Model!CA174</f>
        <v>2021.052</v>
      </c>
      <c r="E18" s="139" t="n">
        <f aca="false">Model!CB187-Model!CB174</f>
        <v>2202.48582844645</v>
      </c>
      <c r="F18" s="139" t="n">
        <f aca="false">Model!CC187-Model!CC174</f>
        <v>2399.25306585299</v>
      </c>
      <c r="G18" s="139" t="n">
        <f aca="false">Model!CD187-Model!CD174</f>
        <v>2610.74539613038</v>
      </c>
      <c r="H18" s="139" t="n">
        <f aca="false">Model!CE187-Model!CE174</f>
        <v>2827.0742734856</v>
      </c>
      <c r="I18" s="45" t="n">
        <f aca="false">H18*(1+I$26)</f>
        <v>3010.83410126217</v>
      </c>
      <c r="J18" s="45" t="n">
        <f aca="false">I18*(1+J$26)</f>
        <v>3195.24768996448</v>
      </c>
      <c r="K18" s="45" t="n">
        <f aca="false">J18*(1+K$26)</f>
        <v>3378.97443213743</v>
      </c>
      <c r="L18" s="45" t="n">
        <f aca="false">K18*(1+L$26)</f>
        <v>3560.59430786482</v>
      </c>
      <c r="M18" s="45" t="n">
        <f aca="false">L18*(1+M$26)</f>
        <v>3738.62402325806</v>
      </c>
      <c r="N18" s="126"/>
      <c r="O18" s="126"/>
      <c r="P18" s="140" t="n">
        <f aca="false">(H18/D18)^(1/(COLUMNS(D18:H18)-1))-1</f>
        <v>0.0875267113440934</v>
      </c>
      <c r="Q18" s="140" t="n">
        <f aca="false">(M18/D18)^(1/(COLUMNS(D18:M18)-1))-1</f>
        <v>0.0707339900235315</v>
      </c>
    </row>
    <row r="19" customFormat="false" ht="15.75" hidden="false" customHeight="true" outlineLevel="0" collapsed="false">
      <c r="A19" s="126"/>
      <c r="B19" s="129" t="s">
        <v>725</v>
      </c>
      <c r="C19" s="126"/>
      <c r="D19" s="141" t="n">
        <f aca="false">1-$C$10</f>
        <v>0.76</v>
      </c>
      <c r="E19" s="141" t="n">
        <f aca="false">1-$C$10</f>
        <v>0.76</v>
      </c>
      <c r="F19" s="141" t="n">
        <f aca="false">1-$C$10</f>
        <v>0.76</v>
      </c>
      <c r="G19" s="141" t="n">
        <f aca="false">1-$C$10</f>
        <v>0.76</v>
      </c>
      <c r="H19" s="141" t="n">
        <f aca="false">1-$C$10</f>
        <v>0.76</v>
      </c>
      <c r="I19" s="141" t="n">
        <f aca="false">1-$C$10</f>
        <v>0.76</v>
      </c>
      <c r="J19" s="141" t="n">
        <f aca="false">1-$C$10</f>
        <v>0.76</v>
      </c>
      <c r="K19" s="141" t="n">
        <f aca="false">1-$C$10</f>
        <v>0.76</v>
      </c>
      <c r="L19" s="141" t="n">
        <f aca="false">1-$C$10</f>
        <v>0.76</v>
      </c>
      <c r="M19" s="141" t="n">
        <f aca="false">1-$C$10</f>
        <v>0.76</v>
      </c>
      <c r="N19" s="126"/>
      <c r="O19" s="126"/>
      <c r="P19" s="140"/>
      <c r="Q19" s="140"/>
    </row>
    <row r="20" customFormat="false" ht="15.75" hidden="false" customHeight="true" outlineLevel="0" collapsed="false">
      <c r="A20" s="126"/>
      <c r="B20" s="134" t="s">
        <v>726</v>
      </c>
      <c r="C20" s="126"/>
      <c r="D20" s="45" t="n">
        <f aca="false">D18*D19</f>
        <v>1535.99952</v>
      </c>
      <c r="E20" s="45" t="n">
        <f aca="false">E18*E19</f>
        <v>1673.8892296193</v>
      </c>
      <c r="F20" s="45" t="n">
        <f aca="false">F18*F19</f>
        <v>1823.43233004827</v>
      </c>
      <c r="G20" s="45" t="n">
        <f aca="false">G18*G19</f>
        <v>1984.16650105909</v>
      </c>
      <c r="H20" s="45" t="n">
        <f aca="false">H18*H19</f>
        <v>2148.57644784906</v>
      </c>
      <c r="I20" s="45" t="n">
        <f aca="false">I18*I19</f>
        <v>2288.23391695925</v>
      </c>
      <c r="J20" s="45" t="n">
        <f aca="false">J18*J19</f>
        <v>2428.388244373</v>
      </c>
      <c r="K20" s="45" t="n">
        <f aca="false">K18*K19</f>
        <v>2568.02056842445</v>
      </c>
      <c r="L20" s="45" t="n">
        <f aca="false">L18*L19</f>
        <v>2706.05167397726</v>
      </c>
      <c r="M20" s="45" t="n">
        <f aca="false">M18*M19</f>
        <v>2841.35425767613</v>
      </c>
      <c r="N20" s="126"/>
      <c r="O20" s="126"/>
      <c r="P20" s="140"/>
      <c r="Q20" s="140"/>
    </row>
    <row r="21" customFormat="false" ht="15.75" hidden="false" customHeight="true" outlineLevel="0" collapsed="false">
      <c r="A21" s="126"/>
      <c r="B21" s="129" t="s">
        <v>727</v>
      </c>
      <c r="C21" s="126"/>
      <c r="D21" s="139" t="n">
        <f aca="false">Model!CA169</f>
        <v>1304</v>
      </c>
      <c r="E21" s="139" t="n">
        <f aca="false">Model!CB169</f>
        <v>1371.19482688206</v>
      </c>
      <c r="F21" s="139" t="n">
        <f aca="false">Model!CC169</f>
        <v>1470.93640104385</v>
      </c>
      <c r="G21" s="139" t="n">
        <f aca="false">Model!CD169</f>
        <v>1576.63846315014</v>
      </c>
      <c r="H21" s="139" t="n">
        <f aca="false">Model!CE169</f>
        <v>1684.90745609049</v>
      </c>
      <c r="I21" s="45" t="n">
        <f aca="false">H21*(1+I$26)</f>
        <v>1794.42644073637</v>
      </c>
      <c r="J21" s="45" t="n">
        <f aca="false">I21*(1+J$26)</f>
        <v>1904.33506023147</v>
      </c>
      <c r="K21" s="45" t="n">
        <f aca="false">J21*(1+K$26)</f>
        <v>2013.83432619478</v>
      </c>
      <c r="L21" s="45" t="n">
        <f aca="false">K21*(1+L$26)</f>
        <v>2122.07792122775</v>
      </c>
      <c r="M21" s="45" t="n">
        <f aca="false">L21*(1+M$26)</f>
        <v>2228.18181728914</v>
      </c>
      <c r="N21" s="126"/>
      <c r="O21" s="126"/>
      <c r="P21" s="140"/>
      <c r="Q21" s="140"/>
    </row>
    <row r="22" customFormat="false" ht="15.75" hidden="false" customHeight="true" outlineLevel="0" collapsed="false">
      <c r="A22" s="126"/>
      <c r="B22" s="129" t="s">
        <v>728</v>
      </c>
      <c r="C22" s="126"/>
      <c r="D22" s="139" t="n">
        <f aca="false">Model!CA242+Model!CA243</f>
        <v>-1301.049</v>
      </c>
      <c r="E22" s="139" t="n">
        <f aca="false">Model!CB242+Model!CB243+Model!CB244</f>
        <v>-2278.3924418381</v>
      </c>
      <c r="F22" s="139" t="n">
        <f aca="false">Model!CC242+Model!CC243+Model!CC244</f>
        <v>-2380.83542127591</v>
      </c>
      <c r="G22" s="139" t="n">
        <f aca="false">Model!CD242+Model!CD243+Model!CD244</f>
        <v>-2490.15558669794</v>
      </c>
      <c r="H22" s="139" t="n">
        <f aca="false">Model!CE242+Model!CE243+Model!CE244</f>
        <v>-2601.62481739512</v>
      </c>
      <c r="I22" s="45" t="n">
        <f aca="false">(Model!CE242+Model!CE243)*(1+I$26)</f>
        <v>-1705.7304305258</v>
      </c>
      <c r="J22" s="45" t="n">
        <f aca="false">I22*(1+J$26)</f>
        <v>-1810.20641939551</v>
      </c>
      <c r="K22" s="45" t="n">
        <f aca="false">J22*(1+K$26)</f>
        <v>-1914.29328851075</v>
      </c>
      <c r="L22" s="45" t="n">
        <f aca="false">K22*(1+L$26)</f>
        <v>-2017.1865527682</v>
      </c>
      <c r="M22" s="45" t="n">
        <f aca="false">L22*(1+M$26)</f>
        <v>-2118.04588040661</v>
      </c>
      <c r="N22" s="126"/>
      <c r="O22" s="126"/>
      <c r="P22" s="140"/>
      <c r="Q22" s="140"/>
    </row>
    <row r="23" customFormat="false" ht="15.75" hidden="false" customHeight="true" outlineLevel="0" collapsed="false">
      <c r="A23" s="126"/>
      <c r="B23" s="129" t="s">
        <v>729</v>
      </c>
      <c r="C23" s="126"/>
      <c r="D23" s="139" t="n">
        <f aca="false">Model!CA240</f>
        <v>-158.720579639999</v>
      </c>
      <c r="E23" s="139" t="n">
        <f aca="false">Model!CB240</f>
        <v>49.9241699797723</v>
      </c>
      <c r="F23" s="139" t="n">
        <f aca="false">Model!CC240</f>
        <v>78.7132213608091</v>
      </c>
      <c r="G23" s="139" t="n">
        <f aca="false">Model!CD240</f>
        <v>83.7961587439483</v>
      </c>
      <c r="H23" s="139" t="n">
        <f aca="false">Model!CE240</f>
        <v>85.4502638804393</v>
      </c>
      <c r="I23" s="45" t="n">
        <f aca="false">H23*(1+I$26)</f>
        <v>91.0045310326678</v>
      </c>
      <c r="J23" s="45" t="n">
        <f aca="false">I23*(1+J$26)</f>
        <v>96.5785585584187</v>
      </c>
      <c r="K23" s="45" t="n">
        <f aca="false">J23*(1+K$26)</f>
        <v>102.131825675528</v>
      </c>
      <c r="L23" s="45" t="n">
        <f aca="false">K23*(1+L$26)</f>
        <v>107.621411305587</v>
      </c>
      <c r="M23" s="45" t="n">
        <f aca="false">L23*(1+M$26)</f>
        <v>113.002481870867</v>
      </c>
      <c r="N23" s="126"/>
      <c r="O23" s="126"/>
      <c r="P23" s="140"/>
      <c r="Q23" s="140"/>
    </row>
    <row r="24" customFormat="false" ht="15.75" hidden="false" customHeight="true" outlineLevel="0" collapsed="false">
      <c r="A24" s="126"/>
      <c r="B24" s="142" t="s">
        <v>730</v>
      </c>
      <c r="C24" s="143"/>
      <c r="D24" s="144" t="n">
        <f aca="false">D20+D21+D22+D23</f>
        <v>1380.22994036</v>
      </c>
      <c r="E24" s="144" t="n">
        <f aca="false">E20+E21+E22+E23</f>
        <v>816.615784643032</v>
      </c>
      <c r="F24" s="144" t="n">
        <f aca="false">F20+F21+F22+F23</f>
        <v>992.246531177026</v>
      </c>
      <c r="G24" s="144" t="n">
        <f aca="false">G20+G21+G22+G23</f>
        <v>1154.44553625524</v>
      </c>
      <c r="H24" s="144" t="n">
        <f aca="false">H20+H21+H22+H23</f>
        <v>1317.30935042486</v>
      </c>
      <c r="I24" s="144" t="n">
        <f aca="false">I20+I21+I22+I23</f>
        <v>2467.93445820248</v>
      </c>
      <c r="J24" s="144" t="n">
        <f aca="false">J20+J21+J22+J23</f>
        <v>2619.09544376738</v>
      </c>
      <c r="K24" s="144" t="n">
        <f aca="false">K20+K21+K22+K23</f>
        <v>2769.69343178401</v>
      </c>
      <c r="L24" s="144" t="n">
        <f aca="false">L20+L21+L22+L23</f>
        <v>2918.5644537424</v>
      </c>
      <c r="M24" s="144" t="n">
        <f aca="false">M20+M21+M22+M23</f>
        <v>3064.49267642952</v>
      </c>
      <c r="N24" s="144" t="n">
        <f aca="false">M24*(1+$C$27)</f>
        <v>3171.74992010455</v>
      </c>
      <c r="O24" s="126"/>
      <c r="P24" s="145" t="n">
        <f aca="false">(H24/D24)^(1/(COLUMNS(D24:H24)-1))-1</f>
        <v>-0.0115969369102631</v>
      </c>
      <c r="Q24" s="145" t="n">
        <f aca="false">(M24/D24)^(1/(COLUMNS(D24:M24)-1))-1</f>
        <v>0.0926716687254052</v>
      </c>
    </row>
    <row r="25" customFormat="false" ht="15.75" hidden="false" customHeight="true" outlineLevel="0" collapsed="false">
      <c r="A25" s="126"/>
      <c r="B25" s="134" t="s">
        <v>731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46" t="n">
        <f aca="false">N24/($C$13-$C$27)</f>
        <v>82169.6870493406</v>
      </c>
      <c r="O25" s="126"/>
      <c r="P25" s="126"/>
      <c r="Q25" s="126"/>
    </row>
    <row r="26" customFormat="false" ht="15.75" hidden="false" customHeight="true" outlineLevel="0" collapsed="false">
      <c r="A26" s="126"/>
      <c r="B26" s="129" t="s">
        <v>732</v>
      </c>
      <c r="C26" s="126"/>
      <c r="D26" s="126"/>
      <c r="E26" s="126"/>
      <c r="F26" s="126"/>
      <c r="G26" s="126"/>
      <c r="H26" s="126"/>
      <c r="I26" s="147" t="n">
        <v>0.065</v>
      </c>
      <c r="J26" s="148" t="n">
        <f aca="false">I26+($M$26-$I$26)/4</f>
        <v>0.06125</v>
      </c>
      <c r="K26" s="148" t="n">
        <f aca="false">J26+($M$26-$I$26)/4</f>
        <v>0.0575</v>
      </c>
      <c r="L26" s="148" t="n">
        <f aca="false">K26+($M$26-$I$26)/4</f>
        <v>0.05375</v>
      </c>
      <c r="M26" s="147" t="n">
        <v>0.05</v>
      </c>
      <c r="N26" s="126"/>
      <c r="O26" s="126"/>
      <c r="P26" s="126"/>
      <c r="Q26" s="126"/>
    </row>
    <row r="27" customFormat="false" ht="15.75" hidden="false" customHeight="true" outlineLevel="0" collapsed="false">
      <c r="A27" s="126"/>
      <c r="B27" s="129" t="s">
        <v>733</v>
      </c>
      <c r="C27" s="149" t="n">
        <v>0.035</v>
      </c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  <row r="28" customFormat="false" ht="15" hidden="false" customHeight="true" outlineLevel="0" collapsed="false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</row>
    <row r="29" customFormat="false" ht="15.75" hidden="false" customHeight="true" outlineLevel="0" collapsed="false">
      <c r="A29" s="126"/>
      <c r="B29" s="129" t="s">
        <v>734</v>
      </c>
      <c r="C29" s="126"/>
      <c r="D29" s="141" t="n">
        <f aca="false">(DATE(2026,12,31)-$C$15)/365.25</f>
        <v>0.235455167693361</v>
      </c>
      <c r="E29" s="141" t="n">
        <f aca="false">(DATE(2027,12,31)-$C$15)/365.25</f>
        <v>1.23477070499658</v>
      </c>
      <c r="F29" s="141" t="n">
        <f aca="false">(DATE(2028,12,31)-$C$15)/365.25</f>
        <v>2.23682409308693</v>
      </c>
      <c r="G29" s="141" t="n">
        <f aca="false">(DATE(2029,12,31)-$C$15)/365.25</f>
        <v>3.23613963039014</v>
      </c>
      <c r="H29" s="141" t="n">
        <f aca="false">(DATE(2030,12,31)-$C$15)/365.25</f>
        <v>4.23545516769336</v>
      </c>
      <c r="I29" s="141" t="n">
        <f aca="false">(DATE(2031,12,31)-$C$15)/365.25</f>
        <v>5.23477070499658</v>
      </c>
      <c r="J29" s="141" t="n">
        <f aca="false">(DATE(2032,12,31)-$C$15)/365.25</f>
        <v>6.23682409308693</v>
      </c>
      <c r="K29" s="141" t="n">
        <f aca="false">(DATE(2033,12,31)-$C$15)/365.25</f>
        <v>7.23613963039014</v>
      </c>
      <c r="L29" s="141" t="n">
        <f aca="false">(DATE(2034,12,31)-$C$15)/365.25</f>
        <v>8.23545516769336</v>
      </c>
      <c r="M29" s="141" t="n">
        <f aca="false">(DATE(2035,12,31)-$C$15)/365.25</f>
        <v>9.23477070499658</v>
      </c>
      <c r="N29" s="141" t="n">
        <f aca="false">M29</f>
        <v>9.23477070499658</v>
      </c>
      <c r="O29" s="126"/>
      <c r="P29" s="126"/>
      <c r="Q29" s="126"/>
    </row>
    <row r="30" customFormat="false" ht="15.75" hidden="false" customHeight="true" outlineLevel="0" collapsed="false">
      <c r="A30" s="126"/>
      <c r="B30" s="129" t="s">
        <v>735</v>
      </c>
      <c r="C30" s="126"/>
      <c r="D30" s="150" t="n">
        <f aca="false">1/(1+$C$13)^D29</f>
        <v>0.983417592827525</v>
      </c>
      <c r="E30" s="150" t="n">
        <f aca="false">1/(1+$C$13)^E29</f>
        <v>0.916044520080975</v>
      </c>
      <c r="F30" s="150" t="n">
        <f aca="false">1/(1+$C$13)^F29</f>
        <v>0.853121224188391</v>
      </c>
      <c r="G30" s="150" t="n">
        <f aca="false">1/(1+$C$13)^G29</f>
        <v>0.794674640846708</v>
      </c>
      <c r="H30" s="150" t="n">
        <f aca="false">1/(1+$C$13)^H29</f>
        <v>0.740232181429579</v>
      </c>
      <c r="I30" s="150" t="n">
        <f aca="false">1/(1+$C$13)^I29</f>
        <v>0.689519526935163</v>
      </c>
      <c r="J30" s="150" t="n">
        <f aca="false">1/(1+$C$13)^J29</f>
        <v>0.64215628173697</v>
      </c>
      <c r="K30" s="150" t="n">
        <f aca="false">1/(1+$C$13)^K29</f>
        <v>0.59816272071095</v>
      </c>
      <c r="L30" s="150" t="n">
        <f aca="false">1/(1+$C$13)^L29</f>
        <v>0.557183119785913</v>
      </c>
      <c r="M30" s="150" t="n">
        <f aca="false">1/(1+$C$13)^M29</f>
        <v>0.519010995211088</v>
      </c>
      <c r="N30" s="150" t="n">
        <f aca="false">1/(1+$C$13)^N29</f>
        <v>0.519010995211088</v>
      </c>
      <c r="O30" s="126"/>
      <c r="P30" s="126"/>
      <c r="Q30" s="126"/>
    </row>
    <row r="31" customFormat="false" ht="15.75" hidden="false" customHeight="true" outlineLevel="0" collapsed="false">
      <c r="A31" s="126"/>
      <c r="B31" s="151" t="s">
        <v>736</v>
      </c>
      <c r="C31" s="152"/>
      <c r="D31" s="153" t="n">
        <f aca="false">D24*D30</f>
        <v>1357.34240549731</v>
      </c>
      <c r="E31" s="153" t="n">
        <f aca="false">E24*E30</f>
        <v>748.056414533874</v>
      </c>
      <c r="F31" s="153" t="n">
        <f aca="false">F24*F30</f>
        <v>846.506575374429</v>
      </c>
      <c r="G31" s="153" t="n">
        <f aca="false">G24*G30</f>
        <v>917.408591900719</v>
      </c>
      <c r="H31" s="153" t="n">
        <f aca="false">H24*H30</f>
        <v>975.114774082579</v>
      </c>
      <c r="I31" s="153" t="n">
        <f aca="false">I24*I30</f>
        <v>1701.68900012676</v>
      </c>
      <c r="J31" s="153" t="n">
        <f aca="false">J24*J30</f>
        <v>1681.8685916839</v>
      </c>
      <c r="K31" s="153" t="n">
        <f aca="false">K24*K30</f>
        <v>1656.72735869117</v>
      </c>
      <c r="L31" s="153" t="n">
        <f aca="false">L24*L30</f>
        <v>1626.17484763246</v>
      </c>
      <c r="M31" s="153" t="n">
        <f aca="false">M24*M30</f>
        <v>1590.50539381078</v>
      </c>
      <c r="N31" s="153" t="n">
        <f aca="false">N25*N30</f>
        <v>42646.971051662</v>
      </c>
      <c r="O31" s="126"/>
      <c r="P31" s="126"/>
      <c r="Q31" s="126"/>
    </row>
    <row r="32" customFormat="false" ht="15" hidden="false" customHeight="true" outlineLevel="0" collapsed="false">
      <c r="A32" s="126"/>
      <c r="B32" s="126"/>
      <c r="C32" s="126"/>
      <c r="D32" s="131" t="s">
        <v>737</v>
      </c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</row>
    <row r="33" customFormat="false" ht="15.75" hidden="false" customHeight="true" outlineLevel="0" collapsed="false">
      <c r="A33" s="126"/>
      <c r="B33" s="17" t="s">
        <v>738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26"/>
      <c r="P33" s="126"/>
      <c r="Q33" s="126"/>
    </row>
    <row r="34" customFormat="false" ht="15.75" hidden="false" customHeight="true" outlineLevel="0" collapsed="false">
      <c r="A34" s="126"/>
      <c r="B34" s="129" t="s">
        <v>739</v>
      </c>
      <c r="C34" s="126"/>
      <c r="D34" s="139" t="n">
        <f aca="false">Model!BV400</f>
        <v>17019.184</v>
      </c>
      <c r="E34" s="45" t="n">
        <f aca="false">D38</f>
        <v>17174.95357964</v>
      </c>
      <c r="F34" s="45" t="n">
        <f aca="false">E38</f>
        <v>18032.2270246163</v>
      </c>
      <c r="G34" s="45" t="n">
        <f aca="false">F38</f>
        <v>18863.4128234875</v>
      </c>
      <c r="H34" s="45" t="n">
        <f aca="false">G38</f>
        <v>19693.1337882914</v>
      </c>
      <c r="I34" s="45" t="n">
        <f aca="false">H38</f>
        <v>20524.4008857156</v>
      </c>
      <c r="J34" s="45" t="n">
        <f aca="false">I38</f>
        <v>20344.7003444723</v>
      </c>
      <c r="K34" s="45" t="n">
        <f aca="false">J38</f>
        <v>20153.9931450779</v>
      </c>
      <c r="L34" s="45" t="n">
        <f aca="false">K38</f>
        <v>19952.3202817184</v>
      </c>
      <c r="M34" s="45" t="n">
        <f aca="false">L38</f>
        <v>19739.8075019533</v>
      </c>
      <c r="N34" s="45"/>
      <c r="O34" s="126"/>
      <c r="P34" s="126"/>
      <c r="Q34" s="126"/>
    </row>
    <row r="35" customFormat="false" ht="15.75" hidden="false" customHeight="true" outlineLevel="0" collapsed="false">
      <c r="A35" s="126"/>
      <c r="B35" s="129" t="s">
        <v>740</v>
      </c>
      <c r="C35" s="126"/>
      <c r="D35" s="45" t="n">
        <f aca="false">-D22</f>
        <v>1301.049</v>
      </c>
      <c r="E35" s="45" t="n">
        <f aca="false">-E22</f>
        <v>2278.3924418381</v>
      </c>
      <c r="F35" s="45" t="n">
        <f aca="false">-F22</f>
        <v>2380.83542127591</v>
      </c>
      <c r="G35" s="45" t="n">
        <f aca="false">-G22</f>
        <v>2490.15558669794</v>
      </c>
      <c r="H35" s="45" t="n">
        <f aca="false">-H22</f>
        <v>2601.62481739512</v>
      </c>
      <c r="I35" s="45" t="n">
        <f aca="false">-I22</f>
        <v>1705.7304305258</v>
      </c>
      <c r="J35" s="45" t="n">
        <f aca="false">-J22</f>
        <v>1810.20641939551</v>
      </c>
      <c r="K35" s="45" t="n">
        <f aca="false">-K22</f>
        <v>1914.29328851075</v>
      </c>
      <c r="L35" s="45" t="n">
        <f aca="false">-L22</f>
        <v>2017.1865527682</v>
      </c>
      <c r="M35" s="45" t="n">
        <f aca="false">-M22</f>
        <v>2118.04588040661</v>
      </c>
      <c r="N35" s="45"/>
      <c r="O35" s="126"/>
      <c r="P35" s="126"/>
      <c r="Q35" s="126"/>
    </row>
    <row r="36" customFormat="false" ht="15.75" hidden="false" customHeight="true" outlineLevel="0" collapsed="false">
      <c r="A36" s="126"/>
      <c r="B36" s="129" t="s">
        <v>741</v>
      </c>
      <c r="C36" s="126"/>
      <c r="D36" s="45" t="n">
        <f aca="false">-D21</f>
        <v>-1304</v>
      </c>
      <c r="E36" s="45" t="n">
        <f aca="false">-E21</f>
        <v>-1371.19482688206</v>
      </c>
      <c r="F36" s="45" t="n">
        <f aca="false">-F21</f>
        <v>-1470.93640104385</v>
      </c>
      <c r="G36" s="45" t="n">
        <f aca="false">-G21</f>
        <v>-1576.63846315014</v>
      </c>
      <c r="H36" s="45" t="n">
        <f aca="false">-H21</f>
        <v>-1684.90745609049</v>
      </c>
      <c r="I36" s="45" t="n">
        <f aca="false">-I21</f>
        <v>-1794.42644073637</v>
      </c>
      <c r="J36" s="45" t="n">
        <f aca="false">-J21</f>
        <v>-1904.33506023147</v>
      </c>
      <c r="K36" s="45" t="n">
        <f aca="false">-K21</f>
        <v>-2013.83432619478</v>
      </c>
      <c r="L36" s="45" t="n">
        <f aca="false">-L21</f>
        <v>-2122.07792122775</v>
      </c>
      <c r="M36" s="45" t="n">
        <f aca="false">-M21</f>
        <v>-2228.18181728914</v>
      </c>
      <c r="N36" s="45"/>
      <c r="O36" s="126"/>
      <c r="P36" s="126"/>
      <c r="Q36" s="126"/>
    </row>
    <row r="37" customFormat="false" ht="15.75" hidden="false" customHeight="true" outlineLevel="0" collapsed="false">
      <c r="A37" s="126"/>
      <c r="B37" s="129" t="s">
        <v>742</v>
      </c>
      <c r="C37" s="126"/>
      <c r="D37" s="45" t="n">
        <f aca="false">-D23</f>
        <v>158.720579639999</v>
      </c>
      <c r="E37" s="45" t="n">
        <f aca="false">-E23</f>
        <v>-49.9241699797723</v>
      </c>
      <c r="F37" s="45" t="n">
        <f aca="false">-F23</f>
        <v>-78.7132213608091</v>
      </c>
      <c r="G37" s="45" t="n">
        <f aca="false">-G23</f>
        <v>-83.7961587439483</v>
      </c>
      <c r="H37" s="45" t="n">
        <f aca="false">-H23</f>
        <v>-85.4502638804393</v>
      </c>
      <c r="I37" s="45" t="n">
        <f aca="false">-I23</f>
        <v>-91.0045310326678</v>
      </c>
      <c r="J37" s="45" t="n">
        <f aca="false">-J23</f>
        <v>-96.5785585584187</v>
      </c>
      <c r="K37" s="45" t="n">
        <f aca="false">-K23</f>
        <v>-102.131825675528</v>
      </c>
      <c r="L37" s="45" t="n">
        <f aca="false">-L23</f>
        <v>-107.621411305587</v>
      </c>
      <c r="M37" s="45" t="n">
        <f aca="false">-M23</f>
        <v>-113.002481870867</v>
      </c>
      <c r="N37" s="45"/>
      <c r="O37" s="126"/>
      <c r="P37" s="126"/>
      <c r="Q37" s="126"/>
    </row>
    <row r="38" customFormat="false" ht="15.75" hidden="false" customHeight="true" outlineLevel="0" collapsed="false">
      <c r="A38" s="126"/>
      <c r="B38" s="154" t="s">
        <v>743</v>
      </c>
      <c r="C38" s="154"/>
      <c r="D38" s="155" t="n">
        <f aca="false">SUM(D34:D37)</f>
        <v>17174.95357964</v>
      </c>
      <c r="E38" s="155" t="n">
        <f aca="false">SUM(E34:E37)</f>
        <v>18032.2270246163</v>
      </c>
      <c r="F38" s="155" t="n">
        <f aca="false">SUM(F34:F37)</f>
        <v>18863.4128234875</v>
      </c>
      <c r="G38" s="155" t="n">
        <f aca="false">SUM(G34:G37)</f>
        <v>19693.1337882914</v>
      </c>
      <c r="H38" s="155" t="n">
        <f aca="false">SUM(H34:H37)</f>
        <v>20524.4008857156</v>
      </c>
      <c r="I38" s="155" t="n">
        <f aca="false">SUM(I34:I37)</f>
        <v>20344.7003444723</v>
      </c>
      <c r="J38" s="155" t="n">
        <f aca="false">SUM(J34:J37)</f>
        <v>20153.9931450779</v>
      </c>
      <c r="K38" s="155" t="n">
        <f aca="false">SUM(K34:K37)</f>
        <v>19952.3202817184</v>
      </c>
      <c r="L38" s="155" t="n">
        <f aca="false">SUM(L34:L37)</f>
        <v>19739.8075019533</v>
      </c>
      <c r="M38" s="155" t="n">
        <f aca="false">SUM(M34:M37)</f>
        <v>19516.6690831999</v>
      </c>
      <c r="N38" s="156"/>
      <c r="O38" s="126"/>
      <c r="P38" s="126"/>
      <c r="Q38" s="126"/>
    </row>
    <row r="39" customFormat="false" ht="15.75" hidden="false" customHeight="true" outlineLevel="0" collapsed="false">
      <c r="A39" s="126"/>
      <c r="B39" s="129" t="s">
        <v>744</v>
      </c>
      <c r="C39" s="126"/>
      <c r="D39" s="45" t="n">
        <f aca="false">D20</f>
        <v>1535.99952</v>
      </c>
      <c r="E39" s="45" t="n">
        <f aca="false">E20</f>
        <v>1673.8892296193</v>
      </c>
      <c r="F39" s="45" t="n">
        <f aca="false">F20</f>
        <v>1823.43233004827</v>
      </c>
      <c r="G39" s="45" t="n">
        <f aca="false">G20</f>
        <v>1984.16650105909</v>
      </c>
      <c r="H39" s="45" t="n">
        <f aca="false">H20</f>
        <v>2148.57644784906</v>
      </c>
      <c r="I39" s="45" t="n">
        <f aca="false">I20</f>
        <v>2288.23391695925</v>
      </c>
      <c r="J39" s="45" t="n">
        <f aca="false">J20</f>
        <v>2428.388244373</v>
      </c>
      <c r="K39" s="45" t="n">
        <f aca="false">K20</f>
        <v>2568.02056842445</v>
      </c>
      <c r="L39" s="45" t="n">
        <f aca="false">L20</f>
        <v>2706.05167397726</v>
      </c>
      <c r="M39" s="45" t="n">
        <f aca="false">M20</f>
        <v>2841.35425767613</v>
      </c>
      <c r="N39" s="45"/>
      <c r="O39" s="126"/>
      <c r="P39" s="126"/>
      <c r="Q39" s="126"/>
    </row>
    <row r="40" customFormat="false" ht="15.75" hidden="false" customHeight="true" outlineLevel="0" collapsed="false">
      <c r="A40" s="126"/>
      <c r="B40" s="157" t="s">
        <v>745</v>
      </c>
      <c r="C40" s="157"/>
      <c r="D40" s="158" t="n">
        <f aca="false">IFERROR(D39/AVERAGE(D34,D38),"")</f>
        <v>0.0898399333173748</v>
      </c>
      <c r="E40" s="158" t="n">
        <f aca="false">IFERROR(E39/AVERAGE(E34,E38),"")</f>
        <v>0.0950879451799636</v>
      </c>
      <c r="F40" s="158" t="n">
        <f aca="false">IFERROR(F39/AVERAGE(F34,F38),"")</f>
        <v>0.09884269998055</v>
      </c>
      <c r="G40" s="158" t="n">
        <f aca="false">IFERROR(G39/AVERAGE(G34,G38),"")</f>
        <v>0.102922417873023</v>
      </c>
      <c r="H40" s="158" t="n">
        <f aca="false">IFERROR(H39/AVERAGE(H34,H38),"")</f>
        <v>0.106847745157174</v>
      </c>
      <c r="I40" s="158" t="n">
        <f aca="false">IFERROR(I39/AVERAGE(I34,I38),"")</f>
        <v>0.111978675727229</v>
      </c>
      <c r="J40" s="158" t="n">
        <f aca="false">IFERROR(J39/AVERAGE(J34,J38),"")</f>
        <v>0.119924275828779</v>
      </c>
      <c r="K40" s="158" t="n">
        <f aca="false">IFERROR(K39/AVERAGE(K34,K38),"")</f>
        <v>0.128060664219947</v>
      </c>
      <c r="L40" s="158" t="n">
        <f aca="false">IFERROR(L39/AVERAGE(L34,L38),"")</f>
        <v>0.136352058963716</v>
      </c>
      <c r="M40" s="158" t="n">
        <f aca="false">IFERROR(M39/AVERAGE(M34,M38),"")</f>
        <v>0.144758496168794</v>
      </c>
      <c r="N40" s="158"/>
      <c r="O40" s="126"/>
      <c r="P40" s="126"/>
      <c r="Q40" s="126"/>
    </row>
    <row r="41" customFormat="false" ht="15.75" hidden="false" customHeight="true" outlineLevel="0" collapsed="false">
      <c r="A41" s="126"/>
      <c r="B41" s="129" t="s">
        <v>746</v>
      </c>
      <c r="C41" s="126"/>
      <c r="D41" s="159" t="n">
        <f aca="false">IFERROR(SUM(D35:D37)/D39,"")</f>
        <v>0.101412518436203</v>
      </c>
      <c r="E41" s="159" t="n">
        <f aca="false">IFERROR(SUM(E35:E37)/E39,"")</f>
        <v>0.512144668719352</v>
      </c>
      <c r="F41" s="159" t="n">
        <f aca="false">IFERROR(SUM(F35:F37)/F39,"")</f>
        <v>0.455835835075515</v>
      </c>
      <c r="G41" s="159" t="n">
        <f aca="false">IFERROR(SUM(G35:G37)/G39,"")</f>
        <v>0.418171037743541</v>
      </c>
      <c r="H41" s="159" t="n">
        <f aca="false">IFERROR(SUM(H35:H37)/H39,"")</f>
        <v>0.386892027163556</v>
      </c>
      <c r="I41" s="159" t="n">
        <f aca="false">IFERROR(SUM(I35:I37)/I39,"")</f>
        <v>-0.0785324174733107</v>
      </c>
      <c r="J41" s="159" t="n">
        <f aca="false">IFERROR(SUM(J35:J37)/J39,"")</f>
        <v>-0.0785324174733107</v>
      </c>
      <c r="K41" s="159" t="n">
        <f aca="false">IFERROR(SUM(K35:K37)/K39,"")</f>
        <v>-0.0785324174733107</v>
      </c>
      <c r="L41" s="159" t="n">
        <f aca="false">IFERROR(SUM(L35:L37)/L39,"")</f>
        <v>-0.0785324174733107</v>
      </c>
      <c r="M41" s="159" t="n">
        <f aca="false">IFERROR(SUM(M35:M37)/M39,"")</f>
        <v>-0.0785324174733106</v>
      </c>
      <c r="N41" s="159"/>
      <c r="O41" s="126"/>
      <c r="P41" s="126"/>
      <c r="Q41" s="126"/>
    </row>
    <row r="42" customFormat="false" ht="15.75" hidden="false" customHeight="true" outlineLevel="0" collapsed="false">
      <c r="A42" s="126"/>
      <c r="B42" s="129" t="s">
        <v>747</v>
      </c>
      <c r="C42" s="126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 t="n">
        <f aca="false">IFERROR($C$27/M41,"")</f>
        <v>-0.445675825679183</v>
      </c>
      <c r="O42" s="126"/>
      <c r="P42" s="126"/>
      <c r="Q42" s="126"/>
    </row>
    <row r="43" customFormat="false" ht="15" hidden="false" customHeight="true" outlineLevel="0" collapsed="false">
      <c r="A43" s="126"/>
      <c r="B43" s="126"/>
      <c r="C43" s="126"/>
      <c r="D43" s="131" t="s">
        <v>748</v>
      </c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</row>
    <row r="44" customFormat="false" ht="15.75" hidden="false" customHeight="true" outlineLevel="0" collapsed="false">
      <c r="A44" s="126"/>
      <c r="B44" s="17" t="s">
        <v>749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26"/>
      <c r="P44" s="126"/>
      <c r="Q44" s="126"/>
    </row>
    <row r="45" customFormat="false" ht="15.75" hidden="false" customHeight="true" outlineLevel="0" collapsed="false">
      <c r="A45" s="126"/>
      <c r="B45" s="129" t="s">
        <v>750</v>
      </c>
      <c r="C45" s="45" t="n">
        <f aca="false">SUM(D31:M31)</f>
        <v>13101.393953334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</row>
    <row r="46" customFormat="false" ht="15.75" hidden="false" customHeight="true" outlineLevel="0" collapsed="false">
      <c r="A46" s="126"/>
      <c r="B46" s="129" t="s">
        <v>751</v>
      </c>
      <c r="C46" s="45" t="n">
        <f aca="false">N31</f>
        <v>42646.971051662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</row>
    <row r="47" customFormat="false" ht="15.75" hidden="false" customHeight="true" outlineLevel="0" collapsed="false">
      <c r="A47" s="126"/>
      <c r="B47" s="134" t="s">
        <v>752</v>
      </c>
      <c r="C47" s="144" t="n">
        <f aca="false">C45+C46</f>
        <v>55748.3650049959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</row>
    <row r="48" customFormat="false" ht="15.75" hidden="false" customHeight="true" outlineLevel="0" collapsed="false">
      <c r="A48" s="126"/>
      <c r="B48" s="129" t="s">
        <v>753</v>
      </c>
      <c r="C48" s="139" t="n">
        <f aca="false">Model!CA420+Model!CA341</f>
        <v>9053.98128667306</v>
      </c>
      <c r="D48" s="131" t="s">
        <v>754</v>
      </c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</row>
    <row r="49" customFormat="false" ht="15.75" hidden="false" customHeight="true" outlineLevel="0" collapsed="false">
      <c r="A49" s="126"/>
      <c r="B49" s="134" t="s">
        <v>755</v>
      </c>
      <c r="C49" s="156" t="n">
        <f aca="false">C47-C48</f>
        <v>46694.3837183229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</row>
    <row r="50" customFormat="false" ht="15.75" hidden="false" customHeight="true" outlineLevel="0" collapsed="false">
      <c r="A50" s="126"/>
      <c r="B50" s="129" t="s">
        <v>756</v>
      </c>
      <c r="C50" s="160" t="n">
        <f aca="false">Model!CA426</f>
        <v>250.27314283871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</row>
    <row r="51" customFormat="false" ht="15.75" hidden="false" customHeight="true" outlineLevel="0" collapsed="false">
      <c r="A51" s="126"/>
      <c r="B51" s="134" t="s">
        <v>757</v>
      </c>
      <c r="C51" s="161" t="n">
        <f aca="false">C49/C50</f>
        <v>186.573689804245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</row>
    <row r="52" customFormat="false" ht="15.75" hidden="false" customHeight="true" outlineLevel="0" collapsed="false">
      <c r="A52" s="126"/>
      <c r="B52" s="129" t="s">
        <v>758</v>
      </c>
      <c r="C52" s="162" t="n">
        <f aca="false">Model!CA425</f>
        <v>155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</row>
    <row r="53" customFormat="false" ht="15.75" hidden="false" customHeight="true" outlineLevel="0" collapsed="false">
      <c r="A53" s="126"/>
      <c r="B53" s="134" t="s">
        <v>759</v>
      </c>
      <c r="C53" s="163" t="n">
        <f aca="false">C51/C52-1</f>
        <v>0.203701224543515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</row>
    <row r="54" customFormat="false" ht="15.75" hidden="false" customHeight="true" outlineLevel="0" collapsed="false">
      <c r="A54" s="126"/>
      <c r="B54" s="129" t="s">
        <v>760</v>
      </c>
      <c r="C54" s="159" t="n">
        <f aca="false">1-((1+C13)/(1+H54))^H55</f>
        <v>0.186356822055724</v>
      </c>
      <c r="D54" s="164" t="s">
        <v>761</v>
      </c>
      <c r="E54" s="165" t="s">
        <v>762</v>
      </c>
      <c r="F54" s="126"/>
      <c r="G54" s="126"/>
      <c r="H54" s="147" t="n">
        <v>0.15</v>
      </c>
      <c r="I54" s="126"/>
      <c r="J54" s="126"/>
      <c r="K54" s="126"/>
      <c r="L54" s="126"/>
      <c r="M54" s="126"/>
      <c r="N54" s="126"/>
      <c r="O54" s="126"/>
      <c r="P54" s="126"/>
      <c r="Q54" s="126"/>
    </row>
    <row r="55" customFormat="false" ht="15.75" hidden="false" customHeight="true" outlineLevel="0" collapsed="false">
      <c r="A55" s="126"/>
      <c r="B55" s="134" t="s">
        <v>763</v>
      </c>
      <c r="C55" s="166" t="n">
        <f aca="false">C51*(1-C54)</f>
        <v>151.804409893115</v>
      </c>
      <c r="D55" s="159" t="n">
        <f aca="false">C55/C52-1</f>
        <v>-0.0206167103669981</v>
      </c>
      <c r="E55" s="165" t="s">
        <v>764</v>
      </c>
      <c r="F55" s="126"/>
      <c r="G55" s="126"/>
      <c r="H55" s="167" t="n">
        <v>3</v>
      </c>
      <c r="I55" s="126"/>
      <c r="J55" s="126"/>
      <c r="K55" s="126"/>
      <c r="L55" s="126"/>
      <c r="M55" s="126"/>
      <c r="N55" s="126"/>
      <c r="O55" s="126"/>
      <c r="P55" s="126"/>
      <c r="Q55" s="126"/>
    </row>
    <row r="56" customFormat="false" ht="15" hidden="false" customHeight="true" outlineLevel="0" collapsed="false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</row>
    <row r="57" customFormat="false" ht="15" hidden="false" customHeight="true" outlineLevel="0" collapsed="false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</row>
    <row r="58" customFormat="false" ht="15.75" hidden="false" customHeight="true" outlineLevel="0" collapsed="false">
      <c r="A58" s="126"/>
      <c r="B58" s="17" t="s">
        <v>765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26"/>
      <c r="P58" s="126"/>
      <c r="Q58" s="126"/>
    </row>
    <row r="59" customFormat="false" ht="15" hidden="false" customHeight="true" outlineLevel="0" collapsed="false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</row>
    <row r="60" customFormat="false" ht="15.75" hidden="false" customHeight="true" outlineLevel="0" collapsed="false">
      <c r="A60" s="126"/>
      <c r="B60" s="134"/>
      <c r="C60" s="126"/>
      <c r="D60" s="168" t="s">
        <v>766</v>
      </c>
      <c r="E60" s="168"/>
      <c r="F60" s="168"/>
      <c r="G60" s="168"/>
      <c r="H60" s="168"/>
      <c r="I60" s="126"/>
      <c r="J60" s="126"/>
      <c r="K60" s="126"/>
      <c r="L60" s="126"/>
      <c r="M60" s="126"/>
      <c r="N60" s="126"/>
      <c r="O60" s="126"/>
      <c r="P60" s="126"/>
      <c r="Q60" s="126"/>
    </row>
    <row r="61" customFormat="false" ht="15.75" hidden="false" customHeight="true" outlineLevel="0" collapsed="false">
      <c r="A61" s="126"/>
      <c r="B61" s="169" t="s">
        <v>767</v>
      </c>
      <c r="C61" s="170"/>
      <c r="D61" s="171" t="n">
        <f aca="false">F61-0.01</f>
        <v>0.0636</v>
      </c>
      <c r="E61" s="171" t="n">
        <f aca="false">F61-0.005</f>
        <v>0.0686</v>
      </c>
      <c r="F61" s="171" t="n">
        <f aca="false">$C$13</f>
        <v>0.0736</v>
      </c>
      <c r="G61" s="171" t="n">
        <f aca="false">F61+0.005</f>
        <v>0.0786</v>
      </c>
      <c r="H61" s="172" t="n">
        <f aca="false">F61+0.01</f>
        <v>0.0836</v>
      </c>
      <c r="I61" s="126"/>
      <c r="J61" s="126"/>
      <c r="K61" s="126"/>
      <c r="L61" s="126"/>
      <c r="M61" s="126"/>
      <c r="N61" s="126"/>
      <c r="O61" s="126"/>
      <c r="P61" s="126"/>
      <c r="Q61" s="126"/>
    </row>
    <row r="62" customFormat="false" ht="15.75" hidden="false" customHeight="true" outlineLevel="0" collapsed="false">
      <c r="A62" s="126"/>
      <c r="B62" s="173" t="n">
        <f aca="false">B64-0.01</f>
        <v>0.025</v>
      </c>
      <c r="C62" s="126"/>
      <c r="D62" s="174" t="n">
        <f aca="false" t="array" ref="D62:D62">IFERROR((SUMPRODUCT($D$24:$M$24/(1+D$61)^$D$29:$M$29)+($M$24*(1+$B62)/(D$61-$B62))/(1+D$61)^$M$29-$C$48)/$C$50,"")</f>
        <v>202.851582887442</v>
      </c>
      <c r="E62" s="174" t="n">
        <f aca="false" t="array" ref="E62:E62">IFERROR((SUMPRODUCT($D$24:$M$24/(1+E$61)^$D$29:$M$29)+($M$24*(1+$B62)/(E$61-$B62))/(1+E$61)^$M$29-$C$48)/$C$50,"")</f>
        <v>173.477146366075</v>
      </c>
      <c r="F62" s="174" t="n">
        <f aca="false" t="array" ref="F62:F62">IFERROR((SUMPRODUCT($D$24:$M$24/(1+F$61)^$D$29:$M$29)+($M$24*(1+$B62)/(F$61-$B62))/(1+F$61)^$M$29-$C$48)/$C$50,"")</f>
        <v>150.203980672492</v>
      </c>
      <c r="G62" s="174" t="n">
        <f aca="false" t="array" ref="G62:G62">IFERROR((SUMPRODUCT($D$24:$M$24/(1+G$61)^$D$29:$M$29)+($M$24*(1+$B62)/(G$61-$B62))/(1+G$61)^$M$29-$C$48)/$C$50,"")</f>
        <v>131.322961705263</v>
      </c>
      <c r="H62" s="175" t="n">
        <f aca="false" t="array" ref="H62:H62">IFERROR((SUMPRODUCT($D$24:$M$24/(1+H$61)^$D$29:$M$29)+($M$24*(1+$B62)/(H$61-$B62))/(1+H$61)^$M$29-$C$48)/$C$50,"")</f>
        <v>115.708342698618</v>
      </c>
      <c r="I62" s="126"/>
      <c r="J62" s="126"/>
      <c r="K62" s="126"/>
      <c r="L62" s="126"/>
      <c r="M62" s="126"/>
      <c r="N62" s="126"/>
      <c r="O62" s="126"/>
      <c r="P62" s="126"/>
      <c r="Q62" s="126"/>
    </row>
    <row r="63" customFormat="false" ht="15.75" hidden="false" customHeight="true" outlineLevel="0" collapsed="false">
      <c r="A63" s="126"/>
      <c r="B63" s="173" t="n">
        <f aca="false">B64-0.005</f>
        <v>0.03</v>
      </c>
      <c r="C63" s="126"/>
      <c r="D63" s="174" t="n">
        <f aca="false" t="array" ref="D63:D63">IFERROR((SUMPRODUCT($D$24:$M$24/(1+D$61)^$D$29:$M$29)+($M$24*(1+$B63)/(D$61-$B63))/(1+D$61)^$M$29-$C$48)/$C$50,"")</f>
        <v>231.261787813251</v>
      </c>
      <c r="E63" s="174" t="n">
        <f aca="false" t="array" ref="E63:E63">IFERROR((SUMPRODUCT($D$24:$M$24/(1+E$61)^$D$29:$M$29)+($M$24*(1+$B63)/(E$61-$B63))/(1+E$61)^$M$29-$C$48)/$C$50,"")</f>
        <v>194.541795727316</v>
      </c>
      <c r="F63" s="174" t="n">
        <f aca="false" t="array" ref="F63:F63">IFERROR((SUMPRODUCT($D$24:$M$24/(1+F$61)^$D$29:$M$29)+($M$24*(1+$B63)/(F$61-$B63))/(1+F$61)^$M$29-$C$48)/$C$50,"")</f>
        <v>166.303416136777</v>
      </c>
      <c r="G63" s="174" t="n">
        <f aca="false" t="array" ref="G63:G63">IFERROR((SUMPRODUCT($D$24:$M$24/(1+G$61)^$D$29:$M$29)+($M$24*(1+$B63)/(G$61-$B63))/(1+G$61)^$M$29-$C$48)/$C$50,"")</f>
        <v>143.92716197713</v>
      </c>
      <c r="H63" s="175" t="n">
        <f aca="false" t="array" ref="H63:H63">IFERROR((SUMPRODUCT($D$24:$M$24/(1+H$61)^$D$29:$M$29)+($M$24*(1+$B63)/(H$61-$B63))/(1+H$61)^$M$29-$C$48)/$C$50,"")</f>
        <v>125.771024720714</v>
      </c>
      <c r="I63" s="126"/>
      <c r="J63" s="126"/>
      <c r="K63" s="126"/>
      <c r="L63" s="126"/>
      <c r="M63" s="126"/>
      <c r="N63" s="126"/>
      <c r="O63" s="126"/>
      <c r="P63" s="126"/>
      <c r="Q63" s="126"/>
    </row>
    <row r="64" customFormat="false" ht="15.75" hidden="false" customHeight="true" outlineLevel="0" collapsed="false">
      <c r="A64" s="126"/>
      <c r="B64" s="173" t="n">
        <f aca="false">$C$27</f>
        <v>0.035</v>
      </c>
      <c r="C64" s="126"/>
      <c r="D64" s="174" t="n">
        <f aca="false" t="array" ref="D64:D64">IFERROR((SUMPRODUCT($D$24:$M$24/(1+D$61)^$D$29:$M$29)+($M$24*(1+$B64)/(D$61-$B64))/(1+D$61)^$M$29-$C$48)/$C$50,"")</f>
        <v>269.605630825006</v>
      </c>
      <c r="E64" s="174" t="n">
        <f aca="false" t="array" ref="E64:E64">IFERROR((SUMPRODUCT($D$24:$M$24/(1+E$61)^$D$29:$M$29)+($M$24*(1+$B64)/(E$61-$B64))/(1+E$61)^$M$29-$C$48)/$C$50,"")</f>
        <v>221.875685969879</v>
      </c>
      <c r="F64" s="176" t="n">
        <f aca="false" t="array" ref="F64:F64">IFERROR((SUMPRODUCT($D$24:$M$24/(1+F$61)^$D$29:$M$29)+($M$24*(1+$B64)/(F$61-$B64))/(1+F$61)^$M$29-$C$48)/$C$50,"")</f>
        <v>186.573689804245</v>
      </c>
      <c r="G64" s="174" t="n">
        <f aca="false" t="array" ref="G64:G64">IFERROR((SUMPRODUCT($D$24:$M$24/(1+G$61)^$D$29:$M$29)+($M$24*(1+$B64)/(G$61-$B64))/(1+G$61)^$M$29-$C$48)/$C$50,"")</f>
        <v>159.422233870984</v>
      </c>
      <c r="H64" s="175" t="n">
        <f aca="false" t="array" ref="H64:H64">IFERROR((SUMPRODUCT($D$24:$M$24/(1+H$61)^$D$29:$M$29)+($M$24*(1+$B64)/(H$61-$B64))/(1+H$61)^$M$29-$C$48)/$C$50,"")</f>
        <v>137.904217446944</v>
      </c>
      <c r="I64" s="126"/>
      <c r="J64" s="126"/>
      <c r="K64" s="126"/>
      <c r="L64" s="126"/>
      <c r="M64" s="126"/>
      <c r="N64" s="126"/>
      <c r="O64" s="126"/>
      <c r="P64" s="126"/>
      <c r="Q64" s="126"/>
    </row>
    <row r="65" customFormat="false" ht="15.75" hidden="false" customHeight="true" outlineLevel="0" collapsed="false">
      <c r="A65" s="126"/>
      <c r="B65" s="173" t="n">
        <f aca="false">B64+0.005</f>
        <v>0.04</v>
      </c>
      <c r="C65" s="126"/>
      <c r="D65" s="174" t="n">
        <f aca="false" t="array" ref="D65:D65">IFERROR((SUMPRODUCT($D$24:$M$24/(1+D$61)^$D$29:$M$29)+($M$24*(1+$B65)/(D$61-$B65))/(1+D$61)^$M$29-$C$48)/$C$50,"")</f>
        <v>324.196864943437</v>
      </c>
      <c r="E65" s="174" t="n">
        <f aca="false" t="array" ref="E65:E65">IFERROR((SUMPRODUCT($D$24:$M$24/(1+E$61)^$D$29:$M$29)+($M$24*(1+$B65)/(E$61-$B65))/(1+E$61)^$M$29-$C$48)/$C$50,"")</f>
        <v>258.766880493058</v>
      </c>
      <c r="F65" s="174" t="n">
        <f aca="false" t="array" ref="F65:F65">IFERROR((SUMPRODUCT($D$24:$M$24/(1+F$61)^$D$29:$M$29)+($M$24*(1+$B65)/(F$61-$B65))/(1+F$61)^$M$29-$C$48)/$C$50,"")</f>
        <v>212.876783015602</v>
      </c>
      <c r="G65" s="174" t="n">
        <f aca="false" t="array" ref="G65:G65">IFERROR((SUMPRODUCT($D$24:$M$24/(1+G$61)^$D$29:$M$29)+($M$24*(1+$B65)/(G$61-$B65))/(1+G$61)^$M$29-$C$48)/$C$50,"")</f>
        <v>178.931573094852</v>
      </c>
      <c r="H65" s="175" t="n">
        <f aca="false" t="array" ref="H65:H65">IFERROR((SUMPRODUCT($D$24:$M$24/(1+H$61)^$D$29:$M$29)+($M$24*(1+$B65)/(H$61-$B65))/(1+H$61)^$M$29-$C$48)/$C$50,"")</f>
        <v>152.820252541576</v>
      </c>
      <c r="I65" s="126"/>
      <c r="J65" s="126"/>
      <c r="K65" s="126"/>
      <c r="L65" s="126"/>
      <c r="M65" s="126"/>
      <c r="N65" s="126"/>
      <c r="O65" s="126"/>
      <c r="P65" s="126"/>
      <c r="Q65" s="126"/>
    </row>
    <row r="66" customFormat="false" ht="15.75" hidden="false" customHeight="true" outlineLevel="0" collapsed="false">
      <c r="A66" s="126"/>
      <c r="B66" s="177" t="n">
        <f aca="false">B64+0.01</f>
        <v>0.045</v>
      </c>
      <c r="C66" s="178"/>
      <c r="D66" s="179" t="n">
        <f aca="false" t="array" ref="D66:D66">IFERROR((SUMPRODUCT($D$24:$M$24/(1+D$61)^$D$29:$M$29)+($M$24*(1+$B66)/(D$61-$B66))/(1+D$61)^$M$29-$C$48)/$C$50,"")</f>
        <v>408.138224931992</v>
      </c>
      <c r="E66" s="179" t="n">
        <f aca="false" t="array" ref="E66:E66">IFERROR((SUMPRODUCT($D$24:$M$24/(1+E$61)^$D$29:$M$29)+($M$24*(1+$B66)/(E$61-$B66))/(1+E$61)^$M$29-$C$48)/$C$50,"")</f>
        <v>311.28993710233</v>
      </c>
      <c r="F66" s="179" t="n">
        <f aca="false" t="array" ref="F66:F66">IFERROR((SUMPRODUCT($D$24:$M$24/(1+F$61)^$D$29:$M$29)+($M$24*(1+$B66)/(F$61-$B66))/(1+F$61)^$M$29-$C$48)/$C$50,"")</f>
        <v>248.376761965195</v>
      </c>
      <c r="G66" s="179" t="n">
        <f aca="false" t="array" ref="G66:G66">IFERROR((SUMPRODUCT($D$24:$M$24/(1+G$61)^$D$29:$M$29)+($M$24*(1+$B66)/(G$61-$B66))/(1+G$61)^$M$29-$C$48)/$C$50,"")</f>
        <v>204.247263278205</v>
      </c>
      <c r="H66" s="180" t="n">
        <f aca="false" t="array" ref="H66:H66">IFERROR((SUMPRODUCT($D$24:$M$24/(1+H$61)^$D$29:$M$29)+($M$24*(1+$B66)/(H$61-$B66))/(1+H$61)^$M$29-$C$48)/$C$50,"")</f>
        <v>171.600545432745</v>
      </c>
      <c r="I66" s="126"/>
      <c r="J66" s="126"/>
      <c r="K66" s="126"/>
      <c r="L66" s="126"/>
      <c r="M66" s="126"/>
      <c r="N66" s="126"/>
      <c r="O66" s="126"/>
      <c r="P66" s="126"/>
      <c r="Q66" s="126"/>
    </row>
    <row r="67" customFormat="false" ht="15" hidden="false" customHeight="true" outlineLevel="0" collapsed="false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</row>
    <row r="68" customFormat="false" ht="15" hidden="false" customHeight="true" outlineLevel="0" collapsed="false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</row>
    <row r="69" customFormat="false" ht="15.75" hidden="false" customHeight="true" outlineLevel="0" collapsed="false">
      <c r="A69" s="126"/>
      <c r="B69" s="17" t="s">
        <v>768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26"/>
      <c r="P69" s="126"/>
      <c r="Q69" s="126"/>
    </row>
    <row r="70" customFormat="false" ht="15" hidden="false" customHeight="true" outlineLevel="0" collapsed="false">
      <c r="A70" s="126"/>
      <c r="B70" s="131" t="s">
        <v>769</v>
      </c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</row>
    <row r="71" customFormat="false" ht="15" hidden="false" customHeight="true" outlineLevel="0" collapsed="false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</row>
    <row r="72" customFormat="false" ht="15.75" hidden="false" customHeight="true" outlineLevel="0" collapsed="false">
      <c r="A72" s="126"/>
      <c r="B72" s="17" t="s">
        <v>770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26"/>
      <c r="P72" s="126"/>
      <c r="Q72" s="126"/>
    </row>
    <row r="73" customFormat="false" ht="15" hidden="false" customHeight="true" outlineLevel="0" collapsed="false">
      <c r="A73" s="126"/>
      <c r="B73" s="131" t="s">
        <v>771</v>
      </c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</row>
    <row r="74" customFormat="false" ht="15" hidden="false" customHeight="true" outlineLevel="0" collapsed="false">
      <c r="A74" s="126"/>
      <c r="B74" s="131" t="s">
        <v>772</v>
      </c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</row>
    <row r="75" customFormat="false" ht="15" hidden="false" customHeight="true" outlineLevel="0" collapsed="false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</row>
    <row r="76" customFormat="false" ht="15.75" hidden="false" customHeight="true" outlineLevel="0" collapsed="false">
      <c r="A76" s="126"/>
      <c r="B76" s="17" t="s">
        <v>773</v>
      </c>
      <c r="C76" s="181" t="s">
        <v>774</v>
      </c>
      <c r="D76" s="17" t="s">
        <v>775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26"/>
      <c r="P76" s="126"/>
      <c r="Q76" s="126"/>
    </row>
    <row r="77" customFormat="false" ht="15.75" hidden="false" customHeight="true" outlineLevel="0" collapsed="false">
      <c r="A77" s="126"/>
      <c r="B77" s="129" t="s">
        <v>776</v>
      </c>
      <c r="C77" s="182" t="n">
        <f aca="false">$C$13</f>
        <v>0.0736</v>
      </c>
      <c r="D77" s="131" t="s">
        <v>777</v>
      </c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</row>
    <row r="78" customFormat="false" ht="15.75" hidden="false" customHeight="true" outlineLevel="0" collapsed="false">
      <c r="A78" s="126"/>
      <c r="B78" s="129" t="s">
        <v>778</v>
      </c>
      <c r="C78" s="183" t="n">
        <v>0.065</v>
      </c>
      <c r="D78" s="131" t="s">
        <v>779</v>
      </c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</row>
    <row r="79" customFormat="false" ht="15.75" hidden="false" customHeight="true" outlineLevel="0" collapsed="false">
      <c r="A79" s="126"/>
      <c r="B79" s="129" t="s">
        <v>780</v>
      </c>
      <c r="C79" s="183" t="n">
        <v>0.12</v>
      </c>
      <c r="D79" s="131" t="s">
        <v>781</v>
      </c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</row>
    <row r="80" customFormat="false" ht="15.75" hidden="false" customHeight="true" outlineLevel="0" collapsed="false">
      <c r="A80" s="126"/>
      <c r="B80" s="129" t="s">
        <v>782</v>
      </c>
      <c r="C80" s="184" t="n">
        <v>15</v>
      </c>
      <c r="D80" s="131" t="s">
        <v>783</v>
      </c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</row>
    <row r="81" customFormat="false" ht="15" hidden="false" customHeight="true" outlineLevel="0" collapsed="false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</row>
    <row r="82" customFormat="false" ht="15.75" hidden="false" customHeight="true" outlineLevel="0" collapsed="false">
      <c r="A82" s="126"/>
      <c r="B82" s="17" t="s">
        <v>784</v>
      </c>
      <c r="C82" s="181" t="s">
        <v>774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</row>
    <row r="83" customFormat="false" ht="15.75" hidden="false" customHeight="true" outlineLevel="0" collapsed="false">
      <c r="A83" s="126"/>
      <c r="B83" s="129" t="s">
        <v>785</v>
      </c>
      <c r="C83" s="185" t="n">
        <f aca="false">1/C77</f>
        <v>13.5869565217391</v>
      </c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</row>
    <row r="84" customFormat="false" ht="15.75" hidden="false" customHeight="true" outlineLevel="0" collapsed="false">
      <c r="A84" s="126"/>
      <c r="B84" s="129" t="s">
        <v>786</v>
      </c>
      <c r="C84" s="186" t="n">
        <f aca="false">1-C77/C79</f>
        <v>0.386666666666667</v>
      </c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</row>
    <row r="85" customFormat="false" ht="15.75" hidden="false" customHeight="true" outlineLevel="0" collapsed="false">
      <c r="A85" s="126"/>
      <c r="B85" s="129" t="s">
        <v>787</v>
      </c>
      <c r="C85" s="186" t="n">
        <f aca="false">C78*C84/(C77*(C77-C78))</f>
        <v>39.7076171216717</v>
      </c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</row>
    <row r="86" customFormat="false" ht="15.75" hidden="false" customHeight="true" outlineLevel="0" collapsed="false">
      <c r="A86" s="126"/>
      <c r="B86" s="129" t="s">
        <v>788</v>
      </c>
      <c r="C86" s="187" t="n">
        <f aca="false">1-((1+C78)/(1+C77))^C80</f>
        <v>0.113647295375107</v>
      </c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</row>
    <row r="87" customFormat="false" ht="15.75" hidden="false" customHeight="true" outlineLevel="0" collapsed="false">
      <c r="A87" s="126"/>
      <c r="B87" s="129" t="s">
        <v>789</v>
      </c>
      <c r="C87" s="185" t="n">
        <f aca="false">C85*C86</f>
        <v>4.51266329166829</v>
      </c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</row>
    <row r="88" customFormat="false" ht="15.75" hidden="false" customHeight="true" outlineLevel="0" collapsed="false">
      <c r="A88" s="126"/>
      <c r="B88" s="12" t="s">
        <v>790</v>
      </c>
      <c r="C88" s="188" t="n">
        <f aca="false">C83+C87</f>
        <v>18.0996198134074</v>
      </c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</row>
    <row r="89" customFormat="false" ht="15" hidden="false" customHeight="true" outlineLevel="0" collapsed="false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</row>
    <row r="90" customFormat="false" ht="15.75" hidden="false" customHeight="true" outlineLevel="0" collapsed="false">
      <c r="A90" s="126"/>
      <c r="B90" s="17" t="s">
        <v>791</v>
      </c>
      <c r="C90" s="181" t="s">
        <v>792</v>
      </c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</row>
    <row r="91" customFormat="false" ht="15.75" hidden="false" customHeight="true" outlineLevel="0" collapsed="false">
      <c r="A91" s="126"/>
      <c r="B91" s="129" t="s">
        <v>793</v>
      </c>
      <c r="C91" s="189" t="n">
        <f aca="false">Model!CC187-Model!CC174</f>
        <v>2399.25306585299</v>
      </c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</row>
    <row r="92" customFormat="false" ht="15.75" hidden="false" customHeight="true" outlineLevel="0" collapsed="false">
      <c r="A92" s="126"/>
      <c r="B92" s="129" t="s">
        <v>794</v>
      </c>
      <c r="C92" s="190" t="n">
        <f aca="false">$C$10</f>
        <v>0.24</v>
      </c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</row>
    <row r="93" customFormat="false" ht="15.75" hidden="false" customHeight="true" outlineLevel="0" collapsed="false">
      <c r="A93" s="126"/>
      <c r="B93" s="129" t="s">
        <v>795</v>
      </c>
      <c r="C93" s="26" t="n">
        <f aca="false">C91*(1-C92)</f>
        <v>1823.43233004827</v>
      </c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</row>
    <row r="94" customFormat="false" ht="15.75" hidden="false" customHeight="true" outlineLevel="0" collapsed="false">
      <c r="A94" s="126"/>
      <c r="B94" s="129" t="s">
        <v>796</v>
      </c>
      <c r="C94" s="191" t="n">
        <f aca="false">C88</f>
        <v>18.0996198134074</v>
      </c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</row>
    <row r="95" customFormat="false" ht="15.75" hidden="false" customHeight="true" outlineLevel="0" collapsed="false">
      <c r="A95" s="126"/>
      <c r="B95" s="129" t="s">
        <v>797</v>
      </c>
      <c r="C95" s="26" t="n">
        <f aca="false">C93*C94</f>
        <v>33003.4319293494</v>
      </c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</row>
    <row r="96" customFormat="false" ht="15.75" hidden="false" customHeight="true" outlineLevel="0" collapsed="false">
      <c r="A96" s="126"/>
      <c r="B96" s="129" t="s">
        <v>798</v>
      </c>
      <c r="C96" s="189" t="n">
        <f aca="false">Model!CB420+Model!CB341</f>
        <v>9827.6218021534</v>
      </c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</row>
    <row r="97" customFormat="false" ht="15.75" hidden="false" customHeight="true" outlineLevel="0" collapsed="false">
      <c r="A97" s="126"/>
      <c r="B97" s="129" t="s">
        <v>799</v>
      </c>
      <c r="C97" s="26" t="n">
        <f aca="false">C95-C96</f>
        <v>23175.810127196</v>
      </c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</row>
    <row r="98" customFormat="false" ht="15.75" hidden="false" customHeight="true" outlineLevel="0" collapsed="false">
      <c r="A98" s="126"/>
      <c r="B98" s="129" t="s">
        <v>800</v>
      </c>
      <c r="C98" s="192" t="n">
        <f aca="false">Model!CC426</f>
        <v>238.077774397704</v>
      </c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</row>
    <row r="99" customFormat="false" ht="15.75" hidden="false" customHeight="true" outlineLevel="0" collapsed="false">
      <c r="A99" s="126"/>
      <c r="B99" s="12" t="s">
        <v>801</v>
      </c>
      <c r="C99" s="193" t="n">
        <f aca="false">C97/C98</f>
        <v>97.345542589294</v>
      </c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</row>
    <row r="100" customFormat="false" ht="15" hidden="false" customHeight="true" outlineLevel="0" collapsed="false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</row>
    <row r="101" customFormat="false" ht="15.75" hidden="false" customHeight="true" outlineLevel="0" collapsed="false">
      <c r="A101" s="126"/>
      <c r="B101" s="129" t="s">
        <v>758</v>
      </c>
      <c r="C101" s="194" t="n">
        <f aca="false">C52</f>
        <v>155</v>
      </c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</row>
    <row r="102" customFormat="false" ht="15.75" hidden="false" customHeight="true" outlineLevel="0" collapsed="false">
      <c r="A102" s="126"/>
      <c r="B102" s="134" t="s">
        <v>759</v>
      </c>
      <c r="C102" s="195" t="n">
        <f aca="false">C99/C101-1</f>
        <v>-0.371964241359394</v>
      </c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</row>
    <row r="103" customFormat="false" ht="15" hidden="false" customHeight="true" outlineLevel="0" collapsed="false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</row>
    <row r="104" customFormat="false" ht="15.75" hidden="false" customHeight="true" outlineLevel="0" collapsed="false">
      <c r="A104" s="126"/>
      <c r="B104" s="17" t="s">
        <v>802</v>
      </c>
      <c r="C104" s="181" t="s">
        <v>792</v>
      </c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</row>
    <row r="105" customFormat="false" ht="15.75" hidden="false" customHeight="true" outlineLevel="0" collapsed="false">
      <c r="A105" s="126"/>
      <c r="B105" s="129" t="s">
        <v>803</v>
      </c>
      <c r="C105" s="26" t="n">
        <f aca="false">C52*C50</f>
        <v>38792.33714</v>
      </c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</row>
    <row r="106" customFormat="false" ht="15.75" hidden="false" customHeight="true" outlineLevel="0" collapsed="false">
      <c r="A106" s="126"/>
      <c r="B106" s="129" t="s">
        <v>804</v>
      </c>
      <c r="C106" s="26" t="n">
        <f aca="false">C48</f>
        <v>9053.98128667306</v>
      </c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</row>
    <row r="107" customFormat="false" ht="15.75" hidden="false" customHeight="true" outlineLevel="0" collapsed="false">
      <c r="A107" s="126"/>
      <c r="B107" s="129" t="s">
        <v>805</v>
      </c>
      <c r="C107" s="26" t="n">
        <f aca="false">C105+C106</f>
        <v>47846.3184266731</v>
      </c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</row>
    <row r="108" customFormat="false" ht="15.75" hidden="false" customHeight="true" outlineLevel="0" collapsed="false">
      <c r="A108" s="126"/>
      <c r="B108" s="12" t="s">
        <v>806</v>
      </c>
      <c r="C108" s="196" t="n">
        <f aca="false">C107/C93</f>
        <v>26.2397006119807</v>
      </c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</row>
    <row r="109" customFormat="false" ht="15" hidden="false" customHeight="true" outlineLevel="0" collapsed="false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</row>
    <row r="110" customFormat="false" ht="15.75" hidden="false" customHeight="true" outlineLevel="0" collapsed="false">
      <c r="A110" s="126"/>
      <c r="B110" s="134" t="s">
        <v>807</v>
      </c>
      <c r="C110" s="197" t="n">
        <f aca="false">C88-C108</f>
        <v>-8.14008079857327</v>
      </c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</row>
    <row r="111" customFormat="false" ht="15.75" hidden="false" customHeight="true" outlineLevel="0" collapsed="false">
      <c r="A111" s="126"/>
      <c r="B111" s="129" t="s">
        <v>808</v>
      </c>
      <c r="C111" s="38" t="n">
        <f aca="false">C88/C108-1</f>
        <v>-0.310220033335922</v>
      </c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</row>
    <row r="112" customFormat="false" ht="15" hidden="false" customHeight="true" outlineLevel="0" collapsed="false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</row>
    <row r="113" customFormat="false" ht="15" hidden="false" customHeight="true" outlineLevel="0" collapsed="false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</row>
    <row r="114" customFormat="false" ht="15" hidden="false" customHeight="true" outlineLevel="0" collapsed="false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</row>
    <row r="115" customFormat="false" ht="15" hidden="false" customHeight="true" outlineLevel="0" collapsed="false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</row>
    <row r="116" customFormat="false" ht="15" hidden="false" customHeight="false" outlineLevel="0" collapsed="false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</row>
    <row r="117" customFormat="false" ht="15" hidden="false" customHeight="true" outlineLevel="0" collapsed="false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</row>
    <row r="118" customFormat="false" ht="15" hidden="false" customHeight="true" outlineLevel="0" collapsed="false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</row>
    <row r="119" customFormat="false" ht="15" hidden="false" customHeight="false" outlineLevel="0" collapsed="false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</row>
    <row r="120" customFormat="false" ht="15" hidden="false" customHeight="false" outlineLevel="0" collapsed="false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</row>
    <row r="121" customFormat="false" ht="15" hidden="false" customHeight="false" outlineLevel="0" collapsed="false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</row>
    <row r="122" customFormat="false" ht="15" hidden="false" customHeight="false" outlineLevel="0" collapsed="false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</row>
    <row r="123" customFormat="false" ht="15" hidden="false" customHeight="false" outlineLevel="0" collapsed="false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</row>
    <row r="124" customFormat="false" ht="15" hidden="false" customHeight="false" outlineLevel="0" collapsed="false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</row>
    <row r="125" customFormat="false" ht="15" hidden="false" customHeight="false" outlineLevel="0" collapsed="false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</row>
    <row r="126" customFormat="false" ht="15" hidden="false" customHeight="false" outlineLevel="0" collapsed="false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</row>
    <row r="127" customFormat="false" ht="15" hidden="false" customHeight="false" outlineLevel="0" collapsed="false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</row>
    <row r="128" customFormat="false" ht="15" hidden="false" customHeight="false" outlineLevel="0" collapsed="false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</row>
    <row r="129" customFormat="false" ht="15" hidden="false" customHeight="false" outlineLevel="0" collapsed="false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</row>
    <row r="130" customFormat="false" ht="15" hidden="false" customHeight="false" outlineLevel="0" collapsed="false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</row>
  </sheetData>
  <mergeCells count="1">
    <mergeCell ref="D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7421875" defaultRowHeight="15" zeroHeight="false" outlineLevelRow="0" outlineLevelCol="0"/>
  <cols>
    <col collapsed="false" customWidth="true" hidden="false" outlineLevel="0" max="2" min="2" style="1" width="30"/>
  </cols>
  <sheetData>
    <row r="2" customFormat="false" ht="17.25" hidden="false" customHeight="true" outlineLevel="0" collapsed="false">
      <c r="B2" s="198" t="s">
        <v>809</v>
      </c>
    </row>
    <row r="3" customFormat="false" ht="15" hidden="false" customHeight="true" outlineLevel="0" collapsed="false">
      <c r="B3" s="90" t="s">
        <v>810</v>
      </c>
    </row>
    <row r="7" customFormat="false" ht="15" hidden="false" customHeight="true" outlineLevel="0" collapsed="false">
      <c r="C7" s="92" t="n">
        <v>2006</v>
      </c>
      <c r="D7" s="92" t="n">
        <v>2007</v>
      </c>
      <c r="E7" s="92" t="n">
        <v>2008</v>
      </c>
      <c r="F7" s="92" t="n">
        <v>2009</v>
      </c>
      <c r="G7" s="92" t="n">
        <v>2010</v>
      </c>
      <c r="H7" s="92" t="n">
        <v>2011</v>
      </c>
      <c r="I7" s="92" t="n">
        <v>2012</v>
      </c>
      <c r="J7" s="92" t="n">
        <v>2013</v>
      </c>
      <c r="K7" s="92" t="n">
        <v>2014</v>
      </c>
      <c r="L7" s="92" t="n">
        <v>2015</v>
      </c>
      <c r="M7" s="92" t="n">
        <v>2016</v>
      </c>
      <c r="N7" s="92" t="n">
        <v>2017</v>
      </c>
      <c r="O7" s="92" t="n">
        <v>2018</v>
      </c>
      <c r="P7" s="92" t="n">
        <v>2019</v>
      </c>
      <c r="Q7" s="92" t="n">
        <v>2020</v>
      </c>
      <c r="R7" s="92" t="n">
        <v>2021</v>
      </c>
      <c r="S7" s="92" t="n">
        <v>2022</v>
      </c>
      <c r="T7" s="92" t="n">
        <v>2023</v>
      </c>
      <c r="U7" s="92" t="n">
        <v>2024</v>
      </c>
      <c r="V7" s="92" t="n">
        <v>2025</v>
      </c>
    </row>
    <row r="8" customFormat="false" ht="15" hidden="false" customHeight="true" outlineLevel="0" collapsed="false">
      <c r="B8" s="1" t="s">
        <v>811</v>
      </c>
      <c r="C8" s="199" t="n">
        <f aca="false">IFERROR(Model!C26+0,0)</f>
        <v>0.028</v>
      </c>
      <c r="D8" s="199" t="n">
        <f aca="false">IFERROR(Model!D26+0,0)</f>
        <v>0.04</v>
      </c>
      <c r="E8" s="199" t="n">
        <f aca="false">IFERROR(Model!E26+0,0)</f>
        <v>-0.019</v>
      </c>
      <c r="F8" s="199" t="n">
        <f aca="false">IFERROR(Model!F26+0,0)</f>
        <v>-0.062</v>
      </c>
      <c r="G8" s="199" t="n">
        <f aca="false">IFERROR(Model!G26+0,0)</f>
        <v>0</v>
      </c>
      <c r="H8" s="199" t="n">
        <f aca="false">IFERROR(Model!H26+0,0)</f>
        <v>-0.003</v>
      </c>
      <c r="I8" s="199" t="n">
        <f aca="false">IFERROR(Model!I26+0,0)</f>
        <v>-0.021</v>
      </c>
      <c r="J8" s="199" t="n">
        <f aca="false">IFERROR(Model!N26+0,IFERROR(AVERAGE(Model!J26:M26),0))</f>
        <v>0.007</v>
      </c>
      <c r="K8" s="199" t="n">
        <f aca="false">IFERROR(Model!S26+0,IFERROR(AVERAGE(Model!O26:R26),0))</f>
        <v>0.021</v>
      </c>
      <c r="L8" s="199" t="n">
        <f aca="false">IFERROR(Model!X26+0,IFERROR(AVERAGE(Model!T26:W26),0))</f>
        <v>0.022</v>
      </c>
      <c r="M8" s="199" t="n">
        <f aca="false">IFERROR(Model!AC26+0,IFERROR(AVERAGE(Model!Y26:AB26),0))</f>
        <v>0.019</v>
      </c>
      <c r="N8" s="199" t="n">
        <f aca="false">IFERROR(Model!AH26+0,IFERROR(AVERAGE(Model!AD26:AG26),0))</f>
        <v>0.012</v>
      </c>
      <c r="O8" s="199" t="n">
        <f aca="false">IFERROR(Model!AM26+0,IFERROR(AVERAGE(Model!AI26:AL26),0))</f>
        <v>-0.007</v>
      </c>
      <c r="P8" s="199" t="n">
        <f aca="false">IFERROR(Model!AR26+0,IFERROR(AVERAGE(Model!AN26:AQ26),0))</f>
        <v>-0.002</v>
      </c>
      <c r="Q8" s="199" t="n">
        <f aca="false">IFERROR(Model!AW26+0,IFERROR(AVERAGE(Model!AS26:AV26),0))</f>
        <v>-0.048</v>
      </c>
      <c r="R8" s="199" t="n">
        <f aca="false">IFERROR(Model!BB26+0,IFERROR(AVERAGE(Model!AX26:BA26),0))</f>
        <v>0.016</v>
      </c>
      <c r="S8" s="199" t="n">
        <f aca="false">IFERROR(Model!BG26+0,IFERROR(AVERAGE(Model!BC26:BF26),0))</f>
        <v>-0.011</v>
      </c>
      <c r="T8" s="199" t="n">
        <f aca="false">IFERROR(Model!BL26+0,IFERROR(AVERAGE(Model!BH26:BK26),0))</f>
        <v>-0.02</v>
      </c>
      <c r="U8" s="199" t="n">
        <f aca="false">IFERROR(Model!BQ26+0,IFERROR(AVERAGE(Model!BM26:BP26),0))</f>
        <v>-0.029</v>
      </c>
      <c r="V8" s="199" t="n">
        <f aca="false">IFERROR(Model!BV26+0,IFERROR(AVERAGE(Model!BR26:BU26),0))</f>
        <v>-0.028</v>
      </c>
    </row>
    <row r="9" customFormat="false" ht="15" hidden="false" customHeight="true" outlineLevel="0" collapsed="false">
      <c r="B9" s="1" t="s">
        <v>812</v>
      </c>
      <c r="C9" s="199" t="n">
        <f aca="false">IFERROR(Model!C24+0,0)</f>
        <v>0.051</v>
      </c>
      <c r="D9" s="199" t="n">
        <f aca="false">IFERROR(Model!D24+0,0)</f>
        <v>0.047</v>
      </c>
      <c r="E9" s="199" t="n">
        <f aca="false">IFERROR(Model!E24+0,0)</f>
        <v>0.056</v>
      </c>
      <c r="F9" s="199" t="n">
        <f aca="false">IFERROR(Model!F24+0,0)</f>
        <v>0.048</v>
      </c>
      <c r="G9" s="199" t="n">
        <f aca="false">IFERROR(Model!G24+0,0)</f>
        <v>0.027</v>
      </c>
      <c r="H9" s="199" t="n">
        <f aca="false">IFERROR(Model!H24+0,0)</f>
        <v>0.036</v>
      </c>
      <c r="I9" s="199" t="n">
        <f aca="false">IFERROR(Model!I24+0,0)</f>
        <v>0.032</v>
      </c>
      <c r="J9" s="199" t="n">
        <f aca="false">IFERROR(Model!N24+0,IFERROR(AVERAGE(Model!J24:M24),0))</f>
        <v>0.026</v>
      </c>
      <c r="K9" s="199" t="n">
        <f aca="false">IFERROR(Model!S24+0,IFERROR(AVERAGE(Model!O24:R24),0))</f>
        <v>0.028</v>
      </c>
      <c r="L9" s="199" t="n">
        <f aca="false">IFERROR(Model!X24+0,IFERROR(AVERAGE(Model!T24:W24),0))</f>
        <v>0.028</v>
      </c>
      <c r="M9" s="199" t="n">
        <f aca="false">IFERROR(Model!AC24+0,IFERROR(AVERAGE(Model!Y24:AB24),0))</f>
        <v>0.028</v>
      </c>
      <c r="N9" s="199" t="n">
        <f aca="false">IFERROR(Model!AH24+0,IFERROR(AVERAGE(Model!AD24:AG24),0))</f>
        <v>0.031</v>
      </c>
      <c r="O9" s="199" t="n">
        <f aca="false">IFERROR(Model!AM24+0,IFERROR(AVERAGE(Model!AI24:AL24),0))</f>
        <v>0.041</v>
      </c>
      <c r="P9" s="199" t="n">
        <f aca="false">IFERROR(Model!AR24+0,IFERROR(AVERAGE(Model!AN24:AQ24),0))</f>
        <v>0.051</v>
      </c>
      <c r="Q9" s="199" t="n">
        <f aca="false">IFERROR(Model!AW24+0,IFERROR(AVERAGE(Model!AS24:AV24),0))</f>
        <v>0.045</v>
      </c>
      <c r="R9" s="199" t="n">
        <f aca="false">IFERROR(Model!BB24+0,IFERROR(AVERAGE(Model!AX24:BA24),0))</f>
        <v>0.047</v>
      </c>
      <c r="S9" s="199" t="n">
        <f aca="false">IFERROR(Model!BG24+0,IFERROR(AVERAGE(Model!BC24:BF24),0))</f>
        <v>0.077</v>
      </c>
      <c r="T9" s="199" t="n">
        <f aca="false">IFERROR(Model!BL24+0,IFERROR(AVERAGE(Model!BH24:BK24),0))</f>
        <v>0.095</v>
      </c>
      <c r="U9" s="199" t="n">
        <f aca="false">IFERROR(Model!BQ24+0,IFERROR(AVERAGE(Model!BM24:BP24),0))</f>
        <v>0.071</v>
      </c>
      <c r="V9" s="199" t="n">
        <f aca="false">IFERROR(Model!BV24+0,IFERROR(AVERAGE(Model!BR24:BU24),0))</f>
        <v>0.065</v>
      </c>
    </row>
    <row r="11" customFormat="false" ht="15" hidden="false" customHeight="true" outlineLevel="0" collapsed="false">
      <c r="C11" s="92" t="n">
        <f aca="false">C7</f>
        <v>2006</v>
      </c>
      <c r="D11" s="92" t="n">
        <f aca="false">D7</f>
        <v>2007</v>
      </c>
      <c r="E11" s="92" t="n">
        <f aca="false">E7</f>
        <v>2008</v>
      </c>
      <c r="F11" s="92" t="n">
        <f aca="false">F7</f>
        <v>2009</v>
      </c>
      <c r="G11" s="92" t="n">
        <f aca="false">G7</f>
        <v>2010</v>
      </c>
      <c r="H11" s="92" t="n">
        <f aca="false">H7</f>
        <v>2011</v>
      </c>
      <c r="I11" s="92" t="n">
        <f aca="false">I7</f>
        <v>2012</v>
      </c>
      <c r="J11" s="92" t="n">
        <f aca="false">J7</f>
        <v>2013</v>
      </c>
      <c r="K11" s="92" t="n">
        <f aca="false">K7</f>
        <v>2014</v>
      </c>
      <c r="L11" s="92" t="n">
        <f aca="false">L7</f>
        <v>2015</v>
      </c>
      <c r="M11" s="92" t="n">
        <f aca="false">M7</f>
        <v>2016</v>
      </c>
      <c r="N11" s="92" t="n">
        <f aca="false">N7</f>
        <v>2017</v>
      </c>
      <c r="O11" s="92" t="n">
        <f aca="false">O7</f>
        <v>2018</v>
      </c>
      <c r="P11" s="92" t="n">
        <f aca="false">P7</f>
        <v>2019</v>
      </c>
      <c r="Q11" s="92" t="n">
        <f aca="false">Q7</f>
        <v>2020</v>
      </c>
      <c r="R11" s="92" t="n">
        <f aca="false">R7</f>
        <v>2021</v>
      </c>
      <c r="S11" s="92" t="n">
        <f aca="false">S7</f>
        <v>2022</v>
      </c>
      <c r="T11" s="92" t="n">
        <f aca="false">T7</f>
        <v>2023</v>
      </c>
      <c r="U11" s="92" t="n">
        <f aca="false">U7</f>
        <v>2024</v>
      </c>
      <c r="V11" s="92" t="n">
        <f aca="false">V7</f>
        <v>2025</v>
      </c>
    </row>
    <row r="12" customFormat="false" ht="15" hidden="false" customHeight="true" outlineLevel="0" collapsed="false">
      <c r="B12" s="1" t="s">
        <v>636</v>
      </c>
      <c r="C12" s="200" t="n">
        <f aca="false">Model!C180</f>
        <v>247.047</v>
      </c>
      <c r="D12" s="200" t="n">
        <f aca="false">Model!D180</f>
        <v>292.887</v>
      </c>
      <c r="E12" s="200" t="n">
        <f aca="false">Model!E180</f>
        <v>313.314</v>
      </c>
      <c r="F12" s="200" t="n">
        <f aca="false">Model!F180</f>
        <v>368.833</v>
      </c>
      <c r="G12" s="200" t="n">
        <f aca="false">Model!G180</f>
        <v>424.257</v>
      </c>
      <c r="H12" s="200" t="n">
        <f aca="false">Model!H180</f>
        <v>489.53</v>
      </c>
      <c r="I12" s="200" t="n">
        <f aca="false">Model!I180</f>
        <v>528.419</v>
      </c>
      <c r="J12" s="200" t="n">
        <f aca="false">Model!N180</f>
        <v>657.002</v>
      </c>
      <c r="K12" s="200" t="n">
        <f aca="false">Model!S180</f>
        <v>717.078</v>
      </c>
      <c r="L12" s="200" t="n">
        <f aca="false">Model!X180</f>
        <v>710.607</v>
      </c>
      <c r="M12" s="200" t="n">
        <f aca="false">Model!AC180</f>
        <v>1071.089</v>
      </c>
      <c r="N12" s="200" t="n">
        <f aca="false">Model!AH180</f>
        <v>1460.525</v>
      </c>
      <c r="O12" s="200" t="n">
        <f aca="false">Model!AM180</f>
        <v>1566.418</v>
      </c>
      <c r="P12" s="200" t="n">
        <f aca="false">Model!AR180</f>
        <v>1673.554</v>
      </c>
      <c r="Q12" s="200" t="n">
        <f aca="false">Model!AW180</f>
        <v>1661.984</v>
      </c>
      <c r="R12" s="200" t="n">
        <f aca="false">Model!BB180</f>
        <v>1919.158</v>
      </c>
      <c r="S12" s="200" t="n">
        <f aca="false">Model!BG180</f>
        <v>2220.652</v>
      </c>
      <c r="T12" s="200" t="n">
        <f aca="false">Model!BL180</f>
        <v>2522.956</v>
      </c>
      <c r="U12" s="200" t="n">
        <f aca="false">Model!BQ180</f>
        <v>2901.865</v>
      </c>
      <c r="V12" s="200" t="n">
        <f aca="false">Model!BV180</f>
        <v>3124.555</v>
      </c>
    </row>
    <row r="13" customFormat="false" ht="15" hidden="false" customHeight="true" outlineLevel="0" collapsed="false">
      <c r="B13" s="1" t="s">
        <v>671</v>
      </c>
      <c r="C13" s="200" t="n">
        <f aca="false">Model!C134</f>
        <v>171.386</v>
      </c>
      <c r="D13" s="200" t="n">
        <f aca="false">Model!D134</f>
        <v>207.009</v>
      </c>
      <c r="E13" s="200" t="n">
        <f aca="false">Model!E134</f>
        <v>212.356</v>
      </c>
      <c r="F13" s="200" t="n">
        <f aca="false">Model!F134</f>
        <v>230.675</v>
      </c>
      <c r="G13" s="200" t="n">
        <f aca="false">Model!G134</f>
        <v>272.383</v>
      </c>
      <c r="H13" s="200" t="n">
        <f aca="false">Model!H134</f>
        <v>317.062</v>
      </c>
      <c r="I13" s="200" t="n">
        <f aca="false">Model!I134</f>
        <v>316.147</v>
      </c>
      <c r="J13" s="200" t="n">
        <f aca="false">Model!N134</f>
        <v>394.72</v>
      </c>
      <c r="K13" s="200" t="n">
        <f aca="false">Model!S134</f>
        <v>449.269</v>
      </c>
      <c r="L13" s="200" t="n">
        <f aca="false">Model!X134</f>
        <v>-61.5320000000003</v>
      </c>
      <c r="M13" s="200" t="n">
        <f aca="false">Model!AC134</f>
        <v>452.298</v>
      </c>
      <c r="N13" s="200" t="n">
        <f aca="false">Model!AH134</f>
        <v>627.098</v>
      </c>
      <c r="O13" s="200" t="n">
        <f aca="false">Model!AM134</f>
        <v>832.244</v>
      </c>
      <c r="P13" s="200" t="n">
        <f aca="false">Model!AR134</f>
        <v>837.778</v>
      </c>
      <c r="Q13" s="200" t="n">
        <f aca="false">Model!AW134</f>
        <v>412.428</v>
      </c>
      <c r="R13" s="200" t="n">
        <f aca="false">Model!BB134</f>
        <v>1039.625</v>
      </c>
      <c r="S13" s="200" t="n">
        <f aca="false">Model!BG134</f>
        <v>1242.19</v>
      </c>
      <c r="T13" s="200" t="n">
        <f aca="false">Model!BL134</f>
        <v>1236.312</v>
      </c>
      <c r="U13" s="200" t="n">
        <f aca="false">Model!BQ134</f>
        <v>1067.659</v>
      </c>
      <c r="V13" s="200" t="n">
        <f aca="false">Model!BV134</f>
        <v>1710.174</v>
      </c>
    </row>
    <row r="14" customFormat="false" ht="15" hidden="false" customHeight="true" outlineLevel="0" collapsed="false">
      <c r="B14" s="1" t="s">
        <v>813</v>
      </c>
      <c r="C14" s="199" t="n">
        <f aca="false">Model!C225</f>
        <v>0.299685571975147</v>
      </c>
      <c r="D14" s="199" t="n">
        <f aca="false">Model!D225</f>
        <v>0.305555004950232</v>
      </c>
      <c r="E14" s="199" t="n">
        <f aca="false">Model!E225</f>
        <v>0.29850714984618</v>
      </c>
      <c r="F14" s="199" t="n">
        <f aca="false">Model!F225</f>
        <v>0.309581305245205</v>
      </c>
      <c r="G14" s="199" t="n">
        <f aca="false">Model!G225</f>
        <v>0.321465997149475</v>
      </c>
      <c r="H14" s="199" t="n">
        <f aca="false">Model!H225</f>
        <v>0.325190020234282</v>
      </c>
      <c r="I14" s="199" t="n">
        <f aca="false">Model!I225</f>
        <v>0.318014730220785</v>
      </c>
      <c r="J14" s="199" t="n">
        <f aca="false">Model!N225</f>
        <v>0.34062821606236</v>
      </c>
      <c r="K14" s="199" t="n">
        <f aca="false">Model!S225</f>
        <v>0.344887325013972</v>
      </c>
      <c r="L14" s="199" t="n">
        <f aca="false">Model!X225</f>
        <v>0.335621481641365</v>
      </c>
      <c r="M14" s="199" t="n">
        <f aca="false">Model!AC225</f>
        <v>0.317278574397125</v>
      </c>
      <c r="N14" s="199" t="n">
        <f aca="false">Model!AH225</f>
        <v>0.315414919550596</v>
      </c>
      <c r="O14" s="199" t="n">
        <f aca="false">Model!AM225</f>
        <v>0.318187441206385</v>
      </c>
      <c r="P14" s="199" t="n">
        <f aca="false">Model!AR225</f>
        <v>0.310568508534281</v>
      </c>
      <c r="Q14" s="199" t="n">
        <f aca="false">Model!AW225</f>
        <v>0.305175734806711</v>
      </c>
      <c r="R14" s="199" t="n">
        <f aca="false">Model!BB225</f>
        <v>0.311989167925602</v>
      </c>
      <c r="S14" s="199" t="n">
        <f aca="false">Model!BG225</f>
        <v>0.307916724384101</v>
      </c>
      <c r="T14" s="199" t="n">
        <f aca="false">Model!BL225</f>
        <v>0.314506533385706</v>
      </c>
      <c r="U14" s="199" t="n">
        <f aca="false">Model!BQ225</f>
        <v>0.325336105657759</v>
      </c>
      <c r="V14" s="199" t="n">
        <f aca="false">Model!BV225</f>
        <v>0.330049968759622</v>
      </c>
    </row>
    <row r="15" customFormat="false" ht="15" hidden="false" customHeight="true" outlineLevel="0" collapsed="false">
      <c r="B15" s="1" t="s">
        <v>814</v>
      </c>
      <c r="C15" s="199" t="n">
        <f aca="false">Model!C227</f>
        <v>0.207903400723476</v>
      </c>
      <c r="D15" s="199" t="n">
        <f aca="false">Model!D227</f>
        <v>0.21596259314938</v>
      </c>
      <c r="E15" s="199" t="n">
        <f aca="false">Model!E227</f>
        <v>0.202320305868028</v>
      </c>
      <c r="F15" s="199" t="n">
        <f aca="false">Model!F227</f>
        <v>0.193617890989791</v>
      </c>
      <c r="G15" s="199" t="n">
        <f aca="false">Model!G227</f>
        <v>0.206388751868715</v>
      </c>
      <c r="H15" s="199" t="n">
        <f aca="false">Model!H227</f>
        <v>0.210621204411419</v>
      </c>
      <c r="I15" s="199" t="n">
        <f aca="false">Model!I227</f>
        <v>0.190264549372961</v>
      </c>
      <c r="J15" s="199" t="n">
        <f aca="false">Model!N227</f>
        <v>0.204645905863506</v>
      </c>
      <c r="K15" s="199" t="n">
        <f aca="false">Model!S227</f>
        <v>0.216081351849732</v>
      </c>
      <c r="L15" s="199" t="n">
        <f aca="false">Model!X227</f>
        <v>-0.0290617190772911</v>
      </c>
      <c r="M15" s="199" t="n">
        <f aca="false">Model!AC227</f>
        <v>0.133979963049448</v>
      </c>
      <c r="N15" s="199" t="n">
        <f aca="false">Model!AH227</f>
        <v>0.13542805855452</v>
      </c>
      <c r="O15" s="199" t="n">
        <f aca="false">Model!AM227</f>
        <v>0.169054229981631</v>
      </c>
      <c r="P15" s="199" t="n">
        <f aca="false">Model!AR227</f>
        <v>0.155470014079517</v>
      </c>
      <c r="Q15" s="199" t="n">
        <f aca="false">Model!AW227</f>
        <v>0.0757305834200944</v>
      </c>
      <c r="R15" s="199" t="n">
        <f aca="false">Model!BB227</f>
        <v>0.169007313991164</v>
      </c>
      <c r="S15" s="199" t="n">
        <f aca="false">Model!BG227</f>
        <v>0.172242690823545</v>
      </c>
      <c r="T15" s="199" t="n">
        <f aca="false">Model!BL227</f>
        <v>0.154116124618562</v>
      </c>
      <c r="U15" s="199" t="n">
        <f aca="false">Model!BQ227</f>
        <v>0.119698201408562</v>
      </c>
      <c r="V15" s="199" t="n">
        <f aca="false">Model!BV227</f>
        <v>0.180647444283592</v>
      </c>
    </row>
    <row r="17" customFormat="false" ht="15" hidden="false" customHeight="true" outlineLevel="0" collapsed="false">
      <c r="C17" s="92" t="n">
        <f aca="false">C7</f>
        <v>2006</v>
      </c>
      <c r="D17" s="92" t="n">
        <f aca="false">D7</f>
        <v>2007</v>
      </c>
      <c r="E17" s="92" t="n">
        <f aca="false">E7</f>
        <v>2008</v>
      </c>
      <c r="F17" s="92" t="n">
        <f aca="false">F7</f>
        <v>2009</v>
      </c>
      <c r="G17" s="92" t="n">
        <f aca="false">G7</f>
        <v>2010</v>
      </c>
      <c r="H17" s="92" t="n">
        <f aca="false">H7</f>
        <v>2011</v>
      </c>
      <c r="I17" s="92" t="n">
        <f aca="false">I7</f>
        <v>2012</v>
      </c>
      <c r="J17" s="92" t="n">
        <f aca="false">J7</f>
        <v>2013</v>
      </c>
      <c r="K17" s="92" t="n">
        <f aca="false">K7</f>
        <v>2014</v>
      </c>
      <c r="L17" s="92" t="n">
        <f aca="false">L7</f>
        <v>2015</v>
      </c>
      <c r="M17" s="92" t="n">
        <f aca="false">M7</f>
        <v>2016</v>
      </c>
      <c r="N17" s="92" t="n">
        <f aca="false">N7</f>
        <v>2017</v>
      </c>
      <c r="O17" s="92" t="n">
        <f aca="false">O7</f>
        <v>2018</v>
      </c>
      <c r="P17" s="92" t="n">
        <f aca="false">P7</f>
        <v>2019</v>
      </c>
      <c r="Q17" s="92" t="n">
        <f aca="false">Q7</f>
        <v>2020</v>
      </c>
      <c r="R17" s="92" t="n">
        <f aca="false">R7</f>
        <v>2021</v>
      </c>
      <c r="S17" s="92" t="n">
        <f aca="false">S7</f>
        <v>2022</v>
      </c>
      <c r="T17" s="92" t="n">
        <f aca="false">T7</f>
        <v>2023</v>
      </c>
      <c r="U17" s="92" t="n">
        <f aca="false">U7</f>
        <v>2024</v>
      </c>
      <c r="V17" s="92" t="n">
        <f aca="false">V7</f>
        <v>2025</v>
      </c>
    </row>
    <row r="18" customFormat="false" ht="15" hidden="false" customHeight="true" outlineLevel="0" collapsed="false">
      <c r="B18" s="1" t="s">
        <v>690</v>
      </c>
      <c r="C18" s="199" t="n">
        <f aca="false">IFERROR(Model!C403+0,NA())</f>
        <v>0.0816527977967115</v>
      </c>
      <c r="D18" s="199" t="n">
        <f aca="false">IFERROR(Model!D403+0,NA())</f>
        <v>0.0889031092070386</v>
      </c>
      <c r="E18" s="199" t="n">
        <f aca="false">IFERROR(Model!E403+0,NA())</f>
        <v>0.0790595671073704</v>
      </c>
      <c r="F18" s="199" t="n">
        <f aca="false">IFERROR(Model!F403+0,NA())</f>
        <v>0.0678345779794632</v>
      </c>
      <c r="G18" s="199" t="n">
        <f aca="false">IFERROR(Model!G403+0,NA())</f>
        <v>0.0735234085928262</v>
      </c>
      <c r="H18" s="199" t="n">
        <f aca="false">IFERROR(Model!H403+0,NA())</f>
        <v>0.0764569234712688</v>
      </c>
      <c r="I18" s="199" t="n">
        <f aca="false">IFERROR(Model!I403+0,NA())</f>
        <v>0.04919828765852</v>
      </c>
      <c r="J18" s="199" t="n">
        <f aca="false">IFERROR(Model!N403+0,NA())</f>
        <v>0.0614294974626779</v>
      </c>
      <c r="K18" s="199" t="n">
        <f aca="false">IFERROR(Model!S403+0,NA())</f>
        <v>0.0661540731363494</v>
      </c>
      <c r="L18" s="199" t="n">
        <f aca="false">IFERROR(Model!X403+0,NA())</f>
        <v>0.080097580669258</v>
      </c>
      <c r="M18" s="199" t="n">
        <f aca="false">IFERROR(Model!AC403+0,NA())</f>
        <v>0.0455708918305349</v>
      </c>
      <c r="N18" s="199" t="n">
        <f aca="false">IFERROR(Model!AH403+0,NA())</f>
        <v>0.0964213847091385</v>
      </c>
      <c r="O18" s="199" t="n">
        <f aca="false">IFERROR(Model!AM403+0,NA())</f>
        <v>0.0665778684555531</v>
      </c>
      <c r="P18" s="199" t="n">
        <f aca="false">IFERROR(Model!AR403+0,NA())</f>
        <v>0.0680567372410334</v>
      </c>
      <c r="Q18" s="199" t="n">
        <f aca="false">IFERROR(Model!AW403+0,NA())</f>
        <v>0.0666552577041454</v>
      </c>
      <c r="R18" s="199" t="n">
        <f aca="false">IFERROR(Model!BB403+0,NA())</f>
        <v>0.0746378115626035</v>
      </c>
      <c r="S18" s="199" t="n">
        <f aca="false">IFERROR(Model!BG403+0,NA())</f>
        <v>0.0744636031281026</v>
      </c>
      <c r="T18" s="199" t="n">
        <f aca="false">IFERROR(Model!BL403+0,NA())</f>
        <v>0.0820249642848198</v>
      </c>
      <c r="U18" s="199" t="n">
        <f aca="false">IFERROR(Model!BQ403+0,NA())</f>
        <v>0.0884612299561431</v>
      </c>
      <c r="V18" s="199" t="n">
        <f aca="false">IFERROR(Model!BV403+0,NA())</f>
        <v>0.0844251764144939</v>
      </c>
    </row>
    <row r="19" customFormat="false" ht="15" hidden="false" customHeight="true" outlineLevel="0" collapsed="false">
      <c r="B19" s="1" t="s">
        <v>691</v>
      </c>
      <c r="C19" s="199" t="n">
        <f aca="false">IFERROR(Model!C414+0,NA())</f>
        <v>0.141195516739872</v>
      </c>
      <c r="D19" s="199" t="n">
        <f aca="false">IFERROR(Model!D414+0,NA())</f>
        <v>0.151846855979952</v>
      </c>
      <c r="E19" s="199" t="n">
        <f aca="false">IFERROR(Model!E414+0,NA())</f>
        <v>0.115788301593937</v>
      </c>
      <c r="F19" s="199" t="n">
        <f aca="false">IFERROR(Model!F414+0,NA())</f>
        <v>0.114208265346528</v>
      </c>
      <c r="G19" s="199" t="n">
        <f aca="false">IFERROR(Model!G414+0,NA())</f>
        <v>0.123273917425241</v>
      </c>
      <c r="H19" s="199" t="n">
        <f aca="false">IFERROR(Model!H414+0,NA())</f>
        <v>0.13224650500404</v>
      </c>
      <c r="I19" s="199" t="n">
        <f aca="false">IFERROR(Model!I414+0,NA())</f>
        <v>0.0802147964201407</v>
      </c>
      <c r="J19" s="199" t="n">
        <f aca="false">IFERROR(Model!N414+0,NA())</f>
        <v>0.0988575026473627</v>
      </c>
      <c r="K19" s="199" t="n">
        <f aca="false">IFERROR(Model!S414+0,NA())</f>
        <v>0.102454850195998</v>
      </c>
      <c r="L19" s="199" t="n">
        <f aca="false">IFERROR(Model!X414+0,NA())</f>
        <v>0.117661166370932</v>
      </c>
      <c r="M19" s="199" t="n">
        <f aca="false">IFERROR(Model!AC414+0,NA())</f>
        <v>0.0823674497613006</v>
      </c>
      <c r="N19" s="199" t="n">
        <f aca="false">IFERROR(Model!AH414+0,NA())</f>
        <v>0.172379950373695</v>
      </c>
      <c r="O19" s="199" t="n">
        <f aca="false">IFERROR(Model!AM414+0,NA())</f>
        <v>0.122233111157883</v>
      </c>
      <c r="P19" s="199" t="n">
        <f aca="false">IFERROR(Model!AR414+0,NA())</f>
        <v>0.123212586921844</v>
      </c>
      <c r="Q19" s="199" t="n">
        <f aca="false">IFERROR(Model!AW414+0,NA())</f>
        <v>0.119986488103153</v>
      </c>
      <c r="R19" s="199" t="n">
        <f aca="false">IFERROR(Model!BB414+0,NA())</f>
        <v>0.149561198090517</v>
      </c>
      <c r="S19" s="199" t="n">
        <f aca="false">IFERROR(Model!BG414+0,NA())</f>
        <v>0.147099589347964</v>
      </c>
      <c r="T19" s="199" t="n">
        <f aca="false">IFERROR(Model!BL414+0,NA())</f>
        <v>0.162665407495364</v>
      </c>
      <c r="U19" s="199" t="n">
        <f aca="false">IFERROR(Model!BQ414+0,NA())</f>
        <v>0.175476599481613</v>
      </c>
      <c r="V19" s="199" t="n">
        <f aca="false">IFERROR(Model!BV414+0,NA())</f>
        <v>0.166778205757968</v>
      </c>
    </row>
    <row r="20" customFormat="false" ht="15" hidden="false" customHeight="true" outlineLevel="0" collapsed="false">
      <c r="B20" s="1" t="s">
        <v>815</v>
      </c>
      <c r="C20" s="199" t="n">
        <f aca="false">IFERROR(Model!C225+0,NA())</f>
        <v>0.299685571975147</v>
      </c>
      <c r="D20" s="199" t="n">
        <f aca="false">IFERROR(Model!D225+0,NA())</f>
        <v>0.305555004950232</v>
      </c>
      <c r="E20" s="199" t="n">
        <f aca="false">IFERROR(Model!E225+0,NA())</f>
        <v>0.29850714984618</v>
      </c>
      <c r="F20" s="199" t="n">
        <f aca="false">IFERROR(Model!F225+0,NA())</f>
        <v>0.309581305245205</v>
      </c>
      <c r="G20" s="199" t="n">
        <f aca="false">IFERROR(Model!G225+0,NA())</f>
        <v>0.321465997149475</v>
      </c>
      <c r="H20" s="199" t="n">
        <f aca="false">IFERROR(Model!H225+0,NA())</f>
        <v>0.325190020234282</v>
      </c>
      <c r="I20" s="199" t="n">
        <f aca="false">IFERROR(Model!I225+0,NA())</f>
        <v>0.318014730220785</v>
      </c>
      <c r="J20" s="199" t="n">
        <f aca="false">IFERROR(Model!N225+0,NA())</f>
        <v>0.34062821606236</v>
      </c>
      <c r="K20" s="199" t="n">
        <f aca="false">IFERROR(Model!S225+0,NA())</f>
        <v>0.344887325013972</v>
      </c>
      <c r="L20" s="199" t="n">
        <f aca="false">IFERROR(Model!X225+0,NA())</f>
        <v>0.335621481641365</v>
      </c>
      <c r="M20" s="199" t="n">
        <f aca="false">IFERROR(Model!AC225+0,NA())</f>
        <v>0.317278574397125</v>
      </c>
      <c r="N20" s="199" t="n">
        <f aca="false">IFERROR(Model!AH225+0,NA())</f>
        <v>0.315414919550596</v>
      </c>
      <c r="O20" s="199" t="n">
        <f aca="false">IFERROR(Model!AM225+0,NA())</f>
        <v>0.318187441206385</v>
      </c>
      <c r="P20" s="199" t="n">
        <f aca="false">IFERROR(Model!AR225+0,NA())</f>
        <v>0.310568508534281</v>
      </c>
      <c r="Q20" s="199" t="n">
        <f aca="false">IFERROR(Model!AW225+0,NA())</f>
        <v>0.305175734806711</v>
      </c>
      <c r="R20" s="199" t="n">
        <f aca="false">IFERROR(Model!BB225+0,NA())</f>
        <v>0.311989167925602</v>
      </c>
      <c r="S20" s="199" t="n">
        <f aca="false">IFERROR(Model!BG225+0,NA())</f>
        <v>0.307916724384101</v>
      </c>
      <c r="T20" s="199" t="n">
        <f aca="false">IFERROR(Model!BL225+0,NA())</f>
        <v>0.314506533385706</v>
      </c>
      <c r="U20" s="199" t="n">
        <f aca="false">IFERROR(Model!BQ225+0,NA())</f>
        <v>0.325336105657759</v>
      </c>
      <c r="V20" s="199" t="n">
        <f aca="false">IFERROR(Model!BV225+0,NA())</f>
        <v>0.330049968759622</v>
      </c>
    </row>
    <row r="21" customFormat="false" ht="15" hidden="false" customHeight="true" outlineLevel="0" collapsed="false">
      <c r="B21" s="1" t="s">
        <v>816</v>
      </c>
      <c r="C21" s="199" t="n">
        <f aca="false">IFERROR(Model!C290+0,NA())</f>
        <v>0.118276856787254</v>
      </c>
      <c r="D21" s="199" t="n">
        <f aca="false">IFERROR(Model!D290+0,NA())</f>
        <v>0.110773561068332</v>
      </c>
      <c r="E21" s="199" t="n">
        <f aca="false">IFERROR(Model!E290+0,NA())</f>
        <v>0.145923744501492</v>
      </c>
      <c r="F21" s="199" t="n">
        <f aca="false">IFERROR(Model!F290+0,NA())</f>
        <v>0.161410214765405</v>
      </c>
      <c r="G21" s="199" t="n">
        <f aca="false">IFERROR(Model!G290+0,NA())</f>
        <v>0.163882441995004</v>
      </c>
      <c r="H21" s="199" t="n">
        <f aca="false">IFERROR(Model!H290+0,NA())</f>
        <v>0.169089111883755</v>
      </c>
      <c r="I21" s="199" t="n">
        <f aca="false">IFERROR(Model!I290+0,NA())</f>
        <v>0.165958120338128</v>
      </c>
      <c r="J21" s="199" t="n">
        <f aca="false">IFERROR(Model!N290+0,NA())</f>
        <v>0.15635617056245</v>
      </c>
      <c r="K21" s="199" t="n">
        <f aca="false">IFERROR(Model!S290+0,NA())</f>
        <v>0.154664899291351</v>
      </c>
      <c r="L21" s="199" t="n">
        <f aca="false">IFERROR(Model!X290+0,NA())</f>
        <v>0.161993626749704</v>
      </c>
      <c r="M21" s="199" t="n">
        <f aca="false">IFERROR(Model!AC290+0,NA())</f>
        <v>0.16320093558299</v>
      </c>
      <c r="N21" s="199" t="n">
        <f aca="false">IFERROR(Model!AH290+0,NA())</f>
        <v>0.164969869266479</v>
      </c>
      <c r="O21" s="199" t="n">
        <f aca="false">IFERROR(Model!AM290+0,NA())</f>
        <v>0.178755747834475</v>
      </c>
      <c r="P21" s="199" t="n">
        <f aca="false">IFERROR(Model!AR290+0,NA())</f>
        <v>0.17023597063399</v>
      </c>
      <c r="Q21" s="199" t="n">
        <f aca="false">IFERROR(Model!AW290+0,NA())</f>
        <v>0.15459044177459</v>
      </c>
      <c r="R21" s="199" t="n">
        <f aca="false">IFERROR(Model!BB290+0,NA())</f>
        <v>0.164125955215439</v>
      </c>
      <c r="S21" s="199" t="n">
        <f aca="false">IFERROR(Model!BG290+0,NA())</f>
        <v>0.161517855521024</v>
      </c>
      <c r="T21" s="199" t="n">
        <f aca="false">IFERROR(Model!BL290+0,NA())</f>
        <v>0.152597790736942</v>
      </c>
      <c r="U21" s="199" t="n">
        <f aca="false">IFERROR(Model!BQ290+0,NA())</f>
        <v>0.136500204998189</v>
      </c>
      <c r="V21" s="199" t="n">
        <f aca="false">IFERROR(Model!BV290+0,NA())</f>
        <v>0.133020419006614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2026-10-04T02:35:31Z</dcterms:created>
  <dc:creator>openpyxl</dc:creator>
  <dc:description/>
  <dc:language>en-US</dc:language>
  <cp:lastModifiedBy/>
  <dcterms:modified xsi:type="dcterms:W3CDTF">2026-10-06T01:23:13Z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