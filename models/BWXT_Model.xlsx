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<sst xmlns="http://schemas.openxmlformats.org/spreadsheetml/2006/main" count="1005" uniqueCount="834">
  <si>
    <t xml:space="preserve">SCENARIO SWITCH ▼ (Bull / Base / Bear) — drives all scenario-linked forecast drivers</t>
  </si>
  <si>
    <t xml:space="preserve">BWX Technologies, Inc. (NYSE: BWXT) — 3-Statement Financial Model</t>
  </si>
  <si>
    <t xml:space="preserve">Base</t>
  </si>
  <si>
    <t xml:space="preserve">US GAAP as reported · USD millions (per-share data in USD; shares in millions) · Source: BWXT Forms 10-K / 10-Q and Form 8-K earnings releases (Ex. 99.1), convertible-note 8-Ks (Nov-2025), SEC EDGAR CIK 0001486957 (investor-relations releases at investors.bwxt.com are the same documents as filed on EDGAR); Form 4 for the share price</t>
  </si>
  <si>
    <t xml:space="preserve">Basis notes: calendar fiscal year. Power Generation (Babcock &amp; Wilcox Enterprises) spun off 30-Jun-2015 → discontinued operations; 2012–13 annual and Q1/14–Q1/15 on the recast continuing-operations basis (Q1/14 = 6M/14 − Q2/14; balance sheets from Dec-14 recast). Later periods as originally reported (2017 and earlier: pension MTM within operating income; ASU 2017-07 from 2018). Segments: Government / Commercial Operations from 2022 (2020 annual and 2021 quarters recast); legacy NOG/NSG/NPG memo. Kinectrics from 20-May-2025; A.O.T. 2025; PCG from 1-Jul-2026; medical business (BWXT Medical + Kinectrics isotopes) sale to Nordic Capital agreed 31-Jul-2026 — modelled to close 31-Mar-2027.</t>
  </si>
  <si>
    <t xml:space="preserve">Forecast</t>
  </si>
  <si>
    <t xml:space="preserve">Historical</t>
  </si>
  <si>
    <t xml:space="preserve">(USDm)</t>
  </si>
  <si>
    <t xml:space="preserve">2012</t>
  </si>
  <si>
    <t xml:space="preserve">2013</t>
  </si>
  <si>
    <t xml:space="preserve">Q1/14</t>
  </si>
  <si>
    <t xml:space="preserve">Q2/14</t>
  </si>
  <si>
    <t xml:space="preserve">Q3/14</t>
  </si>
  <si>
    <t xml:space="preserve">Q4/14</t>
  </si>
  <si>
    <t xml:space="preserve">2014</t>
  </si>
  <si>
    <t xml:space="preserve">Q1/15</t>
  </si>
  <si>
    <t xml:space="preserve">Q2/15</t>
  </si>
  <si>
    <t xml:space="preserve">Q3/15</t>
  </si>
  <si>
    <t xml:space="preserve">Q4/15</t>
  </si>
  <si>
    <t xml:space="preserve">2015</t>
  </si>
  <si>
    <t xml:space="preserve">Q1/16</t>
  </si>
  <si>
    <t xml:space="preserve">Q2/16</t>
  </si>
  <si>
    <t xml:space="preserve">Q3/16</t>
  </si>
  <si>
    <t xml:space="preserve">Q4/16</t>
  </si>
  <si>
    <t xml:space="preserve">2016</t>
  </si>
  <si>
    <t xml:space="preserve">Q1/17</t>
  </si>
  <si>
    <t xml:space="preserve">Q2/17</t>
  </si>
  <si>
    <t xml:space="preserve">Q3/17</t>
  </si>
  <si>
    <t xml:space="preserve">Q4/17</t>
  </si>
  <si>
    <t xml:space="preserve">2017</t>
  </si>
  <si>
    <t xml:space="preserve">Q1/18</t>
  </si>
  <si>
    <t xml:space="preserve">Q2/18</t>
  </si>
  <si>
    <t xml:space="preserve">Q3/18</t>
  </si>
  <si>
    <t xml:space="preserve">Q4/18</t>
  </si>
  <si>
    <t xml:space="preserve">2018</t>
  </si>
  <si>
    <t xml:space="preserve">Q1/19</t>
  </si>
  <si>
    <t xml:space="preserve">Q2/19</t>
  </si>
  <si>
    <t xml:space="preserve">Q3/19</t>
  </si>
  <si>
    <t xml:space="preserve">Q4/19</t>
  </si>
  <si>
    <t xml:space="preserve">2019</t>
  </si>
  <si>
    <t xml:space="preserve">Q1/20</t>
  </si>
  <si>
    <t xml:space="preserve">Q2/20</t>
  </si>
  <si>
    <t xml:space="preserve">Q3/20</t>
  </si>
  <si>
    <t xml:space="preserve">Q4/20</t>
  </si>
  <si>
    <t xml:space="preserve">2020</t>
  </si>
  <si>
    <t xml:space="preserve">Q1/21</t>
  </si>
  <si>
    <t xml:space="preserve">Q2/21</t>
  </si>
  <si>
    <t xml:space="preserve">Q3/21</t>
  </si>
  <si>
    <t xml:space="preserve">Q4/21</t>
  </si>
  <si>
    <t xml:space="preserve">2021</t>
  </si>
  <si>
    <t xml:space="preserve">Q1/22</t>
  </si>
  <si>
    <t xml:space="preserve">Q2/22</t>
  </si>
  <si>
    <t xml:space="preserve">Q3/22</t>
  </si>
  <si>
    <t xml:space="preserve">Q4/22</t>
  </si>
  <si>
    <t xml:space="preserve">2022</t>
  </si>
  <si>
    <t xml:space="preserve">Q1/23</t>
  </si>
  <si>
    <t xml:space="preserve">Q2/23</t>
  </si>
  <si>
    <t xml:space="preserve">Q3/23</t>
  </si>
  <si>
    <t xml:space="preserve">Q4/23</t>
  </si>
  <si>
    <t xml:space="preserve">2023</t>
  </si>
  <si>
    <t xml:space="preserve">Q1/24</t>
  </si>
  <si>
    <t xml:space="preserve">Q2/24</t>
  </si>
  <si>
    <t xml:space="preserve">Q3/24</t>
  </si>
  <si>
    <t xml:space="preserve">Q4/24</t>
  </si>
  <si>
    <t xml:space="preserve">2024</t>
  </si>
  <si>
    <t xml:space="preserve">Q1/25</t>
  </si>
  <si>
    <t xml:space="preserve">Q2/25</t>
  </si>
  <si>
    <t xml:space="preserve">Q3/25</t>
  </si>
  <si>
    <t xml:space="preserve">Q4/25</t>
  </si>
  <si>
    <t xml:space="preserve">2025</t>
  </si>
  <si>
    <t xml:space="preserve">Q1/26</t>
  </si>
  <si>
    <t xml:space="preserve">Q2/26</t>
  </si>
  <si>
    <t xml:space="preserve">Q3/26E</t>
  </si>
  <si>
    <t xml:space="preserve">Q4/26E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</si>
  <si>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</si>
  <si>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</si>
  <si>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</si>
  <si>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</si>
  <si>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</si>
  <si>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Modelling Notes</t>
  </si>
  <si>
    <t xml:space="preserve">5Y CAGR</t>
  </si>
  <si>
    <t xml:space="preserve">10Y CAGR</t>
  </si>
  <si>
    <t xml:space="preserve">12Y CAGR</t>
  </si>
  <si>
    <t xml:space="preserve">25-'30</t>
  </si>
  <si>
    <t xml:space="preserve">20-'25</t>
  </si>
  <si>
    <t xml:space="preserve">15-'25</t>
  </si>
  <si>
    <t xml:space="preserve">13-'25</t>
  </si>
  <si>
    <t xml:space="preserve">SEGMENT BUILD — GOVERNMENT OPERATIONS · COMMERCIAL OPERATIONS (backlog × book-to-bill → revenues → non-GAAP operating income → Adjusted EBITDA)</t>
  </si>
  <si>
    <t xml:space="preserve">SEGMENT BUILD — modelling logic (bookings = revenues × book-to-bill; backlog roll-forward; non-GAAP margin → segment Adjusted EBITDA)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</si>
  <si>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</si>
  <si>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</si>
  <si>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</si>
  <si>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block header). Outlook block: High / Mid / Low guidance end-points.</t>
  </si>
  <si>
    <t xml:space="preserve">Government Operations (naval nuclear reactors &amp; fuel, special materials / HEU down-blending, advanced reactors, technical-services JVs) — reported from 2022 (2020–21 recast)</t>
  </si>
  <si>
    <t xml:space="preserve">GOVERNMENT OPERATIONS — modelling logic</t>
  </si>
  <si>
    <t xml:space="preserve">FY26 outlook — Q2-26 release (3-Aug-26); includes PCG from 1-Jul-26</t>
  </si>
  <si>
    <t xml:space="preserve">High</t>
  </si>
  <si>
    <t xml:space="preserve">Mid</t>
  </si>
  <si>
    <t xml:space="preserve">Low</t>
  </si>
  <si>
    <t xml:space="preserve">Company does not give GAAP guidance. Medical business still consolidated in 2026.</t>
  </si>
  <si>
    <t xml:space="preserve">  Opening backlog</t>
  </si>
  <si>
    <t xml:space="preserve">Prior period-end backlog (Q1 = prior year-end).</t>
  </si>
  <si>
    <t xml:space="preserve">  FY26 revenues ($m)</t>
  </si>
  <si>
    <t xml:space="preserve">~$3,800m (raised from &gt;$3,750m in Q1, ~$3,750m in Feb-26).</t>
  </si>
  <si>
    <t xml:space="preserve">  Bookings</t>
  </si>
  <si>
    <t xml:space="preserve">Forecast = revenues × book-to-bill. Naval awards are lumpy (multi-year Navy contract options), so quarterly book-to-bill is set at 1.0x.</t>
  </si>
  <si>
    <t xml:space="preserve">  FY26 Adjusted EBITDA ($m)</t>
  </si>
  <si>
    <t xml:space="preserve">$662–672m (raised from $650–665m). Drives the Q3/Q4-26E margin calibration.</t>
  </si>
  <si>
    <t xml:space="preserve">  Book-to-bill (x)</t>
  </si>
  <si>
    <t xml:space="preserve">2027E+: scenario lever GOV_btb (Bull / Base / Bear table →). 2021–25 average ~1.4x incl. the 2023/2025 naval awards.</t>
  </si>
  <si>
    <t xml:space="preserve">  FY26 non-GAAP EPS ($)</t>
  </si>
  <si>
    <t xml:space="preserve">$4.70–4.80 (memo; compared with the model, not forced).</t>
  </si>
  <si>
    <t xml:space="preserve">  Revenues</t>
  </si>
  <si>
    <t xml:space="preserve">Q3/26E–Q4/26E: prior-year quarter × (1 + 1H/26 y/y growth + revenue-outlook calibration Δ). 2027E+: prior year × (1 + GOV_growth).</t>
  </si>
  <si>
    <t xml:space="preserve">  FY26 free cash flow ($m)</t>
  </si>
  <si>
    <t xml:space="preserve">$345–360m (memo).</t>
  </si>
  <si>
    <t xml:space="preserve">  Q3/Q4-26E growth input — 1H/26 y/y (before revenue calibration)</t>
  </si>
  <si>
    <t xml:space="preserve">1H/26 Government Operations revenue growth (+3.1% y/y; naval propulsion &amp; special materials up, microreactor volumes down).</t>
  </si>
  <si>
    <t xml:space="preserve">  Revenues y/y %</t>
  </si>
  <si>
    <t xml:space="preserve">2027E–2030E: scenario lever GOV_growth (Columbia/Virginia-class build rates, naval fuel, special materials / DUECE, TRISO).</t>
  </si>
  <si>
    <t xml:space="preserve">Capital allocation &amp; transactions</t>
  </si>
  <si>
    <t xml:space="preserve">  Backlog adjustments, FX &amp; de-bookings (derived)</t>
  </si>
  <si>
    <t xml:space="preserve">Historical = closing − opening − bookings + revenues (unfunded options, FX, scope changes). Forecast: nil.</t>
  </si>
  <si>
    <t xml:space="preserve">  2H/26 share repurchases ($m)</t>
  </si>
  <si>
    <t xml:space="preserve">No buybacks in 1H/26; PCG funded from cash.</t>
  </si>
  <si>
    <t xml:space="preserve">  Closing backlog</t>
  </si>
  <si>
    <t xml:space="preserve">Backlog at 30-Jun-26: $6.80bn (Government) — c.2.9x LTM segment revenues.</t>
  </si>
  <si>
    <t xml:space="preserve">  Medical sale cash consideration ($m)</t>
  </si>
  <si>
    <t xml:space="preserve">$750m base; up to $800m with shared economics (Q2-26 call).</t>
  </si>
  <si>
    <t xml:space="preserve">  Closing backlog ÷ annual revenues (years of coverage)</t>
  </si>
  <si>
    <t xml:space="preserve">  Minimum net debt / Adjusted EBITDA (x) — buyback floor 2027E+</t>
  </si>
  <si>
    <t xml:space="preserve">Buybacks resume once leverage falls to the floor.</t>
  </si>
  <si>
    <t xml:space="preserve">  Operating income (GAAP; incl. equity income of technical-services JVs)</t>
  </si>
  <si>
    <t xml:space="preserve">Forecast = non-GAAP operating income − non-GAAP adjustments allocated to the segment.</t>
  </si>
  <si>
    <t xml:space="preserve">  Operating margin (GAAP) %</t>
  </si>
  <si>
    <t xml:space="preserve">GOV_growth (Government Operations revenues y/y)</t>
  </si>
  <si>
    <t xml:space="preserve">Δ →</t>
  </si>
  <si>
    <t xml:space="preserve">Naval propulsion (Columbia 1+1 / Virginia 2/yr build rates), naval fuel, special materials &amp; DUECE enrichment, TRISO / microreactors; FY21–25 CAGR 7.5%.</t>
  </si>
  <si>
    <t xml:space="preserve">  Non-GAAP adjustments (restructuring, acquisition costs &amp; amortization)</t>
  </si>
  <si>
    <t xml:space="preserve">Q3/Q4-26E: Q2/26 run-rate. 2027E+: Government share of legacy acquisition amortization (A.O.T., Kinectrics).</t>
  </si>
  <si>
    <t xml:space="preserve">  2027E</t>
  </si>
  <si>
    <t xml:space="preserve">  Non-GAAP operating income</t>
  </si>
  <si>
    <t xml:space="preserve">Company non-GAAP segment operating income (reconciliation tables, Ex. 99.1).</t>
  </si>
  <si>
    <t xml:space="preserve">  2028E</t>
  </si>
  <si>
    <t xml:space="preserve">  Non-GAAP margin before outlook calibration % (Q3/Q4-26E helper)</t>
  </si>
  <si>
    <t xml:space="preserve">Prior-year quarter margin + (1H/26 − 1H/25 margin drift).</t>
  </si>
  <si>
    <t xml:space="preserve">  2029E</t>
  </si>
  <si>
    <t xml:space="preserve">  Non-GAAP operating margin %</t>
  </si>
  <si>
    <t xml:space="preserve">Q3/Q4-26E: margin before calibration + Adjusted EBITDA outlook calibration Δ. 2027E+: scenario lever GOV_margin.</t>
  </si>
  <si>
    <t xml:space="preserve">  2030E</t>
  </si>
  <si>
    <t xml:space="preserve">  D&amp;A (excl. acquisition amortization) % of revenues</t>
  </si>
  <si>
    <t xml:space="preserve">1H/26 3.4%. Rising with the 2021–26 capacity build-out (naval, special materials, Erwin/NFS, Lynchburg).</t>
  </si>
  <si>
    <t xml:space="preserve">GOV_margin (Government non-GAAP operating margin)</t>
  </si>
  <si>
    <t xml:space="preserve">FY25 17.5%; 1H/26 17.6%. Includes technical-services JV equity income.</t>
  </si>
  <si>
    <t xml:space="preserve">  D&amp;A excl. acquisition-related amortization</t>
  </si>
  <si>
    <t xml:space="preserve">  Segment Adjusted EBITDA (non-GAAP OI + D&amp;A ex amortization)</t>
  </si>
  <si>
    <t xml:space="preserve">  Segment Adjusted EBITDA margin %</t>
  </si>
  <si>
    <t xml:space="preserve">  Memo: segment Adjusted EBITDA as published (2022+)</t>
  </si>
  <si>
    <t xml:space="preserve">  Check: model vs published segment Adjusted EBITDA (should be 0)</t>
  </si>
  <si>
    <t xml:space="preserve">GOV_btb (Government book-to-bill, x)</t>
  </si>
  <si>
    <t xml:space="preserve">FY21–25 average ~1.4x (multi-year naval awards in 2023 and 2025).</t>
  </si>
  <si>
    <t xml:space="preserve">  Memo: segment capital expenditures</t>
  </si>
  <si>
    <t xml:space="preserve">Commercial Operations (CANDU &amp; U.S. components, fuel &amp; fuel handling, field services, Kinectrics from 20-May-2025, medical isotopes (sale pending), PCG from 1-Jul-2026)</t>
  </si>
  <si>
    <t xml:space="preserve">COMMERCIAL OPERATIONS — modelling logic</t>
  </si>
  <si>
    <t xml:space="preserve">COM_growth (core Commercial revenues y/y, ex PCG / medical)</t>
  </si>
  <si>
    <t xml:space="preserve">CANDU refurbishments (Bruce MCR, Darlington, Pickering), U.S. large components, SMR components (BWRX-300 Darlington), fuel &amp; fuel handling, Kinectrics services.</t>
  </si>
  <si>
    <t xml:space="preserve">2027E+: scenario lever COM_btb (CANDU refurbishments, U.S. large-component &amp; SMR orders, fuel).</t>
  </si>
  <si>
    <t xml:space="preserve">Q3/Q4-26E: prior-year quarter × (1 + organic growth + calibration Δ) + PCG. 2027E+: core (ex PCG, ex medical) + PCG + medical until closing.</t>
  </si>
  <si>
    <t xml:space="preserve">  Q3/Q4-26E organic growth input (before revenue calibration)</t>
  </si>
  <si>
    <t xml:space="preserve">Input: 1H/26 Commercial +93% y/y is inflated by Kinectrics (closed 20-May-2025, in the base from Q3/25); Q1/26 organic ex-Kinectrics ~+39%.</t>
  </si>
  <si>
    <t xml:space="preserve">  Revenues y/y % (Q3/Q4-26E: organic, incl. calibration)</t>
  </si>
  <si>
    <t xml:space="preserve">  Core Commercial revenues (ex PCG, ex medical)</t>
  </si>
  <si>
    <t xml:space="preserve">2026E = segment revenues − PCG − medical (2026E medical ~$130m per Q2-26 call). 2027E+: × (1 + COM_growth).</t>
  </si>
  <si>
    <t xml:space="preserve">COM_margin (core + PCG non-GAAP operating margin)</t>
  </si>
  <si>
    <t xml:space="preserve">FY25 10.2%; 1H/26 9.9%. Operating leverage on Cambridge capacity.</t>
  </si>
  <si>
    <t xml:space="preserve">  Core Commercial revenues y/y %</t>
  </si>
  <si>
    <t xml:space="preserve">2027E–2030E: scenario lever COM_growth (Bruce/Darlington/Pickering refurbishments, U.S. components incl. Mt. Vernon/PCG capacity, SMR (BWRX-300) components, fuel handling).</t>
  </si>
  <si>
    <t xml:space="preserve">  PCG — FY2025 revenues (pre-acquisition; ~$125m)</t>
  </si>
  <si>
    <t xml:space="preserve">Precision Components Group (Precision Custom Components, DC Fabricators); FY2025 revenue ~$125m (press reports of the Apr-2026 announcement). Purchase price not disclosed.</t>
  </si>
  <si>
    <t xml:space="preserve">  PCG — revenue growth %</t>
  </si>
  <si>
    <t xml:space="preserve">Input: heavy-walled / heat-transfer components; U.S. nuclear new-build demand.</t>
  </si>
  <si>
    <t xml:space="preserve">  PCG — annual revenue run-rate</t>
  </si>
  <si>
    <t xml:space="preserve">  PCG — revenues consolidated (from 1-Jul-2026)</t>
  </si>
  <si>
    <t xml:space="preserve">Closed 1-Jul-2026 (Q2-26 10-Q note 2): Q3/26E and Q4/26E = one quarter of run-rate each.</t>
  </si>
  <si>
    <t xml:space="preserve">COM_btb (Commercial book-to-bill, x)</t>
  </si>
  <si>
    <t xml:space="preserve">FY25 1.65x incl. Kinectrics; 1H/26 0.79x.</t>
  </si>
  <si>
    <t xml:space="preserve">  Medical — revenues (BWXT Medical + Kinectrics stable isotopes; sale to Nordic Capital pending)</t>
  </si>
  <si>
    <t xml:space="preserve">Not separately reported: ~$130m 2026 revenue per Q2-26 call (spread evenly; estimate). Sale agreed 31-Jul-2026; closing expected 2026 or Q1-2027 → modelled 31-Mar-2027.</t>
  </si>
  <si>
    <t xml:space="preserve">  Medical — revenue growth %</t>
  </si>
  <si>
    <t xml:space="preserve">  Medical — share of year consolidated</t>
  </si>
  <si>
    <t xml:space="preserve">Closing assumed 31-Mar-2027 (one quarter of 2027E consolidated).</t>
  </si>
  <si>
    <t xml:space="preserve">  Medical — non-GAAP operating margin %</t>
  </si>
  <si>
    <t xml:space="preserve">Company: margin "modestly accretive" to the Commercial segment average (Q2-26 call). Estimate.</t>
  </si>
  <si>
    <t xml:space="preserve">  Operating income (GAAP)</t>
  </si>
  <si>
    <t xml:space="preserve">MA_spend (bolt-on acquisitions, $m)</t>
  </si>
  <si>
    <t xml:space="preserve">Base: digest PCG / medical exit in 2027E; bolt-ons resume 2028E.</t>
  </si>
  <si>
    <t xml:space="preserve">2027E+: Commercial share of legacy amortization (Kinectrics) + PCG intangibles amortization.</t>
  </si>
  <si>
    <t xml:space="preserve">Prior-year quarter margin (already includes a full quarter of Kinectrics); no 1H drift applied (1H/25 base pre-dates Kinectrics).</t>
  </si>
  <si>
    <t xml:space="preserve">  Core + PCG non-GAAP operating margin %</t>
  </si>
  <si>
    <t xml:space="preserve">2027E–2030E: scenario lever COM_margin (FY25 10.2%; 1H/26 9.9% with growth SG&amp;A, Kinectrics integration).</t>
  </si>
  <si>
    <t xml:space="preserve">1H/26 2.5%; Cambridge expansion and PCG capacity raise the D&amp;A run-rate.</t>
  </si>
  <si>
    <t xml:space="preserve">Backlog at 30-Jun-26: $1.60bn (Commercial). Medical backlog leaves with the divestiture (not separately disclosed; ignored).</t>
  </si>
  <si>
    <t xml:space="preserve">Eliminations &amp; unallocated corporate</t>
  </si>
  <si>
    <t xml:space="preserve">CORPORATE &amp; ELIMINATIONS</t>
  </si>
  <si>
    <t xml:space="preserve">  Eliminations (intersegment revenues)</t>
  </si>
  <si>
    <t xml:space="preserve">Forecast: prior-year quarter / prior year.</t>
  </si>
  <si>
    <t xml:space="preserve">  Unallocated corporate — operating income (GAAP)</t>
  </si>
  <si>
    <t xml:space="preserve">  Unallocated corporate — non-GAAP adjustments (restructuring, transformation &amp; acquisition costs)</t>
  </si>
  <si>
    <t xml:space="preserve">Q3/Q4-26E: 1H/26 run-rate (incl. PCG / medical-sale transaction costs). 2027E: $25m (medical separation, PCG integration); then $10–15m p.a.</t>
  </si>
  <si>
    <t xml:space="preserve">  Unallocated corporate — non-GAAP operating income</t>
  </si>
  <si>
    <t xml:space="preserve">Q3/Q4-26E: 1H/26 run-rate. 2027E+: prior year × (1 + corporate cost growth).</t>
  </si>
  <si>
    <t xml:space="preserve">  Corporate cost growth %</t>
  </si>
  <si>
    <t xml:space="preserve">  Corporate D&amp;A</t>
  </si>
  <si>
    <t xml:space="preserve">  Corporate Adjusted EBITDA</t>
  </si>
  <si>
    <t xml:space="preserve">Medical business divestiture (agreement 31-Jul-2026 with Nordic Capital; ~80% sold, ~20% retained; closing assumed 31-Mar-2027)</t>
  </si>
  <si>
    <t xml:space="preserve">MEDICAL SALE — modelling logic</t>
  </si>
  <si>
    <t xml:space="preserve">  Cash consideration</t>
  </si>
  <si>
    <t xml:space="preserve">$750m base consideration, up to $800m with shared economics (Q2-26 call). Scenario: Bull $800m / Base &amp; Bear $750m.</t>
  </si>
  <si>
    <t xml:space="preserve">  Carrying value of net assets sold (estimate)</t>
  </si>
  <si>
    <t xml:space="preserve">Assumption (not disclosed): BWXT Medical Ottawa/Vancouver facilities, goodwill &amp; intangibles. Update with held-for-sale disclosure in the Q3-26 10-Q.</t>
  </si>
  <si>
    <t xml:space="preserve">  Fair value of retained ~20% stake (equity method)</t>
  </si>
  <si>
    <t xml:space="preserve">  Pre-tax gain on sale (GAAP; excluded from non-GAAP)</t>
  </si>
  <si>
    <t xml:space="preserve">Booked in "(Gain) loss on asset disposals" (operating income); excluded from Adjusted EBITDA and non-GAAP EPS.</t>
  </si>
  <si>
    <t xml:space="preserve">Future acquisitions (M&amp;A lever — bolt-ons, unallocated; deals closed from 2027E)</t>
  </si>
  <si>
    <t xml:space="preserve">M&amp;A LEVER — acquired sales = spend ÷ EV/sales; mid-year convention</t>
  </si>
  <si>
    <t xml:space="preserve">  Acquisition spend (USDm, scenario)</t>
  </si>
  <si>
    <t xml:space="preserve">Scenario lever MA_spend. BWXT: NFS-era bolt-ons, Sotera isotopes (2018), Dynamic Controls / Cunico (2021), Kinectrics (2025), A.O.T. (2025), PCG (2026).</t>
  </si>
  <si>
    <t xml:space="preserve">  Purchase multiple — EV / sales (x)</t>
  </si>
  <si>
    <t xml:space="preserve">  Annualised sales acquired in the year</t>
  </si>
  <si>
    <t xml:space="preserve">  Growth of acquired businesses after acquisition %</t>
  </si>
  <si>
    <t xml:space="preserve">  Run-rate sales of businesses acquired (year end)</t>
  </si>
  <si>
    <t xml:space="preserve">  Revenues from future acquisitions</t>
  </si>
  <si>
    <t xml:space="preserve">Mid-year convention: deals close evenly through the year.</t>
  </si>
  <si>
    <t xml:space="preserve">  Non-GAAP operating margin of acquired businesses %</t>
  </si>
  <si>
    <t xml:space="preserve">  Non-GAAP operating income from future acquisitions</t>
  </si>
  <si>
    <t xml:space="preserve">  D&amp;A (ex amortization) of acquired businesses % of sales</t>
  </si>
  <si>
    <t xml:space="preserve">  D&amp;A from future acquisitions</t>
  </si>
  <si>
    <t xml:space="preserve">  PP&amp;E % of spend</t>
  </si>
  <si>
    <t xml:space="preserve">  Acquired intangibles % of spend</t>
  </si>
  <si>
    <t xml:space="preserve">  Intangible amortization life (years)</t>
  </si>
  <si>
    <t xml:space="preserve">  Cumulative acquired intangibles (gross)</t>
  </si>
  <si>
    <t xml:space="preserve">  Amortization of future-acquisition intangibles</t>
  </si>
  <si>
    <t xml:space="preserve">Group total — segment build → consolidated revenues, non-GAAP operating income &amp; Adjusted EBITDA (BWXT primary KPIs)</t>
  </si>
  <si>
    <t xml:space="preserve">GROUP TOTAL — modelling logic</t>
  </si>
  <si>
    <t xml:space="preserve">Revenues (segment build)</t>
  </si>
  <si>
    <t xml:space="preserve">Non-GAAP operating income (segment build)</t>
  </si>
  <si>
    <t xml:space="preserve">  Non-GAAP adjustments in operating income (segments + corporate + future-M&amp;A amortization)</t>
  </si>
  <si>
    <t xml:space="preserve">Operating income — GAAP (segment build)</t>
  </si>
  <si>
    <t xml:space="preserve">  D&amp;A excl. acquisition amortization (segment build)</t>
  </si>
  <si>
    <t xml:space="preserve">Adjusted EBITDA (segment build)</t>
  </si>
  <si>
    <t xml:space="preserve">  Adjusted EBITDA margin %</t>
  </si>
  <si>
    <t xml:space="preserve">Total backlog (period end)</t>
  </si>
  <si>
    <t xml:space="preserve">  Total bookings</t>
  </si>
  <si>
    <t xml:space="preserve">  Check: segment build vs consolidated revenues (should be 0)</t>
  </si>
  <si>
    <t xml:space="preserve">  Check: segment build vs consolidated operating income (should be 0)</t>
  </si>
  <si>
    <t xml:space="preserve">  Memo: FY26 revenue guidance (scenario end-point)</t>
  </si>
  <si>
    <t xml:space="preserve">Q2-26 release (3-Aug-2026): revenue ~$3,800m (raised from &gt;$3,750m); includes PCG from 1-Jul-2026. Bull / Base / Bear = $3,850m / $3,800m / $3,750m.</t>
  </si>
  <si>
    <t xml:space="preserve">  Revenues before revenue calibration (Q3/Q4-26E helper)</t>
  </si>
  <si>
    <t xml:space="preserve">  Revenue sensitivity to +1.00 of growth (Q3/Q4-26E helper)</t>
  </si>
  <si>
    <t xml:space="preserve">  Outlook calibration: Δ y/y growth applied to Government &amp; Commercial organic growth (Q3/Q4-26E)</t>
  </si>
  <si>
    <t xml:space="preserve">Solves the uniform growth shift so FY26 revenues = the guidance end-point of the active scenario.</t>
  </si>
  <si>
    <t xml:space="preserve">  Check: FY26 revenues vs guidance end-point (should be 0)</t>
  </si>
  <si>
    <t xml:space="preserve">  Adjusted EBITDA before margin calibration (Q3/Q4-26E helper)</t>
  </si>
  <si>
    <t xml:space="preserve">1H/26 actual + Σ Q3/Q4 (segment revenues × pre-calibration margins + corporate + D&amp;A ex amortization).</t>
  </si>
  <si>
    <t xml:space="preserve">  Outlook calibration: Δ non-GAAP margin applied to Government &amp; Commercial (Q3/Q4-26E)</t>
  </si>
  <si>
    <t xml:space="preserve">Solves the uniform margin shift so FY26 Adjusted EBITDA = guidance end-point (High / Mid / Low by scenario).</t>
  </si>
  <si>
    <t xml:space="preserve">  Memo: FY26 Adjusted EBITDA guidance (scenario end-point)</t>
  </si>
  <si>
    <t xml:space="preserve">Q2-26 release: $662–672m (raised from $650–665m).</t>
  </si>
  <si>
    <t xml:space="preserve">  Check: FY26 Adjusted EBITDA vs guidance end-point (should be 0)</t>
  </si>
  <si>
    <t xml:space="preserve">  Memo: FY26 non-GAAP EPS guidance (scenario end-point)</t>
  </si>
  <si>
    <t xml:space="preserve">Q2-26 release: $4.70–4.80 (not forced; compare with model row "Adjusted EPS").</t>
  </si>
  <si>
    <t xml:space="preserve">  Model FY26 non-GAAP EPS less guidance end-point</t>
  </si>
  <si>
    <t xml:space="preserve">  Memo: FY26 free cash flow guidance (scenario end-point)</t>
  </si>
  <si>
    <t xml:space="preserve">Q2-26 release: $345–360m.</t>
  </si>
  <si>
    <t xml:space="preserve">  Model FY26 free cash flow less guidance end-point</t>
  </si>
  <si>
    <t xml:space="preserve">Legacy segments (memo; as originally reported — Nuclear Operations / Technical Services / Nuclear Energy / mPower to 2015; NOG / NSG / NPG / Other 2016–2021)</t>
  </si>
  <si>
    <t xml:space="preserve">LEGACY SEGMENTS — historical disclosure only</t>
  </si>
  <si>
    <t xml:space="preserve">  Nuclear Operations (Group) — revenues</t>
  </si>
  <si>
    <t xml:space="preserve">  Technical Services / Nuclear Services Group — revenues</t>
  </si>
  <si>
    <t xml:space="preserve">  Nuclear Energy / Nuclear Power Group — revenues</t>
  </si>
  <si>
    <t xml:space="preserve">  mPower / Other — revenues</t>
  </si>
  <si>
    <t xml:space="preserve">  Nuclear Operations (Group) — operating income</t>
  </si>
  <si>
    <t xml:space="preserve">  Technical Services / Nuclear Services Group — operating income</t>
  </si>
  <si>
    <t xml:space="preserve">  Nuclear Energy / Nuclear Power Group — operating income</t>
  </si>
  <si>
    <t xml:space="preserve">  mPower / Other — operating income</t>
  </si>
  <si>
    <t xml:space="preserve">  Nuclear Energy / Nuclear Power Group — backlog (Commercial proxy pre-2021)</t>
  </si>
  <si>
    <t xml:space="preserve">  Government proxy backlog (total − NE/NPG; pre-2021)</t>
  </si>
  <si>
    <t xml:space="preserve">Cost drivers, amortization &amp; PCG purchase accounting</t>
  </si>
  <si>
    <t xml:space="preserve">COST DRIVERS — inputs that drive forecast cost lines (blue = input)</t>
  </si>
  <si>
    <t xml:space="preserve">  Equity income of investees % of Government Operations revenues</t>
  </si>
  <si>
    <t xml:space="preserve">Technical-services JVs (Y-12/Pantex (CNS), Savannah River, Los Alamos, NLPC Canada from Dec-2025). FY25 3.2%; 1H/26 3.9%.</t>
  </si>
  <si>
    <t xml:space="preserve">  Dividends received from investees % of equity income</t>
  </si>
  <si>
    <t xml:space="preserve">FY24–25 cash distributions ≈ income (income of investees net of dividends small).</t>
  </si>
  <si>
    <t xml:space="preserve">  SG&amp;A % of revenues</t>
  </si>
  <si>
    <t xml:space="preserve">FY25 12.3%; 1H/26 12.3%. 2027E+: 12.0% input (scale, medical exit).</t>
  </si>
  <si>
    <t xml:space="preserve">  R&amp;D % of revenues</t>
  </si>
  <si>
    <t xml:space="preserve">  Stock-based compensation % of revenues</t>
  </si>
  <si>
    <t xml:space="preserve">1H/26 $20.1m (1.1% of revenues).</t>
  </si>
  <si>
    <t xml:space="preserve">  Acquisition-related amortization — legacy (Kinectrics, A.O.T.; non-GAAP add-back from 2025)</t>
  </si>
  <si>
    <t xml:space="preserve">Q2/26 $2.5m; 2027E+: $10m p.a. (straight-line on acquired customer relationships / trade names).</t>
  </si>
  <si>
    <t xml:space="preserve">  Government Operations share of legacy amortization %</t>
  </si>
  <si>
    <t xml:space="preserve">1H/26: Government $2.1m of $5.0m.</t>
  </si>
  <si>
    <t xml:space="preserve">  PCG purchase price (assumption; not disclosed)</t>
  </si>
  <si>
    <t xml:space="preserve">ASSUMPTION: ~2.4x FY25 sales of ~$125m. Not disclosed in the Q2-26 10-Q (PPA not completed). Paid 1-Jul-2026 (cash on hand).</t>
  </si>
  <si>
    <t xml:space="preserve">  PCG — PP&amp;E % of price</t>
  </si>
  <si>
    <t xml:space="preserve">  PCG — intangibles % of price</t>
  </si>
  <si>
    <t xml:space="preserve">  PCG — intangible amortization life (years)</t>
  </si>
  <si>
    <t xml:space="preserve">  Amortization of PCG intangibles</t>
  </si>
  <si>
    <t xml:space="preserve">  Total acquisition-related amortization</t>
  </si>
  <si>
    <t xml:space="preserve">CONSOLIDATED STATEMENT OF INCOME (US GAAP; continuing operations as reported — pre-spin periods on the recast continuing-ops basis)</t>
  </si>
  <si>
    <t xml:space="preserve">CONSOLIDATED IS — forecast logic</t>
  </si>
  <si>
    <t xml:space="preserve">Revenues</t>
  </si>
  <si>
    <t xml:space="preserve">Forecast linked to the segment build.</t>
  </si>
  <si>
    <t xml:space="preserve">Cost of operations</t>
  </si>
  <si>
    <t xml:space="preserve">Forecast = plug so that operating income equals the segment build (GAAP).</t>
  </si>
  <si>
    <t xml:space="preserve">Research and development costs</t>
  </si>
  <si>
    <t xml:space="preserve">(Gain) loss on asset disposals and impairments, net</t>
  </si>
  <si>
    <t xml:space="preserve">2027E: pre-tax gain on the medical sale (negative = gain).</t>
  </si>
  <si>
    <t xml:space="preserve">Selling, general and administrative expenses</t>
  </si>
  <si>
    <t xml:space="preserve">Other operating items (restructuring, spin-off costs, litigation, mPower framework; derived)</t>
  </si>
  <si>
    <t xml:space="preserve">2013–2016 separate income-statement lines (special charges for restructuring, Power Generation spin-off costs, litigation proceeds, mPower framework agreement).</t>
  </si>
  <si>
    <t xml:space="preserve">Equity in income of investees</t>
  </si>
  <si>
    <t xml:space="preserve">Operating income</t>
  </si>
  <si>
    <t xml:space="preserve">  Check: operating income vs reported (should be 0)</t>
  </si>
  <si>
    <t xml:space="preserve">  Memo: operating income as reported</t>
  </si>
  <si>
    <t xml:space="preserve">Interest income</t>
  </si>
  <si>
    <t xml:space="preserve">Q3/Q4-26E: Q2/26 run-rate. 2027E+: opening cash (incl. restricted) × yield.</t>
  </si>
  <si>
    <t xml:space="preserve">Interest expense</t>
  </si>
  <si>
    <t xml:space="preserve">Q3/Q4-26E: Q2/26 run-rate. 2027E+: debt schedule (coupons on opening balances + debt-cost amortization − capitalized interest).</t>
  </si>
  <si>
    <t xml:space="preserve">Other – net (non-service pension &amp; OPEB income, pension MTM from 2018, FX, other)</t>
  </si>
  <si>
    <t xml:space="preserve">Pension &amp; OPEB mark-to-market (recognised in Q4 each year) is not forecast. 2027E+: $2m p.a. non-service income.</t>
  </si>
  <si>
    <t xml:space="preserve">Income before provision for income taxes</t>
  </si>
  <si>
    <t xml:space="preserve">Provision for income taxes</t>
  </si>
  <si>
    <t xml:space="preserve">2012: derived (pre-tax $145.7m − continuing earnings attributable $112.6m; FY2016 10-K selected data).</t>
  </si>
  <si>
    <t xml:space="preserve">  Effective tax rate</t>
  </si>
  <si>
    <t xml:space="preserve">Q3/Q4-26E: 21.5% (Q2/26 21.6%; FY26 non-GAAP EPS guidance implies ~21–22%). 2027E+: 22.0% input (incl. tax on the medical gain).</t>
  </si>
  <si>
    <t xml:space="preserve">Income from continuing operations</t>
  </si>
  <si>
    <t xml:space="preserve">Income (loss) from discontinued operations, net of tax (Power Generation, spun off 30-Jun-2015)</t>
  </si>
  <si>
    <t xml:space="preserve">Net income</t>
  </si>
  <si>
    <t xml:space="preserve">  Less: net income attributable to noncontrolling interest</t>
  </si>
  <si>
    <t xml:space="preserve">Net income attributable to BWX Technologies</t>
  </si>
  <si>
    <t xml:space="preserve">  Check: net income attributable vs reported (should be 0)</t>
  </si>
  <si>
    <t xml:space="preserve">  Memo: net income attributable to BWXT as reported</t>
  </si>
  <si>
    <t xml:space="preserve">  Memo: income from continuing operations attributable to BWXT</t>
  </si>
  <si>
    <t xml:space="preserve">  Memo: depreciation &amp; amortization (continuing operations; segment table)</t>
  </si>
  <si>
    <t xml:space="preserve">Historical = segment-table D&amp;A (continuing operations; 2014–Q1/15 recast ex Power Generation).</t>
  </si>
  <si>
    <t xml:space="preserve">  Memo: stock-based compensation</t>
  </si>
  <si>
    <t xml:space="preserve">(Earnings per share)</t>
  </si>
  <si>
    <t xml:space="preserve">  Weighted-average basic shares (m)</t>
  </si>
  <si>
    <t xml:space="preserve">2027E+: average of beginning and ending shares outstanding (buyback schedule).</t>
  </si>
  <si>
    <t xml:space="preserve">  Weighted-average diluted shares (m)</t>
  </si>
  <si>
    <t xml:space="preserve">Includes 2030 convertible-note dilution (treasury-stock method) once the share price exceeds the $262.51 conversion price.</t>
  </si>
  <si>
    <t xml:space="preserve">EPS – basic, attributable to BWXT ($)</t>
  </si>
  <si>
    <t xml:space="preserve">EPS – diluted, attributable to BWXT ($)</t>
  </si>
  <si>
    <t xml:space="preserve">EPS computed as net income / weighted diluted shares (may differ by ±$0.01 vs reported).</t>
  </si>
  <si>
    <t xml:space="preserve">EPS – diluted, continuing operations ($)</t>
  </si>
  <si>
    <t xml:space="preserve">  EPS – diluted, continuing operations y/y %</t>
  </si>
  <si>
    <t xml:space="preserve">  Memo: EPS – diluted as reported ($)</t>
  </si>
  <si>
    <t xml:space="preserve">  Memo: EPS – diluted, continuing operations as reported ($)</t>
  </si>
  <si>
    <t xml:space="preserve">  Dividends declared per share ($)</t>
  </si>
  <si>
    <t xml:space="preserve">Q3/Q4-26E: $0.27 (declared 31-Jul-2026). 2027E+: +8% p.a. (BWXT raises each February; 2021–26 CAGR ~5%).</t>
  </si>
  <si>
    <t xml:space="preserve">  Dividend per share growth %</t>
  </si>
  <si>
    <t xml:space="preserve">RECONCILIATION: NET INCOME → EBITDA → ADJUSTED EBITDA (company definition; continuing operations)</t>
  </si>
  <si>
    <t xml:space="preserve">ADJUSTED EBITDA — per BWXT earnings-release reconciliations (Ex. 99.1, Exhibit 1); company definition in force in each period</t>
  </si>
  <si>
    <t xml:space="preserve">Income from continuing operations (incl. noncontrolling interest; GAAP)</t>
  </si>
  <si>
    <t xml:space="preserve">  (+) Provision for income taxes</t>
  </si>
  <si>
    <t xml:space="preserve">  (+) Interest expense</t>
  </si>
  <si>
    <t xml:space="preserve">  (−) Interest income</t>
  </si>
  <si>
    <t xml:space="preserve">  (−) Other – net (non-service pension / OPEB, pension MTM from 2018, FX)</t>
  </si>
  <si>
    <t xml:space="preserve">  (+) Depreciation &amp; amortization</t>
  </si>
  <si>
    <t xml:space="preserve">  = EBITDA (company basis, before non-GAAP adjustments)</t>
  </si>
  <si>
    <t xml:space="preserve">  (+) Pension &amp; OPEB mark-to-market (loss) / gain in operating income (to 2017)</t>
  </si>
  <si>
    <t xml:space="preserve">Until 2017 the MTM adjustment sat in operating income (cost of operations / SG&amp;A); from 2018 (ASU 2017-07) it is in Other – net and is removed by the line above.</t>
  </si>
  <si>
    <t xml:space="preserve">  (+) Restructuring, transformation &amp; spin-off costs</t>
  </si>
  <si>
    <t xml:space="preserve">Forecast combines restructuring/transformation and acquisition-related costs (segment + corporate non-GAAP adjustments excl. amortization).</t>
  </si>
  <si>
    <t xml:space="preserve">  (+) Acquisition-related costs</t>
  </si>
  <si>
    <t xml:space="preserve">  (+/−) Other company items in operating income (litigation, impairments, mPower, franchise-tax audit; medical gain)</t>
  </si>
  <si>
    <t xml:space="preserve">  Total adjusting items</t>
  </si>
  <si>
    <t xml:space="preserve">  = Adjusted EBITDA (model bridge)</t>
  </si>
  <si>
    <t xml:space="preserve">Historical bridge rebuilt from the company reconciliations; forecast = segment-build Adjusted EBITDA (check below).</t>
  </si>
  <si>
    <t xml:space="preserve">  Company-published Adjusted EBITDA (first published Q3/21 for 2020–21)</t>
  </si>
  <si>
    <t xml:space="preserve">  Check: model bridge vs company-published (should be 0)</t>
  </si>
  <si>
    <t xml:space="preserve">  Check: bridge vs segment-build Adjusted EBITDA (should be 0)</t>
  </si>
  <si>
    <t xml:space="preserve">  Definition basis (company Adjusted EBITDA / non-GAAP definition in force)</t>
  </si>
  <si>
    <t xml:space="preserve">Spin-off 30-Jun-15: continuing ops</t>
  </si>
  <si>
    <t xml:space="preserve">ASU 2017-07: MTM → Other–net</t>
  </si>
  <si>
    <t xml:space="preserve">Recast Gov/Com; Adj. EBITDA defined</t>
  </si>
  <si>
    <t xml:space="preserve">Acq. amortization added back</t>
  </si>
  <si>
    <t xml:space="preserve">To adjusted EBIT (= company non-GAAP operating income):</t>
  </si>
  <si>
    <t xml:space="preserve">  of which acquisition-related amortization (non-GAAP add-back from 2025)</t>
  </si>
  <si>
    <t xml:space="preserve">  (−) D&amp;A excl. acquisition-related amortization</t>
  </si>
  <si>
    <t xml:space="preserve">  = Adjusted EBIT (model) — non-GAAP operating income</t>
  </si>
  <si>
    <t xml:space="preserve">  Adjusted EBIT margin %</t>
  </si>
  <si>
    <t xml:space="preserve">  Memo: company non-GAAP operating income as published</t>
  </si>
  <si>
    <t xml:space="preserve">  Check: model vs published non-GAAP operating income (should be 0)</t>
  </si>
  <si>
    <t xml:space="preserve">RECONCILIATION: GAAP NET INCOME (CONTINUING OPS) → NON-GAAP NET INCOME / EPS</t>
  </si>
  <si>
    <t xml:space="preserve">NON-GAAP EPS — company: GAAP EPS less tax-effected pension MTM, restructuring, transformation, acquisition costs &amp; (from 2025) acquisition amortization</t>
  </si>
  <si>
    <t xml:space="preserve">Income from continuing operations attributable to BWXT (GAAP)</t>
  </si>
  <si>
    <t xml:space="preserve">  (+) Pension &amp; OPEB mark-to-market (gain) / loss</t>
  </si>
  <si>
    <t xml:space="preserve">  (+) Acquisition-related amortization (from 2025)</t>
  </si>
  <si>
    <t xml:space="preserve">  (+/−) Other items (impairments, litigation, mPower, debt costs, FX forwards, franchise tax; medical gain)</t>
  </si>
  <si>
    <t xml:space="preserve">  Total pre-tax adjustments</t>
  </si>
  <si>
    <t xml:space="preserve">  Tax rate applied to adjustments</t>
  </si>
  <si>
    <t xml:space="preserve">Historical: as published (2012–13: 35% statutory, no company figure). Forecast: 24% (federal + state).</t>
  </si>
  <si>
    <t xml:space="preserve">  (−) Income tax effect of adjustments</t>
  </si>
  <si>
    <t xml:space="preserve">  (+/−) One-time tax items (2017 Tax Act, other discrete)</t>
  </si>
  <si>
    <t xml:space="preserve">  (+/−) Per-share rounding to published non-GAAP EPS</t>
  </si>
  <si>
    <t xml:space="preserve">Residual so the model reproduces published non-GAAP EPS exactly (share-count and per-share rounding).</t>
  </si>
  <si>
    <t xml:space="preserve">  = Non-GAAP net income attributable to BWXT (model)</t>
  </si>
  <si>
    <t xml:space="preserve">Non-GAAP EPS – diluted ($) (model)</t>
  </si>
  <si>
    <t xml:space="preserve">  Company-published non-GAAP EPS – diluted ($)</t>
  </si>
  <si>
    <t xml:space="preserve">  Check: model vs company-published non-GAAP EPS (should be 0.00)</t>
  </si>
  <si>
    <t xml:space="preserve">  Memo: company-published non-GAAP net income attributable</t>
  </si>
  <si>
    <t xml:space="preserve">  Check: model vs published non-GAAP net income (share-count rounding; Q4/17 −0.8: loss quarter, company used 100.4m non-GAAP shares)</t>
  </si>
  <si>
    <t xml:space="preserve">GROWTH &amp; MARGINS</t>
  </si>
  <si>
    <t xml:space="preserve">GROWTH &amp; MARGINS (consolidated) — forecast outputs</t>
  </si>
  <si>
    <t xml:space="preserve">  Government Operations revenues y/y %</t>
  </si>
  <si>
    <t xml:space="preserve">  Commercial Operations revenues y/y %</t>
  </si>
  <si>
    <t xml:space="preserve">  Total backlog y/y %</t>
  </si>
  <si>
    <t xml:space="preserve">  Adjusted EBITDA y/y %</t>
  </si>
  <si>
    <t xml:space="preserve">  Operating income (GAAP) y/y %</t>
  </si>
  <si>
    <t xml:space="preserve">  Net income attributable y/y %</t>
  </si>
  <si>
    <t xml:space="preserve">  Non-GAAP EPS y/y %</t>
  </si>
  <si>
    <t xml:space="preserve">  Incremental Adjusted EBITDA margin (ΔEBITDA / ΔRevenues)</t>
  </si>
  <si>
    <t xml:space="preserve">  Net margin %</t>
  </si>
  <si>
    <t xml:space="preserve">CONSOLIDATED STATEMENT OF CASH FLOWS</t>
  </si>
  <si>
    <t xml:space="preserve">CASH FLOW — forecast logic (annual; 2026E = full-year income statement + balance-sheet changes vs Dec-25 + 1H/26 actual capex, dividends, buybacks, share withholding; quarters = discrete, derived from year-to-date statements)</t>
  </si>
  <si>
    <t xml:space="preserve">Net income (incl. discontinued operations to Q2/15)</t>
  </si>
  <si>
    <t xml:space="preserve">2014–Q2/15 cash flows are consolidated (incl. Power Generation until the 30-Jun-2015 spin-off).</t>
  </si>
  <si>
    <t xml:space="preserve">Adjustments:</t>
  </si>
  <si>
    <t xml:space="preserve">  Depreciation and amortization</t>
  </si>
  <si>
    <t xml:space="preserve">  Stock-based compensation</t>
  </si>
  <si>
    <t xml:space="preserve">  Income of investees, net of dividends</t>
  </si>
  <si>
    <t xml:space="preserve">  (Gains) losses on asset disposals and impairments</t>
  </si>
  <si>
    <t xml:space="preserve">2027E: removes the non-cash medical gain (proceeds in investing).</t>
  </si>
  <si>
    <t xml:space="preserve">  Recognition of (gains) losses for pension &amp; postretirement plans (MTM)</t>
  </si>
  <si>
    <t xml:space="preserve">  Deferred taxes &amp; other non-cash items, net (derived)</t>
  </si>
  <si>
    <t xml:space="preserve">Forecast: non-cash amortization of debt issuance costs (in interest expense).</t>
  </si>
  <si>
    <t xml:space="preserve">  Changes in operating assets &amp; liabilities, net</t>
  </si>
  <si>
    <t xml:space="preserve">Linked to the balance sheet: −Δ(receivables, retainages, contracts in progress, inventories) + Δ(payables, accruals, advance billings).</t>
  </si>
  <si>
    <t xml:space="preserve">Net cash provided by operating activities</t>
  </si>
  <si>
    <t xml:space="preserve">Purchases of property, plant &amp; equipment</t>
  </si>
  <si>
    <t xml:space="preserve">2026E: 1H/26 actual + 2H revenues × capex %. 2027E+: revenues × capex % (cost driver below).</t>
  </si>
  <si>
    <t xml:space="preserve">Acquisition of businesses, net of cash acquired</t>
  </si>
  <si>
    <t xml:space="preserve">2026E: PCG (1-Jul-2026; price assumed). 2027E+: M&amp;A lever.</t>
  </si>
  <si>
    <t xml:space="preserve">Proceeds from divestitures (medical business)</t>
  </si>
  <si>
    <t xml:space="preserve">2027E: cash consideration for the medical business (closing assumed 31-Mar-2027).</t>
  </si>
  <si>
    <t xml:space="preserve">Other investing activities, net (derived; securities, equity-method investments, other)</t>
  </si>
  <si>
    <t xml:space="preserve">Net cash used in investing activities</t>
  </si>
  <si>
    <t xml:space="preserve">Borrowings of long-term debt (incl. revolver, 2025 convertible notes)</t>
  </si>
  <si>
    <t xml:space="preserve">Repayments of long-term debt (forecast: net issuance / (repayment))</t>
  </si>
  <si>
    <t xml:space="preserve">Net issuance / (repayment) = change in debt per the debt schedule (scheduled maturities, refinancing, revolver).</t>
  </si>
  <si>
    <t xml:space="preserve">Dividends paid to common shareholders</t>
  </si>
  <si>
    <t xml:space="preserve">2027E+: dividends per share × beginning shares outstanding (avoids circularity with buybacks).</t>
  </si>
  <si>
    <t xml:space="preserve">Repurchases of common stock</t>
  </si>
  <si>
    <t xml:space="preserve">2026E = 1H/26 actual + 2H scenario amount; 2027E+ = leverage plug (buybacks once net debt / Adjusted EBITDA reaches the scenario floor).</t>
  </si>
  <si>
    <t xml:space="preserve">Shares withheld for employee taxes &amp; option exercises, net</t>
  </si>
  <si>
    <t xml:space="preserve">Other financing activities, net (derived; debt costs, capped calls, FX forwards)</t>
  </si>
  <si>
    <t xml:space="preserve">Net cash provided by (used in) financing activities</t>
  </si>
  <si>
    <t xml:space="preserve">Effect of exchange-rate changes on cash</t>
  </si>
  <si>
    <t xml:space="preserve">Net increase (decrease) in cash</t>
  </si>
  <si>
    <t xml:space="preserve">Cash — beginning of period (incl. restricted cash from 2018)</t>
  </si>
  <si>
    <t xml:space="preserve">Cash — end of period (incl. restricted cash from 2018)</t>
  </si>
  <si>
    <t xml:space="preserve">  Check: CFO + CFI + CFF + FX = change in cash (should be 0)</t>
  </si>
  <si>
    <t xml:space="preserve">  Check: operating line items sum to CFO (should be 0)</t>
  </si>
  <si>
    <t xml:space="preserve">(Memo)</t>
  </si>
  <si>
    <t xml:space="preserve">Free cash flow (operating cash flow − capital expenditures; company definition)</t>
  </si>
  <si>
    <t xml:space="preserve">BWXT free cash flow = net cash provided by operating activities − purchases of PP&amp;E.</t>
  </si>
  <si>
    <t xml:space="preserve">  FCF y/y %</t>
  </si>
  <si>
    <t xml:space="preserve">  FCF % of revenues</t>
  </si>
  <si>
    <t xml:space="preserve">  FCF / non-GAAP net income conversion %</t>
  </si>
  <si>
    <t xml:space="preserve">  FCF per diluted share ($)</t>
  </si>
  <si>
    <t xml:space="preserve">Capex ratios</t>
  </si>
  <si>
    <t xml:space="preserve">  Capex % of revenues</t>
  </si>
  <si>
    <t xml:space="preserve">2H/26: 6.0% (growth projects: Cambridge, Erwin, naval capacity). 2027E+: 6.0% → 5.0% as the build-out matures (FY25 5.8%; FY21 14.6% peak).</t>
  </si>
  <si>
    <t xml:space="preserve">  Capex / D&amp;A (x)</t>
  </si>
  <si>
    <t xml:space="preserve">SHARE BUYBACK SCHEDULE</t>
  </si>
  <si>
    <t xml:space="preserve">SHARES — 2026E from shares outstanding at 30-Jun-2026 (2H flows only)</t>
  </si>
  <si>
    <t xml:space="preserve">  Avg buyback price ($)</t>
  </si>
  <si>
    <t xml:space="preserve">2026E = current share price (valuation input); appreciates with the share-price input.</t>
  </si>
  <si>
    <t xml:space="preserve">  Buyback cash deployed (USDm)</t>
  </si>
  <si>
    <t xml:space="preserve">2026E row = 2H/26 buyback only (1H/26: none).</t>
  </si>
  <si>
    <t xml:space="preserve">  Implied shares repurchased (m)</t>
  </si>
  <si>
    <t xml:space="preserve">  Shares issued under equity plans, net (m)</t>
  </si>
  <si>
    <t xml:space="preserve">FY25: +0.29m net (issued − withheld). 2H/26: 0.1m.</t>
  </si>
  <si>
    <t xml:space="preserve">  Beginning shares outstanding (m)</t>
  </si>
  <si>
    <t xml:space="preserve">2026E begins from shares outstanding at 30-Jun-2026 (balance-sheet share counts).</t>
  </si>
  <si>
    <t xml:space="preserve">  Ending shares outstanding (m)</t>
  </si>
  <si>
    <t xml:space="preserve">  % of shares repurchased</t>
  </si>
  <si>
    <t xml:space="preserve">  Dilutive securities — RSUs / PSUs (m shares)</t>
  </si>
  <si>
    <t xml:space="preserve">Q2/26: diluted − basic = 0.29m.</t>
  </si>
  <si>
    <t xml:space="preserve">  Dilution from 2030 convertible notes (m shares, treasury-stock method)</t>
  </si>
  <si>
    <t xml:space="preserve">Net-share settlement: principal in cash, excess conversion value in shares above $262.51 (capped call to $396.24 is anti-dilutive and ignored for GAAP EPS).</t>
  </si>
  <si>
    <t xml:space="preserve">CONSOLIDATED BALANCE SHEET</t>
  </si>
  <si>
    <t xml:space="preserve">BS FORECAST — 2026E rolled forward from 31-Dec-2025 + full-year flows (PCG, buybacks, dividends); 2027E+ from prior year end. Pre-spin balance sheets (to Q1/15, ex Dec-14 recast) not shown.</t>
  </si>
  <si>
    <t xml:space="preserve">ASSETS</t>
  </si>
  <si>
    <t xml:space="preserve">  Cash and cash equivalents</t>
  </si>
  <si>
    <t xml:space="preserve">Forecast = cash-flow ending cash less restricted cash (current &amp; noncurrent).</t>
  </si>
  <si>
    <t xml:space="preserve">  Restricted cash and cash equivalents (current)</t>
  </si>
  <si>
    <t xml:space="preserve">  Investments (current)</t>
  </si>
  <si>
    <t xml:space="preserve">  Accounts receivable – trade, net</t>
  </si>
  <si>
    <t xml:space="preserve">  Accounts receivable – other</t>
  </si>
  <si>
    <t xml:space="preserve">  Retainages</t>
  </si>
  <si>
    <t xml:space="preserve">  Contracts in progress</t>
  </si>
  <si>
    <t xml:space="preserve">  Inventories</t>
  </si>
  <si>
    <t xml:space="preserve">  Deferred income taxes (current, to 2015)</t>
  </si>
  <si>
    <t xml:space="preserve">  Other current assets</t>
  </si>
  <si>
    <t xml:space="preserve">  Assets of discontinued operations / held for sale – current</t>
  </si>
  <si>
    <t xml:space="preserve">Total current assets</t>
  </si>
  <si>
    <t xml:space="preserve">  Property, plant &amp; equipment, net</t>
  </si>
  <si>
    <t xml:space="preserve">PP&amp;E roll-forward: prior + capex − depreciation (D&amp;A less acquisition amortization) + acquired PP&amp;E − medical assets sold.</t>
  </si>
  <si>
    <t xml:space="preserve">  Investments (noncurrent)</t>
  </si>
  <si>
    <t xml:space="preserve">  Goodwill</t>
  </si>
  <si>
    <t xml:space="preserve">  Deferred income taxes</t>
  </si>
  <si>
    <t xml:space="preserve">  Investments in unconsolidated affiliates</t>
  </si>
  <si>
    <t xml:space="preserve">+ equity income − dividends received; 2027E + retained ~20% medical stake.</t>
  </si>
  <si>
    <t xml:space="preserve">  Intangible assets</t>
  </si>
  <si>
    <t xml:space="preserve">  Other assets (incl. noncurrent restricted cash, ROU assets, pension asset)</t>
  </si>
  <si>
    <t xml:space="preserve">  Assets of discontinued operations – noncurrent</t>
  </si>
  <si>
    <t xml:space="preserve">TOTAL ASSETS</t>
  </si>
  <si>
    <t xml:space="preserve">LIABILITIES AND STOCKHOLDERS’ EQUITY</t>
  </si>
  <si>
    <t xml:space="preserve">  Current maturities of long-term debt &amp; notes payable</t>
  </si>
  <si>
    <t xml:space="preserve">  Bank overdraft</t>
  </si>
  <si>
    <t xml:space="preserve">  Accounts payable</t>
  </si>
  <si>
    <t xml:space="preserve">  Accrued employee benefits</t>
  </si>
  <si>
    <t xml:space="preserve">  Accrued liabilities – other</t>
  </si>
  <si>
    <t xml:space="preserve">  Advance billings on contracts</t>
  </si>
  <si>
    <t xml:space="preserve">  Accrued warranty expense (to 2019)</t>
  </si>
  <si>
    <t xml:space="preserve">  Income taxes payable (to 2015)</t>
  </si>
  <si>
    <t xml:space="preserve">  Liabilities of discontinued operations / held for sale – current</t>
  </si>
  <si>
    <t xml:space="preserve">Total current liabilities</t>
  </si>
  <si>
    <t xml:space="preserve">  Long-term debt (senior notes, 2030 convertible notes, credit facility)</t>
  </si>
  <si>
    <t xml:space="preserve">  Accumulated postretirement benefit obligation</t>
  </si>
  <si>
    <t xml:space="preserve">  Environmental liabilities</t>
  </si>
  <si>
    <t xml:space="preserve">  Pension liability</t>
  </si>
  <si>
    <t xml:space="preserve">  Other liabilities</t>
  </si>
  <si>
    <t xml:space="preserve">  Liabilities of discontinued operations – noncurrent</t>
  </si>
  <si>
    <t xml:space="preserve">Total liabilities</t>
  </si>
  <si>
    <t xml:space="preserve">Stockholders’ equity:</t>
  </si>
  <si>
    <t xml:space="preserve">  Common stock &amp; capital in excess of par, less treasury stock (derived)</t>
  </si>
  <si>
    <t xml:space="preserve">+ stock-based compensation − repurchases − shares withheld. 2015 includes the $0.75bn Power Generation spin-off distribution.</t>
  </si>
  <si>
    <t xml:space="preserve">  Retained earnings</t>
  </si>
  <si>
    <t xml:space="preserve">+ net income attributable − dividends.</t>
  </si>
  <si>
    <t xml:space="preserve">  Accumulated other comprehensive income (loss)</t>
  </si>
  <si>
    <t xml:space="preserve">Stockholders’ equity – BWX Technologies</t>
  </si>
  <si>
    <t xml:space="preserve">  Noncontrolling interest</t>
  </si>
  <si>
    <t xml:space="preserve">Total stockholders’ equity</t>
  </si>
  <si>
    <t xml:space="preserve">TOTAL LIABILITIES AND STOCKHOLDERS’ EQUITY</t>
  </si>
  <si>
    <t xml:space="preserve">BS tie-out check (TA − TL&amp;E)</t>
  </si>
  <si>
    <t xml:space="preserve">  Check: model total assets vs reported (should be 0)</t>
  </si>
  <si>
    <t xml:space="preserve">  Memo: total assets as reported</t>
  </si>
  <si>
    <t xml:space="preserve">  Memo: restricted cash — noncurrent (within other assets)</t>
  </si>
  <si>
    <t xml:space="preserve">  Check: BS cash (+ restricted from 2018) vs cash-flow ending cash (should be 0)</t>
  </si>
  <si>
    <t xml:space="preserve">  Memo: common shares outstanding at period end (m)</t>
  </si>
  <si>
    <t xml:space="preserve">WORKING CAPITAL &amp; CASH CONVERSION</t>
  </si>
  <si>
    <t xml:space="preserve">WORKING CAPITAL — forecast drivers (blue = input; % of annual revenues at FY2025 levels)</t>
  </si>
  <si>
    <t xml:space="preserve">  Accounts receivable – trade % of revenues</t>
  </si>
  <si>
    <t xml:space="preserve">FY25 6.9% (FY24 3.7%; Kinectrics billing terms).</t>
  </si>
  <si>
    <t xml:space="preserve">  Accounts receivable – other % of revenues</t>
  </si>
  <si>
    <t xml:space="preserve">  Retainages % of revenues</t>
  </si>
  <si>
    <t xml:space="preserve">  Contracts in progress % of revenues</t>
  </si>
  <si>
    <t xml:space="preserve">Unbilled revenue on cost-to-cost contracts (naval reactors). FY25 19.1%; 30-Jun-26 18.1% annualised (2026E); 19% 2027E+.</t>
  </si>
  <si>
    <t xml:space="preserve">  Inventories % of revenues</t>
  </si>
  <si>
    <t xml:space="preserve">  Accounts payable % of revenues</t>
  </si>
  <si>
    <t xml:space="preserve">FY25 4.4% (Dec seasonal low); 30-Jun-26 5.9% annualised.</t>
  </si>
  <si>
    <t xml:space="preserve">  Accrued employee benefits % of revenues</t>
  </si>
  <si>
    <t xml:space="preserve">  Accrued liabilities – other % of revenues</t>
  </si>
  <si>
    <t xml:space="preserve">  Advance billings on contracts % of revenues</t>
  </si>
  <si>
    <t xml:space="preserve">FY25 9.5% (advance billings on new naval awards). 2026E 10% (year-end seasonal high; aligns 2026E FCF with the $345–360m guidance); 9% 2027E+.</t>
  </si>
  <si>
    <t xml:space="preserve">  Operating NWC (receivables + retainages + contracts in progress + inventories − payables − accruals − advance billings)</t>
  </si>
  <si>
    <t xml:space="preserve">  NWC % of revenues</t>
  </si>
  <si>
    <t xml:space="preserve">  ΔNWC (y/y)</t>
  </si>
  <si>
    <t xml:space="preserve">BALANCE SHEET FORECAST SCHEDULES</t>
  </si>
  <si>
    <t xml:space="preserve">BS FORECAST SCHEDULES — explicit driver assumptions</t>
  </si>
  <si>
    <t xml:space="preserve">Acquisitions &amp; divestitures — purchase-price allocation and assets derecognised</t>
  </si>
  <si>
    <t xml:space="preserve">  Acquired PP&amp;E (PCG 2026E; M&amp;A lever 2027E+)</t>
  </si>
  <si>
    <t xml:space="preserve">  Acquired intangibles</t>
  </si>
  <si>
    <t xml:space="preserve">  Acquired goodwill (residual)</t>
  </si>
  <si>
    <t xml:space="preserve">Residual of price after PP&amp;E and intangibles (working capital acquired ignored).</t>
  </si>
  <si>
    <t xml:space="preserve">  Medical assets sold — PP&amp;E (60% of carrying value)</t>
  </si>
  <si>
    <t xml:space="preserve">Split of the assumed $350m carrying value: 60% PP&amp;E / 25% goodwill / 15% intangibles (estimate).</t>
  </si>
  <si>
    <t xml:space="preserve">  Medical assets sold — goodwill (25%)</t>
  </si>
  <si>
    <t xml:space="preserve">  Medical assets sold — intangibles (15%)</t>
  </si>
  <si>
    <t xml:space="preserve">Debt schedule (scheduled maturities + revolver to a minimum cash balance)</t>
  </si>
  <si>
    <t xml:space="preserve">  Total debt (book: current + long-term)</t>
  </si>
  <si>
    <t xml:space="preserve">30-Jun-26: $2,019.9m = $400m 4.125% notes due Jun-2028 + $400m 4.125% notes due Apr-2029 + $1,250m 0% convertible notes due Nov-2030 − unamortized costs; $1.25bn revolver undrawn.</t>
  </si>
  <si>
    <t xml:space="preserve">  Senior notes 4.125% due 2028 &amp; 2029 (face)</t>
  </si>
  <si>
    <t xml:space="preserve">  Scheduled maturities — senior notes (input, negative)</t>
  </si>
  <si>
    <t xml:space="preserve">2028: $400m (30-Jun-2028); 2029: $400m (15-Apr-2029).</t>
  </si>
  <si>
    <t xml:space="preserve">  0% convertible senior notes due 1-Nov-2030 (face)</t>
  </si>
  <si>
    <t xml:space="preserve">Issued Nov-2025 (incl. $150m option); conversion price ~$262.51 (3.8094 shares per $1,000); capped call to $396.24 ($131.9m premium).</t>
  </si>
  <si>
    <t xml:space="preserve">  Scheduled maturities — convertible notes (input, negative)</t>
  </si>
  <si>
    <t xml:space="preserve">Assumed settled in cash at par at maturity (Nov-2030) and refinanced.</t>
  </si>
  <si>
    <t xml:space="preserve">  % of scheduled maturities refinanced (input)</t>
  </si>
  <si>
    <t xml:space="preserve">  New senior notes issued to refinance maturities (face)</t>
  </si>
  <si>
    <t xml:space="preserve">  Amortization of debt issuance costs (non-cash interest)</t>
  </si>
  <si>
    <t xml:space="preserve">~$6m p.a. (convertible-note and senior-note issuance costs).</t>
  </si>
  <si>
    <t xml:space="preserve">  Unamortized debt issuance costs (negative)</t>
  </si>
  <si>
    <t xml:space="preserve">  Minimum cash balance (incl. restricted)</t>
  </si>
  <si>
    <t xml:space="preserve">  Cash before revolver (opening cash − opening revolver + CFO + CFI + dividends + buybacks + other financing + note issuance/(maturities))</t>
  </si>
  <si>
    <t xml:space="preserve">  Revolving credit facility drawn (year end; $1.25bn facility, prepayable)</t>
  </si>
  <si>
    <t xml:space="preserve">Drawn / repaid so that cash ≥ minimum balance; surplus cash accumulates (or funds buybacks via the leverage plug).</t>
  </si>
  <si>
    <t xml:space="preserve">  Net issuance / (repayment) of debt</t>
  </si>
  <si>
    <t xml:space="preserve">  Current maturities (next year’s scheduled maturities)</t>
  </si>
  <si>
    <t xml:space="preserve">  Coupon — 2028/2029 senior notes %</t>
  </si>
  <si>
    <t xml:space="preserve">  Coupon — refinancing notes %</t>
  </si>
  <si>
    <t xml:space="preserve">Assumption: BB-area unsecured notes; update to market.</t>
  </si>
  <si>
    <t xml:space="preserve">  Revolver interest rate % (Term SOFR + 1.50%)</t>
  </si>
  <si>
    <t xml:space="preserve">  Commitment &amp; LC fees, net of capitalized interest</t>
  </si>
  <si>
    <t xml:space="preserve">Calibrated to 1H/26 interest expense ($10.0m) vs $16.5m of semi-annual coupons: capitalized interest on capacity projects offsets fees.</t>
  </si>
  <si>
    <t xml:space="preserve">  Interest expense (debt schedule)</t>
  </si>
  <si>
    <t xml:space="preserve">  Interest income yield on opening cash %</t>
  </si>
  <si>
    <t xml:space="preserve">Convertible notes &amp; leverage-targeted buybacks</t>
  </si>
  <si>
    <t xml:space="preserve">  Conversion price ($)</t>
  </si>
  <si>
    <t xml:space="preserve">  Shares underlying the notes (m)</t>
  </si>
  <si>
    <t xml:space="preserve">  Minimum net debt / Adjusted EBITDA (x) (scenario)</t>
  </si>
  <si>
    <t xml:space="preserve">BWXT targets ~2.5x maximum leverage; buybacks resume only once leverage falls to the scenario floor (Base 1.5x).</t>
  </si>
  <si>
    <t xml:space="preserve">  Net debt — opening</t>
  </si>
  <si>
    <t xml:space="preserve">  Net debt before buybacks (year end)</t>
  </si>
  <si>
    <t xml:space="preserve">  Target minimum net debt = floor × Adjusted EBITDA</t>
  </si>
  <si>
    <t xml:space="preserve">  Share repurchases: plug to minimum leverage</t>
  </si>
  <si>
    <t xml:space="preserve">Zero while leverage is above the floor; feeds the cash-flow repurchase line.</t>
  </si>
  <si>
    <t xml:space="preserve">Historical reference (driver context)</t>
  </si>
  <si>
    <t xml:space="preserve">  Total D&amp;A % of revenues</t>
  </si>
  <si>
    <t xml:space="preserve">RATIO ANALYSIS</t>
  </si>
  <si>
    <t xml:space="preserve">RETURNS — annual columns (NOPAT on Adjusted EBIT = non-GAAP operating income)</t>
  </si>
  <si>
    <t xml:space="preserve">DuPont decomposition of ROIC</t>
  </si>
  <si>
    <t xml:space="preserve">Adjusted EBIT (non-GAAP operating income)</t>
  </si>
  <si>
    <t xml:space="preserve">Effective tax rate (actual)</t>
  </si>
  <si>
    <t xml:space="preserve">NOPAT = Adjusted EBIT × (1 − tax rate)</t>
  </si>
  <si>
    <t xml:space="preserve">Invested capital (IC) = Equity + Net debt</t>
  </si>
  <si>
    <t xml:space="preserve">  Total equity incl. NCI</t>
  </si>
  <si>
    <t xml:space="preserve">  Net debt = Total debt − Cash (incl. restricted)</t>
  </si>
  <si>
    <t xml:space="preserve">ROIC = NOPAT / IC</t>
  </si>
  <si>
    <t xml:space="preserve">  Margin = Adjusted EBIT / Revenues</t>
  </si>
  <si>
    <t xml:space="preserve">  Capital turnover = Revenues / IC</t>
  </si>
  <si>
    <t xml:space="preserve">  Tax burden = (1 − effective tax rate)</t>
  </si>
  <si>
    <t xml:space="preserve">  Check: Margin × Turnover × Tax burden = ROIC</t>
  </si>
  <si>
    <t xml:space="preserve">RONTA decomposition</t>
  </si>
  <si>
    <t xml:space="preserve">  Total assets</t>
  </si>
  <si>
    <t xml:space="preserve">  − Goodwill &amp; acquired intangible assets</t>
  </si>
  <si>
    <t xml:space="preserve">  − Non-interest-bearing current liabilities (total CL excl. debt)</t>
  </si>
  <si>
    <t xml:space="preserve">  = Net tangible assets</t>
  </si>
  <si>
    <t xml:space="preserve">RONTA = NOPAT / NTA</t>
  </si>
  <si>
    <t xml:space="preserve">Return on Equity (ROE)</t>
  </si>
  <si>
    <t xml:space="preserve">Net income attributable to BWXT</t>
  </si>
  <si>
    <t xml:space="preserve">BWXT stockholders’ equity</t>
  </si>
  <si>
    <t xml:space="preserve">ROE = Net income / Equity</t>
  </si>
  <si>
    <t xml:space="preserve">Leverage</t>
  </si>
  <si>
    <t xml:space="preserve">Net debt = Total debt − cash (incl. restricted)</t>
  </si>
  <si>
    <t xml:space="preserve">Adjusted EBITDA</t>
  </si>
  <si>
    <t xml:space="preserve">Net debt / Adjusted EBITDA (x)</t>
  </si>
  <si>
    <t xml:space="preserve">VALUATION</t>
  </si>
  <si>
    <t xml:space="preserve">VALUATION — share price input $152.29 (latest observable on EDGAR: Form 4 tax-withholding price, 1-Sep-2026); update to market</t>
  </si>
  <si>
    <t xml:space="preserve">Share price ($) — current</t>
  </si>
  <si>
    <t xml:space="preserve">2027E+: appreciates with the share-price input (buyback pricing, convertible dilution).</t>
  </si>
  <si>
    <t xml:space="preserve">  Share-price appreciation % (buyback pricing)</t>
  </si>
  <si>
    <t xml:space="preserve">Diluted shares at period end (m)</t>
  </si>
  <si>
    <t xml:space="preserve">Market capitalisation (USDm)</t>
  </si>
  <si>
    <t xml:space="preserve">Net debt (USDm)</t>
  </si>
  <si>
    <t xml:space="preserve">Noncontrolling interests (USDm)</t>
  </si>
  <si>
    <t xml:space="preserve">Enterprise value (USDm)</t>
  </si>
  <si>
    <t xml:space="preserve">Multiples</t>
  </si>
  <si>
    <t xml:space="preserve">  EV / Revenues</t>
  </si>
  <si>
    <t xml:space="preserve">All multiples on the current (2026E) EV / price against each year’s metric.</t>
  </si>
  <si>
    <t xml:space="preserve">  EV / Adjusted EBITDA</t>
  </si>
  <si>
    <t xml:space="preserve">  EV / Adjusted EBIT</t>
  </si>
  <si>
    <t xml:space="preserve">  EV / IC</t>
  </si>
  <si>
    <t xml:space="preserve">  P / E (GAAP diluted)</t>
  </si>
  <si>
    <t xml:space="preserve">  P / E (non-GAAP EPS)</t>
  </si>
  <si>
    <t xml:space="preserve">  FCF yield</t>
  </si>
  <si>
    <t xml:space="preserve">  Dividend yield</t>
  </si>
  <si>
    <t xml:space="preserve">BWX Technologies (BWXT) — Bull / Base / Bear Case P&amp;L Summary</t>
  </si>
  <si>
    <t xml:space="preserve">Share price ($):</t>
  </si>
  <si>
    <t xml:space="preserve">Adjusted figures (company definition: Adjusted EBITDA / non-GAAP EPS from continuing operations); GAAP operating income shown for reference. 2027E GAAP includes the medical-sale gain.</t>
  </si>
  <si>
    <t xml:space="preserve">As of:</t>
  </si>
  <si>
    <t xml:space="preserve">Scenario:</t>
  </si>
  <si>
    <t xml:space="preserve">Snapshot (values) — Model run with switch = Bull; refresh by re-running the switch</t>
  </si>
  <si>
    <t xml:space="preserve">Snapshot (values) — Model run with switch = Bear; refresh by re-running the switch</t>
  </si>
  <si>
    <t xml:space="preserve">(USDm, except EPS and shares)</t>
  </si>
  <si>
    <t xml:space="preserve">2025A</t>
  </si>
  <si>
    <t xml:space="preserve">25-'30 CAGR</t>
  </si>
  <si>
    <t xml:space="preserve">Hist. avg 16–25</t>
  </si>
  <si>
    <t xml:space="preserve">   Revenues y/y %</t>
  </si>
  <si>
    <t xml:space="preserve">   Government Operations revenues y/y %</t>
  </si>
  <si>
    <t xml:space="preserve">   Adjusted EBITDA margin %</t>
  </si>
  <si>
    <t xml:space="preserve">Operating Income (GAAP)</t>
  </si>
  <si>
    <t xml:space="preserve">   Operating income y/y %</t>
  </si>
  <si>
    <t xml:space="preserve">   Operating margin (GAAP) %</t>
  </si>
  <si>
    <t xml:space="preserve">Non-GAAP Net Income (continuing ops, attributable to BWXT)</t>
  </si>
  <si>
    <t xml:space="preserve">FDSO (m)</t>
  </si>
  <si>
    <t xml:space="preserve">Non-GAAP EPS — Diluted ($)</t>
  </si>
  <si>
    <t xml:space="preserve">   EPS y/y %</t>
  </si>
  <si>
    <t xml:space="preserve">P / E (x) — assumed (non-GAAP EPS)</t>
  </si>
  <si>
    <t xml:space="preserve">Price Target ($)</t>
  </si>
  <si>
    <t xml:space="preserve">   Upside / (Downside) vs current</t>
  </si>
  <si>
    <t xml:space="preserve">IRR (to Dec-Y-1)</t>
  </si>
  <si>
    <t xml:space="preserve">Free Cash Flow</t>
  </si>
  <si>
    <t xml:space="preserve">   FCF %</t>
  </si>
  <si>
    <t xml:space="preserve">   FCF / share ($)</t>
  </si>
  <si>
    <t xml:space="preserve">   FCF Yield (on PT)</t>
  </si>
  <si>
    <t xml:space="preserve">Total backlog (year end)</t>
  </si>
  <si>
    <t xml:space="preserve">   Book-to-bill (x)</t>
  </si>
  <si>
    <t xml:space="preserve">Net Debt</t>
  </si>
  <si>
    <t xml:space="preserve">   Net Debt / Adjusted EBITDA (x)</t>
  </si>
  <si>
    <t xml:space="preserve">   Share repurchases ($m)</t>
  </si>
  <si>
    <t xml:space="preserve">   Implied avg buyback price ($)</t>
  </si>
  <si>
    <t xml:space="preserve">   Shares repurchased (m)</t>
  </si>
  <si>
    <t xml:space="preserve">ROIC</t>
  </si>
  <si>
    <t xml:space="preserve">RONTA</t>
  </si>
  <si>
    <t xml:space="preserve">Implied Market Cap (USDm)</t>
  </si>
  <si>
    <t xml:space="preserve">(+) Net Debt &amp; NCI</t>
  </si>
  <si>
    <t xml:space="preserve">Implied Enterprise Value (USDm)</t>
  </si>
  <si>
    <t xml:space="preserve">Implied EV / Adjusted EBITDA (x)</t>
  </si>
  <si>
    <t xml:space="preserve">DCF VALUATION — BWX TECHNOLOGIES (BWXT)</t>
  </si>
  <si>
    <t xml:space="preserve">1. WACC BUILD</t>
  </si>
  <si>
    <t xml:space="preserve">Risk-free rate (US 10Y govt)</t>
  </si>
  <si>
    <t xml:space="preserve">Assumption (kept consistent with the MLM model); update to the current US 10Y Treasury yield</t>
  </si>
  <si>
    <t xml:space="preserve">Equity risk premium</t>
  </si>
  <si>
    <t xml:space="preserve">US implied ERP ~4.5–5.5% (Damodaran)</t>
  </si>
  <si>
    <t xml:space="preserve">Levered beta</t>
  </si>
  <si>
    <t xml:space="preserve">Defense / nuclear peers (HII, GD, LHX, CW, CCJ) ~0.6–1.1; cost-plus naval reactor contracts (sole source) dampen cyclicality</t>
  </si>
  <si>
    <t xml:space="preserve">Cost of equity</t>
  </si>
  <si>
    <t xml:space="preserve">Pre-tax cost of debt</t>
  </si>
  <si>
    <t xml:space="preserve">BB-rated; 4.125% 2028/2029 notes trade ~5.5–6%; 0% 2030 converts carry an embedded equity option</t>
  </si>
  <si>
    <t xml:space="preserve">Tax rate</t>
  </si>
  <si>
    <t xml:space="preserve">Model 2027E+ effective tax rate</t>
  </si>
  <si>
    <t xml:space="preserve">After-tax cost of debt</t>
  </si>
  <si>
    <t xml:space="preserve">Target D/V</t>
  </si>
  <si>
    <t xml:space="preserve">Net debt ~$1.7bn at YE2026E vs ~$14bn market cap ($152.29 × ~92m shares); 2.5x Adjusted EBITDA</t>
  </si>
  <si>
    <t xml:space="preserve">WACC</t>
  </si>
  <si>
    <t xml:space="preserve">Valuation date (live)</t>
  </si>
  <si>
    <t xml:space="preserve">Periods = (Dec-31-Year − today) / 365.25; cash flows assumed at year-end</t>
  </si>
  <si>
    <t xml:space="preserve">2. UNLEVERED FREE CASH FLOW BUILD (USDm)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</si>
  <si>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</si>
  <si>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</si>
  <si>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</si>
  <si>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</si>
  <si>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</si>
  <si>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Terminal</t>
  </si>
  <si>
    <t xml:space="preserve">Adj. EBITDA − total D&amp;A − restructuring &amp; acquisition costs</t>
  </si>
  <si>
    <t xml:space="preserve">× (1 − tax rate)</t>
  </si>
  <si>
    <t xml:space="preserve">NOPAT</t>
  </si>
  <si>
    <t xml:space="preserve">plus D&amp;A (incl. acquisition amortization)</t>
  </si>
  <si>
    <t xml:space="preserve">− Capex &amp; acquisitions; + medical-sale proceeds after tax on gain (2027E)</t>
  </si>
  <si>
    <t xml:space="preserve">− Δ Working capital (CF statement)</t>
  </si>
  <si>
    <t xml:space="preserve">Unlevered FCF</t>
  </si>
  <si>
    <t xml:space="preserve">Terminal Value (Gordon Growth)</t>
  </si>
  <si>
    <t xml:space="preserve">Fade-period growth (2031E–35E; 8% → 5% linear)</t>
  </si>
  <si>
    <t xml:space="preserve">Terminal growth rate</t>
  </si>
  <si>
    <t xml:space="preserve">Included in valuation (1 = yes)</t>
  </si>
  <si>
    <t xml:space="preserve">Discount period (years)</t>
  </si>
  <si>
    <t xml:space="preserve">Discount factor</t>
  </si>
  <si>
    <t xml:space="preserve">PV of UFCF</t>
  </si>
  <si>
    <t xml:space="preserve">BWXT Adjusted EBITDA expenses stock-based compensation; EBIT here deducts all D&amp;A incl. acquisition amortization (added back in row 21). 2026E is shown but excluded (row 28 = 0): YE2026E net debt already reflects 2026 cash flows incl. the PCG purchase (avoids double counting).</t>
  </si>
  <si>
    <t xml:space="preserve">IMPLIED ROIC — invested capital roll-forward (USDm)</t>
  </si>
  <si>
    <t xml:space="preserve">Opening invested capital</t>
  </si>
  <si>
    <t xml:space="preserve">plus Capex and acquisitions</t>
  </si>
  <si>
    <t xml:space="preserve">less D&amp;A</t>
  </si>
  <si>
    <t xml:space="preserve">plus Δ Working capital investment</t>
  </si>
  <si>
    <t xml:space="preserve">Closing invested capital</t>
  </si>
  <si>
    <t xml:space="preserve">NOPAT (row 20)</t>
  </si>
  <si>
    <t xml:space="preserve">Implied ROIC (NOPAT / avg. invested capital)</t>
  </si>
  <si>
    <t xml:space="preserve">Reinvestment rate (net investment / NOPAT)</t>
  </si>
  <si>
    <t xml:space="preserve">Implied terminal RONIC (g / reinvestment rate)</t>
  </si>
  <si>
    <t xml:space="preserve">Opening IC = Model 2025A book IC (equity + net debt), rolled forward with capex + M&amp;A (incl. PCG) − D&amp;A + ΔWC; 2027E medical proceeds reduce IC.</t>
  </si>
  <si>
    <t xml:space="preserve">3. VALUATION SUMMARY</t>
  </si>
  <si>
    <t xml:space="preserve">Sum of PV (explicit + fade, 2027E–2035E)</t>
  </si>
  <si>
    <t xml:space="preserve">PV of Terminal Value</t>
  </si>
  <si>
    <t xml:space="preserve">Enterprise Value</t>
  </si>
  <si>
    <t xml:space="preserve">Less: Net debt + NCI (Model 2026E YE)</t>
  </si>
  <si>
    <t xml:space="preserve">Net debt incl. 0% 2030 convertible notes at face ($1.25bn); NCI ~$1m.</t>
  </si>
  <si>
    <t xml:space="preserve">Equity Value</t>
  </si>
  <si>
    <t xml:space="preserve">Diluted shares (m, Model 2026E)</t>
  </si>
  <si>
    <t xml:space="preserve">Implied share price ($)</t>
  </si>
  <si>
    <t xml:space="preserve">Current share price ($)</t>
  </si>
  <si>
    <t xml:space="preserve">Implied upside / (downside)</t>
  </si>
  <si>
    <t xml:space="preserve">Required discount to DCF value for target IRR</t>
  </si>
  <si>
    <t xml:space="preserve">vs. current</t>
  </si>
  <si>
    <t xml:space="preserve">Target IRR</t>
  </si>
  <si>
    <t xml:space="preserve">Max entry price for target IRR ($)</t>
  </si>
  <si>
    <t xml:space="preserve">Years for discount to close</t>
  </si>
  <si>
    <t xml:space="preserve">4. SENSITIVITY: IMPLIED PRICE ($) — WACC × Terminal Growth</t>
  </si>
  <si>
    <t xml:space="preserve">WACC →</t>
  </si>
  <si>
    <t xml:space="preserve">Terminal growth ↓</t>
  </si>
  <si>
    <t xml:space="preserve">5. REVERSE DCF</t>
  </si>
  <si>
    <t xml:space="preserve">To solve for the market-implied path: Data ▸ What-If Analysis ▸ Goal Seek — set C51 to the current price (C52) by changing C27 (terminal growth) or the fade-period growth inputs (I26:M26).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</si>
  <si>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</si>
  <si>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</si>
  <si>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(2020).</t>
  </si>
  <si>
    <t xml:space="preserve">Input</t>
  </si>
  <si>
    <t xml:space="preserve">Value</t>
  </si>
  <si>
    <t xml:space="preserve">Rationale (BWXT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</si>
  <si>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</si>
  <si>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</si>
  <si>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</si>
  <si>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non-GAAP operating income CAGR 2026–30E ~11–12%: naval build rates, special materials, Commercial nuclear (CANDU refurbishments, SMR components)</t>
  </si>
  <si>
    <t xml:space="preserve">ROIIC  (Return on incremental invested capital)</t>
  </si>
  <si>
    <t xml:space="preserve">Sole-source naval reactor franchise (cost-plus-fee) and licensed nuclear facilities; heavy 2021–26 capacity capex (capex 6–15% of sales) dilutes incremental returns</t>
  </si>
  <si>
    <t xml:space="preserve">N  (Years of value creation / CAP)</t>
  </si>
  <si>
    <t xml:space="preserve">Unique Category 1 nuclear licences (NFS Erwin, Lynchburg), 60+ year Naval Nuclear Propulsion Program relationship; competitive advantage period long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</si>
  <si>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</si>
  <si>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</si>
  <si>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</si>
  <si>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</si>
  <si>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</si>
  <si>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</si>
  <si>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</si>
  <si>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2028E NOPAT</t>
  </si>
  <si>
    <t xml:space="preserve">USDm</t>
  </si>
  <si>
    <t xml:space="preserve">2028E Adj. EBITDA − D&amp;A − restructuring &amp; acquisition costs</t>
  </si>
  <si>
    <t xml:space="preserve">Tax rate (from WACC build)</t>
  </si>
  <si>
    <t xml:space="preserve">2028E NOPAT</t>
  </si>
  <si>
    <t xml:space="preserve">× Mauboussin EV/NOPAT multiple</t>
  </si>
  <si>
    <t xml:space="preserve">Implied Enterprise Value (2028E basis)</t>
  </si>
  <si>
    <t xml:space="preserve">Less: YE2027 net debt + NCI (Model)</t>
  </si>
  <si>
    <t xml:space="preserve">Implied Equity Value</t>
  </si>
  <si>
    <t xml:space="preserve">Diluted shares 2028E (m, Model)</t>
  </si>
  <si>
    <t xml:space="preserve">Implied share price 2028 ($)</t>
  </si>
  <si>
    <t xml:space="preserve">MARKET-IMPLIED EV/NOPAT TODAY</t>
  </si>
  <si>
    <t xml:space="preserve">Current market cap (spot × diluted shares)</t>
  </si>
  <si>
    <t xml:space="preserve">Plus: YE2026 net debt + NCI</t>
  </si>
  <si>
    <t xml:space="preserve">Implied Enterprise Value (today)</t>
  </si>
  <si>
    <t xml:space="preserve">BWXT market-implied EV/NOPAT (on 2028E NOPAT)</t>
  </si>
  <si>
    <t xml:space="preserve">Multiple gap (Mauboussin − Market)</t>
  </si>
  <si>
    <t xml:space="preserve">Implied re-rating headroom</t>
  </si>
  <si>
    <t xml:space="preserve">BWX Technologies — Historical Operating Performance (2014–2025)</t>
  </si>
  <si>
    <t xml:space="preserve">All historicals · USDm · Linked to Model. Backlog split: Government / Commercial Operations from 2021 (2020 recast); 2014–19 proxy = Nuclear Energy / NPG (Commercial) vs. remainder (Government). Adjusted EBITDA as reconciled in the Model bridge (company-published from 2020). 2014 returns not shown (balance sheet includes Power Generation pre-spin).</t>
  </si>
  <si>
    <t xml:space="preserve">Government backlog</t>
  </si>
  <si>
    <t xml:space="preserve">Commercial backlog</t>
  </si>
  <si>
    <t xml:space="preserve">Adj. EBITDA Margin %</t>
  </si>
  <si>
    <t xml:space="preserve">GAAP Op. Margin %</t>
  </si>
  <si>
    <t xml:space="preserve">Adj. EBITDA margin %</t>
  </si>
  <si>
    <t xml:space="preserve">FCF margin %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</si>
</sst>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.0;\(#,##0.0\);\-"/>
    <numFmt numFmtId="166" formatCode="0%;\(0%\);&quot;n/m&quot;"/>
    <numFmt numFmtId="167" formatCode="0.00\x;\(0.00&quot;x)&quot;;\-"/>
    <numFmt numFmtId="168" formatCode="0.00;\(0.00\);\-"/>
    <numFmt numFmtId="169" formatCode="0.0%;\(0.0%\);\-"/>
    <numFmt numFmtId="170" formatCode="0.0\x;\(0.0&quot;x)&quot;;\-"/>
    <numFmt numFmtId="171" formatCode="\+0.0%;\-0.0%;0.0%"/>
    <numFmt numFmtId="172" formatCode="\+0.00\x;\-0.00\x"/>
    <numFmt numFmtId="173" formatCode="\+#,##0;\-#,##0"/>
    <numFmt numFmtId="174" formatCode="#,##0;\(#,##0\);\-"/>
    <numFmt numFmtId="175" formatCode="0.0"/>
    <numFmt numFmtId="176" formatCode="#,##0.00;\(#,##0.00\);\-"/>
    <numFmt numFmtId="177" formatCode="yyyy\-mm\-dd"/>
    <numFmt numFmtId="178" formatCode="0.00%"/>
    <numFmt numFmtId="179" formatCode="0.00"/>
    <numFmt numFmtId="180" formatCode="0"/>
    <numFmt numFmtId="181" formatCode="0.000"/>
    <numFmt numFmtId="182" formatCode="0.0%"/>
    <numFmt numFmtId="183" formatCode="#,##0"/>
    <numFmt numFmtId="184" formatCode="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sz val="12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0000FF"/>
      <name val="Calibri"/>
      <family val="0"/>
      <charset val="1"/>
    </font>
    <font>
      <b val="true"/>
      <sz val="12"/>
      <name val="Calibri"/>
      <family val="0"/>
      <charset val="1"/>
    </font>
    <font>
      <sz val="11"/>
      <color rgb="FFA6A6A6"/>
      <name val="Calibri"/>
      <family val="0"/>
      <charset val="1"/>
    </font>
    <font>
      <sz val="12"/>
      <color rgb="FFA6A6A6"/>
      <name val="Calibri"/>
      <family val="0"/>
      <charset val="1"/>
    </font>
    <font>
      <b val="true"/>
      <sz val="12"/>
      <color rgb="FF666666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sz val="11"/>
      <color rgb="FFC00000"/>
      <name val="Calibri"/>
      <family val="0"/>
      <charset val="1"/>
    </font>
    <font>
      <sz val="12"/>
      <color rgb="FFC00000"/>
      <name val="Calibri"/>
      <family val="0"/>
      <charset val="1"/>
    </font>
    <font>
      <sz val="12"/>
      <color rgb="FF008000"/>
      <name val="Calibri"/>
      <family val="0"/>
      <charset val="1"/>
    </font>
    <font>
      <b val="true"/>
      <sz val="12"/>
      <color rgb="FF008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1F3864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84A98C"/>
      <rgbColor rgb="FF595959"/>
      <rgbColor rgb="FFFFFDE7"/>
      <rgbColor rgb="FFE9EC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8C5D6"/>
      <rgbColor rgb="FFFF99CC"/>
      <rgbColor rgb="FFCC99FF"/>
      <rgbColor rgb="FFCAD2C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333300"/>
      <rgbColor rgb="FF993300"/>
      <rgbColor rgb="FF993366"/>
      <rgbColor rgb="FF1F4E7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Year-end Backlog: Government vs. Commercial Operations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Charts!B8</c:f>
              <c:strCache>
                <c:ptCount val="1"/>
                <c:pt idx="0">
                  <c:v>Government backlog</c:v>
                </c:pt>
              </c:strCache>
            </c:strRef>
          </c:tx>
          <c:spPr>
            <a:solidFill>
              <a:srgbClr val="2f3e46"/>
            </a:solidFill>
            <a:ln w="0">
              <a:solidFill>
                <a:srgbClr val="2f3e4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Charts!$C$7:$N$7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Charts!$C$8:$N$8</c:f>
              <c:numCache>
                <c:formatCode>#,##0;\(#,##0\);\-</c:formatCode>
                <c:ptCount val="12"/>
                <c:pt idx="0">
                  <c:v>2780.734</c:v>
                </c:pt>
                <c:pt idx="1">
                  <c:v>2314.955</c:v>
                </c:pt>
                <c:pt idx="2">
                  <c:v>3489.987</c:v>
                </c:pt>
                <c:pt idx="3">
                  <c:v>3333.701</c:v>
                </c:pt>
                <c:pt idx="4">
                  <c:v>2674.966</c:v>
                </c:pt>
                <c:pt idx="5">
                  <c:v>4558.718</c:v>
                </c:pt>
                <c:pt idx="6">
                  <c:v>3680.126</c:v>
                </c:pt>
                <c:pt idx="7">
                  <c:v>4532.17</c:v>
                </c:pt>
                <c:pt idx="8">
                  <c:v>3515.377</c:v>
                </c:pt>
                <c:pt idx="9">
                  <c:v>3216.673</c:v>
                </c:pt>
                <c:pt idx="10">
                  <c:v>3912.58</c:v>
                </c:pt>
                <c:pt idx="11">
                  <c:v>5541.291</c:v>
                </c:pt>
              </c:numCache>
            </c:numRef>
          </c:val>
        </c:ser>
        <c:ser>
          <c:idx val="1"/>
          <c:order val="1"/>
          <c:tx>
            <c:strRef>
              <c:f>Charts!B9</c:f>
              <c:strCache>
                <c:ptCount val="1"/>
                <c:pt idx="0">
                  <c:v>Commercial backlog</c:v>
                </c:pt>
              </c:strCache>
            </c:strRef>
          </c:tx>
          <c:spPr>
            <a:solidFill>
              <a:srgbClr val="84a98c"/>
            </a:solidFill>
            <a:ln w="0">
              <a:solidFill>
                <a:srgbClr val="84a98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Charts!$C$7:$N$7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Charts!$C$9:$N$9</c:f>
              <c:numCache>
                <c:formatCode>#,##0;\(#,##0\);\-</c:formatCode>
                <c:ptCount val="12"/>
                <c:pt idx="0">
                  <c:v>264.992</c:v>
                </c:pt>
                <c:pt idx="1">
                  <c:v>335.333</c:v>
                </c:pt>
                <c:pt idx="2">
                  <c:v>492.793</c:v>
                </c:pt>
                <c:pt idx="3">
                  <c:v>637.053</c:v>
                </c:pt>
                <c:pt idx="4">
                  <c:v>803.634</c:v>
                </c:pt>
                <c:pt idx="5">
                  <c:v>729.748</c:v>
                </c:pt>
                <c:pt idx="6">
                  <c:v>725.702</c:v>
                </c:pt>
                <c:pt idx="7">
                  <c:v>643.866</c:v>
                </c:pt>
                <c:pt idx="8">
                  <c:v>628.933</c:v>
                </c:pt>
                <c:pt idx="9">
                  <c:v>780.974</c:v>
                </c:pt>
                <c:pt idx="10">
                  <c:v>929.88</c:v>
                </c:pt>
                <c:pt idx="11">
                  <c:v>1719.401</c:v>
                </c:pt>
              </c:numCache>
            </c:numRef>
          </c:val>
        </c:ser>
        <c:gapWidth val="150"/>
        <c:overlap val="100"/>
        <c:axId val="68798470"/>
        <c:axId val="36607109"/>
      </c:barChart>
      <c:catAx>
        <c:axId val="687984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07109"/>
        <c:crosses val="autoZero"/>
        <c:auto val="1"/>
        <c:lblAlgn val="ctr"/>
        <c:lblOffset val="100"/>
        <c:noMultiLvlLbl val="0"/>
      </c:catAx>
      <c:valAx>
        <c:axId val="36607109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984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Adjusted EBITDA &amp; Operating Income (GAAP)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Charts!B12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rgbClr val="a8c5d6"/>
            </a:solidFill>
            <a:ln w="0">
              <a:solidFill>
                <a:srgbClr val="a8c5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Charts!$C$7:$N$7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Charts!$C$12:$N$12</c:f>
              <c:numCache>
                <c:formatCode>#,##0;\(#,##0\);\-</c:formatCode>
                <c:ptCount val="12"/>
                <c:pt idx="0">
                  <c:v>293.762</c:v>
                </c:pt>
                <c:pt idx="1">
                  <c:v>294.704</c:v>
                </c:pt>
                <c:pt idx="2">
                  <c:v>329.717</c:v>
                </c:pt>
                <c:pt idx="3">
                  <c:v>371.142</c:v>
                </c:pt>
                <c:pt idx="4">
                  <c:v>367.574</c:v>
                </c:pt>
                <c:pt idx="5">
                  <c:v>393.243</c:v>
                </c:pt>
                <c:pt idx="6">
                  <c:v>427.026</c:v>
                </c:pt>
                <c:pt idx="7">
                  <c:v>418.028</c:v>
                </c:pt>
                <c:pt idx="8">
                  <c:v>439.413</c:v>
                </c:pt>
                <c:pt idx="9">
                  <c:v>471.925</c:v>
                </c:pt>
                <c:pt idx="10">
                  <c:v>498.669</c:v>
                </c:pt>
                <c:pt idx="11">
                  <c:v>574.245000000001</c:v>
                </c:pt>
              </c:numCache>
            </c:numRef>
          </c:val>
        </c:ser>
        <c:ser>
          <c:idx val="1"/>
          <c:order val="1"/>
          <c:tx>
            <c:strRef>
              <c:f>Charts!B13</c:f>
              <c:strCache>
                <c:ptCount val="1"/>
                <c:pt idx="0">
                  <c:v>Operating Income (GAAP)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Charts!$C$7:$N$7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Charts!$C$13:$N$13</c:f>
              <c:numCache>
                <c:formatCode>#,##0;\(#,##0\);\-</c:formatCode>
                <c:ptCount val="12"/>
                <c:pt idx="0">
                  <c:v>25.1249999999998</c:v>
                </c:pt>
                <c:pt idx="1">
                  <c:v>205.941</c:v>
                </c:pt>
                <c:pt idx="2">
                  <c:v>239.263</c:v>
                </c:pt>
                <c:pt idx="3">
                  <c:v>308.885</c:v>
                </c:pt>
                <c:pt idx="4">
                  <c:v>304.977</c:v>
                </c:pt>
                <c:pt idx="5">
                  <c:v>325.521</c:v>
                </c:pt>
                <c:pt idx="6">
                  <c:v>358.552</c:v>
                </c:pt>
                <c:pt idx="7">
                  <c:v>345.848</c:v>
                </c:pt>
                <c:pt idx="8">
                  <c:v>348.571</c:v>
                </c:pt>
                <c:pt idx="9">
                  <c:v>383.059</c:v>
                </c:pt>
                <c:pt idx="10">
                  <c:v>380.607</c:v>
                </c:pt>
                <c:pt idx="11">
                  <c:v>404.459</c:v>
                </c:pt>
              </c:numCache>
            </c:numRef>
          </c:val>
        </c:ser>
        <c:gapWidth val="150"/>
        <c:overlap val="0"/>
        <c:axId val="16611142"/>
        <c:axId val="64539979"/>
      </c:barChart>
      <c:catAx>
        <c:axId val="166111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39979"/>
        <c:crosses val="autoZero"/>
        <c:auto val="1"/>
        <c:lblAlgn val="ctr"/>
        <c:lblOffset val="100"/>
        <c:noMultiLvlLbl val="0"/>
      </c:catAx>
      <c:valAx>
        <c:axId val="64539979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111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Charts!B18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Charts!$C$7:$N$7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Charts!$C$18:$N$18</c:f>
              <c:numCache>
                <c:formatCode>0.0%;\(0.0%\);\-</c:formatCode>
                <c:ptCount val="12"/>
                <c:pt idx="0">
                  <c:v>0</c:v>
                </c:pt>
                <c:pt idx="1">
                  <c:v>0.369025853821515</c:v>
                </c:pt>
                <c:pt idx="2">
                  <c:v>0.366426990629306</c:v>
                </c:pt>
                <c:pt idx="3">
                  <c:v>0.271343599237989</c:v>
                </c:pt>
                <c:pt idx="4">
                  <c:v>0.257959038725452</c:v>
                </c:pt>
                <c:pt idx="5">
                  <c:v>0.227617061501009</c:v>
                </c:pt>
                <c:pt idx="6">
                  <c:v>0.185692197265735</c:v>
                </c:pt>
                <c:pt idx="7">
                  <c:v>0.151162193001863</c:v>
                </c:pt>
                <c:pt idx="8">
                  <c:v>0.139000152514356</c:v>
                </c:pt>
                <c:pt idx="9">
                  <c:v>0.146248437464863</c:v>
                </c:pt>
                <c:pt idx="10">
                  <c:v>0.162593111528954</c:v>
                </c:pt>
                <c:pt idx="11">
                  <c:v>0.143740234100416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Charts!B19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84a98c"/>
            </a:solidFill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Charts!$C$7:$N$7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Charts!$C$19:$N$19</c:f>
              <c:numCache>
                <c:formatCode>0.0%;\(0.0%\);\-</c:formatCode>
                <c:ptCount val="12"/>
                <c:pt idx="0">
                  <c:v>0</c:v>
                </c:pt>
                <c:pt idx="1">
                  <c:v>0.185074873194208</c:v>
                </c:pt>
                <c:pt idx="2">
                  <c:v>0.23668904430986</c:v>
                </c:pt>
                <c:pt idx="3">
                  <c:v>0.178636141163165</c:v>
                </c:pt>
                <c:pt idx="4">
                  <c:v>0.31611297125609</c:v>
                </c:pt>
                <c:pt idx="5">
                  <c:v>0.245757692633364</c:v>
                </c:pt>
                <c:pt idx="6">
                  <c:v>0.205244241768758</c:v>
                </c:pt>
                <c:pt idx="7">
                  <c:v>0.171954606966</c:v>
                </c:pt>
                <c:pt idx="8">
                  <c:v>0.156718088740182</c:v>
                </c:pt>
                <c:pt idx="9">
                  <c:v>0.159025259571963</c:v>
                </c:pt>
                <c:pt idx="10">
                  <c:v>0.170888242356466</c:v>
                </c:pt>
                <c:pt idx="11">
                  <c:v>0.142340189303011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Charts!B20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1f4e79"/>
            </a:solidFill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Charts!$C$7:$N$7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Charts!$C$20:$N$20</c:f>
              <c:numCache>
                <c:formatCode>0.0%;\(0.0%\);\-</c:formatCode>
                <c:ptCount val="12"/>
                <c:pt idx="0">
                  <c:v>0.20250928919558</c:v>
                </c:pt>
                <c:pt idx="1">
                  <c:v>0.208193544604173</c:v>
                </c:pt>
                <c:pt idx="2">
                  <c:v>0.212642036202101</c:v>
                </c:pt>
                <c:pt idx="3">
                  <c:v>0.21990498525245</c:v>
                </c:pt>
                <c:pt idx="4">
                  <c:v>0.204220371367345</c:v>
                </c:pt>
                <c:pt idx="5">
                  <c:v>0.207524855930593</c:v>
                </c:pt>
                <c:pt idx="6">
                  <c:v>0.201093846243683</c:v>
                </c:pt>
                <c:pt idx="7">
                  <c:v>0.196804819417779</c:v>
                </c:pt>
                <c:pt idx="8">
                  <c:v>0.196796089633175</c:v>
                </c:pt>
                <c:pt idx="9">
                  <c:v>0.189049112109118</c:v>
                </c:pt>
                <c:pt idx="10">
                  <c:v>0.184442609890171</c:v>
                </c:pt>
                <c:pt idx="11">
                  <c:v>0.179539929809203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Charts!B21</c:f>
              <c:strCache>
                <c:ptCount val="1"/>
                <c:pt idx="0">
                  <c:v>FCF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Charts!$C$7:$N$7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Charts!$C$21:$N$21</c:f>
              <c:numCache>
                <c:formatCode>0.0%;\(0.0%\);\-</c:formatCode>
                <c:ptCount val="12"/>
                <c:pt idx="0">
                  <c:v>-0.000761059140637387</c:v>
                </c:pt>
                <c:pt idx="1">
                  <c:v>0.184969011585068</c:v>
                </c:pt>
                <c:pt idx="2">
                  <c:v>0.120739881321292</c:v>
                </c:pt>
                <c:pt idx="3">
                  <c:v>0.0742259758327418</c:v>
                </c:pt>
                <c:pt idx="4">
                  <c:v>0.0333087207044434</c:v>
                </c:pt>
                <c:pt idx="5">
                  <c:v>0.051318261456948</c:v>
                </c:pt>
                <c:pt idx="6">
                  <c:v>-0.0275886783994093</c:v>
                </c:pt>
                <c:pt idx="7">
                  <c:v>0.0352972636546561</c:v>
                </c:pt>
                <c:pt idx="8">
                  <c:v>0.0207771827193602</c:v>
                </c:pt>
                <c:pt idx="9">
                  <c:v>0.0850916292814712</c:v>
                </c:pt>
                <c:pt idx="10">
                  <c:v>0.0942358008828053</c:v>
                </c:pt>
                <c:pt idx="11">
                  <c:v>0.0923238781587813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788796"/>
        <c:axId val="59549010"/>
      </c:lineChart>
      <c:catAx>
        <c:axId val="967887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49010"/>
        <c:crosses val="autoZero"/>
        <c:auto val="1"/>
        <c:lblAlgn val="ctr"/>
        <c:lblOffset val="100"/>
        <c:noMultiLvlLbl val="0"/>
      </c:catAx>
      <c:valAx>
        <c:axId val="5954901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887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131040</xdr:rowOff>
    </xdr:from>
    <xdr:to>
      <xdr:col>16</xdr:col>
      <xdr:colOff>124200</xdr:colOff>
      <xdr:row>38</xdr:row>
      <xdr:rowOff>132120</xdr:rowOff>
    </xdr:to>
    <xdr:graphicFrame>
      <xdr:nvGraphicFramePr>
        <xdr:cNvPr id="0" name="Chart 1"/>
        <xdr:cNvGraphicFramePr/>
      </xdr:nvGraphicFramePr>
      <xdr:xfrm>
        <a:off x="611640" y="419112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42</xdr:row>
      <xdr:rowOff>130680</xdr:rowOff>
    </xdr:from>
    <xdr:to>
      <xdr:col>16</xdr:col>
      <xdr:colOff>124200</xdr:colOff>
      <xdr:row>59</xdr:row>
      <xdr:rowOff>131760</xdr:rowOff>
    </xdr:to>
    <xdr:graphicFrame>
      <xdr:nvGraphicFramePr>
        <xdr:cNvPr id="1" name="Chart 2"/>
        <xdr:cNvGraphicFramePr/>
      </xdr:nvGraphicFramePr>
      <xdr:xfrm>
        <a:off x="611640" y="819144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63</xdr:row>
      <xdr:rowOff>131040</xdr:rowOff>
    </xdr:from>
    <xdr:to>
      <xdr:col>16</xdr:col>
      <xdr:colOff>124200</xdr:colOff>
      <xdr:row>80</xdr:row>
      <xdr:rowOff>132120</xdr:rowOff>
    </xdr:to>
    <xdr:graphicFrame>
      <xdr:nvGraphicFramePr>
        <xdr:cNvPr id="2" name="Chart 3"/>
        <xdr:cNvGraphicFramePr/>
      </xdr:nvGraphicFramePr>
      <xdr:xfrm>
        <a:off x="611640" y="1219212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H463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2.43"/>
    <col collapsed="false" customWidth="true" hidden="false" outlineLevel="0" max="2" min="2" style="0" width="62"/>
    <col collapsed="false" customWidth="true" hidden="false" outlineLevel="0" max="4" min="3" style="0" width="14.14"/>
    <col collapsed="false" customWidth="true" hidden="true" outlineLevel="1" max="8" min="5" style="0" width="9.57"/>
    <col collapsed="false" customWidth="true" hidden="false" outlineLevel="0" max="9" min="9" style="0" width="14.14"/>
    <col collapsed="false" customWidth="true" hidden="true" outlineLevel="1" max="13" min="10" style="0" width="9.57"/>
    <col collapsed="false" customWidth="true" hidden="false" outlineLevel="0" max="14" min="14" style="0" width="14.14"/>
    <col collapsed="false" customWidth="true" hidden="true" outlineLevel="1" max="18" min="15" style="0" width="9.57"/>
    <col collapsed="false" customWidth="true" hidden="false" outlineLevel="0" max="19" min="19" style="0" width="14.14"/>
    <col collapsed="false" customWidth="true" hidden="true" outlineLevel="1" max="23" min="20" style="0" width="9.57"/>
    <col collapsed="false" customWidth="true" hidden="false" outlineLevel="0" max="24" min="24" style="0" width="14.14"/>
    <col collapsed="false" customWidth="true" hidden="true" outlineLevel="1" max="28" min="25" style="0" width="9.57"/>
    <col collapsed="false" customWidth="true" hidden="false" outlineLevel="0" max="29" min="29" style="0" width="14.14"/>
    <col collapsed="false" customWidth="true" hidden="true" outlineLevel="1" max="33" min="30" style="0" width="9.57"/>
    <col collapsed="false" customWidth="true" hidden="false" outlineLevel="0" max="34" min="34" style="0" width="14.14"/>
    <col collapsed="false" customWidth="true" hidden="true" outlineLevel="1" max="38" min="35" style="0" width="9.57"/>
    <col collapsed="false" customWidth="true" hidden="false" outlineLevel="0" max="39" min="39" style="0" width="14.14"/>
    <col collapsed="false" customWidth="true" hidden="true" outlineLevel="1" max="43" min="40" style="0" width="9.57"/>
    <col collapsed="false" customWidth="true" hidden="false" outlineLevel="0" max="44" min="44" style="0" width="14.14"/>
    <col collapsed="false" customWidth="true" hidden="true" outlineLevel="1" max="48" min="45" style="0" width="9.57"/>
    <col collapsed="false" customWidth="true" hidden="false" outlineLevel="0" max="49" min="49" style="0" width="14.14"/>
    <col collapsed="false" customWidth="true" hidden="true" outlineLevel="1" max="53" min="50" style="0" width="9.57"/>
    <col collapsed="false" customWidth="true" hidden="false" outlineLevel="0" max="54" min="54" style="0" width="14.14"/>
    <col collapsed="false" customWidth="true" hidden="true" outlineLevel="1" max="58" min="55" style="0" width="9.57"/>
    <col collapsed="false" customWidth="true" hidden="false" outlineLevel="0" max="59" min="59" style="0" width="14.14"/>
    <col collapsed="false" customWidth="true" hidden="true" outlineLevel="1" max="63" min="60" style="0" width="9.57"/>
    <col collapsed="false" customWidth="true" hidden="false" outlineLevel="0" max="64" min="64" style="0" width="14.14"/>
    <col collapsed="false" customWidth="true" hidden="true" outlineLevel="1" max="68" min="65" style="0" width="9.57"/>
    <col collapsed="false" customWidth="true" hidden="false" outlineLevel="0" max="73" min="69" style="0" width="14.14"/>
    <col collapsed="false" customWidth="true" hidden="false" outlineLevel="0" max="74" min="74" style="0" width="86.86"/>
    <col collapsed="false" customWidth="true" hidden="false" outlineLevel="0" max="75" min="75" style="0" width="2"/>
    <col collapsed="false" customWidth="true" hidden="false" outlineLevel="0" max="79" min="76" style="0" width="13.5"/>
    <col collapsed="false" customWidth="true" hidden="false" outlineLevel="0" max="80" min="80" style="0" width="2"/>
    <col collapsed="false" customWidth="true" hidden="false" outlineLevel="0" max="81" min="81" style="0" width="6"/>
    <col collapsed="false" customWidth="true" hidden="false" outlineLevel="0" max="82" min="82" style="0" width="52"/>
    <col collapsed="false" customWidth="true" hidden="false" outlineLevel="0" max="85" min="83" style="0" width="11.57"/>
    <col collapsed="false" customWidth="true" hidden="false" outlineLevel="0" max="86" min="86" style="0" width="70"/>
  </cols>
  <sheetData>
    <row r="1" customFormat="false" ht="15" hidden="false" customHeight="false" outlineLevel="0" collapsed="false">
      <c r="BV1" s="1" t="s">
        <v>0</v>
      </c>
    </row>
    <row r="2" customFormat="false" ht="19.7" hidden="false" customHeight="false" outlineLevel="0" collapsed="false">
      <c r="B2" s="2" t="s">
        <v>1</v>
      </c>
      <c r="BV2" s="3" t="s">
        <v>2</v>
      </c>
    </row>
    <row r="3" customFormat="false" ht="15" hidden="false" customHeight="false" outlineLevel="0" collapsed="false">
      <c r="B3" s="4" t="s">
        <v>3</v>
      </c>
    </row>
    <row r="4" customFormat="false" ht="15" hidden="false" customHeight="false" outlineLevel="0" collapsed="false">
      <c r="B4" s="5" t="s">
        <v>4</v>
      </c>
    </row>
    <row r="5" customFormat="false" ht="15" hidden="false" customHeight="false" outlineLevel="0" collapsed="false">
      <c r="BX5" s="6" t="s">
        <v>5</v>
      </c>
      <c r="BY5" s="6" t="s">
        <v>6</v>
      </c>
      <c r="BZ5" s="6" t="s">
        <v>6</v>
      </c>
      <c r="CA5" s="6" t="s">
        <v>6</v>
      </c>
    </row>
    <row r="6" customFormat="false" ht="15" hidden="false" customHeight="false" outlineLevel="0" collapsed="false"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13</v>
      </c>
      <c r="I6" s="8" t="s">
        <v>14</v>
      </c>
      <c r="J6" s="8" t="s">
        <v>15</v>
      </c>
      <c r="K6" s="8" t="s">
        <v>16</v>
      </c>
      <c r="L6" s="8" t="s">
        <v>17</v>
      </c>
      <c r="M6" s="8" t="s">
        <v>18</v>
      </c>
      <c r="N6" s="8" t="s">
        <v>19</v>
      </c>
      <c r="O6" s="8" t="s">
        <v>20</v>
      </c>
      <c r="P6" s="8" t="s">
        <v>21</v>
      </c>
      <c r="Q6" s="8" t="s">
        <v>22</v>
      </c>
      <c r="R6" s="8" t="s">
        <v>23</v>
      </c>
      <c r="S6" s="8" t="s">
        <v>24</v>
      </c>
      <c r="T6" s="8" t="s">
        <v>25</v>
      </c>
      <c r="U6" s="8" t="s">
        <v>26</v>
      </c>
      <c r="V6" s="8" t="s">
        <v>27</v>
      </c>
      <c r="W6" s="8" t="s">
        <v>28</v>
      </c>
      <c r="X6" s="8" t="s">
        <v>29</v>
      </c>
      <c r="Y6" s="8" t="s">
        <v>30</v>
      </c>
      <c r="Z6" s="8" t="s">
        <v>31</v>
      </c>
      <c r="AA6" s="8" t="s">
        <v>32</v>
      </c>
      <c r="AB6" s="8" t="s">
        <v>33</v>
      </c>
      <c r="AC6" s="8" t="s">
        <v>34</v>
      </c>
      <c r="AD6" s="8" t="s">
        <v>35</v>
      </c>
      <c r="AE6" s="8" t="s">
        <v>36</v>
      </c>
      <c r="AF6" s="8" t="s">
        <v>37</v>
      </c>
      <c r="AG6" s="8" t="s">
        <v>38</v>
      </c>
      <c r="AH6" s="8" t="s">
        <v>39</v>
      </c>
      <c r="AI6" s="8" t="s">
        <v>40</v>
      </c>
      <c r="AJ6" s="8" t="s">
        <v>41</v>
      </c>
      <c r="AK6" s="8" t="s">
        <v>42</v>
      </c>
      <c r="AL6" s="8" t="s">
        <v>43</v>
      </c>
      <c r="AM6" s="8" t="s">
        <v>44</v>
      </c>
      <c r="AN6" s="8" t="s">
        <v>45</v>
      </c>
      <c r="AO6" s="8" t="s">
        <v>46</v>
      </c>
      <c r="AP6" s="8" t="s">
        <v>47</v>
      </c>
      <c r="AQ6" s="8" t="s">
        <v>48</v>
      </c>
      <c r="AR6" s="8" t="s">
        <v>49</v>
      </c>
      <c r="AS6" s="8" t="s">
        <v>50</v>
      </c>
      <c r="AT6" s="8" t="s">
        <v>51</v>
      </c>
      <c r="AU6" s="8" t="s">
        <v>52</v>
      </c>
      <c r="AV6" s="8" t="s">
        <v>53</v>
      </c>
      <c r="AW6" s="8" t="s">
        <v>54</v>
      </c>
      <c r="AX6" s="8" t="s">
        <v>55</v>
      </c>
      <c r="AY6" s="8" t="s">
        <v>56</v>
      </c>
      <c r="AZ6" s="8" t="s">
        <v>57</v>
      </c>
      <c r="BA6" s="8" t="s">
        <v>58</v>
      </c>
      <c r="BB6" s="8" t="s">
        <v>59</v>
      </c>
      <c r="BC6" s="8" t="s">
        <v>60</v>
      </c>
      <c r="BD6" s="8" t="s">
        <v>61</v>
      </c>
      <c r="BE6" s="8" t="s">
        <v>62</v>
      </c>
      <c r="BF6" s="8" t="s">
        <v>63</v>
      </c>
      <c r="BG6" s="8" t="s">
        <v>64</v>
      </c>
      <c r="BH6" s="8" t="s">
        <v>65</v>
      </c>
      <c r="BI6" s="8" t="s">
        <v>66</v>
      </c>
      <c r="BJ6" s="8" t="s">
        <v>67</v>
      </c>
      <c r="BK6" s="8" t="s">
        <v>68</v>
      </c>
      <c r="BL6" s="8" t="s">
        <v>69</v>
      </c>
      <c r="BM6" s="8" t="s">
        <v>70</v>
      </c>
      <c r="BN6" s="8" t="s">
        <v>71</v>
      </c>
      <c r="BO6" s="8" t="s">
        <v>72</v>
      </c>
      <c r="BP6" s="8" t="s">
        <v>73</v>
      </c>
      <c r="BQ6" s="8" t="s">
        <v>74</v>
      </c>
      <c r="BR6" s="8" t="s">
        <v>75</v>
      </c>
      <c r="BS6" s="8" t="s">
        <v>76</v>
      </c>
      <c r="BT6" s="8" t="s">
        <v>77</v>
      </c>
      <c r="BU6" s="8" t="s">
        <v>78</v>
      </c>
      <c r="BV6" s="8" t="s">
        <v>79</v>
      </c>
      <c r="BX6" s="6" t="s">
        <v>80</v>
      </c>
      <c r="BY6" s="6" t="s">
        <v>80</v>
      </c>
      <c r="BZ6" s="6" t="s">
        <v>81</v>
      </c>
      <c r="CA6" s="6" t="s">
        <v>82</v>
      </c>
    </row>
    <row r="7" customFormat="false" ht="15" hidden="false" customHeight="false" outlineLevel="0" collapsed="false">
      <c r="BX7" s="6" t="s">
        <v>83</v>
      </c>
      <c r="BY7" s="6" t="s">
        <v>84</v>
      </c>
      <c r="BZ7" s="6" t="s">
        <v>85</v>
      </c>
      <c r="CA7" s="6" t="s">
        <v>86</v>
      </c>
    </row>
    <row r="9" customFormat="false" ht="15" hidden="false" customHeight="false" outlineLevel="0" collapsed="false">
      <c r="B9" s="9" t="s">
        <v>87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 t="s">
        <v>88</v>
      </c>
      <c r="CD9" s="10" t="s">
        <v>89</v>
      </c>
      <c r="CE9" s="11" t="s">
        <v>90</v>
      </c>
      <c r="CF9" s="11" t="s">
        <v>2</v>
      </c>
      <c r="CG9" s="11" t="s">
        <v>91</v>
      </c>
      <c r="CH9" s="12" t="s">
        <v>92</v>
      </c>
    </row>
    <row r="10" customFormat="false" ht="15" hidden="false" customHeight="false" outlineLevel="0" collapsed="false">
      <c r="B10" s="13"/>
      <c r="BO10" s="14"/>
      <c r="BP10" s="14"/>
      <c r="BQ10" s="14"/>
      <c r="BR10" s="14"/>
      <c r="BS10" s="14"/>
      <c r="BT10" s="14"/>
      <c r="BU10" s="14"/>
      <c r="BV10" s="15"/>
    </row>
    <row r="11" customFormat="false" ht="15" hidden="false" customHeight="false" outlineLevel="0" collapsed="false">
      <c r="B11" s="16" t="s">
        <v>93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7" t="s">
        <v>94</v>
      </c>
      <c r="CD11" s="17" t="s">
        <v>95</v>
      </c>
      <c r="CE11" s="18" t="s">
        <v>96</v>
      </c>
      <c r="CF11" s="18" t="s">
        <v>97</v>
      </c>
      <c r="CG11" s="18" t="s">
        <v>98</v>
      </c>
      <c r="CH11" s="12" t="s">
        <v>99</v>
      </c>
    </row>
    <row r="12" customFormat="false" ht="15" hidden="false" customHeight="false" outlineLevel="0" collapsed="false">
      <c r="B12" s="13" t="s">
        <v>100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20" t="n">
        <f aca="false">AM19</f>
        <v>3680.126</v>
      </c>
      <c r="AO12" s="20" t="n">
        <f aca="false">AN19</f>
        <v>4495.617</v>
      </c>
      <c r="AP12" s="20" t="n">
        <f aca="false">AO19</f>
        <v>4174.767</v>
      </c>
      <c r="AQ12" s="20" t="n">
        <f aca="false">AP19</f>
        <v>3813.289</v>
      </c>
      <c r="AR12" s="20" t="n">
        <f aca="false">AM19</f>
        <v>3680.126</v>
      </c>
      <c r="AS12" s="20" t="n">
        <f aca="false">AR19</f>
        <v>4532.17</v>
      </c>
      <c r="AT12" s="20" t="n">
        <f aca="false">AS19</f>
        <v>4158.335</v>
      </c>
      <c r="AU12" s="20" t="n">
        <f aca="false">AT19</f>
        <v>3989.3</v>
      </c>
      <c r="AV12" s="20" t="n">
        <f aca="false">AU19</f>
        <v>3686.469</v>
      </c>
      <c r="AW12" s="20" t="n">
        <f aca="false">AR19</f>
        <v>4532.17</v>
      </c>
      <c r="AX12" s="20" t="n">
        <f aca="false">AW19</f>
        <v>3515.377</v>
      </c>
      <c r="AY12" s="20" t="n">
        <f aca="false">AX19</f>
        <v>3108.628</v>
      </c>
      <c r="AZ12" s="20" t="n">
        <f aca="false">AY19</f>
        <v>3405.716</v>
      </c>
      <c r="BA12" s="20" t="n">
        <f aca="false">AZ19</f>
        <v>3258.877</v>
      </c>
      <c r="BB12" s="20" t="n">
        <f aca="false">AW19</f>
        <v>3515.377</v>
      </c>
      <c r="BC12" s="20" t="n">
        <f aca="false">BB19</f>
        <v>3216.673</v>
      </c>
      <c r="BD12" s="20" t="n">
        <f aca="false">BC19</f>
        <v>2908.986</v>
      </c>
      <c r="BE12" s="20" t="n">
        <f aca="false">BD19</f>
        <v>2865.193</v>
      </c>
      <c r="BF12" s="20" t="n">
        <f aca="false">BE19</f>
        <v>2745.333</v>
      </c>
      <c r="BG12" s="20" t="n">
        <f aca="false">BB19</f>
        <v>3216.673</v>
      </c>
      <c r="BH12" s="20" t="n">
        <f aca="false">BG19</f>
        <v>3912.58</v>
      </c>
      <c r="BI12" s="20" t="n">
        <f aca="false">BH19</f>
        <v>3583.69</v>
      </c>
      <c r="BJ12" s="20" t="n">
        <f aca="false">BI19</f>
        <v>4435.593</v>
      </c>
      <c r="BK12" s="20" t="n">
        <f aca="false">BJ19</f>
        <v>5905.02</v>
      </c>
      <c r="BL12" s="20" t="n">
        <f aca="false">BG19</f>
        <v>3912.58</v>
      </c>
      <c r="BM12" s="20" t="n">
        <f aca="false">BL19</f>
        <v>5541.291</v>
      </c>
      <c r="BN12" s="20" t="n">
        <f aca="false">BM19</f>
        <v>6931.111</v>
      </c>
      <c r="BO12" s="21" t="n">
        <f aca="false">BN19</f>
        <v>6797.627</v>
      </c>
      <c r="BP12" s="21" t="n">
        <f aca="false">BO19</f>
        <v>6797.627</v>
      </c>
      <c r="BQ12" s="21" t="n">
        <f aca="false">BL19</f>
        <v>5541.291</v>
      </c>
      <c r="BR12" s="21" t="n">
        <f aca="false">BQ19</f>
        <v>6797.627</v>
      </c>
      <c r="BS12" s="21" t="n">
        <f aca="false">BR19</f>
        <v>6928.95011164534</v>
      </c>
      <c r="BT12" s="21" t="n">
        <f aca="false">BS19</f>
        <v>7070.7790722223</v>
      </c>
      <c r="BU12" s="21" t="n">
        <f aca="false">BT19</f>
        <v>7222.53606003965</v>
      </c>
      <c r="BV12" s="15" t="s">
        <v>101</v>
      </c>
      <c r="CD12" s="22" t="s">
        <v>102</v>
      </c>
      <c r="CE12" s="23" t="n">
        <v>3850</v>
      </c>
      <c r="CF12" s="23" t="n">
        <v>3800</v>
      </c>
      <c r="CG12" s="23" t="n">
        <v>3750</v>
      </c>
      <c r="CH12" s="12" t="s">
        <v>103</v>
      </c>
    </row>
    <row r="13" customFormat="false" ht="15" hidden="false" customHeight="false" outlineLevel="0" collapsed="false">
      <c r="B13" s="13" t="s">
        <v>104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24" t="n">
        <v>889.844</v>
      </c>
      <c r="AN13" s="24" t="n">
        <v>1236.546</v>
      </c>
      <c r="AO13" s="24" t="n">
        <v>82.751</v>
      </c>
      <c r="AP13" s="24" t="n">
        <v>53.989</v>
      </c>
      <c r="AQ13" s="24" t="n">
        <v>1196.527</v>
      </c>
      <c r="AR13" s="24" t="n">
        <v>2569.813</v>
      </c>
      <c r="AS13" s="24" t="n">
        <v>57.019</v>
      </c>
      <c r="AT13" s="24" t="n">
        <v>222.127</v>
      </c>
      <c r="AU13" s="24" t="n">
        <v>119.086</v>
      </c>
      <c r="AV13" s="24" t="n">
        <v>345.22</v>
      </c>
      <c r="AW13" s="24" t="n">
        <v>743.452</v>
      </c>
      <c r="AX13" s="24" t="n">
        <v>52.737</v>
      </c>
      <c r="AY13" s="24" t="n">
        <v>788.668</v>
      </c>
      <c r="AZ13" s="24" t="n">
        <v>330.801</v>
      </c>
      <c r="BA13" s="24" t="n">
        <v>559.412</v>
      </c>
      <c r="BB13" s="24" t="n">
        <v>1731.618</v>
      </c>
      <c r="BC13" s="24" t="n">
        <v>179.413</v>
      </c>
      <c r="BD13" s="24" t="n">
        <v>497.021</v>
      </c>
      <c r="BE13" s="24" t="n">
        <v>440.146</v>
      </c>
      <c r="BF13" s="24" t="n">
        <v>1762.228</v>
      </c>
      <c r="BG13" s="24" t="n">
        <v>2878.808</v>
      </c>
      <c r="BH13" s="24" t="n">
        <v>226.397</v>
      </c>
      <c r="BI13" s="24" t="n">
        <v>1412.286</v>
      </c>
      <c r="BJ13" s="24" t="n">
        <v>2086.092</v>
      </c>
      <c r="BK13" s="24" t="n">
        <v>225.397</v>
      </c>
      <c r="BL13" s="24" t="n">
        <v>3950.171</v>
      </c>
      <c r="BM13" s="24" t="n">
        <v>1967.644</v>
      </c>
      <c r="BN13" s="24" t="n">
        <v>467.619</v>
      </c>
      <c r="BO13" s="21" t="n">
        <f aca="false">BO15*BO14</f>
        <v>640.669198193806</v>
      </c>
      <c r="BP13" s="21" t="n">
        <f aca="false">BP15*BP14</f>
        <v>612.048276719825</v>
      </c>
      <c r="BQ13" s="21" t="n">
        <f aca="false">SUM(BM13:BP13)</f>
        <v>3687.98047491363</v>
      </c>
      <c r="BR13" s="21" t="n">
        <f aca="false">BR15*BR14</f>
        <v>2757.78534455206</v>
      </c>
      <c r="BS13" s="21" t="n">
        <f aca="false">BS15*BS14</f>
        <v>2978.40817211622</v>
      </c>
      <c r="BT13" s="21" t="n">
        <f aca="false">BT15*BT14</f>
        <v>3186.89674416436</v>
      </c>
      <c r="BU13" s="21" t="n">
        <f aca="false">BU15*BU14</f>
        <v>3409.97951625587</v>
      </c>
      <c r="BV13" s="15" t="s">
        <v>105</v>
      </c>
      <c r="BX13" s="25" t="n">
        <f aca="false">IFERROR((BU13/BL13)^(1/5)-1,"n/m")</f>
        <v>-0.0289822366250858</v>
      </c>
      <c r="BY13" s="25" t="n">
        <f aca="false">IFERROR((BL13/AM13)^(1/5)-1,"n/m")</f>
        <v>0.347287883175322</v>
      </c>
      <c r="BZ13" s="25" t="str">
        <f aca="false">IFERROR((BL13/N13)^(1/10)-1,"n/m")</f>
        <v>n/m</v>
      </c>
      <c r="CA13" s="25" t="str">
        <f aca="false">IFERROR((BL13/D13)^(1/12)-1,"n/m")</f>
        <v>n/m</v>
      </c>
      <c r="CD13" s="22" t="s">
        <v>106</v>
      </c>
      <c r="CE13" s="23" t="n">
        <v>672</v>
      </c>
      <c r="CF13" s="23" t="n">
        <v>667</v>
      </c>
      <c r="CG13" s="23" t="n">
        <v>662</v>
      </c>
      <c r="CH13" s="12" t="s">
        <v>107</v>
      </c>
    </row>
    <row r="14" customFormat="false" ht="15" hidden="false" customHeight="false" outlineLevel="0" collapsed="false">
      <c r="B14" s="13" t="s">
        <v>108</v>
      </c>
      <c r="C14" s="26" t="str">
        <f aca="false">IF(AND(ISNUMBER(C13),ISNUMBER(C15)),IFERROR(C13/C15,""),"")</f>
        <v/>
      </c>
      <c r="D14" s="26" t="str">
        <f aca="false">IF(AND(ISNUMBER(D13),ISNUMBER(D15)),IFERROR(D13/D15,""),"")</f>
        <v/>
      </c>
      <c r="E14" s="26" t="str">
        <f aca="false">IF(AND(ISNUMBER(E13),ISNUMBER(E15)),IFERROR(E13/E15,""),"")</f>
        <v/>
      </c>
      <c r="F14" s="26" t="str">
        <f aca="false">IF(AND(ISNUMBER(F13),ISNUMBER(F15)),IFERROR(F13/F15,""),"")</f>
        <v/>
      </c>
      <c r="G14" s="26" t="str">
        <f aca="false">IF(AND(ISNUMBER(G13),ISNUMBER(G15)),IFERROR(G13/G15,""),"")</f>
        <v/>
      </c>
      <c r="H14" s="26" t="str">
        <f aca="false">IF(AND(ISNUMBER(H13),ISNUMBER(H15)),IFERROR(H13/H15,""),"")</f>
        <v/>
      </c>
      <c r="I14" s="26" t="str">
        <f aca="false">IF(AND(ISNUMBER(I13),ISNUMBER(I15)),IFERROR(I13/I15,""),"")</f>
        <v/>
      </c>
      <c r="J14" s="26" t="str">
        <f aca="false">IF(AND(ISNUMBER(J13),ISNUMBER(J15)),IFERROR(J13/J15,""),"")</f>
        <v/>
      </c>
      <c r="K14" s="26" t="str">
        <f aca="false">IF(AND(ISNUMBER(K13),ISNUMBER(K15)),IFERROR(K13/K15,""),"")</f>
        <v/>
      </c>
      <c r="L14" s="26" t="str">
        <f aca="false">IF(AND(ISNUMBER(L13),ISNUMBER(L15)),IFERROR(L13/L15,""),"")</f>
        <v/>
      </c>
      <c r="M14" s="26" t="str">
        <f aca="false">IF(AND(ISNUMBER(M13),ISNUMBER(M15)),IFERROR(M13/M15,""),"")</f>
        <v/>
      </c>
      <c r="N14" s="26" t="str">
        <f aca="false">IF(AND(ISNUMBER(N13),ISNUMBER(N15)),IFERROR(N13/N15,""),"")</f>
        <v/>
      </c>
      <c r="O14" s="26" t="str">
        <f aca="false">IF(AND(ISNUMBER(O13),ISNUMBER(O15)),IFERROR(O13/O15,""),"")</f>
        <v/>
      </c>
      <c r="P14" s="26" t="str">
        <f aca="false">IF(AND(ISNUMBER(P13),ISNUMBER(P15)),IFERROR(P13/P15,""),"")</f>
        <v/>
      </c>
      <c r="Q14" s="26" t="str">
        <f aca="false">IF(AND(ISNUMBER(Q13),ISNUMBER(Q15)),IFERROR(Q13/Q15,""),"")</f>
        <v/>
      </c>
      <c r="R14" s="26" t="str">
        <f aca="false">IF(AND(ISNUMBER(R13),ISNUMBER(R15)),IFERROR(R13/R15,""),"")</f>
        <v/>
      </c>
      <c r="S14" s="26" t="str">
        <f aca="false">IF(AND(ISNUMBER(S13),ISNUMBER(S15)),IFERROR(S13/S15,""),"")</f>
        <v/>
      </c>
      <c r="T14" s="26" t="str">
        <f aca="false">IF(AND(ISNUMBER(T13),ISNUMBER(T15)),IFERROR(T13/T15,""),"")</f>
        <v/>
      </c>
      <c r="U14" s="26" t="str">
        <f aca="false">IF(AND(ISNUMBER(U13),ISNUMBER(U15)),IFERROR(U13/U15,""),"")</f>
        <v/>
      </c>
      <c r="V14" s="26" t="str">
        <f aca="false">IF(AND(ISNUMBER(V13),ISNUMBER(V15)),IFERROR(V13/V15,""),"")</f>
        <v/>
      </c>
      <c r="W14" s="26" t="str">
        <f aca="false">IF(AND(ISNUMBER(W13),ISNUMBER(W15)),IFERROR(W13/W15,""),"")</f>
        <v/>
      </c>
      <c r="X14" s="26" t="str">
        <f aca="false">IF(AND(ISNUMBER(X13),ISNUMBER(X15)),IFERROR(X13/X15,""),"")</f>
        <v/>
      </c>
      <c r="Y14" s="26" t="str">
        <f aca="false">IF(AND(ISNUMBER(Y13),ISNUMBER(Y15)),IFERROR(Y13/Y15,""),"")</f>
        <v/>
      </c>
      <c r="Z14" s="26" t="str">
        <f aca="false">IF(AND(ISNUMBER(Z13),ISNUMBER(Z15)),IFERROR(Z13/Z15,""),"")</f>
        <v/>
      </c>
      <c r="AA14" s="26" t="str">
        <f aca="false">IF(AND(ISNUMBER(AA13),ISNUMBER(AA15)),IFERROR(AA13/AA15,""),"")</f>
        <v/>
      </c>
      <c r="AB14" s="26" t="str">
        <f aca="false">IF(AND(ISNUMBER(AB13),ISNUMBER(AB15)),IFERROR(AB13/AB15,""),"")</f>
        <v/>
      </c>
      <c r="AC14" s="26" t="str">
        <f aca="false">IF(AND(ISNUMBER(AC13),ISNUMBER(AC15)),IFERROR(AC13/AC15,""),"")</f>
        <v/>
      </c>
      <c r="AD14" s="26" t="str">
        <f aca="false">IF(AND(ISNUMBER(AD13),ISNUMBER(AD15)),IFERROR(AD13/AD15,""),"")</f>
        <v/>
      </c>
      <c r="AE14" s="26" t="str">
        <f aca="false">IF(AND(ISNUMBER(AE13),ISNUMBER(AE15)),IFERROR(AE13/AE15,""),"")</f>
        <v/>
      </c>
      <c r="AF14" s="26" t="str">
        <f aca="false">IF(AND(ISNUMBER(AF13),ISNUMBER(AF15)),IFERROR(AF13/AF15,""),"")</f>
        <v/>
      </c>
      <c r="AG14" s="26" t="str">
        <f aca="false">IF(AND(ISNUMBER(AG13),ISNUMBER(AG15)),IFERROR(AG13/AG15,""),"")</f>
        <v/>
      </c>
      <c r="AH14" s="26" t="str">
        <f aca="false">IF(AND(ISNUMBER(AH13),ISNUMBER(AH15)),IFERROR(AH13/AH15,""),"")</f>
        <v/>
      </c>
      <c r="AI14" s="26" t="str">
        <f aca="false">IF(AND(ISNUMBER(AI13),ISNUMBER(AI15)),IFERROR(AI13/AI15,""),"")</f>
        <v/>
      </c>
      <c r="AJ14" s="26" t="str">
        <f aca="false">IF(AND(ISNUMBER(AJ13),ISNUMBER(AJ15)),IFERROR(AJ13/AJ15,""),"")</f>
        <v/>
      </c>
      <c r="AK14" s="26" t="str">
        <f aca="false">IF(AND(ISNUMBER(AK13),ISNUMBER(AK15)),IFERROR(AK13/AK15,""),"")</f>
        <v/>
      </c>
      <c r="AL14" s="26" t="str">
        <f aca="false">IF(AND(ISNUMBER(AL13),ISNUMBER(AL15)),IFERROR(AL13/AL15,""),"")</f>
        <v/>
      </c>
      <c r="AM14" s="26" t="n">
        <f aca="false">IF(AND(ISNUMBER(AM13),ISNUMBER(AM15)),IFERROR(AM13/AM15,""),"")</f>
        <v>0.504696485278712</v>
      </c>
      <c r="AN14" s="26" t="n">
        <f aca="false">IF(AND(ISNUMBER(AN13),ISNUMBER(AN15)),IFERROR(AN13/AN15,""),"")</f>
        <v>2.92137735514736</v>
      </c>
      <c r="AO14" s="26" t="n">
        <f aca="false">IF(AND(ISNUMBER(AO13),ISNUMBER(AO15)),IFERROR(AO13/AO15,""),"")</f>
        <v>0.204073026434228</v>
      </c>
      <c r="AP14" s="26" t="n">
        <f aca="false">IF(AND(ISNUMBER(AP13),ISNUMBER(AP15)),IFERROR(AP13/AP15,""),"")</f>
        <v>0.12942688168692</v>
      </c>
      <c r="AQ14" s="26" t="n">
        <f aca="false">IF(AND(ISNUMBER(AQ13),ISNUMBER(AQ15)),IFERROR(AQ13/AQ15,""),"")</f>
        <v>2.49699907760243</v>
      </c>
      <c r="AR14" s="26" t="n">
        <f aca="false">IF(AND(ISNUMBER(AR13),ISNUMBER(AR15)),IFERROR(AR13/AR15,""),"")</f>
        <v>1.48966290011518</v>
      </c>
      <c r="AS14" s="26" t="n">
        <f aca="false">IF(AND(ISNUMBER(AS13),ISNUMBER(AS15)),IFERROR(AS13/AS15,""),"")</f>
        <v>0.132056594028862</v>
      </c>
      <c r="AT14" s="26" t="n">
        <f aca="false">IF(AND(ISNUMBER(AT13),ISNUMBER(AT15)),IFERROR(AT13/AT15,""),"")</f>
        <v>0.508838884218291</v>
      </c>
      <c r="AU14" s="26" t="n">
        <f aca="false">IF(AND(ISNUMBER(AU13),ISNUMBER(AU15)),IFERROR(AU13/AU15,""),"")</f>
        <v>0.281846346098774</v>
      </c>
      <c r="AV14" s="26" t="n">
        <f aca="false">IF(AND(ISNUMBER(AV13),ISNUMBER(AV15)),IFERROR(AV13/AV15,""),"")</f>
        <v>0.666901060179891</v>
      </c>
      <c r="AW14" s="26" t="n">
        <f aca="false">IF(AND(ISNUMBER(AW13),ISNUMBER(AW15)),IFERROR(AW13/AW15,""),"")</f>
        <v>0.411091505974897</v>
      </c>
      <c r="AX14" s="26" t="n">
        <f aca="false">IF(AND(ISNUMBER(AX13),ISNUMBER(AX15)),IFERROR(AX13/AX15,""),"")</f>
        <v>0.114674071400304</v>
      </c>
      <c r="AY14" s="26" t="n">
        <f aca="false">IF(AND(ISNUMBER(AY13),ISNUMBER(AY15)),IFERROR(AY13/AY15,""),"")</f>
        <v>1.60309126425146</v>
      </c>
      <c r="AZ14" s="26" t="n">
        <f aca="false">IF(AND(ISNUMBER(AZ13),ISNUMBER(AZ15)),IFERROR(AZ13/AZ15,""),"")</f>
        <v>0.692262297140346</v>
      </c>
      <c r="BA14" s="26" t="n">
        <f aca="false">IF(AND(ISNUMBER(BA13),ISNUMBER(BA15)),IFERROR(BA13/BA15,""),"")</f>
        <v>0.929828848010984</v>
      </c>
      <c r="BB14" s="26" t="n">
        <f aca="false">IF(AND(ISNUMBER(BB13),ISNUMBER(BB15)),IFERROR(BB13/BB15,""),"")</f>
        <v>0.852452350348564</v>
      </c>
      <c r="BC14" s="26" t="n">
        <f aca="false">IF(AND(ISNUMBER(BC13),ISNUMBER(BC15)),IFERROR(BC13/BC15,""),"")</f>
        <v>0.36831300641935</v>
      </c>
      <c r="BD14" s="26" t="n">
        <f aca="false">IF(AND(ISNUMBER(BD13),ISNUMBER(BD15)),IFERROR(BD13/BD15,""),"")</f>
        <v>0.918969540312769</v>
      </c>
      <c r="BE14" s="26" t="n">
        <f aca="false">IF(AND(ISNUMBER(BE13),ISNUMBER(BE15)),IFERROR(BE13/BE15,""),"")</f>
        <v>0.785872555898963</v>
      </c>
      <c r="BF14" s="26" t="n">
        <f aca="false">IF(AND(ISNUMBER(BF13),ISNUMBER(BF15)),IFERROR(BF13/BF15,""),"")</f>
        <v>2.96172773109244</v>
      </c>
      <c r="BG14" s="26" t="n">
        <f aca="false">IF(AND(ISNUMBER(BG13),ISNUMBER(BG15)),IFERROR(BG13/BG15,""),"")</f>
        <v>1.31871518616242</v>
      </c>
      <c r="BH14" s="26" t="n">
        <f aca="false">IF(AND(ISNUMBER(BH13),ISNUMBER(BH15)),IFERROR(BH13/BH15,""),"")</f>
        <v>0.407712422067187</v>
      </c>
      <c r="BI14" s="26" t="n">
        <f aca="false">IF(AND(ISNUMBER(BI13),ISNUMBER(BI15)),IFERROR(BI13/BI15,""),"")</f>
        <v>2.39793601931544</v>
      </c>
      <c r="BJ14" s="26" t="n">
        <f aca="false">IF(AND(ISNUMBER(BJ13),ISNUMBER(BJ15)),IFERROR(BJ13/BJ15,""),"")</f>
        <v>3.38268550033485</v>
      </c>
      <c r="BK14" s="26" t="n">
        <f aca="false">IF(AND(ISNUMBER(BK13),ISNUMBER(BK15)),IFERROR(BK13/BK15,""),"")</f>
        <v>0.382581936256995</v>
      </c>
      <c r="BL14" s="26" t="n">
        <f aca="false">IF(AND(ISNUMBER(BL13),ISNUMBER(BL15)),IFERROR(BL13/BL15,""),"")</f>
        <v>1.68085945644635</v>
      </c>
      <c r="BM14" s="26" t="n">
        <f aca="false">IF(AND(ISNUMBER(BM13),ISNUMBER(BM15)),IFERROR(BM13/BM15,""),"")</f>
        <v>3.40481155076735</v>
      </c>
      <c r="BN14" s="26" t="n">
        <f aca="false">IF(AND(ISNUMBER(BN13),ISNUMBER(BN15)),IFERROR(BN13/BN15,""),"")</f>
        <v>0.77769166676368</v>
      </c>
      <c r="BO14" s="27" t="n">
        <v>1</v>
      </c>
      <c r="BP14" s="27" t="n">
        <v>1</v>
      </c>
      <c r="BQ14" s="28" t="n">
        <f aca="false">IF(AND(ISNUMBER(BQ13),ISNUMBER(BQ15)),IFERROR(BQ13/BQ15,""),"")</f>
        <v>1.51649578775732</v>
      </c>
      <c r="BR14" s="28" t="n">
        <f aca="false">CHOOSE(MATCH($BV$2,{"Bull","Base","Bear"},0),$CE$33,$CF$33,$CG$33)</f>
        <v>1.05</v>
      </c>
      <c r="BS14" s="28" t="n">
        <f aca="false">CHOOSE(MATCH($BV$2,{"Bull","Base","Bear"},0),$CE$34,$CF$34,$CG$34)</f>
        <v>1.05</v>
      </c>
      <c r="BT14" s="28" t="n">
        <f aca="false">CHOOSE(MATCH($BV$2,{"Bull","Base","Bear"},0),$CE$35,$CF$35,$CG$35)</f>
        <v>1.05</v>
      </c>
      <c r="BU14" s="28" t="n">
        <f aca="false">CHOOSE(MATCH($BV$2,{"Bull","Base","Bear"},0),$CE$36,$CF$36,$CG$36)</f>
        <v>1.05</v>
      </c>
      <c r="BV14" s="15" t="s">
        <v>109</v>
      </c>
      <c r="CD14" s="22" t="s">
        <v>110</v>
      </c>
      <c r="CE14" s="29" t="n">
        <v>4.8</v>
      </c>
      <c r="CF14" s="29" t="n">
        <v>4.75</v>
      </c>
      <c r="CG14" s="29" t="n">
        <v>4.7</v>
      </c>
      <c r="CH14" s="12" t="s">
        <v>111</v>
      </c>
    </row>
    <row r="15" customFormat="false" ht="15" hidden="false" customHeight="false" outlineLevel="0" collapsed="false">
      <c r="B15" s="30" t="s">
        <v>112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2" t="n">
        <v>1763.127</v>
      </c>
      <c r="AN15" s="32" t="n">
        <v>423.275</v>
      </c>
      <c r="AO15" s="32" t="n">
        <v>405.497</v>
      </c>
      <c r="AP15" s="32" t="n">
        <v>417.139</v>
      </c>
      <c r="AQ15" s="32" t="n">
        <v>479.186</v>
      </c>
      <c r="AR15" s="32" t="n">
        <v>1725.097</v>
      </c>
      <c r="AS15" s="32" t="n">
        <v>431.777</v>
      </c>
      <c r="AT15" s="32" t="n">
        <v>436.537</v>
      </c>
      <c r="AU15" s="32" t="n">
        <v>422.521</v>
      </c>
      <c r="AV15" s="32" t="n">
        <v>517.648</v>
      </c>
      <c r="AW15" s="32" t="n">
        <v>1808.483</v>
      </c>
      <c r="AX15" s="32" t="n">
        <v>459.886</v>
      </c>
      <c r="AY15" s="32" t="n">
        <v>491.967</v>
      </c>
      <c r="AZ15" s="32" t="n">
        <v>477.855</v>
      </c>
      <c r="BA15" s="32" t="n">
        <v>601.629</v>
      </c>
      <c r="BB15" s="32" t="n">
        <v>2031.337</v>
      </c>
      <c r="BC15" s="32" t="n">
        <v>487.121</v>
      </c>
      <c r="BD15" s="32" t="n">
        <v>540.846</v>
      </c>
      <c r="BE15" s="32" t="n">
        <v>560.073</v>
      </c>
      <c r="BF15" s="32" t="n">
        <v>595</v>
      </c>
      <c r="BG15" s="32" t="n">
        <v>2183.04</v>
      </c>
      <c r="BH15" s="32" t="n">
        <v>555.286</v>
      </c>
      <c r="BI15" s="32" t="n">
        <v>588.959</v>
      </c>
      <c r="BJ15" s="32" t="n">
        <v>616.697</v>
      </c>
      <c r="BK15" s="32" t="n">
        <v>589.147</v>
      </c>
      <c r="BL15" s="32" t="n">
        <v>2350.09</v>
      </c>
      <c r="BM15" s="32" t="n">
        <v>577.901</v>
      </c>
      <c r="BN15" s="32" t="n">
        <v>601.291</v>
      </c>
      <c r="BO15" s="33" t="n">
        <f aca="false">BJ15*(1+BO17)</f>
        <v>640.669198193806</v>
      </c>
      <c r="BP15" s="33" t="n">
        <f aca="false">BK15*(1+BP17)</f>
        <v>612.048276719825</v>
      </c>
      <c r="BQ15" s="33" t="n">
        <f aca="false">SUM(BM15:BP15)</f>
        <v>2431.90947491363</v>
      </c>
      <c r="BR15" s="33" t="n">
        <f aca="false">BQ15*(1+BR17)</f>
        <v>2626.46223290672</v>
      </c>
      <c r="BS15" s="33" t="n">
        <f aca="false">BR15*(1+BS17)</f>
        <v>2836.57921153926</v>
      </c>
      <c r="BT15" s="33" t="n">
        <f aca="false">BS15*(1+BT17)</f>
        <v>3035.13975634701</v>
      </c>
      <c r="BU15" s="33" t="n">
        <f aca="false">BT15*(1+BU17)</f>
        <v>3247.5995392913</v>
      </c>
      <c r="BV15" s="15" t="s">
        <v>113</v>
      </c>
      <c r="BX15" s="25" t="n">
        <f aca="false">IFERROR((BU15/BL15)^(1/5)-1,"n/m")</f>
        <v>0.0668309223334225</v>
      </c>
      <c r="BY15" s="25" t="n">
        <f aca="false">IFERROR((BL15/AM15)^(1/5)-1,"n/m")</f>
        <v>0.0591566069835678</v>
      </c>
      <c r="BZ15" s="25" t="str">
        <f aca="false">IFERROR((BL15/N15)^(1/10)-1,"n/m")</f>
        <v>n/m</v>
      </c>
      <c r="CA15" s="25" t="str">
        <f aca="false">IFERROR((BL15/D15)^(1/12)-1,"n/m")</f>
        <v>n/m</v>
      </c>
      <c r="CD15" s="22" t="s">
        <v>114</v>
      </c>
      <c r="CE15" s="23" t="n">
        <v>360</v>
      </c>
      <c r="CF15" s="23" t="n">
        <v>352.5</v>
      </c>
      <c r="CG15" s="23" t="n">
        <v>345</v>
      </c>
      <c r="CH15" s="12" t="s">
        <v>115</v>
      </c>
    </row>
    <row r="16" customFormat="false" ht="15" hidden="false" customHeight="false" outlineLevel="0" collapsed="false">
      <c r="B16" s="13" t="s">
        <v>116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5" t="n">
        <f aca="false">SUM(BM15,BN15)/SUM(BH15,BI15)-1</f>
        <v>0.0305415361220718</v>
      </c>
      <c r="BP16" s="35" t="n">
        <f aca="false">SUM(BM15,BN15)/SUM(BH15,BI15)-1</f>
        <v>0.0305415361220718</v>
      </c>
      <c r="BQ16" s="36"/>
      <c r="BR16" s="36"/>
      <c r="BS16" s="36"/>
      <c r="BT16" s="36"/>
      <c r="BU16" s="36"/>
      <c r="BV16" s="15" t="s">
        <v>117</v>
      </c>
    </row>
    <row r="17" customFormat="false" ht="15" hidden="false" customHeight="false" outlineLevel="0" collapsed="false">
      <c r="B17" s="13" t="s">
        <v>118</v>
      </c>
      <c r="C17" s="34"/>
      <c r="D17" s="37" t="str">
        <f aca="false">IF(AND(ISNUMBER(D15),ISNUMBER(C15)),IFERROR(D15/C15-1,""),"")</f>
        <v/>
      </c>
      <c r="E17" s="34"/>
      <c r="F17" s="34"/>
      <c r="G17" s="34"/>
      <c r="H17" s="34"/>
      <c r="I17" s="37" t="str">
        <f aca="false">IF(AND(ISNUMBER(I15),ISNUMBER(D15)),IFERROR(I15/D15-1,""),"")</f>
        <v/>
      </c>
      <c r="J17" s="37" t="str">
        <f aca="false">IF(AND(ISNUMBER(J15),ISNUMBER(E15)),IFERROR(J15/E15-1,""),"")</f>
        <v/>
      </c>
      <c r="K17" s="37" t="str">
        <f aca="false">IF(AND(ISNUMBER(K15),ISNUMBER(F15)),IFERROR(K15/F15-1,""),"")</f>
        <v/>
      </c>
      <c r="L17" s="37" t="str">
        <f aca="false">IF(AND(ISNUMBER(L15),ISNUMBER(G15)),IFERROR(L15/G15-1,""),"")</f>
        <v/>
      </c>
      <c r="M17" s="37" t="str">
        <f aca="false">IF(AND(ISNUMBER(M15),ISNUMBER(H15)),IFERROR(M15/H15-1,""),"")</f>
        <v/>
      </c>
      <c r="N17" s="37" t="str">
        <f aca="false">IF(AND(ISNUMBER(N15),ISNUMBER(I15)),IFERROR(N15/I15-1,""),"")</f>
        <v/>
      </c>
      <c r="O17" s="37" t="str">
        <f aca="false">IF(AND(ISNUMBER(O15),ISNUMBER(J15)),IFERROR(O15/J15-1,""),"")</f>
        <v/>
      </c>
      <c r="P17" s="37" t="str">
        <f aca="false">IF(AND(ISNUMBER(P15),ISNUMBER(K15)),IFERROR(P15/K15-1,""),"")</f>
        <v/>
      </c>
      <c r="Q17" s="37" t="str">
        <f aca="false">IF(AND(ISNUMBER(Q15),ISNUMBER(L15)),IFERROR(Q15/L15-1,""),"")</f>
        <v/>
      </c>
      <c r="R17" s="37" t="str">
        <f aca="false">IF(AND(ISNUMBER(R15),ISNUMBER(M15)),IFERROR(R15/M15-1,""),"")</f>
        <v/>
      </c>
      <c r="S17" s="37" t="str">
        <f aca="false">IF(AND(ISNUMBER(S15),ISNUMBER(N15)),IFERROR(S15/N15-1,""),"")</f>
        <v/>
      </c>
      <c r="T17" s="37" t="str">
        <f aca="false">IF(AND(ISNUMBER(T15),ISNUMBER(O15)),IFERROR(T15/O15-1,""),"")</f>
        <v/>
      </c>
      <c r="U17" s="37" t="str">
        <f aca="false">IF(AND(ISNUMBER(U15),ISNUMBER(P15)),IFERROR(U15/P15-1,""),"")</f>
        <v/>
      </c>
      <c r="V17" s="37" t="str">
        <f aca="false">IF(AND(ISNUMBER(V15),ISNUMBER(Q15)),IFERROR(V15/Q15-1,""),"")</f>
        <v/>
      </c>
      <c r="W17" s="37" t="str">
        <f aca="false">IF(AND(ISNUMBER(W15),ISNUMBER(R15)),IFERROR(W15/R15-1,""),"")</f>
        <v/>
      </c>
      <c r="X17" s="37" t="str">
        <f aca="false">IF(AND(ISNUMBER(X15),ISNUMBER(S15)),IFERROR(X15/S15-1,""),"")</f>
        <v/>
      </c>
      <c r="Y17" s="37" t="str">
        <f aca="false">IF(AND(ISNUMBER(Y15),ISNUMBER(T15)),IFERROR(Y15/T15-1,""),"")</f>
        <v/>
      </c>
      <c r="Z17" s="37" t="str">
        <f aca="false">IF(AND(ISNUMBER(Z15),ISNUMBER(U15)),IFERROR(Z15/U15-1,""),"")</f>
        <v/>
      </c>
      <c r="AA17" s="37" t="str">
        <f aca="false">IF(AND(ISNUMBER(AA15),ISNUMBER(V15)),IFERROR(AA15/V15-1,""),"")</f>
        <v/>
      </c>
      <c r="AB17" s="37" t="str">
        <f aca="false">IF(AND(ISNUMBER(AB15),ISNUMBER(W15)),IFERROR(AB15/W15-1,""),"")</f>
        <v/>
      </c>
      <c r="AC17" s="37" t="str">
        <f aca="false">IF(AND(ISNUMBER(AC15),ISNUMBER(X15)),IFERROR(AC15/X15-1,""),"")</f>
        <v/>
      </c>
      <c r="AD17" s="37" t="str">
        <f aca="false">IF(AND(ISNUMBER(AD15),ISNUMBER(Y15)),IFERROR(AD15/Y15-1,""),"")</f>
        <v/>
      </c>
      <c r="AE17" s="37" t="str">
        <f aca="false">IF(AND(ISNUMBER(AE15),ISNUMBER(Z15)),IFERROR(AE15/Z15-1,""),"")</f>
        <v/>
      </c>
      <c r="AF17" s="37" t="str">
        <f aca="false">IF(AND(ISNUMBER(AF15),ISNUMBER(AA15)),IFERROR(AF15/AA15-1,""),"")</f>
        <v/>
      </c>
      <c r="AG17" s="37" t="str">
        <f aca="false">IF(AND(ISNUMBER(AG15),ISNUMBER(AB15)),IFERROR(AG15/AB15-1,""),"")</f>
        <v/>
      </c>
      <c r="AH17" s="37" t="str">
        <f aca="false">IF(AND(ISNUMBER(AH15),ISNUMBER(AC15)),IFERROR(AH15/AC15-1,""),"")</f>
        <v/>
      </c>
      <c r="AI17" s="37" t="str">
        <f aca="false">IF(AND(ISNUMBER(AI15),ISNUMBER(AD15)),IFERROR(AI15/AD15-1,""),"")</f>
        <v/>
      </c>
      <c r="AJ17" s="37" t="str">
        <f aca="false">IF(AND(ISNUMBER(AJ15),ISNUMBER(AE15)),IFERROR(AJ15/AE15-1,""),"")</f>
        <v/>
      </c>
      <c r="AK17" s="37" t="str">
        <f aca="false">IF(AND(ISNUMBER(AK15),ISNUMBER(AF15)),IFERROR(AK15/AF15-1,""),"")</f>
        <v/>
      </c>
      <c r="AL17" s="37" t="str">
        <f aca="false">IF(AND(ISNUMBER(AL15),ISNUMBER(AG15)),IFERROR(AL15/AG15-1,""),"")</f>
        <v/>
      </c>
      <c r="AM17" s="37" t="str">
        <f aca="false">IF(AND(ISNUMBER(AM15),ISNUMBER(AH15)),IFERROR(AM15/AH15-1,""),"")</f>
        <v/>
      </c>
      <c r="AN17" s="37" t="str">
        <f aca="false">IF(AND(ISNUMBER(AN15),ISNUMBER(AI15)),IFERROR(AN15/AI15-1,""),"")</f>
        <v/>
      </c>
      <c r="AO17" s="37" t="str">
        <f aca="false">IF(AND(ISNUMBER(AO15),ISNUMBER(AJ15)),IFERROR(AO15/AJ15-1,""),"")</f>
        <v/>
      </c>
      <c r="AP17" s="37" t="str">
        <f aca="false">IF(AND(ISNUMBER(AP15),ISNUMBER(AK15)),IFERROR(AP15/AK15-1,""),"")</f>
        <v/>
      </c>
      <c r="AQ17" s="37" t="str">
        <f aca="false">IF(AND(ISNUMBER(AQ15),ISNUMBER(AL15)),IFERROR(AQ15/AL15-1,""),"")</f>
        <v/>
      </c>
      <c r="AR17" s="37" t="n">
        <f aca="false">IF(AND(ISNUMBER(AR15),ISNUMBER(AM15)),IFERROR(AR15/AM15-1,""),"")</f>
        <v>-0.0215696316827999</v>
      </c>
      <c r="AS17" s="37" t="n">
        <f aca="false">IF(AND(ISNUMBER(AS15),ISNUMBER(AN15)),IFERROR(AS15/AN15-1,""),"")</f>
        <v>0.0200862323548521</v>
      </c>
      <c r="AT17" s="37" t="n">
        <f aca="false">IF(AND(ISNUMBER(AT15),ISNUMBER(AO15)),IFERROR(AT15/AO15-1,""),"")</f>
        <v>0.0765480385798167</v>
      </c>
      <c r="AU17" s="37" t="n">
        <f aca="false">IF(AND(ISNUMBER(AU15),ISNUMBER(AP15)),IFERROR(AU15/AP15-1,""),"")</f>
        <v>0.0129021740954454</v>
      </c>
      <c r="AV17" s="37" t="n">
        <f aca="false">IF(AND(ISNUMBER(AV15),ISNUMBER(AQ15)),IFERROR(AV15/AQ15-1,""),"")</f>
        <v>0.0802652832094428</v>
      </c>
      <c r="AW17" s="37" t="n">
        <f aca="false">IF(AND(ISNUMBER(AW15),ISNUMBER(AR15)),IFERROR(AW15/AR15-1,""),"")</f>
        <v>0.048336992064794</v>
      </c>
      <c r="AX17" s="37" t="n">
        <f aca="false">IF(AND(ISNUMBER(AX15),ISNUMBER(AS15)),IFERROR(AX15/AS15-1,""),"")</f>
        <v>0.0651007348700834</v>
      </c>
      <c r="AY17" s="37" t="n">
        <f aca="false">IF(AND(ISNUMBER(AY15),ISNUMBER(AT15)),IFERROR(AY15/AT15-1,""),"")</f>
        <v>0.126976636573761</v>
      </c>
      <c r="AZ17" s="37" t="n">
        <f aca="false">IF(AND(ISNUMBER(AZ15),ISNUMBER(AU15)),IFERROR(AZ15/AU15-1,""),"")</f>
        <v>0.130961538006395</v>
      </c>
      <c r="BA17" s="37" t="n">
        <f aca="false">IF(AND(ISNUMBER(BA15),ISNUMBER(AV15)),IFERROR(BA15/AV15-1,""),"")</f>
        <v>0.162235727753222</v>
      </c>
      <c r="BB17" s="37" t="n">
        <f aca="false">IF(AND(ISNUMBER(BB15),ISNUMBER(AW15)),IFERROR(BB15/AW15-1,""),"")</f>
        <v>0.123227036140235</v>
      </c>
      <c r="BC17" s="37" t="n">
        <f aca="false">IF(AND(ISNUMBER(BC15),ISNUMBER(AX15)),IFERROR(BC15/AX15-1,""),"")</f>
        <v>0.0592211982969693</v>
      </c>
      <c r="BD17" s="37" t="n">
        <f aca="false">IF(AND(ISNUMBER(BD15),ISNUMBER(AY15)),IFERROR(BD15/AY15-1,""),"")</f>
        <v>0.0993542249785047</v>
      </c>
      <c r="BE17" s="37" t="n">
        <f aca="false">IF(AND(ISNUMBER(BE15),ISNUMBER(AZ15)),IFERROR(BE15/AZ15-1,""),"")</f>
        <v>0.172056376934426</v>
      </c>
      <c r="BF17" s="37" t="n">
        <f aca="false">IF(AND(ISNUMBER(BF15),ISNUMBER(BA15)),IFERROR(BF15/BA15-1,""),"")</f>
        <v>-0.011018418327574</v>
      </c>
      <c r="BG17" s="37" t="n">
        <f aca="false">IF(AND(ISNUMBER(BG15),ISNUMBER(BB15)),IFERROR(BG15/BB15-1,""),"")</f>
        <v>0.074681355186264</v>
      </c>
      <c r="BH17" s="37" t="n">
        <f aca="false">IF(AND(ISNUMBER(BH15),ISNUMBER(BC15)),IFERROR(BH15/BC15-1,""),"")</f>
        <v>0.139934431075647</v>
      </c>
      <c r="BI17" s="37" t="n">
        <f aca="false">IF(AND(ISNUMBER(BI15),ISNUMBER(BD15)),IFERROR(BI15/BD15-1,""),"")</f>
        <v>0.0889587793937645</v>
      </c>
      <c r="BJ17" s="37" t="n">
        <f aca="false">IF(AND(ISNUMBER(BJ15),ISNUMBER(BE15)),IFERROR(BJ15/BE15-1,""),"")</f>
        <v>0.101101106462907</v>
      </c>
      <c r="BK17" s="37" t="n">
        <f aca="false">IF(AND(ISNUMBER(BK15),ISNUMBER(BF15)),IFERROR(BK15/BF15-1,""),"")</f>
        <v>-0.00983697478991585</v>
      </c>
      <c r="BL17" s="37" t="n">
        <f aca="false">IF(AND(ISNUMBER(BL15),ISNUMBER(BG15)),IFERROR(BL15/BG15-1,""),"")</f>
        <v>0.0765217311638817</v>
      </c>
      <c r="BM17" s="37" t="n">
        <f aca="false">IF(AND(ISNUMBER(BM15),ISNUMBER(BH15)),IFERROR(BM15/BH15-1,""),"")</f>
        <v>0.040726760624255</v>
      </c>
      <c r="BN17" s="37" t="n">
        <f aca="false">IF(AND(ISNUMBER(BN15),ISNUMBER(BI15)),IFERROR(BN15/BI15-1,""),"")</f>
        <v>0.020938639192202</v>
      </c>
      <c r="BO17" s="35" t="n">
        <f aca="false">BO16+BO118</f>
        <v>0.0388719228305078</v>
      </c>
      <c r="BP17" s="35" t="n">
        <f aca="false">BP16+BP118</f>
        <v>0.0388719228305078</v>
      </c>
      <c r="BQ17" s="35" t="n">
        <f aca="false">IF(AND(ISNUMBER(BQ15),ISNUMBER(BL15)),IFERROR(BQ15/BL15-1,""),"")</f>
        <v>0.0348154644773737</v>
      </c>
      <c r="BR17" s="35" t="n">
        <f aca="false">CHOOSE(MATCH($BV$2,{"Bull","Base","Bear"},0),$CE$23,$CF$23,$CG$23)</f>
        <v>0.08</v>
      </c>
      <c r="BS17" s="35" t="n">
        <f aca="false">CHOOSE(MATCH($BV$2,{"Bull","Base","Bear"},0),$CE$24,$CF$24,$CG$24)</f>
        <v>0.08</v>
      </c>
      <c r="BT17" s="35" t="n">
        <f aca="false">CHOOSE(MATCH($BV$2,{"Bull","Base","Bear"},0),$CE$25,$CF$25,$CG$25)</f>
        <v>0.07</v>
      </c>
      <c r="BU17" s="35" t="n">
        <f aca="false">CHOOSE(MATCH($BV$2,{"Bull","Base","Bear"},0),$CE$26,$CF$26,$CG$26)</f>
        <v>0.07</v>
      </c>
      <c r="BV17" s="15" t="s">
        <v>119</v>
      </c>
      <c r="BX17" s="38" t="n">
        <f aca="false">IFERROR(AVERAGE(BQ17,BR17,BS17,BT17,BU17),"n/m")</f>
        <v>0.0669630928954748</v>
      </c>
      <c r="BY17" s="38" t="n">
        <f aca="false">IFERROR(AVERAGE(AR17,AW17,BB17,BG17,BL17),"n/m")</f>
        <v>0.0602394965744749</v>
      </c>
      <c r="BZ17" s="38" t="n">
        <f aca="false">IFERROR(AVERAGE(S17,X17,AC17,AH17,AM17,AR17,AW17,BB17,BG17,BL17),"n/m")</f>
        <v>0.0602394965744749</v>
      </c>
      <c r="CA17" s="38" t="n">
        <f aca="false">IFERROR(AVERAGE(D17,I17,N17,S17,X17,AC17,AH17,AM17,AR17,AW17,BB17,BG17,BL17),"n/m")</f>
        <v>0.0602394965744749</v>
      </c>
      <c r="CD17" s="17" t="s">
        <v>120</v>
      </c>
      <c r="CE17" s="18" t="s">
        <v>90</v>
      </c>
      <c r="CF17" s="18" t="s">
        <v>2</v>
      </c>
      <c r="CG17" s="18" t="s">
        <v>91</v>
      </c>
    </row>
    <row r="18" customFormat="false" ht="15" hidden="false" customHeight="false" outlineLevel="0" collapsed="false">
      <c r="B18" s="13" t="s">
        <v>121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20" t="n">
        <f aca="false">AN19-AN12-AN13+AN15</f>
        <v>2.21999999999991</v>
      </c>
      <c r="AO18" s="20" t="n">
        <f aca="false">AO19-AO12-AO13+AO15</f>
        <v>1.89599999999967</v>
      </c>
      <c r="AP18" s="20" t="n">
        <f aca="false">AP19-AP12-AP13+AP15</f>
        <v>1.67200000000042</v>
      </c>
      <c r="AQ18" s="20" t="n">
        <f aca="false">AQ19-AQ12-AQ13+AQ15</f>
        <v>1.53999999999979</v>
      </c>
      <c r="AR18" s="20" t="n">
        <f aca="false">AR19-AR12-AR13+AR15</f>
        <v>7.32799999999975</v>
      </c>
      <c r="AS18" s="20" t="n">
        <f aca="false">AS19-AS12-AS13+AS15</f>
        <v>0.922999999999945</v>
      </c>
      <c r="AT18" s="20" t="n">
        <f aca="false">AT19-AT12-AT13+AT15</f>
        <v>45.3750000000001</v>
      </c>
      <c r="AU18" s="20" t="n">
        <f aca="false">AU19-AU12-AU13+AU15</f>
        <v>0.603999999999871</v>
      </c>
      <c r="AV18" s="20" t="n">
        <f aca="false">AV19-AV12-AV13+AV15</f>
        <v>1.3359999999999</v>
      </c>
      <c r="AW18" s="20" t="n">
        <f aca="false">AW19-AW12-AW13+AW15</f>
        <v>48.2379999999998</v>
      </c>
      <c r="AX18" s="20" t="n">
        <f aca="false">AX19-AX12-AX13+AX15</f>
        <v>0.400000000000205</v>
      </c>
      <c r="AY18" s="20" t="n">
        <f aca="false">AY19-AY12-AY13+AY15</f>
        <v>0.386999999999716</v>
      </c>
      <c r="AZ18" s="20" t="n">
        <f aca="false">AZ19-AZ12-AZ13+AZ15</f>
        <v>0.215000000000089</v>
      </c>
      <c r="BA18" s="20" t="n">
        <f aca="false">BA19-BA12-BA13+BA15</f>
        <v>0.0129999999998063</v>
      </c>
      <c r="BB18" s="20" t="n">
        <f aca="false">BB19-BB12-BB13+BB15</f>
        <v>1.01499999999987</v>
      </c>
      <c r="BC18" s="20" t="n">
        <f aca="false">BC19-BC12-BC13+BC15</f>
        <v>0.0210000000000719</v>
      </c>
      <c r="BD18" s="20" t="n">
        <f aca="false">BD19-BD12-BD13+BD15</f>
        <v>0.0320000000003802</v>
      </c>
      <c r="BE18" s="20" t="n">
        <f aca="false">BE19-BE12-BE13+BE15</f>
        <v>0.0669999999998936</v>
      </c>
      <c r="BF18" s="20" t="n">
        <f aca="false">BF19-BF12-BF13+BF15</f>
        <v>0.0189999999997781</v>
      </c>
      <c r="BG18" s="20" t="n">
        <f aca="false">BG19-BG12-BG13+BG15</f>
        <v>0.139000000000124</v>
      </c>
      <c r="BH18" s="20" t="n">
        <f aca="false">BH19-BH12-BH13+BH15</f>
        <v>-0.000999999999862666</v>
      </c>
      <c r="BI18" s="20" t="n">
        <f aca="false">BI19-BI12-BI13+BI15</f>
        <v>28.5759999999997</v>
      </c>
      <c r="BJ18" s="20" t="n">
        <f aca="false">BJ19-BJ12-BJ13+BJ15</f>
        <v>0.0320000000004939</v>
      </c>
      <c r="BK18" s="20" t="n">
        <f aca="false">BK19-BK12-BK13+BK15</f>
        <v>0.0209999999998445</v>
      </c>
      <c r="BL18" s="20" t="n">
        <f aca="false">BL19-BL12-BL13+BL15</f>
        <v>28.6300000000006</v>
      </c>
      <c r="BM18" s="20" t="n">
        <f aca="false">BM19-BM12-BM13+BM15</f>
        <v>0.0769999999996571</v>
      </c>
      <c r="BN18" s="20" t="n">
        <f aca="false">BN19-BN12-BN13+BN15</f>
        <v>0.188000000000557</v>
      </c>
      <c r="BO18" s="39" t="n">
        <v>0</v>
      </c>
      <c r="BP18" s="39" t="n">
        <v>0</v>
      </c>
      <c r="BQ18" s="21" t="n">
        <f aca="false">SUM(BM18:BP18)</f>
        <v>0.265000000000214</v>
      </c>
      <c r="BR18" s="39" t="n">
        <v>0</v>
      </c>
      <c r="BS18" s="39" t="n">
        <v>0</v>
      </c>
      <c r="BT18" s="39" t="n">
        <v>0</v>
      </c>
      <c r="BU18" s="39" t="n">
        <v>0</v>
      </c>
      <c r="BV18" s="15" t="s">
        <v>122</v>
      </c>
      <c r="CD18" s="22" t="s">
        <v>123</v>
      </c>
      <c r="CE18" s="23" t="n">
        <v>0</v>
      </c>
      <c r="CF18" s="23" t="n">
        <v>0</v>
      </c>
      <c r="CG18" s="23" t="n">
        <v>0</v>
      </c>
      <c r="CH18" s="12" t="s">
        <v>124</v>
      </c>
    </row>
    <row r="19" customFormat="false" ht="15" hidden="false" customHeight="false" outlineLevel="0" collapsed="false">
      <c r="B19" s="30" t="s">
        <v>125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2" t="n">
        <v>3680.126</v>
      </c>
      <c r="AN19" s="32" t="n">
        <v>4495.617</v>
      </c>
      <c r="AO19" s="32" t="n">
        <v>4174.767</v>
      </c>
      <c r="AP19" s="32" t="n">
        <v>3813.289</v>
      </c>
      <c r="AQ19" s="32" t="n">
        <v>4532.17</v>
      </c>
      <c r="AR19" s="32" t="n">
        <v>4532.17</v>
      </c>
      <c r="AS19" s="32" t="n">
        <v>4158.335</v>
      </c>
      <c r="AT19" s="32" t="n">
        <v>3989.3</v>
      </c>
      <c r="AU19" s="32" t="n">
        <v>3686.469</v>
      </c>
      <c r="AV19" s="32" t="n">
        <v>3515.377</v>
      </c>
      <c r="AW19" s="32" t="n">
        <v>3515.377</v>
      </c>
      <c r="AX19" s="32" t="n">
        <v>3108.628</v>
      </c>
      <c r="AY19" s="32" t="n">
        <v>3405.716</v>
      </c>
      <c r="AZ19" s="32" t="n">
        <v>3258.877</v>
      </c>
      <c r="BA19" s="32" t="n">
        <v>3216.673</v>
      </c>
      <c r="BB19" s="32" t="n">
        <v>3216.673</v>
      </c>
      <c r="BC19" s="32" t="n">
        <v>2908.986</v>
      </c>
      <c r="BD19" s="32" t="n">
        <v>2865.193</v>
      </c>
      <c r="BE19" s="32" t="n">
        <v>2745.333</v>
      </c>
      <c r="BF19" s="32" t="n">
        <v>3912.58</v>
      </c>
      <c r="BG19" s="32" t="n">
        <v>3912.58</v>
      </c>
      <c r="BH19" s="32" t="n">
        <v>3583.69</v>
      </c>
      <c r="BI19" s="32" t="n">
        <v>4435.593</v>
      </c>
      <c r="BJ19" s="32" t="n">
        <v>5905.02</v>
      </c>
      <c r="BK19" s="32" t="n">
        <v>5541.291</v>
      </c>
      <c r="BL19" s="32" t="n">
        <v>5541.291</v>
      </c>
      <c r="BM19" s="32" t="n">
        <v>6931.111</v>
      </c>
      <c r="BN19" s="32" t="n">
        <v>6797.627</v>
      </c>
      <c r="BO19" s="33" t="n">
        <f aca="false">BO12+BO13-BO15+BO18</f>
        <v>6797.627</v>
      </c>
      <c r="BP19" s="33" t="n">
        <f aca="false">BP12+BP13-BP15+BP18</f>
        <v>6797.627</v>
      </c>
      <c r="BQ19" s="33" t="n">
        <f aca="false">BP19</f>
        <v>6797.627</v>
      </c>
      <c r="BR19" s="33" t="n">
        <f aca="false">BR12+BR13-BR15+BR18</f>
        <v>6928.95011164534</v>
      </c>
      <c r="BS19" s="33" t="n">
        <f aca="false">BS12+BS13-BS15+BS18</f>
        <v>7070.7790722223</v>
      </c>
      <c r="BT19" s="33" t="n">
        <f aca="false">BT12+BT13-BT15+BT18</f>
        <v>7222.53606003965</v>
      </c>
      <c r="BU19" s="33" t="n">
        <f aca="false">BU12+BU13-BU15+BU18</f>
        <v>7384.91603700422</v>
      </c>
      <c r="BV19" s="15" t="s">
        <v>126</v>
      </c>
      <c r="BX19" s="25" t="n">
        <f aca="false">IFERROR((BU19/BL19)^(1/5)-1,"n/m")</f>
        <v>0.0591242719020333</v>
      </c>
      <c r="BY19" s="25" t="n">
        <f aca="false">IFERROR((BL19/AM19)^(1/5)-1,"n/m")</f>
        <v>0.0852996273141269</v>
      </c>
      <c r="BZ19" s="25" t="str">
        <f aca="false">IFERROR((BL19/N19)^(1/10)-1,"n/m")</f>
        <v>n/m</v>
      </c>
      <c r="CA19" s="25" t="str">
        <f aca="false">IFERROR((BL19/D19)^(1/12)-1,"n/m")</f>
        <v>n/m</v>
      </c>
      <c r="CD19" s="22" t="s">
        <v>127</v>
      </c>
      <c r="CE19" s="23" t="n">
        <v>800</v>
      </c>
      <c r="CF19" s="23" t="n">
        <v>750</v>
      </c>
      <c r="CG19" s="23" t="n">
        <v>750</v>
      </c>
      <c r="CH19" s="12" t="s">
        <v>128</v>
      </c>
    </row>
    <row r="20" customFormat="false" ht="15" hidden="false" customHeight="false" outlineLevel="0" collapsed="false">
      <c r="B20" s="13" t="s">
        <v>129</v>
      </c>
      <c r="C20" s="40" t="str">
        <f aca="false">IF(AND(ISNUMBER(C19),ISNUMBER(C15)),IFERROR(C19/C15,""),"")</f>
        <v/>
      </c>
      <c r="D20" s="40" t="str">
        <f aca="false">IF(AND(ISNUMBER(D19),ISNUMBER(D15)),IFERROR(D19/D15,""),"")</f>
        <v/>
      </c>
      <c r="E20" s="19"/>
      <c r="F20" s="19"/>
      <c r="G20" s="19"/>
      <c r="H20" s="19"/>
      <c r="I20" s="40" t="str">
        <f aca="false">IF(AND(ISNUMBER(I19),ISNUMBER(I15)),IFERROR(I19/I15,""),"")</f>
        <v/>
      </c>
      <c r="J20" s="19"/>
      <c r="K20" s="19"/>
      <c r="L20" s="19"/>
      <c r="M20" s="19"/>
      <c r="N20" s="40" t="str">
        <f aca="false">IF(AND(ISNUMBER(N19),ISNUMBER(N15)),IFERROR(N19/N15,""),"")</f>
        <v/>
      </c>
      <c r="O20" s="19"/>
      <c r="P20" s="19"/>
      <c r="Q20" s="19"/>
      <c r="R20" s="19"/>
      <c r="S20" s="40" t="str">
        <f aca="false">IF(AND(ISNUMBER(S19),ISNUMBER(S15)),IFERROR(S19/S15,""),"")</f>
        <v/>
      </c>
      <c r="T20" s="19"/>
      <c r="U20" s="19"/>
      <c r="V20" s="19"/>
      <c r="W20" s="19"/>
      <c r="X20" s="40" t="str">
        <f aca="false">IF(AND(ISNUMBER(X19),ISNUMBER(X15)),IFERROR(X19/X15,""),"")</f>
        <v/>
      </c>
      <c r="Y20" s="19"/>
      <c r="Z20" s="19"/>
      <c r="AA20" s="19"/>
      <c r="AB20" s="19"/>
      <c r="AC20" s="40" t="str">
        <f aca="false">IF(AND(ISNUMBER(AC19),ISNUMBER(AC15)),IFERROR(AC19/AC15,""),"")</f>
        <v/>
      </c>
      <c r="AD20" s="19"/>
      <c r="AE20" s="19"/>
      <c r="AF20" s="19"/>
      <c r="AG20" s="19"/>
      <c r="AH20" s="40" t="str">
        <f aca="false">IF(AND(ISNUMBER(AH19),ISNUMBER(AH15)),IFERROR(AH19/AH15,""),"")</f>
        <v/>
      </c>
      <c r="AI20" s="19"/>
      <c r="AJ20" s="19"/>
      <c r="AK20" s="19"/>
      <c r="AL20" s="19"/>
      <c r="AM20" s="40" t="n">
        <f aca="false">IF(AND(ISNUMBER(AM19),ISNUMBER(AM15)),IFERROR(AM19/AM15,""),"")</f>
        <v>2.0872722157848</v>
      </c>
      <c r="AN20" s="19"/>
      <c r="AO20" s="19"/>
      <c r="AP20" s="19"/>
      <c r="AQ20" s="19"/>
      <c r="AR20" s="40" t="n">
        <f aca="false">IF(AND(ISNUMBER(AR19),ISNUMBER(AR15)),IFERROR(AR19/AR15,""),"")</f>
        <v>2.62719719528815</v>
      </c>
      <c r="AS20" s="19"/>
      <c r="AT20" s="19"/>
      <c r="AU20" s="19"/>
      <c r="AV20" s="19"/>
      <c r="AW20" s="40" t="n">
        <f aca="false">IF(AND(ISNUMBER(AW19),ISNUMBER(AW15)),IFERROR(AW19/AW15,""),"")</f>
        <v>1.94382640035875</v>
      </c>
      <c r="AX20" s="19"/>
      <c r="AY20" s="19"/>
      <c r="AZ20" s="19"/>
      <c r="BA20" s="19"/>
      <c r="BB20" s="40" t="n">
        <f aca="false">IF(AND(ISNUMBER(BB19),ISNUMBER(BB15)),IFERROR(BB19/BB15,""),"")</f>
        <v>1.58352503794299</v>
      </c>
      <c r="BC20" s="19"/>
      <c r="BD20" s="19"/>
      <c r="BE20" s="19"/>
      <c r="BF20" s="19"/>
      <c r="BG20" s="40" t="n">
        <f aca="false">IF(AND(ISNUMBER(BG19),ISNUMBER(BG15)),IFERROR(BG19/BG15,""),"")</f>
        <v>1.79226216652008</v>
      </c>
      <c r="BH20" s="19"/>
      <c r="BI20" s="19"/>
      <c r="BJ20" s="19"/>
      <c r="BK20" s="19"/>
      <c r="BL20" s="40" t="n">
        <f aca="false">IF(AND(ISNUMBER(BL19),ISNUMBER(BL15)),IFERROR(BL19/BL15,""),"")</f>
        <v>2.35790586743486</v>
      </c>
      <c r="BM20" s="19"/>
      <c r="BN20" s="19"/>
      <c r="BO20" s="36"/>
      <c r="BP20" s="36"/>
      <c r="BQ20" s="41" t="n">
        <f aca="false">IF(AND(ISNUMBER(BQ19),ISNUMBER(BQ15)),IFERROR(BQ19/BQ15,""),"")</f>
        <v>2.79518093503107</v>
      </c>
      <c r="BR20" s="41" t="n">
        <f aca="false">IF(AND(ISNUMBER(BR19),ISNUMBER(BR15)),IFERROR(BR19/BR15,""),"")</f>
        <v>2.63813049539914</v>
      </c>
      <c r="BS20" s="41" t="n">
        <f aca="false">IF(AND(ISNUMBER(BS19),ISNUMBER(BS15)),IFERROR(BS19/BS15,""),"")</f>
        <v>2.49271342166587</v>
      </c>
      <c r="BT20" s="41" t="n">
        <f aca="false">IF(AND(ISNUMBER(BT19),ISNUMBER(BT15)),IFERROR(BT19/BT15,""),"")</f>
        <v>2.37963871183726</v>
      </c>
      <c r="BU20" s="41" t="n">
        <f aca="false">IF(AND(ISNUMBER(BU19),ISNUMBER(BU15)),IFERROR(BU19/BU15,""),"")</f>
        <v>2.27396141293202</v>
      </c>
      <c r="BV20" s="15"/>
      <c r="CD20" s="22" t="s">
        <v>130</v>
      </c>
      <c r="CE20" s="42" t="n">
        <v>2</v>
      </c>
      <c r="CF20" s="42" t="n">
        <v>1.5</v>
      </c>
      <c r="CG20" s="42" t="n">
        <v>1</v>
      </c>
      <c r="CH20" s="12" t="s">
        <v>131</v>
      </c>
    </row>
    <row r="21" customFormat="false" ht="15" hidden="false" customHeight="false" outlineLevel="0" collapsed="false">
      <c r="B21" s="13" t="s">
        <v>132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24" t="n">
        <v>345.25</v>
      </c>
      <c r="AN21" s="24" t="n">
        <v>78.245</v>
      </c>
      <c r="AO21" s="24" t="n">
        <v>72.871</v>
      </c>
      <c r="AP21" s="24" t="n">
        <v>87.542</v>
      </c>
      <c r="AQ21" s="24" t="n">
        <v>90.891</v>
      </c>
      <c r="AR21" s="24" t="n">
        <v>329.549</v>
      </c>
      <c r="AS21" s="24" t="n">
        <v>72.231</v>
      </c>
      <c r="AT21" s="24" t="n">
        <v>83.783</v>
      </c>
      <c r="AU21" s="24" t="n">
        <v>77.735</v>
      </c>
      <c r="AV21" s="24" t="n">
        <v>102.752</v>
      </c>
      <c r="AW21" s="24" t="n">
        <v>336.501</v>
      </c>
      <c r="AX21" s="24" t="n">
        <v>90.56</v>
      </c>
      <c r="AY21" s="24" t="n">
        <v>82.208</v>
      </c>
      <c r="AZ21" s="24" t="n">
        <v>85.632</v>
      </c>
      <c r="BA21" s="24" t="n">
        <v>116.282</v>
      </c>
      <c r="BB21" s="24" t="n">
        <v>374.682</v>
      </c>
      <c r="BC21" s="24" t="n">
        <v>85.686</v>
      </c>
      <c r="BD21" s="24" t="n">
        <v>92.52</v>
      </c>
      <c r="BE21" s="24" t="n">
        <v>101.609</v>
      </c>
      <c r="BF21" s="24" t="n">
        <v>98.059</v>
      </c>
      <c r="BG21" s="24" t="n">
        <v>377.875</v>
      </c>
      <c r="BH21" s="24" t="n">
        <v>97.746</v>
      </c>
      <c r="BI21" s="24" t="n">
        <v>109.417</v>
      </c>
      <c r="BJ21" s="24" t="n">
        <v>97.371</v>
      </c>
      <c r="BK21" s="24" t="n">
        <v>90.314</v>
      </c>
      <c r="BL21" s="24" t="n">
        <v>394.85</v>
      </c>
      <c r="BM21" s="24" t="n">
        <v>99.141</v>
      </c>
      <c r="BN21" s="24" t="n">
        <v>105.678</v>
      </c>
      <c r="BO21" s="21" t="n">
        <f aca="false">BO24-BO23</f>
        <v>107.219672658218</v>
      </c>
      <c r="BP21" s="21" t="n">
        <f aca="false">BP24-BP23</f>
        <v>98.8189825932053</v>
      </c>
      <c r="BQ21" s="21" t="n">
        <f aca="false">SUM(BM21:BP21)</f>
        <v>410.857655251423</v>
      </c>
      <c r="BR21" s="21" t="n">
        <f aca="false">BR24-BR23</f>
        <v>455.130890758676</v>
      </c>
      <c r="BS21" s="21" t="n">
        <f aca="false">BS24-BS23</f>
        <v>498.992810048219</v>
      </c>
      <c r="BT21" s="21" t="n">
        <f aca="false">BT24-BT23</f>
        <v>541.825156142462</v>
      </c>
      <c r="BU21" s="21" t="n">
        <f aca="false">BU24-BU23</f>
        <v>580.067917072434</v>
      </c>
      <c r="BV21" s="15" t="s">
        <v>133</v>
      </c>
      <c r="BX21" s="25" t="n">
        <f aca="false">IFERROR((BU21/BL21)^(1/5)-1,"n/m")</f>
        <v>0.0799641539825751</v>
      </c>
      <c r="BY21" s="25" t="n">
        <f aca="false">IFERROR((BL21/AM21)^(1/5)-1,"n/m")</f>
        <v>0.0272110699652692</v>
      </c>
      <c r="BZ21" s="25" t="str">
        <f aca="false">IFERROR((BL21/N21)^(1/10)-1,"n/m")</f>
        <v>n/m</v>
      </c>
      <c r="CA21" s="25" t="str">
        <f aca="false">IFERROR((BL21/D21)^(1/12)-1,"n/m")</f>
        <v>n/m</v>
      </c>
    </row>
    <row r="22" customFormat="false" ht="15" hidden="false" customHeight="false" outlineLevel="0" collapsed="false">
      <c r="B22" s="13" t="s">
        <v>134</v>
      </c>
      <c r="C22" s="43" t="str">
        <f aca="false">IF(AND(ISNUMBER(C21),ISNUMBER(C15)),IFERROR(C21/C15,""),"")</f>
        <v/>
      </c>
      <c r="D22" s="43" t="str">
        <f aca="false">IF(AND(ISNUMBER(D21),ISNUMBER(D15)),IFERROR(D21/D15,""),"")</f>
        <v/>
      </c>
      <c r="E22" s="43" t="str">
        <f aca="false">IF(AND(ISNUMBER(E21),ISNUMBER(E15)),IFERROR(E21/E15,""),"")</f>
        <v/>
      </c>
      <c r="F22" s="43" t="str">
        <f aca="false">IF(AND(ISNUMBER(F21),ISNUMBER(F15)),IFERROR(F21/F15,""),"")</f>
        <v/>
      </c>
      <c r="G22" s="43" t="str">
        <f aca="false">IF(AND(ISNUMBER(G21),ISNUMBER(G15)),IFERROR(G21/G15,""),"")</f>
        <v/>
      </c>
      <c r="H22" s="43" t="str">
        <f aca="false">IF(AND(ISNUMBER(H21),ISNUMBER(H15)),IFERROR(H21/H15,""),"")</f>
        <v/>
      </c>
      <c r="I22" s="43" t="str">
        <f aca="false">IF(AND(ISNUMBER(I21),ISNUMBER(I15)),IFERROR(I21/I15,""),"")</f>
        <v/>
      </c>
      <c r="J22" s="43" t="str">
        <f aca="false">IF(AND(ISNUMBER(J21),ISNUMBER(J15)),IFERROR(J21/J15,""),"")</f>
        <v/>
      </c>
      <c r="K22" s="43" t="str">
        <f aca="false">IF(AND(ISNUMBER(K21),ISNUMBER(K15)),IFERROR(K21/K15,""),"")</f>
        <v/>
      </c>
      <c r="L22" s="43" t="str">
        <f aca="false">IF(AND(ISNUMBER(L21),ISNUMBER(L15)),IFERROR(L21/L15,""),"")</f>
        <v/>
      </c>
      <c r="M22" s="43" t="str">
        <f aca="false">IF(AND(ISNUMBER(M21),ISNUMBER(M15)),IFERROR(M21/M15,""),"")</f>
        <v/>
      </c>
      <c r="N22" s="43" t="str">
        <f aca="false">IF(AND(ISNUMBER(N21),ISNUMBER(N15)),IFERROR(N21/N15,""),"")</f>
        <v/>
      </c>
      <c r="O22" s="43" t="str">
        <f aca="false">IF(AND(ISNUMBER(O21),ISNUMBER(O15)),IFERROR(O21/O15,""),"")</f>
        <v/>
      </c>
      <c r="P22" s="43" t="str">
        <f aca="false">IF(AND(ISNUMBER(P21),ISNUMBER(P15)),IFERROR(P21/P15,""),"")</f>
        <v/>
      </c>
      <c r="Q22" s="43" t="str">
        <f aca="false">IF(AND(ISNUMBER(Q21),ISNUMBER(Q15)),IFERROR(Q21/Q15,""),"")</f>
        <v/>
      </c>
      <c r="R22" s="43" t="str">
        <f aca="false">IF(AND(ISNUMBER(R21),ISNUMBER(R15)),IFERROR(R21/R15,""),"")</f>
        <v/>
      </c>
      <c r="S22" s="43" t="str">
        <f aca="false">IF(AND(ISNUMBER(S21),ISNUMBER(S15)),IFERROR(S21/S15,""),"")</f>
        <v/>
      </c>
      <c r="T22" s="43" t="str">
        <f aca="false">IF(AND(ISNUMBER(T21),ISNUMBER(T15)),IFERROR(T21/T15,""),"")</f>
        <v/>
      </c>
      <c r="U22" s="43" t="str">
        <f aca="false">IF(AND(ISNUMBER(U21),ISNUMBER(U15)),IFERROR(U21/U15,""),"")</f>
        <v/>
      </c>
      <c r="V22" s="43" t="str">
        <f aca="false">IF(AND(ISNUMBER(V21),ISNUMBER(V15)),IFERROR(V21/V15,""),"")</f>
        <v/>
      </c>
      <c r="W22" s="43" t="str">
        <f aca="false">IF(AND(ISNUMBER(W21),ISNUMBER(W15)),IFERROR(W21/W15,""),"")</f>
        <v/>
      </c>
      <c r="X22" s="43" t="str">
        <f aca="false">IF(AND(ISNUMBER(X21),ISNUMBER(X15)),IFERROR(X21/X15,""),"")</f>
        <v/>
      </c>
      <c r="Y22" s="43" t="str">
        <f aca="false">IF(AND(ISNUMBER(Y21),ISNUMBER(Y15)),IFERROR(Y21/Y15,""),"")</f>
        <v/>
      </c>
      <c r="Z22" s="43" t="str">
        <f aca="false">IF(AND(ISNUMBER(Z21),ISNUMBER(Z15)),IFERROR(Z21/Z15,""),"")</f>
        <v/>
      </c>
      <c r="AA22" s="43" t="str">
        <f aca="false">IF(AND(ISNUMBER(AA21),ISNUMBER(AA15)),IFERROR(AA21/AA15,""),"")</f>
        <v/>
      </c>
      <c r="AB22" s="43" t="str">
        <f aca="false">IF(AND(ISNUMBER(AB21),ISNUMBER(AB15)),IFERROR(AB21/AB15,""),"")</f>
        <v/>
      </c>
      <c r="AC22" s="43" t="str">
        <f aca="false">IF(AND(ISNUMBER(AC21),ISNUMBER(AC15)),IFERROR(AC21/AC15,""),"")</f>
        <v/>
      </c>
      <c r="AD22" s="43" t="str">
        <f aca="false">IF(AND(ISNUMBER(AD21),ISNUMBER(AD15)),IFERROR(AD21/AD15,""),"")</f>
        <v/>
      </c>
      <c r="AE22" s="43" t="str">
        <f aca="false">IF(AND(ISNUMBER(AE21),ISNUMBER(AE15)),IFERROR(AE21/AE15,""),"")</f>
        <v/>
      </c>
      <c r="AF22" s="43" t="str">
        <f aca="false">IF(AND(ISNUMBER(AF21),ISNUMBER(AF15)),IFERROR(AF21/AF15,""),"")</f>
        <v/>
      </c>
      <c r="AG22" s="43" t="str">
        <f aca="false">IF(AND(ISNUMBER(AG21),ISNUMBER(AG15)),IFERROR(AG21/AG15,""),"")</f>
        <v/>
      </c>
      <c r="AH22" s="43" t="str">
        <f aca="false">IF(AND(ISNUMBER(AH21),ISNUMBER(AH15)),IFERROR(AH21/AH15,""),"")</f>
        <v/>
      </c>
      <c r="AI22" s="43" t="str">
        <f aca="false">IF(AND(ISNUMBER(AI21),ISNUMBER(AI15)),IFERROR(AI21/AI15,""),"")</f>
        <v/>
      </c>
      <c r="AJ22" s="43" t="str">
        <f aca="false">IF(AND(ISNUMBER(AJ21),ISNUMBER(AJ15)),IFERROR(AJ21/AJ15,""),"")</f>
        <v/>
      </c>
      <c r="AK22" s="43" t="str">
        <f aca="false">IF(AND(ISNUMBER(AK21),ISNUMBER(AK15)),IFERROR(AK21/AK15,""),"")</f>
        <v/>
      </c>
      <c r="AL22" s="43" t="str">
        <f aca="false">IF(AND(ISNUMBER(AL21),ISNUMBER(AL15)),IFERROR(AL21/AL15,""),"")</f>
        <v/>
      </c>
      <c r="AM22" s="43" t="n">
        <f aca="false">IF(AND(ISNUMBER(AM21),ISNUMBER(AM15)),IFERROR(AM21/AM15,""),"")</f>
        <v>0.195816864014901</v>
      </c>
      <c r="AN22" s="43" t="n">
        <f aca="false">IF(AND(ISNUMBER(AN21),ISNUMBER(AN15)),IFERROR(AN21/AN15,""),"")</f>
        <v>0.184856180969819</v>
      </c>
      <c r="AO22" s="43" t="n">
        <f aca="false">IF(AND(ISNUMBER(AO21),ISNUMBER(AO15)),IFERROR(AO21/AO15,""),"")</f>
        <v>0.179707864669776</v>
      </c>
      <c r="AP22" s="43" t="n">
        <f aca="false">IF(AND(ISNUMBER(AP21),ISNUMBER(AP15)),IFERROR(AP21/AP15,""),"")</f>
        <v>0.209862899417221</v>
      </c>
      <c r="AQ22" s="43" t="n">
        <f aca="false">IF(AND(ISNUMBER(AQ21),ISNUMBER(AQ15)),IFERROR(AQ21/AQ15,""),"")</f>
        <v>0.18967791212598</v>
      </c>
      <c r="AR22" s="43" t="n">
        <f aca="false">IF(AND(ISNUMBER(AR21),ISNUMBER(AR15)),IFERROR(AR21/AR15,""),"")</f>
        <v>0.191032156452652</v>
      </c>
      <c r="AS22" s="43" t="n">
        <f aca="false">IF(AND(ISNUMBER(AS21),ISNUMBER(AS15)),IFERROR(AS21/AS15,""),"")</f>
        <v>0.167287743441638</v>
      </c>
      <c r="AT22" s="43" t="n">
        <f aca="false">IF(AND(ISNUMBER(AT21),ISNUMBER(AT15)),IFERROR(AT21/AT15,""),"")</f>
        <v>0.191926457551135</v>
      </c>
      <c r="AU22" s="43" t="n">
        <f aca="false">IF(AND(ISNUMBER(AU21),ISNUMBER(AU15)),IFERROR(AU21/AU15,""),"")</f>
        <v>0.183979021161078</v>
      </c>
      <c r="AV22" s="43" t="n">
        <f aca="false">IF(AND(ISNUMBER(AV21),ISNUMBER(AV15)),IFERROR(AV21/AV15,""),"")</f>
        <v>0.198497820913053</v>
      </c>
      <c r="AW22" s="43" t="n">
        <f aca="false">IF(AND(ISNUMBER(AW21),ISNUMBER(AW15)),IFERROR(AW21/AW15,""),"")</f>
        <v>0.186068102381941</v>
      </c>
      <c r="AX22" s="43" t="n">
        <f aca="false">IF(AND(ISNUMBER(AX21),ISNUMBER(AX15)),IFERROR(AX21/AX15,""),"")</f>
        <v>0.196918366725667</v>
      </c>
      <c r="AY22" s="43" t="n">
        <f aca="false">IF(AND(ISNUMBER(AY21),ISNUMBER(AY15)),IFERROR(AY21/AY15,""),"")</f>
        <v>0.167100638863989</v>
      </c>
      <c r="AZ22" s="43" t="n">
        <f aca="false">IF(AND(ISNUMBER(AZ21),ISNUMBER(AZ15)),IFERROR(AZ21/AZ15,""),"")</f>
        <v>0.179200803591048</v>
      </c>
      <c r="BA22" s="43" t="n">
        <f aca="false">IF(AND(ISNUMBER(BA21),ISNUMBER(BA15)),IFERROR(BA21/BA15,""),"")</f>
        <v>0.193278581983249</v>
      </c>
      <c r="BB22" s="43" t="n">
        <f aca="false">IF(AND(ISNUMBER(BB21),ISNUMBER(BB15)),IFERROR(BB21/BB15,""),"")</f>
        <v>0.184450930593988</v>
      </c>
      <c r="BC22" s="43" t="n">
        <f aca="false">IF(AND(ISNUMBER(BC21),ISNUMBER(BC15)),IFERROR(BC21/BC15,""),"")</f>
        <v>0.175902907080582</v>
      </c>
      <c r="BD22" s="43" t="n">
        <f aca="false">IF(AND(ISNUMBER(BD21),ISNUMBER(BD15)),IFERROR(BD21/BD15,""),"")</f>
        <v>0.171065330981462</v>
      </c>
      <c r="BE22" s="43" t="n">
        <f aca="false">IF(AND(ISNUMBER(BE21),ISNUMBER(BE15)),IFERROR(BE21/BE15,""),"")</f>
        <v>0.181420993334797</v>
      </c>
      <c r="BF22" s="43" t="n">
        <f aca="false">IF(AND(ISNUMBER(BF21),ISNUMBER(BF15)),IFERROR(BF21/BF15,""),"")</f>
        <v>0.164805042016807</v>
      </c>
      <c r="BG22" s="43" t="n">
        <f aca="false">IF(AND(ISNUMBER(BG21),ISNUMBER(BG15)),IFERROR(BG21/BG15,""),"")</f>
        <v>0.173095774699502</v>
      </c>
      <c r="BH22" s="43" t="n">
        <f aca="false">IF(AND(ISNUMBER(BH21),ISNUMBER(BH15)),IFERROR(BH21/BH15,""),"")</f>
        <v>0.176028208886952</v>
      </c>
      <c r="BI22" s="43" t="n">
        <f aca="false">IF(AND(ISNUMBER(BI21),ISNUMBER(BI15)),IFERROR(BI21/BI15,""),"")</f>
        <v>0.185780334454521</v>
      </c>
      <c r="BJ22" s="43" t="n">
        <f aca="false">IF(AND(ISNUMBER(BJ21),ISNUMBER(BJ15)),IFERROR(BJ21/BJ15,""),"")</f>
        <v>0.157891152381153</v>
      </c>
      <c r="BK22" s="43" t="n">
        <f aca="false">IF(AND(ISNUMBER(BK21),ISNUMBER(BK15)),IFERROR(BK21/BK15,""),"")</f>
        <v>0.153296206209995</v>
      </c>
      <c r="BL22" s="43" t="n">
        <f aca="false">IF(AND(ISNUMBER(BL21),ISNUMBER(BL15)),IFERROR(BL21/BL15,""),"")</f>
        <v>0.168014841984775</v>
      </c>
      <c r="BM22" s="43" t="n">
        <f aca="false">IF(AND(ISNUMBER(BM21),ISNUMBER(BM15)),IFERROR(BM21/BM15,""),"")</f>
        <v>0.171553605202275</v>
      </c>
      <c r="BN22" s="43" t="n">
        <f aca="false">IF(AND(ISNUMBER(BN21),ISNUMBER(BN15)),IFERROR(BN21/BN15,""),"")</f>
        <v>0.175751840622926</v>
      </c>
      <c r="BO22" s="35" t="n">
        <f aca="false">IF(AND(ISNUMBER(BO21),ISNUMBER(BO15)),IFERROR(BO21/BO15,""),"")</f>
        <v>0.16735574764714</v>
      </c>
      <c r="BP22" s="35" t="n">
        <f aca="false">IF(AND(ISNUMBER(BP21),ISNUMBER(BP15)),IFERROR(BP21/BP15,""),"")</f>
        <v>0.161456189571858</v>
      </c>
      <c r="BQ22" s="35" t="n">
        <f aca="false">IF(AND(ISNUMBER(BQ21),ISNUMBER(BQ15)),IFERROR(BQ21/BQ15,""),"")</f>
        <v>0.168944469146416</v>
      </c>
      <c r="BR22" s="35" t="n">
        <f aca="false">IF(AND(ISNUMBER(BR21),ISNUMBER(BR15)),IFERROR(BR21/BR15,""),"")</f>
        <v>0.173286668681689</v>
      </c>
      <c r="BS22" s="35" t="n">
        <f aca="false">IF(AND(ISNUMBER(BS21),ISNUMBER(BS15)),IFERROR(BS21/BS15,""),"")</f>
        <v>0.175913582112675</v>
      </c>
      <c r="BT22" s="35" t="n">
        <f aca="false">IF(AND(ISNUMBER(BT21),ISNUMBER(BT15)),IFERROR(BT21/BT15,""),"")</f>
        <v>0.178517366460444</v>
      </c>
      <c r="BU22" s="35" t="n">
        <f aca="false">IF(AND(ISNUMBER(BU21),ISNUMBER(BU15)),IFERROR(BU21/BU15,""),"")</f>
        <v>0.178614361177985</v>
      </c>
      <c r="BV22" s="15"/>
      <c r="BX22" s="38" t="n">
        <f aca="false">IFERROR(AVERAGE(BQ22,BR22,BS22,BT22,BU22),"n/m")</f>
        <v>0.175055289515842</v>
      </c>
      <c r="BY22" s="38" t="n">
        <f aca="false">IFERROR(AVERAGE(AR22,AW22,BB22,BG22,BL22),"n/m")</f>
        <v>0.180532361222572</v>
      </c>
      <c r="BZ22" s="38" t="n">
        <f aca="false">IFERROR(AVERAGE(S22,X22,AC22,AH22,AM22,AR22,AW22,BB22,BG22,BL22),"n/m")</f>
        <v>0.183079778354626</v>
      </c>
      <c r="CA22" s="38" t="n">
        <f aca="false">IFERROR(AVERAGE(D22,I22,N22,S22,X22,AC22,AH22,AM22,AR22,AW22,BB22,BG22,BL22),"n/m")</f>
        <v>0.183079778354626</v>
      </c>
      <c r="CD22" s="17" t="s">
        <v>135</v>
      </c>
      <c r="CE22" s="44" t="n">
        <v>0.02</v>
      </c>
      <c r="CF22" s="45" t="s">
        <v>136</v>
      </c>
      <c r="CG22" s="44" t="n">
        <v>-0.025</v>
      </c>
      <c r="CH22" s="12" t="s">
        <v>137</v>
      </c>
    </row>
    <row r="23" customFormat="false" ht="15" hidden="false" customHeight="false" outlineLevel="0" collapsed="false">
      <c r="B23" s="13" t="s">
        <v>138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20" t="n">
        <f aca="false">AM24-AM21</f>
        <v>0.956000000000017</v>
      </c>
      <c r="AN23" s="20" t="n">
        <f aca="false">AN24-AN21</f>
        <v>0</v>
      </c>
      <c r="AO23" s="20" t="n">
        <f aca="false">AO24-AO21</f>
        <v>0</v>
      </c>
      <c r="AP23" s="20" t="n">
        <f aca="false">AP24-AP21</f>
        <v>0.164999999999992</v>
      </c>
      <c r="AQ23" s="20" t="n">
        <f aca="false">AQ24-AQ21</f>
        <v>0</v>
      </c>
      <c r="AR23" s="20" t="n">
        <f aca="false">AR24-AR21</f>
        <v>0.16500000000002</v>
      </c>
      <c r="AS23" s="20" t="n">
        <f aca="false">AS24-AS21</f>
        <v>1.30000000000001</v>
      </c>
      <c r="AT23" s="20" t="n">
        <f aca="false">AT24-AT21</f>
        <v>0</v>
      </c>
      <c r="AU23" s="20" t="n">
        <f aca="false">AU24-AU21</f>
        <v>0.5</v>
      </c>
      <c r="AV23" s="20" t="n">
        <f aca="false">AV24-AV21</f>
        <v>0.300000000000011</v>
      </c>
      <c r="AW23" s="20" t="n">
        <f aca="false">AW24-AW21</f>
        <v>2.10000000000002</v>
      </c>
      <c r="AX23" s="20" t="n">
        <f aca="false">AX24-AX21</f>
        <v>0.200000000000003</v>
      </c>
      <c r="AY23" s="20" t="n">
        <f aca="false">AY24-AY21</f>
        <v>0.200000000000003</v>
      </c>
      <c r="AZ23" s="20" t="n">
        <f aca="false">AZ24-AZ21</f>
        <v>0</v>
      </c>
      <c r="BA23" s="20" t="n">
        <f aca="false">BA24-BA21</f>
        <v>0.900000000000006</v>
      </c>
      <c r="BB23" s="20" t="n">
        <f aca="false">BB24-BB21</f>
        <v>1.39999999999998</v>
      </c>
      <c r="BC23" s="20" t="n">
        <f aca="false">BC24-BC21</f>
        <v>0</v>
      </c>
      <c r="BD23" s="20" t="n">
        <f aca="false">BD24-BD21</f>
        <v>0.299999999999997</v>
      </c>
      <c r="BE23" s="20" t="n">
        <f aca="false">BE24-BE21</f>
        <v>0.100000000000009</v>
      </c>
      <c r="BF23" s="20" t="n">
        <f aca="false">BF24-BF21</f>
        <v>2.5</v>
      </c>
      <c r="BG23" s="20" t="n">
        <f aca="false">BG24-BG21</f>
        <v>3</v>
      </c>
      <c r="BH23" s="20" t="n">
        <f aca="false">BH24-BH21</f>
        <v>2.90000000000001</v>
      </c>
      <c r="BI23" s="20" t="n">
        <f aca="false">BI24-BI21</f>
        <v>6.2</v>
      </c>
      <c r="BJ23" s="20" t="n">
        <f aca="false">BJ24-BJ21</f>
        <v>4</v>
      </c>
      <c r="BK23" s="20" t="n">
        <f aca="false">BK24-BK21</f>
        <v>3.10000000000001</v>
      </c>
      <c r="BL23" s="20" t="n">
        <f aca="false">BL24-BL21</f>
        <v>16.1</v>
      </c>
      <c r="BM23" s="20" t="n">
        <f aca="false">BM24-BM21</f>
        <v>1</v>
      </c>
      <c r="BN23" s="20" t="n">
        <f aca="false">BN24-BN21</f>
        <v>1.10000000000001</v>
      </c>
      <c r="BO23" s="21" t="n">
        <f aca="false">BN23</f>
        <v>1.10000000000001</v>
      </c>
      <c r="BP23" s="21" t="n">
        <f aca="false">BN23</f>
        <v>1.10000000000001</v>
      </c>
      <c r="BQ23" s="21" t="n">
        <f aca="false">SUM(BM23:BP23)</f>
        <v>4.30000000000003</v>
      </c>
      <c r="BR23" s="21" t="n">
        <f aca="false">BR147*BR148</f>
        <v>4.5</v>
      </c>
      <c r="BS23" s="21" t="n">
        <f aca="false">BS147*BS148</f>
        <v>4.5</v>
      </c>
      <c r="BT23" s="21" t="n">
        <f aca="false">BT147*BT148</f>
        <v>4.5</v>
      </c>
      <c r="BU23" s="21" t="n">
        <f aca="false">BU147*BU148</f>
        <v>4.5</v>
      </c>
      <c r="BV23" s="15" t="s">
        <v>139</v>
      </c>
      <c r="CD23" s="22" t="s">
        <v>140</v>
      </c>
      <c r="CE23" s="46" t="n">
        <f aca="false">CF23+$CE$22</f>
        <v>0.1</v>
      </c>
      <c r="CF23" s="47" t="n">
        <v>0.08</v>
      </c>
      <c r="CG23" s="46" t="n">
        <f aca="false">CF23+$CG$22</f>
        <v>0.055</v>
      </c>
    </row>
    <row r="24" customFormat="false" ht="15" hidden="false" customHeight="false" outlineLevel="0" collapsed="false">
      <c r="B24" s="30" t="s">
        <v>141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2" t="n">
        <v>346.206</v>
      </c>
      <c r="AN24" s="32" t="n">
        <v>78.245</v>
      </c>
      <c r="AO24" s="32" t="n">
        <v>72.871</v>
      </c>
      <c r="AP24" s="32" t="n">
        <v>87.707</v>
      </c>
      <c r="AQ24" s="32" t="n">
        <v>90.891</v>
      </c>
      <c r="AR24" s="32" t="n">
        <v>329.714</v>
      </c>
      <c r="AS24" s="32" t="n">
        <v>73.531</v>
      </c>
      <c r="AT24" s="32" t="n">
        <v>83.783</v>
      </c>
      <c r="AU24" s="32" t="n">
        <v>78.235</v>
      </c>
      <c r="AV24" s="32" t="n">
        <v>103.052</v>
      </c>
      <c r="AW24" s="32" t="n">
        <v>338.601</v>
      </c>
      <c r="AX24" s="32" t="n">
        <v>90.76</v>
      </c>
      <c r="AY24" s="32" t="n">
        <v>82.408</v>
      </c>
      <c r="AZ24" s="32" t="n">
        <v>85.632</v>
      </c>
      <c r="BA24" s="32" t="n">
        <v>117.182</v>
      </c>
      <c r="BB24" s="32" t="n">
        <v>376.082</v>
      </c>
      <c r="BC24" s="32" t="n">
        <v>85.686</v>
      </c>
      <c r="BD24" s="32" t="n">
        <v>92.82</v>
      </c>
      <c r="BE24" s="32" t="n">
        <v>101.709</v>
      </c>
      <c r="BF24" s="32" t="n">
        <v>100.559</v>
      </c>
      <c r="BG24" s="32" t="n">
        <v>380.875</v>
      </c>
      <c r="BH24" s="32" t="n">
        <v>100.646</v>
      </c>
      <c r="BI24" s="32" t="n">
        <v>115.617</v>
      </c>
      <c r="BJ24" s="32" t="n">
        <v>101.371</v>
      </c>
      <c r="BK24" s="32" t="n">
        <v>93.414</v>
      </c>
      <c r="BL24" s="32" t="n">
        <v>410.95</v>
      </c>
      <c r="BM24" s="32" t="n">
        <v>100.141</v>
      </c>
      <c r="BN24" s="32" t="n">
        <v>106.778</v>
      </c>
      <c r="BO24" s="33" t="n">
        <f aca="false">BO15*BO26</f>
        <v>108.319672658218</v>
      </c>
      <c r="BP24" s="33" t="n">
        <f aca="false">BP15*BP26</f>
        <v>99.9189825932053</v>
      </c>
      <c r="BQ24" s="33" t="n">
        <f aca="false">SUM(BM24:BP24)</f>
        <v>415.157655251423</v>
      </c>
      <c r="BR24" s="33" t="n">
        <f aca="false">BR15*BR26</f>
        <v>459.630890758676</v>
      </c>
      <c r="BS24" s="33" t="n">
        <f aca="false">BS15*BS26</f>
        <v>503.492810048219</v>
      </c>
      <c r="BT24" s="33" t="n">
        <f aca="false">BT15*BT26</f>
        <v>546.325156142462</v>
      </c>
      <c r="BU24" s="33" t="n">
        <f aca="false">BU15*BU26</f>
        <v>584.567917072434</v>
      </c>
      <c r="BV24" s="15" t="s">
        <v>142</v>
      </c>
      <c r="BX24" s="25" t="n">
        <f aca="false">IFERROR((BU24/BL24)^(1/5)-1,"n/m")</f>
        <v>0.0730234131578755</v>
      </c>
      <c r="BY24" s="25" t="n">
        <f aca="false">IFERROR((BL24/AM24)^(1/5)-1,"n/m")</f>
        <v>0.0348821089111</v>
      </c>
      <c r="BZ24" s="25" t="str">
        <f aca="false">IFERROR((BL24/N24)^(1/10)-1,"n/m")</f>
        <v>n/m</v>
      </c>
      <c r="CA24" s="25" t="str">
        <f aca="false">IFERROR((BL24/D24)^(1/12)-1,"n/m")</f>
        <v>n/m</v>
      </c>
      <c r="CD24" s="22" t="s">
        <v>143</v>
      </c>
      <c r="CE24" s="46" t="n">
        <f aca="false">CF24+$CE$22</f>
        <v>0.1</v>
      </c>
      <c r="CF24" s="47" t="n">
        <v>0.08</v>
      </c>
      <c r="CG24" s="46" t="n">
        <f aca="false">CF24+$CG$22</f>
        <v>0.055</v>
      </c>
    </row>
    <row r="25" customFormat="false" ht="15" hidden="false" customHeight="false" outlineLevel="0" collapsed="false">
      <c r="B25" s="13" t="s">
        <v>144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35" t="n">
        <f aca="false">BJ26+(SUM(BM24,BN24)/SUM(BM15,BN15)-SUM(BH24,BI24)/SUM(BH15,BI15))</f>
        <v>0.150851953104193</v>
      </c>
      <c r="BP25" s="35" t="n">
        <f aca="false">BK26+(SUM(BM24,BN24)/SUM(BM15,BN15)-SUM(BH24,BI24)/SUM(BH15,BI15))</f>
        <v>0.145032684162816</v>
      </c>
      <c r="BQ25" s="36"/>
      <c r="BR25" s="36"/>
      <c r="BS25" s="36"/>
      <c r="BT25" s="36"/>
      <c r="BU25" s="36"/>
      <c r="BV25" s="15" t="s">
        <v>145</v>
      </c>
      <c r="CD25" s="22" t="s">
        <v>146</v>
      </c>
      <c r="CE25" s="46" t="n">
        <f aca="false">CF25+$CE$22</f>
        <v>0.09</v>
      </c>
      <c r="CF25" s="47" t="n">
        <v>0.07</v>
      </c>
      <c r="CG25" s="46" t="n">
        <f aca="false">CF25+$CG$22</f>
        <v>0.045</v>
      </c>
    </row>
    <row r="26" customFormat="false" ht="15" hidden="false" customHeight="false" outlineLevel="0" collapsed="false">
      <c r="B26" s="13" t="s">
        <v>147</v>
      </c>
      <c r="C26" s="43" t="str">
        <f aca="false">IF(AND(ISNUMBER(C24),ISNUMBER(C15)),IFERROR(C24/C15,""),"")</f>
        <v/>
      </c>
      <c r="D26" s="43" t="str">
        <f aca="false">IF(AND(ISNUMBER(D24),ISNUMBER(D15)),IFERROR(D24/D15,""),"")</f>
        <v/>
      </c>
      <c r="E26" s="43" t="str">
        <f aca="false">IF(AND(ISNUMBER(E24),ISNUMBER(E15)),IFERROR(E24/E15,""),"")</f>
        <v/>
      </c>
      <c r="F26" s="43" t="str">
        <f aca="false">IF(AND(ISNUMBER(F24),ISNUMBER(F15)),IFERROR(F24/F15,""),"")</f>
        <v/>
      </c>
      <c r="G26" s="43" t="str">
        <f aca="false">IF(AND(ISNUMBER(G24),ISNUMBER(G15)),IFERROR(G24/G15,""),"")</f>
        <v/>
      </c>
      <c r="H26" s="43" t="str">
        <f aca="false">IF(AND(ISNUMBER(H24),ISNUMBER(H15)),IFERROR(H24/H15,""),"")</f>
        <v/>
      </c>
      <c r="I26" s="43" t="str">
        <f aca="false">IF(AND(ISNUMBER(I24),ISNUMBER(I15)),IFERROR(I24/I15,""),"")</f>
        <v/>
      </c>
      <c r="J26" s="43" t="str">
        <f aca="false">IF(AND(ISNUMBER(J24),ISNUMBER(J15)),IFERROR(J24/J15,""),"")</f>
        <v/>
      </c>
      <c r="K26" s="43" t="str">
        <f aca="false">IF(AND(ISNUMBER(K24),ISNUMBER(K15)),IFERROR(K24/K15,""),"")</f>
        <v/>
      </c>
      <c r="L26" s="43" t="str">
        <f aca="false">IF(AND(ISNUMBER(L24),ISNUMBER(L15)),IFERROR(L24/L15,""),"")</f>
        <v/>
      </c>
      <c r="M26" s="43" t="str">
        <f aca="false">IF(AND(ISNUMBER(M24),ISNUMBER(M15)),IFERROR(M24/M15,""),"")</f>
        <v/>
      </c>
      <c r="N26" s="43" t="str">
        <f aca="false">IF(AND(ISNUMBER(N24),ISNUMBER(N15)),IFERROR(N24/N15,""),"")</f>
        <v/>
      </c>
      <c r="O26" s="43" t="str">
        <f aca="false">IF(AND(ISNUMBER(O24),ISNUMBER(O15)),IFERROR(O24/O15,""),"")</f>
        <v/>
      </c>
      <c r="P26" s="43" t="str">
        <f aca="false">IF(AND(ISNUMBER(P24),ISNUMBER(P15)),IFERROR(P24/P15,""),"")</f>
        <v/>
      </c>
      <c r="Q26" s="43" t="str">
        <f aca="false">IF(AND(ISNUMBER(Q24),ISNUMBER(Q15)),IFERROR(Q24/Q15,""),"")</f>
        <v/>
      </c>
      <c r="R26" s="43" t="str">
        <f aca="false">IF(AND(ISNUMBER(R24),ISNUMBER(R15)),IFERROR(R24/R15,""),"")</f>
        <v/>
      </c>
      <c r="S26" s="43" t="str">
        <f aca="false">IF(AND(ISNUMBER(S24),ISNUMBER(S15)),IFERROR(S24/S15,""),"")</f>
        <v/>
      </c>
      <c r="T26" s="43" t="str">
        <f aca="false">IF(AND(ISNUMBER(T24),ISNUMBER(T15)),IFERROR(T24/T15,""),"")</f>
        <v/>
      </c>
      <c r="U26" s="43" t="str">
        <f aca="false">IF(AND(ISNUMBER(U24),ISNUMBER(U15)),IFERROR(U24/U15,""),"")</f>
        <v/>
      </c>
      <c r="V26" s="43" t="str">
        <f aca="false">IF(AND(ISNUMBER(V24),ISNUMBER(V15)),IFERROR(V24/V15,""),"")</f>
        <v/>
      </c>
      <c r="W26" s="43" t="str">
        <f aca="false">IF(AND(ISNUMBER(W24),ISNUMBER(W15)),IFERROR(W24/W15,""),"")</f>
        <v/>
      </c>
      <c r="X26" s="43" t="str">
        <f aca="false">IF(AND(ISNUMBER(X24),ISNUMBER(X15)),IFERROR(X24/X15,""),"")</f>
        <v/>
      </c>
      <c r="Y26" s="43" t="str">
        <f aca="false">IF(AND(ISNUMBER(Y24),ISNUMBER(Y15)),IFERROR(Y24/Y15,""),"")</f>
        <v/>
      </c>
      <c r="Z26" s="43" t="str">
        <f aca="false">IF(AND(ISNUMBER(Z24),ISNUMBER(Z15)),IFERROR(Z24/Z15,""),"")</f>
        <v/>
      </c>
      <c r="AA26" s="43" t="str">
        <f aca="false">IF(AND(ISNUMBER(AA24),ISNUMBER(AA15)),IFERROR(AA24/AA15,""),"")</f>
        <v/>
      </c>
      <c r="AB26" s="43" t="str">
        <f aca="false">IF(AND(ISNUMBER(AB24),ISNUMBER(AB15)),IFERROR(AB24/AB15,""),"")</f>
        <v/>
      </c>
      <c r="AC26" s="43" t="str">
        <f aca="false">IF(AND(ISNUMBER(AC24),ISNUMBER(AC15)),IFERROR(AC24/AC15,""),"")</f>
        <v/>
      </c>
      <c r="AD26" s="43" t="str">
        <f aca="false">IF(AND(ISNUMBER(AD24),ISNUMBER(AD15)),IFERROR(AD24/AD15,""),"")</f>
        <v/>
      </c>
      <c r="AE26" s="43" t="str">
        <f aca="false">IF(AND(ISNUMBER(AE24),ISNUMBER(AE15)),IFERROR(AE24/AE15,""),"")</f>
        <v/>
      </c>
      <c r="AF26" s="43" t="str">
        <f aca="false">IF(AND(ISNUMBER(AF24),ISNUMBER(AF15)),IFERROR(AF24/AF15,""),"")</f>
        <v/>
      </c>
      <c r="AG26" s="43" t="str">
        <f aca="false">IF(AND(ISNUMBER(AG24),ISNUMBER(AG15)),IFERROR(AG24/AG15,""),"")</f>
        <v/>
      </c>
      <c r="AH26" s="43" t="str">
        <f aca="false">IF(AND(ISNUMBER(AH24),ISNUMBER(AH15)),IFERROR(AH24/AH15,""),"")</f>
        <v/>
      </c>
      <c r="AI26" s="43" t="str">
        <f aca="false">IF(AND(ISNUMBER(AI24),ISNUMBER(AI15)),IFERROR(AI24/AI15,""),"")</f>
        <v/>
      </c>
      <c r="AJ26" s="43" t="str">
        <f aca="false">IF(AND(ISNUMBER(AJ24),ISNUMBER(AJ15)),IFERROR(AJ24/AJ15,""),"")</f>
        <v/>
      </c>
      <c r="AK26" s="43" t="str">
        <f aca="false">IF(AND(ISNUMBER(AK24),ISNUMBER(AK15)),IFERROR(AK24/AK15,""),"")</f>
        <v/>
      </c>
      <c r="AL26" s="43" t="str">
        <f aca="false">IF(AND(ISNUMBER(AL24),ISNUMBER(AL15)),IFERROR(AL24/AL15,""),"")</f>
        <v/>
      </c>
      <c r="AM26" s="43" t="n">
        <f aca="false">IF(AND(ISNUMBER(AM24),ISNUMBER(AM15)),IFERROR(AM24/AM15,""),"")</f>
        <v>0.196359082471087</v>
      </c>
      <c r="AN26" s="43" t="n">
        <f aca="false">IF(AND(ISNUMBER(AN24),ISNUMBER(AN15)),IFERROR(AN24/AN15,""),"")</f>
        <v>0.184856180969819</v>
      </c>
      <c r="AO26" s="43" t="n">
        <f aca="false">IF(AND(ISNUMBER(AO24),ISNUMBER(AO15)),IFERROR(AO24/AO15,""),"")</f>
        <v>0.179707864669776</v>
      </c>
      <c r="AP26" s="43" t="n">
        <f aca="false">IF(AND(ISNUMBER(AP24),ISNUMBER(AP15)),IFERROR(AP24/AP15,""),"")</f>
        <v>0.210258451019924</v>
      </c>
      <c r="AQ26" s="43" t="n">
        <f aca="false">IF(AND(ISNUMBER(AQ24),ISNUMBER(AQ15)),IFERROR(AQ24/AQ15,""),"")</f>
        <v>0.18967791212598</v>
      </c>
      <c r="AR26" s="43" t="n">
        <f aca="false">IF(AND(ISNUMBER(AR24),ISNUMBER(AR15)),IFERROR(AR24/AR15,""),"")</f>
        <v>0.191127803248165</v>
      </c>
      <c r="AS26" s="43" t="n">
        <f aca="false">IF(AND(ISNUMBER(AS24),ISNUMBER(AS15)),IFERROR(AS24/AS15,""),"")</f>
        <v>0.170298556893952</v>
      </c>
      <c r="AT26" s="43" t="n">
        <f aca="false">IF(AND(ISNUMBER(AT24),ISNUMBER(AT15)),IFERROR(AT24/AT15,""),"")</f>
        <v>0.191926457551135</v>
      </c>
      <c r="AU26" s="43" t="n">
        <f aca="false">IF(AND(ISNUMBER(AU24),ISNUMBER(AU15)),IFERROR(AU24/AU15,""),"")</f>
        <v>0.185162394295195</v>
      </c>
      <c r="AV26" s="43" t="n">
        <f aca="false">IF(AND(ISNUMBER(AV24),ISNUMBER(AV15)),IFERROR(AV24/AV15,""),"")</f>
        <v>0.199077365313881</v>
      </c>
      <c r="AW26" s="43" t="n">
        <f aca="false">IF(AND(ISNUMBER(AW24),ISNUMBER(AW15)),IFERROR(AW24/AW15,""),"")</f>
        <v>0.187229296598309</v>
      </c>
      <c r="AX26" s="43" t="n">
        <f aca="false">IF(AND(ISNUMBER(AX24),ISNUMBER(AX15)),IFERROR(AX24/AX15,""),"")</f>
        <v>0.197353257111545</v>
      </c>
      <c r="AY26" s="43" t="n">
        <f aca="false">IF(AND(ISNUMBER(AY24),ISNUMBER(AY15)),IFERROR(AY24/AY15,""),"")</f>
        <v>0.167507170196375</v>
      </c>
      <c r="AZ26" s="43" t="n">
        <f aca="false">IF(AND(ISNUMBER(AZ24),ISNUMBER(AZ15)),IFERROR(AZ24/AZ15,""),"")</f>
        <v>0.179200803591048</v>
      </c>
      <c r="BA26" s="43" t="n">
        <f aca="false">IF(AND(ISNUMBER(BA24),ISNUMBER(BA15)),IFERROR(BA24/BA15,""),"")</f>
        <v>0.194774520510148</v>
      </c>
      <c r="BB26" s="43" t="n">
        <f aca="false">IF(AND(ISNUMBER(BB24),ISNUMBER(BB15)),IFERROR(BB24/BB15,""),"")</f>
        <v>0.185140131844199</v>
      </c>
      <c r="BC26" s="43" t="n">
        <f aca="false">IF(AND(ISNUMBER(BC24),ISNUMBER(BC15)),IFERROR(BC24/BC15,""),"")</f>
        <v>0.175902907080582</v>
      </c>
      <c r="BD26" s="43" t="n">
        <f aca="false">IF(AND(ISNUMBER(BD24),ISNUMBER(BD15)),IFERROR(BD24/BD15,""),"")</f>
        <v>0.171620017528095</v>
      </c>
      <c r="BE26" s="43" t="n">
        <f aca="false">IF(AND(ISNUMBER(BE24),ISNUMBER(BE15)),IFERROR(BE24/BE15,""),"")</f>
        <v>0.181599541488342</v>
      </c>
      <c r="BF26" s="43" t="n">
        <f aca="false">IF(AND(ISNUMBER(BF24),ISNUMBER(BF15)),IFERROR(BF24/BF15,""),"")</f>
        <v>0.169006722689076</v>
      </c>
      <c r="BG26" s="43" t="n">
        <f aca="false">IF(AND(ISNUMBER(BG24),ISNUMBER(BG15)),IFERROR(BG24/BG15,""),"")</f>
        <v>0.17447000513046</v>
      </c>
      <c r="BH26" s="43" t="n">
        <f aca="false">IF(AND(ISNUMBER(BH24),ISNUMBER(BH15)),IFERROR(BH24/BH15,""),"")</f>
        <v>0.181250742860436</v>
      </c>
      <c r="BI26" s="43" t="n">
        <f aca="false">IF(AND(ISNUMBER(BI24),ISNUMBER(BI15)),IFERROR(BI24/BI15,""),"")</f>
        <v>0.196307383026662</v>
      </c>
      <c r="BJ26" s="43" t="n">
        <f aca="false">IF(AND(ISNUMBER(BJ24),ISNUMBER(BJ15)),IFERROR(BJ24/BJ15,""),"")</f>
        <v>0.164377319818322</v>
      </c>
      <c r="BK26" s="43" t="n">
        <f aca="false">IF(AND(ISNUMBER(BK24),ISNUMBER(BK15)),IFERROR(BK24/BK15,""),"")</f>
        <v>0.158558050876946</v>
      </c>
      <c r="BL26" s="43" t="n">
        <f aca="false">IF(AND(ISNUMBER(BL24),ISNUMBER(BL15)),IFERROR(BL24/BL15,""),"")</f>
        <v>0.174865643443443</v>
      </c>
      <c r="BM26" s="43" t="n">
        <f aca="false">IF(AND(ISNUMBER(BM24),ISNUMBER(BM15)),IFERROR(BM24/BM15,""),"")</f>
        <v>0.173284005391927</v>
      </c>
      <c r="BN26" s="43" t="n">
        <f aca="false">IF(AND(ISNUMBER(BN24),ISNUMBER(BN15)),IFERROR(BN24/BN15,""),"")</f>
        <v>0.177581237703541</v>
      </c>
      <c r="BO26" s="35" t="n">
        <f aca="false">BO25+BO121</f>
        <v>0.169072702361213</v>
      </c>
      <c r="BP26" s="35" t="n">
        <f aca="false">BP25+BP121</f>
        <v>0.163253433419836</v>
      </c>
      <c r="BQ26" s="35" t="n">
        <f aca="false">IF(AND(ISNUMBER(BQ24),ISNUMBER(BQ15)),IFERROR(BQ24/BQ15,""),"")</f>
        <v>0.170712627066913</v>
      </c>
      <c r="BR26" s="35" t="n">
        <f aca="false">CHOOSE(MATCH($BV$2,{"Bull","Base","Bear"},0),$CE$28,$CF$28,$CG$28)</f>
        <v>0.175</v>
      </c>
      <c r="BS26" s="35" t="n">
        <f aca="false">CHOOSE(MATCH($BV$2,{"Bull","Base","Bear"},0),$CE$29,$CF$29,$CG$29)</f>
        <v>0.1775</v>
      </c>
      <c r="BT26" s="35" t="n">
        <f aca="false">CHOOSE(MATCH($BV$2,{"Bull","Base","Bear"},0),$CE$30,$CF$30,$CG$30)</f>
        <v>0.18</v>
      </c>
      <c r="BU26" s="35" t="n">
        <f aca="false">CHOOSE(MATCH($BV$2,{"Bull","Base","Bear"},0),$CE$31,$CF$31,$CG$31)</f>
        <v>0.18</v>
      </c>
      <c r="BV26" s="15" t="s">
        <v>148</v>
      </c>
      <c r="BX26" s="38" t="n">
        <f aca="false">IFERROR(AVERAGE(BQ26,BR26,BS26,BT26,BU26),"n/m")</f>
        <v>0.176642525413383</v>
      </c>
      <c r="BY26" s="38" t="n">
        <f aca="false">IFERROR(AVERAGE(AR26,AW26,BB26,BG26,BL26),"n/m")</f>
        <v>0.182566576052915</v>
      </c>
      <c r="BZ26" s="38" t="n">
        <f aca="false">IFERROR(AVERAGE(S26,X26,AC26,AH26,AM26,AR26,AW26,BB26,BG26,BL26),"n/m")</f>
        <v>0.184865327122611</v>
      </c>
      <c r="CA26" s="38" t="n">
        <f aca="false">IFERROR(AVERAGE(D26,I26,N26,S26,X26,AC26,AH26,AM26,AR26,AW26,BB26,BG26,BL26),"n/m")</f>
        <v>0.184865327122611</v>
      </c>
      <c r="CD26" s="22" t="s">
        <v>149</v>
      </c>
      <c r="CE26" s="46" t="n">
        <f aca="false">CF26+$CE$22</f>
        <v>0.09</v>
      </c>
      <c r="CF26" s="47" t="n">
        <v>0.07</v>
      </c>
      <c r="CG26" s="46" t="n">
        <f aca="false">CF26+$CG$22</f>
        <v>0.045</v>
      </c>
    </row>
    <row r="27" customFormat="false" ht="15" hidden="false" customHeight="false" outlineLevel="0" collapsed="false">
      <c r="B27" s="13" t="s">
        <v>150</v>
      </c>
      <c r="C27" s="43" t="str">
        <f aca="false">IF(AND(ISNUMBER(C28),ISNUMBER(C15)),IFERROR(C28/C15,""),"")</f>
        <v/>
      </c>
      <c r="D27" s="43" t="str">
        <f aca="false">IF(AND(ISNUMBER(D28),ISNUMBER(D15)),IFERROR(D28/D15,""),"")</f>
        <v/>
      </c>
      <c r="E27" s="43" t="str">
        <f aca="false">IF(AND(ISNUMBER(E28),ISNUMBER(E15)),IFERROR(E28/E15,""),"")</f>
        <v/>
      </c>
      <c r="F27" s="43" t="str">
        <f aca="false">IF(AND(ISNUMBER(F28),ISNUMBER(F15)),IFERROR(F28/F15,""),"")</f>
        <v/>
      </c>
      <c r="G27" s="43" t="str">
        <f aca="false">IF(AND(ISNUMBER(G28),ISNUMBER(G15)),IFERROR(G28/G15,""),"")</f>
        <v/>
      </c>
      <c r="H27" s="43" t="str">
        <f aca="false">IF(AND(ISNUMBER(H28),ISNUMBER(H15)),IFERROR(H28/H15,""),"")</f>
        <v/>
      </c>
      <c r="I27" s="43" t="str">
        <f aca="false">IF(AND(ISNUMBER(I28),ISNUMBER(I15)),IFERROR(I28/I15,""),"")</f>
        <v/>
      </c>
      <c r="J27" s="43" t="str">
        <f aca="false">IF(AND(ISNUMBER(J28),ISNUMBER(J15)),IFERROR(J28/J15,""),"")</f>
        <v/>
      </c>
      <c r="K27" s="43" t="str">
        <f aca="false">IF(AND(ISNUMBER(K28),ISNUMBER(K15)),IFERROR(K28/K15,""),"")</f>
        <v/>
      </c>
      <c r="L27" s="43" t="str">
        <f aca="false">IF(AND(ISNUMBER(L28),ISNUMBER(L15)),IFERROR(L28/L15,""),"")</f>
        <v/>
      </c>
      <c r="M27" s="43" t="str">
        <f aca="false">IF(AND(ISNUMBER(M28),ISNUMBER(M15)),IFERROR(M28/M15,""),"")</f>
        <v/>
      </c>
      <c r="N27" s="43" t="str">
        <f aca="false">IF(AND(ISNUMBER(N28),ISNUMBER(N15)),IFERROR(N28/N15,""),"")</f>
        <v/>
      </c>
      <c r="O27" s="43" t="str">
        <f aca="false">IF(AND(ISNUMBER(O28),ISNUMBER(O15)),IFERROR(O28/O15,""),"")</f>
        <v/>
      </c>
      <c r="P27" s="43" t="str">
        <f aca="false">IF(AND(ISNUMBER(P28),ISNUMBER(P15)),IFERROR(P28/P15,""),"")</f>
        <v/>
      </c>
      <c r="Q27" s="43" t="str">
        <f aca="false">IF(AND(ISNUMBER(Q28),ISNUMBER(Q15)),IFERROR(Q28/Q15,""),"")</f>
        <v/>
      </c>
      <c r="R27" s="43" t="str">
        <f aca="false">IF(AND(ISNUMBER(R28),ISNUMBER(R15)),IFERROR(R28/R15,""),"")</f>
        <v/>
      </c>
      <c r="S27" s="43" t="str">
        <f aca="false">IF(AND(ISNUMBER(S28),ISNUMBER(S15)),IFERROR(S28/S15,""),"")</f>
        <v/>
      </c>
      <c r="T27" s="43" t="str">
        <f aca="false">IF(AND(ISNUMBER(T28),ISNUMBER(T15)),IFERROR(T28/T15,""),"")</f>
        <v/>
      </c>
      <c r="U27" s="43" t="str">
        <f aca="false">IF(AND(ISNUMBER(U28),ISNUMBER(U15)),IFERROR(U28/U15,""),"")</f>
        <v/>
      </c>
      <c r="V27" s="43" t="str">
        <f aca="false">IF(AND(ISNUMBER(V28),ISNUMBER(V15)),IFERROR(V28/V15,""),"")</f>
        <v/>
      </c>
      <c r="W27" s="43" t="str">
        <f aca="false">IF(AND(ISNUMBER(W28),ISNUMBER(W15)),IFERROR(W28/W15,""),"")</f>
        <v/>
      </c>
      <c r="X27" s="43" t="str">
        <f aca="false">IF(AND(ISNUMBER(X28),ISNUMBER(X15)),IFERROR(X28/X15,""),"")</f>
        <v/>
      </c>
      <c r="Y27" s="43" t="str">
        <f aca="false">IF(AND(ISNUMBER(Y28),ISNUMBER(Y15)),IFERROR(Y28/Y15,""),"")</f>
        <v/>
      </c>
      <c r="Z27" s="43" t="str">
        <f aca="false">IF(AND(ISNUMBER(Z28),ISNUMBER(Z15)),IFERROR(Z28/Z15,""),"")</f>
        <v/>
      </c>
      <c r="AA27" s="43" t="str">
        <f aca="false">IF(AND(ISNUMBER(AA28),ISNUMBER(AA15)),IFERROR(AA28/AA15,""),"")</f>
        <v/>
      </c>
      <c r="AB27" s="43" t="str">
        <f aca="false">IF(AND(ISNUMBER(AB28),ISNUMBER(AB15)),IFERROR(AB28/AB15,""),"")</f>
        <v/>
      </c>
      <c r="AC27" s="43" t="str">
        <f aca="false">IF(AND(ISNUMBER(AC28),ISNUMBER(AC15)),IFERROR(AC28/AC15,""),"")</f>
        <v/>
      </c>
      <c r="AD27" s="43" t="str">
        <f aca="false">IF(AND(ISNUMBER(AD28),ISNUMBER(AD15)),IFERROR(AD28/AD15,""),"")</f>
        <v/>
      </c>
      <c r="AE27" s="43" t="str">
        <f aca="false">IF(AND(ISNUMBER(AE28),ISNUMBER(AE15)),IFERROR(AE28/AE15,""),"")</f>
        <v/>
      </c>
      <c r="AF27" s="43" t="str">
        <f aca="false">IF(AND(ISNUMBER(AF28),ISNUMBER(AF15)),IFERROR(AF28/AF15,""),"")</f>
        <v/>
      </c>
      <c r="AG27" s="43" t="str">
        <f aca="false">IF(AND(ISNUMBER(AG28),ISNUMBER(AG15)),IFERROR(AG28/AG15,""),"")</f>
        <v/>
      </c>
      <c r="AH27" s="43" t="str">
        <f aca="false">IF(AND(ISNUMBER(AH28),ISNUMBER(AH15)),IFERROR(AH28/AH15,""),"")</f>
        <v/>
      </c>
      <c r="AI27" s="43" t="str">
        <f aca="false">IF(AND(ISNUMBER(AI28),ISNUMBER(AI15)),IFERROR(AI28/AI15,""),"")</f>
        <v/>
      </c>
      <c r="AJ27" s="43" t="str">
        <f aca="false">IF(AND(ISNUMBER(AJ28),ISNUMBER(AJ15)),IFERROR(AJ28/AJ15,""),"")</f>
        <v/>
      </c>
      <c r="AK27" s="43" t="str">
        <f aca="false">IF(AND(ISNUMBER(AK28),ISNUMBER(AK15)),IFERROR(AK28/AK15,""),"")</f>
        <v/>
      </c>
      <c r="AL27" s="43" t="str">
        <f aca="false">IF(AND(ISNUMBER(AL28),ISNUMBER(AL15)),IFERROR(AL28/AL15,""),"")</f>
        <v/>
      </c>
      <c r="AM27" s="43" t="n">
        <f aca="false">IF(AND(ISNUMBER(AM28),ISNUMBER(AM15)),IFERROR(AM28/AM15,""),"")</f>
        <v>0.0200768294059362</v>
      </c>
      <c r="AN27" s="43" t="n">
        <f aca="false">IF(AND(ISNUMBER(AN28),ISNUMBER(AN15)),IFERROR(AN28/AN15,""),"")</f>
        <v>0.0216667651054279</v>
      </c>
      <c r="AO27" s="43" t="n">
        <f aca="false">IF(AND(ISNUMBER(AO28),ISNUMBER(AO15)),IFERROR(AO28/AO15,""),"")</f>
        <v>0.0254847754730615</v>
      </c>
      <c r="AP27" s="43" t="n">
        <f aca="false">IF(AND(ISNUMBER(AP28),ISNUMBER(AP15)),IFERROR(AP28/AP15,""),"")</f>
        <v>0.0261975025111534</v>
      </c>
      <c r="AQ27" s="43" t="n">
        <f aca="false">IF(AND(ISNUMBER(AQ28),ISNUMBER(AQ15)),IFERROR(AQ28/AQ15,""),"")</f>
        <v>0.0251509852124227</v>
      </c>
      <c r="AR27" s="43" t="n">
        <f aca="false">IF(AND(ISNUMBER(AR28),ISNUMBER(AR15)),IFERROR(AR28/AR15,""),"")</f>
        <v>0.024627600650862</v>
      </c>
      <c r="AS27" s="43" t="n">
        <f aca="false">IF(AND(ISNUMBER(AS28),ISNUMBER(AS15)),IFERROR(AS28/AS15,""),"")</f>
        <v>0.0259578439796469</v>
      </c>
      <c r="AT27" s="43" t="n">
        <f aca="false">IF(AND(ISNUMBER(AT28),ISNUMBER(AT15)),IFERROR(AT28/AT15,""),"")</f>
        <v>0.0272897829966303</v>
      </c>
      <c r="AU27" s="43" t="n">
        <f aca="false">IF(AND(ISNUMBER(AU28),ISNUMBER(AU15)),IFERROR(AU28/AU15,""),"")</f>
        <v>0.0287251994575418</v>
      </c>
      <c r="AV27" s="43" t="n">
        <f aca="false">IF(AND(ISNUMBER(AV28),ISNUMBER(AV15)),IFERROR(AV28/AV15,""),"")</f>
        <v>0.0245804098538003</v>
      </c>
      <c r="AW27" s="43" t="n">
        <f aca="false">IF(AND(ISNUMBER(AW28),ISNUMBER(AW15)),IFERROR(AW28/AW15,""),"")</f>
        <v>0.0265316289951302</v>
      </c>
      <c r="AX27" s="43" t="n">
        <f aca="false">IF(AND(ISNUMBER(AX28),ISNUMBER(AX15)),IFERROR(AX28/AX15,""),"")</f>
        <v>0.0278221124365604</v>
      </c>
      <c r="AY27" s="43" t="n">
        <f aca="false">IF(AND(ISNUMBER(AY28),ISNUMBER(AY15)),IFERROR(AY28/AY15,""),"")</f>
        <v>0.0267111411944297</v>
      </c>
      <c r="AZ27" s="43" t="n">
        <f aca="false">IF(AND(ISNUMBER(AZ28),ISNUMBER(AZ15)),IFERROR(AZ28/AZ15,""),"")</f>
        <v>0.0280775549068232</v>
      </c>
      <c r="BA27" s="43" t="n">
        <f aca="false">IF(AND(ISNUMBER(BA28),ISNUMBER(BA15)),IFERROR(BA28/BA15,""),"")</f>
        <v>0.0233283302500378</v>
      </c>
      <c r="BB27" s="43" t="n">
        <f aca="false">IF(AND(ISNUMBER(BB28),ISNUMBER(BB15)),IFERROR(BB28/BB15,""),"")</f>
        <v>0.0262821973901918</v>
      </c>
      <c r="BC27" s="43" t="n">
        <f aca="false">IF(AND(ISNUMBER(BC28),ISNUMBER(BC15)),IFERROR(BC28/BC15,""),"")</f>
        <v>0.0292206659125761</v>
      </c>
      <c r="BD27" s="43" t="n">
        <f aca="false">IF(AND(ISNUMBER(BD28),ISNUMBER(BD15)),IFERROR(BD28/BD15,""),"")</f>
        <v>0.0285312270036203</v>
      </c>
      <c r="BE27" s="43" t="n">
        <f aca="false">IF(AND(ISNUMBER(BE28),ISNUMBER(BE15)),IFERROR(BE28/BE15,""),"")</f>
        <v>0.0272892997877062</v>
      </c>
      <c r="BF27" s="43" t="n">
        <f aca="false">IF(AND(ISNUMBER(BF28),ISNUMBER(BF15)),IFERROR(BF28/BF15,""),"")</f>
        <v>0.0270235294117647</v>
      </c>
      <c r="BG27" s="43" t="n">
        <f aca="false">IF(AND(ISNUMBER(BG28),ISNUMBER(BG15)),IFERROR(BG28/BG15,""),"")</f>
        <v>0.0279550535033714</v>
      </c>
      <c r="BH27" s="43" t="n">
        <f aca="false">IF(AND(ISNUMBER(BH28),ISNUMBER(BH15)),IFERROR(BH28/BH15,""),"")</f>
        <v>0.0293470391834118</v>
      </c>
      <c r="BI27" s="43" t="n">
        <f aca="false">IF(AND(ISNUMBER(BI28),ISNUMBER(BI15)),IFERROR(BI28/BI15,""),"")</f>
        <v>0.0295810064877182</v>
      </c>
      <c r="BJ27" s="43" t="n">
        <f aca="false">IF(AND(ISNUMBER(BJ28),ISNUMBER(BJ15)),IFERROR(BJ28/BJ15,""),"")</f>
        <v>0.0275045930173164</v>
      </c>
      <c r="BK27" s="43" t="n">
        <f aca="false">IF(AND(ISNUMBER(BK28),ISNUMBER(BK15)),IFERROR(BK28/BK15,""),"")</f>
        <v>0.0297413039530032</v>
      </c>
      <c r="BL27" s="43" t="n">
        <f aca="false">IF(AND(ISNUMBER(BL28),ISNUMBER(BL15)),IFERROR(BL28/BL15,""),"")</f>
        <v>0.0290210162164002</v>
      </c>
      <c r="BM27" s="43" t="n">
        <f aca="false">IF(AND(ISNUMBER(BM28),ISNUMBER(BM15)),IFERROR(BM28/BM15,""),"")</f>
        <v>0.0303373761249764</v>
      </c>
      <c r="BN27" s="43" t="n">
        <f aca="false">IF(AND(ISNUMBER(BN28),ISNUMBER(BN15)),IFERROR(BN28/BN15,""),"")</f>
        <v>0.032692988918843</v>
      </c>
      <c r="BO27" s="35" t="n">
        <f aca="false">SUM(BM28,BN28)/SUM(BM15,BN15)</f>
        <v>0.031538545037619</v>
      </c>
      <c r="BP27" s="35" t="n">
        <f aca="false">SUM(BM28,BN28)/SUM(BM15,BN15)</f>
        <v>0.031538545037619</v>
      </c>
      <c r="BQ27" s="35" t="n">
        <f aca="false">IF(AND(ISNUMBER(BQ28),ISNUMBER(BQ15)),IFERROR(BQ28/BQ15,""),"")</f>
        <v>0.031538545037619</v>
      </c>
      <c r="BR27" s="48" t="n">
        <v>0.036</v>
      </c>
      <c r="BS27" s="48" t="n">
        <v>0.037</v>
      </c>
      <c r="BT27" s="48" t="n">
        <v>0.038</v>
      </c>
      <c r="BU27" s="48" t="n">
        <v>0.038</v>
      </c>
      <c r="BV27" s="15" t="s">
        <v>151</v>
      </c>
      <c r="CD27" s="17" t="s">
        <v>152</v>
      </c>
      <c r="CE27" s="44" t="n">
        <v>0.01</v>
      </c>
      <c r="CF27" s="45" t="s">
        <v>136</v>
      </c>
      <c r="CG27" s="44" t="n">
        <v>-0.01</v>
      </c>
      <c r="CH27" s="12" t="s">
        <v>153</v>
      </c>
    </row>
    <row r="28" customFormat="false" ht="15" hidden="false" customHeight="false" outlineLevel="0" collapsed="false">
      <c r="B28" s="13" t="s">
        <v>154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24" t="n">
        <v>35.398</v>
      </c>
      <c r="AN28" s="24" t="n">
        <v>9.171</v>
      </c>
      <c r="AO28" s="24" t="n">
        <v>10.334</v>
      </c>
      <c r="AP28" s="24" t="n">
        <v>10.928</v>
      </c>
      <c r="AQ28" s="24" t="n">
        <v>12.052</v>
      </c>
      <c r="AR28" s="24" t="n">
        <v>42.485</v>
      </c>
      <c r="AS28" s="24" t="n">
        <v>11.208</v>
      </c>
      <c r="AT28" s="24" t="n">
        <v>11.913</v>
      </c>
      <c r="AU28" s="24" t="n">
        <v>12.137</v>
      </c>
      <c r="AV28" s="24" t="n">
        <v>12.724</v>
      </c>
      <c r="AW28" s="24" t="n">
        <v>47.982</v>
      </c>
      <c r="AX28" s="24" t="n">
        <v>12.795</v>
      </c>
      <c r="AY28" s="24" t="n">
        <v>13.141</v>
      </c>
      <c r="AZ28" s="24" t="n">
        <v>13.417</v>
      </c>
      <c r="BA28" s="24" t="n">
        <v>14.035</v>
      </c>
      <c r="BB28" s="24" t="n">
        <v>53.388</v>
      </c>
      <c r="BC28" s="24" t="n">
        <v>14.234</v>
      </c>
      <c r="BD28" s="24" t="n">
        <v>15.431</v>
      </c>
      <c r="BE28" s="24" t="n">
        <v>15.284</v>
      </c>
      <c r="BF28" s="24" t="n">
        <v>16.079</v>
      </c>
      <c r="BG28" s="24" t="n">
        <v>61.027</v>
      </c>
      <c r="BH28" s="24" t="n">
        <v>16.296</v>
      </c>
      <c r="BI28" s="24" t="n">
        <v>17.422</v>
      </c>
      <c r="BJ28" s="24" t="n">
        <v>16.962</v>
      </c>
      <c r="BK28" s="24" t="n">
        <v>17.522</v>
      </c>
      <c r="BL28" s="24" t="n">
        <v>68.202</v>
      </c>
      <c r="BM28" s="24" t="n">
        <v>17.532</v>
      </c>
      <c r="BN28" s="24" t="n">
        <v>19.658</v>
      </c>
      <c r="BO28" s="21" t="n">
        <f aca="false">BO15*BO27</f>
        <v>20.2057743614506</v>
      </c>
      <c r="BP28" s="21" t="n">
        <f aca="false">BP15*BP27</f>
        <v>19.3031121405253</v>
      </c>
      <c r="BQ28" s="21" t="n">
        <f aca="false">SUM(BM28:BP28)</f>
        <v>76.6988865019759</v>
      </c>
      <c r="BR28" s="21" t="n">
        <f aca="false">BR15*BR27</f>
        <v>94.552640384642</v>
      </c>
      <c r="BS28" s="21" t="n">
        <f aca="false">BS15*BS27</f>
        <v>104.953430826953</v>
      </c>
      <c r="BT28" s="21" t="n">
        <f aca="false">BT15*BT27</f>
        <v>115.335310741186</v>
      </c>
      <c r="BU28" s="21" t="n">
        <f aca="false">BU15*BU27</f>
        <v>123.408782493069</v>
      </c>
      <c r="BV28" s="15"/>
      <c r="CD28" s="22" t="s">
        <v>140</v>
      </c>
      <c r="CE28" s="46" t="n">
        <f aca="false">CF28+$CE$27</f>
        <v>0.185</v>
      </c>
      <c r="CF28" s="47" t="n">
        <v>0.175</v>
      </c>
      <c r="CG28" s="46" t="n">
        <f aca="false">CF28+$CG$27</f>
        <v>0.165</v>
      </c>
    </row>
    <row r="29" customFormat="false" ht="15" hidden="false" customHeight="false" outlineLevel="0" collapsed="false">
      <c r="B29" s="30" t="s">
        <v>155</v>
      </c>
      <c r="C29" s="49" t="str">
        <f aca="false">IF(AND(ISNUMBER(C24),ISNUMBER(C28)),C24+C28,"")</f>
        <v/>
      </c>
      <c r="D29" s="49" t="str">
        <f aca="false">IF(AND(ISNUMBER(D24),ISNUMBER(D28)),D24+D28,"")</f>
        <v/>
      </c>
      <c r="E29" s="49" t="str">
        <f aca="false">IF(AND(ISNUMBER(E24),ISNUMBER(E28)),E24+E28,"")</f>
        <v/>
      </c>
      <c r="F29" s="49" t="str">
        <f aca="false">IF(AND(ISNUMBER(F24),ISNUMBER(F28)),F24+F28,"")</f>
        <v/>
      </c>
      <c r="G29" s="49" t="str">
        <f aca="false">IF(AND(ISNUMBER(G24),ISNUMBER(G28)),G24+G28,"")</f>
        <v/>
      </c>
      <c r="H29" s="49" t="str">
        <f aca="false">IF(AND(ISNUMBER(H24),ISNUMBER(H28)),H24+H28,"")</f>
        <v/>
      </c>
      <c r="I29" s="49" t="str">
        <f aca="false">IF(AND(ISNUMBER(I24),ISNUMBER(I28)),I24+I28,"")</f>
        <v/>
      </c>
      <c r="J29" s="49" t="str">
        <f aca="false">IF(AND(ISNUMBER(J24),ISNUMBER(J28)),J24+J28,"")</f>
        <v/>
      </c>
      <c r="K29" s="49" t="str">
        <f aca="false">IF(AND(ISNUMBER(K24),ISNUMBER(K28)),K24+K28,"")</f>
        <v/>
      </c>
      <c r="L29" s="49" t="str">
        <f aca="false">IF(AND(ISNUMBER(L24),ISNUMBER(L28)),L24+L28,"")</f>
        <v/>
      </c>
      <c r="M29" s="49" t="str">
        <f aca="false">IF(AND(ISNUMBER(M24),ISNUMBER(M28)),M24+M28,"")</f>
        <v/>
      </c>
      <c r="N29" s="49" t="str">
        <f aca="false">IF(AND(ISNUMBER(N24),ISNUMBER(N28)),N24+N28,"")</f>
        <v/>
      </c>
      <c r="O29" s="49" t="str">
        <f aca="false">IF(AND(ISNUMBER(O24),ISNUMBER(O28)),O24+O28,"")</f>
        <v/>
      </c>
      <c r="P29" s="49" t="str">
        <f aca="false">IF(AND(ISNUMBER(P24),ISNUMBER(P28)),P24+P28,"")</f>
        <v/>
      </c>
      <c r="Q29" s="49" t="str">
        <f aca="false">IF(AND(ISNUMBER(Q24),ISNUMBER(Q28)),Q24+Q28,"")</f>
        <v/>
      </c>
      <c r="R29" s="49" t="str">
        <f aca="false">IF(AND(ISNUMBER(R24),ISNUMBER(R28)),R24+R28,"")</f>
        <v/>
      </c>
      <c r="S29" s="49" t="str">
        <f aca="false">IF(AND(ISNUMBER(S24),ISNUMBER(S28)),S24+S28,"")</f>
        <v/>
      </c>
      <c r="T29" s="49" t="str">
        <f aca="false">IF(AND(ISNUMBER(T24),ISNUMBER(T28)),T24+T28,"")</f>
        <v/>
      </c>
      <c r="U29" s="49" t="str">
        <f aca="false">IF(AND(ISNUMBER(U24),ISNUMBER(U28)),U24+U28,"")</f>
        <v/>
      </c>
      <c r="V29" s="49" t="str">
        <f aca="false">IF(AND(ISNUMBER(V24),ISNUMBER(V28)),V24+V28,"")</f>
        <v/>
      </c>
      <c r="W29" s="49" t="str">
        <f aca="false">IF(AND(ISNUMBER(W24),ISNUMBER(W28)),W24+W28,"")</f>
        <v/>
      </c>
      <c r="X29" s="49" t="str">
        <f aca="false">IF(AND(ISNUMBER(X24),ISNUMBER(X28)),X24+X28,"")</f>
        <v/>
      </c>
      <c r="Y29" s="49" t="str">
        <f aca="false">IF(AND(ISNUMBER(Y24),ISNUMBER(Y28)),Y24+Y28,"")</f>
        <v/>
      </c>
      <c r="Z29" s="49" t="str">
        <f aca="false">IF(AND(ISNUMBER(Z24),ISNUMBER(Z28)),Z24+Z28,"")</f>
        <v/>
      </c>
      <c r="AA29" s="49" t="str">
        <f aca="false">IF(AND(ISNUMBER(AA24),ISNUMBER(AA28)),AA24+AA28,"")</f>
        <v/>
      </c>
      <c r="AB29" s="49" t="str">
        <f aca="false">IF(AND(ISNUMBER(AB24),ISNUMBER(AB28)),AB24+AB28,"")</f>
        <v/>
      </c>
      <c r="AC29" s="49" t="str">
        <f aca="false">IF(AND(ISNUMBER(AC24),ISNUMBER(AC28)),AC24+AC28,"")</f>
        <v/>
      </c>
      <c r="AD29" s="49" t="str">
        <f aca="false">IF(AND(ISNUMBER(AD24),ISNUMBER(AD28)),AD24+AD28,"")</f>
        <v/>
      </c>
      <c r="AE29" s="49" t="str">
        <f aca="false">IF(AND(ISNUMBER(AE24),ISNUMBER(AE28)),AE24+AE28,"")</f>
        <v/>
      </c>
      <c r="AF29" s="49" t="str">
        <f aca="false">IF(AND(ISNUMBER(AF24),ISNUMBER(AF28)),AF24+AF28,"")</f>
        <v/>
      </c>
      <c r="AG29" s="49" t="str">
        <f aca="false">IF(AND(ISNUMBER(AG24),ISNUMBER(AG28)),AG24+AG28,"")</f>
        <v/>
      </c>
      <c r="AH29" s="49" t="str">
        <f aca="false">IF(AND(ISNUMBER(AH24),ISNUMBER(AH28)),AH24+AH28,"")</f>
        <v/>
      </c>
      <c r="AI29" s="49" t="str">
        <f aca="false">IF(AND(ISNUMBER(AI24),ISNUMBER(AI28)),AI24+AI28,"")</f>
        <v/>
      </c>
      <c r="AJ29" s="49" t="str">
        <f aca="false">IF(AND(ISNUMBER(AJ24),ISNUMBER(AJ28)),AJ24+AJ28,"")</f>
        <v/>
      </c>
      <c r="AK29" s="49" t="str">
        <f aca="false">IF(AND(ISNUMBER(AK24),ISNUMBER(AK28)),AK24+AK28,"")</f>
        <v/>
      </c>
      <c r="AL29" s="49" t="str">
        <f aca="false">IF(AND(ISNUMBER(AL24),ISNUMBER(AL28)),AL24+AL28,"")</f>
        <v/>
      </c>
      <c r="AM29" s="49" t="n">
        <f aca="false">IF(AND(ISNUMBER(AM24),ISNUMBER(AM28)),AM24+AM28,"")</f>
        <v>381.604</v>
      </c>
      <c r="AN29" s="49" t="n">
        <f aca="false">IF(AND(ISNUMBER(AN24),ISNUMBER(AN28)),AN24+AN28,"")</f>
        <v>87.416</v>
      </c>
      <c r="AO29" s="49" t="n">
        <f aca="false">IF(AND(ISNUMBER(AO24),ISNUMBER(AO28)),AO24+AO28,"")</f>
        <v>83.205</v>
      </c>
      <c r="AP29" s="49" t="n">
        <f aca="false">IF(AND(ISNUMBER(AP24),ISNUMBER(AP28)),AP24+AP28,"")</f>
        <v>98.635</v>
      </c>
      <c r="AQ29" s="49" t="n">
        <f aca="false">IF(AND(ISNUMBER(AQ24),ISNUMBER(AQ28)),AQ24+AQ28,"")</f>
        <v>102.943</v>
      </c>
      <c r="AR29" s="49" t="n">
        <f aca="false">IF(AND(ISNUMBER(AR24),ISNUMBER(AR28)),AR24+AR28,"")</f>
        <v>372.199</v>
      </c>
      <c r="AS29" s="49" t="n">
        <f aca="false">IF(AND(ISNUMBER(AS24),ISNUMBER(AS28)),AS24+AS28,"")</f>
        <v>84.739</v>
      </c>
      <c r="AT29" s="49" t="n">
        <f aca="false">IF(AND(ISNUMBER(AT24),ISNUMBER(AT28)),AT24+AT28,"")</f>
        <v>95.696</v>
      </c>
      <c r="AU29" s="49" t="n">
        <f aca="false">IF(AND(ISNUMBER(AU24),ISNUMBER(AU28)),AU24+AU28,"")</f>
        <v>90.372</v>
      </c>
      <c r="AV29" s="49" t="n">
        <f aca="false">IF(AND(ISNUMBER(AV24),ISNUMBER(AV28)),AV24+AV28,"")</f>
        <v>115.776</v>
      </c>
      <c r="AW29" s="49" t="n">
        <f aca="false">IF(AND(ISNUMBER(AW24),ISNUMBER(AW28)),AW24+AW28,"")</f>
        <v>386.583</v>
      </c>
      <c r="AX29" s="49" t="n">
        <f aca="false">IF(AND(ISNUMBER(AX24),ISNUMBER(AX28)),AX24+AX28,"")</f>
        <v>103.555</v>
      </c>
      <c r="AY29" s="49" t="n">
        <f aca="false">IF(AND(ISNUMBER(AY24),ISNUMBER(AY28)),AY24+AY28,"")</f>
        <v>95.549</v>
      </c>
      <c r="AZ29" s="49" t="n">
        <f aca="false">IF(AND(ISNUMBER(AZ24),ISNUMBER(AZ28)),AZ24+AZ28,"")</f>
        <v>99.049</v>
      </c>
      <c r="BA29" s="49" t="n">
        <f aca="false">IF(AND(ISNUMBER(BA24),ISNUMBER(BA28)),BA24+BA28,"")</f>
        <v>131.217</v>
      </c>
      <c r="BB29" s="49" t="n">
        <f aca="false">IF(AND(ISNUMBER(BB24),ISNUMBER(BB28)),BB24+BB28,"")</f>
        <v>429.47</v>
      </c>
      <c r="BC29" s="49" t="n">
        <f aca="false">IF(AND(ISNUMBER(BC24),ISNUMBER(BC28)),BC24+BC28,"")</f>
        <v>99.92</v>
      </c>
      <c r="BD29" s="49" t="n">
        <f aca="false">IF(AND(ISNUMBER(BD24),ISNUMBER(BD28)),BD24+BD28,"")</f>
        <v>108.251</v>
      </c>
      <c r="BE29" s="49" t="n">
        <f aca="false">IF(AND(ISNUMBER(BE24),ISNUMBER(BE28)),BE24+BE28,"")</f>
        <v>116.993</v>
      </c>
      <c r="BF29" s="49" t="n">
        <f aca="false">IF(AND(ISNUMBER(BF24),ISNUMBER(BF28)),BF24+BF28,"")</f>
        <v>116.638</v>
      </c>
      <c r="BG29" s="49" t="n">
        <f aca="false">IF(AND(ISNUMBER(BG24),ISNUMBER(BG28)),BG24+BG28,"")</f>
        <v>441.902</v>
      </c>
      <c r="BH29" s="49" t="n">
        <f aca="false">IF(AND(ISNUMBER(BH24),ISNUMBER(BH28)),BH24+BH28,"")</f>
        <v>116.942</v>
      </c>
      <c r="BI29" s="49" t="n">
        <f aca="false">IF(AND(ISNUMBER(BI24),ISNUMBER(BI28)),BI24+BI28,"")</f>
        <v>133.039</v>
      </c>
      <c r="BJ29" s="49" t="n">
        <f aca="false">IF(AND(ISNUMBER(BJ24),ISNUMBER(BJ28)),BJ24+BJ28,"")</f>
        <v>118.333</v>
      </c>
      <c r="BK29" s="49" t="n">
        <f aca="false">IF(AND(ISNUMBER(BK24),ISNUMBER(BK28)),BK24+BK28,"")</f>
        <v>110.936</v>
      </c>
      <c r="BL29" s="49" t="n">
        <f aca="false">IF(AND(ISNUMBER(BL24),ISNUMBER(BL28)),BL24+BL28,"")</f>
        <v>479.152</v>
      </c>
      <c r="BM29" s="49" t="n">
        <f aca="false">IF(AND(ISNUMBER(BM24),ISNUMBER(BM28)),BM24+BM28,"")</f>
        <v>117.673</v>
      </c>
      <c r="BN29" s="49" t="n">
        <f aca="false">IF(AND(ISNUMBER(BN24),ISNUMBER(BN28)),BN24+BN28,"")</f>
        <v>126.436</v>
      </c>
      <c r="BO29" s="33" t="n">
        <f aca="false">BO24+BO28</f>
        <v>128.525447019669</v>
      </c>
      <c r="BP29" s="33" t="n">
        <f aca="false">BP24+BP28</f>
        <v>119.222094733731</v>
      </c>
      <c r="BQ29" s="33" t="n">
        <f aca="false">BQ24+BQ28</f>
        <v>491.856541753399</v>
      </c>
      <c r="BR29" s="33" t="n">
        <f aca="false">BR24+BR28</f>
        <v>554.183531143318</v>
      </c>
      <c r="BS29" s="33" t="n">
        <f aca="false">BS24+BS28</f>
        <v>608.446240875171</v>
      </c>
      <c r="BT29" s="33" t="n">
        <f aca="false">BT24+BT28</f>
        <v>661.660466883648</v>
      </c>
      <c r="BU29" s="33" t="n">
        <f aca="false">BU24+BU28</f>
        <v>707.976699565503</v>
      </c>
      <c r="BV29" s="15"/>
      <c r="BX29" s="25" t="n">
        <f aca="false">IFERROR((BU29/BL29)^(1/5)-1,"n/m")</f>
        <v>0.0812077048735711</v>
      </c>
      <c r="BY29" s="25" t="n">
        <f aca="false">IFERROR((BL29/AM29)^(1/5)-1,"n/m")</f>
        <v>0.0465791474060422</v>
      </c>
      <c r="BZ29" s="25" t="str">
        <f aca="false">IFERROR((BL29/N29)^(1/10)-1,"n/m")</f>
        <v>n/m</v>
      </c>
      <c r="CA29" s="25" t="str">
        <f aca="false">IFERROR((BL29/D29)^(1/12)-1,"n/m")</f>
        <v>n/m</v>
      </c>
      <c r="CD29" s="22" t="s">
        <v>143</v>
      </c>
      <c r="CE29" s="46" t="n">
        <f aca="false">CF29+$CE$27</f>
        <v>0.1875</v>
      </c>
      <c r="CF29" s="47" t="n">
        <v>0.1775</v>
      </c>
      <c r="CG29" s="46" t="n">
        <f aca="false">CF29+$CG$27</f>
        <v>0.1675</v>
      </c>
    </row>
    <row r="30" customFormat="false" ht="15" hidden="false" customHeight="false" outlineLevel="0" collapsed="false">
      <c r="B30" s="13" t="s">
        <v>156</v>
      </c>
      <c r="C30" s="43" t="str">
        <f aca="false">IF(AND(ISNUMBER(C29),ISNUMBER(C15)),IFERROR(C29/C15,""),"")</f>
        <v/>
      </c>
      <c r="D30" s="43" t="str">
        <f aca="false">IF(AND(ISNUMBER(D29),ISNUMBER(D15)),IFERROR(D29/D15,""),"")</f>
        <v/>
      </c>
      <c r="E30" s="43" t="str">
        <f aca="false">IF(AND(ISNUMBER(E29),ISNUMBER(E15)),IFERROR(E29/E15,""),"")</f>
        <v/>
      </c>
      <c r="F30" s="43" t="str">
        <f aca="false">IF(AND(ISNUMBER(F29),ISNUMBER(F15)),IFERROR(F29/F15,""),"")</f>
        <v/>
      </c>
      <c r="G30" s="43" t="str">
        <f aca="false">IF(AND(ISNUMBER(G29),ISNUMBER(G15)),IFERROR(G29/G15,""),"")</f>
        <v/>
      </c>
      <c r="H30" s="43" t="str">
        <f aca="false">IF(AND(ISNUMBER(H29),ISNUMBER(H15)),IFERROR(H29/H15,""),"")</f>
        <v/>
      </c>
      <c r="I30" s="43" t="str">
        <f aca="false">IF(AND(ISNUMBER(I29),ISNUMBER(I15)),IFERROR(I29/I15,""),"")</f>
        <v/>
      </c>
      <c r="J30" s="43" t="str">
        <f aca="false">IF(AND(ISNUMBER(J29),ISNUMBER(J15)),IFERROR(J29/J15,""),"")</f>
        <v/>
      </c>
      <c r="K30" s="43" t="str">
        <f aca="false">IF(AND(ISNUMBER(K29),ISNUMBER(K15)),IFERROR(K29/K15,""),"")</f>
        <v/>
      </c>
      <c r="L30" s="43" t="str">
        <f aca="false">IF(AND(ISNUMBER(L29),ISNUMBER(L15)),IFERROR(L29/L15,""),"")</f>
        <v/>
      </c>
      <c r="M30" s="43" t="str">
        <f aca="false">IF(AND(ISNUMBER(M29),ISNUMBER(M15)),IFERROR(M29/M15,""),"")</f>
        <v/>
      </c>
      <c r="N30" s="43" t="str">
        <f aca="false">IF(AND(ISNUMBER(N29),ISNUMBER(N15)),IFERROR(N29/N15,""),"")</f>
        <v/>
      </c>
      <c r="O30" s="43" t="str">
        <f aca="false">IF(AND(ISNUMBER(O29),ISNUMBER(O15)),IFERROR(O29/O15,""),"")</f>
        <v/>
      </c>
      <c r="P30" s="43" t="str">
        <f aca="false">IF(AND(ISNUMBER(P29),ISNUMBER(P15)),IFERROR(P29/P15,""),"")</f>
        <v/>
      </c>
      <c r="Q30" s="43" t="str">
        <f aca="false">IF(AND(ISNUMBER(Q29),ISNUMBER(Q15)),IFERROR(Q29/Q15,""),"")</f>
        <v/>
      </c>
      <c r="R30" s="43" t="str">
        <f aca="false">IF(AND(ISNUMBER(R29),ISNUMBER(R15)),IFERROR(R29/R15,""),"")</f>
        <v/>
      </c>
      <c r="S30" s="43" t="str">
        <f aca="false">IF(AND(ISNUMBER(S29),ISNUMBER(S15)),IFERROR(S29/S15,""),"")</f>
        <v/>
      </c>
      <c r="T30" s="43" t="str">
        <f aca="false">IF(AND(ISNUMBER(T29),ISNUMBER(T15)),IFERROR(T29/T15,""),"")</f>
        <v/>
      </c>
      <c r="U30" s="43" t="str">
        <f aca="false">IF(AND(ISNUMBER(U29),ISNUMBER(U15)),IFERROR(U29/U15,""),"")</f>
        <v/>
      </c>
      <c r="V30" s="43" t="str">
        <f aca="false">IF(AND(ISNUMBER(V29),ISNUMBER(V15)),IFERROR(V29/V15,""),"")</f>
        <v/>
      </c>
      <c r="W30" s="43" t="str">
        <f aca="false">IF(AND(ISNUMBER(W29),ISNUMBER(W15)),IFERROR(W29/W15,""),"")</f>
        <v/>
      </c>
      <c r="X30" s="43" t="str">
        <f aca="false">IF(AND(ISNUMBER(X29),ISNUMBER(X15)),IFERROR(X29/X15,""),"")</f>
        <v/>
      </c>
      <c r="Y30" s="43" t="str">
        <f aca="false">IF(AND(ISNUMBER(Y29),ISNUMBER(Y15)),IFERROR(Y29/Y15,""),"")</f>
        <v/>
      </c>
      <c r="Z30" s="43" t="str">
        <f aca="false">IF(AND(ISNUMBER(Z29),ISNUMBER(Z15)),IFERROR(Z29/Z15,""),"")</f>
        <v/>
      </c>
      <c r="AA30" s="43" t="str">
        <f aca="false">IF(AND(ISNUMBER(AA29),ISNUMBER(AA15)),IFERROR(AA29/AA15,""),"")</f>
        <v/>
      </c>
      <c r="AB30" s="43" t="str">
        <f aca="false">IF(AND(ISNUMBER(AB29),ISNUMBER(AB15)),IFERROR(AB29/AB15,""),"")</f>
        <v/>
      </c>
      <c r="AC30" s="43" t="str">
        <f aca="false">IF(AND(ISNUMBER(AC29),ISNUMBER(AC15)),IFERROR(AC29/AC15,""),"")</f>
        <v/>
      </c>
      <c r="AD30" s="43" t="str">
        <f aca="false">IF(AND(ISNUMBER(AD29),ISNUMBER(AD15)),IFERROR(AD29/AD15,""),"")</f>
        <v/>
      </c>
      <c r="AE30" s="43" t="str">
        <f aca="false">IF(AND(ISNUMBER(AE29),ISNUMBER(AE15)),IFERROR(AE29/AE15,""),"")</f>
        <v/>
      </c>
      <c r="AF30" s="43" t="str">
        <f aca="false">IF(AND(ISNUMBER(AF29),ISNUMBER(AF15)),IFERROR(AF29/AF15,""),"")</f>
        <v/>
      </c>
      <c r="AG30" s="43" t="str">
        <f aca="false">IF(AND(ISNUMBER(AG29),ISNUMBER(AG15)),IFERROR(AG29/AG15,""),"")</f>
        <v/>
      </c>
      <c r="AH30" s="43" t="str">
        <f aca="false">IF(AND(ISNUMBER(AH29),ISNUMBER(AH15)),IFERROR(AH29/AH15,""),"")</f>
        <v/>
      </c>
      <c r="AI30" s="43" t="str">
        <f aca="false">IF(AND(ISNUMBER(AI29),ISNUMBER(AI15)),IFERROR(AI29/AI15,""),"")</f>
        <v/>
      </c>
      <c r="AJ30" s="43" t="str">
        <f aca="false">IF(AND(ISNUMBER(AJ29),ISNUMBER(AJ15)),IFERROR(AJ29/AJ15,""),"")</f>
        <v/>
      </c>
      <c r="AK30" s="43" t="str">
        <f aca="false">IF(AND(ISNUMBER(AK29),ISNUMBER(AK15)),IFERROR(AK29/AK15,""),"")</f>
        <v/>
      </c>
      <c r="AL30" s="43" t="str">
        <f aca="false">IF(AND(ISNUMBER(AL29),ISNUMBER(AL15)),IFERROR(AL29/AL15,""),"")</f>
        <v/>
      </c>
      <c r="AM30" s="43" t="n">
        <f aca="false">IF(AND(ISNUMBER(AM29),ISNUMBER(AM15)),IFERROR(AM29/AM15,""),"")</f>
        <v>0.216435911877023</v>
      </c>
      <c r="AN30" s="43" t="n">
        <f aca="false">IF(AND(ISNUMBER(AN29),ISNUMBER(AN15)),IFERROR(AN29/AN15,""),"")</f>
        <v>0.206522946075247</v>
      </c>
      <c r="AO30" s="43" t="n">
        <f aca="false">IF(AND(ISNUMBER(AO29),ISNUMBER(AO15)),IFERROR(AO29/AO15,""),"")</f>
        <v>0.205192640142837</v>
      </c>
      <c r="AP30" s="43" t="n">
        <f aca="false">IF(AND(ISNUMBER(AP29),ISNUMBER(AP15)),IFERROR(AP29/AP15,""),"")</f>
        <v>0.236455953531077</v>
      </c>
      <c r="AQ30" s="43" t="n">
        <f aca="false">IF(AND(ISNUMBER(AQ29),ISNUMBER(AQ15)),IFERROR(AQ29/AQ15,""),"")</f>
        <v>0.214828897338403</v>
      </c>
      <c r="AR30" s="43" t="n">
        <f aca="false">IF(AND(ISNUMBER(AR29),ISNUMBER(AR15)),IFERROR(AR29/AR15,""),"")</f>
        <v>0.215755403899027</v>
      </c>
      <c r="AS30" s="43" t="n">
        <f aca="false">IF(AND(ISNUMBER(AS29),ISNUMBER(AS15)),IFERROR(AS29/AS15,""),"")</f>
        <v>0.196256400873599</v>
      </c>
      <c r="AT30" s="43" t="n">
        <f aca="false">IF(AND(ISNUMBER(AT29),ISNUMBER(AT15)),IFERROR(AT29/AT15,""),"")</f>
        <v>0.219216240547766</v>
      </c>
      <c r="AU30" s="43" t="n">
        <f aca="false">IF(AND(ISNUMBER(AU29),ISNUMBER(AU15)),IFERROR(AU29/AU15,""),"")</f>
        <v>0.213887593752737</v>
      </c>
      <c r="AV30" s="43" t="n">
        <f aca="false">IF(AND(ISNUMBER(AV29),ISNUMBER(AV15)),IFERROR(AV29/AV15,""),"")</f>
        <v>0.223657775167682</v>
      </c>
      <c r="AW30" s="43" t="n">
        <f aca="false">IF(AND(ISNUMBER(AW29),ISNUMBER(AW15)),IFERROR(AW29/AW15,""),"")</f>
        <v>0.213760925593439</v>
      </c>
      <c r="AX30" s="43" t="n">
        <f aca="false">IF(AND(ISNUMBER(AX29),ISNUMBER(AX15)),IFERROR(AX29/AX15,""),"")</f>
        <v>0.225175369548105</v>
      </c>
      <c r="AY30" s="43" t="n">
        <f aca="false">IF(AND(ISNUMBER(AY29),ISNUMBER(AY15)),IFERROR(AY29/AY15,""),"")</f>
        <v>0.194218311390805</v>
      </c>
      <c r="AZ30" s="43" t="n">
        <f aca="false">IF(AND(ISNUMBER(AZ29),ISNUMBER(AZ15)),IFERROR(AZ29/AZ15,""),"")</f>
        <v>0.207278358497871</v>
      </c>
      <c r="BA30" s="43" t="n">
        <f aca="false">IF(AND(ISNUMBER(BA29),ISNUMBER(BA15)),IFERROR(BA29/BA15,""),"")</f>
        <v>0.218102850760186</v>
      </c>
      <c r="BB30" s="43" t="n">
        <f aca="false">IF(AND(ISNUMBER(BB29),ISNUMBER(BB15)),IFERROR(BB29/BB15,""),"")</f>
        <v>0.211422329234391</v>
      </c>
      <c r="BC30" s="43" t="n">
        <f aca="false">IF(AND(ISNUMBER(BC29),ISNUMBER(BC15)),IFERROR(BC29/BC15,""),"")</f>
        <v>0.205123572993158</v>
      </c>
      <c r="BD30" s="43" t="n">
        <f aca="false">IF(AND(ISNUMBER(BD29),ISNUMBER(BD15)),IFERROR(BD29/BD15,""),"")</f>
        <v>0.200151244531715</v>
      </c>
      <c r="BE30" s="43" t="n">
        <f aca="false">IF(AND(ISNUMBER(BE29),ISNUMBER(BE15)),IFERROR(BE29/BE15,""),"")</f>
        <v>0.208888841276048</v>
      </c>
      <c r="BF30" s="43" t="n">
        <f aca="false">IF(AND(ISNUMBER(BF29),ISNUMBER(BF15)),IFERROR(BF29/BF15,""),"")</f>
        <v>0.19603025210084</v>
      </c>
      <c r="BG30" s="43" t="n">
        <f aca="false">IF(AND(ISNUMBER(BG29),ISNUMBER(BG15)),IFERROR(BG29/BG15,""),"")</f>
        <v>0.202425058633832</v>
      </c>
      <c r="BH30" s="43" t="n">
        <f aca="false">IF(AND(ISNUMBER(BH29),ISNUMBER(BH15)),IFERROR(BH29/BH15,""),"")</f>
        <v>0.210597782043848</v>
      </c>
      <c r="BI30" s="43" t="n">
        <f aca="false">IF(AND(ISNUMBER(BI29),ISNUMBER(BI15)),IFERROR(BI29/BI15,""),"")</f>
        <v>0.225888389514381</v>
      </c>
      <c r="BJ30" s="43" t="n">
        <f aca="false">IF(AND(ISNUMBER(BJ29),ISNUMBER(BJ15)),IFERROR(BJ29/BJ15,""),"")</f>
        <v>0.191881912835639</v>
      </c>
      <c r="BK30" s="43" t="n">
        <f aca="false">IF(AND(ISNUMBER(BK29),ISNUMBER(BK15)),IFERROR(BK29/BK15,""),"")</f>
        <v>0.188299354829949</v>
      </c>
      <c r="BL30" s="43" t="n">
        <f aca="false">IF(AND(ISNUMBER(BL29),ISNUMBER(BL15)),IFERROR(BL29/BL15,""),"")</f>
        <v>0.203886659659843</v>
      </c>
      <c r="BM30" s="43" t="n">
        <f aca="false">IF(AND(ISNUMBER(BM29),ISNUMBER(BM15)),IFERROR(BM29/BM15,""),"")</f>
        <v>0.203621381516903</v>
      </c>
      <c r="BN30" s="43" t="n">
        <f aca="false">IF(AND(ISNUMBER(BN29),ISNUMBER(BN15)),IFERROR(BN29/BN15,""),"")</f>
        <v>0.210274226622384</v>
      </c>
      <c r="BO30" s="35" t="n">
        <f aca="false">IF(AND(ISNUMBER(BO29),ISNUMBER(BO15)),IFERROR(BO29/BO15,""),"")</f>
        <v>0.200611247398832</v>
      </c>
      <c r="BP30" s="35" t="n">
        <f aca="false">IF(AND(ISNUMBER(BP29),ISNUMBER(BP15)),IFERROR(BP29/BP15,""),"")</f>
        <v>0.194791978457455</v>
      </c>
      <c r="BQ30" s="35" t="n">
        <f aca="false">IF(AND(ISNUMBER(BQ29),ISNUMBER(BQ15)),IFERROR(BQ29/BQ15,""),"")</f>
        <v>0.202251172104532</v>
      </c>
      <c r="BR30" s="35" t="n">
        <f aca="false">IF(AND(ISNUMBER(BR29),ISNUMBER(BR15)),IFERROR(BR29/BR15,""),"")</f>
        <v>0.211</v>
      </c>
      <c r="BS30" s="35" t="n">
        <f aca="false">IF(AND(ISNUMBER(BS29),ISNUMBER(BS15)),IFERROR(BS29/BS15,""),"")</f>
        <v>0.2145</v>
      </c>
      <c r="BT30" s="35" t="n">
        <f aca="false">IF(AND(ISNUMBER(BT29),ISNUMBER(BT15)),IFERROR(BT29/BT15,""),"")</f>
        <v>0.218</v>
      </c>
      <c r="BU30" s="35" t="n">
        <f aca="false">IF(AND(ISNUMBER(BU29),ISNUMBER(BU15)),IFERROR(BU29/BU15,""),"")</f>
        <v>0.218</v>
      </c>
      <c r="BV30" s="15"/>
      <c r="BX30" s="38" t="n">
        <f aca="false">IFERROR(AVERAGE(BQ30,BR30,BS30,BT30,BU30),"n/m")</f>
        <v>0.212750234420906</v>
      </c>
      <c r="BY30" s="38" t="n">
        <f aca="false">IFERROR(AVERAGE(AR30,AW30,BB30,BG30,BL30),"n/m")</f>
        <v>0.209450075404106</v>
      </c>
      <c r="BZ30" s="38" t="n">
        <f aca="false">IFERROR(AVERAGE(S30,X30,AC30,AH30,AM30,AR30,AW30,BB30,BG30,BL30),"n/m")</f>
        <v>0.210614381482926</v>
      </c>
      <c r="CA30" s="38" t="n">
        <f aca="false">IFERROR(AVERAGE(D30,I30,N30,S30,X30,AC30,AH30,AM30,AR30,AW30,BB30,BG30,BL30),"n/m")</f>
        <v>0.210614381482926</v>
      </c>
      <c r="CD30" s="22" t="s">
        <v>146</v>
      </c>
      <c r="CE30" s="46" t="n">
        <f aca="false">CF30+$CE$27</f>
        <v>0.19</v>
      </c>
      <c r="CF30" s="47" t="n">
        <v>0.18</v>
      </c>
      <c r="CG30" s="46" t="n">
        <f aca="false">CF30+$CG$27</f>
        <v>0.17</v>
      </c>
    </row>
    <row r="31" customFormat="false" ht="15" hidden="false" customHeight="false" outlineLevel="0" collapsed="false">
      <c r="B31" s="50" t="s">
        <v>157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24" t="n">
        <v>90.4</v>
      </c>
      <c r="AV31" s="24" t="n">
        <v>115.8</v>
      </c>
      <c r="AW31" s="24" t="n">
        <v>386.5</v>
      </c>
      <c r="AX31" s="24" t="n">
        <v>103.6</v>
      </c>
      <c r="AY31" s="24" t="n">
        <v>95.5</v>
      </c>
      <c r="AZ31" s="24" t="n">
        <v>99</v>
      </c>
      <c r="BA31" s="24" t="n">
        <v>131.3</v>
      </c>
      <c r="BB31" s="24" t="n">
        <v>429.4</v>
      </c>
      <c r="BC31" s="24" t="n">
        <v>99.9</v>
      </c>
      <c r="BD31" s="24" t="n">
        <v>108.2</v>
      </c>
      <c r="BE31" s="24" t="n">
        <v>117</v>
      </c>
      <c r="BF31" s="24" t="n">
        <v>116.7</v>
      </c>
      <c r="BG31" s="24" t="n">
        <v>441.9</v>
      </c>
      <c r="BH31" s="24" t="n">
        <v>116.9</v>
      </c>
      <c r="BI31" s="24" t="n">
        <v>133</v>
      </c>
      <c r="BJ31" s="24" t="n">
        <v>118.3</v>
      </c>
      <c r="BK31" s="24" t="n">
        <v>110.9</v>
      </c>
      <c r="BL31" s="24" t="n">
        <v>479.1</v>
      </c>
      <c r="BM31" s="24" t="n">
        <v>117.7</v>
      </c>
      <c r="BN31" s="24" t="n">
        <v>126.5</v>
      </c>
      <c r="BO31" s="36"/>
      <c r="BP31" s="36"/>
      <c r="BQ31" s="36"/>
      <c r="BR31" s="36"/>
      <c r="BS31" s="36"/>
      <c r="BT31" s="36"/>
      <c r="BU31" s="36"/>
      <c r="BV31" s="15"/>
      <c r="CD31" s="22" t="s">
        <v>149</v>
      </c>
      <c r="CE31" s="46" t="n">
        <f aca="false">CF31+$CE$27</f>
        <v>0.19</v>
      </c>
      <c r="CF31" s="47" t="n">
        <v>0.18</v>
      </c>
      <c r="CG31" s="46" t="n">
        <f aca="false">CF31+$CG$27</f>
        <v>0.17</v>
      </c>
    </row>
    <row r="32" customFormat="false" ht="15" hidden="false" customHeight="false" outlineLevel="0" collapsed="false">
      <c r="B32" s="51" t="s">
        <v>158</v>
      </c>
      <c r="C32" s="20" t="str">
        <f aca="false">IF(AND(ISNUMBER(C29),ISNUMBER(C31)),ROUND(C29-C31,1),"")</f>
        <v/>
      </c>
      <c r="D32" s="20" t="str">
        <f aca="false">IF(AND(ISNUMBER(D29),ISNUMBER(D31)),ROUND(D29-D31,1),"")</f>
        <v/>
      </c>
      <c r="E32" s="20" t="str">
        <f aca="false">IF(AND(ISNUMBER(E29),ISNUMBER(E31)),ROUND(E29-E31,1),"")</f>
        <v/>
      </c>
      <c r="F32" s="20" t="str">
        <f aca="false">IF(AND(ISNUMBER(F29),ISNUMBER(F31)),ROUND(F29-F31,1),"")</f>
        <v/>
      </c>
      <c r="G32" s="20" t="str">
        <f aca="false">IF(AND(ISNUMBER(G29),ISNUMBER(G31)),ROUND(G29-G31,1),"")</f>
        <v/>
      </c>
      <c r="H32" s="20" t="str">
        <f aca="false">IF(AND(ISNUMBER(H29),ISNUMBER(H31)),ROUND(H29-H31,1),"")</f>
        <v/>
      </c>
      <c r="I32" s="20" t="str">
        <f aca="false">IF(AND(ISNUMBER(I29),ISNUMBER(I31)),ROUND(I29-I31,1),"")</f>
        <v/>
      </c>
      <c r="J32" s="20" t="str">
        <f aca="false">IF(AND(ISNUMBER(J29),ISNUMBER(J31)),ROUND(J29-J31,1),"")</f>
        <v/>
      </c>
      <c r="K32" s="20" t="str">
        <f aca="false">IF(AND(ISNUMBER(K29),ISNUMBER(K31)),ROUND(K29-K31,1),"")</f>
        <v/>
      </c>
      <c r="L32" s="20" t="str">
        <f aca="false">IF(AND(ISNUMBER(L29),ISNUMBER(L31)),ROUND(L29-L31,1),"")</f>
        <v/>
      </c>
      <c r="M32" s="20" t="str">
        <f aca="false">IF(AND(ISNUMBER(M29),ISNUMBER(M31)),ROUND(M29-M31,1),"")</f>
        <v/>
      </c>
      <c r="N32" s="20" t="str">
        <f aca="false">IF(AND(ISNUMBER(N29),ISNUMBER(N31)),ROUND(N29-N31,1),"")</f>
        <v/>
      </c>
      <c r="O32" s="20" t="str">
        <f aca="false">IF(AND(ISNUMBER(O29),ISNUMBER(O31)),ROUND(O29-O31,1),"")</f>
        <v/>
      </c>
      <c r="P32" s="20" t="str">
        <f aca="false">IF(AND(ISNUMBER(P29),ISNUMBER(P31)),ROUND(P29-P31,1),"")</f>
        <v/>
      </c>
      <c r="Q32" s="20" t="str">
        <f aca="false">IF(AND(ISNUMBER(Q29),ISNUMBER(Q31)),ROUND(Q29-Q31,1),"")</f>
        <v/>
      </c>
      <c r="R32" s="20" t="str">
        <f aca="false">IF(AND(ISNUMBER(R29),ISNUMBER(R31)),ROUND(R29-R31,1),"")</f>
        <v/>
      </c>
      <c r="S32" s="20" t="str">
        <f aca="false">IF(AND(ISNUMBER(S29),ISNUMBER(S31)),ROUND(S29-S31,1),"")</f>
        <v/>
      </c>
      <c r="T32" s="20" t="str">
        <f aca="false">IF(AND(ISNUMBER(T29),ISNUMBER(T31)),ROUND(T29-T31,1),"")</f>
        <v/>
      </c>
      <c r="U32" s="20" t="str">
        <f aca="false">IF(AND(ISNUMBER(U29),ISNUMBER(U31)),ROUND(U29-U31,1),"")</f>
        <v/>
      </c>
      <c r="V32" s="20" t="str">
        <f aca="false">IF(AND(ISNUMBER(V29),ISNUMBER(V31)),ROUND(V29-V31,1),"")</f>
        <v/>
      </c>
      <c r="W32" s="20" t="str">
        <f aca="false">IF(AND(ISNUMBER(W29),ISNUMBER(W31)),ROUND(W29-W31,1),"")</f>
        <v/>
      </c>
      <c r="X32" s="20" t="str">
        <f aca="false">IF(AND(ISNUMBER(X29),ISNUMBER(X31)),ROUND(X29-X31,1),"")</f>
        <v/>
      </c>
      <c r="Y32" s="20" t="str">
        <f aca="false">IF(AND(ISNUMBER(Y29),ISNUMBER(Y31)),ROUND(Y29-Y31,1),"")</f>
        <v/>
      </c>
      <c r="Z32" s="20" t="str">
        <f aca="false">IF(AND(ISNUMBER(Z29),ISNUMBER(Z31)),ROUND(Z29-Z31,1),"")</f>
        <v/>
      </c>
      <c r="AA32" s="20" t="str">
        <f aca="false">IF(AND(ISNUMBER(AA29),ISNUMBER(AA31)),ROUND(AA29-AA31,1),"")</f>
        <v/>
      </c>
      <c r="AB32" s="20" t="str">
        <f aca="false">IF(AND(ISNUMBER(AB29),ISNUMBER(AB31)),ROUND(AB29-AB31,1),"")</f>
        <v/>
      </c>
      <c r="AC32" s="20" t="str">
        <f aca="false">IF(AND(ISNUMBER(AC29),ISNUMBER(AC31)),ROUND(AC29-AC31,1),"")</f>
        <v/>
      </c>
      <c r="AD32" s="20" t="str">
        <f aca="false">IF(AND(ISNUMBER(AD29),ISNUMBER(AD31)),ROUND(AD29-AD31,1),"")</f>
        <v/>
      </c>
      <c r="AE32" s="20" t="str">
        <f aca="false">IF(AND(ISNUMBER(AE29),ISNUMBER(AE31)),ROUND(AE29-AE31,1),"")</f>
        <v/>
      </c>
      <c r="AF32" s="20" t="str">
        <f aca="false">IF(AND(ISNUMBER(AF29),ISNUMBER(AF31)),ROUND(AF29-AF31,1),"")</f>
        <v/>
      </c>
      <c r="AG32" s="20" t="str">
        <f aca="false">IF(AND(ISNUMBER(AG29),ISNUMBER(AG31)),ROUND(AG29-AG31,1),"")</f>
        <v/>
      </c>
      <c r="AH32" s="20" t="str">
        <f aca="false">IF(AND(ISNUMBER(AH29),ISNUMBER(AH31)),ROUND(AH29-AH31,1),"")</f>
        <v/>
      </c>
      <c r="AI32" s="20" t="str">
        <f aca="false">IF(AND(ISNUMBER(AI29),ISNUMBER(AI31)),ROUND(AI29-AI31,1),"")</f>
        <v/>
      </c>
      <c r="AJ32" s="20" t="str">
        <f aca="false">IF(AND(ISNUMBER(AJ29),ISNUMBER(AJ31)),ROUND(AJ29-AJ31,1),"")</f>
        <v/>
      </c>
      <c r="AK32" s="20" t="str">
        <f aca="false">IF(AND(ISNUMBER(AK29),ISNUMBER(AK31)),ROUND(AK29-AK31,1),"")</f>
        <v/>
      </c>
      <c r="AL32" s="20" t="str">
        <f aca="false">IF(AND(ISNUMBER(AL29),ISNUMBER(AL31)),ROUND(AL29-AL31,1),"")</f>
        <v/>
      </c>
      <c r="AM32" s="20" t="str">
        <f aca="false">IF(AND(ISNUMBER(AM29),ISNUMBER(AM31)),ROUND(AM29-AM31,1),"")</f>
        <v/>
      </c>
      <c r="AN32" s="20" t="str">
        <f aca="false">IF(AND(ISNUMBER(AN29),ISNUMBER(AN31)),ROUND(AN29-AN31,1),"")</f>
        <v/>
      </c>
      <c r="AO32" s="20" t="str">
        <f aca="false">IF(AND(ISNUMBER(AO29),ISNUMBER(AO31)),ROUND(AO29-AO31,1),"")</f>
        <v/>
      </c>
      <c r="AP32" s="20" t="str">
        <f aca="false">IF(AND(ISNUMBER(AP29),ISNUMBER(AP31)),ROUND(AP29-AP31,1),"")</f>
        <v/>
      </c>
      <c r="AQ32" s="20" t="str">
        <f aca="false">IF(AND(ISNUMBER(AQ29),ISNUMBER(AQ31)),ROUND(AQ29-AQ31,1),"")</f>
        <v/>
      </c>
      <c r="AR32" s="20" t="str">
        <f aca="false">IF(AND(ISNUMBER(AR29),ISNUMBER(AR31)),ROUND(AR29-AR31,1),"")</f>
        <v/>
      </c>
      <c r="AS32" s="20" t="str">
        <f aca="false">IF(AND(ISNUMBER(AS29),ISNUMBER(AS31)),ROUND(AS29-AS31,1),"")</f>
        <v/>
      </c>
      <c r="AT32" s="20" t="str">
        <f aca="false">IF(AND(ISNUMBER(AT29),ISNUMBER(AT31)),ROUND(AT29-AT31,1),"")</f>
        <v/>
      </c>
      <c r="AU32" s="20" t="n">
        <f aca="false">IF(AND(ISNUMBER(AU29),ISNUMBER(AU31)),ROUND(AU29-AU31,1),"")</f>
        <v>-0</v>
      </c>
      <c r="AV32" s="20" t="n">
        <f aca="false">IF(AND(ISNUMBER(AV29),ISNUMBER(AV31)),ROUND(AV29-AV31,1),"")</f>
        <v>-0</v>
      </c>
      <c r="AW32" s="20" t="n">
        <f aca="false">IF(AND(ISNUMBER(AW29),ISNUMBER(AW31)),ROUND(AW29-AW31,1),"")</f>
        <v>0.1</v>
      </c>
      <c r="AX32" s="20" t="n">
        <f aca="false">IF(AND(ISNUMBER(AX29),ISNUMBER(AX31)),ROUND(AX29-AX31,1),"")</f>
        <v>-0</v>
      </c>
      <c r="AY32" s="20" t="n">
        <f aca="false">IF(AND(ISNUMBER(AY29),ISNUMBER(AY31)),ROUND(AY29-AY31,1),"")</f>
        <v>0</v>
      </c>
      <c r="AZ32" s="20" t="n">
        <f aca="false">IF(AND(ISNUMBER(AZ29),ISNUMBER(AZ31)),ROUND(AZ29-AZ31,1),"")</f>
        <v>0</v>
      </c>
      <c r="BA32" s="20" t="n">
        <f aca="false">IF(AND(ISNUMBER(BA29),ISNUMBER(BA31)),ROUND(BA29-BA31,1),"")</f>
        <v>-0.1</v>
      </c>
      <c r="BB32" s="20" t="n">
        <f aca="false">IF(AND(ISNUMBER(BB29),ISNUMBER(BB31)),ROUND(BB29-BB31,1),"")</f>
        <v>0.1</v>
      </c>
      <c r="BC32" s="20" t="n">
        <f aca="false">IF(AND(ISNUMBER(BC29),ISNUMBER(BC31)),ROUND(BC29-BC31,1),"")</f>
        <v>0</v>
      </c>
      <c r="BD32" s="20" t="n">
        <f aca="false">IF(AND(ISNUMBER(BD29),ISNUMBER(BD31)),ROUND(BD29-BD31,1),"")</f>
        <v>0.1</v>
      </c>
      <c r="BE32" s="20" t="n">
        <f aca="false">IF(AND(ISNUMBER(BE29),ISNUMBER(BE31)),ROUND(BE29-BE31,1),"")</f>
        <v>-0</v>
      </c>
      <c r="BF32" s="20" t="n">
        <f aca="false">IF(AND(ISNUMBER(BF29),ISNUMBER(BF31)),ROUND(BF29-BF31,1),"")</f>
        <v>-0.1</v>
      </c>
      <c r="BG32" s="20" t="n">
        <f aca="false">IF(AND(ISNUMBER(BG29),ISNUMBER(BG31)),ROUND(BG29-BG31,1),"")</f>
        <v>0</v>
      </c>
      <c r="BH32" s="20" t="n">
        <f aca="false">IF(AND(ISNUMBER(BH29),ISNUMBER(BH31)),ROUND(BH29-BH31,1),"")</f>
        <v>0</v>
      </c>
      <c r="BI32" s="20" t="n">
        <f aca="false">IF(AND(ISNUMBER(BI29),ISNUMBER(BI31)),ROUND(BI29-BI31,1),"")</f>
        <v>0</v>
      </c>
      <c r="BJ32" s="20" t="n">
        <f aca="false">IF(AND(ISNUMBER(BJ29),ISNUMBER(BJ31)),ROUND(BJ29-BJ31,1),"")</f>
        <v>0</v>
      </c>
      <c r="BK32" s="20" t="n">
        <f aca="false">IF(AND(ISNUMBER(BK29),ISNUMBER(BK31)),ROUND(BK29-BK31,1),"")</f>
        <v>0</v>
      </c>
      <c r="BL32" s="20" t="n">
        <f aca="false">IF(AND(ISNUMBER(BL29),ISNUMBER(BL31)),ROUND(BL29-BL31,1),"")</f>
        <v>0.1</v>
      </c>
      <c r="BM32" s="20" t="n">
        <f aca="false">IF(AND(ISNUMBER(BM29),ISNUMBER(BM31)),ROUND(BM29-BM31,1),"")</f>
        <v>-0</v>
      </c>
      <c r="BN32" s="20" t="n">
        <f aca="false">IF(AND(ISNUMBER(BN29),ISNUMBER(BN31)),ROUND(BN29-BN31,1),"")</f>
        <v>-0.1</v>
      </c>
      <c r="BO32" s="36"/>
      <c r="BP32" s="36"/>
      <c r="BQ32" s="36"/>
      <c r="BR32" s="36"/>
      <c r="BS32" s="36"/>
      <c r="BT32" s="36"/>
      <c r="BU32" s="36"/>
      <c r="BV32" s="15"/>
      <c r="CD32" s="17" t="s">
        <v>159</v>
      </c>
      <c r="CE32" s="52" t="n">
        <v>0.15</v>
      </c>
      <c r="CF32" s="45" t="s">
        <v>136</v>
      </c>
      <c r="CG32" s="52" t="n">
        <v>-0.15</v>
      </c>
      <c r="CH32" s="12" t="s">
        <v>160</v>
      </c>
    </row>
    <row r="33" customFormat="false" ht="15" hidden="false" customHeight="false" outlineLevel="0" collapsed="false">
      <c r="B33" s="50" t="s">
        <v>161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24" t="n">
        <v>137.197</v>
      </c>
      <c r="AN33" s="24" t="n">
        <v>45.945</v>
      </c>
      <c r="AO33" s="24" t="n">
        <v>30.073</v>
      </c>
      <c r="AP33" s="24" t="n">
        <v>34.155</v>
      </c>
      <c r="AQ33" s="24" t="n">
        <v>36.878</v>
      </c>
      <c r="AR33" s="24" t="n">
        <v>147.051</v>
      </c>
      <c r="AS33" s="24" t="n">
        <v>27.581</v>
      </c>
      <c r="AT33" s="24" t="n">
        <v>19.488</v>
      </c>
      <c r="AU33" s="24" t="n">
        <v>19.126</v>
      </c>
      <c r="AV33" s="24" t="n">
        <v>36.898</v>
      </c>
      <c r="AW33" s="24" t="n">
        <v>103.093</v>
      </c>
      <c r="AX33" s="24" t="n">
        <v>15.268</v>
      </c>
      <c r="AY33" s="24" t="n">
        <v>23.223</v>
      </c>
      <c r="AZ33" s="24" t="n">
        <v>19.624</v>
      </c>
      <c r="BA33" s="24" t="n">
        <v>33.584</v>
      </c>
      <c r="BB33" s="24" t="n">
        <v>91.699</v>
      </c>
      <c r="BC33" s="24" t="n">
        <v>16.383</v>
      </c>
      <c r="BD33" s="24" t="n">
        <v>14.201</v>
      </c>
      <c r="BE33" s="24" t="n">
        <v>22.429</v>
      </c>
      <c r="BF33" s="24" t="n">
        <v>28.05</v>
      </c>
      <c r="BG33" s="24" t="n">
        <v>81.063</v>
      </c>
      <c r="BH33" s="24" t="n">
        <v>18.5</v>
      </c>
      <c r="BI33" s="24" t="n">
        <v>15.77</v>
      </c>
      <c r="BJ33" s="24" t="n">
        <v>25.703</v>
      </c>
      <c r="BK33" s="24" t="n">
        <v>38.472</v>
      </c>
      <c r="BL33" s="24" t="n">
        <v>98.445</v>
      </c>
      <c r="BM33" s="24" t="n">
        <v>27.096</v>
      </c>
      <c r="BN33" s="24" t="n">
        <v>15.546</v>
      </c>
      <c r="BO33" s="36"/>
      <c r="BP33" s="36"/>
      <c r="BQ33" s="36"/>
      <c r="BR33" s="36"/>
      <c r="BS33" s="36"/>
      <c r="BT33" s="36"/>
      <c r="BU33" s="36"/>
      <c r="BV33" s="15"/>
      <c r="CD33" s="22" t="s">
        <v>140</v>
      </c>
      <c r="CE33" s="53" t="n">
        <f aca="false">CF33+$CE$32</f>
        <v>1.2</v>
      </c>
      <c r="CF33" s="42" t="n">
        <v>1.05</v>
      </c>
      <c r="CG33" s="53" t="n">
        <f aca="false">CF33+$CG$32</f>
        <v>0.9</v>
      </c>
    </row>
    <row r="34" customFormat="false" ht="15" hidden="false" customHeight="false" outlineLevel="0" collapsed="false">
      <c r="B34" s="13"/>
      <c r="BO34" s="14"/>
      <c r="BP34" s="14"/>
      <c r="BQ34" s="14"/>
      <c r="BR34" s="14"/>
      <c r="BS34" s="14"/>
      <c r="BT34" s="14"/>
      <c r="BU34" s="14"/>
      <c r="BV34" s="15"/>
      <c r="CD34" s="22" t="s">
        <v>143</v>
      </c>
      <c r="CE34" s="53" t="n">
        <f aca="false">CF34+$CE$32</f>
        <v>1.2</v>
      </c>
      <c r="CF34" s="42" t="n">
        <v>1.05</v>
      </c>
      <c r="CG34" s="53" t="n">
        <f aca="false">CF34+$CG$32</f>
        <v>0.9</v>
      </c>
    </row>
    <row r="35" customFormat="false" ht="15" hidden="false" customHeight="false" outlineLevel="0" collapsed="false">
      <c r="B35" s="16" t="s">
        <v>162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7" t="s">
        <v>163</v>
      </c>
      <c r="CD35" s="22" t="s">
        <v>146</v>
      </c>
      <c r="CE35" s="53" t="n">
        <f aca="false">CF35+$CE$32</f>
        <v>1.2</v>
      </c>
      <c r="CF35" s="42" t="n">
        <v>1.05</v>
      </c>
      <c r="CG35" s="53" t="n">
        <f aca="false">CF35+$CG$32</f>
        <v>0.9</v>
      </c>
    </row>
    <row r="36" customFormat="false" ht="15" hidden="false" customHeight="false" outlineLevel="0" collapsed="false">
      <c r="B36" s="13" t="s">
        <v>100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20" t="n">
        <f aca="false">AM67</f>
        <v>725.702</v>
      </c>
      <c r="AO36" s="20" t="n">
        <f aca="false">AN67</f>
        <v>697.169</v>
      </c>
      <c r="AP36" s="20" t="n">
        <f aca="false">AO67</f>
        <v>674.287</v>
      </c>
      <c r="AQ36" s="20" t="n">
        <f aca="false">AP67</f>
        <v>687.806</v>
      </c>
      <c r="AR36" s="20" t="n">
        <f aca="false">AM67</f>
        <v>725.702</v>
      </c>
      <c r="AS36" s="20" t="n">
        <f aca="false">AR67</f>
        <v>643.866</v>
      </c>
      <c r="AT36" s="20" t="n">
        <f aca="false">AS67</f>
        <v>748.101</v>
      </c>
      <c r="AU36" s="20" t="n">
        <f aca="false">AT67</f>
        <v>731.42</v>
      </c>
      <c r="AV36" s="20" t="n">
        <f aca="false">AU67</f>
        <v>632.416</v>
      </c>
      <c r="AW36" s="20" t="n">
        <f aca="false">AR67</f>
        <v>643.866</v>
      </c>
      <c r="AX36" s="20" t="n">
        <f aca="false">AW67</f>
        <v>628.933</v>
      </c>
      <c r="AY36" s="20" t="n">
        <f aca="false">AX67</f>
        <v>665.745</v>
      </c>
      <c r="AZ36" s="20" t="n">
        <f aca="false">AY67</f>
        <v>709.254</v>
      </c>
      <c r="BA36" s="20" t="n">
        <f aca="false">AZ67</f>
        <v>721.967</v>
      </c>
      <c r="BB36" s="20" t="n">
        <f aca="false">AW67</f>
        <v>628.933</v>
      </c>
      <c r="BC36" s="20" t="n">
        <f aca="false">BB67</f>
        <v>780.974</v>
      </c>
      <c r="BD36" s="20" t="n">
        <f aca="false">BC67</f>
        <v>726.523</v>
      </c>
      <c r="BE36" s="20" t="n">
        <f aca="false">BD67</f>
        <v>669.054</v>
      </c>
      <c r="BF36" s="20" t="n">
        <f aca="false">BE67</f>
        <v>635.356</v>
      </c>
      <c r="BG36" s="20" t="n">
        <f aca="false">BB67</f>
        <v>780.974</v>
      </c>
      <c r="BH36" s="20" t="n">
        <f aca="false">BG67</f>
        <v>929.88</v>
      </c>
      <c r="BI36" s="20" t="n">
        <f aca="false">BH67</f>
        <v>1294.99</v>
      </c>
      <c r="BJ36" s="20" t="n">
        <f aca="false">BI67</f>
        <v>1579.598</v>
      </c>
      <c r="BK36" s="20" t="n">
        <f aca="false">BJ67</f>
        <v>1484.111</v>
      </c>
      <c r="BL36" s="20" t="n">
        <f aca="false">BG67</f>
        <v>929.88</v>
      </c>
      <c r="BM36" s="20" t="n">
        <f aca="false">BL67</f>
        <v>1719.401</v>
      </c>
      <c r="BN36" s="20" t="n">
        <f aca="false">BM67</f>
        <v>1719.725</v>
      </c>
      <c r="BO36" s="21" t="n">
        <f aca="false">BN67</f>
        <v>1600.454</v>
      </c>
      <c r="BP36" s="21" t="n">
        <f aca="false">BO67</f>
        <v>1600.454</v>
      </c>
      <c r="BQ36" s="21" t="n">
        <f aca="false">BL67</f>
        <v>1719.401</v>
      </c>
      <c r="BR36" s="21" t="n">
        <f aca="false">BQ67</f>
        <v>1600.454</v>
      </c>
      <c r="BS36" s="21" t="n">
        <f aca="false">BR67</f>
        <v>1600.454</v>
      </c>
      <c r="BT36" s="21" t="n">
        <f aca="false">BS67</f>
        <v>1600.454</v>
      </c>
      <c r="BU36" s="21" t="n">
        <f aca="false">BT67</f>
        <v>1600.454</v>
      </c>
      <c r="BV36" s="15"/>
      <c r="CD36" s="22" t="s">
        <v>149</v>
      </c>
      <c r="CE36" s="53" t="n">
        <f aca="false">CF36+$CE$32</f>
        <v>1.2</v>
      </c>
      <c r="CF36" s="42" t="n">
        <v>1.05</v>
      </c>
      <c r="CG36" s="53" t="n">
        <f aca="false">CF36+$CG$32</f>
        <v>0.9</v>
      </c>
    </row>
    <row r="37" customFormat="false" ht="15" hidden="false" customHeight="false" outlineLevel="0" collapsed="false">
      <c r="B37" s="13" t="s">
        <v>104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24" t="n">
        <v>239.104</v>
      </c>
      <c r="AN37" s="24" t="n">
        <v>78.685</v>
      </c>
      <c r="AO37" s="24" t="n">
        <v>78.616</v>
      </c>
      <c r="AP37" s="24" t="n">
        <v>96.78</v>
      </c>
      <c r="AQ37" s="24" t="n">
        <v>70.387</v>
      </c>
      <c r="AR37" s="24" t="n">
        <v>324.468</v>
      </c>
      <c r="AS37" s="24" t="n">
        <v>204.119</v>
      </c>
      <c r="AT37" s="24" t="n">
        <v>101.84</v>
      </c>
      <c r="AU37" s="24" t="n">
        <v>2.79</v>
      </c>
      <c r="AV37" s="24" t="n">
        <v>103.609</v>
      </c>
      <c r="AW37" s="24" t="n">
        <v>412.359</v>
      </c>
      <c r="AX37" s="24" t="n">
        <v>145.686</v>
      </c>
      <c r="AY37" s="24" t="n">
        <v>164.375</v>
      </c>
      <c r="AZ37" s="24" t="n">
        <v>125.061</v>
      </c>
      <c r="BA37" s="24" t="n">
        <v>182.907</v>
      </c>
      <c r="BB37" s="24" t="n">
        <v>618.029</v>
      </c>
      <c r="BC37" s="24" t="n">
        <v>62.414</v>
      </c>
      <c r="BD37" s="24" t="n">
        <v>83.183</v>
      </c>
      <c r="BE37" s="24" t="n">
        <v>78.252</v>
      </c>
      <c r="BF37" s="24" t="n">
        <v>446.438</v>
      </c>
      <c r="BG37" s="24" t="n">
        <v>670.288</v>
      </c>
      <c r="BH37" s="24" t="n">
        <v>493.42</v>
      </c>
      <c r="BI37" s="24" t="n">
        <v>228.195</v>
      </c>
      <c r="BJ37" s="24" t="n">
        <v>159.342</v>
      </c>
      <c r="BK37" s="24" t="n">
        <v>528.774</v>
      </c>
      <c r="BL37" s="24" t="n">
        <v>1409.732</v>
      </c>
      <c r="BM37" s="24" t="n">
        <v>282.716</v>
      </c>
      <c r="BN37" s="24" t="n">
        <v>181.251</v>
      </c>
      <c r="BO37" s="21" t="n">
        <f aca="false">BO39*BO38</f>
        <v>363.352985482603</v>
      </c>
      <c r="BP37" s="21" t="n">
        <f aca="false">BP39*BP38</f>
        <v>424.424539603766</v>
      </c>
      <c r="BQ37" s="21" t="n">
        <f aca="false">SUM(BM37:BP37)</f>
        <v>1251.74452508637</v>
      </c>
      <c r="BR37" s="21" t="n">
        <f aca="false">BR39*BR38</f>
        <v>1542.57470384932</v>
      </c>
      <c r="BS37" s="21" t="n">
        <f aca="false">BS39*BS38</f>
        <v>1714.64416238823</v>
      </c>
      <c r="BT37" s="21" t="n">
        <f aca="false">BT39*BT38</f>
        <v>1935.7917434987</v>
      </c>
      <c r="BU37" s="21" t="n">
        <f aca="false">BU39*BU38</f>
        <v>2168.08675271854</v>
      </c>
      <c r="BV37" s="15"/>
      <c r="BX37" s="25" t="n">
        <f aca="false">IFERROR((BU37/BL37)^(1/5)-1,"n/m")</f>
        <v>0.0899034305529343</v>
      </c>
      <c r="BY37" s="25" t="n">
        <f aca="false">IFERROR((BL37/AM37)^(1/5)-1,"n/m")</f>
        <v>0.425968537282072</v>
      </c>
      <c r="BZ37" s="25" t="str">
        <f aca="false">IFERROR((BL37/N37)^(1/10)-1,"n/m")</f>
        <v>n/m</v>
      </c>
      <c r="CA37" s="25" t="str">
        <f aca="false">IFERROR((BL37/D37)^(1/12)-1,"n/m")</f>
        <v>n/m</v>
      </c>
      <c r="CD37" s="17" t="s">
        <v>164</v>
      </c>
      <c r="CE37" s="44" t="n">
        <v>0.05</v>
      </c>
      <c r="CF37" s="45" t="s">
        <v>136</v>
      </c>
      <c r="CG37" s="44" t="n">
        <v>-0.05</v>
      </c>
      <c r="CH37" s="12" t="s">
        <v>165</v>
      </c>
    </row>
    <row r="38" customFormat="false" ht="15" hidden="false" customHeight="false" outlineLevel="0" collapsed="false">
      <c r="B38" s="13" t="s">
        <v>108</v>
      </c>
      <c r="C38" s="26" t="str">
        <f aca="false">IF(AND(ISNUMBER(C37),ISNUMBER(C39)),IFERROR(C37/C39,""),"")</f>
        <v/>
      </c>
      <c r="D38" s="26" t="str">
        <f aca="false">IF(AND(ISNUMBER(D37),ISNUMBER(D39)),IFERROR(D37/D39,""),"")</f>
        <v/>
      </c>
      <c r="E38" s="26" t="str">
        <f aca="false">IF(AND(ISNUMBER(E37),ISNUMBER(E39)),IFERROR(E37/E39,""),"")</f>
        <v/>
      </c>
      <c r="F38" s="26" t="str">
        <f aca="false">IF(AND(ISNUMBER(F37),ISNUMBER(F39)),IFERROR(F37/F39,""),"")</f>
        <v/>
      </c>
      <c r="G38" s="26" t="str">
        <f aca="false">IF(AND(ISNUMBER(G37),ISNUMBER(G39)),IFERROR(G37/G39,""),"")</f>
        <v/>
      </c>
      <c r="H38" s="26" t="str">
        <f aca="false">IF(AND(ISNUMBER(H37),ISNUMBER(H39)),IFERROR(H37/H39,""),"")</f>
        <v/>
      </c>
      <c r="I38" s="26" t="str">
        <f aca="false">IF(AND(ISNUMBER(I37),ISNUMBER(I39)),IFERROR(I37/I39,""),"")</f>
        <v/>
      </c>
      <c r="J38" s="26" t="str">
        <f aca="false">IF(AND(ISNUMBER(J37),ISNUMBER(J39)),IFERROR(J37/J39,""),"")</f>
        <v/>
      </c>
      <c r="K38" s="26" t="str">
        <f aca="false">IF(AND(ISNUMBER(K37),ISNUMBER(K39)),IFERROR(K37/K39,""),"")</f>
        <v/>
      </c>
      <c r="L38" s="26" t="str">
        <f aca="false">IF(AND(ISNUMBER(L37),ISNUMBER(L39)),IFERROR(L37/L39,""),"")</f>
        <v/>
      </c>
      <c r="M38" s="26" t="str">
        <f aca="false">IF(AND(ISNUMBER(M37),ISNUMBER(M39)),IFERROR(M37/M39,""),"")</f>
        <v/>
      </c>
      <c r="N38" s="26" t="str">
        <f aca="false">IF(AND(ISNUMBER(N37),ISNUMBER(N39)),IFERROR(N37/N39,""),"")</f>
        <v/>
      </c>
      <c r="O38" s="26" t="str">
        <f aca="false">IF(AND(ISNUMBER(O37),ISNUMBER(O39)),IFERROR(O37/O39,""),"")</f>
        <v/>
      </c>
      <c r="P38" s="26" t="str">
        <f aca="false">IF(AND(ISNUMBER(P37),ISNUMBER(P39)),IFERROR(P37/P39,""),"")</f>
        <v/>
      </c>
      <c r="Q38" s="26" t="str">
        <f aca="false">IF(AND(ISNUMBER(Q37),ISNUMBER(Q39)),IFERROR(Q37/Q39,""),"")</f>
        <v/>
      </c>
      <c r="R38" s="26" t="str">
        <f aca="false">IF(AND(ISNUMBER(R37),ISNUMBER(R39)),IFERROR(R37/R39,""),"")</f>
        <v/>
      </c>
      <c r="S38" s="26" t="str">
        <f aca="false">IF(AND(ISNUMBER(S37),ISNUMBER(S39)),IFERROR(S37/S39,""),"")</f>
        <v/>
      </c>
      <c r="T38" s="26" t="str">
        <f aca="false">IF(AND(ISNUMBER(T37),ISNUMBER(T39)),IFERROR(T37/T39,""),"")</f>
        <v/>
      </c>
      <c r="U38" s="26" t="str">
        <f aca="false">IF(AND(ISNUMBER(U37),ISNUMBER(U39)),IFERROR(U37/U39,""),"")</f>
        <v/>
      </c>
      <c r="V38" s="26" t="str">
        <f aca="false">IF(AND(ISNUMBER(V37),ISNUMBER(V39)),IFERROR(V37/V39,""),"")</f>
        <v/>
      </c>
      <c r="W38" s="26" t="str">
        <f aca="false">IF(AND(ISNUMBER(W37),ISNUMBER(W39)),IFERROR(W37/W39,""),"")</f>
        <v/>
      </c>
      <c r="X38" s="26" t="str">
        <f aca="false">IF(AND(ISNUMBER(X37),ISNUMBER(X39)),IFERROR(X37/X39,""),"")</f>
        <v/>
      </c>
      <c r="Y38" s="26" t="str">
        <f aca="false">IF(AND(ISNUMBER(Y37),ISNUMBER(Y39)),IFERROR(Y37/Y39,""),"")</f>
        <v/>
      </c>
      <c r="Z38" s="26" t="str">
        <f aca="false">IF(AND(ISNUMBER(Z37),ISNUMBER(Z39)),IFERROR(Z37/Z39,""),"")</f>
        <v/>
      </c>
      <c r="AA38" s="26" t="str">
        <f aca="false">IF(AND(ISNUMBER(AA37),ISNUMBER(AA39)),IFERROR(AA37/AA39,""),"")</f>
        <v/>
      </c>
      <c r="AB38" s="26" t="str">
        <f aca="false">IF(AND(ISNUMBER(AB37),ISNUMBER(AB39)),IFERROR(AB37/AB39,""),"")</f>
        <v/>
      </c>
      <c r="AC38" s="26" t="str">
        <f aca="false">IF(AND(ISNUMBER(AC37),ISNUMBER(AC39)),IFERROR(AC37/AC39,""),"")</f>
        <v/>
      </c>
      <c r="AD38" s="26" t="str">
        <f aca="false">IF(AND(ISNUMBER(AD37),ISNUMBER(AD39)),IFERROR(AD37/AD39,""),"")</f>
        <v/>
      </c>
      <c r="AE38" s="26" t="str">
        <f aca="false">IF(AND(ISNUMBER(AE37),ISNUMBER(AE39)),IFERROR(AE37/AE39,""),"")</f>
        <v/>
      </c>
      <c r="AF38" s="26" t="str">
        <f aca="false">IF(AND(ISNUMBER(AF37),ISNUMBER(AF39)),IFERROR(AF37/AF39,""),"")</f>
        <v/>
      </c>
      <c r="AG38" s="26" t="str">
        <f aca="false">IF(AND(ISNUMBER(AG37),ISNUMBER(AG39)),IFERROR(AG37/AG39,""),"")</f>
        <v/>
      </c>
      <c r="AH38" s="26" t="str">
        <f aca="false">IF(AND(ISNUMBER(AH37),ISNUMBER(AH39)),IFERROR(AH37/AH39,""),"")</f>
        <v/>
      </c>
      <c r="AI38" s="26" t="str">
        <f aca="false">IF(AND(ISNUMBER(AI37),ISNUMBER(AI39)),IFERROR(AI37/AI39,""),"")</f>
        <v/>
      </c>
      <c r="AJ38" s="26" t="str">
        <f aca="false">IF(AND(ISNUMBER(AJ37),ISNUMBER(AJ39)),IFERROR(AJ37/AJ39,""),"")</f>
        <v/>
      </c>
      <c r="AK38" s="26" t="str">
        <f aca="false">IF(AND(ISNUMBER(AK37),ISNUMBER(AK39)),IFERROR(AK37/AK39,""),"")</f>
        <v/>
      </c>
      <c r="AL38" s="26" t="str">
        <f aca="false">IF(AND(ISNUMBER(AL37),ISNUMBER(AL39)),IFERROR(AL37/AL39,""),"")</f>
        <v/>
      </c>
      <c r="AM38" s="26" t="n">
        <f aca="false">IF(AND(ISNUMBER(AM37),ISNUMBER(AM39)),IFERROR(AM37/AM39,""),"")</f>
        <v>0.64401821859622</v>
      </c>
      <c r="AN38" s="26" t="n">
        <f aca="false">IF(AND(ISNUMBER(AN37),ISNUMBER(AN39)),IFERROR(AN37/AN39,""),"")</f>
        <v>0.732648652675096</v>
      </c>
      <c r="AO38" s="26" t="n">
        <f aca="false">IF(AND(ISNUMBER(AO37),ISNUMBER(AO39)),IFERROR(AO37/AO39,""),"")</f>
        <v>0.771940849551266</v>
      </c>
      <c r="AP38" s="26" t="n">
        <f aca="false">IF(AND(ISNUMBER(AP37),ISNUMBER(AP39)),IFERROR(AP37/AP39,""),"")</f>
        <v>1.16068216161762</v>
      </c>
      <c r="AQ38" s="26" t="n">
        <f aca="false">IF(AND(ISNUMBER(AQ37),ISNUMBER(AQ39)),IFERROR(AQ37/AQ39,""),"")</f>
        <v>0.614948453608248</v>
      </c>
      <c r="AR38" s="26" t="n">
        <f aca="false">IF(AND(ISNUMBER(AR37),ISNUMBER(AR39)),IFERROR(AR37/AR39,""),"")</f>
        <v>0.797058086577152</v>
      </c>
      <c r="AS38" s="26" t="n">
        <f aca="false">IF(AND(ISNUMBER(AS37),ISNUMBER(AS39)),IFERROR(AS37/AS39,""),"")</f>
        <v>2.04221110555278</v>
      </c>
      <c r="AT38" s="26" t="n">
        <f aca="false">IF(AND(ISNUMBER(AT37),ISNUMBER(AT39)),IFERROR(AT37/AT39,""),"")</f>
        <v>0.859249759538314</v>
      </c>
      <c r="AU38" s="26" t="n">
        <f aca="false">IF(AND(ISNUMBER(AU37),ISNUMBER(AU39)),IFERROR(AU37/AU39,""),"")</f>
        <v>0.027408295184392</v>
      </c>
      <c r="AV38" s="26" t="n">
        <f aca="false">IF(AND(ISNUMBER(AV37),ISNUMBER(AV39)),IFERROR(AV37/AV39,""),"")</f>
        <v>0.967476562208195</v>
      </c>
      <c r="AW38" s="26" t="n">
        <f aca="false">IF(AND(ISNUMBER(AW37),ISNUMBER(AW39)),IFERROR(AW37/AW39,""),"")</f>
        <v>0.964902961919515</v>
      </c>
      <c r="AX38" s="26" t="n">
        <f aca="false">IF(AND(ISNUMBER(AX37),ISNUMBER(AX39)),IFERROR(AX37/AX39,""),"")</f>
        <v>1.33750137710697</v>
      </c>
      <c r="AY38" s="26" t="n">
        <f aca="false">IF(AND(ISNUMBER(AY37),ISNUMBER(AY39)),IFERROR(AY37/AY39,""),"")</f>
        <v>1.35936983129342</v>
      </c>
      <c r="AZ38" s="26" t="n">
        <f aca="false">IF(AND(ISNUMBER(AZ37),ISNUMBER(AZ39)),IFERROR(AZ37/AZ39,""),"")</f>
        <v>1.11304835393693</v>
      </c>
      <c r="BA38" s="26" t="n">
        <f aca="false">IF(AND(ISNUMBER(BA37),ISNUMBER(BA39)),IFERROR(BA37/BA39,""),"")</f>
        <v>1.47338107474565</v>
      </c>
      <c r="BB38" s="26" t="n">
        <f aca="false">IF(AND(ISNUMBER(BB37),ISNUMBER(BB39)),IFERROR(BB37/BB39,""),"")</f>
        <v>1.32526418266344</v>
      </c>
      <c r="BC38" s="26" t="n">
        <f aca="false">IF(AND(ISNUMBER(BC37),ISNUMBER(BC39)),IFERROR(BC37/BC39,""),"")</f>
        <v>0.533279789470087</v>
      </c>
      <c r="BD38" s="26" t="n">
        <f aca="false">IF(AND(ISNUMBER(BD37),ISNUMBER(BD39)),IFERROR(BD37/BD39,""),"")</f>
        <v>0.587903117512775</v>
      </c>
      <c r="BE38" s="26" t="n">
        <f aca="false">IF(AND(ISNUMBER(BE37),ISNUMBER(BE39)),IFERROR(BE37/BE39,""),"")</f>
        <v>0.691809887545088</v>
      </c>
      <c r="BF38" s="26" t="n">
        <f aca="false">IF(AND(ISNUMBER(BF37),ISNUMBER(BF39)),IFERROR(BF37/BF39,""),"")</f>
        <v>2.93071009840413</v>
      </c>
      <c r="BG38" s="26" t="n">
        <f aca="false">IF(AND(ISNUMBER(BG37),ISNUMBER(BG39)),IFERROR(BG37/BG39,""),"")</f>
        <v>1.27924392906491</v>
      </c>
      <c r="BH38" s="26" t="n">
        <f aca="false">IF(AND(ISNUMBER(BH37),ISNUMBER(BH39)),IFERROR(BH37/BH39,""),"")</f>
        <v>3.84553035616865</v>
      </c>
      <c r="BI38" s="26" t="n">
        <f aca="false">IF(AND(ISNUMBER(BI37),ISNUMBER(BI39)),IFERROR(BI37/BI39,""),"")</f>
        <v>1.29553931837923</v>
      </c>
      <c r="BJ38" s="26" t="n">
        <f aca="false">IF(AND(ISNUMBER(BJ37),ISNUMBER(BJ39)),IFERROR(BJ37/BJ39,""),"")</f>
        <v>0.634902040474796</v>
      </c>
      <c r="BK38" s="26" t="n">
        <f aca="false">IF(AND(ISNUMBER(BK37),ISNUMBER(BK39)),IFERROR(BK37/BK39,""),"")</f>
        <v>1.77649588442802</v>
      </c>
      <c r="BL38" s="26" t="n">
        <f aca="false">IF(AND(ISNUMBER(BL37),ISNUMBER(BL39)),IFERROR(BL37/BL39,""),"")</f>
        <v>1.6525396509079</v>
      </c>
      <c r="BM38" s="26" t="n">
        <f aca="false">IF(AND(ISNUMBER(BM37),ISNUMBER(BM39)),IFERROR(BM37/BM39,""),"")</f>
        <v>0.996724779213454</v>
      </c>
      <c r="BN38" s="26" t="n">
        <f aca="false">IF(AND(ISNUMBER(BN37),ISNUMBER(BN39)),IFERROR(BN37/BN39,""),"")</f>
        <v>0.599153091447612</v>
      </c>
      <c r="BO38" s="27" t="n">
        <v>1</v>
      </c>
      <c r="BP38" s="27" t="n">
        <v>1</v>
      </c>
      <c r="BQ38" s="28" t="n">
        <f aca="false">IF(AND(ISNUMBER(BQ37),ISNUMBER(BQ39)),IFERROR(BQ37/BQ39,""),"")</f>
        <v>0.911065631026108</v>
      </c>
      <c r="BR38" s="28" t="n">
        <f aca="false">CHOOSE(MATCH($BV$2,{"Bull","Base","Bear"},0),$CE$48,$CF$48,$CG$48)</f>
        <v>1</v>
      </c>
      <c r="BS38" s="28" t="n">
        <f aca="false">CHOOSE(MATCH($BV$2,{"Bull","Base","Bear"},0),$CE$49,$CF$49,$CG$49)</f>
        <v>1</v>
      </c>
      <c r="BT38" s="28" t="n">
        <f aca="false">CHOOSE(MATCH($BV$2,{"Bull","Base","Bear"},0),$CE$50,$CF$50,$CG$50)</f>
        <v>1</v>
      </c>
      <c r="BU38" s="28" t="n">
        <f aca="false">CHOOSE(MATCH($BV$2,{"Bull","Base","Bear"},0),$CE$51,$CF$51,$CG$51)</f>
        <v>1</v>
      </c>
      <c r="BV38" s="15" t="s">
        <v>166</v>
      </c>
      <c r="CD38" s="22" t="s">
        <v>140</v>
      </c>
      <c r="CE38" s="46" t="n">
        <f aca="false">CF38+$CE$37</f>
        <v>0.2</v>
      </c>
      <c r="CF38" s="47" t="n">
        <v>0.15</v>
      </c>
      <c r="CG38" s="46" t="n">
        <f aca="false">CF38+$CG$37</f>
        <v>0.1</v>
      </c>
    </row>
    <row r="39" customFormat="false" ht="15" hidden="false" customHeight="false" outlineLevel="0" collapsed="false">
      <c r="B39" s="30" t="s">
        <v>112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2" t="n">
        <v>371.269</v>
      </c>
      <c r="AN39" s="32" t="n">
        <v>107.398</v>
      </c>
      <c r="AO39" s="32" t="n">
        <v>101.842</v>
      </c>
      <c r="AP39" s="32" t="n">
        <v>83.382</v>
      </c>
      <c r="AQ39" s="32" t="n">
        <v>114.46</v>
      </c>
      <c r="AR39" s="32" t="n">
        <v>407.082</v>
      </c>
      <c r="AS39" s="32" t="n">
        <v>99.95</v>
      </c>
      <c r="AT39" s="32" t="n">
        <v>118.522</v>
      </c>
      <c r="AU39" s="32" t="n">
        <v>101.794</v>
      </c>
      <c r="AV39" s="32" t="n">
        <v>107.092</v>
      </c>
      <c r="AW39" s="32" t="n">
        <v>427.358</v>
      </c>
      <c r="AX39" s="32" t="n">
        <v>108.924</v>
      </c>
      <c r="AY39" s="32" t="n">
        <v>120.92</v>
      </c>
      <c r="AZ39" s="32" t="n">
        <v>112.359</v>
      </c>
      <c r="BA39" s="32" t="n">
        <v>124.141</v>
      </c>
      <c r="BB39" s="32" t="n">
        <v>466.344</v>
      </c>
      <c r="BC39" s="32" t="n">
        <v>117.038</v>
      </c>
      <c r="BD39" s="32" t="n">
        <v>141.491</v>
      </c>
      <c r="BE39" s="32" t="n">
        <v>113.112</v>
      </c>
      <c r="BF39" s="32" t="n">
        <v>152.331</v>
      </c>
      <c r="BG39" s="32" t="n">
        <v>523.972</v>
      </c>
      <c r="BH39" s="32" t="n">
        <v>128.31</v>
      </c>
      <c r="BI39" s="32" t="n">
        <v>176.139</v>
      </c>
      <c r="BJ39" s="32" t="n">
        <v>250.971</v>
      </c>
      <c r="BK39" s="32" t="n">
        <v>297.65</v>
      </c>
      <c r="BL39" s="32" t="n">
        <v>853.07</v>
      </c>
      <c r="BM39" s="32" t="n">
        <v>283.645</v>
      </c>
      <c r="BN39" s="32" t="n">
        <v>302.512</v>
      </c>
      <c r="BO39" s="33" t="n">
        <f aca="false">BJ39*(1+BO41)+BO47</f>
        <v>363.352985482603</v>
      </c>
      <c r="BP39" s="33" t="n">
        <f aca="false">BK39*(1+BP41)+BP47</f>
        <v>424.424539603766</v>
      </c>
      <c r="BQ39" s="33" t="n">
        <f aca="false">SUM(BM39:BP39)</f>
        <v>1373.93452508637</v>
      </c>
      <c r="BR39" s="33" t="n">
        <f aca="false">BR42+BR47+BR48</f>
        <v>1542.57470384932</v>
      </c>
      <c r="BS39" s="33" t="n">
        <f aca="false">BS42+BS47+BS48</f>
        <v>1714.64416238823</v>
      </c>
      <c r="BT39" s="33" t="n">
        <f aca="false">BT42+BT47+BT48</f>
        <v>1935.7917434987</v>
      </c>
      <c r="BU39" s="33" t="n">
        <f aca="false">BU42+BU47+BU48</f>
        <v>2168.08675271854</v>
      </c>
      <c r="BV39" s="15" t="s">
        <v>167</v>
      </c>
      <c r="BX39" s="25" t="n">
        <f aca="false">IFERROR((BU39/BL39)^(1/5)-1,"n/m")</f>
        <v>0.205086988404013</v>
      </c>
      <c r="BY39" s="25" t="n">
        <f aca="false">IFERROR((BL39/AM39)^(1/5)-1,"n/m")</f>
        <v>0.181025286448178</v>
      </c>
      <c r="BZ39" s="25" t="str">
        <f aca="false">IFERROR((BL39/N39)^(1/10)-1,"n/m")</f>
        <v>n/m</v>
      </c>
      <c r="CA39" s="25" t="str">
        <f aca="false">IFERROR((BL39/D39)^(1/12)-1,"n/m")</f>
        <v>n/m</v>
      </c>
      <c r="CD39" s="22" t="s">
        <v>143</v>
      </c>
      <c r="CE39" s="46" t="n">
        <f aca="false">CF39+$CE$37</f>
        <v>0.19</v>
      </c>
      <c r="CF39" s="47" t="n">
        <v>0.14</v>
      </c>
      <c r="CG39" s="46" t="n">
        <f aca="false">CF39+$CG$37</f>
        <v>0.09</v>
      </c>
    </row>
    <row r="40" customFormat="false" ht="15" hidden="false" customHeight="false" outlineLevel="0" collapsed="false">
      <c r="B40" s="13" t="s">
        <v>168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48" t="n">
        <v>0.3</v>
      </c>
      <c r="BP40" s="48" t="n">
        <v>0.3</v>
      </c>
      <c r="BQ40" s="36"/>
      <c r="BR40" s="36"/>
      <c r="BS40" s="36"/>
      <c r="BT40" s="36"/>
      <c r="BU40" s="36"/>
      <c r="BV40" s="15" t="s">
        <v>169</v>
      </c>
      <c r="CD40" s="22" t="s">
        <v>146</v>
      </c>
      <c r="CE40" s="46" t="n">
        <f aca="false">CF40+$CE$37</f>
        <v>0.18</v>
      </c>
      <c r="CF40" s="47" t="n">
        <v>0.13</v>
      </c>
      <c r="CG40" s="46" t="n">
        <f aca="false">CF40+$CG$37</f>
        <v>0.08</v>
      </c>
    </row>
    <row r="41" customFormat="false" ht="15" hidden="false" customHeight="false" outlineLevel="0" collapsed="false">
      <c r="B41" s="13" t="s">
        <v>170</v>
      </c>
      <c r="C41" s="34"/>
      <c r="D41" s="37" t="str">
        <f aca="false">IF(AND(ISNUMBER(D39),ISNUMBER(C39)),IFERROR(D39/C39-1,""),"")</f>
        <v/>
      </c>
      <c r="E41" s="34"/>
      <c r="F41" s="34"/>
      <c r="G41" s="34"/>
      <c r="H41" s="34"/>
      <c r="I41" s="37" t="str">
        <f aca="false">IF(AND(ISNUMBER(I39),ISNUMBER(D39)),IFERROR(I39/D39-1,""),"")</f>
        <v/>
      </c>
      <c r="J41" s="37" t="str">
        <f aca="false">IF(AND(ISNUMBER(J39),ISNUMBER(E39)),IFERROR(J39/E39-1,""),"")</f>
        <v/>
      </c>
      <c r="K41" s="37" t="str">
        <f aca="false">IF(AND(ISNUMBER(K39),ISNUMBER(F39)),IFERROR(K39/F39-1,""),"")</f>
        <v/>
      </c>
      <c r="L41" s="37" t="str">
        <f aca="false">IF(AND(ISNUMBER(L39),ISNUMBER(G39)),IFERROR(L39/G39-1,""),"")</f>
        <v/>
      </c>
      <c r="M41" s="37" t="str">
        <f aca="false">IF(AND(ISNUMBER(M39),ISNUMBER(H39)),IFERROR(M39/H39-1,""),"")</f>
        <v/>
      </c>
      <c r="N41" s="37" t="str">
        <f aca="false">IF(AND(ISNUMBER(N39),ISNUMBER(I39)),IFERROR(N39/I39-1,""),"")</f>
        <v/>
      </c>
      <c r="O41" s="37" t="str">
        <f aca="false">IF(AND(ISNUMBER(O39),ISNUMBER(J39)),IFERROR(O39/J39-1,""),"")</f>
        <v/>
      </c>
      <c r="P41" s="37" t="str">
        <f aca="false">IF(AND(ISNUMBER(P39),ISNUMBER(K39)),IFERROR(P39/K39-1,""),"")</f>
        <v/>
      </c>
      <c r="Q41" s="37" t="str">
        <f aca="false">IF(AND(ISNUMBER(Q39),ISNUMBER(L39)),IFERROR(Q39/L39-1,""),"")</f>
        <v/>
      </c>
      <c r="R41" s="37" t="str">
        <f aca="false">IF(AND(ISNUMBER(R39),ISNUMBER(M39)),IFERROR(R39/M39-1,""),"")</f>
        <v/>
      </c>
      <c r="S41" s="37" t="str">
        <f aca="false">IF(AND(ISNUMBER(S39),ISNUMBER(N39)),IFERROR(S39/N39-1,""),"")</f>
        <v/>
      </c>
      <c r="T41" s="37" t="str">
        <f aca="false">IF(AND(ISNUMBER(T39),ISNUMBER(O39)),IFERROR(T39/O39-1,""),"")</f>
        <v/>
      </c>
      <c r="U41" s="37" t="str">
        <f aca="false">IF(AND(ISNUMBER(U39),ISNUMBER(P39)),IFERROR(U39/P39-1,""),"")</f>
        <v/>
      </c>
      <c r="V41" s="37" t="str">
        <f aca="false">IF(AND(ISNUMBER(V39),ISNUMBER(Q39)),IFERROR(V39/Q39-1,""),"")</f>
        <v/>
      </c>
      <c r="W41" s="37" t="str">
        <f aca="false">IF(AND(ISNUMBER(W39),ISNUMBER(R39)),IFERROR(W39/R39-1,""),"")</f>
        <v/>
      </c>
      <c r="X41" s="37" t="str">
        <f aca="false">IF(AND(ISNUMBER(X39),ISNUMBER(S39)),IFERROR(X39/S39-1,""),"")</f>
        <v/>
      </c>
      <c r="Y41" s="37" t="str">
        <f aca="false">IF(AND(ISNUMBER(Y39),ISNUMBER(T39)),IFERROR(Y39/T39-1,""),"")</f>
        <v/>
      </c>
      <c r="Z41" s="37" t="str">
        <f aca="false">IF(AND(ISNUMBER(Z39),ISNUMBER(U39)),IFERROR(Z39/U39-1,""),"")</f>
        <v/>
      </c>
      <c r="AA41" s="37" t="str">
        <f aca="false">IF(AND(ISNUMBER(AA39),ISNUMBER(V39)),IFERROR(AA39/V39-1,""),"")</f>
        <v/>
      </c>
      <c r="AB41" s="37" t="str">
        <f aca="false">IF(AND(ISNUMBER(AB39),ISNUMBER(W39)),IFERROR(AB39/W39-1,""),"")</f>
        <v/>
      </c>
      <c r="AC41" s="37" t="str">
        <f aca="false">IF(AND(ISNUMBER(AC39),ISNUMBER(X39)),IFERROR(AC39/X39-1,""),"")</f>
        <v/>
      </c>
      <c r="AD41" s="37" t="str">
        <f aca="false">IF(AND(ISNUMBER(AD39),ISNUMBER(Y39)),IFERROR(AD39/Y39-1,""),"")</f>
        <v/>
      </c>
      <c r="AE41" s="37" t="str">
        <f aca="false">IF(AND(ISNUMBER(AE39),ISNUMBER(Z39)),IFERROR(AE39/Z39-1,""),"")</f>
        <v/>
      </c>
      <c r="AF41" s="37" t="str">
        <f aca="false">IF(AND(ISNUMBER(AF39),ISNUMBER(AA39)),IFERROR(AF39/AA39-1,""),"")</f>
        <v/>
      </c>
      <c r="AG41" s="37" t="str">
        <f aca="false">IF(AND(ISNUMBER(AG39),ISNUMBER(AB39)),IFERROR(AG39/AB39-1,""),"")</f>
        <v/>
      </c>
      <c r="AH41" s="37" t="str">
        <f aca="false">IF(AND(ISNUMBER(AH39),ISNUMBER(AC39)),IFERROR(AH39/AC39-1,""),"")</f>
        <v/>
      </c>
      <c r="AI41" s="37" t="str">
        <f aca="false">IF(AND(ISNUMBER(AI39),ISNUMBER(AD39)),IFERROR(AI39/AD39-1,""),"")</f>
        <v/>
      </c>
      <c r="AJ41" s="37" t="str">
        <f aca="false">IF(AND(ISNUMBER(AJ39),ISNUMBER(AE39)),IFERROR(AJ39/AE39-1,""),"")</f>
        <v/>
      </c>
      <c r="AK41" s="37" t="str">
        <f aca="false">IF(AND(ISNUMBER(AK39),ISNUMBER(AF39)),IFERROR(AK39/AF39-1,""),"")</f>
        <v/>
      </c>
      <c r="AL41" s="37" t="str">
        <f aca="false">IF(AND(ISNUMBER(AL39),ISNUMBER(AG39)),IFERROR(AL39/AG39-1,""),"")</f>
        <v/>
      </c>
      <c r="AM41" s="37" t="str">
        <f aca="false">IF(AND(ISNUMBER(AM39),ISNUMBER(AH39)),IFERROR(AM39/AH39-1,""),"")</f>
        <v/>
      </c>
      <c r="AN41" s="37" t="str">
        <f aca="false">IF(AND(ISNUMBER(AN39),ISNUMBER(AI39)),IFERROR(AN39/AI39-1,""),"")</f>
        <v/>
      </c>
      <c r="AO41" s="37" t="str">
        <f aca="false">IF(AND(ISNUMBER(AO39),ISNUMBER(AJ39)),IFERROR(AO39/AJ39-1,""),"")</f>
        <v/>
      </c>
      <c r="AP41" s="37" t="str">
        <f aca="false">IF(AND(ISNUMBER(AP39),ISNUMBER(AK39)),IFERROR(AP39/AK39-1,""),"")</f>
        <v/>
      </c>
      <c r="AQ41" s="37" t="str">
        <f aca="false">IF(AND(ISNUMBER(AQ39),ISNUMBER(AL39)),IFERROR(AQ39/AL39-1,""),"")</f>
        <v/>
      </c>
      <c r="AR41" s="37" t="n">
        <f aca="false">IF(AND(ISNUMBER(AR39),ISNUMBER(AM39)),IFERROR(AR39/AM39-1,""),"")</f>
        <v>0.0964610565385207</v>
      </c>
      <c r="AS41" s="37" t="n">
        <f aca="false">IF(AND(ISNUMBER(AS39),ISNUMBER(AN39)),IFERROR(AS39/AN39-1,""),"")</f>
        <v>-0.0693495223374736</v>
      </c>
      <c r="AT41" s="37" t="n">
        <f aca="false">IF(AND(ISNUMBER(AT39),ISNUMBER(AO39)),IFERROR(AT39/AO39-1,""),"")</f>
        <v>0.163783115021308</v>
      </c>
      <c r="AU41" s="37" t="n">
        <f aca="false">IF(AND(ISNUMBER(AU39),ISNUMBER(AP39)),IFERROR(AU39/AP39-1,""),"")</f>
        <v>0.220815044014296</v>
      </c>
      <c r="AV41" s="37" t="n">
        <f aca="false">IF(AND(ISNUMBER(AV39),ISNUMBER(AQ39)),IFERROR(AV39/AQ39-1,""),"")</f>
        <v>-0.064371832954744</v>
      </c>
      <c r="AW41" s="37" t="n">
        <f aca="false">IF(AND(ISNUMBER(AW39),ISNUMBER(AR39)),IFERROR(AW39/AR39-1,""),"")</f>
        <v>0.0498081467615861</v>
      </c>
      <c r="AX41" s="37" t="n">
        <f aca="false">IF(AND(ISNUMBER(AX39),ISNUMBER(AS39)),IFERROR(AX39/AS39-1,""),"")</f>
        <v>0.0897848924462232</v>
      </c>
      <c r="AY41" s="37" t="n">
        <f aca="false">IF(AND(ISNUMBER(AY39),ISNUMBER(AT39)),IFERROR(AY39/AT39-1,""),"")</f>
        <v>0.0202325306694116</v>
      </c>
      <c r="AZ41" s="37" t="n">
        <f aca="false">IF(AND(ISNUMBER(AZ39),ISNUMBER(AU39)),IFERROR(AZ39/AU39-1,""),"")</f>
        <v>0.103788042517241</v>
      </c>
      <c r="BA41" s="37" t="n">
        <f aca="false">IF(AND(ISNUMBER(BA39),ISNUMBER(AV39)),IFERROR(BA39/AV39-1,""),"")</f>
        <v>0.159199566727674</v>
      </c>
      <c r="BB41" s="37" t="n">
        <f aca="false">IF(AND(ISNUMBER(BB39),ISNUMBER(AW39)),IFERROR(BB39/AW39-1,""),"")</f>
        <v>0.091225623481952</v>
      </c>
      <c r="BC41" s="37" t="n">
        <f aca="false">IF(AND(ISNUMBER(BC39),ISNUMBER(AX39)),IFERROR(BC39/AX39-1,""),"")</f>
        <v>0.0744923065623737</v>
      </c>
      <c r="BD41" s="37" t="n">
        <f aca="false">IF(AND(ISNUMBER(BD39),ISNUMBER(AY39)),IFERROR(BD39/AY39-1,""),"")</f>
        <v>0.170120740985776</v>
      </c>
      <c r="BE41" s="37" t="n">
        <f aca="false">IF(AND(ISNUMBER(BE39),ISNUMBER(AZ39)),IFERROR(BE39/AZ39-1,""),"")</f>
        <v>0.00670173283849085</v>
      </c>
      <c r="BF41" s="37" t="n">
        <f aca="false">IF(AND(ISNUMBER(BF39),ISNUMBER(BA39)),IFERROR(BF39/BA39-1,""),"")</f>
        <v>0.227080497176597</v>
      </c>
      <c r="BG41" s="37" t="n">
        <f aca="false">IF(AND(ISNUMBER(BG39),ISNUMBER(BB39)),IFERROR(BG39/BB39-1,""),"")</f>
        <v>0.12357401403256</v>
      </c>
      <c r="BH41" s="37" t="n">
        <f aca="false">IF(AND(ISNUMBER(BH39),ISNUMBER(BC39)),IFERROR(BH39/BC39-1,""),"")</f>
        <v>0.0963105999760763</v>
      </c>
      <c r="BI41" s="37" t="n">
        <f aca="false">IF(AND(ISNUMBER(BI39),ISNUMBER(BD39)),IFERROR(BI39/BD39-1,""),"")</f>
        <v>0.244877766076994</v>
      </c>
      <c r="BJ41" s="37" t="n">
        <f aca="false">IF(AND(ISNUMBER(BJ39),ISNUMBER(BE39)),IFERROR(BJ39/BE39-1,""),"")</f>
        <v>1.21878315298112</v>
      </c>
      <c r="BK41" s="37" t="n">
        <f aca="false">IF(AND(ISNUMBER(BK39),ISNUMBER(BF39)),IFERROR(BK39/BF39-1,""),"")</f>
        <v>0.953968660351471</v>
      </c>
      <c r="BL41" s="37" t="n">
        <f aca="false">IF(AND(ISNUMBER(BL39),ISNUMBER(BG39)),IFERROR(BL39/BG39-1,""),"")</f>
        <v>0.628083180017253</v>
      </c>
      <c r="BM41" s="37" t="n">
        <f aca="false">IF(AND(ISNUMBER(BM39),ISNUMBER(BH39)),IFERROR(BM39/BH39-1,""),"")</f>
        <v>1.21062271062271</v>
      </c>
      <c r="BN41" s="37" t="n">
        <f aca="false">IF(AND(ISNUMBER(BN39),ISNUMBER(BI39)),IFERROR(BN39/BI39-1,""),"")</f>
        <v>0.7174617773463</v>
      </c>
      <c r="BO41" s="35" t="n">
        <f aca="false">BO40+BO118</f>
        <v>0.308330386708436</v>
      </c>
      <c r="BP41" s="35" t="n">
        <f aca="false">BP40+BP118</f>
        <v>0.308330386708436</v>
      </c>
      <c r="BQ41" s="35" t="n">
        <f aca="false">IF(AND(ISNUMBER(BQ39),ISNUMBER(BL39)),IFERROR(BQ39/BL39-1,""),"")</f>
        <v>0.610576535438322</v>
      </c>
      <c r="BR41" s="35" t="n">
        <f aca="false">IF(AND(ISNUMBER(BR39),ISNUMBER(BQ39)),IFERROR(BR39/BQ39-1,""),"")</f>
        <v>0.122742514787853</v>
      </c>
      <c r="BS41" s="35" t="n">
        <f aca="false">IF(AND(ISNUMBER(BS39),ISNUMBER(BR39)),IFERROR(BS39/BR39-1,""),"")</f>
        <v>0.11154692094297</v>
      </c>
      <c r="BT41" s="35" t="n">
        <f aca="false">IF(AND(ISNUMBER(BT39),ISNUMBER(BS39)),IFERROR(BT39/BS39-1,""),"")</f>
        <v>0.128975787490768</v>
      </c>
      <c r="BU41" s="35" t="n">
        <f aca="false">IF(AND(ISNUMBER(BU39),ISNUMBER(BT39)),IFERROR(BU39/BT39-1,""),"")</f>
        <v>0.12</v>
      </c>
      <c r="BV41" s="15"/>
      <c r="BX41" s="38" t="n">
        <f aca="false">IFERROR(AVERAGE(BQ41,BR41,BS41,BT41,BU41),"n/m")</f>
        <v>0.218768351731982</v>
      </c>
      <c r="BY41" s="38" t="n">
        <f aca="false">IFERROR(AVERAGE(AR41,AW41,BB41,BG41,BL41),"n/m")</f>
        <v>0.197830404166374</v>
      </c>
      <c r="BZ41" s="38" t="n">
        <f aca="false">IFERROR(AVERAGE(S41,X41,AC41,AH41,AM41,AR41,AW41,BB41,BG41,BL41),"n/m")</f>
        <v>0.197830404166374</v>
      </c>
      <c r="CA41" s="38" t="n">
        <f aca="false">IFERROR(AVERAGE(D41,I41,N41,S41,X41,AC41,AH41,AM41,AR41,AW41,BB41,BG41,BL41),"n/m")</f>
        <v>0.197830404166374</v>
      </c>
      <c r="CD41" s="22" t="s">
        <v>149</v>
      </c>
      <c r="CE41" s="46" t="n">
        <f aca="false">CF41+$CE$37</f>
        <v>0.17</v>
      </c>
      <c r="CF41" s="47" t="n">
        <v>0.12</v>
      </c>
      <c r="CG41" s="46" t="n">
        <f aca="false">CF41+$CG$37</f>
        <v>0.07</v>
      </c>
    </row>
    <row r="42" customFormat="false" ht="15" hidden="false" customHeight="false" outlineLevel="0" collapsed="false">
      <c r="B42" s="13" t="s">
        <v>171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36"/>
      <c r="BP42" s="36"/>
      <c r="BQ42" s="21" t="n">
        <f aca="false">BQ39-BQ47-BQ48</f>
        <v>1173.93452508637</v>
      </c>
      <c r="BR42" s="21" t="n">
        <f aca="false">BQ42*(1+BR43)</f>
        <v>1350.02470384932</v>
      </c>
      <c r="BS42" s="21" t="n">
        <f aca="false">BR42*(1+BS43)</f>
        <v>1539.02816238823</v>
      </c>
      <c r="BT42" s="21" t="n">
        <f aca="false">BS42*(1+BT43)</f>
        <v>1739.1018234987</v>
      </c>
      <c r="BU42" s="21" t="n">
        <f aca="false">BT42*(1+BU43)</f>
        <v>1947.79404231854</v>
      </c>
      <c r="BV42" s="15" t="s">
        <v>172</v>
      </c>
      <c r="CD42" s="17" t="s">
        <v>173</v>
      </c>
      <c r="CE42" s="44" t="n">
        <v>0.015</v>
      </c>
      <c r="CF42" s="45" t="s">
        <v>136</v>
      </c>
      <c r="CG42" s="44" t="n">
        <v>-0.015</v>
      </c>
      <c r="CH42" s="12" t="s">
        <v>174</v>
      </c>
    </row>
    <row r="43" customFormat="false" ht="15" hidden="false" customHeight="false" outlineLevel="0" collapsed="false">
      <c r="B43" s="13" t="s">
        <v>175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6"/>
      <c r="BP43" s="36"/>
      <c r="BQ43" s="36"/>
      <c r="BR43" s="35" t="n">
        <f aca="false">CHOOSE(MATCH($BV$2,{"Bull","Base","Bear"},0),$CE$38,$CF$38,$CG$38)</f>
        <v>0.15</v>
      </c>
      <c r="BS43" s="35" t="n">
        <f aca="false">CHOOSE(MATCH($BV$2,{"Bull","Base","Bear"},0),$CE$39,$CF$39,$CG$39)</f>
        <v>0.14</v>
      </c>
      <c r="BT43" s="35" t="n">
        <f aca="false">CHOOSE(MATCH($BV$2,{"Bull","Base","Bear"},0),$CE$40,$CF$40,$CG$40)</f>
        <v>0.13</v>
      </c>
      <c r="BU43" s="35" t="n">
        <f aca="false">CHOOSE(MATCH($BV$2,{"Bull","Base","Bear"},0),$CE$41,$CF$41,$CG$41)</f>
        <v>0.12</v>
      </c>
      <c r="BV43" s="15" t="s">
        <v>176</v>
      </c>
      <c r="CD43" s="22" t="s">
        <v>140</v>
      </c>
      <c r="CE43" s="46" t="n">
        <f aca="false">CF43+$CE$42</f>
        <v>0.135</v>
      </c>
      <c r="CF43" s="47" t="n">
        <v>0.12</v>
      </c>
      <c r="CG43" s="46" t="n">
        <f aca="false">CF43+$CG$42</f>
        <v>0.105</v>
      </c>
    </row>
    <row r="44" customFormat="false" ht="15" hidden="false" customHeight="false" outlineLevel="0" collapsed="false">
      <c r="B44" s="13" t="s">
        <v>177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36"/>
      <c r="BP44" s="36"/>
      <c r="BQ44" s="39" t="n">
        <v>125</v>
      </c>
      <c r="BR44" s="36"/>
      <c r="BS44" s="36"/>
      <c r="BT44" s="36"/>
      <c r="BU44" s="36"/>
      <c r="BV44" s="15" t="s">
        <v>178</v>
      </c>
      <c r="CD44" s="22" t="s">
        <v>143</v>
      </c>
      <c r="CE44" s="46" t="n">
        <f aca="false">CF44+$CE$42</f>
        <v>0.14</v>
      </c>
      <c r="CF44" s="47" t="n">
        <v>0.125</v>
      </c>
      <c r="CG44" s="46" t="n">
        <f aca="false">CF44+$CG$42</f>
        <v>0.11</v>
      </c>
    </row>
    <row r="45" customFormat="false" ht="15" hidden="false" customHeight="false" outlineLevel="0" collapsed="false">
      <c r="B45" s="13" t="s">
        <v>179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36"/>
      <c r="BP45" s="36"/>
      <c r="BQ45" s="48" t="n">
        <v>0.12</v>
      </c>
      <c r="BR45" s="48" t="n">
        <v>0.12</v>
      </c>
      <c r="BS45" s="48" t="n">
        <v>0.12</v>
      </c>
      <c r="BT45" s="48" t="n">
        <v>0.12</v>
      </c>
      <c r="BU45" s="48" t="n">
        <v>0.12</v>
      </c>
      <c r="BV45" s="15" t="s">
        <v>180</v>
      </c>
      <c r="CD45" s="22" t="s">
        <v>146</v>
      </c>
      <c r="CE45" s="46" t="n">
        <f aca="false">CF45+$CE$42</f>
        <v>0.145</v>
      </c>
      <c r="CF45" s="47" t="n">
        <v>0.13</v>
      </c>
      <c r="CG45" s="46" t="n">
        <f aca="false">CF45+$CG$42</f>
        <v>0.115</v>
      </c>
    </row>
    <row r="46" customFormat="false" ht="15" hidden="false" customHeight="false" outlineLevel="0" collapsed="false">
      <c r="B46" s="13" t="s">
        <v>181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36"/>
      <c r="BP46" s="36"/>
      <c r="BQ46" s="21" t="n">
        <f aca="false">BQ44*(1+BQ45)</f>
        <v>140</v>
      </c>
      <c r="BR46" s="21" t="n">
        <f aca="false">BQ46*(1+BR45)</f>
        <v>156.8</v>
      </c>
      <c r="BS46" s="21" t="n">
        <f aca="false">BR46*(1+BS45)</f>
        <v>175.616</v>
      </c>
      <c r="BT46" s="21" t="n">
        <f aca="false">BS46*(1+BT45)</f>
        <v>196.68992</v>
      </c>
      <c r="BU46" s="21" t="n">
        <f aca="false">BT46*(1+BU45)</f>
        <v>220.2927104</v>
      </c>
      <c r="BV46" s="15"/>
      <c r="CD46" s="22" t="s">
        <v>149</v>
      </c>
      <c r="CE46" s="46" t="n">
        <f aca="false">CF46+$CE$42</f>
        <v>0.15</v>
      </c>
      <c r="CF46" s="47" t="n">
        <v>0.135</v>
      </c>
      <c r="CG46" s="46" t="n">
        <f aca="false">CF46+$CG$42</f>
        <v>0.12</v>
      </c>
    </row>
    <row r="47" customFormat="false" ht="15" hidden="false" customHeight="false" outlineLevel="0" collapsed="false">
      <c r="B47" s="13" t="s">
        <v>182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21" t="n">
        <f aca="false">$BQ$46/4</f>
        <v>35</v>
      </c>
      <c r="BP47" s="21" t="n">
        <f aca="false">$BQ$46/4</f>
        <v>35</v>
      </c>
      <c r="BQ47" s="21" t="n">
        <f aca="false">SUM(BM47:BP47)</f>
        <v>70</v>
      </c>
      <c r="BR47" s="21" t="n">
        <f aca="false">BR46</f>
        <v>156.8</v>
      </c>
      <c r="BS47" s="21" t="n">
        <f aca="false">BS46</f>
        <v>175.616</v>
      </c>
      <c r="BT47" s="21" t="n">
        <f aca="false">BT46</f>
        <v>196.68992</v>
      </c>
      <c r="BU47" s="21" t="n">
        <f aca="false">BU46</f>
        <v>220.2927104</v>
      </c>
      <c r="BV47" s="15" t="s">
        <v>183</v>
      </c>
      <c r="CD47" s="17" t="s">
        <v>184</v>
      </c>
      <c r="CE47" s="52" t="n">
        <v>0.1</v>
      </c>
      <c r="CF47" s="45" t="s">
        <v>136</v>
      </c>
      <c r="CG47" s="52" t="n">
        <v>-0.1</v>
      </c>
      <c r="CH47" s="12" t="s">
        <v>185</v>
      </c>
    </row>
    <row r="48" customFormat="false" ht="15" hidden="false" customHeight="false" outlineLevel="0" collapsed="false">
      <c r="B48" s="13" t="s">
        <v>186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24" t="n">
        <v>32.5</v>
      </c>
      <c r="BN48" s="24" t="n">
        <v>32.5</v>
      </c>
      <c r="BO48" s="39" t="n">
        <v>32.5</v>
      </c>
      <c r="BP48" s="39" t="n">
        <v>32.5</v>
      </c>
      <c r="BQ48" s="21" t="n">
        <f aca="false">SUM(BM48:BP48)</f>
        <v>130</v>
      </c>
      <c r="BR48" s="21" t="n">
        <f aca="false">BQ48*(1+BR49)*BR50</f>
        <v>35.75</v>
      </c>
      <c r="BS48" s="21" t="n">
        <f aca="false">BR48*(1+BS49)*BS50</f>
        <v>0</v>
      </c>
      <c r="BT48" s="21" t="n">
        <f aca="false">BS48*(1+BT49)*BT50</f>
        <v>0</v>
      </c>
      <c r="BU48" s="21" t="n">
        <f aca="false">BT48*(1+BU49)*BU50</f>
        <v>0</v>
      </c>
      <c r="BV48" s="15" t="s">
        <v>187</v>
      </c>
      <c r="CD48" s="22" t="s">
        <v>140</v>
      </c>
      <c r="CE48" s="53" t="n">
        <f aca="false">CF48+$CE$47</f>
        <v>1.1</v>
      </c>
      <c r="CF48" s="42" t="n">
        <v>1</v>
      </c>
      <c r="CG48" s="53" t="n">
        <f aca="false">CF48+$CG$47</f>
        <v>0.9</v>
      </c>
    </row>
    <row r="49" customFormat="false" ht="15" hidden="false" customHeight="false" outlineLevel="0" collapsed="false">
      <c r="B49" s="13" t="s">
        <v>188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36"/>
      <c r="BP49" s="36"/>
      <c r="BQ49" s="36"/>
      <c r="BR49" s="48" t="n">
        <v>0.1</v>
      </c>
      <c r="BS49" s="48" t="n">
        <v>0</v>
      </c>
      <c r="BT49" s="48" t="n">
        <v>0</v>
      </c>
      <c r="BU49" s="48" t="n">
        <v>0</v>
      </c>
      <c r="BV49" s="15"/>
      <c r="CD49" s="22" t="s">
        <v>143</v>
      </c>
      <c r="CE49" s="53" t="n">
        <f aca="false">CF49+$CE$47</f>
        <v>1.1</v>
      </c>
      <c r="CF49" s="42" t="n">
        <v>1</v>
      </c>
      <c r="CG49" s="53" t="n">
        <f aca="false">CF49+$CG$47</f>
        <v>0.9</v>
      </c>
    </row>
    <row r="50" customFormat="false" ht="15" hidden="false" customHeight="false" outlineLevel="0" collapsed="false">
      <c r="B50" s="13" t="s">
        <v>189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36"/>
      <c r="BP50" s="36"/>
      <c r="BQ50" s="36"/>
      <c r="BR50" s="48" t="n">
        <v>0.25</v>
      </c>
      <c r="BS50" s="48" t="n">
        <v>0</v>
      </c>
      <c r="BT50" s="48" t="n">
        <v>0</v>
      </c>
      <c r="BU50" s="48" t="n">
        <v>0</v>
      </c>
      <c r="BV50" s="15" t="s">
        <v>190</v>
      </c>
      <c r="CD50" s="22" t="s">
        <v>146</v>
      </c>
      <c r="CE50" s="53" t="n">
        <f aca="false">CF50+$CE$47</f>
        <v>1.1</v>
      </c>
      <c r="CF50" s="42" t="n">
        <v>1</v>
      </c>
      <c r="CG50" s="53" t="n">
        <f aca="false">CF50+$CG$47</f>
        <v>0.9</v>
      </c>
    </row>
    <row r="51" customFormat="false" ht="15" hidden="false" customHeight="false" outlineLevel="0" collapsed="false">
      <c r="B51" s="13" t="s">
        <v>191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36"/>
      <c r="BP51" s="36"/>
      <c r="BQ51" s="36"/>
      <c r="BR51" s="48" t="n">
        <v>0.12</v>
      </c>
      <c r="BS51" s="48" t="n">
        <v>0.12</v>
      </c>
      <c r="BT51" s="48" t="n">
        <v>0.12</v>
      </c>
      <c r="BU51" s="48" t="n">
        <v>0.12</v>
      </c>
      <c r="BV51" s="15" t="s">
        <v>192</v>
      </c>
      <c r="CD51" s="22" t="s">
        <v>149</v>
      </c>
      <c r="CE51" s="53" t="n">
        <f aca="false">CF51+$CE$47</f>
        <v>1.1</v>
      </c>
      <c r="CF51" s="42" t="n">
        <v>1</v>
      </c>
      <c r="CG51" s="53" t="n">
        <f aca="false">CF51+$CG$47</f>
        <v>0.9</v>
      </c>
    </row>
    <row r="52" customFormat="false" ht="15" hidden="false" customHeight="false" outlineLevel="0" collapsed="false">
      <c r="B52" s="13" t="s">
        <v>193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24" t="n">
        <v>36.915</v>
      </c>
      <c r="AN52" s="24" t="n">
        <v>6.294</v>
      </c>
      <c r="AO52" s="24" t="n">
        <v>5.64</v>
      </c>
      <c r="AP52" s="24" t="n">
        <v>4.925</v>
      </c>
      <c r="AQ52" s="24" t="n">
        <v>18.384</v>
      </c>
      <c r="AR52" s="24" t="n">
        <v>35.243</v>
      </c>
      <c r="AS52" s="24" t="n">
        <v>3.962</v>
      </c>
      <c r="AT52" s="24" t="n">
        <v>12.864</v>
      </c>
      <c r="AU52" s="24" t="n">
        <v>6.847</v>
      </c>
      <c r="AV52" s="24" t="n">
        <v>3.745</v>
      </c>
      <c r="AW52" s="24" t="n">
        <v>27.418</v>
      </c>
      <c r="AX52" s="24" t="n">
        <v>1.513</v>
      </c>
      <c r="AY52" s="24" t="n">
        <v>11.017</v>
      </c>
      <c r="AZ52" s="24" t="n">
        <v>9.083</v>
      </c>
      <c r="BA52" s="24" t="n">
        <v>15.919</v>
      </c>
      <c r="BB52" s="24" t="n">
        <v>37.532</v>
      </c>
      <c r="BC52" s="24" t="n">
        <v>8.591</v>
      </c>
      <c r="BD52" s="24" t="n">
        <v>16.628</v>
      </c>
      <c r="BE52" s="24" t="n">
        <v>6.728</v>
      </c>
      <c r="BF52" s="24" t="n">
        <v>14.868</v>
      </c>
      <c r="BG52" s="24" t="n">
        <v>46.816</v>
      </c>
      <c r="BH52" s="24" t="n">
        <v>6.466</v>
      </c>
      <c r="BI52" s="24" t="n">
        <v>6.877</v>
      </c>
      <c r="BJ52" s="24" t="n">
        <v>23.959</v>
      </c>
      <c r="BK52" s="24" t="n">
        <v>20.427</v>
      </c>
      <c r="BL52" s="24" t="n">
        <v>57.728</v>
      </c>
      <c r="BM52" s="24" t="n">
        <v>24.029</v>
      </c>
      <c r="BN52" s="24" t="n">
        <v>24.332</v>
      </c>
      <c r="BO52" s="21" t="n">
        <f aca="false">BO55-BO54</f>
        <v>42.0418563599007</v>
      </c>
      <c r="BP52" s="21" t="n">
        <f aca="false">BP55-BP54</f>
        <v>54.1659883668867</v>
      </c>
      <c r="BQ52" s="21" t="n">
        <f aca="false">SUM(BM52:BP52)</f>
        <v>144.568844726787</v>
      </c>
      <c r="BR52" s="21" t="n">
        <f aca="false">BR55-BR54</f>
        <v>170.608964461919</v>
      </c>
      <c r="BS52" s="21" t="n">
        <f aca="false">BS55-BS54</f>
        <v>199.830520298529</v>
      </c>
      <c r="BT52" s="21" t="n">
        <f aca="false">BT55-BT54</f>
        <v>237.152926654831</v>
      </c>
      <c r="BU52" s="21" t="n">
        <f aca="false">BU55-BU54</f>
        <v>278.191711617003</v>
      </c>
      <c r="BV52" s="15"/>
      <c r="BX52" s="25" t="n">
        <f aca="false">IFERROR((BU52/BL52)^(1/5)-1,"n/m")</f>
        <v>0.369593023189106</v>
      </c>
      <c r="BY52" s="25" t="n">
        <f aca="false">IFERROR((BL52/AM52)^(1/5)-1,"n/m")</f>
        <v>0.093545172599117</v>
      </c>
      <c r="BZ52" s="25" t="str">
        <f aca="false">IFERROR((BL52/N52)^(1/10)-1,"n/m")</f>
        <v>n/m</v>
      </c>
      <c r="CA52" s="25" t="str">
        <f aca="false">IFERROR((BL52/D52)^(1/12)-1,"n/m")</f>
        <v>n/m</v>
      </c>
      <c r="CD52" s="17" t="s">
        <v>194</v>
      </c>
      <c r="CE52" s="54" t="n">
        <v>150</v>
      </c>
      <c r="CF52" s="45" t="s">
        <v>136</v>
      </c>
      <c r="CG52" s="54" t="n">
        <v>-150</v>
      </c>
      <c r="CH52" s="12" t="s">
        <v>195</v>
      </c>
    </row>
    <row r="53" customFormat="false" ht="15" hidden="false" customHeight="false" outlineLevel="0" collapsed="false">
      <c r="B53" s="13" t="s">
        <v>134</v>
      </c>
      <c r="C53" s="43" t="str">
        <f aca="false">IF(AND(ISNUMBER(C52),ISNUMBER(C39)),IFERROR(C52/C39,""),"")</f>
        <v/>
      </c>
      <c r="D53" s="43" t="str">
        <f aca="false">IF(AND(ISNUMBER(D52),ISNUMBER(D39)),IFERROR(D52/D39,""),"")</f>
        <v/>
      </c>
      <c r="E53" s="43" t="str">
        <f aca="false">IF(AND(ISNUMBER(E52),ISNUMBER(E39)),IFERROR(E52/E39,""),"")</f>
        <v/>
      </c>
      <c r="F53" s="43" t="str">
        <f aca="false">IF(AND(ISNUMBER(F52),ISNUMBER(F39)),IFERROR(F52/F39,""),"")</f>
        <v/>
      </c>
      <c r="G53" s="43" t="str">
        <f aca="false">IF(AND(ISNUMBER(G52),ISNUMBER(G39)),IFERROR(G52/G39,""),"")</f>
        <v/>
      </c>
      <c r="H53" s="43" t="str">
        <f aca="false">IF(AND(ISNUMBER(H52),ISNUMBER(H39)),IFERROR(H52/H39,""),"")</f>
        <v/>
      </c>
      <c r="I53" s="43" t="str">
        <f aca="false">IF(AND(ISNUMBER(I52),ISNUMBER(I39)),IFERROR(I52/I39,""),"")</f>
        <v/>
      </c>
      <c r="J53" s="43" t="str">
        <f aca="false">IF(AND(ISNUMBER(J52),ISNUMBER(J39)),IFERROR(J52/J39,""),"")</f>
        <v/>
      </c>
      <c r="K53" s="43" t="str">
        <f aca="false">IF(AND(ISNUMBER(K52),ISNUMBER(K39)),IFERROR(K52/K39,""),"")</f>
        <v/>
      </c>
      <c r="L53" s="43" t="str">
        <f aca="false">IF(AND(ISNUMBER(L52),ISNUMBER(L39)),IFERROR(L52/L39,""),"")</f>
        <v/>
      </c>
      <c r="M53" s="43" t="str">
        <f aca="false">IF(AND(ISNUMBER(M52),ISNUMBER(M39)),IFERROR(M52/M39,""),"")</f>
        <v/>
      </c>
      <c r="N53" s="43" t="str">
        <f aca="false">IF(AND(ISNUMBER(N52),ISNUMBER(N39)),IFERROR(N52/N39,""),"")</f>
        <v/>
      </c>
      <c r="O53" s="43" t="str">
        <f aca="false">IF(AND(ISNUMBER(O52),ISNUMBER(O39)),IFERROR(O52/O39,""),"")</f>
        <v/>
      </c>
      <c r="P53" s="43" t="str">
        <f aca="false">IF(AND(ISNUMBER(P52),ISNUMBER(P39)),IFERROR(P52/P39,""),"")</f>
        <v/>
      </c>
      <c r="Q53" s="43" t="str">
        <f aca="false">IF(AND(ISNUMBER(Q52),ISNUMBER(Q39)),IFERROR(Q52/Q39,""),"")</f>
        <v/>
      </c>
      <c r="R53" s="43" t="str">
        <f aca="false">IF(AND(ISNUMBER(R52),ISNUMBER(R39)),IFERROR(R52/R39,""),"")</f>
        <v/>
      </c>
      <c r="S53" s="43" t="str">
        <f aca="false">IF(AND(ISNUMBER(S52),ISNUMBER(S39)),IFERROR(S52/S39,""),"")</f>
        <v/>
      </c>
      <c r="T53" s="43" t="str">
        <f aca="false">IF(AND(ISNUMBER(T52),ISNUMBER(T39)),IFERROR(T52/T39,""),"")</f>
        <v/>
      </c>
      <c r="U53" s="43" t="str">
        <f aca="false">IF(AND(ISNUMBER(U52),ISNUMBER(U39)),IFERROR(U52/U39,""),"")</f>
        <v/>
      </c>
      <c r="V53" s="43" t="str">
        <f aca="false">IF(AND(ISNUMBER(V52),ISNUMBER(V39)),IFERROR(V52/V39,""),"")</f>
        <v/>
      </c>
      <c r="W53" s="43" t="str">
        <f aca="false">IF(AND(ISNUMBER(W52),ISNUMBER(W39)),IFERROR(W52/W39,""),"")</f>
        <v/>
      </c>
      <c r="X53" s="43" t="str">
        <f aca="false">IF(AND(ISNUMBER(X52),ISNUMBER(X39)),IFERROR(X52/X39,""),"")</f>
        <v/>
      </c>
      <c r="Y53" s="43" t="str">
        <f aca="false">IF(AND(ISNUMBER(Y52),ISNUMBER(Y39)),IFERROR(Y52/Y39,""),"")</f>
        <v/>
      </c>
      <c r="Z53" s="43" t="str">
        <f aca="false">IF(AND(ISNUMBER(Z52),ISNUMBER(Z39)),IFERROR(Z52/Z39,""),"")</f>
        <v/>
      </c>
      <c r="AA53" s="43" t="str">
        <f aca="false">IF(AND(ISNUMBER(AA52),ISNUMBER(AA39)),IFERROR(AA52/AA39,""),"")</f>
        <v/>
      </c>
      <c r="AB53" s="43" t="str">
        <f aca="false">IF(AND(ISNUMBER(AB52),ISNUMBER(AB39)),IFERROR(AB52/AB39,""),"")</f>
        <v/>
      </c>
      <c r="AC53" s="43" t="str">
        <f aca="false">IF(AND(ISNUMBER(AC52),ISNUMBER(AC39)),IFERROR(AC52/AC39,""),"")</f>
        <v/>
      </c>
      <c r="AD53" s="43" t="str">
        <f aca="false">IF(AND(ISNUMBER(AD52),ISNUMBER(AD39)),IFERROR(AD52/AD39,""),"")</f>
        <v/>
      </c>
      <c r="AE53" s="43" t="str">
        <f aca="false">IF(AND(ISNUMBER(AE52),ISNUMBER(AE39)),IFERROR(AE52/AE39,""),"")</f>
        <v/>
      </c>
      <c r="AF53" s="43" t="str">
        <f aca="false">IF(AND(ISNUMBER(AF52),ISNUMBER(AF39)),IFERROR(AF52/AF39,""),"")</f>
        <v/>
      </c>
      <c r="AG53" s="43" t="str">
        <f aca="false">IF(AND(ISNUMBER(AG52),ISNUMBER(AG39)),IFERROR(AG52/AG39,""),"")</f>
        <v/>
      </c>
      <c r="AH53" s="43" t="str">
        <f aca="false">IF(AND(ISNUMBER(AH52),ISNUMBER(AH39)),IFERROR(AH52/AH39,""),"")</f>
        <v/>
      </c>
      <c r="AI53" s="43" t="str">
        <f aca="false">IF(AND(ISNUMBER(AI52),ISNUMBER(AI39)),IFERROR(AI52/AI39,""),"")</f>
        <v/>
      </c>
      <c r="AJ53" s="43" t="str">
        <f aca="false">IF(AND(ISNUMBER(AJ52),ISNUMBER(AJ39)),IFERROR(AJ52/AJ39,""),"")</f>
        <v/>
      </c>
      <c r="AK53" s="43" t="str">
        <f aca="false">IF(AND(ISNUMBER(AK52),ISNUMBER(AK39)),IFERROR(AK52/AK39,""),"")</f>
        <v/>
      </c>
      <c r="AL53" s="43" t="str">
        <f aca="false">IF(AND(ISNUMBER(AL52),ISNUMBER(AL39)),IFERROR(AL52/AL39,""),"")</f>
        <v/>
      </c>
      <c r="AM53" s="43" t="n">
        <f aca="false">IF(AND(ISNUMBER(AM52),ISNUMBER(AM39)),IFERROR(AM52/AM39,""),"")</f>
        <v>0.099429254799081</v>
      </c>
      <c r="AN53" s="43" t="n">
        <f aca="false">IF(AND(ISNUMBER(AN52),ISNUMBER(AN39)),IFERROR(AN52/AN39,""),"")</f>
        <v>0.0586044432857223</v>
      </c>
      <c r="AO53" s="43" t="n">
        <f aca="false">IF(AND(ISNUMBER(AO52),ISNUMBER(AO39)),IFERROR(AO52/AO39,""),"")</f>
        <v>0.0553799022014493</v>
      </c>
      <c r="AP53" s="43" t="n">
        <f aca="false">IF(AND(ISNUMBER(AP52),ISNUMBER(AP39)),IFERROR(AP52/AP39,""),"")</f>
        <v>0.0590655057446451</v>
      </c>
      <c r="AQ53" s="43" t="n">
        <f aca="false">IF(AND(ISNUMBER(AQ52),ISNUMBER(AQ39)),IFERROR(AQ52/AQ39,""),"")</f>
        <v>0.160615062030404</v>
      </c>
      <c r="AR53" s="43" t="n">
        <f aca="false">IF(AND(ISNUMBER(AR52),ISNUMBER(AR39)),IFERROR(AR52/AR39,""),"")</f>
        <v>0.0865746950245896</v>
      </c>
      <c r="AS53" s="43" t="n">
        <f aca="false">IF(AND(ISNUMBER(AS52),ISNUMBER(AS39)),IFERROR(AS52/AS39,""),"")</f>
        <v>0.039639819909955</v>
      </c>
      <c r="AT53" s="43" t="n">
        <f aca="false">IF(AND(ISNUMBER(AT52),ISNUMBER(AT39)),IFERROR(AT52/AT39,""),"")</f>
        <v>0.108536811731155</v>
      </c>
      <c r="AU53" s="43" t="n">
        <f aca="false">IF(AND(ISNUMBER(AU52),ISNUMBER(AU39)),IFERROR(AU52/AU39,""),"")</f>
        <v>0.067263296461481</v>
      </c>
      <c r="AV53" s="43" t="n">
        <f aca="false">IF(AND(ISNUMBER(AV52),ISNUMBER(AV39)),IFERROR(AV52/AV39,""),"")</f>
        <v>0.0349699323945766</v>
      </c>
      <c r="AW53" s="43" t="n">
        <f aca="false">IF(AND(ISNUMBER(AW52),ISNUMBER(AW39)),IFERROR(AW52/AW39,""),"")</f>
        <v>0.0641569831382588</v>
      </c>
      <c r="AX53" s="43" t="n">
        <f aca="false">IF(AND(ISNUMBER(AX52),ISNUMBER(AX39)),IFERROR(AX52/AX39,""),"")</f>
        <v>0.0138904190077485</v>
      </c>
      <c r="AY53" s="43" t="n">
        <f aca="false">IF(AND(ISNUMBER(AY52),ISNUMBER(AY39)),IFERROR(AY52/AY39,""),"")</f>
        <v>0.0911098246774727</v>
      </c>
      <c r="AZ53" s="43" t="n">
        <f aca="false">IF(AND(ISNUMBER(AZ52),ISNUMBER(AZ39)),IFERROR(AZ52/AZ39,""),"")</f>
        <v>0.080839096111571</v>
      </c>
      <c r="BA53" s="43" t="n">
        <f aca="false">IF(AND(ISNUMBER(BA52),ISNUMBER(BA39)),IFERROR(BA52/BA39,""),"")</f>
        <v>0.12823321867876</v>
      </c>
      <c r="BB53" s="43" t="n">
        <f aca="false">IF(AND(ISNUMBER(BB52),ISNUMBER(BB39)),IFERROR(BB52/BB39,""),"")</f>
        <v>0.0804813613984526</v>
      </c>
      <c r="BC53" s="43" t="n">
        <f aca="false">IF(AND(ISNUMBER(BC52),ISNUMBER(BC39)),IFERROR(BC52/BC39,""),"")</f>
        <v>0.0734035099711205</v>
      </c>
      <c r="BD53" s="43" t="n">
        <f aca="false">IF(AND(ISNUMBER(BD52),ISNUMBER(BD39)),IFERROR(BD52/BD39,""),"")</f>
        <v>0.117519842251451</v>
      </c>
      <c r="BE53" s="43" t="n">
        <f aca="false">IF(AND(ISNUMBER(BE52),ISNUMBER(BE39)),IFERROR(BE52/BE39,""),"")</f>
        <v>0.0594808685196973</v>
      </c>
      <c r="BF53" s="43" t="n">
        <f aca="false">IF(AND(ISNUMBER(BF52),ISNUMBER(BF39)),IFERROR(BF52/BF39,""),"")</f>
        <v>0.0976032455639364</v>
      </c>
      <c r="BG53" s="43" t="n">
        <f aca="false">IF(AND(ISNUMBER(BG52),ISNUMBER(BG39)),IFERROR(BG52/BG39,""),"")</f>
        <v>0.0893482857862634</v>
      </c>
      <c r="BH53" s="43" t="n">
        <f aca="false">IF(AND(ISNUMBER(BH52),ISNUMBER(BH39)),IFERROR(BH52/BH39,""),"")</f>
        <v>0.0503935780531525</v>
      </c>
      <c r="BI53" s="43" t="n">
        <f aca="false">IF(AND(ISNUMBER(BI52),ISNUMBER(BI39)),IFERROR(BI52/BI39,""),"")</f>
        <v>0.0390430285172506</v>
      </c>
      <c r="BJ53" s="43" t="n">
        <f aca="false">IF(AND(ISNUMBER(BJ52),ISNUMBER(BJ39)),IFERROR(BJ52/BJ39,""),"")</f>
        <v>0.0954652131122719</v>
      </c>
      <c r="BK53" s="43" t="n">
        <f aca="false">IF(AND(ISNUMBER(BK52),ISNUMBER(BK39)),IFERROR(BK52/BK39,""),"")</f>
        <v>0.0686275827313959</v>
      </c>
      <c r="BL53" s="43" t="n">
        <f aca="false">IF(AND(ISNUMBER(BL52),ISNUMBER(BL39)),IFERROR(BL52/BL39,""),"")</f>
        <v>0.0676708828114926</v>
      </c>
      <c r="BM53" s="43" t="n">
        <f aca="false">IF(AND(ISNUMBER(BM52),ISNUMBER(BM39)),IFERROR(BM52/BM39,""),"")</f>
        <v>0.0847150487405031</v>
      </c>
      <c r="BN53" s="43" t="n">
        <f aca="false">IF(AND(ISNUMBER(BN52),ISNUMBER(BN39)),IFERROR(BN52/BN39,""),"")</f>
        <v>0.0804331728989263</v>
      </c>
      <c r="BO53" s="35" t="n">
        <f aca="false">IF(AND(ISNUMBER(BO52),ISNUMBER(BO39)),IFERROR(BO52/BO39,""),"")</f>
        <v>0.115705272942951</v>
      </c>
      <c r="BP53" s="35" t="n">
        <f aca="false">IF(AND(ISNUMBER(BP52),ISNUMBER(BP39)),IFERROR(BP52/BP39,""),"")</f>
        <v>0.127622187957028</v>
      </c>
      <c r="BQ53" s="35" t="n">
        <f aca="false">IF(AND(ISNUMBER(BQ52),ISNUMBER(BQ39)),IFERROR(BQ52/BQ39,""),"")</f>
        <v>0.105222513945997</v>
      </c>
      <c r="BR53" s="35" t="n">
        <f aca="false">IF(AND(ISNUMBER(BR52),ISNUMBER(BR39)),IFERROR(BR52/BR39,""),"")</f>
        <v>0.110600131090043</v>
      </c>
      <c r="BS53" s="35" t="n">
        <f aca="false">IF(AND(ISNUMBER(BS52),ISNUMBER(BS39)),IFERROR(BS52/BS39,""),"")</f>
        <v>0.116543434889835</v>
      </c>
      <c r="BT53" s="35" t="n">
        <f aca="false">IF(AND(ISNUMBER(BT52),ISNUMBER(BT39)),IFERROR(BT52/BT39,""),"")</f>
        <v>0.122509524824301</v>
      </c>
      <c r="BU53" s="35" t="n">
        <f aca="false">IF(AND(ISNUMBER(BU52),ISNUMBER(BU39)),IFERROR(BU52/BU39,""),"")</f>
        <v>0.128312075735983</v>
      </c>
      <c r="BV53" s="15"/>
      <c r="BX53" s="38" t="n">
        <f aca="false">IFERROR(AVERAGE(BQ53,BR53,BS53,BT53,BU53),"n/m")</f>
        <v>0.116637536097232</v>
      </c>
      <c r="BY53" s="38" t="n">
        <f aca="false">IFERROR(AVERAGE(AR53,AW53,BB53,BG53,BL53),"n/m")</f>
        <v>0.0776464416318114</v>
      </c>
      <c r="BZ53" s="38" t="n">
        <f aca="false">IFERROR(AVERAGE(S53,X53,AC53,AH53,AM53,AR53,AW53,BB53,BG53,BL53),"n/m")</f>
        <v>0.081276910493023</v>
      </c>
      <c r="CA53" s="38" t="n">
        <f aca="false">IFERROR(AVERAGE(D53,I53,N53,S53,X53,AC53,AH53,AM53,AR53,AW53,BB53,BG53,BL53),"n/m")</f>
        <v>0.081276910493023</v>
      </c>
      <c r="CD53" s="22" t="s">
        <v>140</v>
      </c>
      <c r="CE53" s="55" t="n">
        <f aca="false">CF53+$CE$52</f>
        <v>150</v>
      </c>
      <c r="CF53" s="56" t="n">
        <v>0</v>
      </c>
      <c r="CG53" s="55" t="n">
        <f aca="false">MAX(0,CF53+$CG$52)</f>
        <v>0</v>
      </c>
    </row>
    <row r="54" customFormat="false" ht="15" hidden="false" customHeight="false" outlineLevel="0" collapsed="false">
      <c r="B54" s="13" t="s">
        <v>138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20" t="n">
        <f aca="false">AM55-AM52</f>
        <v>2.253</v>
      </c>
      <c r="AN54" s="20" t="n">
        <f aca="false">AN55-AN52</f>
        <v>0</v>
      </c>
      <c r="AO54" s="20" t="n">
        <f aca="false">AO55-AO52</f>
        <v>0</v>
      </c>
      <c r="AP54" s="20" t="n">
        <f aca="false">AP55-AP52</f>
        <v>0.319</v>
      </c>
      <c r="AQ54" s="20" t="n">
        <f aca="false">AQ55-AQ52</f>
        <v>0.59</v>
      </c>
      <c r="AR54" s="20" t="n">
        <f aca="false">AR55-AR52</f>
        <v>0.908999999999999</v>
      </c>
      <c r="AS54" s="20" t="n">
        <f aca="false">AS55-AS52</f>
        <v>1.9</v>
      </c>
      <c r="AT54" s="20" t="n">
        <f aca="false">AT55-AT52</f>
        <v>0.199999999999999</v>
      </c>
      <c r="AU54" s="20" t="n">
        <f aca="false">AU55-AU52</f>
        <v>0</v>
      </c>
      <c r="AV54" s="20" t="n">
        <f aca="false">AV55-AV52</f>
        <v>5.6</v>
      </c>
      <c r="AW54" s="20" t="n">
        <f aca="false">AW55-AW52</f>
        <v>7.7</v>
      </c>
      <c r="AX54" s="20" t="n">
        <f aca="false">AX55-AX52</f>
        <v>3.1</v>
      </c>
      <c r="AY54" s="20" t="n">
        <f aca="false">AY55-AY52</f>
        <v>0.5</v>
      </c>
      <c r="AZ54" s="20" t="n">
        <f aca="false">AZ55-AZ52</f>
        <v>0.299999999999999</v>
      </c>
      <c r="BA54" s="20" t="n">
        <f aca="false">BA55-BA52</f>
        <v>1</v>
      </c>
      <c r="BB54" s="20" t="n">
        <f aca="false">BB55-BB52</f>
        <v>4.7</v>
      </c>
      <c r="BC54" s="20" t="n">
        <f aca="false">BC55-BC52</f>
        <v>0.800000000000001</v>
      </c>
      <c r="BD54" s="20" t="n">
        <f aca="false">BD55-BD52</f>
        <v>1.5</v>
      </c>
      <c r="BE54" s="20" t="n">
        <f aca="false">BE55-BE52</f>
        <v>2.5</v>
      </c>
      <c r="BF54" s="20" t="n">
        <f aca="false">BF55-BF52</f>
        <v>4.2</v>
      </c>
      <c r="BG54" s="20" t="n">
        <f aca="false">BG55-BG52</f>
        <v>9.09999999999999</v>
      </c>
      <c r="BH54" s="20" t="n">
        <f aca="false">BH55-BH52</f>
        <v>3.4</v>
      </c>
      <c r="BI54" s="20" t="n">
        <f aca="false">BI55-BI52</f>
        <v>3.8</v>
      </c>
      <c r="BJ54" s="20" t="n">
        <f aca="false">BJ55-BJ52</f>
        <v>5.1</v>
      </c>
      <c r="BK54" s="20" t="n">
        <f aca="false">BK55-BK52</f>
        <v>16.8</v>
      </c>
      <c r="BL54" s="20" t="n">
        <f aca="false">BL55-BL52</f>
        <v>29.1</v>
      </c>
      <c r="BM54" s="20" t="n">
        <f aca="false">BM55-BM52</f>
        <v>5.2</v>
      </c>
      <c r="BN54" s="20" t="n">
        <f aca="false">BN55-BN52</f>
        <v>4.4</v>
      </c>
      <c r="BO54" s="21" t="n">
        <f aca="false">BN54+BO153</f>
        <v>6.65</v>
      </c>
      <c r="BP54" s="21" t="n">
        <f aca="false">BN54+BP153</f>
        <v>6.65</v>
      </c>
      <c r="BQ54" s="21" t="n">
        <f aca="false">SUM(BM54:BP54)</f>
        <v>22.9</v>
      </c>
      <c r="BR54" s="21" t="n">
        <f aca="false">BR147*(1-BR148)+BR153</f>
        <v>14.5</v>
      </c>
      <c r="BS54" s="21" t="n">
        <f aca="false">BS147*(1-BS148)+BS153</f>
        <v>14.5</v>
      </c>
      <c r="BT54" s="21" t="n">
        <f aca="false">BT147*(1-BT148)+BT153</f>
        <v>14.5</v>
      </c>
      <c r="BU54" s="21" t="n">
        <f aca="false">BU147*(1-BU148)+BU153</f>
        <v>14.5</v>
      </c>
      <c r="BV54" s="15" t="s">
        <v>196</v>
      </c>
      <c r="CD54" s="22" t="s">
        <v>143</v>
      </c>
      <c r="CE54" s="55" t="n">
        <f aca="false">CF54+$CE$52</f>
        <v>300</v>
      </c>
      <c r="CF54" s="56" t="n">
        <v>150</v>
      </c>
      <c r="CG54" s="55" t="n">
        <f aca="false">MAX(0,CF54+$CG$52)</f>
        <v>0</v>
      </c>
    </row>
    <row r="55" customFormat="false" ht="15" hidden="false" customHeight="false" outlineLevel="0" collapsed="false">
      <c r="B55" s="30" t="s">
        <v>141</v>
      </c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2" t="n">
        <v>39.168</v>
      </c>
      <c r="AN55" s="32" t="n">
        <v>6.294</v>
      </c>
      <c r="AO55" s="32" t="n">
        <v>5.64</v>
      </c>
      <c r="AP55" s="32" t="n">
        <v>5.244</v>
      </c>
      <c r="AQ55" s="32" t="n">
        <v>18.974</v>
      </c>
      <c r="AR55" s="32" t="n">
        <v>36.152</v>
      </c>
      <c r="AS55" s="32" t="n">
        <v>5.862</v>
      </c>
      <c r="AT55" s="32" t="n">
        <v>13.064</v>
      </c>
      <c r="AU55" s="32" t="n">
        <v>6.847</v>
      </c>
      <c r="AV55" s="32" t="n">
        <v>9.345</v>
      </c>
      <c r="AW55" s="32" t="n">
        <v>35.118</v>
      </c>
      <c r="AX55" s="32" t="n">
        <v>4.613</v>
      </c>
      <c r="AY55" s="32" t="n">
        <v>11.517</v>
      </c>
      <c r="AZ55" s="32" t="n">
        <v>9.383</v>
      </c>
      <c r="BA55" s="32" t="n">
        <v>16.919</v>
      </c>
      <c r="BB55" s="32" t="n">
        <v>42.232</v>
      </c>
      <c r="BC55" s="32" t="n">
        <v>9.391</v>
      </c>
      <c r="BD55" s="32" t="n">
        <v>18.128</v>
      </c>
      <c r="BE55" s="32" t="n">
        <v>9.228</v>
      </c>
      <c r="BF55" s="32" t="n">
        <v>19.068</v>
      </c>
      <c r="BG55" s="32" t="n">
        <v>55.916</v>
      </c>
      <c r="BH55" s="32" t="n">
        <v>9.866</v>
      </c>
      <c r="BI55" s="32" t="n">
        <v>10.677</v>
      </c>
      <c r="BJ55" s="32" t="n">
        <v>29.059</v>
      </c>
      <c r="BK55" s="32" t="n">
        <v>37.227</v>
      </c>
      <c r="BL55" s="32" t="n">
        <v>86.828</v>
      </c>
      <c r="BM55" s="32" t="n">
        <v>29.229</v>
      </c>
      <c r="BN55" s="32" t="n">
        <v>28.732</v>
      </c>
      <c r="BO55" s="33" t="n">
        <f aca="false">BO39*BO57</f>
        <v>48.6918563599007</v>
      </c>
      <c r="BP55" s="33" t="n">
        <f aca="false">BP39*BP57</f>
        <v>60.8159883668867</v>
      </c>
      <c r="BQ55" s="33" t="n">
        <f aca="false">SUM(BM55:BP55)</f>
        <v>167.468844726787</v>
      </c>
      <c r="BR55" s="33" t="n">
        <f aca="false">(BR42+BR47)*BR58+BR48*BR51</f>
        <v>185.108964461919</v>
      </c>
      <c r="BS55" s="33" t="n">
        <f aca="false">(BS42+BS47)*BS58+BS48*BS51</f>
        <v>214.330520298529</v>
      </c>
      <c r="BT55" s="33" t="n">
        <f aca="false">(BT42+BT47)*BT58+BT48*BT51</f>
        <v>251.652926654831</v>
      </c>
      <c r="BU55" s="33" t="n">
        <f aca="false">(BU42+BU47)*BU58+BU48*BU51</f>
        <v>292.691711617003</v>
      </c>
      <c r="BV55" s="15"/>
      <c r="BX55" s="25" t="n">
        <f aca="false">IFERROR((BU55/BL55)^(1/5)-1,"n/m")</f>
        <v>0.275117262797195</v>
      </c>
      <c r="BY55" s="25" t="n">
        <f aca="false">IFERROR((BL55/AM55)^(1/5)-1,"n/m")</f>
        <v>0.17258863419895</v>
      </c>
      <c r="BZ55" s="25" t="str">
        <f aca="false">IFERROR((BL55/N55)^(1/10)-1,"n/m")</f>
        <v>n/m</v>
      </c>
      <c r="CA55" s="25" t="str">
        <f aca="false">IFERROR((BL55/D55)^(1/12)-1,"n/m")</f>
        <v>n/m</v>
      </c>
      <c r="CD55" s="22" t="s">
        <v>146</v>
      </c>
      <c r="CE55" s="55" t="n">
        <f aca="false">CF55+$CE$52</f>
        <v>300</v>
      </c>
      <c r="CF55" s="56" t="n">
        <v>150</v>
      </c>
      <c r="CG55" s="55" t="n">
        <f aca="false">MAX(0,CF55+$CG$52)</f>
        <v>0</v>
      </c>
    </row>
    <row r="56" customFormat="false" ht="15" hidden="false" customHeight="false" outlineLevel="0" collapsed="false">
      <c r="B56" s="13" t="s">
        <v>144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35" t="n">
        <f aca="false">BJ57</f>
        <v>0.115786286064924</v>
      </c>
      <c r="BP56" s="35" t="n">
        <f aca="false">BK57</f>
        <v>0.125069712749874</v>
      </c>
      <c r="BQ56" s="36"/>
      <c r="BR56" s="36"/>
      <c r="BS56" s="36"/>
      <c r="BT56" s="36"/>
      <c r="BU56" s="36"/>
      <c r="BV56" s="15" t="s">
        <v>197</v>
      </c>
      <c r="CD56" s="22" t="s">
        <v>149</v>
      </c>
      <c r="CE56" s="55" t="n">
        <f aca="false">CF56+$CE$52</f>
        <v>300</v>
      </c>
      <c r="CF56" s="56" t="n">
        <v>150</v>
      </c>
      <c r="CG56" s="55" t="n">
        <f aca="false">MAX(0,CF56+$CG$52)</f>
        <v>0</v>
      </c>
    </row>
    <row r="57" customFormat="false" ht="15" hidden="false" customHeight="false" outlineLevel="0" collapsed="false">
      <c r="B57" s="13" t="s">
        <v>147</v>
      </c>
      <c r="C57" s="43" t="str">
        <f aca="false">IF(AND(ISNUMBER(C55),ISNUMBER(C39)),IFERROR(C55/C39,""),"")</f>
        <v/>
      </c>
      <c r="D57" s="43" t="str">
        <f aca="false">IF(AND(ISNUMBER(D55),ISNUMBER(D39)),IFERROR(D55/D39,""),"")</f>
        <v/>
      </c>
      <c r="E57" s="43" t="str">
        <f aca="false">IF(AND(ISNUMBER(E55),ISNUMBER(E39)),IFERROR(E55/E39,""),"")</f>
        <v/>
      </c>
      <c r="F57" s="43" t="str">
        <f aca="false">IF(AND(ISNUMBER(F55),ISNUMBER(F39)),IFERROR(F55/F39,""),"")</f>
        <v/>
      </c>
      <c r="G57" s="43" t="str">
        <f aca="false">IF(AND(ISNUMBER(G55),ISNUMBER(G39)),IFERROR(G55/G39,""),"")</f>
        <v/>
      </c>
      <c r="H57" s="43" t="str">
        <f aca="false">IF(AND(ISNUMBER(H55),ISNUMBER(H39)),IFERROR(H55/H39,""),"")</f>
        <v/>
      </c>
      <c r="I57" s="43" t="str">
        <f aca="false">IF(AND(ISNUMBER(I55),ISNUMBER(I39)),IFERROR(I55/I39,""),"")</f>
        <v/>
      </c>
      <c r="J57" s="43" t="str">
        <f aca="false">IF(AND(ISNUMBER(J55),ISNUMBER(J39)),IFERROR(J55/J39,""),"")</f>
        <v/>
      </c>
      <c r="K57" s="43" t="str">
        <f aca="false">IF(AND(ISNUMBER(K55),ISNUMBER(K39)),IFERROR(K55/K39,""),"")</f>
        <v/>
      </c>
      <c r="L57" s="43" t="str">
        <f aca="false">IF(AND(ISNUMBER(L55),ISNUMBER(L39)),IFERROR(L55/L39,""),"")</f>
        <v/>
      </c>
      <c r="M57" s="43" t="str">
        <f aca="false">IF(AND(ISNUMBER(M55),ISNUMBER(M39)),IFERROR(M55/M39,""),"")</f>
        <v/>
      </c>
      <c r="N57" s="43" t="str">
        <f aca="false">IF(AND(ISNUMBER(N55),ISNUMBER(N39)),IFERROR(N55/N39,""),"")</f>
        <v/>
      </c>
      <c r="O57" s="43" t="str">
        <f aca="false">IF(AND(ISNUMBER(O55),ISNUMBER(O39)),IFERROR(O55/O39,""),"")</f>
        <v/>
      </c>
      <c r="P57" s="43" t="str">
        <f aca="false">IF(AND(ISNUMBER(P55),ISNUMBER(P39)),IFERROR(P55/P39,""),"")</f>
        <v/>
      </c>
      <c r="Q57" s="43" t="str">
        <f aca="false">IF(AND(ISNUMBER(Q55),ISNUMBER(Q39)),IFERROR(Q55/Q39,""),"")</f>
        <v/>
      </c>
      <c r="R57" s="43" t="str">
        <f aca="false">IF(AND(ISNUMBER(R55),ISNUMBER(R39)),IFERROR(R55/R39,""),"")</f>
        <v/>
      </c>
      <c r="S57" s="43" t="str">
        <f aca="false">IF(AND(ISNUMBER(S55),ISNUMBER(S39)),IFERROR(S55/S39,""),"")</f>
        <v/>
      </c>
      <c r="T57" s="43" t="str">
        <f aca="false">IF(AND(ISNUMBER(T55),ISNUMBER(T39)),IFERROR(T55/T39,""),"")</f>
        <v/>
      </c>
      <c r="U57" s="43" t="str">
        <f aca="false">IF(AND(ISNUMBER(U55),ISNUMBER(U39)),IFERROR(U55/U39,""),"")</f>
        <v/>
      </c>
      <c r="V57" s="43" t="str">
        <f aca="false">IF(AND(ISNUMBER(V55),ISNUMBER(V39)),IFERROR(V55/V39,""),"")</f>
        <v/>
      </c>
      <c r="W57" s="43" t="str">
        <f aca="false">IF(AND(ISNUMBER(W55),ISNUMBER(W39)),IFERROR(W55/W39,""),"")</f>
        <v/>
      </c>
      <c r="X57" s="43" t="str">
        <f aca="false">IF(AND(ISNUMBER(X55),ISNUMBER(X39)),IFERROR(X55/X39,""),"")</f>
        <v/>
      </c>
      <c r="Y57" s="43" t="str">
        <f aca="false">IF(AND(ISNUMBER(Y55),ISNUMBER(Y39)),IFERROR(Y55/Y39,""),"")</f>
        <v/>
      </c>
      <c r="Z57" s="43" t="str">
        <f aca="false">IF(AND(ISNUMBER(Z55),ISNUMBER(Z39)),IFERROR(Z55/Z39,""),"")</f>
        <v/>
      </c>
      <c r="AA57" s="43" t="str">
        <f aca="false">IF(AND(ISNUMBER(AA55),ISNUMBER(AA39)),IFERROR(AA55/AA39,""),"")</f>
        <v/>
      </c>
      <c r="AB57" s="43" t="str">
        <f aca="false">IF(AND(ISNUMBER(AB55),ISNUMBER(AB39)),IFERROR(AB55/AB39,""),"")</f>
        <v/>
      </c>
      <c r="AC57" s="43" t="str">
        <f aca="false">IF(AND(ISNUMBER(AC55),ISNUMBER(AC39)),IFERROR(AC55/AC39,""),"")</f>
        <v/>
      </c>
      <c r="AD57" s="43" t="str">
        <f aca="false">IF(AND(ISNUMBER(AD55),ISNUMBER(AD39)),IFERROR(AD55/AD39,""),"")</f>
        <v/>
      </c>
      <c r="AE57" s="43" t="str">
        <f aca="false">IF(AND(ISNUMBER(AE55),ISNUMBER(AE39)),IFERROR(AE55/AE39,""),"")</f>
        <v/>
      </c>
      <c r="AF57" s="43" t="str">
        <f aca="false">IF(AND(ISNUMBER(AF55),ISNUMBER(AF39)),IFERROR(AF55/AF39,""),"")</f>
        <v/>
      </c>
      <c r="AG57" s="43" t="str">
        <f aca="false">IF(AND(ISNUMBER(AG55),ISNUMBER(AG39)),IFERROR(AG55/AG39,""),"")</f>
        <v/>
      </c>
      <c r="AH57" s="43" t="str">
        <f aca="false">IF(AND(ISNUMBER(AH55),ISNUMBER(AH39)),IFERROR(AH55/AH39,""),"")</f>
        <v/>
      </c>
      <c r="AI57" s="43" t="str">
        <f aca="false">IF(AND(ISNUMBER(AI55),ISNUMBER(AI39)),IFERROR(AI55/AI39,""),"")</f>
        <v/>
      </c>
      <c r="AJ57" s="43" t="str">
        <f aca="false">IF(AND(ISNUMBER(AJ55),ISNUMBER(AJ39)),IFERROR(AJ55/AJ39,""),"")</f>
        <v/>
      </c>
      <c r="AK57" s="43" t="str">
        <f aca="false">IF(AND(ISNUMBER(AK55),ISNUMBER(AK39)),IFERROR(AK55/AK39,""),"")</f>
        <v/>
      </c>
      <c r="AL57" s="43" t="str">
        <f aca="false">IF(AND(ISNUMBER(AL55),ISNUMBER(AL39)),IFERROR(AL55/AL39,""),"")</f>
        <v/>
      </c>
      <c r="AM57" s="43" t="n">
        <f aca="false">IF(AND(ISNUMBER(AM55),ISNUMBER(AM39)),IFERROR(AM55/AM39,""),"")</f>
        <v>0.105497631097668</v>
      </c>
      <c r="AN57" s="43" t="n">
        <f aca="false">IF(AND(ISNUMBER(AN55),ISNUMBER(AN39)),IFERROR(AN55/AN39,""),"")</f>
        <v>0.0586044432857223</v>
      </c>
      <c r="AO57" s="43" t="n">
        <f aca="false">IF(AND(ISNUMBER(AO55),ISNUMBER(AO39)),IFERROR(AO55/AO39,""),"")</f>
        <v>0.0553799022014493</v>
      </c>
      <c r="AP57" s="43" t="n">
        <f aca="false">IF(AND(ISNUMBER(AP55),ISNUMBER(AP39)),IFERROR(AP55/AP39,""),"")</f>
        <v>0.0628912714974455</v>
      </c>
      <c r="AQ57" s="43" t="n">
        <f aca="false">IF(AND(ISNUMBER(AQ55),ISNUMBER(AQ39)),IFERROR(AQ55/AQ39,""),"")</f>
        <v>0.165769701205661</v>
      </c>
      <c r="AR57" s="43" t="n">
        <f aca="false">IF(AND(ISNUMBER(AR55),ISNUMBER(AR39)),IFERROR(AR55/AR39,""),"")</f>
        <v>0.0888076603730944</v>
      </c>
      <c r="AS57" s="43" t="n">
        <f aca="false">IF(AND(ISNUMBER(AS55),ISNUMBER(AS39)),IFERROR(AS55/AS39,""),"")</f>
        <v>0.0586493246623312</v>
      </c>
      <c r="AT57" s="43" t="n">
        <f aca="false">IF(AND(ISNUMBER(AT55),ISNUMBER(AT39)),IFERROR(AT55/AT39,""),"")</f>
        <v>0.110224262162299</v>
      </c>
      <c r="AU57" s="43" t="n">
        <f aca="false">IF(AND(ISNUMBER(AU55),ISNUMBER(AU39)),IFERROR(AU55/AU39,""),"")</f>
        <v>0.067263296461481</v>
      </c>
      <c r="AV57" s="43" t="n">
        <f aca="false">IF(AND(ISNUMBER(AV55),ISNUMBER(AV39)),IFERROR(AV55/AV39,""),"")</f>
        <v>0.0872614200874015</v>
      </c>
      <c r="AW57" s="43" t="n">
        <f aca="false">IF(AND(ISNUMBER(AW55),ISNUMBER(AW39)),IFERROR(AW55/AW39,""),"")</f>
        <v>0.0821746638649563</v>
      </c>
      <c r="AX57" s="43" t="n">
        <f aca="false">IF(AND(ISNUMBER(AX55),ISNUMBER(AX39)),IFERROR(AX55/AX39,""),"")</f>
        <v>0.0423506297969226</v>
      </c>
      <c r="AY57" s="43" t="n">
        <f aca="false">IF(AND(ISNUMBER(AY55),ISNUMBER(AY39)),IFERROR(AY55/AY39,""),"")</f>
        <v>0.0952447899437645</v>
      </c>
      <c r="AZ57" s="43" t="n">
        <f aca="false">IF(AND(ISNUMBER(AZ55),ISNUMBER(AZ39)),IFERROR(AZ55/AZ39,""),"")</f>
        <v>0.0835091091946351</v>
      </c>
      <c r="BA57" s="43" t="n">
        <f aca="false">IF(AND(ISNUMBER(BA55),ISNUMBER(BA39)),IFERROR(BA55/BA39,""),"")</f>
        <v>0.136288575088005</v>
      </c>
      <c r="BB57" s="43" t="n">
        <f aca="false">IF(AND(ISNUMBER(BB55),ISNUMBER(BB39)),IFERROR(BB55/BB39,""),"")</f>
        <v>0.0905597584615649</v>
      </c>
      <c r="BC57" s="43" t="n">
        <f aca="false">IF(AND(ISNUMBER(BC55),ISNUMBER(BC39)),IFERROR(BC55/BC39,""),"")</f>
        <v>0.0802388967685709</v>
      </c>
      <c r="BD57" s="43" t="n">
        <f aca="false">IF(AND(ISNUMBER(BD55),ISNUMBER(BD39)),IFERROR(BD55/BD39,""),"")</f>
        <v>0.128121223258016</v>
      </c>
      <c r="BE57" s="43" t="n">
        <f aca="false">IF(AND(ISNUMBER(BE55),ISNUMBER(BE39)),IFERROR(BE55/BE39,""),"")</f>
        <v>0.0815828559304053</v>
      </c>
      <c r="BF57" s="43" t="n">
        <f aca="false">IF(AND(ISNUMBER(BF55),ISNUMBER(BF39)),IFERROR(BF55/BF39,""),"")</f>
        <v>0.125174783858834</v>
      </c>
      <c r="BG57" s="43" t="n">
        <f aca="false">IF(AND(ISNUMBER(BG55),ISNUMBER(BG39)),IFERROR(BG55/BG39,""),"")</f>
        <v>0.106715626025818</v>
      </c>
      <c r="BH57" s="43" t="n">
        <f aca="false">IF(AND(ISNUMBER(BH55),ISNUMBER(BH39)),IFERROR(BH55/BH39,""),"")</f>
        <v>0.0768919024238173</v>
      </c>
      <c r="BI57" s="43" t="n">
        <f aca="false">IF(AND(ISNUMBER(BI55),ISNUMBER(BI39)),IFERROR(BI55/BI39,""),"")</f>
        <v>0.0606168991535094</v>
      </c>
      <c r="BJ57" s="43" t="n">
        <f aca="false">IF(AND(ISNUMBER(BJ55),ISNUMBER(BJ39)),IFERROR(BJ55/BJ39,""),"")</f>
        <v>0.115786286064924</v>
      </c>
      <c r="BK57" s="43" t="n">
        <f aca="false">IF(AND(ISNUMBER(BK55),ISNUMBER(BK39)),IFERROR(BK55/BK39,""),"")</f>
        <v>0.125069712749874</v>
      </c>
      <c r="BL57" s="43" t="n">
        <f aca="false">IF(AND(ISNUMBER(BL55),ISNUMBER(BL39)),IFERROR(BL55/BL39,""),"")</f>
        <v>0.101782972089043</v>
      </c>
      <c r="BM57" s="43" t="n">
        <f aca="false">IF(AND(ISNUMBER(BM55),ISNUMBER(BM39)),IFERROR(BM55/BM39,""),"")</f>
        <v>0.103047823864337</v>
      </c>
      <c r="BN57" s="43" t="n">
        <f aca="false">IF(AND(ISNUMBER(BN55),ISNUMBER(BN39)),IFERROR(BN55/BN39,""),"")</f>
        <v>0.0949780504575025</v>
      </c>
      <c r="BO57" s="35" t="n">
        <f aca="false">BO56+BO121</f>
        <v>0.134007035321943</v>
      </c>
      <c r="BP57" s="35" t="n">
        <f aca="false">BP56+BP121</f>
        <v>0.143290462006894</v>
      </c>
      <c r="BQ57" s="35" t="n">
        <f aca="false">IF(AND(ISNUMBER(BQ55),ISNUMBER(BQ39)),IFERROR(BQ55/BQ39,""),"")</f>
        <v>0.121889974863438</v>
      </c>
      <c r="BR57" s="35" t="n">
        <f aca="false">IF(AND(ISNUMBER(BR55),ISNUMBER(BR39)),IFERROR(BR55/BR39,""),"")</f>
        <v>0.12</v>
      </c>
      <c r="BS57" s="35" t="n">
        <f aca="false">IF(AND(ISNUMBER(BS55),ISNUMBER(BS39)),IFERROR(BS55/BS39,""),"")</f>
        <v>0.125</v>
      </c>
      <c r="BT57" s="35" t="n">
        <f aca="false">IF(AND(ISNUMBER(BT55),ISNUMBER(BT39)),IFERROR(BT55/BT39,""),"")</f>
        <v>0.13</v>
      </c>
      <c r="BU57" s="35" t="n">
        <f aca="false">IF(AND(ISNUMBER(BU55),ISNUMBER(BU39)),IFERROR(BU55/BU39,""),"")</f>
        <v>0.135</v>
      </c>
      <c r="BV57" s="15"/>
      <c r="BX57" s="38" t="n">
        <f aca="false">IFERROR(AVERAGE(BQ57,BR57,BS57,BT57,BU57),"n/m")</f>
        <v>0.126377994972688</v>
      </c>
      <c r="BY57" s="38" t="n">
        <f aca="false">IFERROR(AVERAGE(AR57,AW57,BB57,BG57,BL57),"n/m")</f>
        <v>0.0940081361628954</v>
      </c>
      <c r="BZ57" s="38" t="n">
        <f aca="false">IFERROR(AVERAGE(S57,X57,AC57,AH57,AM57,AR57,AW57,BB57,BG57,BL57),"n/m")</f>
        <v>0.0959230519853574</v>
      </c>
      <c r="CA57" s="38" t="n">
        <f aca="false">IFERROR(AVERAGE(D57,I57,N57,S57,X57,AC57,AH57,AM57,AR57,AW57,BB57,BG57,BL57),"n/m")</f>
        <v>0.0959230519853574</v>
      </c>
    </row>
    <row r="58" customFormat="false" ht="15" hidden="false" customHeight="false" outlineLevel="0" collapsed="false">
      <c r="B58" s="13" t="s">
        <v>198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36"/>
      <c r="BP58" s="36"/>
      <c r="BQ58" s="36"/>
      <c r="BR58" s="35" t="n">
        <f aca="false">CHOOSE(MATCH($BV$2,{"Bull","Base","Bear"},0),$CE$43,$CF$43,$CG$43)</f>
        <v>0.12</v>
      </c>
      <c r="BS58" s="35" t="n">
        <f aca="false">CHOOSE(MATCH($BV$2,{"Bull","Base","Bear"},0),$CE$44,$CF$44,$CG$44)</f>
        <v>0.125</v>
      </c>
      <c r="BT58" s="35" t="n">
        <f aca="false">CHOOSE(MATCH($BV$2,{"Bull","Base","Bear"},0),$CE$45,$CF$45,$CG$45)</f>
        <v>0.13</v>
      </c>
      <c r="BU58" s="35" t="n">
        <f aca="false">CHOOSE(MATCH($BV$2,{"Bull","Base","Bear"},0),$CE$46,$CF$46,$CG$46)</f>
        <v>0.135</v>
      </c>
      <c r="BV58" s="15" t="s">
        <v>199</v>
      </c>
    </row>
    <row r="59" customFormat="false" ht="15" hidden="false" customHeight="false" outlineLevel="0" collapsed="false">
      <c r="B59" s="13" t="s">
        <v>150</v>
      </c>
      <c r="C59" s="43" t="str">
        <f aca="false">IF(AND(ISNUMBER(C60),ISNUMBER(C39)),IFERROR(C60/C39,""),"")</f>
        <v/>
      </c>
      <c r="D59" s="43" t="str">
        <f aca="false">IF(AND(ISNUMBER(D60),ISNUMBER(D39)),IFERROR(D60/D39,""),"")</f>
        <v/>
      </c>
      <c r="E59" s="43" t="str">
        <f aca="false">IF(AND(ISNUMBER(E60),ISNUMBER(E39)),IFERROR(E60/E39,""),"")</f>
        <v/>
      </c>
      <c r="F59" s="43" t="str">
        <f aca="false">IF(AND(ISNUMBER(F60),ISNUMBER(F39)),IFERROR(F60/F39,""),"")</f>
        <v/>
      </c>
      <c r="G59" s="43" t="str">
        <f aca="false">IF(AND(ISNUMBER(G60),ISNUMBER(G39)),IFERROR(G60/G39,""),"")</f>
        <v/>
      </c>
      <c r="H59" s="43" t="str">
        <f aca="false">IF(AND(ISNUMBER(H60),ISNUMBER(H39)),IFERROR(H60/H39,""),"")</f>
        <v/>
      </c>
      <c r="I59" s="43" t="str">
        <f aca="false">IF(AND(ISNUMBER(I60),ISNUMBER(I39)),IFERROR(I60/I39,""),"")</f>
        <v/>
      </c>
      <c r="J59" s="43" t="str">
        <f aca="false">IF(AND(ISNUMBER(J60),ISNUMBER(J39)),IFERROR(J60/J39,""),"")</f>
        <v/>
      </c>
      <c r="K59" s="43" t="str">
        <f aca="false">IF(AND(ISNUMBER(K60),ISNUMBER(K39)),IFERROR(K60/K39,""),"")</f>
        <v/>
      </c>
      <c r="L59" s="43" t="str">
        <f aca="false">IF(AND(ISNUMBER(L60),ISNUMBER(L39)),IFERROR(L60/L39,""),"")</f>
        <v/>
      </c>
      <c r="M59" s="43" t="str">
        <f aca="false">IF(AND(ISNUMBER(M60),ISNUMBER(M39)),IFERROR(M60/M39,""),"")</f>
        <v/>
      </c>
      <c r="N59" s="43" t="str">
        <f aca="false">IF(AND(ISNUMBER(N60),ISNUMBER(N39)),IFERROR(N60/N39,""),"")</f>
        <v/>
      </c>
      <c r="O59" s="43" t="str">
        <f aca="false">IF(AND(ISNUMBER(O60),ISNUMBER(O39)),IFERROR(O60/O39,""),"")</f>
        <v/>
      </c>
      <c r="P59" s="43" t="str">
        <f aca="false">IF(AND(ISNUMBER(P60),ISNUMBER(P39)),IFERROR(P60/P39,""),"")</f>
        <v/>
      </c>
      <c r="Q59" s="43" t="str">
        <f aca="false">IF(AND(ISNUMBER(Q60),ISNUMBER(Q39)),IFERROR(Q60/Q39,""),"")</f>
        <v/>
      </c>
      <c r="R59" s="43" t="str">
        <f aca="false">IF(AND(ISNUMBER(R60),ISNUMBER(R39)),IFERROR(R60/R39,""),"")</f>
        <v/>
      </c>
      <c r="S59" s="43" t="str">
        <f aca="false">IF(AND(ISNUMBER(S60),ISNUMBER(S39)),IFERROR(S60/S39,""),"")</f>
        <v/>
      </c>
      <c r="T59" s="43" t="str">
        <f aca="false">IF(AND(ISNUMBER(T60),ISNUMBER(T39)),IFERROR(T60/T39,""),"")</f>
        <v/>
      </c>
      <c r="U59" s="43" t="str">
        <f aca="false">IF(AND(ISNUMBER(U60),ISNUMBER(U39)),IFERROR(U60/U39,""),"")</f>
        <v/>
      </c>
      <c r="V59" s="43" t="str">
        <f aca="false">IF(AND(ISNUMBER(V60),ISNUMBER(V39)),IFERROR(V60/V39,""),"")</f>
        <v/>
      </c>
      <c r="W59" s="43" t="str">
        <f aca="false">IF(AND(ISNUMBER(W60),ISNUMBER(W39)),IFERROR(W60/W39,""),"")</f>
        <v/>
      </c>
      <c r="X59" s="43" t="str">
        <f aca="false">IF(AND(ISNUMBER(X60),ISNUMBER(X39)),IFERROR(X60/X39,""),"")</f>
        <v/>
      </c>
      <c r="Y59" s="43" t="str">
        <f aca="false">IF(AND(ISNUMBER(Y60),ISNUMBER(Y39)),IFERROR(Y60/Y39,""),"")</f>
        <v/>
      </c>
      <c r="Z59" s="43" t="str">
        <f aca="false">IF(AND(ISNUMBER(Z60),ISNUMBER(Z39)),IFERROR(Z60/Z39,""),"")</f>
        <v/>
      </c>
      <c r="AA59" s="43" t="str">
        <f aca="false">IF(AND(ISNUMBER(AA60),ISNUMBER(AA39)),IFERROR(AA60/AA39,""),"")</f>
        <v/>
      </c>
      <c r="AB59" s="43" t="str">
        <f aca="false">IF(AND(ISNUMBER(AB60),ISNUMBER(AB39)),IFERROR(AB60/AB39,""),"")</f>
        <v/>
      </c>
      <c r="AC59" s="43" t="str">
        <f aca="false">IF(AND(ISNUMBER(AC60),ISNUMBER(AC39)),IFERROR(AC60/AC39,""),"")</f>
        <v/>
      </c>
      <c r="AD59" s="43" t="str">
        <f aca="false">IF(AND(ISNUMBER(AD60),ISNUMBER(AD39)),IFERROR(AD60/AD39,""),"")</f>
        <v/>
      </c>
      <c r="AE59" s="43" t="str">
        <f aca="false">IF(AND(ISNUMBER(AE60),ISNUMBER(AE39)),IFERROR(AE60/AE39,""),"")</f>
        <v/>
      </c>
      <c r="AF59" s="43" t="str">
        <f aca="false">IF(AND(ISNUMBER(AF60),ISNUMBER(AF39)),IFERROR(AF60/AF39,""),"")</f>
        <v/>
      </c>
      <c r="AG59" s="43" t="str">
        <f aca="false">IF(AND(ISNUMBER(AG60),ISNUMBER(AG39)),IFERROR(AG60/AG39,""),"")</f>
        <v/>
      </c>
      <c r="AH59" s="43" t="str">
        <f aca="false">IF(AND(ISNUMBER(AH60),ISNUMBER(AH39)),IFERROR(AH60/AH39,""),"")</f>
        <v/>
      </c>
      <c r="AI59" s="43" t="str">
        <f aca="false">IF(AND(ISNUMBER(AI60),ISNUMBER(AI39)),IFERROR(AI60/AI39,""),"")</f>
        <v/>
      </c>
      <c r="AJ59" s="43" t="str">
        <f aca="false">IF(AND(ISNUMBER(AJ60),ISNUMBER(AJ39)),IFERROR(AJ60/AJ39,""),"")</f>
        <v/>
      </c>
      <c r="AK59" s="43" t="str">
        <f aca="false">IF(AND(ISNUMBER(AK60),ISNUMBER(AK39)),IFERROR(AK60/AK39,""),"")</f>
        <v/>
      </c>
      <c r="AL59" s="43" t="str">
        <f aca="false">IF(AND(ISNUMBER(AL60),ISNUMBER(AL39)),IFERROR(AL60/AL39,""),"")</f>
        <v/>
      </c>
      <c r="AM59" s="43" t="n">
        <f aca="false">IF(AND(ISNUMBER(AM60),ISNUMBER(AM39)),IFERROR(AM60/AM39,""),"")</f>
        <v>0.049643250581115</v>
      </c>
      <c r="AN59" s="43" t="n">
        <f aca="false">IF(AND(ISNUMBER(AN60),ISNUMBER(AN39)),IFERROR(AN60/AN39,""),"")</f>
        <v>0.0457829754744036</v>
      </c>
      <c r="AO59" s="43" t="n">
        <f aca="false">IF(AND(ISNUMBER(AO60),ISNUMBER(AO39)),IFERROR(AO60/AO39,""),"")</f>
        <v>0.0494589658490603</v>
      </c>
      <c r="AP59" s="43" t="n">
        <f aca="false">IF(AND(ISNUMBER(AP60),ISNUMBER(AP39)),IFERROR(AP60/AP39,""),"")</f>
        <v>0.0597850855100621</v>
      </c>
      <c r="AQ59" s="43" t="n">
        <f aca="false">IF(AND(ISNUMBER(AQ60),ISNUMBER(AQ39)),IFERROR(AQ60/AQ39,""),"")</f>
        <v>0.0432028656299144</v>
      </c>
      <c r="AR59" s="43" t="n">
        <f aca="false">IF(AND(ISNUMBER(AR60),ISNUMBER(AR39)),IFERROR(AR60/AR39,""),"")</f>
        <v>0.0488451958082155</v>
      </c>
      <c r="AS59" s="43" t="n">
        <f aca="false">IF(AND(ISNUMBER(AS60),ISNUMBER(AS39)),IFERROR(AS60/AS39,""),"")</f>
        <v>0.0483141570785393</v>
      </c>
      <c r="AT59" s="43" t="n">
        <f aca="false">IF(AND(ISNUMBER(AT60),ISNUMBER(AT39)),IFERROR(AT60/AT39,""),"")</f>
        <v>0.0424646900997283</v>
      </c>
      <c r="AU59" s="43" t="n">
        <f aca="false">IF(AND(ISNUMBER(AU60),ISNUMBER(AU39)),IFERROR(AU60/AU39,""),"")</f>
        <v>0.0452187751733894</v>
      </c>
      <c r="AV59" s="43" t="n">
        <f aca="false">IF(AND(ISNUMBER(AV60),ISNUMBER(AV39)),IFERROR(AV60/AV39,""),"")</f>
        <v>0.0405259029619393</v>
      </c>
      <c r="AW59" s="43" t="n">
        <f aca="false">IF(AND(ISNUMBER(AW60),ISNUMBER(AW39)),IFERROR(AW60/AW39,""),"")</f>
        <v>0.0440029202682528</v>
      </c>
      <c r="AX59" s="43" t="n">
        <f aca="false">IF(AND(ISNUMBER(AX60),ISNUMBER(AX39)),IFERROR(AX60/AX39,""),"")</f>
        <v>0.0400187286548419</v>
      </c>
      <c r="AY59" s="43" t="n">
        <f aca="false">IF(AND(ISNUMBER(AY60),ISNUMBER(AY39)),IFERROR(AY60/AY39,""),"")</f>
        <v>0.0360734369831293</v>
      </c>
      <c r="AZ59" s="43" t="n">
        <f aca="false">IF(AND(ISNUMBER(AZ60),ISNUMBER(AZ39)),IFERROR(AZ60/AZ39,""),"")</f>
        <v>0.0405574987317438</v>
      </c>
      <c r="BA59" s="43" t="n">
        <f aca="false">IF(AND(ISNUMBER(BA60),ISNUMBER(BA39)),IFERROR(BA60/BA39,""),"")</f>
        <v>0.0359832770800944</v>
      </c>
      <c r="BB59" s="43" t="n">
        <f aca="false">IF(AND(ISNUMBER(BB60),ISNUMBER(BB39)),IFERROR(BB60/BB39,""),"")</f>
        <v>0.0380513097627503</v>
      </c>
      <c r="BC59" s="43" t="n">
        <f aca="false">IF(AND(ISNUMBER(BC60),ISNUMBER(BC39)),IFERROR(BC60/BC39,""),"")</f>
        <v>0.037970573659837</v>
      </c>
      <c r="BD59" s="43" t="n">
        <f aca="false">IF(AND(ISNUMBER(BD60),ISNUMBER(BD39)),IFERROR(BD60/BD39,""),"")</f>
        <v>0.0310761815239132</v>
      </c>
      <c r="BE59" s="43" t="n">
        <f aca="false">IF(AND(ISNUMBER(BE60),ISNUMBER(BE39)),IFERROR(BE60/BE39,""),"")</f>
        <v>0.0381303486809534</v>
      </c>
      <c r="BF59" s="43" t="n">
        <f aca="false">IF(AND(ISNUMBER(BF60),ISNUMBER(BF39)),IFERROR(BF60/BF39,""),"")</f>
        <v>0.0298954250940386</v>
      </c>
      <c r="BG59" s="43" t="n">
        <f aca="false">IF(AND(ISNUMBER(BG60),ISNUMBER(BG39)),IFERROR(BG60/BG39,""),"")</f>
        <v>0.0337956990068172</v>
      </c>
      <c r="BH59" s="43" t="n">
        <f aca="false">IF(AND(ISNUMBER(BH60),ISNUMBER(BH39)),IFERROR(BH60/BH39,""),"")</f>
        <v>0.0313225781310888</v>
      </c>
      <c r="BI59" s="43" t="n">
        <f aca="false">IF(AND(ISNUMBER(BI60),ISNUMBER(BI39)),IFERROR(BI60/BI39,""),"")</f>
        <v>0.0314694644570481</v>
      </c>
      <c r="BJ59" s="43" t="n">
        <f aca="false">IF(AND(ISNUMBER(BJ60),ISNUMBER(BJ39)),IFERROR(BJ60/BJ39,""),"")</f>
        <v>0.0253614959497312</v>
      </c>
      <c r="BK59" s="43" t="n">
        <f aca="false">IF(AND(ISNUMBER(BK60),ISNUMBER(BK39)),IFERROR(BK60/BK39,""),"")</f>
        <v>0.0244347387871661</v>
      </c>
      <c r="BL59" s="43" t="n">
        <f aca="false">IF(AND(ISNUMBER(BL60),ISNUMBER(BL39)),IFERROR(BL60/BL39,""),"")</f>
        <v>0.0271970647191907</v>
      </c>
      <c r="BM59" s="43" t="n">
        <f aca="false">IF(AND(ISNUMBER(BM60),ISNUMBER(BM39)),IFERROR(BM60/BM39,""),"")</f>
        <v>0.025553068095683</v>
      </c>
      <c r="BN59" s="43" t="n">
        <f aca="false">IF(AND(ISNUMBER(BN60),ISNUMBER(BN39)),IFERROR(BN60/BN39,""),"")</f>
        <v>0.0241940815570953</v>
      </c>
      <c r="BO59" s="35" t="n">
        <f aca="false">SUM(BM60,BN60)/SUM(BM39,BN39)</f>
        <v>0.024851703553826</v>
      </c>
      <c r="BP59" s="35" t="n">
        <f aca="false">SUM(BM60,BN60)/SUM(BM39,BN39)</f>
        <v>0.024851703553826</v>
      </c>
      <c r="BQ59" s="35" t="n">
        <f aca="false">IF(AND(ISNUMBER(BQ60),ISNUMBER(BQ39)),IFERROR(BQ60/BQ39,""),"")</f>
        <v>0.024851703553826</v>
      </c>
      <c r="BR59" s="48" t="n">
        <v>0.028</v>
      </c>
      <c r="BS59" s="48" t="n">
        <v>0.029</v>
      </c>
      <c r="BT59" s="48" t="n">
        <v>0.03</v>
      </c>
      <c r="BU59" s="48" t="n">
        <v>0.03</v>
      </c>
      <c r="BV59" s="15" t="s">
        <v>200</v>
      </c>
    </row>
    <row r="60" customFormat="false" ht="15" hidden="false" customHeight="false" outlineLevel="0" collapsed="false">
      <c r="B60" s="13" t="s">
        <v>154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24" t="n">
        <v>18.431</v>
      </c>
      <c r="AN60" s="24" t="n">
        <v>4.917</v>
      </c>
      <c r="AO60" s="24" t="n">
        <v>5.037</v>
      </c>
      <c r="AP60" s="24" t="n">
        <v>4.985</v>
      </c>
      <c r="AQ60" s="24" t="n">
        <v>4.945</v>
      </c>
      <c r="AR60" s="24" t="n">
        <v>19.884</v>
      </c>
      <c r="AS60" s="24" t="n">
        <v>4.829</v>
      </c>
      <c r="AT60" s="24" t="n">
        <v>5.033</v>
      </c>
      <c r="AU60" s="24" t="n">
        <v>4.603</v>
      </c>
      <c r="AV60" s="24" t="n">
        <v>4.34</v>
      </c>
      <c r="AW60" s="24" t="n">
        <v>18.805</v>
      </c>
      <c r="AX60" s="24" t="n">
        <v>4.359</v>
      </c>
      <c r="AY60" s="24" t="n">
        <v>4.362</v>
      </c>
      <c r="AZ60" s="24" t="n">
        <v>4.557</v>
      </c>
      <c r="BA60" s="24" t="n">
        <v>4.467</v>
      </c>
      <c r="BB60" s="24" t="n">
        <v>17.745</v>
      </c>
      <c r="BC60" s="24" t="n">
        <v>4.444</v>
      </c>
      <c r="BD60" s="24" t="n">
        <v>4.397</v>
      </c>
      <c r="BE60" s="24" t="n">
        <v>4.313</v>
      </c>
      <c r="BF60" s="24" t="n">
        <v>4.554</v>
      </c>
      <c r="BG60" s="24" t="n">
        <v>17.708</v>
      </c>
      <c r="BH60" s="24" t="n">
        <v>4.019</v>
      </c>
      <c r="BI60" s="24" t="n">
        <v>5.543</v>
      </c>
      <c r="BJ60" s="24" t="n">
        <v>6.365</v>
      </c>
      <c r="BK60" s="24" t="n">
        <v>7.273</v>
      </c>
      <c r="BL60" s="24" t="n">
        <v>23.201</v>
      </c>
      <c r="BM60" s="24" t="n">
        <v>7.248</v>
      </c>
      <c r="BN60" s="24" t="n">
        <v>7.319</v>
      </c>
      <c r="BO60" s="21" t="n">
        <f aca="false">BO39*BO59</f>
        <v>9.0299406806113</v>
      </c>
      <c r="BP60" s="21" t="n">
        <f aca="false">BP39*BP59</f>
        <v>10.5476728392019</v>
      </c>
      <c r="BQ60" s="21" t="n">
        <f aca="false">SUM(BM60:BP60)</f>
        <v>34.1446135198132</v>
      </c>
      <c r="BR60" s="21" t="n">
        <f aca="false">BR39*BR59</f>
        <v>43.1920917077811</v>
      </c>
      <c r="BS60" s="21" t="n">
        <f aca="false">BS39*BS59</f>
        <v>49.7246807092587</v>
      </c>
      <c r="BT60" s="21" t="n">
        <f aca="false">BT39*BT59</f>
        <v>58.073752304961</v>
      </c>
      <c r="BU60" s="21" t="n">
        <f aca="false">BU39*BU59</f>
        <v>65.0426025815563</v>
      </c>
      <c r="BV60" s="15"/>
    </row>
    <row r="61" customFormat="false" ht="15" hidden="false" customHeight="false" outlineLevel="0" collapsed="false">
      <c r="B61" s="30" t="s">
        <v>155</v>
      </c>
      <c r="C61" s="49" t="str">
        <f aca="false">IF(AND(ISNUMBER(C55),ISNUMBER(C60)),C55+C60,"")</f>
        <v/>
      </c>
      <c r="D61" s="49" t="str">
        <f aca="false">IF(AND(ISNUMBER(D55),ISNUMBER(D60)),D55+D60,"")</f>
        <v/>
      </c>
      <c r="E61" s="49" t="str">
        <f aca="false">IF(AND(ISNUMBER(E55),ISNUMBER(E60)),E55+E60,"")</f>
        <v/>
      </c>
      <c r="F61" s="49" t="str">
        <f aca="false">IF(AND(ISNUMBER(F55),ISNUMBER(F60)),F55+F60,"")</f>
        <v/>
      </c>
      <c r="G61" s="49" t="str">
        <f aca="false">IF(AND(ISNUMBER(G55),ISNUMBER(G60)),G55+G60,"")</f>
        <v/>
      </c>
      <c r="H61" s="49" t="str">
        <f aca="false">IF(AND(ISNUMBER(H55),ISNUMBER(H60)),H55+H60,"")</f>
        <v/>
      </c>
      <c r="I61" s="49" t="str">
        <f aca="false">IF(AND(ISNUMBER(I55),ISNUMBER(I60)),I55+I60,"")</f>
        <v/>
      </c>
      <c r="J61" s="49" t="str">
        <f aca="false">IF(AND(ISNUMBER(J55),ISNUMBER(J60)),J55+J60,"")</f>
        <v/>
      </c>
      <c r="K61" s="49" t="str">
        <f aca="false">IF(AND(ISNUMBER(K55),ISNUMBER(K60)),K55+K60,"")</f>
        <v/>
      </c>
      <c r="L61" s="49" t="str">
        <f aca="false">IF(AND(ISNUMBER(L55),ISNUMBER(L60)),L55+L60,"")</f>
        <v/>
      </c>
      <c r="M61" s="49" t="str">
        <f aca="false">IF(AND(ISNUMBER(M55),ISNUMBER(M60)),M55+M60,"")</f>
        <v/>
      </c>
      <c r="N61" s="49" t="str">
        <f aca="false">IF(AND(ISNUMBER(N55),ISNUMBER(N60)),N55+N60,"")</f>
        <v/>
      </c>
      <c r="O61" s="49" t="str">
        <f aca="false">IF(AND(ISNUMBER(O55),ISNUMBER(O60)),O55+O60,"")</f>
        <v/>
      </c>
      <c r="P61" s="49" t="str">
        <f aca="false">IF(AND(ISNUMBER(P55),ISNUMBER(P60)),P55+P60,"")</f>
        <v/>
      </c>
      <c r="Q61" s="49" t="str">
        <f aca="false">IF(AND(ISNUMBER(Q55),ISNUMBER(Q60)),Q55+Q60,"")</f>
        <v/>
      </c>
      <c r="R61" s="49" t="str">
        <f aca="false">IF(AND(ISNUMBER(R55),ISNUMBER(R60)),R55+R60,"")</f>
        <v/>
      </c>
      <c r="S61" s="49" t="str">
        <f aca="false">IF(AND(ISNUMBER(S55),ISNUMBER(S60)),S55+S60,"")</f>
        <v/>
      </c>
      <c r="T61" s="49" t="str">
        <f aca="false">IF(AND(ISNUMBER(T55),ISNUMBER(T60)),T55+T60,"")</f>
        <v/>
      </c>
      <c r="U61" s="49" t="str">
        <f aca="false">IF(AND(ISNUMBER(U55),ISNUMBER(U60)),U55+U60,"")</f>
        <v/>
      </c>
      <c r="V61" s="49" t="str">
        <f aca="false">IF(AND(ISNUMBER(V55),ISNUMBER(V60)),V55+V60,"")</f>
        <v/>
      </c>
      <c r="W61" s="49" t="str">
        <f aca="false">IF(AND(ISNUMBER(W55),ISNUMBER(W60)),W55+W60,"")</f>
        <v/>
      </c>
      <c r="X61" s="49" t="str">
        <f aca="false">IF(AND(ISNUMBER(X55),ISNUMBER(X60)),X55+X60,"")</f>
        <v/>
      </c>
      <c r="Y61" s="49" t="str">
        <f aca="false">IF(AND(ISNUMBER(Y55),ISNUMBER(Y60)),Y55+Y60,"")</f>
        <v/>
      </c>
      <c r="Z61" s="49" t="str">
        <f aca="false">IF(AND(ISNUMBER(Z55),ISNUMBER(Z60)),Z55+Z60,"")</f>
        <v/>
      </c>
      <c r="AA61" s="49" t="str">
        <f aca="false">IF(AND(ISNUMBER(AA55),ISNUMBER(AA60)),AA55+AA60,"")</f>
        <v/>
      </c>
      <c r="AB61" s="49" t="str">
        <f aca="false">IF(AND(ISNUMBER(AB55),ISNUMBER(AB60)),AB55+AB60,"")</f>
        <v/>
      </c>
      <c r="AC61" s="49" t="str">
        <f aca="false">IF(AND(ISNUMBER(AC55),ISNUMBER(AC60)),AC55+AC60,"")</f>
        <v/>
      </c>
      <c r="AD61" s="49" t="str">
        <f aca="false">IF(AND(ISNUMBER(AD55),ISNUMBER(AD60)),AD55+AD60,"")</f>
        <v/>
      </c>
      <c r="AE61" s="49" t="str">
        <f aca="false">IF(AND(ISNUMBER(AE55),ISNUMBER(AE60)),AE55+AE60,"")</f>
        <v/>
      </c>
      <c r="AF61" s="49" t="str">
        <f aca="false">IF(AND(ISNUMBER(AF55),ISNUMBER(AF60)),AF55+AF60,"")</f>
        <v/>
      </c>
      <c r="AG61" s="49" t="str">
        <f aca="false">IF(AND(ISNUMBER(AG55),ISNUMBER(AG60)),AG55+AG60,"")</f>
        <v/>
      </c>
      <c r="AH61" s="49" t="str">
        <f aca="false">IF(AND(ISNUMBER(AH55),ISNUMBER(AH60)),AH55+AH60,"")</f>
        <v/>
      </c>
      <c r="AI61" s="49" t="str">
        <f aca="false">IF(AND(ISNUMBER(AI55),ISNUMBER(AI60)),AI55+AI60,"")</f>
        <v/>
      </c>
      <c r="AJ61" s="49" t="str">
        <f aca="false">IF(AND(ISNUMBER(AJ55),ISNUMBER(AJ60)),AJ55+AJ60,"")</f>
        <v/>
      </c>
      <c r="AK61" s="49" t="str">
        <f aca="false">IF(AND(ISNUMBER(AK55),ISNUMBER(AK60)),AK55+AK60,"")</f>
        <v/>
      </c>
      <c r="AL61" s="49" t="str">
        <f aca="false">IF(AND(ISNUMBER(AL55),ISNUMBER(AL60)),AL55+AL60,"")</f>
        <v/>
      </c>
      <c r="AM61" s="49" t="n">
        <f aca="false">IF(AND(ISNUMBER(AM55),ISNUMBER(AM60)),AM55+AM60,"")</f>
        <v>57.599</v>
      </c>
      <c r="AN61" s="49" t="n">
        <f aca="false">IF(AND(ISNUMBER(AN55),ISNUMBER(AN60)),AN55+AN60,"")</f>
        <v>11.211</v>
      </c>
      <c r="AO61" s="49" t="n">
        <f aca="false">IF(AND(ISNUMBER(AO55),ISNUMBER(AO60)),AO55+AO60,"")</f>
        <v>10.677</v>
      </c>
      <c r="AP61" s="49" t="n">
        <f aca="false">IF(AND(ISNUMBER(AP55),ISNUMBER(AP60)),AP55+AP60,"")</f>
        <v>10.229</v>
      </c>
      <c r="AQ61" s="49" t="n">
        <f aca="false">IF(AND(ISNUMBER(AQ55),ISNUMBER(AQ60)),AQ55+AQ60,"")</f>
        <v>23.919</v>
      </c>
      <c r="AR61" s="49" t="n">
        <f aca="false">IF(AND(ISNUMBER(AR55),ISNUMBER(AR60)),AR55+AR60,"")</f>
        <v>56.036</v>
      </c>
      <c r="AS61" s="49" t="n">
        <f aca="false">IF(AND(ISNUMBER(AS55),ISNUMBER(AS60)),AS55+AS60,"")</f>
        <v>10.691</v>
      </c>
      <c r="AT61" s="49" t="n">
        <f aca="false">IF(AND(ISNUMBER(AT55),ISNUMBER(AT60)),AT55+AT60,"")</f>
        <v>18.097</v>
      </c>
      <c r="AU61" s="49" t="n">
        <f aca="false">IF(AND(ISNUMBER(AU55),ISNUMBER(AU60)),AU55+AU60,"")</f>
        <v>11.45</v>
      </c>
      <c r="AV61" s="49" t="n">
        <f aca="false">IF(AND(ISNUMBER(AV55),ISNUMBER(AV60)),AV55+AV60,"")</f>
        <v>13.685</v>
      </c>
      <c r="AW61" s="49" t="n">
        <f aca="false">IF(AND(ISNUMBER(AW55),ISNUMBER(AW60)),AW55+AW60,"")</f>
        <v>53.923</v>
      </c>
      <c r="AX61" s="49" t="n">
        <f aca="false">IF(AND(ISNUMBER(AX55),ISNUMBER(AX60)),AX55+AX60,"")</f>
        <v>8.972</v>
      </c>
      <c r="AY61" s="49" t="n">
        <f aca="false">IF(AND(ISNUMBER(AY55),ISNUMBER(AY60)),AY55+AY60,"")</f>
        <v>15.879</v>
      </c>
      <c r="AZ61" s="49" t="n">
        <f aca="false">IF(AND(ISNUMBER(AZ55),ISNUMBER(AZ60)),AZ55+AZ60,"")</f>
        <v>13.94</v>
      </c>
      <c r="BA61" s="49" t="n">
        <f aca="false">IF(AND(ISNUMBER(BA55),ISNUMBER(BA60)),BA55+BA60,"")</f>
        <v>21.386</v>
      </c>
      <c r="BB61" s="49" t="n">
        <f aca="false">IF(AND(ISNUMBER(BB55),ISNUMBER(BB60)),BB55+BB60,"")</f>
        <v>59.977</v>
      </c>
      <c r="BC61" s="49" t="n">
        <f aca="false">IF(AND(ISNUMBER(BC55),ISNUMBER(BC60)),BC55+BC60,"")</f>
        <v>13.835</v>
      </c>
      <c r="BD61" s="49" t="n">
        <f aca="false">IF(AND(ISNUMBER(BD55),ISNUMBER(BD60)),BD55+BD60,"")</f>
        <v>22.525</v>
      </c>
      <c r="BE61" s="49" t="n">
        <f aca="false">IF(AND(ISNUMBER(BE55),ISNUMBER(BE60)),BE55+BE60,"")</f>
        <v>13.541</v>
      </c>
      <c r="BF61" s="49" t="n">
        <f aca="false">IF(AND(ISNUMBER(BF55),ISNUMBER(BF60)),BF55+BF60,"")</f>
        <v>23.622</v>
      </c>
      <c r="BG61" s="49" t="n">
        <f aca="false">IF(AND(ISNUMBER(BG55),ISNUMBER(BG60)),BG55+BG60,"")</f>
        <v>73.624</v>
      </c>
      <c r="BH61" s="49" t="n">
        <f aca="false">IF(AND(ISNUMBER(BH55),ISNUMBER(BH60)),BH55+BH60,"")</f>
        <v>13.885</v>
      </c>
      <c r="BI61" s="49" t="n">
        <f aca="false">IF(AND(ISNUMBER(BI55),ISNUMBER(BI60)),BI55+BI60,"")</f>
        <v>16.22</v>
      </c>
      <c r="BJ61" s="49" t="n">
        <f aca="false">IF(AND(ISNUMBER(BJ55),ISNUMBER(BJ60)),BJ55+BJ60,"")</f>
        <v>35.424</v>
      </c>
      <c r="BK61" s="49" t="n">
        <f aca="false">IF(AND(ISNUMBER(BK55),ISNUMBER(BK60)),BK55+BK60,"")</f>
        <v>44.5</v>
      </c>
      <c r="BL61" s="49" t="n">
        <f aca="false">IF(AND(ISNUMBER(BL55),ISNUMBER(BL60)),BL55+BL60,"")</f>
        <v>110.029</v>
      </c>
      <c r="BM61" s="49" t="n">
        <f aca="false">IF(AND(ISNUMBER(BM55),ISNUMBER(BM60)),BM55+BM60,"")</f>
        <v>36.477</v>
      </c>
      <c r="BN61" s="49" t="n">
        <f aca="false">IF(AND(ISNUMBER(BN55),ISNUMBER(BN60)),BN55+BN60,"")</f>
        <v>36.051</v>
      </c>
      <c r="BO61" s="33" t="n">
        <f aca="false">BO55+BO60</f>
        <v>57.721797040512</v>
      </c>
      <c r="BP61" s="33" t="n">
        <f aca="false">BP55+BP60</f>
        <v>71.3636612060886</v>
      </c>
      <c r="BQ61" s="33" t="n">
        <f aca="false">BQ55+BQ60</f>
        <v>201.613458246601</v>
      </c>
      <c r="BR61" s="33" t="n">
        <f aca="false">BR55+BR60</f>
        <v>228.3010561697</v>
      </c>
      <c r="BS61" s="33" t="n">
        <f aca="false">BS55+BS60</f>
        <v>264.055201007787</v>
      </c>
      <c r="BT61" s="33" t="n">
        <f aca="false">BT55+BT60</f>
        <v>309.726678959792</v>
      </c>
      <c r="BU61" s="33" t="n">
        <f aca="false">BU55+BU60</f>
        <v>357.73431419856</v>
      </c>
      <c r="BV61" s="15"/>
      <c r="BX61" s="25" t="n">
        <f aca="false">IFERROR((BU61/BL61)^(1/5)-1,"n/m")</f>
        <v>0.265932900169894</v>
      </c>
      <c r="BY61" s="25" t="n">
        <f aca="false">IFERROR((BL61/AM61)^(1/5)-1,"n/m")</f>
        <v>0.138199641475168</v>
      </c>
      <c r="BZ61" s="25" t="str">
        <f aca="false">IFERROR((BL61/N61)^(1/10)-1,"n/m")</f>
        <v>n/m</v>
      </c>
      <c r="CA61" s="25" t="str">
        <f aca="false">IFERROR((BL61/D61)^(1/12)-1,"n/m")</f>
        <v>n/m</v>
      </c>
    </row>
    <row r="62" customFormat="false" ht="15" hidden="false" customHeight="false" outlineLevel="0" collapsed="false">
      <c r="B62" s="13" t="s">
        <v>156</v>
      </c>
      <c r="C62" s="43" t="str">
        <f aca="false">IF(AND(ISNUMBER(C61),ISNUMBER(C39)),IFERROR(C61/C39,""),"")</f>
        <v/>
      </c>
      <c r="D62" s="43" t="str">
        <f aca="false">IF(AND(ISNUMBER(D61),ISNUMBER(D39)),IFERROR(D61/D39,""),"")</f>
        <v/>
      </c>
      <c r="E62" s="43" t="str">
        <f aca="false">IF(AND(ISNUMBER(E61),ISNUMBER(E39)),IFERROR(E61/E39,""),"")</f>
        <v/>
      </c>
      <c r="F62" s="43" t="str">
        <f aca="false">IF(AND(ISNUMBER(F61),ISNUMBER(F39)),IFERROR(F61/F39,""),"")</f>
        <v/>
      </c>
      <c r="G62" s="43" t="str">
        <f aca="false">IF(AND(ISNUMBER(G61),ISNUMBER(G39)),IFERROR(G61/G39,""),"")</f>
        <v/>
      </c>
      <c r="H62" s="43" t="str">
        <f aca="false">IF(AND(ISNUMBER(H61),ISNUMBER(H39)),IFERROR(H61/H39,""),"")</f>
        <v/>
      </c>
      <c r="I62" s="43" t="str">
        <f aca="false">IF(AND(ISNUMBER(I61),ISNUMBER(I39)),IFERROR(I61/I39,""),"")</f>
        <v/>
      </c>
      <c r="J62" s="43" t="str">
        <f aca="false">IF(AND(ISNUMBER(J61),ISNUMBER(J39)),IFERROR(J61/J39,""),"")</f>
        <v/>
      </c>
      <c r="K62" s="43" t="str">
        <f aca="false">IF(AND(ISNUMBER(K61),ISNUMBER(K39)),IFERROR(K61/K39,""),"")</f>
        <v/>
      </c>
      <c r="L62" s="43" t="str">
        <f aca="false">IF(AND(ISNUMBER(L61),ISNUMBER(L39)),IFERROR(L61/L39,""),"")</f>
        <v/>
      </c>
      <c r="M62" s="43" t="str">
        <f aca="false">IF(AND(ISNUMBER(M61),ISNUMBER(M39)),IFERROR(M61/M39,""),"")</f>
        <v/>
      </c>
      <c r="N62" s="43" t="str">
        <f aca="false">IF(AND(ISNUMBER(N61),ISNUMBER(N39)),IFERROR(N61/N39,""),"")</f>
        <v/>
      </c>
      <c r="O62" s="43" t="str">
        <f aca="false">IF(AND(ISNUMBER(O61),ISNUMBER(O39)),IFERROR(O61/O39,""),"")</f>
        <v/>
      </c>
      <c r="P62" s="43" t="str">
        <f aca="false">IF(AND(ISNUMBER(P61),ISNUMBER(P39)),IFERROR(P61/P39,""),"")</f>
        <v/>
      </c>
      <c r="Q62" s="43" t="str">
        <f aca="false">IF(AND(ISNUMBER(Q61),ISNUMBER(Q39)),IFERROR(Q61/Q39,""),"")</f>
        <v/>
      </c>
      <c r="R62" s="43" t="str">
        <f aca="false">IF(AND(ISNUMBER(R61),ISNUMBER(R39)),IFERROR(R61/R39,""),"")</f>
        <v/>
      </c>
      <c r="S62" s="43" t="str">
        <f aca="false">IF(AND(ISNUMBER(S61),ISNUMBER(S39)),IFERROR(S61/S39,""),"")</f>
        <v/>
      </c>
      <c r="T62" s="43" t="str">
        <f aca="false">IF(AND(ISNUMBER(T61),ISNUMBER(T39)),IFERROR(T61/T39,""),"")</f>
        <v/>
      </c>
      <c r="U62" s="43" t="str">
        <f aca="false">IF(AND(ISNUMBER(U61),ISNUMBER(U39)),IFERROR(U61/U39,""),"")</f>
        <v/>
      </c>
      <c r="V62" s="43" t="str">
        <f aca="false">IF(AND(ISNUMBER(V61),ISNUMBER(V39)),IFERROR(V61/V39,""),"")</f>
        <v/>
      </c>
      <c r="W62" s="43" t="str">
        <f aca="false">IF(AND(ISNUMBER(W61),ISNUMBER(W39)),IFERROR(W61/W39,""),"")</f>
        <v/>
      </c>
      <c r="X62" s="43" t="str">
        <f aca="false">IF(AND(ISNUMBER(X61),ISNUMBER(X39)),IFERROR(X61/X39,""),"")</f>
        <v/>
      </c>
      <c r="Y62" s="43" t="str">
        <f aca="false">IF(AND(ISNUMBER(Y61),ISNUMBER(Y39)),IFERROR(Y61/Y39,""),"")</f>
        <v/>
      </c>
      <c r="Z62" s="43" t="str">
        <f aca="false">IF(AND(ISNUMBER(Z61),ISNUMBER(Z39)),IFERROR(Z61/Z39,""),"")</f>
        <v/>
      </c>
      <c r="AA62" s="43" t="str">
        <f aca="false">IF(AND(ISNUMBER(AA61),ISNUMBER(AA39)),IFERROR(AA61/AA39,""),"")</f>
        <v/>
      </c>
      <c r="AB62" s="43" t="str">
        <f aca="false">IF(AND(ISNUMBER(AB61),ISNUMBER(AB39)),IFERROR(AB61/AB39,""),"")</f>
        <v/>
      </c>
      <c r="AC62" s="43" t="str">
        <f aca="false">IF(AND(ISNUMBER(AC61),ISNUMBER(AC39)),IFERROR(AC61/AC39,""),"")</f>
        <v/>
      </c>
      <c r="AD62" s="43" t="str">
        <f aca="false">IF(AND(ISNUMBER(AD61),ISNUMBER(AD39)),IFERROR(AD61/AD39,""),"")</f>
        <v/>
      </c>
      <c r="AE62" s="43" t="str">
        <f aca="false">IF(AND(ISNUMBER(AE61),ISNUMBER(AE39)),IFERROR(AE61/AE39,""),"")</f>
        <v/>
      </c>
      <c r="AF62" s="43" t="str">
        <f aca="false">IF(AND(ISNUMBER(AF61),ISNUMBER(AF39)),IFERROR(AF61/AF39,""),"")</f>
        <v/>
      </c>
      <c r="AG62" s="43" t="str">
        <f aca="false">IF(AND(ISNUMBER(AG61),ISNUMBER(AG39)),IFERROR(AG61/AG39,""),"")</f>
        <v/>
      </c>
      <c r="AH62" s="43" t="str">
        <f aca="false">IF(AND(ISNUMBER(AH61),ISNUMBER(AH39)),IFERROR(AH61/AH39,""),"")</f>
        <v/>
      </c>
      <c r="AI62" s="43" t="str">
        <f aca="false">IF(AND(ISNUMBER(AI61),ISNUMBER(AI39)),IFERROR(AI61/AI39,""),"")</f>
        <v/>
      </c>
      <c r="AJ62" s="43" t="str">
        <f aca="false">IF(AND(ISNUMBER(AJ61),ISNUMBER(AJ39)),IFERROR(AJ61/AJ39,""),"")</f>
        <v/>
      </c>
      <c r="AK62" s="43" t="str">
        <f aca="false">IF(AND(ISNUMBER(AK61),ISNUMBER(AK39)),IFERROR(AK61/AK39,""),"")</f>
        <v/>
      </c>
      <c r="AL62" s="43" t="str">
        <f aca="false">IF(AND(ISNUMBER(AL61),ISNUMBER(AL39)),IFERROR(AL61/AL39,""),"")</f>
        <v/>
      </c>
      <c r="AM62" s="43" t="n">
        <f aca="false">IF(AND(ISNUMBER(AM61),ISNUMBER(AM39)),IFERROR(AM61/AM39,""),"")</f>
        <v>0.155140881678783</v>
      </c>
      <c r="AN62" s="43" t="n">
        <f aca="false">IF(AND(ISNUMBER(AN61),ISNUMBER(AN39)),IFERROR(AN61/AN39,""),"")</f>
        <v>0.104387418760126</v>
      </c>
      <c r="AO62" s="43" t="n">
        <f aca="false">IF(AND(ISNUMBER(AO61),ISNUMBER(AO39)),IFERROR(AO61/AO39,""),"")</f>
        <v>0.10483886805051</v>
      </c>
      <c r="AP62" s="43" t="n">
        <f aca="false">IF(AND(ISNUMBER(AP61),ISNUMBER(AP39)),IFERROR(AP61/AP39,""),"")</f>
        <v>0.122676357007508</v>
      </c>
      <c r="AQ62" s="43" t="n">
        <f aca="false">IF(AND(ISNUMBER(AQ61),ISNUMBER(AQ39)),IFERROR(AQ61/AQ39,""),"")</f>
        <v>0.208972566835576</v>
      </c>
      <c r="AR62" s="43" t="n">
        <f aca="false">IF(AND(ISNUMBER(AR61),ISNUMBER(AR39)),IFERROR(AR61/AR39,""),"")</f>
        <v>0.13765285618131</v>
      </c>
      <c r="AS62" s="43" t="n">
        <f aca="false">IF(AND(ISNUMBER(AS61),ISNUMBER(AS39)),IFERROR(AS61/AS39,""),"")</f>
        <v>0.10696348174087</v>
      </c>
      <c r="AT62" s="43" t="n">
        <f aca="false">IF(AND(ISNUMBER(AT61),ISNUMBER(AT39)),IFERROR(AT61/AT39,""),"")</f>
        <v>0.152688952262027</v>
      </c>
      <c r="AU62" s="43" t="n">
        <f aca="false">IF(AND(ISNUMBER(AU61),ISNUMBER(AU39)),IFERROR(AU61/AU39,""),"")</f>
        <v>0.11248207163487</v>
      </c>
      <c r="AV62" s="43" t="n">
        <f aca="false">IF(AND(ISNUMBER(AV61),ISNUMBER(AV39)),IFERROR(AV61/AV39,""),"")</f>
        <v>0.127787323049341</v>
      </c>
      <c r="AW62" s="43" t="n">
        <f aca="false">IF(AND(ISNUMBER(AW61),ISNUMBER(AW39)),IFERROR(AW61/AW39,""),"")</f>
        <v>0.126177584133209</v>
      </c>
      <c r="AX62" s="43" t="n">
        <f aca="false">IF(AND(ISNUMBER(AX61),ISNUMBER(AX39)),IFERROR(AX61/AX39,""),"")</f>
        <v>0.0823693584517646</v>
      </c>
      <c r="AY62" s="43" t="n">
        <f aca="false">IF(AND(ISNUMBER(AY61),ISNUMBER(AY39)),IFERROR(AY61/AY39,""),"")</f>
        <v>0.131318226926894</v>
      </c>
      <c r="AZ62" s="43" t="n">
        <f aca="false">IF(AND(ISNUMBER(AZ61),ISNUMBER(AZ39)),IFERROR(AZ61/AZ39,""),"")</f>
        <v>0.124066607926379</v>
      </c>
      <c r="BA62" s="43" t="n">
        <f aca="false">IF(AND(ISNUMBER(BA61),ISNUMBER(BA39)),IFERROR(BA61/BA39,""),"")</f>
        <v>0.172271852168099</v>
      </c>
      <c r="BB62" s="43" t="n">
        <f aca="false">IF(AND(ISNUMBER(BB61),ISNUMBER(BB39)),IFERROR(BB61/BB39,""),"")</f>
        <v>0.128611068224315</v>
      </c>
      <c r="BC62" s="43" t="n">
        <f aca="false">IF(AND(ISNUMBER(BC61),ISNUMBER(BC39)),IFERROR(BC61/BC39,""),"")</f>
        <v>0.118209470428408</v>
      </c>
      <c r="BD62" s="43" t="n">
        <f aca="false">IF(AND(ISNUMBER(BD61),ISNUMBER(BD39)),IFERROR(BD61/BD39,""),"")</f>
        <v>0.15919740478193</v>
      </c>
      <c r="BE62" s="43" t="n">
        <f aca="false">IF(AND(ISNUMBER(BE61),ISNUMBER(BE39)),IFERROR(BE61/BE39,""),"")</f>
        <v>0.119713204611359</v>
      </c>
      <c r="BF62" s="43" t="n">
        <f aca="false">IF(AND(ISNUMBER(BF61),ISNUMBER(BF39)),IFERROR(BF61/BF39,""),"")</f>
        <v>0.155070208952872</v>
      </c>
      <c r="BG62" s="43" t="n">
        <f aca="false">IF(AND(ISNUMBER(BG61),ISNUMBER(BG39)),IFERROR(BG61/BG39,""),"")</f>
        <v>0.140511325032635</v>
      </c>
      <c r="BH62" s="43" t="n">
        <f aca="false">IF(AND(ISNUMBER(BH61),ISNUMBER(BH39)),IFERROR(BH61/BH39,""),"")</f>
        <v>0.108214480554906</v>
      </c>
      <c r="BI62" s="43" t="n">
        <f aca="false">IF(AND(ISNUMBER(BI61),ISNUMBER(BI39)),IFERROR(BI61/BI39,""),"")</f>
        <v>0.0920863636105576</v>
      </c>
      <c r="BJ62" s="43" t="n">
        <f aca="false">IF(AND(ISNUMBER(BJ61),ISNUMBER(BJ39)),IFERROR(BJ61/BJ39,""),"")</f>
        <v>0.141147782014655</v>
      </c>
      <c r="BK62" s="43" t="n">
        <f aca="false">IF(AND(ISNUMBER(BK61),ISNUMBER(BK39)),IFERROR(BK61/BK39,""),"")</f>
        <v>0.14950445153704</v>
      </c>
      <c r="BL62" s="43" t="n">
        <f aca="false">IF(AND(ISNUMBER(BL61),ISNUMBER(BL39)),IFERROR(BL61/BL39,""),"")</f>
        <v>0.128980036808234</v>
      </c>
      <c r="BM62" s="43" t="n">
        <f aca="false">IF(AND(ISNUMBER(BM61),ISNUMBER(BM39)),IFERROR(BM61/BM39,""),"")</f>
        <v>0.12860089196002</v>
      </c>
      <c r="BN62" s="43" t="n">
        <f aca="false">IF(AND(ISNUMBER(BN61),ISNUMBER(BN39)),IFERROR(BN61/BN39,""),"")</f>
        <v>0.119172132014598</v>
      </c>
      <c r="BO62" s="35" t="n">
        <f aca="false">IF(AND(ISNUMBER(BO61),ISNUMBER(BO39)),IFERROR(BO61/BO39,""),"")</f>
        <v>0.158858738875769</v>
      </c>
      <c r="BP62" s="35" t="n">
        <f aca="false">IF(AND(ISNUMBER(BP61),ISNUMBER(BP39)),IFERROR(BP61/BP39,""),"")</f>
        <v>0.16814216556072</v>
      </c>
      <c r="BQ62" s="35" t="n">
        <f aca="false">IF(AND(ISNUMBER(BQ61),ISNUMBER(BQ39)),IFERROR(BQ61/BQ39,""),"")</f>
        <v>0.146741678417264</v>
      </c>
      <c r="BR62" s="35" t="n">
        <f aca="false">IF(AND(ISNUMBER(BR61),ISNUMBER(BR39)),IFERROR(BR61/BR39,""),"")</f>
        <v>0.148</v>
      </c>
      <c r="BS62" s="35" t="n">
        <f aca="false">IF(AND(ISNUMBER(BS61),ISNUMBER(BS39)),IFERROR(BS61/BS39,""),"")</f>
        <v>0.154</v>
      </c>
      <c r="BT62" s="35" t="n">
        <f aca="false">IF(AND(ISNUMBER(BT61),ISNUMBER(BT39)),IFERROR(BT61/BT39,""),"")</f>
        <v>0.16</v>
      </c>
      <c r="BU62" s="35" t="n">
        <f aca="false">IF(AND(ISNUMBER(BU61),ISNUMBER(BU39)),IFERROR(BU61/BU39,""),"")</f>
        <v>0.165</v>
      </c>
      <c r="BV62" s="15"/>
      <c r="BX62" s="38" t="n">
        <f aca="false">IFERROR(AVERAGE(BQ62,BR62,BS62,BT62,BU62),"n/m")</f>
        <v>0.154748335683453</v>
      </c>
      <c r="BY62" s="38" t="n">
        <f aca="false">IFERROR(AVERAGE(AR62,AW62,BB62,BG62,BL62),"n/m")</f>
        <v>0.132386574075941</v>
      </c>
      <c r="BZ62" s="38" t="n">
        <f aca="false">IFERROR(AVERAGE(S62,X62,AC62,AH62,AM62,AR62,AW62,BB62,BG62,BL62),"n/m")</f>
        <v>0.136178958676414</v>
      </c>
      <c r="CA62" s="38" t="n">
        <f aca="false">IFERROR(AVERAGE(D62,I62,N62,S62,X62,AC62,AH62,AM62,AR62,AW62,BB62,BG62,BL62),"n/m")</f>
        <v>0.136178958676414</v>
      </c>
    </row>
    <row r="63" customFormat="false" ht="15" hidden="false" customHeight="false" outlineLevel="0" collapsed="false">
      <c r="B63" s="50" t="s">
        <v>157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24" t="n">
        <v>11.5</v>
      </c>
      <c r="AV63" s="24" t="n">
        <v>13.6</v>
      </c>
      <c r="AW63" s="24" t="n">
        <v>53.9</v>
      </c>
      <c r="AX63" s="24" t="n">
        <v>8.9</v>
      </c>
      <c r="AY63" s="24" t="n">
        <v>15.8</v>
      </c>
      <c r="AZ63" s="24" t="n">
        <v>13.9</v>
      </c>
      <c r="BA63" s="24" t="n">
        <v>21.3</v>
      </c>
      <c r="BB63" s="24" t="n">
        <v>60</v>
      </c>
      <c r="BC63" s="24" t="n">
        <v>13.9</v>
      </c>
      <c r="BD63" s="24" t="n">
        <v>22.5</v>
      </c>
      <c r="BE63" s="24" t="n">
        <v>13.5</v>
      </c>
      <c r="BF63" s="24" t="n">
        <v>23.7</v>
      </c>
      <c r="BG63" s="24" t="n">
        <v>73.6</v>
      </c>
      <c r="BH63" s="24" t="n">
        <v>14</v>
      </c>
      <c r="BI63" s="24" t="n">
        <v>16.2</v>
      </c>
      <c r="BJ63" s="24" t="n">
        <v>35.5</v>
      </c>
      <c r="BK63" s="24" t="n">
        <v>44.4</v>
      </c>
      <c r="BL63" s="24" t="n">
        <v>110.1</v>
      </c>
      <c r="BM63" s="24" t="n">
        <v>36.5</v>
      </c>
      <c r="BN63" s="24" t="n">
        <v>36.1</v>
      </c>
      <c r="BO63" s="36"/>
      <c r="BP63" s="36"/>
      <c r="BQ63" s="36"/>
      <c r="BR63" s="36"/>
      <c r="BS63" s="36"/>
      <c r="BT63" s="36"/>
      <c r="BU63" s="36"/>
      <c r="BV63" s="15"/>
    </row>
    <row r="64" customFormat="false" ht="15" hidden="false" customHeight="false" outlineLevel="0" collapsed="false">
      <c r="B64" s="51" t="s">
        <v>158</v>
      </c>
      <c r="C64" s="20" t="str">
        <f aca="false">IF(AND(ISNUMBER(C61),ISNUMBER(C63)),ROUND(C61-C63,1),"")</f>
        <v/>
      </c>
      <c r="D64" s="20" t="str">
        <f aca="false">IF(AND(ISNUMBER(D61),ISNUMBER(D63)),ROUND(D61-D63,1),"")</f>
        <v/>
      </c>
      <c r="E64" s="20" t="str">
        <f aca="false">IF(AND(ISNUMBER(E61),ISNUMBER(E63)),ROUND(E61-E63,1),"")</f>
        <v/>
      </c>
      <c r="F64" s="20" t="str">
        <f aca="false">IF(AND(ISNUMBER(F61),ISNUMBER(F63)),ROUND(F61-F63,1),"")</f>
        <v/>
      </c>
      <c r="G64" s="20" t="str">
        <f aca="false">IF(AND(ISNUMBER(G61),ISNUMBER(G63)),ROUND(G61-G63,1),"")</f>
        <v/>
      </c>
      <c r="H64" s="20" t="str">
        <f aca="false">IF(AND(ISNUMBER(H61),ISNUMBER(H63)),ROUND(H61-H63,1),"")</f>
        <v/>
      </c>
      <c r="I64" s="20" t="str">
        <f aca="false">IF(AND(ISNUMBER(I61),ISNUMBER(I63)),ROUND(I61-I63,1),"")</f>
        <v/>
      </c>
      <c r="J64" s="20" t="str">
        <f aca="false">IF(AND(ISNUMBER(J61),ISNUMBER(J63)),ROUND(J61-J63,1),"")</f>
        <v/>
      </c>
      <c r="K64" s="20" t="str">
        <f aca="false">IF(AND(ISNUMBER(K61),ISNUMBER(K63)),ROUND(K61-K63,1),"")</f>
        <v/>
      </c>
      <c r="L64" s="20" t="str">
        <f aca="false">IF(AND(ISNUMBER(L61),ISNUMBER(L63)),ROUND(L61-L63,1),"")</f>
        <v/>
      </c>
      <c r="M64" s="20" t="str">
        <f aca="false">IF(AND(ISNUMBER(M61),ISNUMBER(M63)),ROUND(M61-M63,1),"")</f>
        <v/>
      </c>
      <c r="N64" s="20" t="str">
        <f aca="false">IF(AND(ISNUMBER(N61),ISNUMBER(N63)),ROUND(N61-N63,1),"")</f>
        <v/>
      </c>
      <c r="O64" s="20" t="str">
        <f aca="false">IF(AND(ISNUMBER(O61),ISNUMBER(O63)),ROUND(O61-O63,1),"")</f>
        <v/>
      </c>
      <c r="P64" s="20" t="str">
        <f aca="false">IF(AND(ISNUMBER(P61),ISNUMBER(P63)),ROUND(P61-P63,1),"")</f>
        <v/>
      </c>
      <c r="Q64" s="20" t="str">
        <f aca="false">IF(AND(ISNUMBER(Q61),ISNUMBER(Q63)),ROUND(Q61-Q63,1),"")</f>
        <v/>
      </c>
      <c r="R64" s="20" t="str">
        <f aca="false">IF(AND(ISNUMBER(R61),ISNUMBER(R63)),ROUND(R61-R63,1),"")</f>
        <v/>
      </c>
      <c r="S64" s="20" t="str">
        <f aca="false">IF(AND(ISNUMBER(S61),ISNUMBER(S63)),ROUND(S61-S63,1),"")</f>
        <v/>
      </c>
      <c r="T64" s="20" t="str">
        <f aca="false">IF(AND(ISNUMBER(T61),ISNUMBER(T63)),ROUND(T61-T63,1),"")</f>
        <v/>
      </c>
      <c r="U64" s="20" t="str">
        <f aca="false">IF(AND(ISNUMBER(U61),ISNUMBER(U63)),ROUND(U61-U63,1),"")</f>
        <v/>
      </c>
      <c r="V64" s="20" t="str">
        <f aca="false">IF(AND(ISNUMBER(V61),ISNUMBER(V63)),ROUND(V61-V63,1),"")</f>
        <v/>
      </c>
      <c r="W64" s="20" t="str">
        <f aca="false">IF(AND(ISNUMBER(W61),ISNUMBER(W63)),ROUND(W61-W63,1),"")</f>
        <v/>
      </c>
      <c r="X64" s="20" t="str">
        <f aca="false">IF(AND(ISNUMBER(X61),ISNUMBER(X63)),ROUND(X61-X63,1),"")</f>
        <v/>
      </c>
      <c r="Y64" s="20" t="str">
        <f aca="false">IF(AND(ISNUMBER(Y61),ISNUMBER(Y63)),ROUND(Y61-Y63,1),"")</f>
        <v/>
      </c>
      <c r="Z64" s="20" t="str">
        <f aca="false">IF(AND(ISNUMBER(Z61),ISNUMBER(Z63)),ROUND(Z61-Z63,1),"")</f>
        <v/>
      </c>
      <c r="AA64" s="20" t="str">
        <f aca="false">IF(AND(ISNUMBER(AA61),ISNUMBER(AA63)),ROUND(AA61-AA63,1),"")</f>
        <v/>
      </c>
      <c r="AB64" s="20" t="str">
        <f aca="false">IF(AND(ISNUMBER(AB61),ISNUMBER(AB63)),ROUND(AB61-AB63,1),"")</f>
        <v/>
      </c>
      <c r="AC64" s="20" t="str">
        <f aca="false">IF(AND(ISNUMBER(AC61),ISNUMBER(AC63)),ROUND(AC61-AC63,1),"")</f>
        <v/>
      </c>
      <c r="AD64" s="20" t="str">
        <f aca="false">IF(AND(ISNUMBER(AD61),ISNUMBER(AD63)),ROUND(AD61-AD63,1),"")</f>
        <v/>
      </c>
      <c r="AE64" s="20" t="str">
        <f aca="false">IF(AND(ISNUMBER(AE61),ISNUMBER(AE63)),ROUND(AE61-AE63,1),"")</f>
        <v/>
      </c>
      <c r="AF64" s="20" t="str">
        <f aca="false">IF(AND(ISNUMBER(AF61),ISNUMBER(AF63)),ROUND(AF61-AF63,1),"")</f>
        <v/>
      </c>
      <c r="AG64" s="20" t="str">
        <f aca="false">IF(AND(ISNUMBER(AG61),ISNUMBER(AG63)),ROUND(AG61-AG63,1),"")</f>
        <v/>
      </c>
      <c r="AH64" s="20" t="str">
        <f aca="false">IF(AND(ISNUMBER(AH61),ISNUMBER(AH63)),ROUND(AH61-AH63,1),"")</f>
        <v/>
      </c>
      <c r="AI64" s="20" t="str">
        <f aca="false">IF(AND(ISNUMBER(AI61),ISNUMBER(AI63)),ROUND(AI61-AI63,1),"")</f>
        <v/>
      </c>
      <c r="AJ64" s="20" t="str">
        <f aca="false">IF(AND(ISNUMBER(AJ61),ISNUMBER(AJ63)),ROUND(AJ61-AJ63,1),"")</f>
        <v/>
      </c>
      <c r="AK64" s="20" t="str">
        <f aca="false">IF(AND(ISNUMBER(AK61),ISNUMBER(AK63)),ROUND(AK61-AK63,1),"")</f>
        <v/>
      </c>
      <c r="AL64" s="20" t="str">
        <f aca="false">IF(AND(ISNUMBER(AL61),ISNUMBER(AL63)),ROUND(AL61-AL63,1),"")</f>
        <v/>
      </c>
      <c r="AM64" s="20" t="str">
        <f aca="false">IF(AND(ISNUMBER(AM61),ISNUMBER(AM63)),ROUND(AM61-AM63,1),"")</f>
        <v/>
      </c>
      <c r="AN64" s="20" t="str">
        <f aca="false">IF(AND(ISNUMBER(AN61),ISNUMBER(AN63)),ROUND(AN61-AN63,1),"")</f>
        <v/>
      </c>
      <c r="AO64" s="20" t="str">
        <f aca="false">IF(AND(ISNUMBER(AO61),ISNUMBER(AO63)),ROUND(AO61-AO63,1),"")</f>
        <v/>
      </c>
      <c r="AP64" s="20" t="str">
        <f aca="false">IF(AND(ISNUMBER(AP61),ISNUMBER(AP63)),ROUND(AP61-AP63,1),"")</f>
        <v/>
      </c>
      <c r="AQ64" s="20" t="str">
        <f aca="false">IF(AND(ISNUMBER(AQ61),ISNUMBER(AQ63)),ROUND(AQ61-AQ63,1),"")</f>
        <v/>
      </c>
      <c r="AR64" s="20" t="str">
        <f aca="false">IF(AND(ISNUMBER(AR61),ISNUMBER(AR63)),ROUND(AR61-AR63,1),"")</f>
        <v/>
      </c>
      <c r="AS64" s="20" t="str">
        <f aca="false">IF(AND(ISNUMBER(AS61),ISNUMBER(AS63)),ROUND(AS61-AS63,1),"")</f>
        <v/>
      </c>
      <c r="AT64" s="20" t="str">
        <f aca="false">IF(AND(ISNUMBER(AT61),ISNUMBER(AT63)),ROUND(AT61-AT63,1),"")</f>
        <v/>
      </c>
      <c r="AU64" s="20" t="n">
        <f aca="false">IF(AND(ISNUMBER(AU61),ISNUMBER(AU63)),ROUND(AU61-AU63,1),"")</f>
        <v>-0.1</v>
      </c>
      <c r="AV64" s="20" t="n">
        <f aca="false">IF(AND(ISNUMBER(AV61),ISNUMBER(AV63)),ROUND(AV61-AV63,1),"")</f>
        <v>0.1</v>
      </c>
      <c r="AW64" s="20" t="n">
        <f aca="false">IF(AND(ISNUMBER(AW61),ISNUMBER(AW63)),ROUND(AW61-AW63,1),"")</f>
        <v>0</v>
      </c>
      <c r="AX64" s="20" t="n">
        <f aca="false">IF(AND(ISNUMBER(AX61),ISNUMBER(AX63)),ROUND(AX61-AX63,1),"")</f>
        <v>0.1</v>
      </c>
      <c r="AY64" s="20" t="n">
        <f aca="false">IF(AND(ISNUMBER(AY61),ISNUMBER(AY63)),ROUND(AY61-AY63,1),"")</f>
        <v>0.1</v>
      </c>
      <c r="AZ64" s="20" t="n">
        <f aca="false">IF(AND(ISNUMBER(AZ61),ISNUMBER(AZ63)),ROUND(AZ61-AZ63,1),"")</f>
        <v>0</v>
      </c>
      <c r="BA64" s="20" t="n">
        <f aca="false">IF(AND(ISNUMBER(BA61),ISNUMBER(BA63)),ROUND(BA61-BA63,1),"")</f>
        <v>0.1</v>
      </c>
      <c r="BB64" s="20" t="n">
        <f aca="false">IF(AND(ISNUMBER(BB61),ISNUMBER(BB63)),ROUND(BB61-BB63,1),"")</f>
        <v>-0</v>
      </c>
      <c r="BC64" s="20" t="n">
        <f aca="false">IF(AND(ISNUMBER(BC61),ISNUMBER(BC63)),ROUND(BC61-BC63,1),"")</f>
        <v>-0.1</v>
      </c>
      <c r="BD64" s="20" t="n">
        <f aca="false">IF(AND(ISNUMBER(BD61),ISNUMBER(BD63)),ROUND(BD61-BD63,1),"")</f>
        <v>0</v>
      </c>
      <c r="BE64" s="20" t="n">
        <f aca="false">IF(AND(ISNUMBER(BE61),ISNUMBER(BE63)),ROUND(BE61-BE63,1),"")</f>
        <v>0</v>
      </c>
      <c r="BF64" s="20" t="n">
        <f aca="false">IF(AND(ISNUMBER(BF61),ISNUMBER(BF63)),ROUND(BF61-BF63,1),"")</f>
        <v>-0.1</v>
      </c>
      <c r="BG64" s="20" t="n">
        <f aca="false">IF(AND(ISNUMBER(BG61),ISNUMBER(BG63)),ROUND(BG61-BG63,1),"")</f>
        <v>0</v>
      </c>
      <c r="BH64" s="20" t="n">
        <f aca="false">IF(AND(ISNUMBER(BH61),ISNUMBER(BH63)),ROUND(BH61-BH63,1),"")</f>
        <v>-0.1</v>
      </c>
      <c r="BI64" s="20" t="n">
        <f aca="false">IF(AND(ISNUMBER(BI61),ISNUMBER(BI63)),ROUND(BI61-BI63,1),"")</f>
        <v>0</v>
      </c>
      <c r="BJ64" s="20" t="n">
        <f aca="false">IF(AND(ISNUMBER(BJ61),ISNUMBER(BJ63)),ROUND(BJ61-BJ63,1),"")</f>
        <v>-0.1</v>
      </c>
      <c r="BK64" s="20" t="n">
        <f aca="false">IF(AND(ISNUMBER(BK61),ISNUMBER(BK63)),ROUND(BK61-BK63,1),"")</f>
        <v>0.1</v>
      </c>
      <c r="BL64" s="20" t="n">
        <f aca="false">IF(AND(ISNUMBER(BL61),ISNUMBER(BL63)),ROUND(BL61-BL63,1),"")</f>
        <v>-0.1</v>
      </c>
      <c r="BM64" s="20" t="n">
        <f aca="false">IF(AND(ISNUMBER(BM61),ISNUMBER(BM63)),ROUND(BM61-BM63,1),"")</f>
        <v>-0</v>
      </c>
      <c r="BN64" s="20" t="n">
        <f aca="false">IF(AND(ISNUMBER(BN61),ISNUMBER(BN63)),ROUND(BN61-BN63,1),"")</f>
        <v>-0</v>
      </c>
      <c r="BO64" s="36"/>
      <c r="BP64" s="36"/>
      <c r="BQ64" s="36"/>
      <c r="BR64" s="36"/>
      <c r="BS64" s="36"/>
      <c r="BT64" s="36"/>
      <c r="BU64" s="36"/>
      <c r="BV64" s="15"/>
    </row>
    <row r="65" customFormat="false" ht="15" hidden="false" customHeight="false" outlineLevel="0" collapsed="false">
      <c r="B65" s="50" t="s">
        <v>161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24" t="n">
        <v>106.614</v>
      </c>
      <c r="AN65" s="24" t="n">
        <v>53.531</v>
      </c>
      <c r="AO65" s="24" t="n">
        <v>34.364</v>
      </c>
      <c r="AP65" s="24" t="n">
        <v>30.546</v>
      </c>
      <c r="AQ65" s="24" t="n">
        <v>35.13</v>
      </c>
      <c r="AR65" s="24" t="n">
        <v>153.571</v>
      </c>
      <c r="AS65" s="24" t="n">
        <v>24.1</v>
      </c>
      <c r="AT65" s="24" t="n">
        <v>21.644</v>
      </c>
      <c r="AU65" s="24" t="n">
        <v>17.815</v>
      </c>
      <c r="AV65" s="24" t="n">
        <v>25.294</v>
      </c>
      <c r="AW65" s="24" t="n">
        <v>88.853</v>
      </c>
      <c r="AX65" s="24" t="n">
        <v>13.951</v>
      </c>
      <c r="AY65" s="24" t="n">
        <v>15.777</v>
      </c>
      <c r="AZ65" s="24" t="n">
        <v>10.861</v>
      </c>
      <c r="BA65" s="24" t="n">
        <v>12.769</v>
      </c>
      <c r="BB65" s="24" t="n">
        <v>53.358</v>
      </c>
      <c r="BC65" s="24" t="n">
        <v>13.344</v>
      </c>
      <c r="BD65" s="24" t="n">
        <v>15.736</v>
      </c>
      <c r="BE65" s="24" t="n">
        <v>14.073</v>
      </c>
      <c r="BF65" s="24" t="n">
        <v>19.62</v>
      </c>
      <c r="BG65" s="24" t="n">
        <v>62.773</v>
      </c>
      <c r="BH65" s="24" t="n">
        <v>13.209</v>
      </c>
      <c r="BI65" s="24" t="n">
        <v>16.701</v>
      </c>
      <c r="BJ65" s="24" t="n">
        <v>21.368</v>
      </c>
      <c r="BK65" s="24" t="n">
        <v>25.803</v>
      </c>
      <c r="BL65" s="24" t="n">
        <v>77.081</v>
      </c>
      <c r="BM65" s="24" t="n">
        <v>14.286</v>
      </c>
      <c r="BN65" s="24" t="n">
        <v>24.011</v>
      </c>
      <c r="BO65" s="36"/>
      <c r="BP65" s="36"/>
      <c r="BQ65" s="36"/>
      <c r="BR65" s="36"/>
      <c r="BS65" s="36"/>
      <c r="BT65" s="36"/>
      <c r="BU65" s="36"/>
      <c r="BV65" s="15"/>
    </row>
    <row r="66" customFormat="false" ht="15" hidden="false" customHeight="false" outlineLevel="0" collapsed="false">
      <c r="B66" s="13" t="s">
        <v>121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20" t="n">
        <f aca="false">AN67-AN36-AN37+AN39</f>
        <v>0.179999999999978</v>
      </c>
      <c r="AO66" s="20" t="n">
        <f aca="false">AO67-AO36-AO37+AO39</f>
        <v>0.344000000000051</v>
      </c>
      <c r="AP66" s="20" t="n">
        <f aca="false">AP67-AP36-AP37+AP39</f>
        <v>0.121000000000009</v>
      </c>
      <c r="AQ66" s="20" t="n">
        <f aca="false">AQ67-AQ36-AQ37+AQ39</f>
        <v>0.132999999999939</v>
      </c>
      <c r="AR66" s="20" t="n">
        <f aca="false">AR67-AR36-AR37+AR39</f>
        <v>0.777999999999963</v>
      </c>
      <c r="AS66" s="20" t="n">
        <f aca="false">AS67-AS36-AS37+AS39</f>
        <v>0.0660000000000167</v>
      </c>
      <c r="AT66" s="20" t="n">
        <f aca="false">AT67-AT36-AT37+AT39</f>
        <v>0.000999999999962142</v>
      </c>
      <c r="AU66" s="20" t="n">
        <f aca="false">AU67-AU36-AU37+AU39</f>
        <v>0</v>
      </c>
      <c r="AV66" s="20" t="n">
        <f aca="false">AV67-AV36-AV37+AV39</f>
        <v>0</v>
      </c>
      <c r="AW66" s="20" t="n">
        <f aca="false">AW67-AW36-AW37+AW39</f>
        <v>0.0660000000000309</v>
      </c>
      <c r="AX66" s="20" t="n">
        <f aca="false">AX67-AX36-AX37+AX39</f>
        <v>0.0500000000000114</v>
      </c>
      <c r="AY66" s="20" t="n">
        <f aca="false">AY67-AY36-AY37+AY39</f>
        <v>0.0540000000000163</v>
      </c>
      <c r="AZ66" s="20" t="n">
        <f aca="false">AZ67-AZ36-AZ37+AZ39</f>
        <v>0.010999999999953</v>
      </c>
      <c r="BA66" s="20" t="n">
        <f aca="false">BA67-BA36-BA37+BA39</f>
        <v>0.241000000000057</v>
      </c>
      <c r="BB66" s="20" t="n">
        <f aca="false">BB67-BB36-BB37+BB39</f>
        <v>0.356000000000051</v>
      </c>
      <c r="BC66" s="20" t="n">
        <f aca="false">BC67-BC36-BC37+BC39</f>
        <v>0.172999999999973</v>
      </c>
      <c r="BD66" s="20" t="n">
        <f aca="false">BD67-BD36-BD37+BD39</f>
        <v>0.83899999999997</v>
      </c>
      <c r="BE66" s="20" t="n">
        <f aca="false">BE67-BE36-BE37+BE39</f>
        <v>1.16200000000002</v>
      </c>
      <c r="BF66" s="20" t="n">
        <f aca="false">BF67-BF36-BF37+BF39</f>
        <v>0.417000000000002</v>
      </c>
      <c r="BG66" s="20" t="n">
        <f aca="false">BG67-BG36-BG37+BG39</f>
        <v>2.58999999999992</v>
      </c>
      <c r="BH66" s="20" t="n">
        <f aca="false">BH67-BH36-BH37+BH39</f>
        <v>0</v>
      </c>
      <c r="BI66" s="20" t="n">
        <f aca="false">BI67-BI36-BI37+BI39</f>
        <v>232.552</v>
      </c>
      <c r="BJ66" s="20" t="n">
        <f aca="false">BJ67-BJ36-BJ37+BJ39</f>
        <v>-3.85799999999986</v>
      </c>
      <c r="BK66" s="20" t="n">
        <f aca="false">BK67-BK36-BK37+BK39</f>
        <v>4.16599999999994</v>
      </c>
      <c r="BL66" s="20" t="n">
        <f aca="false">BL67-BL36-BL37+BL39</f>
        <v>232.859</v>
      </c>
      <c r="BM66" s="20" t="n">
        <f aca="false">BM67-BM36-BM37+BM39</f>
        <v>1.25299999999982</v>
      </c>
      <c r="BN66" s="20" t="n">
        <f aca="false">BN67-BN36-BN37+BN39</f>
        <v>1.99000000000007</v>
      </c>
      <c r="BO66" s="39" t="n">
        <v>0</v>
      </c>
      <c r="BP66" s="39" t="n">
        <v>0</v>
      </c>
      <c r="BQ66" s="21" t="n">
        <f aca="false">SUM(BM66:BP66)</f>
        <v>3.24299999999988</v>
      </c>
      <c r="BR66" s="39" t="n">
        <v>0</v>
      </c>
      <c r="BS66" s="39" t="n">
        <v>0</v>
      </c>
      <c r="BT66" s="39" t="n">
        <v>0</v>
      </c>
      <c r="BU66" s="39" t="n">
        <v>0</v>
      </c>
      <c r="BV66" s="15"/>
    </row>
    <row r="67" customFormat="false" ht="15" hidden="false" customHeight="false" outlineLevel="0" collapsed="false">
      <c r="B67" s="30" t="s">
        <v>125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2" t="n">
        <v>725.702</v>
      </c>
      <c r="AN67" s="32" t="n">
        <v>697.169</v>
      </c>
      <c r="AO67" s="32" t="n">
        <v>674.287</v>
      </c>
      <c r="AP67" s="32" t="n">
        <v>687.806</v>
      </c>
      <c r="AQ67" s="32" t="n">
        <v>643.866</v>
      </c>
      <c r="AR67" s="32" t="n">
        <v>643.866</v>
      </c>
      <c r="AS67" s="32" t="n">
        <v>748.101</v>
      </c>
      <c r="AT67" s="32" t="n">
        <v>731.42</v>
      </c>
      <c r="AU67" s="32" t="n">
        <v>632.416</v>
      </c>
      <c r="AV67" s="32" t="n">
        <v>628.933</v>
      </c>
      <c r="AW67" s="32" t="n">
        <v>628.933</v>
      </c>
      <c r="AX67" s="32" t="n">
        <v>665.745</v>
      </c>
      <c r="AY67" s="32" t="n">
        <v>709.254</v>
      </c>
      <c r="AZ67" s="32" t="n">
        <v>721.967</v>
      </c>
      <c r="BA67" s="32" t="n">
        <v>780.974</v>
      </c>
      <c r="BB67" s="32" t="n">
        <v>780.974</v>
      </c>
      <c r="BC67" s="32" t="n">
        <v>726.523</v>
      </c>
      <c r="BD67" s="32" t="n">
        <v>669.054</v>
      </c>
      <c r="BE67" s="32" t="n">
        <v>635.356</v>
      </c>
      <c r="BF67" s="32" t="n">
        <v>929.88</v>
      </c>
      <c r="BG67" s="32" t="n">
        <v>929.88</v>
      </c>
      <c r="BH67" s="32" t="n">
        <v>1294.99</v>
      </c>
      <c r="BI67" s="32" t="n">
        <v>1579.598</v>
      </c>
      <c r="BJ67" s="32" t="n">
        <v>1484.111</v>
      </c>
      <c r="BK67" s="32" t="n">
        <v>1719.401</v>
      </c>
      <c r="BL67" s="32" t="n">
        <v>1719.401</v>
      </c>
      <c r="BM67" s="32" t="n">
        <v>1719.725</v>
      </c>
      <c r="BN67" s="32" t="n">
        <v>1600.454</v>
      </c>
      <c r="BO67" s="33" t="n">
        <f aca="false">BO36+BO37-BO39+BO66</f>
        <v>1600.454</v>
      </c>
      <c r="BP67" s="33" t="n">
        <f aca="false">BP36+BP37-BP39+BP66</f>
        <v>1600.454</v>
      </c>
      <c r="BQ67" s="33" t="n">
        <f aca="false">BP67</f>
        <v>1600.454</v>
      </c>
      <c r="BR67" s="33" t="n">
        <f aca="false">BR36+BR37-BR39+BR66</f>
        <v>1600.454</v>
      </c>
      <c r="BS67" s="33" t="n">
        <f aca="false">BS36+BS37-BS39+BS66</f>
        <v>1600.454</v>
      </c>
      <c r="BT67" s="33" t="n">
        <f aca="false">BT36+BT37-BT39+BT66</f>
        <v>1600.454</v>
      </c>
      <c r="BU67" s="33" t="n">
        <f aca="false">BU36+BU37-BU39+BU66</f>
        <v>1600.454</v>
      </c>
      <c r="BV67" s="15" t="s">
        <v>201</v>
      </c>
      <c r="BX67" s="25" t="n">
        <f aca="false">IFERROR((BU67/BL67)^(1/5)-1,"n/m")</f>
        <v>-0.0142354313428557</v>
      </c>
      <c r="BY67" s="25" t="n">
        <f aca="false">IFERROR((BL67/AM67)^(1/5)-1,"n/m")</f>
        <v>0.188293635370338</v>
      </c>
      <c r="BZ67" s="25" t="str">
        <f aca="false">IFERROR((BL67/N67)^(1/10)-1,"n/m")</f>
        <v>n/m</v>
      </c>
      <c r="CA67" s="25" t="str">
        <f aca="false">IFERROR((BL67/D67)^(1/12)-1,"n/m")</f>
        <v>n/m</v>
      </c>
    </row>
    <row r="68" customFormat="false" ht="15" hidden="false" customHeight="false" outlineLevel="0" collapsed="false">
      <c r="B68" s="13" t="s">
        <v>129</v>
      </c>
      <c r="C68" s="40" t="str">
        <f aca="false">IF(AND(ISNUMBER(C67),ISNUMBER(C39)),IFERROR(C67/C39,""),"")</f>
        <v/>
      </c>
      <c r="D68" s="40" t="str">
        <f aca="false">IF(AND(ISNUMBER(D67),ISNUMBER(D39)),IFERROR(D67/D39,""),"")</f>
        <v/>
      </c>
      <c r="E68" s="19"/>
      <c r="F68" s="19"/>
      <c r="G68" s="19"/>
      <c r="H68" s="19"/>
      <c r="I68" s="40" t="str">
        <f aca="false">IF(AND(ISNUMBER(I67),ISNUMBER(I39)),IFERROR(I67/I39,""),"")</f>
        <v/>
      </c>
      <c r="J68" s="19"/>
      <c r="K68" s="19"/>
      <c r="L68" s="19"/>
      <c r="M68" s="19"/>
      <c r="N68" s="40" t="str">
        <f aca="false">IF(AND(ISNUMBER(N67),ISNUMBER(N39)),IFERROR(N67/N39,""),"")</f>
        <v/>
      </c>
      <c r="O68" s="19"/>
      <c r="P68" s="19"/>
      <c r="Q68" s="19"/>
      <c r="R68" s="19"/>
      <c r="S68" s="40" t="str">
        <f aca="false">IF(AND(ISNUMBER(S67),ISNUMBER(S39)),IFERROR(S67/S39,""),"")</f>
        <v/>
      </c>
      <c r="T68" s="19"/>
      <c r="U68" s="19"/>
      <c r="V68" s="19"/>
      <c r="W68" s="19"/>
      <c r="X68" s="40" t="str">
        <f aca="false">IF(AND(ISNUMBER(X67),ISNUMBER(X39)),IFERROR(X67/X39,""),"")</f>
        <v/>
      </c>
      <c r="Y68" s="19"/>
      <c r="Z68" s="19"/>
      <c r="AA68" s="19"/>
      <c r="AB68" s="19"/>
      <c r="AC68" s="40" t="str">
        <f aca="false">IF(AND(ISNUMBER(AC67),ISNUMBER(AC39)),IFERROR(AC67/AC39,""),"")</f>
        <v/>
      </c>
      <c r="AD68" s="19"/>
      <c r="AE68" s="19"/>
      <c r="AF68" s="19"/>
      <c r="AG68" s="19"/>
      <c r="AH68" s="40" t="str">
        <f aca="false">IF(AND(ISNUMBER(AH67),ISNUMBER(AH39)),IFERROR(AH67/AH39,""),"")</f>
        <v/>
      </c>
      <c r="AI68" s="19"/>
      <c r="AJ68" s="19"/>
      <c r="AK68" s="19"/>
      <c r="AL68" s="19"/>
      <c r="AM68" s="40" t="n">
        <f aca="false">IF(AND(ISNUMBER(AM67),ISNUMBER(AM39)),IFERROR(AM67/AM39,""),"")</f>
        <v>1.95465282584864</v>
      </c>
      <c r="AN68" s="19"/>
      <c r="AO68" s="19"/>
      <c r="AP68" s="19"/>
      <c r="AQ68" s="19"/>
      <c r="AR68" s="40" t="n">
        <f aca="false">IF(AND(ISNUMBER(AR67),ISNUMBER(AR39)),IFERROR(AR67/AR39,""),"")</f>
        <v>1.58166167995637</v>
      </c>
      <c r="AS68" s="19"/>
      <c r="AT68" s="19"/>
      <c r="AU68" s="19"/>
      <c r="AV68" s="19"/>
      <c r="AW68" s="40" t="n">
        <f aca="false">IF(AND(ISNUMBER(AW67),ISNUMBER(AW39)),IFERROR(AW67/AW39,""),"")</f>
        <v>1.47167714188105</v>
      </c>
      <c r="AX68" s="19"/>
      <c r="AY68" s="19"/>
      <c r="AZ68" s="19"/>
      <c r="BA68" s="19"/>
      <c r="BB68" s="40" t="n">
        <f aca="false">IF(AND(ISNUMBER(BB67),ISNUMBER(BB39)),IFERROR(BB67/BB39,""),"")</f>
        <v>1.67467363148234</v>
      </c>
      <c r="BC68" s="19"/>
      <c r="BD68" s="19"/>
      <c r="BE68" s="19"/>
      <c r="BF68" s="19"/>
      <c r="BG68" s="40" t="n">
        <f aca="false">IF(AND(ISNUMBER(BG67),ISNUMBER(BG39)),IFERROR(BG67/BG39,""),"")</f>
        <v>1.77467498263266</v>
      </c>
      <c r="BH68" s="19"/>
      <c r="BI68" s="19"/>
      <c r="BJ68" s="19"/>
      <c r="BK68" s="19"/>
      <c r="BL68" s="40" t="n">
        <f aca="false">IF(AND(ISNUMBER(BL67),ISNUMBER(BL39)),IFERROR(BL67/BL39,""),"")</f>
        <v>2.01554503147456</v>
      </c>
      <c r="BM68" s="19"/>
      <c r="BN68" s="19"/>
      <c r="BO68" s="36"/>
      <c r="BP68" s="36"/>
      <c r="BQ68" s="41" t="n">
        <f aca="false">IF(AND(ISNUMBER(BQ67),ISNUMBER(BQ39)),IFERROR(BQ67/BQ39,""),"")</f>
        <v>1.16486919192848</v>
      </c>
      <c r="BR68" s="41" t="n">
        <f aca="false">IF(AND(ISNUMBER(BR67),ISNUMBER(BR39)),IFERROR(BR67/BR39,""),"")</f>
        <v>1.0375212273391</v>
      </c>
      <c r="BS68" s="41" t="n">
        <f aca="false">IF(AND(ISNUMBER(BS67),ISNUMBER(BS39)),IFERROR(BS67/BS39,""),"")</f>
        <v>0.933402997022321</v>
      </c>
      <c r="BT68" s="41" t="n">
        <f aca="false">IF(AND(ISNUMBER(BT67),ISNUMBER(BT39)),IFERROR(BT67/BT39,""),"")</f>
        <v>0.826769721161937</v>
      </c>
      <c r="BU68" s="41" t="n">
        <f aca="false">IF(AND(ISNUMBER(BU67),ISNUMBER(BU39)),IFERROR(BU67/BU39,""),"")</f>
        <v>0.738187251037444</v>
      </c>
      <c r="BV68" s="15"/>
    </row>
    <row r="69" customFormat="false" ht="15" hidden="false" customHeight="false" outlineLevel="0" collapsed="false">
      <c r="B69" s="13"/>
      <c r="BO69" s="14"/>
      <c r="BP69" s="14"/>
      <c r="BQ69" s="14"/>
      <c r="BR69" s="14"/>
      <c r="BS69" s="14"/>
      <c r="BT69" s="14"/>
      <c r="BU69" s="14"/>
      <c r="BV69" s="15"/>
    </row>
    <row r="70" customFormat="false" ht="15" hidden="false" customHeight="false" outlineLevel="0" collapsed="false">
      <c r="B70" s="16" t="s">
        <v>202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7" t="s">
        <v>203</v>
      </c>
    </row>
    <row r="71" customFormat="false" ht="15" hidden="false" customHeight="false" outlineLevel="0" collapsed="false">
      <c r="B71" s="13" t="s">
        <v>204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24" t="n">
        <v>-10.88</v>
      </c>
      <c r="AN71" s="24" t="n">
        <v>-2.4</v>
      </c>
      <c r="AO71" s="24" t="n">
        <v>-2.24</v>
      </c>
      <c r="AP71" s="24" t="n">
        <v>-1.794</v>
      </c>
      <c r="AQ71" s="24" t="n">
        <v>-1.671</v>
      </c>
      <c r="AR71" s="24" t="n">
        <v>-8.105</v>
      </c>
      <c r="AS71" s="24" t="n">
        <v>-0.989</v>
      </c>
      <c r="AT71" s="24" t="n">
        <v>-0.851</v>
      </c>
      <c r="AU71" s="24" t="n">
        <v>-0.604</v>
      </c>
      <c r="AV71" s="24" t="n">
        <v>-0.563</v>
      </c>
      <c r="AW71" s="24" t="n">
        <v>-3.007</v>
      </c>
      <c r="AX71" s="24" t="n">
        <v>-0.45</v>
      </c>
      <c r="AY71" s="24" t="n">
        <v>-0.442</v>
      </c>
      <c r="AZ71" s="24" t="n">
        <v>-0.225</v>
      </c>
      <c r="BA71" s="24" t="n">
        <v>-0.255</v>
      </c>
      <c r="BB71" s="24" t="n">
        <v>-1.372</v>
      </c>
      <c r="BC71" s="24" t="n">
        <v>-0.193</v>
      </c>
      <c r="BD71" s="24" t="n">
        <v>-0.872</v>
      </c>
      <c r="BE71" s="24" t="n">
        <v>-1.229</v>
      </c>
      <c r="BF71" s="24" t="n">
        <v>-1.065</v>
      </c>
      <c r="BG71" s="24" t="n">
        <v>-3.358</v>
      </c>
      <c r="BH71" s="24" t="n">
        <v>-1.338</v>
      </c>
      <c r="BI71" s="24" t="n">
        <v>-1.059</v>
      </c>
      <c r="BJ71" s="24" t="n">
        <v>-1.382</v>
      </c>
      <c r="BK71" s="24" t="n">
        <v>-0.955</v>
      </c>
      <c r="BL71" s="24" t="n">
        <v>-4.735</v>
      </c>
      <c r="BM71" s="24" t="n">
        <v>-1.329</v>
      </c>
      <c r="BN71" s="24" t="n">
        <v>-2.178</v>
      </c>
      <c r="BO71" s="21" t="n">
        <f aca="false">BJ71</f>
        <v>-1.382</v>
      </c>
      <c r="BP71" s="21" t="n">
        <f aca="false">BK71</f>
        <v>-0.955</v>
      </c>
      <c r="BQ71" s="21" t="n">
        <f aca="false">SUM(BM71:BP71)</f>
        <v>-5.844</v>
      </c>
      <c r="BR71" s="21" t="n">
        <f aca="false">BQ71</f>
        <v>-5.844</v>
      </c>
      <c r="BS71" s="21" t="n">
        <f aca="false">BR71</f>
        <v>-5.844</v>
      </c>
      <c r="BT71" s="21" t="n">
        <f aca="false">BS71</f>
        <v>-5.844</v>
      </c>
      <c r="BU71" s="21" t="n">
        <f aca="false">BT71</f>
        <v>-5.844</v>
      </c>
      <c r="BV71" s="15" t="s">
        <v>205</v>
      </c>
    </row>
    <row r="72" customFormat="false" ht="15" hidden="false" customHeight="false" outlineLevel="0" collapsed="false">
      <c r="B72" s="13" t="s">
        <v>206</v>
      </c>
      <c r="C72" s="19"/>
      <c r="D72" s="19"/>
      <c r="E72" s="24" t="n">
        <v>-2.322</v>
      </c>
      <c r="F72" s="24" t="n">
        <v>-5.961</v>
      </c>
      <c r="G72" s="24" t="n">
        <v>-5.286</v>
      </c>
      <c r="H72" s="24" t="n">
        <v>-12.68</v>
      </c>
      <c r="I72" s="24" t="n">
        <v>-26.249</v>
      </c>
      <c r="J72" s="24" t="n">
        <v>-5.375</v>
      </c>
      <c r="K72" s="24" t="n">
        <v>-9.833</v>
      </c>
      <c r="L72" s="24" t="n">
        <v>-4.847</v>
      </c>
      <c r="M72" s="24" t="n">
        <v>-5.693</v>
      </c>
      <c r="N72" s="24" t="n">
        <v>-25.747</v>
      </c>
      <c r="O72" s="24" t="n">
        <v>-3.2</v>
      </c>
      <c r="P72" s="24" t="n">
        <v>-5.757</v>
      </c>
      <c r="Q72" s="24" t="n">
        <v>-3.94</v>
      </c>
      <c r="R72" s="24" t="n">
        <v>-13.456</v>
      </c>
      <c r="S72" s="24" t="n">
        <v>-26.353</v>
      </c>
      <c r="T72" s="24" t="n">
        <v>-2.891</v>
      </c>
      <c r="U72" s="24" t="n">
        <v>-3.577</v>
      </c>
      <c r="V72" s="24" t="n">
        <v>-6.304</v>
      </c>
      <c r="W72" s="24" t="n">
        <v>-9.56</v>
      </c>
      <c r="X72" s="24" t="n">
        <v>-22.332</v>
      </c>
      <c r="Y72" s="24" t="n">
        <v>-6.667</v>
      </c>
      <c r="Z72" s="24" t="n">
        <v>-2.461</v>
      </c>
      <c r="AA72" s="24" t="n">
        <v>-5.6</v>
      </c>
      <c r="AB72" s="24" t="n">
        <v>-6.27</v>
      </c>
      <c r="AC72" s="24" t="n">
        <v>-20.998</v>
      </c>
      <c r="AD72" s="24" t="n">
        <v>-2.039</v>
      </c>
      <c r="AE72" s="24" t="n">
        <v>-4.32</v>
      </c>
      <c r="AF72" s="24" t="n">
        <v>-2.74</v>
      </c>
      <c r="AG72" s="24" t="n">
        <v>-8.65</v>
      </c>
      <c r="AH72" s="24" t="n">
        <v>-17.749</v>
      </c>
      <c r="AI72" s="24" t="n">
        <v>-1.603</v>
      </c>
      <c r="AJ72" s="24" t="n">
        <v>-3.162</v>
      </c>
      <c r="AK72" s="24" t="n">
        <v>-10.732</v>
      </c>
      <c r="AL72" s="24" t="n">
        <v>-8.116</v>
      </c>
      <c r="AM72" s="24" t="n">
        <v>-23.613</v>
      </c>
      <c r="AN72" s="24" t="n">
        <v>-2.125</v>
      </c>
      <c r="AO72" s="24" t="n">
        <v>-4.76</v>
      </c>
      <c r="AP72" s="24" t="n">
        <v>-4.999</v>
      </c>
      <c r="AQ72" s="24" t="n">
        <v>-7.06</v>
      </c>
      <c r="AR72" s="24" t="n">
        <v>-18.944</v>
      </c>
      <c r="AS72" s="24" t="n">
        <v>-4.62</v>
      </c>
      <c r="AT72" s="24" t="n">
        <v>-1.41</v>
      </c>
      <c r="AU72" s="24" t="n">
        <v>-4.704</v>
      </c>
      <c r="AV72" s="24" t="n">
        <v>-4.614</v>
      </c>
      <c r="AW72" s="24" t="n">
        <v>-15.348</v>
      </c>
      <c r="AX72" s="24" t="n">
        <v>-4.231</v>
      </c>
      <c r="AY72" s="24" t="n">
        <v>-6.559</v>
      </c>
      <c r="AZ72" s="24" t="n">
        <v>-9.357</v>
      </c>
      <c r="BA72" s="24" t="n">
        <v>-9.008</v>
      </c>
      <c r="BB72" s="24" t="n">
        <v>-29.155</v>
      </c>
      <c r="BC72" s="24" t="n">
        <v>-1.316</v>
      </c>
      <c r="BD72" s="24" t="n">
        <v>-10.342</v>
      </c>
      <c r="BE72" s="24" t="n">
        <v>-11.759</v>
      </c>
      <c r="BF72" s="24" t="n">
        <v>-20.666</v>
      </c>
      <c r="BG72" s="24" t="n">
        <v>-44.084</v>
      </c>
      <c r="BH72" s="24" t="n">
        <v>-7.582</v>
      </c>
      <c r="BI72" s="24" t="n">
        <v>-13.87</v>
      </c>
      <c r="BJ72" s="24" t="n">
        <v>-7.981</v>
      </c>
      <c r="BK72" s="24" t="n">
        <v>-18.684</v>
      </c>
      <c r="BL72" s="24" t="n">
        <v>-48.119</v>
      </c>
      <c r="BM72" s="24" t="n">
        <v>-16.479</v>
      </c>
      <c r="BN72" s="24" t="n">
        <v>-15.874</v>
      </c>
      <c r="BO72" s="21" t="n">
        <f aca="false">BO74-BO73</f>
        <v>-16.1765</v>
      </c>
      <c r="BP72" s="21" t="n">
        <f aca="false">BP74-BP73</f>
        <v>-16.1765</v>
      </c>
      <c r="BQ72" s="21" t="n">
        <f aca="false">SUM(BM72:BP72)</f>
        <v>-64.706</v>
      </c>
      <c r="BR72" s="21" t="n">
        <f aca="false">BR74-BR73</f>
        <v>-60.1813</v>
      </c>
      <c r="BS72" s="21" t="n">
        <f aca="false">BS74-BS73</f>
        <v>-51.940365</v>
      </c>
      <c r="BT72" s="21" t="n">
        <f aca="false">BT74-BT73</f>
        <v>-48.78738325</v>
      </c>
      <c r="BU72" s="21" t="n">
        <f aca="false">BU74-BU73</f>
        <v>-50.7267524125</v>
      </c>
      <c r="BV72" s="15"/>
    </row>
    <row r="73" customFormat="false" ht="15" hidden="false" customHeight="false" outlineLevel="0" collapsed="false">
      <c r="B73" s="13" t="s">
        <v>207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20" t="n">
        <f aca="false">AM74-AM72</f>
        <v>4.567</v>
      </c>
      <c r="AN73" s="20" t="n">
        <f aca="false">AN74-AN72</f>
        <v>0</v>
      </c>
      <c r="AO73" s="20" t="n">
        <f aca="false">AO74-AO72</f>
        <v>0</v>
      </c>
      <c r="AP73" s="20" t="n">
        <f aca="false">AP74-AP72</f>
        <v>0.3</v>
      </c>
      <c r="AQ73" s="20" t="n">
        <f aca="false">AQ74-AQ72</f>
        <v>1.8</v>
      </c>
      <c r="AR73" s="20" t="n">
        <f aca="false">AR74-AR72</f>
        <v>2</v>
      </c>
      <c r="AS73" s="20" t="n">
        <f aca="false">AS74-AS72</f>
        <v>2.1</v>
      </c>
      <c r="AT73" s="20" t="n">
        <f aca="false">AT74-AT72</f>
        <v>0.6</v>
      </c>
      <c r="AU73" s="20" t="n">
        <f aca="false">AU74-AU72</f>
        <v>1.2</v>
      </c>
      <c r="AV73" s="20" t="n">
        <f aca="false">AV74-AV72</f>
        <v>3.3</v>
      </c>
      <c r="AW73" s="20" t="n">
        <f aca="false">AW74-AW72</f>
        <v>7.2</v>
      </c>
      <c r="AX73" s="20" t="n">
        <f aca="false">AX74-AX72</f>
        <v>0.5</v>
      </c>
      <c r="AY73" s="20" t="n">
        <f aca="false">AY74-AY72</f>
        <v>0.4</v>
      </c>
      <c r="AZ73" s="20" t="n">
        <f aca="false">AZ74-AZ72</f>
        <v>1.1</v>
      </c>
      <c r="BA73" s="20" t="n">
        <f aca="false">BA74-BA72</f>
        <v>2.2</v>
      </c>
      <c r="BB73" s="20" t="n">
        <f aca="false">BB74-BB72</f>
        <v>4.2</v>
      </c>
      <c r="BC73" s="20" t="n">
        <f aca="false">BC74-BC72</f>
        <v>0.8</v>
      </c>
      <c r="BD73" s="20" t="n">
        <f aca="false">BD74-BD72</f>
        <v>4</v>
      </c>
      <c r="BE73" s="20" t="n">
        <f aca="false">BE74-BE72</f>
        <v>6.6</v>
      </c>
      <c r="BF73" s="20" t="n">
        <f aca="false">BF74-BF72</f>
        <v>8.8</v>
      </c>
      <c r="BG73" s="20" t="n">
        <f aca="false">BG74-BG72</f>
        <v>20.1</v>
      </c>
      <c r="BH73" s="20" t="n">
        <f aca="false">BH74-BH72</f>
        <v>4.7</v>
      </c>
      <c r="BI73" s="20" t="n">
        <f aca="false">BI74-BI72</f>
        <v>8.8</v>
      </c>
      <c r="BJ73" s="20" t="n">
        <f aca="false">BJ74-BJ72</f>
        <v>3.4</v>
      </c>
      <c r="BK73" s="20" t="n">
        <f aca="false">BK74-BK72</f>
        <v>9.2</v>
      </c>
      <c r="BL73" s="20" t="n">
        <f aca="false">BL74-BL72</f>
        <v>26</v>
      </c>
      <c r="BM73" s="20" t="n">
        <f aca="false">BM74-BM72</f>
        <v>8.6</v>
      </c>
      <c r="BN73" s="20" t="n">
        <f aca="false">BN74-BN72</f>
        <v>7</v>
      </c>
      <c r="BO73" s="21" t="n">
        <f aca="false">AVERAGE(BM73,BN73)</f>
        <v>7.8</v>
      </c>
      <c r="BP73" s="21" t="n">
        <f aca="false">AVERAGE(BM73,BN73)</f>
        <v>7.8</v>
      </c>
      <c r="BQ73" s="21" t="n">
        <f aca="false">SUM(BM73:BP73)</f>
        <v>31.2</v>
      </c>
      <c r="BR73" s="39" t="n">
        <v>25</v>
      </c>
      <c r="BS73" s="39" t="n">
        <v>15</v>
      </c>
      <c r="BT73" s="39" t="n">
        <v>10</v>
      </c>
      <c r="BU73" s="39" t="n">
        <v>10</v>
      </c>
      <c r="BV73" s="15" t="s">
        <v>208</v>
      </c>
    </row>
    <row r="74" customFormat="false" ht="15" hidden="false" customHeight="false" outlineLevel="0" collapsed="false">
      <c r="B74" s="30" t="s">
        <v>209</v>
      </c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2" t="n">
        <v>-19.046</v>
      </c>
      <c r="AN74" s="32" t="n">
        <v>-2.125</v>
      </c>
      <c r="AO74" s="32" t="n">
        <v>-4.76</v>
      </c>
      <c r="AP74" s="32" t="n">
        <v>-4.699</v>
      </c>
      <c r="AQ74" s="32" t="n">
        <v>-5.26</v>
      </c>
      <c r="AR74" s="32" t="n">
        <v>-16.944</v>
      </c>
      <c r="AS74" s="32" t="n">
        <v>-2.52</v>
      </c>
      <c r="AT74" s="32" t="n">
        <v>-0.81</v>
      </c>
      <c r="AU74" s="32" t="n">
        <v>-3.504</v>
      </c>
      <c r="AV74" s="32" t="n">
        <v>-1.314</v>
      </c>
      <c r="AW74" s="32" t="n">
        <v>-8.148</v>
      </c>
      <c r="AX74" s="32" t="n">
        <v>-3.731</v>
      </c>
      <c r="AY74" s="32" t="n">
        <v>-6.159</v>
      </c>
      <c r="AZ74" s="32" t="n">
        <v>-8.257</v>
      </c>
      <c r="BA74" s="32" t="n">
        <v>-6.808</v>
      </c>
      <c r="BB74" s="32" t="n">
        <v>-24.955</v>
      </c>
      <c r="BC74" s="32" t="n">
        <v>-0.516</v>
      </c>
      <c r="BD74" s="32" t="n">
        <v>-6.342</v>
      </c>
      <c r="BE74" s="32" t="n">
        <v>-5.159</v>
      </c>
      <c r="BF74" s="32" t="n">
        <v>-11.866</v>
      </c>
      <c r="BG74" s="32" t="n">
        <v>-23.984</v>
      </c>
      <c r="BH74" s="32" t="n">
        <v>-2.882</v>
      </c>
      <c r="BI74" s="32" t="n">
        <v>-5.07</v>
      </c>
      <c r="BJ74" s="32" t="n">
        <v>-4.581</v>
      </c>
      <c r="BK74" s="32" t="n">
        <v>-9.484</v>
      </c>
      <c r="BL74" s="32" t="n">
        <v>-22.119</v>
      </c>
      <c r="BM74" s="32" t="n">
        <v>-7.879</v>
      </c>
      <c r="BN74" s="32" t="n">
        <v>-8.874</v>
      </c>
      <c r="BO74" s="33" t="n">
        <f aca="false">AVERAGE(BM74,BN74)</f>
        <v>-8.3765</v>
      </c>
      <c r="BP74" s="33" t="n">
        <f aca="false">AVERAGE(BM74,BN74)</f>
        <v>-8.3765</v>
      </c>
      <c r="BQ74" s="33" t="n">
        <f aca="false">SUM(BM74:BP74)</f>
        <v>-33.506</v>
      </c>
      <c r="BR74" s="33" t="n">
        <f aca="false">BQ74*(1+BR75)</f>
        <v>-35.1813</v>
      </c>
      <c r="BS74" s="33" t="n">
        <f aca="false">BR74*(1+BS75)</f>
        <v>-36.940365</v>
      </c>
      <c r="BT74" s="33" t="n">
        <f aca="false">BS74*(1+BT75)</f>
        <v>-38.78738325</v>
      </c>
      <c r="BU74" s="33" t="n">
        <f aca="false">BT74*(1+BU75)</f>
        <v>-40.7267524125</v>
      </c>
      <c r="BV74" s="15" t="s">
        <v>210</v>
      </c>
    </row>
    <row r="75" customFormat="false" ht="15" hidden="false" customHeight="false" outlineLevel="0" collapsed="false">
      <c r="B75" s="13" t="s">
        <v>211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36"/>
      <c r="BP75" s="36"/>
      <c r="BQ75" s="36"/>
      <c r="BR75" s="48" t="n">
        <v>0.05</v>
      </c>
      <c r="BS75" s="48" t="n">
        <v>0.05</v>
      </c>
      <c r="BT75" s="48" t="n">
        <v>0.05</v>
      </c>
      <c r="BU75" s="48" t="n">
        <v>0.05</v>
      </c>
      <c r="BV75" s="15"/>
    </row>
    <row r="76" customFormat="false" ht="15" hidden="false" customHeight="false" outlineLevel="0" collapsed="false">
      <c r="B76" s="13" t="s">
        <v>212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24" t="n">
        <v>6.845</v>
      </c>
      <c r="AN76" s="24" t="n">
        <v>1.809</v>
      </c>
      <c r="AO76" s="24" t="n">
        <v>1.724</v>
      </c>
      <c r="AP76" s="24" t="n">
        <v>1.571</v>
      </c>
      <c r="AQ76" s="24" t="n">
        <v>1.607</v>
      </c>
      <c r="AR76" s="24" t="n">
        <v>6.711</v>
      </c>
      <c r="AS76" s="24" t="n">
        <v>1.583</v>
      </c>
      <c r="AT76" s="24" t="n">
        <v>1.65</v>
      </c>
      <c r="AU76" s="24" t="n">
        <v>1.852</v>
      </c>
      <c r="AV76" s="24" t="n">
        <v>1.97</v>
      </c>
      <c r="AW76" s="24" t="n">
        <v>7.055</v>
      </c>
      <c r="AX76" s="24" t="n">
        <v>1.866</v>
      </c>
      <c r="AY76" s="24" t="n">
        <v>1.881</v>
      </c>
      <c r="AZ76" s="24" t="n">
        <v>1.827</v>
      </c>
      <c r="BA76" s="24" t="n">
        <v>1.859</v>
      </c>
      <c r="BB76" s="24" t="n">
        <v>7.433</v>
      </c>
      <c r="BC76" s="24" t="n">
        <v>1.874</v>
      </c>
      <c r="BD76" s="24" t="n">
        <v>1.781</v>
      </c>
      <c r="BE76" s="24" t="n">
        <v>1.672</v>
      </c>
      <c r="BF76" s="24" t="n">
        <v>1.8</v>
      </c>
      <c r="BG76" s="24" t="n">
        <v>7.127</v>
      </c>
      <c r="BH76" s="24" t="n">
        <v>1.797</v>
      </c>
      <c r="BI76" s="24" t="n">
        <v>1.794</v>
      </c>
      <c r="BJ76" s="24" t="n">
        <v>1.831</v>
      </c>
      <c r="BK76" s="24" t="n">
        <v>1.761</v>
      </c>
      <c r="BL76" s="24" t="n">
        <v>7.183</v>
      </c>
      <c r="BM76" s="24" t="n">
        <v>1.733</v>
      </c>
      <c r="BN76" s="24" t="n">
        <v>1.785</v>
      </c>
      <c r="BO76" s="21" t="n">
        <f aca="false">AVERAGE(BM76,BN76)</f>
        <v>1.759</v>
      </c>
      <c r="BP76" s="21" t="n">
        <f aca="false">AVERAGE(BM76,BN76)</f>
        <v>1.759</v>
      </c>
      <c r="BQ76" s="21" t="n">
        <f aca="false">SUM(BM76:BP76)</f>
        <v>7.036</v>
      </c>
      <c r="BR76" s="21" t="n">
        <f aca="false">BQ76</f>
        <v>7.036</v>
      </c>
      <c r="BS76" s="21" t="n">
        <f aca="false">BR76</f>
        <v>7.036</v>
      </c>
      <c r="BT76" s="21" t="n">
        <f aca="false">BS76</f>
        <v>7.036</v>
      </c>
      <c r="BU76" s="21" t="n">
        <f aca="false">BT76</f>
        <v>7.036</v>
      </c>
      <c r="BV76" s="15"/>
    </row>
    <row r="77" customFormat="false" ht="15" hidden="false" customHeight="false" outlineLevel="0" collapsed="false">
      <c r="B77" s="30" t="s">
        <v>213</v>
      </c>
      <c r="C77" s="49" t="str">
        <f aca="false">IF(AND(ISNUMBER(C74),ISNUMBER(C76)),C74+C76,"")</f>
        <v/>
      </c>
      <c r="D77" s="49" t="str">
        <f aca="false">IF(AND(ISNUMBER(D74),ISNUMBER(D76)),D74+D76,"")</f>
        <v/>
      </c>
      <c r="E77" s="49" t="str">
        <f aca="false">IF(AND(ISNUMBER(E74),ISNUMBER(E76)),E74+E76,"")</f>
        <v/>
      </c>
      <c r="F77" s="49" t="str">
        <f aca="false">IF(AND(ISNUMBER(F74),ISNUMBER(F76)),F74+F76,"")</f>
        <v/>
      </c>
      <c r="G77" s="49" t="str">
        <f aca="false">IF(AND(ISNUMBER(G74),ISNUMBER(G76)),G74+G76,"")</f>
        <v/>
      </c>
      <c r="H77" s="49" t="str">
        <f aca="false">IF(AND(ISNUMBER(H74),ISNUMBER(H76)),H74+H76,"")</f>
        <v/>
      </c>
      <c r="I77" s="49" t="str">
        <f aca="false">IF(AND(ISNUMBER(I74),ISNUMBER(I76)),I74+I76,"")</f>
        <v/>
      </c>
      <c r="J77" s="49" t="str">
        <f aca="false">IF(AND(ISNUMBER(J74),ISNUMBER(J76)),J74+J76,"")</f>
        <v/>
      </c>
      <c r="K77" s="49" t="str">
        <f aca="false">IF(AND(ISNUMBER(K74),ISNUMBER(K76)),K74+K76,"")</f>
        <v/>
      </c>
      <c r="L77" s="49" t="str">
        <f aca="false">IF(AND(ISNUMBER(L74),ISNUMBER(L76)),L74+L76,"")</f>
        <v/>
      </c>
      <c r="M77" s="49" t="str">
        <f aca="false">IF(AND(ISNUMBER(M74),ISNUMBER(M76)),M74+M76,"")</f>
        <v/>
      </c>
      <c r="N77" s="49" t="str">
        <f aca="false">IF(AND(ISNUMBER(N74),ISNUMBER(N76)),N74+N76,"")</f>
        <v/>
      </c>
      <c r="O77" s="49" t="str">
        <f aca="false">IF(AND(ISNUMBER(O74),ISNUMBER(O76)),O74+O76,"")</f>
        <v/>
      </c>
      <c r="P77" s="49" t="str">
        <f aca="false">IF(AND(ISNUMBER(P74),ISNUMBER(P76)),P74+P76,"")</f>
        <v/>
      </c>
      <c r="Q77" s="49" t="str">
        <f aca="false">IF(AND(ISNUMBER(Q74),ISNUMBER(Q76)),Q74+Q76,"")</f>
        <v/>
      </c>
      <c r="R77" s="49" t="str">
        <f aca="false">IF(AND(ISNUMBER(R74),ISNUMBER(R76)),R74+R76,"")</f>
        <v/>
      </c>
      <c r="S77" s="49" t="str">
        <f aca="false">IF(AND(ISNUMBER(S74),ISNUMBER(S76)),S74+S76,"")</f>
        <v/>
      </c>
      <c r="T77" s="49" t="str">
        <f aca="false">IF(AND(ISNUMBER(T74),ISNUMBER(T76)),T74+T76,"")</f>
        <v/>
      </c>
      <c r="U77" s="49" t="str">
        <f aca="false">IF(AND(ISNUMBER(U74),ISNUMBER(U76)),U74+U76,"")</f>
        <v/>
      </c>
      <c r="V77" s="49" t="str">
        <f aca="false">IF(AND(ISNUMBER(V74),ISNUMBER(V76)),V74+V76,"")</f>
        <v/>
      </c>
      <c r="W77" s="49" t="str">
        <f aca="false">IF(AND(ISNUMBER(W74),ISNUMBER(W76)),W74+W76,"")</f>
        <v/>
      </c>
      <c r="X77" s="49" t="str">
        <f aca="false">IF(AND(ISNUMBER(X74),ISNUMBER(X76)),X74+X76,"")</f>
        <v/>
      </c>
      <c r="Y77" s="49" t="str">
        <f aca="false">IF(AND(ISNUMBER(Y74),ISNUMBER(Y76)),Y74+Y76,"")</f>
        <v/>
      </c>
      <c r="Z77" s="49" t="str">
        <f aca="false">IF(AND(ISNUMBER(Z74),ISNUMBER(Z76)),Z74+Z76,"")</f>
        <v/>
      </c>
      <c r="AA77" s="49" t="str">
        <f aca="false">IF(AND(ISNUMBER(AA74),ISNUMBER(AA76)),AA74+AA76,"")</f>
        <v/>
      </c>
      <c r="AB77" s="49" t="str">
        <f aca="false">IF(AND(ISNUMBER(AB74),ISNUMBER(AB76)),AB74+AB76,"")</f>
        <v/>
      </c>
      <c r="AC77" s="49" t="str">
        <f aca="false">IF(AND(ISNUMBER(AC74),ISNUMBER(AC76)),AC74+AC76,"")</f>
        <v/>
      </c>
      <c r="AD77" s="49" t="str">
        <f aca="false">IF(AND(ISNUMBER(AD74),ISNUMBER(AD76)),AD74+AD76,"")</f>
        <v/>
      </c>
      <c r="AE77" s="49" t="str">
        <f aca="false">IF(AND(ISNUMBER(AE74),ISNUMBER(AE76)),AE74+AE76,"")</f>
        <v/>
      </c>
      <c r="AF77" s="49" t="str">
        <f aca="false">IF(AND(ISNUMBER(AF74),ISNUMBER(AF76)),AF74+AF76,"")</f>
        <v/>
      </c>
      <c r="AG77" s="49" t="str">
        <f aca="false">IF(AND(ISNUMBER(AG74),ISNUMBER(AG76)),AG74+AG76,"")</f>
        <v/>
      </c>
      <c r="AH77" s="49" t="str">
        <f aca="false">IF(AND(ISNUMBER(AH74),ISNUMBER(AH76)),AH74+AH76,"")</f>
        <v/>
      </c>
      <c r="AI77" s="49" t="str">
        <f aca="false">IF(AND(ISNUMBER(AI74),ISNUMBER(AI76)),AI74+AI76,"")</f>
        <v/>
      </c>
      <c r="AJ77" s="49" t="str">
        <f aca="false">IF(AND(ISNUMBER(AJ74),ISNUMBER(AJ76)),AJ74+AJ76,"")</f>
        <v/>
      </c>
      <c r="AK77" s="49" t="str">
        <f aca="false">IF(AND(ISNUMBER(AK74),ISNUMBER(AK76)),AK74+AK76,"")</f>
        <v/>
      </c>
      <c r="AL77" s="49" t="str">
        <f aca="false">IF(AND(ISNUMBER(AL74),ISNUMBER(AL76)),AL74+AL76,"")</f>
        <v/>
      </c>
      <c r="AM77" s="49" t="n">
        <f aca="false">IF(AND(ISNUMBER(AM74),ISNUMBER(AM76)),AM74+AM76,"")</f>
        <v>-12.201</v>
      </c>
      <c r="AN77" s="49" t="n">
        <f aca="false">IF(AND(ISNUMBER(AN74),ISNUMBER(AN76)),AN74+AN76,"")</f>
        <v>-0.316</v>
      </c>
      <c r="AO77" s="49" t="n">
        <f aca="false">IF(AND(ISNUMBER(AO74),ISNUMBER(AO76)),AO74+AO76,"")</f>
        <v>-3.036</v>
      </c>
      <c r="AP77" s="49" t="n">
        <f aca="false">IF(AND(ISNUMBER(AP74),ISNUMBER(AP76)),AP74+AP76,"")</f>
        <v>-3.128</v>
      </c>
      <c r="AQ77" s="49" t="n">
        <f aca="false">IF(AND(ISNUMBER(AQ74),ISNUMBER(AQ76)),AQ74+AQ76,"")</f>
        <v>-3.653</v>
      </c>
      <c r="AR77" s="49" t="n">
        <f aca="false">IF(AND(ISNUMBER(AR74),ISNUMBER(AR76)),AR74+AR76,"")</f>
        <v>-10.233</v>
      </c>
      <c r="AS77" s="49" t="n">
        <f aca="false">IF(AND(ISNUMBER(AS74),ISNUMBER(AS76)),AS74+AS76,"")</f>
        <v>-0.937</v>
      </c>
      <c r="AT77" s="49" t="n">
        <f aca="false">IF(AND(ISNUMBER(AT74),ISNUMBER(AT76)),AT74+AT76,"")</f>
        <v>0.84</v>
      </c>
      <c r="AU77" s="49" t="n">
        <f aca="false">IF(AND(ISNUMBER(AU74),ISNUMBER(AU76)),AU74+AU76,"")</f>
        <v>-1.652</v>
      </c>
      <c r="AV77" s="49" t="n">
        <f aca="false">IF(AND(ISNUMBER(AV74),ISNUMBER(AV76)),AV74+AV76,"")</f>
        <v>0.656</v>
      </c>
      <c r="AW77" s="49" t="n">
        <f aca="false">IF(AND(ISNUMBER(AW74),ISNUMBER(AW76)),AW74+AW76,"")</f>
        <v>-1.093</v>
      </c>
      <c r="AX77" s="49" t="n">
        <f aca="false">IF(AND(ISNUMBER(AX74),ISNUMBER(AX76)),AX74+AX76,"")</f>
        <v>-1.865</v>
      </c>
      <c r="AY77" s="49" t="n">
        <f aca="false">IF(AND(ISNUMBER(AY74),ISNUMBER(AY76)),AY74+AY76,"")</f>
        <v>-4.278</v>
      </c>
      <c r="AZ77" s="49" t="n">
        <f aca="false">IF(AND(ISNUMBER(AZ74),ISNUMBER(AZ76)),AZ74+AZ76,"")</f>
        <v>-6.43</v>
      </c>
      <c r="BA77" s="49" t="n">
        <f aca="false">IF(AND(ISNUMBER(BA74),ISNUMBER(BA76)),BA74+BA76,"")</f>
        <v>-4.949</v>
      </c>
      <c r="BB77" s="49" t="n">
        <f aca="false">IF(AND(ISNUMBER(BB74),ISNUMBER(BB76)),BB74+BB76,"")</f>
        <v>-17.522</v>
      </c>
      <c r="BC77" s="49" t="n">
        <f aca="false">IF(AND(ISNUMBER(BC74),ISNUMBER(BC76)),BC74+BC76,"")</f>
        <v>1.358</v>
      </c>
      <c r="BD77" s="49" t="n">
        <f aca="false">IF(AND(ISNUMBER(BD74),ISNUMBER(BD76)),BD74+BD76,"")</f>
        <v>-4.561</v>
      </c>
      <c r="BE77" s="49" t="n">
        <f aca="false">IF(AND(ISNUMBER(BE74),ISNUMBER(BE76)),BE74+BE76,"")</f>
        <v>-3.487</v>
      </c>
      <c r="BF77" s="49" t="n">
        <f aca="false">IF(AND(ISNUMBER(BF74),ISNUMBER(BF76)),BF74+BF76,"")</f>
        <v>-10.066</v>
      </c>
      <c r="BG77" s="49" t="n">
        <f aca="false">IF(AND(ISNUMBER(BG74),ISNUMBER(BG76)),BG74+BG76,"")</f>
        <v>-16.857</v>
      </c>
      <c r="BH77" s="49" t="n">
        <f aca="false">IF(AND(ISNUMBER(BH74),ISNUMBER(BH76)),BH74+BH76,"")</f>
        <v>-1.085</v>
      </c>
      <c r="BI77" s="49" t="n">
        <f aca="false">IF(AND(ISNUMBER(BI74),ISNUMBER(BI76)),BI74+BI76,"")</f>
        <v>-3.276</v>
      </c>
      <c r="BJ77" s="49" t="n">
        <f aca="false">IF(AND(ISNUMBER(BJ74),ISNUMBER(BJ76)),BJ74+BJ76,"")</f>
        <v>-2.75</v>
      </c>
      <c r="BK77" s="49" t="n">
        <f aca="false">IF(AND(ISNUMBER(BK74),ISNUMBER(BK76)),BK74+BK76,"")</f>
        <v>-7.723</v>
      </c>
      <c r="BL77" s="49" t="n">
        <f aca="false">IF(AND(ISNUMBER(BL74),ISNUMBER(BL76)),BL74+BL76,"")</f>
        <v>-14.936</v>
      </c>
      <c r="BM77" s="49" t="n">
        <f aca="false">IF(AND(ISNUMBER(BM74),ISNUMBER(BM76)),BM74+BM76,"")</f>
        <v>-6.146</v>
      </c>
      <c r="BN77" s="49" t="n">
        <f aca="false">IF(AND(ISNUMBER(BN74),ISNUMBER(BN76)),BN74+BN76,"")</f>
        <v>-7.089</v>
      </c>
      <c r="BO77" s="33" t="n">
        <f aca="false">BO74+BO76</f>
        <v>-6.6175</v>
      </c>
      <c r="BP77" s="33" t="n">
        <f aca="false">BP74+BP76</f>
        <v>-6.6175</v>
      </c>
      <c r="BQ77" s="33" t="n">
        <f aca="false">BQ74+BQ76</f>
        <v>-26.47</v>
      </c>
      <c r="BR77" s="33" t="n">
        <f aca="false">BR74+BR76</f>
        <v>-28.1453</v>
      </c>
      <c r="BS77" s="33" t="n">
        <f aca="false">BS74+BS76</f>
        <v>-29.904365</v>
      </c>
      <c r="BT77" s="33" t="n">
        <f aca="false">BT74+BT76</f>
        <v>-31.75138325</v>
      </c>
      <c r="BU77" s="33" t="n">
        <f aca="false">BU74+BU76</f>
        <v>-33.6907524125</v>
      </c>
      <c r="BV77" s="15"/>
    </row>
    <row r="78" customFormat="false" ht="15" hidden="false" customHeight="false" outlineLevel="0" collapsed="false">
      <c r="B78" s="13"/>
      <c r="BO78" s="14"/>
      <c r="BP78" s="14"/>
      <c r="BQ78" s="14"/>
      <c r="BR78" s="14"/>
      <c r="BS78" s="14"/>
      <c r="BT78" s="14"/>
      <c r="BU78" s="14"/>
      <c r="BV78" s="15"/>
    </row>
    <row r="79" customFormat="false" ht="15" hidden="false" customHeight="false" outlineLevel="0" collapsed="false">
      <c r="B79" s="16" t="s">
        <v>214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7" t="s">
        <v>215</v>
      </c>
    </row>
    <row r="80" customFormat="false" ht="15" hidden="false" customHeight="false" outlineLevel="0" collapsed="false">
      <c r="B80" s="13" t="s">
        <v>216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36"/>
      <c r="BP80" s="36"/>
      <c r="BQ80" s="36"/>
      <c r="BR80" s="21" t="n">
        <f aca="false">CHOOSE(MATCH($BV$2,{"Bull","Base","Bear"},0),$CE$19,$CF$19,$CG$19)</f>
        <v>750</v>
      </c>
      <c r="BS80" s="39" t="n">
        <v>0</v>
      </c>
      <c r="BT80" s="39" t="n">
        <v>0</v>
      </c>
      <c r="BU80" s="39" t="n">
        <v>0</v>
      </c>
      <c r="BV80" s="15" t="s">
        <v>217</v>
      </c>
    </row>
    <row r="81" customFormat="false" ht="15" hidden="false" customHeight="false" outlineLevel="0" collapsed="false">
      <c r="B81" s="13" t="s">
        <v>218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36"/>
      <c r="BP81" s="36"/>
      <c r="BQ81" s="36"/>
      <c r="BR81" s="39" t="n">
        <v>350</v>
      </c>
      <c r="BS81" s="39" t="n">
        <v>0</v>
      </c>
      <c r="BT81" s="39" t="n">
        <v>0</v>
      </c>
      <c r="BU81" s="39" t="n">
        <v>0</v>
      </c>
      <c r="BV81" s="15" t="s">
        <v>219</v>
      </c>
    </row>
    <row r="82" customFormat="false" ht="15" hidden="false" customHeight="false" outlineLevel="0" collapsed="false">
      <c r="B82" s="13" t="s">
        <v>220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36"/>
      <c r="BP82" s="36"/>
      <c r="BQ82" s="36"/>
      <c r="BR82" s="21" t="n">
        <f aca="false">BR80*0.2/0.8</f>
        <v>187.5</v>
      </c>
      <c r="BS82" s="39" t="n">
        <v>0</v>
      </c>
      <c r="BT82" s="39" t="n">
        <v>0</v>
      </c>
      <c r="BU82" s="39" t="n">
        <v>0</v>
      </c>
      <c r="BV82" s="15"/>
    </row>
    <row r="83" customFormat="false" ht="15" hidden="false" customHeight="false" outlineLevel="0" collapsed="false">
      <c r="B83" s="30" t="s">
        <v>221</v>
      </c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57"/>
      <c r="BP83" s="57"/>
      <c r="BQ83" s="58" t="n">
        <v>0</v>
      </c>
      <c r="BR83" s="33" t="n">
        <f aca="false">BR80+BR82-BR81</f>
        <v>587.5</v>
      </c>
      <c r="BS83" s="33" t="n">
        <f aca="false">BS80+BS82-BS81</f>
        <v>0</v>
      </c>
      <c r="BT83" s="33" t="n">
        <f aca="false">BT80+BT82-BT81</f>
        <v>0</v>
      </c>
      <c r="BU83" s="33" t="n">
        <f aca="false">BU80+BU82-BU81</f>
        <v>0</v>
      </c>
      <c r="BV83" s="15" t="s">
        <v>222</v>
      </c>
    </row>
    <row r="84" customFormat="false" ht="15" hidden="false" customHeight="false" outlineLevel="0" collapsed="false">
      <c r="B84" s="13"/>
      <c r="BO84" s="14"/>
      <c r="BP84" s="14"/>
      <c r="BQ84" s="14"/>
      <c r="BR84" s="14"/>
      <c r="BS84" s="14"/>
      <c r="BT84" s="14"/>
      <c r="BU84" s="14"/>
      <c r="BV84" s="15"/>
    </row>
    <row r="85" customFormat="false" ht="15" hidden="false" customHeight="false" outlineLevel="0" collapsed="false">
      <c r="B85" s="16" t="s">
        <v>223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7" t="s">
        <v>224</v>
      </c>
    </row>
    <row r="86" customFormat="false" ht="15" hidden="false" customHeight="false" outlineLevel="0" collapsed="false">
      <c r="B86" s="13" t="s">
        <v>225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36"/>
      <c r="BP86" s="36"/>
      <c r="BQ86" s="39" t="n">
        <v>0</v>
      </c>
      <c r="BR86" s="21" t="n">
        <f aca="false">CHOOSE(MATCH($BV$2,{"Bull","Base","Bear"},0),$CE$53,$CF$53,$CG$53)</f>
        <v>0</v>
      </c>
      <c r="BS86" s="21" t="n">
        <f aca="false">CHOOSE(MATCH($BV$2,{"Bull","Base","Bear"},0),$CE$54,$CF$54,$CG$54)</f>
        <v>150</v>
      </c>
      <c r="BT86" s="21" t="n">
        <f aca="false">CHOOSE(MATCH($BV$2,{"Bull","Base","Bear"},0),$CE$55,$CF$55,$CG$55)</f>
        <v>150</v>
      </c>
      <c r="BU86" s="21" t="n">
        <f aca="false">CHOOSE(MATCH($BV$2,{"Bull","Base","Bear"},0),$CE$56,$CF$56,$CG$56)</f>
        <v>150</v>
      </c>
      <c r="BV86" s="15" t="s">
        <v>226</v>
      </c>
    </row>
    <row r="87" customFormat="false" ht="15" hidden="false" customHeight="false" outlineLevel="0" collapsed="false">
      <c r="B87" s="13" t="s">
        <v>227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36"/>
      <c r="BP87" s="36"/>
      <c r="BQ87" s="36"/>
      <c r="BR87" s="27" t="n">
        <v>2</v>
      </c>
      <c r="BS87" s="27" t="n">
        <v>2</v>
      </c>
      <c r="BT87" s="27" t="n">
        <v>2</v>
      </c>
      <c r="BU87" s="27" t="n">
        <v>2</v>
      </c>
      <c r="BV87" s="15"/>
    </row>
    <row r="88" customFormat="false" ht="15" hidden="false" customHeight="false" outlineLevel="0" collapsed="false">
      <c r="B88" s="13" t="s">
        <v>228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36"/>
      <c r="BP88" s="36"/>
      <c r="BQ88" s="36"/>
      <c r="BR88" s="21" t="n">
        <f aca="false">IFERROR(BR86/BR87,0)</f>
        <v>0</v>
      </c>
      <c r="BS88" s="21" t="n">
        <f aca="false">IFERROR(BS86/BS87,0)</f>
        <v>75</v>
      </c>
      <c r="BT88" s="21" t="n">
        <f aca="false">IFERROR(BT86/BT87,0)</f>
        <v>75</v>
      </c>
      <c r="BU88" s="21" t="n">
        <f aca="false">IFERROR(BU86/BU87,0)</f>
        <v>75</v>
      </c>
      <c r="BV88" s="15"/>
    </row>
    <row r="89" customFormat="false" ht="15" hidden="false" customHeight="false" outlineLevel="0" collapsed="false">
      <c r="B89" s="13" t="s">
        <v>229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36"/>
      <c r="BP89" s="36"/>
      <c r="BQ89" s="36"/>
      <c r="BR89" s="48" t="n">
        <v>0.08</v>
      </c>
      <c r="BS89" s="48" t="n">
        <v>0.08</v>
      </c>
      <c r="BT89" s="48" t="n">
        <v>0.08</v>
      </c>
      <c r="BU89" s="48" t="n">
        <v>0.08</v>
      </c>
      <c r="BV89" s="15"/>
    </row>
    <row r="90" customFormat="false" ht="15" hidden="false" customHeight="false" outlineLevel="0" collapsed="false">
      <c r="B90" s="13" t="s">
        <v>230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36"/>
      <c r="BP90" s="36"/>
      <c r="BQ90" s="39" t="n">
        <v>0</v>
      </c>
      <c r="BR90" s="21" t="n">
        <f aca="false">BQ90*(1+BR89)+BR88</f>
        <v>0</v>
      </c>
      <c r="BS90" s="21" t="n">
        <f aca="false">BR90*(1+BS89)+BS88</f>
        <v>75</v>
      </c>
      <c r="BT90" s="21" t="n">
        <f aca="false">BS90*(1+BT89)+BT88</f>
        <v>156</v>
      </c>
      <c r="BU90" s="21" t="n">
        <f aca="false">BT90*(1+BU89)+BU88</f>
        <v>243.48</v>
      </c>
      <c r="BV90" s="15"/>
    </row>
    <row r="91" customFormat="false" ht="15" hidden="false" customHeight="false" outlineLevel="0" collapsed="false">
      <c r="B91" s="13" t="s">
        <v>231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36"/>
      <c r="BP91" s="36"/>
      <c r="BQ91" s="39" t="n">
        <v>0</v>
      </c>
      <c r="BR91" s="21" t="n">
        <f aca="false">BQ90*(1+BR89)+BR88*0.5</f>
        <v>0</v>
      </c>
      <c r="BS91" s="21" t="n">
        <f aca="false">BR90*(1+BS89)+BS88*0.5</f>
        <v>37.5</v>
      </c>
      <c r="BT91" s="21" t="n">
        <f aca="false">BS90*(1+BT89)+BT88*0.5</f>
        <v>118.5</v>
      </c>
      <c r="BU91" s="21" t="n">
        <f aca="false">BT90*(1+BU89)+BU88*0.5</f>
        <v>205.98</v>
      </c>
      <c r="BV91" s="15" t="s">
        <v>232</v>
      </c>
    </row>
    <row r="92" customFormat="false" ht="15" hidden="false" customHeight="false" outlineLevel="0" collapsed="false">
      <c r="B92" s="13" t="s">
        <v>233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36"/>
      <c r="BP92" s="36"/>
      <c r="BQ92" s="36"/>
      <c r="BR92" s="48" t="n">
        <v>0.12</v>
      </c>
      <c r="BS92" s="48" t="n">
        <v>0.12</v>
      </c>
      <c r="BT92" s="48" t="n">
        <v>0.12</v>
      </c>
      <c r="BU92" s="48" t="n">
        <v>0.12</v>
      </c>
      <c r="BV92" s="15"/>
    </row>
    <row r="93" customFormat="false" ht="15" hidden="false" customHeight="false" outlineLevel="0" collapsed="false">
      <c r="B93" s="13" t="s">
        <v>234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36"/>
      <c r="BP93" s="36"/>
      <c r="BQ93" s="39" t="n">
        <v>0</v>
      </c>
      <c r="BR93" s="21" t="n">
        <f aca="false">BR91*BR92</f>
        <v>0</v>
      </c>
      <c r="BS93" s="21" t="n">
        <f aca="false">BS91*BS92</f>
        <v>4.5</v>
      </c>
      <c r="BT93" s="21" t="n">
        <f aca="false">BT91*BT92</f>
        <v>14.22</v>
      </c>
      <c r="BU93" s="21" t="n">
        <f aca="false">BU91*BU92</f>
        <v>24.7176</v>
      </c>
      <c r="BV93" s="15"/>
    </row>
    <row r="94" customFormat="false" ht="15" hidden="false" customHeight="false" outlineLevel="0" collapsed="false">
      <c r="B94" s="13" t="s">
        <v>235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36"/>
      <c r="BP94" s="36"/>
      <c r="BQ94" s="36"/>
      <c r="BR94" s="48" t="n">
        <v>0.03</v>
      </c>
      <c r="BS94" s="48" t="n">
        <v>0.03</v>
      </c>
      <c r="BT94" s="48" t="n">
        <v>0.03</v>
      </c>
      <c r="BU94" s="48" t="n">
        <v>0.03</v>
      </c>
      <c r="BV94" s="15"/>
    </row>
    <row r="95" customFormat="false" ht="15" hidden="false" customHeight="false" outlineLevel="0" collapsed="false">
      <c r="B95" s="13" t="s">
        <v>236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36"/>
      <c r="BP95" s="36"/>
      <c r="BQ95" s="39" t="n">
        <v>0</v>
      </c>
      <c r="BR95" s="21" t="n">
        <f aca="false">BR91*BR94</f>
        <v>0</v>
      </c>
      <c r="BS95" s="21" t="n">
        <f aca="false">BS91*BS94</f>
        <v>1.125</v>
      </c>
      <c r="BT95" s="21" t="n">
        <f aca="false">BT91*BT94</f>
        <v>3.555</v>
      </c>
      <c r="BU95" s="21" t="n">
        <f aca="false">BU91*BU94</f>
        <v>6.1794</v>
      </c>
      <c r="BV95" s="15"/>
    </row>
    <row r="96" customFormat="false" ht="15" hidden="false" customHeight="false" outlineLevel="0" collapsed="false">
      <c r="B96" s="13" t="s">
        <v>237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36"/>
      <c r="BP96" s="36"/>
      <c r="BQ96" s="36"/>
      <c r="BR96" s="48" t="n">
        <v>0.25</v>
      </c>
      <c r="BS96" s="48" t="n">
        <v>0.25</v>
      </c>
      <c r="BT96" s="48" t="n">
        <v>0.25</v>
      </c>
      <c r="BU96" s="48" t="n">
        <v>0.25</v>
      </c>
      <c r="BV96" s="15"/>
    </row>
    <row r="97" customFormat="false" ht="15" hidden="false" customHeight="false" outlineLevel="0" collapsed="false">
      <c r="B97" s="13" t="s">
        <v>238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36"/>
      <c r="BP97" s="36"/>
      <c r="BQ97" s="36"/>
      <c r="BR97" s="48" t="n">
        <v>0.35</v>
      </c>
      <c r="BS97" s="48" t="n">
        <v>0.35</v>
      </c>
      <c r="BT97" s="48" t="n">
        <v>0.35</v>
      </c>
      <c r="BU97" s="48" t="n">
        <v>0.35</v>
      </c>
      <c r="BV97" s="15"/>
    </row>
    <row r="98" customFormat="false" ht="15" hidden="false" customHeight="false" outlineLevel="0" collapsed="false">
      <c r="B98" s="13" t="s">
        <v>239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36"/>
      <c r="BP98" s="36"/>
      <c r="BQ98" s="36"/>
      <c r="BR98" s="59" t="n">
        <v>12</v>
      </c>
      <c r="BS98" s="59" t="n">
        <v>12</v>
      </c>
      <c r="BT98" s="59" t="n">
        <v>12</v>
      </c>
      <c r="BU98" s="59" t="n">
        <v>12</v>
      </c>
      <c r="BV98" s="15"/>
    </row>
    <row r="99" customFormat="false" ht="15" hidden="false" customHeight="false" outlineLevel="0" collapsed="false">
      <c r="B99" s="13" t="s">
        <v>240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36"/>
      <c r="BP99" s="36"/>
      <c r="BQ99" s="39" t="n">
        <v>0</v>
      </c>
      <c r="BR99" s="21" t="n">
        <f aca="false">BQ99+BR86*BR97</f>
        <v>0</v>
      </c>
      <c r="BS99" s="21" t="n">
        <f aca="false">BR99+BS86*BS97</f>
        <v>52.5</v>
      </c>
      <c r="BT99" s="21" t="n">
        <f aca="false">BS99+BT86*BT97</f>
        <v>105</v>
      </c>
      <c r="BU99" s="21" t="n">
        <f aca="false">BT99+BU86*BU97</f>
        <v>157.5</v>
      </c>
      <c r="BV99" s="15"/>
    </row>
    <row r="100" customFormat="false" ht="15" hidden="false" customHeight="false" outlineLevel="0" collapsed="false">
      <c r="B100" s="13" t="s">
        <v>241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36"/>
      <c r="BP100" s="36"/>
      <c r="BQ100" s="39" t="n">
        <v>0</v>
      </c>
      <c r="BR100" s="21" t="n">
        <f aca="false">IFERROR((BQ99+BR86*BR97*0.5)/BR98,0)</f>
        <v>0</v>
      </c>
      <c r="BS100" s="21" t="n">
        <f aca="false">IFERROR((BR99+BS86*BS97*0.5)/BS98,0)</f>
        <v>2.1875</v>
      </c>
      <c r="BT100" s="21" t="n">
        <f aca="false">IFERROR((BS99+BT86*BT97*0.5)/BT98,0)</f>
        <v>6.5625</v>
      </c>
      <c r="BU100" s="21" t="n">
        <f aca="false">IFERROR((BT99+BU86*BU97*0.5)/BU98,0)</f>
        <v>10.9375</v>
      </c>
      <c r="BV100" s="15"/>
    </row>
    <row r="101" customFormat="false" ht="15" hidden="false" customHeight="false" outlineLevel="0" collapsed="false">
      <c r="B101" s="13"/>
      <c r="BO101" s="14"/>
      <c r="BP101" s="14"/>
      <c r="BQ101" s="14"/>
      <c r="BR101" s="14"/>
      <c r="BS101" s="14"/>
      <c r="BT101" s="14"/>
      <c r="BU101" s="14"/>
      <c r="BV101" s="15"/>
    </row>
    <row r="102" customFormat="false" ht="15" hidden="false" customHeight="false" outlineLevel="0" collapsed="false">
      <c r="B102" s="16" t="s">
        <v>242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7" t="s">
        <v>243</v>
      </c>
    </row>
    <row r="103" customFormat="false" ht="15" hidden="false" customHeight="false" outlineLevel="0" collapsed="false">
      <c r="B103" s="60" t="s">
        <v>244</v>
      </c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2" t="n">
        <f aca="false">IF(ISNUMBER(AM15),AM15+AM39+N(AM71),"")</f>
        <v>2123.516</v>
      </c>
      <c r="AN103" s="62" t="n">
        <f aca="false">IF(ISNUMBER(AN15),AN15+AN39+N(AN71),"")</f>
        <v>528.273</v>
      </c>
      <c r="AO103" s="62" t="n">
        <f aca="false">IF(ISNUMBER(AO15),AO15+AO39+N(AO71),"")</f>
        <v>505.099</v>
      </c>
      <c r="AP103" s="62" t="n">
        <f aca="false">IF(ISNUMBER(AP15),AP15+AP39+N(AP71),"")</f>
        <v>498.727</v>
      </c>
      <c r="AQ103" s="62" t="n">
        <f aca="false">IF(ISNUMBER(AQ15),AQ15+AQ39+N(AQ71),"")</f>
        <v>591.975</v>
      </c>
      <c r="AR103" s="62" t="n">
        <f aca="false">IF(ISNUMBER(AR15),AR15+AR39+N(AR71),"")</f>
        <v>2124.074</v>
      </c>
      <c r="AS103" s="62" t="n">
        <f aca="false">IF(ISNUMBER(AS15),AS15+AS39+N(AS71),"")</f>
        <v>530.738</v>
      </c>
      <c r="AT103" s="62" t="n">
        <f aca="false">IF(ISNUMBER(AT15),AT15+AT39+N(AT71),"")</f>
        <v>554.208</v>
      </c>
      <c r="AU103" s="62" t="n">
        <f aca="false">IF(ISNUMBER(AU15),AU15+AU39+N(AU71),"")</f>
        <v>523.711</v>
      </c>
      <c r="AV103" s="62" t="n">
        <f aca="false">IF(ISNUMBER(AV15),AV15+AV39+N(AV71),"")</f>
        <v>624.177</v>
      </c>
      <c r="AW103" s="62" t="n">
        <f aca="false">IF(ISNUMBER(AW15),AW15+AW39+N(AW71),"")</f>
        <v>2232.834</v>
      </c>
      <c r="AX103" s="62" t="n">
        <f aca="false">IF(ISNUMBER(AX15),AX15+AX39+N(AX71),"")</f>
        <v>568.36</v>
      </c>
      <c r="AY103" s="62" t="n">
        <f aca="false">IF(ISNUMBER(AY15),AY15+AY39+N(AY71),"")</f>
        <v>612.445</v>
      </c>
      <c r="AZ103" s="62" t="n">
        <f aca="false">IF(ISNUMBER(AZ15),AZ15+AZ39+N(AZ71),"")</f>
        <v>589.989</v>
      </c>
      <c r="BA103" s="62" t="n">
        <f aca="false">IF(ISNUMBER(BA15),BA15+BA39+N(BA71),"")</f>
        <v>725.515</v>
      </c>
      <c r="BB103" s="62" t="n">
        <f aca="false">IF(ISNUMBER(BB15),BB15+BB39+N(BB71),"")</f>
        <v>2496.309</v>
      </c>
      <c r="BC103" s="62" t="n">
        <f aca="false">IF(ISNUMBER(BC15),BC15+BC39+N(BC71),"")</f>
        <v>603.966</v>
      </c>
      <c r="BD103" s="62" t="n">
        <f aca="false">IF(ISNUMBER(BD15),BD15+BD39+N(BD71),"")</f>
        <v>681.465</v>
      </c>
      <c r="BE103" s="62" t="n">
        <f aca="false">IF(ISNUMBER(BE15),BE15+BE39+N(BE71),"")</f>
        <v>671.956</v>
      </c>
      <c r="BF103" s="62" t="n">
        <f aca="false">IF(ISNUMBER(BF15),BF15+BF39+N(BF71),"")</f>
        <v>746.266</v>
      </c>
      <c r="BG103" s="62" t="n">
        <f aca="false">IF(ISNUMBER(BG15),BG15+BG39+N(BG71),"")</f>
        <v>2703.654</v>
      </c>
      <c r="BH103" s="62" t="n">
        <f aca="false">IF(ISNUMBER(BH15),BH15+BH39+N(BH71),"")</f>
        <v>682.258</v>
      </c>
      <c r="BI103" s="62" t="n">
        <f aca="false">IF(ISNUMBER(BI15),BI15+BI39+N(BI71),"")</f>
        <v>764.039</v>
      </c>
      <c r="BJ103" s="62" t="n">
        <f aca="false">IF(ISNUMBER(BJ15),BJ15+BJ39+N(BJ71),"")</f>
        <v>866.286</v>
      </c>
      <c r="BK103" s="62" t="n">
        <f aca="false">IF(ISNUMBER(BK15),BK15+BK39+N(BK71),"")</f>
        <v>885.842</v>
      </c>
      <c r="BL103" s="62" t="n">
        <f aca="false">IF(ISNUMBER(BL15),BL15+BL39+N(BL71),"")</f>
        <v>3198.425</v>
      </c>
      <c r="BM103" s="62" t="n">
        <f aca="false">IF(ISNUMBER(BM15),BM15+BM39+N(BM71),"")</f>
        <v>860.217</v>
      </c>
      <c r="BN103" s="62" t="n">
        <f aca="false">IF(ISNUMBER(BN15),BN15+BN39+N(BN71),"")</f>
        <v>901.625</v>
      </c>
      <c r="BO103" s="62" t="n">
        <f aca="false">BO15+BO39+BO71</f>
        <v>1002.64018367641</v>
      </c>
      <c r="BP103" s="62" t="n">
        <f aca="false">BP15+BP39+BP71</f>
        <v>1035.51781632359</v>
      </c>
      <c r="BQ103" s="62" t="n">
        <f aca="false">BQ15+BQ39+BQ71+N(BQ91)</f>
        <v>3800</v>
      </c>
      <c r="BR103" s="62" t="n">
        <f aca="false">BR15+BR39+BR71+BR91</f>
        <v>4163.19293675605</v>
      </c>
      <c r="BS103" s="62" t="n">
        <f aca="false">BS15+BS39+BS71+BS91</f>
        <v>4582.87937392749</v>
      </c>
      <c r="BT103" s="62" t="n">
        <f aca="false">BT15+BT39+BT71+BT91</f>
        <v>5083.58749984571</v>
      </c>
      <c r="BU103" s="62" t="n">
        <f aca="false">BU15+BU39+BU71+BU91</f>
        <v>5615.82229200984</v>
      </c>
      <c r="BV103" s="15"/>
      <c r="BX103" s="25" t="n">
        <f aca="false">IFERROR((BU103/BL103)^(1/5)-1,"n/m")</f>
        <v>0.119168394255038</v>
      </c>
      <c r="BY103" s="25" t="n">
        <f aca="false">IFERROR((BL103/AM103)^(1/5)-1,"n/m")</f>
        <v>0.0853657849177651</v>
      </c>
      <c r="BZ103" s="25" t="str">
        <f aca="false">IFERROR((BL103/N103)^(1/10)-1,"n/m")</f>
        <v>n/m</v>
      </c>
      <c r="CA103" s="25" t="str">
        <f aca="false">IFERROR((BL103/D103)^(1/12)-1,"n/m")</f>
        <v>n/m</v>
      </c>
    </row>
    <row r="104" customFormat="false" ht="15" hidden="false" customHeight="false" outlineLevel="0" collapsed="false">
      <c r="B104" s="60" t="s">
        <v>245</v>
      </c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2" t="n">
        <f aca="false">IF(ISNUMBER(AM24),AM24+AM55+AM74,"")</f>
        <v>366.328</v>
      </c>
      <c r="AN104" s="62" t="n">
        <f aca="false">IF(ISNUMBER(AN24),AN24+AN55+AN74,"")</f>
        <v>82.414</v>
      </c>
      <c r="AO104" s="62" t="n">
        <f aca="false">IF(ISNUMBER(AO24),AO24+AO55+AO74,"")</f>
        <v>73.751</v>
      </c>
      <c r="AP104" s="62" t="n">
        <f aca="false">IF(ISNUMBER(AP24),AP24+AP55+AP74,"")</f>
        <v>88.252</v>
      </c>
      <c r="AQ104" s="62" t="n">
        <f aca="false">IF(ISNUMBER(AQ24),AQ24+AQ55+AQ74,"")</f>
        <v>104.605</v>
      </c>
      <c r="AR104" s="62" t="n">
        <f aca="false">IF(ISNUMBER(AR24),AR24+AR55+AR74,"")</f>
        <v>348.922</v>
      </c>
      <c r="AS104" s="62" t="n">
        <f aca="false">IF(ISNUMBER(AS24),AS24+AS55+AS74,"")</f>
        <v>76.873</v>
      </c>
      <c r="AT104" s="62" t="n">
        <f aca="false">IF(ISNUMBER(AT24),AT24+AT55+AT74,"")</f>
        <v>96.037</v>
      </c>
      <c r="AU104" s="62" t="n">
        <f aca="false">IF(ISNUMBER(AU24),AU24+AU55+AU74,"")</f>
        <v>81.578</v>
      </c>
      <c r="AV104" s="62" t="n">
        <f aca="false">IF(ISNUMBER(AV24),AV24+AV55+AV74,"")</f>
        <v>111.083</v>
      </c>
      <c r="AW104" s="62" t="n">
        <f aca="false">IF(ISNUMBER(AW24),AW24+AW55+AW74,"")</f>
        <v>365.571</v>
      </c>
      <c r="AX104" s="62" t="n">
        <f aca="false">IF(ISNUMBER(AX24),AX24+AX55+AX74,"")</f>
        <v>91.642</v>
      </c>
      <c r="AY104" s="62" t="n">
        <f aca="false">IF(ISNUMBER(AY24),AY24+AY55+AY74,"")</f>
        <v>87.766</v>
      </c>
      <c r="AZ104" s="62" t="n">
        <f aca="false">IF(ISNUMBER(AZ24),AZ24+AZ55+AZ74,"")</f>
        <v>86.758</v>
      </c>
      <c r="BA104" s="62" t="n">
        <f aca="false">IF(ISNUMBER(BA24),BA24+BA55+BA74,"")</f>
        <v>127.293</v>
      </c>
      <c r="BB104" s="62" t="n">
        <f aca="false">IF(ISNUMBER(BB24),BB24+BB55+BB74,"")</f>
        <v>393.359</v>
      </c>
      <c r="BC104" s="62" t="n">
        <f aca="false">IF(ISNUMBER(BC24),BC24+BC55+BC74,"")</f>
        <v>94.561</v>
      </c>
      <c r="BD104" s="62" t="n">
        <f aca="false">IF(ISNUMBER(BD24),BD24+BD55+BD74,"")</f>
        <v>104.606</v>
      </c>
      <c r="BE104" s="62" t="n">
        <f aca="false">IF(ISNUMBER(BE24),BE24+BE55+BE74,"")</f>
        <v>105.778</v>
      </c>
      <c r="BF104" s="62" t="n">
        <f aca="false">IF(ISNUMBER(BF24),BF24+BF55+BF74,"")</f>
        <v>107.761</v>
      </c>
      <c r="BG104" s="62" t="n">
        <f aca="false">IF(ISNUMBER(BG24),BG24+BG55+BG74,"")</f>
        <v>412.807</v>
      </c>
      <c r="BH104" s="62" t="n">
        <f aca="false">IF(ISNUMBER(BH24),BH24+BH55+BH74,"")</f>
        <v>107.63</v>
      </c>
      <c r="BI104" s="62" t="n">
        <f aca="false">IF(ISNUMBER(BI24),BI24+BI55+BI74,"")</f>
        <v>121.224</v>
      </c>
      <c r="BJ104" s="62" t="n">
        <f aca="false">IF(ISNUMBER(BJ24),BJ24+BJ55+BJ74,"")</f>
        <v>125.849</v>
      </c>
      <c r="BK104" s="62" t="n">
        <f aca="false">IF(ISNUMBER(BK24),BK24+BK55+BK74,"")</f>
        <v>121.157</v>
      </c>
      <c r="BL104" s="62" t="n">
        <f aca="false">IF(ISNUMBER(BL24),BL24+BL55+BL74,"")</f>
        <v>475.659</v>
      </c>
      <c r="BM104" s="62" t="n">
        <f aca="false">IF(ISNUMBER(BM24),BM24+BM55+BM74,"")</f>
        <v>121.491</v>
      </c>
      <c r="BN104" s="62" t="n">
        <f aca="false">IF(ISNUMBER(BN24),BN24+BN55+BN74,"")</f>
        <v>126.636</v>
      </c>
      <c r="BO104" s="62" t="n">
        <f aca="false">BO24+BO55+BO74</f>
        <v>148.635029018119</v>
      </c>
      <c r="BP104" s="62" t="n">
        <f aca="false">BP24+BP55+BP74</f>
        <v>152.358470960092</v>
      </c>
      <c r="BQ104" s="62" t="n">
        <f aca="false">BQ24+BQ55+BQ74+N(BQ93)</f>
        <v>549.120499978211</v>
      </c>
      <c r="BR104" s="62" t="n">
        <f aca="false">BR24+BR55+BR74+BR93</f>
        <v>609.558555220595</v>
      </c>
      <c r="BS104" s="62" t="n">
        <f aca="false">BS24+BS55+BS74+BS93</f>
        <v>685.382965346747</v>
      </c>
      <c r="BT104" s="62" t="n">
        <f aca="false">BT24+BT55+BT74+BT93</f>
        <v>773.410699547293</v>
      </c>
      <c r="BU104" s="62" t="n">
        <f aca="false">BU24+BU55+BU74+BU93</f>
        <v>861.250476276937</v>
      </c>
      <c r="BV104" s="15"/>
      <c r="BX104" s="25" t="n">
        <f aca="false">IFERROR((BU104/BL104)^(1/5)-1,"n/m")</f>
        <v>0.126073533758563</v>
      </c>
      <c r="BY104" s="25" t="n">
        <f aca="false">IFERROR((BL104/AM104)^(1/5)-1,"n/m")</f>
        <v>0.0536227046450299</v>
      </c>
      <c r="BZ104" s="25" t="str">
        <f aca="false">IFERROR((BL104/N104)^(1/10)-1,"n/m")</f>
        <v>n/m</v>
      </c>
      <c r="CA104" s="25" t="str">
        <f aca="false">IFERROR((BL104/D104)^(1/12)-1,"n/m")</f>
        <v>n/m</v>
      </c>
    </row>
    <row r="105" customFormat="false" ht="15" hidden="false" customHeight="false" outlineLevel="0" collapsed="false">
      <c r="B105" s="13" t="s">
        <v>246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20" t="n">
        <f aca="false">IF(ISNUMBER(AM23),AM23+AM54+AM73,"")</f>
        <v>7.77600000000002</v>
      </c>
      <c r="AN105" s="20" t="n">
        <f aca="false">IF(ISNUMBER(AN23),AN23+AN54+AN73,"")</f>
        <v>0</v>
      </c>
      <c r="AO105" s="20" t="n">
        <f aca="false">IF(ISNUMBER(AO23),AO23+AO54+AO73,"")</f>
        <v>0</v>
      </c>
      <c r="AP105" s="20" t="n">
        <f aca="false">IF(ISNUMBER(AP23),AP23+AP54+AP73,"")</f>
        <v>0.783999999999992</v>
      </c>
      <c r="AQ105" s="20" t="n">
        <f aca="false">IF(ISNUMBER(AQ23),AQ23+AQ54+AQ73,"")</f>
        <v>2.39</v>
      </c>
      <c r="AR105" s="20" t="n">
        <f aca="false">IF(ISNUMBER(AR23),AR23+AR54+AR73,"")</f>
        <v>3.07400000000002</v>
      </c>
      <c r="AS105" s="20" t="n">
        <f aca="false">IF(ISNUMBER(AS23),AS23+AS54+AS73,"")</f>
        <v>5.30000000000001</v>
      </c>
      <c r="AT105" s="20" t="n">
        <f aca="false">IF(ISNUMBER(AT23),AT23+AT54+AT73,"")</f>
        <v>0.799999999999999</v>
      </c>
      <c r="AU105" s="20" t="n">
        <f aca="false">IF(ISNUMBER(AU23),AU23+AU54+AU73,"")</f>
        <v>1.7</v>
      </c>
      <c r="AV105" s="20" t="n">
        <f aca="false">IF(ISNUMBER(AV23),AV23+AV54+AV73,"")</f>
        <v>9.20000000000001</v>
      </c>
      <c r="AW105" s="20" t="n">
        <f aca="false">IF(ISNUMBER(AW23),AW23+AW54+AW73,"")</f>
        <v>17</v>
      </c>
      <c r="AX105" s="20" t="n">
        <f aca="false">IF(ISNUMBER(AX23),AX23+AX54+AX73,"")</f>
        <v>3.8</v>
      </c>
      <c r="AY105" s="20" t="n">
        <f aca="false">IF(ISNUMBER(AY23),AY23+AY54+AY73,"")</f>
        <v>1.1</v>
      </c>
      <c r="AZ105" s="20" t="n">
        <f aca="false">IF(ISNUMBER(AZ23),AZ23+AZ54+AZ73,"")</f>
        <v>1.4</v>
      </c>
      <c r="BA105" s="20" t="n">
        <f aca="false">IF(ISNUMBER(BA23),BA23+BA54+BA73,"")</f>
        <v>4.10000000000001</v>
      </c>
      <c r="BB105" s="20" t="n">
        <f aca="false">IF(ISNUMBER(BB23),BB23+BB54+BB73,"")</f>
        <v>10.3</v>
      </c>
      <c r="BC105" s="20" t="n">
        <f aca="false">IF(ISNUMBER(BC23),BC23+BC54+BC73,"")</f>
        <v>1.6</v>
      </c>
      <c r="BD105" s="20" t="n">
        <f aca="false">IF(ISNUMBER(BD23),BD23+BD54+BD73,"")</f>
        <v>5.8</v>
      </c>
      <c r="BE105" s="20" t="n">
        <f aca="false">IF(ISNUMBER(BE23),BE23+BE54+BE73,"")</f>
        <v>9.20000000000001</v>
      </c>
      <c r="BF105" s="20" t="n">
        <f aca="false">IF(ISNUMBER(BF23),BF23+BF54+BF73,"")</f>
        <v>15.5</v>
      </c>
      <c r="BG105" s="20" t="n">
        <f aca="false">IF(ISNUMBER(BG23),BG23+BG54+BG73,"")</f>
        <v>32.2</v>
      </c>
      <c r="BH105" s="20" t="n">
        <f aca="false">IF(ISNUMBER(BH23),BH23+BH54+BH73,"")</f>
        <v>11</v>
      </c>
      <c r="BI105" s="20" t="n">
        <f aca="false">IF(ISNUMBER(BI23),BI23+BI54+BI73,"")</f>
        <v>18.8</v>
      </c>
      <c r="BJ105" s="20" t="n">
        <f aca="false">IF(ISNUMBER(BJ23),BJ23+BJ54+BJ73,"")</f>
        <v>12.5</v>
      </c>
      <c r="BK105" s="20" t="n">
        <f aca="false">IF(ISNUMBER(BK23),BK23+BK54+BK73,"")</f>
        <v>29.1</v>
      </c>
      <c r="BL105" s="20" t="n">
        <f aca="false">IF(ISNUMBER(BL23),BL23+BL54+BL73,"")</f>
        <v>71.2</v>
      </c>
      <c r="BM105" s="20" t="n">
        <f aca="false">IF(ISNUMBER(BM23),BM23+BM54+BM73,"")</f>
        <v>14.8</v>
      </c>
      <c r="BN105" s="20" t="n">
        <f aca="false">IF(ISNUMBER(BN23),BN23+BN54+BN73,"")</f>
        <v>12.5</v>
      </c>
      <c r="BO105" s="21" t="n">
        <f aca="false">BO23+BO54+BO73</f>
        <v>15.55</v>
      </c>
      <c r="BP105" s="21" t="n">
        <f aca="false">BP23+BP54+BP73</f>
        <v>15.55</v>
      </c>
      <c r="BQ105" s="21" t="n">
        <f aca="false">BQ23+BQ54+BQ73</f>
        <v>58.4</v>
      </c>
      <c r="BR105" s="21" t="n">
        <f aca="false">BR23+BR54+BR73+BR100</f>
        <v>44</v>
      </c>
      <c r="BS105" s="21" t="n">
        <f aca="false">BS23+BS54+BS73+BS100</f>
        <v>36.1875</v>
      </c>
      <c r="BT105" s="21" t="n">
        <f aca="false">BT23+BT54+BT73+BT100</f>
        <v>35.5625</v>
      </c>
      <c r="BU105" s="21" t="n">
        <f aca="false">BU23+BU54+BU73+BU100</f>
        <v>39.9375</v>
      </c>
      <c r="BV105" s="15"/>
    </row>
    <row r="106" customFormat="false" ht="15" hidden="false" customHeight="false" outlineLevel="0" collapsed="false">
      <c r="B106" s="30" t="s">
        <v>247</v>
      </c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49" t="n">
        <f aca="false">IF(ISNUMBER(AM104),AM104-AM105,"")</f>
        <v>358.552</v>
      </c>
      <c r="AN106" s="49" t="n">
        <f aca="false">IF(ISNUMBER(AN104),AN104-AN105,"")</f>
        <v>82.414</v>
      </c>
      <c r="AO106" s="49" t="n">
        <f aca="false">IF(ISNUMBER(AO104),AO104-AO105,"")</f>
        <v>73.751</v>
      </c>
      <c r="AP106" s="49" t="n">
        <f aca="false">IF(ISNUMBER(AP104),AP104-AP105,"")</f>
        <v>87.468</v>
      </c>
      <c r="AQ106" s="49" t="n">
        <f aca="false">IF(ISNUMBER(AQ104),AQ104-AQ105,"")</f>
        <v>102.215</v>
      </c>
      <c r="AR106" s="49" t="n">
        <f aca="false">IF(ISNUMBER(AR104),AR104-AR105,"")</f>
        <v>345.848</v>
      </c>
      <c r="AS106" s="49" t="n">
        <f aca="false">IF(ISNUMBER(AS104),AS104-AS105,"")</f>
        <v>71.573</v>
      </c>
      <c r="AT106" s="49" t="n">
        <f aca="false">IF(ISNUMBER(AT104),AT104-AT105,"")</f>
        <v>95.237</v>
      </c>
      <c r="AU106" s="49" t="n">
        <f aca="false">IF(ISNUMBER(AU104),AU104-AU105,"")</f>
        <v>79.878</v>
      </c>
      <c r="AV106" s="49" t="n">
        <f aca="false">IF(ISNUMBER(AV104),AV104-AV105,"")</f>
        <v>101.883</v>
      </c>
      <c r="AW106" s="49" t="n">
        <f aca="false">IF(ISNUMBER(AW104),AW104-AW105,"")</f>
        <v>348.571</v>
      </c>
      <c r="AX106" s="49" t="n">
        <f aca="false">IF(ISNUMBER(AX104),AX104-AX105,"")</f>
        <v>87.842</v>
      </c>
      <c r="AY106" s="49" t="n">
        <f aca="false">IF(ISNUMBER(AY104),AY104-AY105,"")</f>
        <v>86.666</v>
      </c>
      <c r="AZ106" s="49" t="n">
        <f aca="false">IF(ISNUMBER(AZ104),AZ104-AZ105,"")</f>
        <v>85.358</v>
      </c>
      <c r="BA106" s="49" t="n">
        <f aca="false">IF(ISNUMBER(BA104),BA104-BA105,"")</f>
        <v>123.193</v>
      </c>
      <c r="BB106" s="49" t="n">
        <f aca="false">IF(ISNUMBER(BB104),BB104-BB105,"")</f>
        <v>383.059</v>
      </c>
      <c r="BC106" s="49" t="n">
        <f aca="false">IF(ISNUMBER(BC104),BC104-BC105,"")</f>
        <v>92.961</v>
      </c>
      <c r="BD106" s="49" t="n">
        <f aca="false">IF(ISNUMBER(BD104),BD104-BD105,"")</f>
        <v>98.806</v>
      </c>
      <c r="BE106" s="49" t="n">
        <f aca="false">IF(ISNUMBER(BE104),BE104-BE105,"")</f>
        <v>96.578</v>
      </c>
      <c r="BF106" s="49" t="n">
        <f aca="false">IF(ISNUMBER(BF104),BF104-BF105,"")</f>
        <v>92.261</v>
      </c>
      <c r="BG106" s="49" t="n">
        <f aca="false">IF(ISNUMBER(BG104),BG104-BG105,"")</f>
        <v>380.607</v>
      </c>
      <c r="BH106" s="49" t="n">
        <f aca="false">IF(ISNUMBER(BH104),BH104-BH105,"")</f>
        <v>96.63</v>
      </c>
      <c r="BI106" s="49" t="n">
        <f aca="false">IF(ISNUMBER(BI104),BI104-BI105,"")</f>
        <v>102.424</v>
      </c>
      <c r="BJ106" s="49" t="n">
        <f aca="false">IF(ISNUMBER(BJ104),BJ104-BJ105,"")</f>
        <v>113.349</v>
      </c>
      <c r="BK106" s="49" t="n">
        <f aca="false">IF(ISNUMBER(BK104),BK104-BK105,"")</f>
        <v>92.057</v>
      </c>
      <c r="BL106" s="49" t="n">
        <f aca="false">IF(ISNUMBER(BL104),BL104-BL105,"")</f>
        <v>404.459</v>
      </c>
      <c r="BM106" s="49" t="n">
        <f aca="false">IF(ISNUMBER(BM104),BM104-BM105,"")</f>
        <v>106.691</v>
      </c>
      <c r="BN106" s="49" t="n">
        <f aca="false">IF(ISNUMBER(BN104),BN104-BN105,"")</f>
        <v>114.136</v>
      </c>
      <c r="BO106" s="33" t="n">
        <f aca="false">BO104-BO105</f>
        <v>133.085029018119</v>
      </c>
      <c r="BP106" s="33" t="n">
        <f aca="false">BP104-BP105</f>
        <v>136.808470960092</v>
      </c>
      <c r="BQ106" s="33" t="n">
        <f aca="false">BQ104-BQ105+N(BQ83)</f>
        <v>490.720499978211</v>
      </c>
      <c r="BR106" s="33" t="n">
        <f aca="false">BR104-BR105+BR83</f>
        <v>1153.0585552206</v>
      </c>
      <c r="BS106" s="33" t="n">
        <f aca="false">BS104-BS105+BS83</f>
        <v>649.195465346747</v>
      </c>
      <c r="BT106" s="33" t="n">
        <f aca="false">BT104-BT105+BT83</f>
        <v>737.848199547293</v>
      </c>
      <c r="BU106" s="33" t="n">
        <f aca="false">BU104-BU105+BU83</f>
        <v>821.312976276937</v>
      </c>
      <c r="BV106" s="15"/>
    </row>
    <row r="107" customFormat="false" ht="15" hidden="false" customHeight="false" outlineLevel="0" collapsed="false">
      <c r="B107" s="13" t="s">
        <v>248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20" t="n">
        <f aca="false">IF(ISNUMBER(AM28),AM28+AM60+AM76,"")</f>
        <v>60.674</v>
      </c>
      <c r="AN107" s="20" t="n">
        <f aca="false">IF(ISNUMBER(AN28),AN28+AN60+AN76,"")</f>
        <v>15.897</v>
      </c>
      <c r="AO107" s="20" t="n">
        <f aca="false">IF(ISNUMBER(AO28),AO28+AO60+AO76,"")</f>
        <v>17.095</v>
      </c>
      <c r="AP107" s="20" t="n">
        <f aca="false">IF(ISNUMBER(AP28),AP28+AP60+AP76,"")</f>
        <v>17.484</v>
      </c>
      <c r="AQ107" s="20" t="n">
        <f aca="false">IF(ISNUMBER(AQ28),AQ28+AQ60+AQ76,"")</f>
        <v>18.604</v>
      </c>
      <c r="AR107" s="20" t="n">
        <f aca="false">IF(ISNUMBER(AR28),AR28+AR60+AR76,"")</f>
        <v>69.08</v>
      </c>
      <c r="AS107" s="20" t="n">
        <f aca="false">IF(ISNUMBER(AS28),AS28+AS60+AS76,"")</f>
        <v>17.62</v>
      </c>
      <c r="AT107" s="20" t="n">
        <f aca="false">IF(ISNUMBER(AT28),AT28+AT60+AT76,"")</f>
        <v>18.596</v>
      </c>
      <c r="AU107" s="20" t="n">
        <f aca="false">IF(ISNUMBER(AU28),AU28+AU60+AU76,"")</f>
        <v>18.592</v>
      </c>
      <c r="AV107" s="20" t="n">
        <f aca="false">IF(ISNUMBER(AV28),AV28+AV60+AV76,"")</f>
        <v>19.034</v>
      </c>
      <c r="AW107" s="20" t="n">
        <f aca="false">IF(ISNUMBER(AW28),AW28+AW60+AW76,"")</f>
        <v>73.842</v>
      </c>
      <c r="AX107" s="20" t="n">
        <f aca="false">IF(ISNUMBER(AX28),AX28+AX60+AX76,"")</f>
        <v>19.02</v>
      </c>
      <c r="AY107" s="20" t="n">
        <f aca="false">IF(ISNUMBER(AY28),AY28+AY60+AY76,"")</f>
        <v>19.384</v>
      </c>
      <c r="AZ107" s="20" t="n">
        <f aca="false">IF(ISNUMBER(AZ28),AZ28+AZ60+AZ76,"")</f>
        <v>19.801</v>
      </c>
      <c r="BA107" s="20" t="n">
        <f aca="false">IF(ISNUMBER(BA28),BA28+BA60+BA76,"")</f>
        <v>20.361</v>
      </c>
      <c r="BB107" s="20" t="n">
        <f aca="false">IF(ISNUMBER(BB28),BB28+BB60+BB76,"")</f>
        <v>78.566</v>
      </c>
      <c r="BC107" s="20" t="n">
        <f aca="false">IF(ISNUMBER(BC28),BC28+BC60+BC76,"")</f>
        <v>20.552</v>
      </c>
      <c r="BD107" s="20" t="n">
        <f aca="false">IF(ISNUMBER(BD28),BD28+BD60+BD76,"")</f>
        <v>21.609</v>
      </c>
      <c r="BE107" s="20" t="n">
        <f aca="false">IF(ISNUMBER(BE28),BE28+BE60+BE76,"")</f>
        <v>21.269</v>
      </c>
      <c r="BF107" s="20" t="n">
        <f aca="false">IF(ISNUMBER(BF28),BF28+BF60+BF76,"")</f>
        <v>22.433</v>
      </c>
      <c r="BG107" s="20" t="n">
        <f aca="false">IF(ISNUMBER(BG28),BG28+BG60+BG76,"")</f>
        <v>85.862</v>
      </c>
      <c r="BH107" s="20" t="n">
        <f aca="false">IF(ISNUMBER(BH28),BH28+BH60+BH76,"")</f>
        <v>22.112</v>
      </c>
      <c r="BI107" s="20" t="n">
        <f aca="false">IF(ISNUMBER(BI28),BI28+BI60+BI76,"")</f>
        <v>24.759</v>
      </c>
      <c r="BJ107" s="20" t="n">
        <f aca="false">IF(ISNUMBER(BJ28),BJ28+BJ60+BJ76,"")</f>
        <v>25.158</v>
      </c>
      <c r="BK107" s="20" t="n">
        <f aca="false">IF(ISNUMBER(BK28),BK28+BK60+BK76,"")</f>
        <v>26.556</v>
      </c>
      <c r="BL107" s="20" t="n">
        <f aca="false">IF(ISNUMBER(BL28),BL28+BL60+BL76,"")</f>
        <v>98.586</v>
      </c>
      <c r="BM107" s="20" t="n">
        <f aca="false">IF(ISNUMBER(BM28),BM28+BM60+BM76,"")</f>
        <v>26.513</v>
      </c>
      <c r="BN107" s="20" t="n">
        <f aca="false">IF(ISNUMBER(BN28),BN28+BN60+BN76,"")</f>
        <v>28.762</v>
      </c>
      <c r="BO107" s="21" t="n">
        <f aca="false">BO28+BO60+BO76</f>
        <v>30.9947150420619</v>
      </c>
      <c r="BP107" s="21" t="n">
        <f aca="false">BP28+BP60+BP76</f>
        <v>31.6097849797272</v>
      </c>
      <c r="BQ107" s="21" t="n">
        <f aca="false">BQ28+BQ60+BQ76+N(BQ95)</f>
        <v>117.879500021789</v>
      </c>
      <c r="BR107" s="21" t="n">
        <f aca="false">BR28+BR60+BR76+BR95</f>
        <v>144.780732092423</v>
      </c>
      <c r="BS107" s="21" t="n">
        <f aca="false">BS28+BS60+BS76+BS95</f>
        <v>162.839111536211</v>
      </c>
      <c r="BT107" s="21" t="n">
        <f aca="false">BT28+BT60+BT76+BT95</f>
        <v>184.000063046147</v>
      </c>
      <c r="BU107" s="21" t="n">
        <f aca="false">BU28+BU60+BU76+BU95</f>
        <v>201.666785074626</v>
      </c>
      <c r="BV107" s="15"/>
    </row>
    <row r="108" customFormat="false" ht="15" hidden="false" customHeight="false" outlineLevel="0" collapsed="false">
      <c r="B108" s="60" t="s">
        <v>249</v>
      </c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2" t="n">
        <f aca="false">IF(AND(ISNUMBER(AM104),ISNUMBER(AM107)),AM104+AM107,"")</f>
        <v>427.002</v>
      </c>
      <c r="AN108" s="62" t="n">
        <f aca="false">IF(AND(ISNUMBER(AN104),ISNUMBER(AN107)),AN104+AN107,"")</f>
        <v>98.311</v>
      </c>
      <c r="AO108" s="62" t="n">
        <f aca="false">IF(AND(ISNUMBER(AO104),ISNUMBER(AO107)),AO104+AO107,"")</f>
        <v>90.846</v>
      </c>
      <c r="AP108" s="62" t="n">
        <f aca="false">IF(AND(ISNUMBER(AP104),ISNUMBER(AP107)),AP104+AP107,"")</f>
        <v>105.736</v>
      </c>
      <c r="AQ108" s="62" t="n">
        <f aca="false">IF(AND(ISNUMBER(AQ104),ISNUMBER(AQ107)),AQ104+AQ107,"")</f>
        <v>123.209</v>
      </c>
      <c r="AR108" s="62" t="n">
        <f aca="false">IF(AND(ISNUMBER(AR104),ISNUMBER(AR107)),AR104+AR107,"")</f>
        <v>418.002</v>
      </c>
      <c r="AS108" s="62" t="n">
        <f aca="false">IF(AND(ISNUMBER(AS104),ISNUMBER(AS107)),AS104+AS107,"")</f>
        <v>94.493</v>
      </c>
      <c r="AT108" s="62" t="n">
        <f aca="false">IF(AND(ISNUMBER(AT104),ISNUMBER(AT107)),AT104+AT107,"")</f>
        <v>114.633</v>
      </c>
      <c r="AU108" s="62" t="n">
        <f aca="false">IF(AND(ISNUMBER(AU104),ISNUMBER(AU107)),AU104+AU107,"")</f>
        <v>100.17</v>
      </c>
      <c r="AV108" s="62" t="n">
        <f aca="false">IF(AND(ISNUMBER(AV104),ISNUMBER(AV107)),AV104+AV107,"")</f>
        <v>130.117</v>
      </c>
      <c r="AW108" s="62" t="n">
        <f aca="false">IF(AND(ISNUMBER(AW104),ISNUMBER(AW107)),AW104+AW107,"")</f>
        <v>439.413</v>
      </c>
      <c r="AX108" s="62" t="n">
        <f aca="false">IF(AND(ISNUMBER(AX104),ISNUMBER(AX107)),AX104+AX107,"")</f>
        <v>110.662</v>
      </c>
      <c r="AY108" s="62" t="n">
        <f aca="false">IF(AND(ISNUMBER(AY104),ISNUMBER(AY107)),AY104+AY107,"")</f>
        <v>107.15</v>
      </c>
      <c r="AZ108" s="62" t="n">
        <f aca="false">IF(AND(ISNUMBER(AZ104),ISNUMBER(AZ107)),AZ104+AZ107,"")</f>
        <v>106.559</v>
      </c>
      <c r="BA108" s="62" t="n">
        <f aca="false">IF(AND(ISNUMBER(BA104),ISNUMBER(BA107)),BA104+BA107,"")</f>
        <v>147.654</v>
      </c>
      <c r="BB108" s="62" t="n">
        <f aca="false">IF(AND(ISNUMBER(BB104),ISNUMBER(BB107)),BB104+BB107,"")</f>
        <v>471.925</v>
      </c>
      <c r="BC108" s="62" t="n">
        <f aca="false">IF(AND(ISNUMBER(BC104),ISNUMBER(BC107)),BC104+BC107,"")</f>
        <v>115.113</v>
      </c>
      <c r="BD108" s="62" t="n">
        <f aca="false">IF(AND(ISNUMBER(BD104),ISNUMBER(BD107)),BD104+BD107,"")</f>
        <v>126.215</v>
      </c>
      <c r="BE108" s="62" t="n">
        <f aca="false">IF(AND(ISNUMBER(BE104),ISNUMBER(BE107)),BE104+BE107,"")</f>
        <v>127.047</v>
      </c>
      <c r="BF108" s="62" t="n">
        <f aca="false">IF(AND(ISNUMBER(BF104),ISNUMBER(BF107)),BF104+BF107,"")</f>
        <v>130.194</v>
      </c>
      <c r="BG108" s="62" t="n">
        <f aca="false">IF(AND(ISNUMBER(BG104),ISNUMBER(BG107)),BG104+BG107,"")</f>
        <v>498.669</v>
      </c>
      <c r="BH108" s="62" t="n">
        <f aca="false">IF(AND(ISNUMBER(BH104),ISNUMBER(BH107)),BH104+BH107,"")</f>
        <v>129.742</v>
      </c>
      <c r="BI108" s="62" t="n">
        <f aca="false">IF(AND(ISNUMBER(BI104),ISNUMBER(BI107)),BI104+BI107,"")</f>
        <v>145.983</v>
      </c>
      <c r="BJ108" s="62" t="n">
        <f aca="false">IF(AND(ISNUMBER(BJ104),ISNUMBER(BJ107)),BJ104+BJ107,"")</f>
        <v>151.007</v>
      </c>
      <c r="BK108" s="62" t="n">
        <f aca="false">IF(AND(ISNUMBER(BK104),ISNUMBER(BK107)),BK104+BK107,"")</f>
        <v>147.713</v>
      </c>
      <c r="BL108" s="62" t="n">
        <f aca="false">IF(AND(ISNUMBER(BL104),ISNUMBER(BL107)),BL104+BL107,"")</f>
        <v>574.245</v>
      </c>
      <c r="BM108" s="62" t="n">
        <f aca="false">IF(AND(ISNUMBER(BM104),ISNUMBER(BM107)),BM104+BM107,"")</f>
        <v>148.004</v>
      </c>
      <c r="BN108" s="62" t="n">
        <f aca="false">IF(AND(ISNUMBER(BN104),ISNUMBER(BN107)),BN104+BN107,"")</f>
        <v>155.398</v>
      </c>
      <c r="BO108" s="62" t="n">
        <f aca="false">BO104+BO107</f>
        <v>179.629744060181</v>
      </c>
      <c r="BP108" s="62" t="n">
        <f aca="false">BP104+BP107</f>
        <v>183.968255939819</v>
      </c>
      <c r="BQ108" s="62" t="n">
        <f aca="false">BQ104+BQ107</f>
        <v>667</v>
      </c>
      <c r="BR108" s="62" t="n">
        <f aca="false">BR104+BR107</f>
        <v>754.339287313018</v>
      </c>
      <c r="BS108" s="62" t="n">
        <f aca="false">BS104+BS107</f>
        <v>848.222076882959</v>
      </c>
      <c r="BT108" s="62" t="n">
        <f aca="false">BT104+BT107</f>
        <v>957.41076259344</v>
      </c>
      <c r="BU108" s="62" t="n">
        <f aca="false">BU104+BU107</f>
        <v>1062.91726135156</v>
      </c>
      <c r="BV108" s="15"/>
      <c r="BX108" s="25" t="n">
        <f aca="false">IFERROR((BU108/BL108)^(1/5)-1,"n/m")</f>
        <v>0.131046466976548</v>
      </c>
      <c r="BY108" s="25" t="n">
        <f aca="false">IFERROR((BL108/AM108)^(1/5)-1,"n/m")</f>
        <v>0.0610441680797249</v>
      </c>
      <c r="BZ108" s="25" t="str">
        <f aca="false">IFERROR((BL108/N108)^(1/10)-1,"n/m")</f>
        <v>n/m</v>
      </c>
      <c r="CA108" s="25" t="str">
        <f aca="false">IFERROR((BL108/D108)^(1/12)-1,"n/m")</f>
        <v>n/m</v>
      </c>
    </row>
    <row r="109" customFormat="false" ht="15" hidden="false" customHeight="false" outlineLevel="0" collapsed="false">
      <c r="B109" s="13" t="s">
        <v>250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43" t="n">
        <f aca="false">IF(AND(ISNUMBER(AM108),ISNUMBER(AM103)),IFERROR(AM108/AM103,""),"")</f>
        <v>0.201082544233243</v>
      </c>
      <c r="AN109" s="43" t="n">
        <f aca="false">IF(AND(ISNUMBER(AN108),ISNUMBER(AN103)),IFERROR(AN108/AN103,""),"")</f>
        <v>0.18609885419092</v>
      </c>
      <c r="AO109" s="43" t="n">
        <f aca="false">IF(AND(ISNUMBER(AO108),ISNUMBER(AO103)),IFERROR(AO108/AO103,""),"")</f>
        <v>0.179857810053079</v>
      </c>
      <c r="AP109" s="43" t="n">
        <f aca="false">IF(AND(ISNUMBER(AP108),ISNUMBER(AP103)),IFERROR(AP108/AP103,""),"")</f>
        <v>0.212011781996964</v>
      </c>
      <c r="AQ109" s="43" t="n">
        <f aca="false">IF(AND(ISNUMBER(AQ108),ISNUMBER(AQ103)),IFERROR(AQ108/AQ103,""),"")</f>
        <v>0.208132100173149</v>
      </c>
      <c r="AR109" s="43" t="n">
        <f aca="false">IF(AND(ISNUMBER(AR108),ISNUMBER(AR103)),IFERROR(AR108/AR103,""),"")</f>
        <v>0.196792578789628</v>
      </c>
      <c r="AS109" s="43" t="n">
        <f aca="false">IF(AND(ISNUMBER(AS108),ISNUMBER(AS103)),IFERROR(AS108/AS103,""),"")</f>
        <v>0.178040765876949</v>
      </c>
      <c r="AT109" s="43" t="n">
        <f aca="false">IF(AND(ISNUMBER(AT108),ISNUMBER(AT103)),IFERROR(AT108/AT103,""),"")</f>
        <v>0.206841113805647</v>
      </c>
      <c r="AU109" s="43" t="n">
        <f aca="false">IF(AND(ISNUMBER(AU108),ISNUMBER(AU103)),IFERROR(AU108/AU103,""),"")</f>
        <v>0.191269612438921</v>
      </c>
      <c r="AV109" s="43" t="n">
        <f aca="false">IF(AND(ISNUMBER(AV108),ISNUMBER(AV103)),IFERROR(AV108/AV103,""),"")</f>
        <v>0.20846170236968</v>
      </c>
      <c r="AW109" s="43" t="n">
        <f aca="false">IF(AND(ISNUMBER(AW108),ISNUMBER(AW103)),IFERROR(AW108/AW103,""),"")</f>
        <v>0.196796089633175</v>
      </c>
      <c r="AX109" s="43" t="n">
        <f aca="false">IF(AND(ISNUMBER(AX108),ISNUMBER(AX103)),IFERROR(AX108/AX103,""),"")</f>
        <v>0.194704060806531</v>
      </c>
      <c r="AY109" s="43" t="n">
        <f aca="false">IF(AND(ISNUMBER(AY108),ISNUMBER(AY103)),IFERROR(AY108/AY103,""),"")</f>
        <v>0.174954485708921</v>
      </c>
      <c r="AZ109" s="43" t="n">
        <f aca="false">IF(AND(ISNUMBER(AZ108),ISNUMBER(AZ103)),IFERROR(AZ108/AZ103,""),"")</f>
        <v>0.180611841915697</v>
      </c>
      <c r="BA109" s="43" t="n">
        <f aca="false">IF(AND(ISNUMBER(BA108),ISNUMBER(BA103)),IFERROR(BA108/BA103,""),"")</f>
        <v>0.203516123029848</v>
      </c>
      <c r="BB109" s="43" t="n">
        <f aca="false">IF(AND(ISNUMBER(BB108),ISNUMBER(BB103)),IFERROR(BB108/BB103,""),"")</f>
        <v>0.189049112109118</v>
      </c>
      <c r="BC109" s="43" t="n">
        <f aca="false">IF(AND(ISNUMBER(BC108),ISNUMBER(BC103)),IFERROR(BC108/BC103,""),"")</f>
        <v>0.19059516595305</v>
      </c>
      <c r="BD109" s="43" t="n">
        <f aca="false">IF(AND(ISNUMBER(BD108),ISNUMBER(BD103)),IFERROR(BD108/BD103,""),"")</f>
        <v>0.18521127277263</v>
      </c>
      <c r="BE109" s="43" t="n">
        <f aca="false">IF(AND(ISNUMBER(BE108),ISNUMBER(BE103)),IFERROR(BE108/BE103,""),"")</f>
        <v>0.189070415324813</v>
      </c>
      <c r="BF109" s="43" t="n">
        <f aca="false">IF(AND(ISNUMBER(BF108),ISNUMBER(BF103)),IFERROR(BF108/BF103,""),"")</f>
        <v>0.174460581079669</v>
      </c>
      <c r="BG109" s="43" t="n">
        <f aca="false">IF(AND(ISNUMBER(BG108),ISNUMBER(BG103)),IFERROR(BG108/BG103,""),"")</f>
        <v>0.184442609890171</v>
      </c>
      <c r="BH109" s="43" t="n">
        <f aca="false">IF(AND(ISNUMBER(BH108),ISNUMBER(BH103)),IFERROR(BH108/BH103,""),"")</f>
        <v>0.19016559717878</v>
      </c>
      <c r="BI109" s="43" t="n">
        <f aca="false">IF(AND(ISNUMBER(BI108),ISNUMBER(BI103)),IFERROR(BI108/BI103,""),"")</f>
        <v>0.191067471686655</v>
      </c>
      <c r="BJ109" s="43" t="n">
        <f aca="false">IF(AND(ISNUMBER(BJ108),ISNUMBER(BJ103)),IFERROR(BJ108/BJ103,""),"")</f>
        <v>0.174315410845841</v>
      </c>
      <c r="BK109" s="43" t="n">
        <f aca="false">IF(AND(ISNUMBER(BK108),ISNUMBER(BK103)),IFERROR(BK108/BK103,""),"")</f>
        <v>0.166748697849052</v>
      </c>
      <c r="BL109" s="43" t="n">
        <f aca="false">IF(AND(ISNUMBER(BL108),ISNUMBER(BL103)),IFERROR(BL108/BL103,""),"")</f>
        <v>0.179539929809203</v>
      </c>
      <c r="BM109" s="43" t="n">
        <f aca="false">IF(AND(ISNUMBER(BM108),ISNUMBER(BM103)),IFERROR(BM108/BM103,""),"")</f>
        <v>0.172054260727235</v>
      </c>
      <c r="BN109" s="43" t="n">
        <f aca="false">IF(AND(ISNUMBER(BN108),ISNUMBER(BN103)),IFERROR(BN108/BN103,""),"")</f>
        <v>0.172353251074449</v>
      </c>
      <c r="BO109" s="35" t="n">
        <f aca="false">IF(AND(ISNUMBER(BO108),ISNUMBER(BO103)),IFERROR(BO108/BO103,""),"")</f>
        <v>0.179156737366667</v>
      </c>
      <c r="BP109" s="35" t="n">
        <f aca="false">IF(AND(ISNUMBER(BP108),ISNUMBER(BP103)),IFERROR(BP108/BP103,""),"")</f>
        <v>0.177658223779252</v>
      </c>
      <c r="BQ109" s="35" t="n">
        <f aca="false">IF(AND(ISNUMBER(BQ108),ISNUMBER(BQ103)),IFERROR(BQ108/BQ103,""),"")</f>
        <v>0.175526315789474</v>
      </c>
      <c r="BR109" s="35" t="n">
        <f aca="false">IF(AND(ISNUMBER(BR108),ISNUMBER(BR103)),IFERROR(BR108/BR103,""),"")</f>
        <v>0.181192488258975</v>
      </c>
      <c r="BS109" s="35" t="n">
        <f aca="false">IF(AND(ISNUMBER(BS108),ISNUMBER(BS103)),IFERROR(BS108/BS103,""),"")</f>
        <v>0.185084966824261</v>
      </c>
      <c r="BT109" s="35" t="n">
        <f aca="false">IF(AND(ISNUMBER(BT108),ISNUMBER(BT103)),IFERROR(BT108/BT103,""),"")</f>
        <v>0.188333684159562</v>
      </c>
      <c r="BU109" s="35" t="n">
        <f aca="false">IF(AND(ISNUMBER(BU108),ISNUMBER(BU103)),IFERROR(BU108/BU103,""),"")</f>
        <v>0.189271883275914</v>
      </c>
      <c r="BV109" s="15"/>
      <c r="BX109" s="38" t="n">
        <f aca="false">IFERROR(AVERAGE(BQ109,BR109,BS109,BT109,BU109),"n/m")</f>
        <v>0.183881867661637</v>
      </c>
      <c r="BY109" s="38" t="n">
        <f aca="false">IFERROR(AVERAGE(AR109,AW109,BB109,BG109,BL109),"n/m")</f>
        <v>0.189324064046259</v>
      </c>
      <c r="BZ109" s="38" t="n">
        <f aca="false">IFERROR(AVERAGE(S109,X109,AC109,AH109,AM109,AR109,AW109,BB109,BG109,BL109),"n/m")</f>
        <v>0.19128381074409</v>
      </c>
      <c r="CA109" s="38" t="n">
        <f aca="false">IFERROR(AVERAGE(D109,I109,N109,S109,X109,AC109,AH109,AM109,AR109,AW109,BB109,BG109,BL109),"n/m")</f>
        <v>0.19128381074409</v>
      </c>
    </row>
    <row r="110" customFormat="false" ht="15" hidden="false" customHeight="false" outlineLevel="0" collapsed="false">
      <c r="B110" s="30" t="s">
        <v>251</v>
      </c>
      <c r="C110" s="31"/>
      <c r="D110" s="31"/>
      <c r="E110" s="31"/>
      <c r="F110" s="32" t="n">
        <v>2784.681</v>
      </c>
      <c r="G110" s="32" t="n">
        <v>2654.328</v>
      </c>
      <c r="H110" s="32" t="n">
        <v>3045.726</v>
      </c>
      <c r="I110" s="32" t="n">
        <v>3045.726</v>
      </c>
      <c r="J110" s="32" t="n">
        <v>3103.497</v>
      </c>
      <c r="K110" s="32" t="n">
        <v>2992.092</v>
      </c>
      <c r="L110" s="32" t="n">
        <v>2799.609</v>
      </c>
      <c r="M110" s="32" t="n">
        <v>2650.288</v>
      </c>
      <c r="N110" s="32" t="n">
        <v>2650.288</v>
      </c>
      <c r="O110" s="32" t="n">
        <v>2462.859</v>
      </c>
      <c r="P110" s="32" t="n">
        <v>3672.726</v>
      </c>
      <c r="Q110" s="32" t="n">
        <v>3387.833</v>
      </c>
      <c r="R110" s="32" t="n">
        <v>3982.78</v>
      </c>
      <c r="S110" s="32" t="n">
        <v>3982.78</v>
      </c>
      <c r="T110" s="32" t="n">
        <v>3919.065</v>
      </c>
      <c r="U110" s="32" t="n">
        <v>3763.683</v>
      </c>
      <c r="V110" s="32" t="n">
        <v>3535.316</v>
      </c>
      <c r="W110" s="32" t="n">
        <v>3970.754</v>
      </c>
      <c r="X110" s="32" t="n">
        <v>3970.754</v>
      </c>
      <c r="Y110" s="32" t="n">
        <v>3580.426</v>
      </c>
      <c r="Z110" s="32" t="n">
        <v>3612.617</v>
      </c>
      <c r="AA110" s="32" t="n">
        <v>3833.933</v>
      </c>
      <c r="AB110" s="32" t="n">
        <v>3478.6</v>
      </c>
      <c r="AC110" s="32" t="n">
        <v>3478.6</v>
      </c>
      <c r="AD110" s="32" t="n">
        <v>4823.965</v>
      </c>
      <c r="AE110" s="32" t="n">
        <v>4504.963</v>
      </c>
      <c r="AF110" s="32" t="n">
        <v>4220.186</v>
      </c>
      <c r="AG110" s="32" t="n">
        <v>5288.466</v>
      </c>
      <c r="AH110" s="32" t="n">
        <v>5288.466</v>
      </c>
      <c r="AI110" s="32" t="n">
        <v>5110.942</v>
      </c>
      <c r="AJ110" s="32" t="n">
        <v>4728.383</v>
      </c>
      <c r="AK110" s="32" t="n">
        <v>4365.014</v>
      </c>
      <c r="AL110" s="32" t="n">
        <v>4405.828</v>
      </c>
      <c r="AM110" s="32" t="n">
        <v>4405.828</v>
      </c>
      <c r="AN110" s="32" t="n">
        <v>5192.786</v>
      </c>
      <c r="AO110" s="32" t="n">
        <v>4849.054</v>
      </c>
      <c r="AP110" s="32" t="n">
        <v>4501.095</v>
      </c>
      <c r="AQ110" s="32" t="n">
        <v>5176.036</v>
      </c>
      <c r="AR110" s="32" t="n">
        <v>5176.036</v>
      </c>
      <c r="AS110" s="32" t="n">
        <v>4906.436</v>
      </c>
      <c r="AT110" s="32" t="n">
        <v>4720.72</v>
      </c>
      <c r="AU110" s="32" t="n">
        <v>4318.885</v>
      </c>
      <c r="AV110" s="32" t="n">
        <v>4144.31</v>
      </c>
      <c r="AW110" s="32" t="n">
        <v>4144.31</v>
      </c>
      <c r="AX110" s="32" t="n">
        <v>3774.373</v>
      </c>
      <c r="AY110" s="32" t="n">
        <v>4114.97</v>
      </c>
      <c r="AZ110" s="32" t="n">
        <v>3980.844</v>
      </c>
      <c r="BA110" s="32" t="n">
        <v>3997.647</v>
      </c>
      <c r="BB110" s="32" t="n">
        <v>3997.647</v>
      </c>
      <c r="BC110" s="32" t="n">
        <v>3635.509</v>
      </c>
      <c r="BD110" s="32" t="n">
        <v>3534.247</v>
      </c>
      <c r="BE110" s="32" t="n">
        <v>3380.689</v>
      </c>
      <c r="BF110" s="32" t="n">
        <v>4842.46</v>
      </c>
      <c r="BG110" s="32" t="n">
        <v>4842.46</v>
      </c>
      <c r="BH110" s="32" t="n">
        <v>4878.68</v>
      </c>
      <c r="BI110" s="32" t="n">
        <v>6015.191</v>
      </c>
      <c r="BJ110" s="32" t="n">
        <v>7389.131</v>
      </c>
      <c r="BK110" s="32" t="n">
        <v>7260.692</v>
      </c>
      <c r="BL110" s="32" t="n">
        <v>7260.692</v>
      </c>
      <c r="BM110" s="32" t="n">
        <v>8650.836</v>
      </c>
      <c r="BN110" s="32" t="n">
        <v>8398.081</v>
      </c>
      <c r="BO110" s="33" t="n">
        <f aca="false">BO19+BO67</f>
        <v>8398.081</v>
      </c>
      <c r="BP110" s="33" t="n">
        <f aca="false">BP19+BP67</f>
        <v>8398.081</v>
      </c>
      <c r="BQ110" s="33" t="n">
        <f aca="false">BQ19+BQ67</f>
        <v>8398.081</v>
      </c>
      <c r="BR110" s="33" t="n">
        <f aca="false">BR19+BR67</f>
        <v>8529.40411164534</v>
      </c>
      <c r="BS110" s="33" t="n">
        <f aca="false">BS19+BS67</f>
        <v>8671.2330722223</v>
      </c>
      <c r="BT110" s="33" t="n">
        <f aca="false">BT19+BT67</f>
        <v>8822.99006003965</v>
      </c>
      <c r="BU110" s="33" t="n">
        <f aca="false">BU19+BU67</f>
        <v>8985.37003700422</v>
      </c>
      <c r="BV110" s="15"/>
      <c r="BX110" s="25" t="n">
        <f aca="false">IFERROR((BU110/BL110)^(1/5)-1,"n/m")</f>
        <v>0.0435459827311635</v>
      </c>
      <c r="BY110" s="25" t="n">
        <f aca="false">IFERROR((BL110/AM110)^(1/5)-1,"n/m")</f>
        <v>0.105070778910763</v>
      </c>
      <c r="BZ110" s="25" t="n">
        <f aca="false">IFERROR((BL110/N110)^(1/10)-1,"n/m")</f>
        <v>0.106034042845464</v>
      </c>
      <c r="CA110" s="25" t="str">
        <f aca="false">IFERROR((BL110/D110)^(1/12)-1,"n/m")</f>
        <v>n/m</v>
      </c>
    </row>
    <row r="111" customFormat="false" ht="15" hidden="false" customHeight="false" outlineLevel="0" collapsed="false">
      <c r="B111" s="13" t="s">
        <v>252</v>
      </c>
      <c r="C111" s="19"/>
      <c r="D111" s="19"/>
      <c r="E111" s="24" t="n">
        <v>860.216</v>
      </c>
      <c r="F111" s="24" t="n">
        <v>119.45</v>
      </c>
      <c r="G111" s="24" t="n">
        <v>206.786</v>
      </c>
      <c r="H111" s="24" t="n">
        <v>784.359</v>
      </c>
      <c r="I111" s="24" t="n">
        <v>1970.811</v>
      </c>
      <c r="J111" s="24" t="n">
        <v>393.176</v>
      </c>
      <c r="K111" s="24" t="n">
        <v>245.735</v>
      </c>
      <c r="L111" s="24" t="n">
        <v>171.237</v>
      </c>
      <c r="M111" s="24" t="n">
        <v>214.648</v>
      </c>
      <c r="N111" s="24" t="n">
        <v>1024.796</v>
      </c>
      <c r="O111" s="24" t="n">
        <v>177.396</v>
      </c>
      <c r="P111" s="24" t="n">
        <v>1612.251</v>
      </c>
      <c r="Q111" s="24" t="n">
        <v>94.612</v>
      </c>
      <c r="R111" s="24" t="n">
        <v>866.393</v>
      </c>
      <c r="S111" s="24" t="n">
        <v>2750.652</v>
      </c>
      <c r="T111" s="24" t="n">
        <v>364.513</v>
      </c>
      <c r="U111" s="24" t="n">
        <v>254.629</v>
      </c>
      <c r="V111" s="24" t="n">
        <v>190.994</v>
      </c>
      <c r="W111" s="24" t="n">
        <v>865.576</v>
      </c>
      <c r="X111" s="24" t="n">
        <v>1675.712</v>
      </c>
      <c r="Y111" s="24" t="n">
        <v>124.735</v>
      </c>
      <c r="Z111" s="24" t="n">
        <v>470.809</v>
      </c>
      <c r="AA111" s="24" t="n">
        <v>639.348</v>
      </c>
      <c r="AB111" s="24" t="n">
        <v>122.204</v>
      </c>
      <c r="AC111" s="24" t="n">
        <v>1357.096</v>
      </c>
      <c r="AD111" s="24" t="n">
        <v>1761.819</v>
      </c>
      <c r="AE111" s="24" t="n">
        <v>152.229</v>
      </c>
      <c r="AF111" s="24" t="n">
        <v>221.222</v>
      </c>
      <c r="AG111" s="24" t="n">
        <v>1569.517</v>
      </c>
      <c r="AH111" s="24" t="n">
        <v>3704.787</v>
      </c>
      <c r="AI111" s="24" t="n">
        <v>237.117</v>
      </c>
      <c r="AJ111" s="24" t="n">
        <v>137.598</v>
      </c>
      <c r="AK111" s="24" t="n">
        <v>156.509</v>
      </c>
      <c r="AL111" s="24" t="n">
        <v>597.724</v>
      </c>
      <c r="AM111" s="24" t="n">
        <v>1128.948</v>
      </c>
      <c r="AN111" s="24" t="n">
        <v>1315.231</v>
      </c>
      <c r="AO111" s="24" t="n">
        <v>161.367</v>
      </c>
      <c r="AP111" s="24" t="n">
        <v>150.769</v>
      </c>
      <c r="AQ111" s="24" t="n">
        <v>1266.914</v>
      </c>
      <c r="AR111" s="24" t="n">
        <v>2894.281</v>
      </c>
      <c r="AS111" s="24" t="n">
        <v>261.138</v>
      </c>
      <c r="AT111" s="24" t="n">
        <v>323.967</v>
      </c>
      <c r="AU111" s="24" t="n">
        <v>121.876</v>
      </c>
      <c r="AV111" s="24" t="n">
        <v>448.829</v>
      </c>
      <c r="AW111" s="24" t="n">
        <v>1155.811</v>
      </c>
      <c r="AX111" s="24" t="n">
        <v>198.423</v>
      </c>
      <c r="AY111" s="24" t="n">
        <v>953.043</v>
      </c>
      <c r="AZ111" s="24" t="n">
        <v>455.862</v>
      </c>
      <c r="BA111" s="24" t="n">
        <v>742.319</v>
      </c>
      <c r="BB111" s="24" t="n">
        <v>2349.647</v>
      </c>
      <c r="BC111" s="24" t="n">
        <v>241.827</v>
      </c>
      <c r="BD111" s="24" t="n">
        <v>580.204</v>
      </c>
      <c r="BE111" s="24" t="n">
        <v>518.398</v>
      </c>
      <c r="BF111" s="24" t="n">
        <v>2208.666</v>
      </c>
      <c r="BG111" s="24" t="n">
        <v>3549.096</v>
      </c>
      <c r="BH111" s="24" t="n">
        <v>719.817</v>
      </c>
      <c r="BI111" s="24" t="n">
        <v>1640.481</v>
      </c>
      <c r="BJ111" s="24" t="n">
        <v>2245.434</v>
      </c>
      <c r="BK111" s="24" t="n">
        <v>754.171</v>
      </c>
      <c r="BL111" s="24" t="n">
        <v>5359.903</v>
      </c>
      <c r="BM111" s="24" t="n">
        <v>2250.36</v>
      </c>
      <c r="BN111" s="24" t="n">
        <v>648.87</v>
      </c>
      <c r="BO111" s="21" t="n">
        <f aca="false">BO13+BO37</f>
        <v>1004.02218367641</v>
      </c>
      <c r="BP111" s="21" t="n">
        <f aca="false">BP13+BP37</f>
        <v>1036.47281632359</v>
      </c>
      <c r="BQ111" s="21" t="n">
        <f aca="false">SUM(BM111:BP111)</f>
        <v>4939.725</v>
      </c>
      <c r="BR111" s="21" t="n">
        <f aca="false">BR13+BR37</f>
        <v>4300.36004840138</v>
      </c>
      <c r="BS111" s="21" t="n">
        <f aca="false">BS13+BS37</f>
        <v>4693.05233450445</v>
      </c>
      <c r="BT111" s="21" t="n">
        <f aca="false">BT13+BT37</f>
        <v>5122.68848766306</v>
      </c>
      <c r="BU111" s="21" t="n">
        <f aca="false">BU13+BU37</f>
        <v>5578.06626897441</v>
      </c>
      <c r="BV111" s="15"/>
      <c r="BX111" s="25" t="n">
        <f aca="false">IFERROR((BU111/BL111)^(1/5)-1,"n/m")</f>
        <v>0.00801117745207902</v>
      </c>
      <c r="BY111" s="25" t="n">
        <f aca="false">IFERROR((BL111/AM111)^(1/5)-1,"n/m")</f>
        <v>0.36551538725019</v>
      </c>
      <c r="BZ111" s="25" t="n">
        <f aca="false">IFERROR((BL111/N111)^(1/10)-1,"n/m")</f>
        <v>0.179918337944713</v>
      </c>
      <c r="CA111" s="25" t="str">
        <f aca="false">IFERROR((BL111/D111)^(1/12)-1,"n/m")</f>
        <v>n/m</v>
      </c>
    </row>
    <row r="112" customFormat="false" ht="15" hidden="false" customHeight="false" outlineLevel="0" collapsed="false">
      <c r="B112" s="13" t="s">
        <v>108</v>
      </c>
      <c r="C112" s="26" t="str">
        <f aca="false">IF(AND(ISNUMBER(C111),ISNUMBER(C157)),IFERROR(C111/C157,""),"")</f>
        <v/>
      </c>
      <c r="D112" s="26" t="str">
        <f aca="false">IF(AND(ISNUMBER(D111),ISNUMBER(D157)),IFERROR(D111/D157,""),"")</f>
        <v/>
      </c>
      <c r="E112" s="26" t="n">
        <f aca="false">IF(AND(ISNUMBER(E111),ISNUMBER(E157)),IFERROR(E111/E157,""),"")</f>
        <v>2.42030747068224</v>
      </c>
      <c r="F112" s="26" t="n">
        <f aca="false">IF(AND(ISNUMBER(F111),ISNUMBER(F157)),IFERROR(F111/F157,""),"")</f>
        <v>0.329528149897376</v>
      </c>
      <c r="G112" s="26" t="n">
        <f aca="false">IF(AND(ISNUMBER(G111),ISNUMBER(G157)),IFERROR(G111/G157,""),"")</f>
        <v>0.61296805710356</v>
      </c>
      <c r="H112" s="26" t="n">
        <f aca="false">IF(AND(ISNUMBER(H111),ISNUMBER(H157)),IFERROR(H111/H157,""),"")</f>
        <v>1.98394097441786</v>
      </c>
      <c r="I112" s="26" t="n">
        <f aca="false">IF(AND(ISNUMBER(I111),ISNUMBER(I157)),IFERROR(I111/I157,""),"")</f>
        <v>1.35860844748072</v>
      </c>
      <c r="J112" s="26" t="n">
        <f aca="false">IF(AND(ISNUMBER(J111),ISNUMBER(J157)),IFERROR(J111/J157,""),"")</f>
        <v>1.17195948564173</v>
      </c>
      <c r="K112" s="26" t="n">
        <f aca="false">IF(AND(ISNUMBER(K111),ISNUMBER(K157)),IFERROR(K111/K157,""),"")</f>
        <v>0.688073137609027</v>
      </c>
      <c r="L112" s="26" t="n">
        <f aca="false">IF(AND(ISNUMBER(L111),ISNUMBER(L157)),IFERROR(L111/L157,""),"")</f>
        <v>0.477023149566816</v>
      </c>
      <c r="M112" s="26" t="n">
        <f aca="false">IF(AND(ISNUMBER(M111),ISNUMBER(M157)),IFERROR(M111/M157,""),"")</f>
        <v>0.589792766899857</v>
      </c>
      <c r="N112" s="26" t="n">
        <f aca="false">IF(AND(ISNUMBER(N111),ISNUMBER(N157)),IFERROR(N111/N157,""),"")</f>
        <v>0.72396679969114</v>
      </c>
      <c r="O112" s="26" t="n">
        <f aca="false">IF(AND(ISNUMBER(O111),ISNUMBER(O157)),IFERROR(O111/O157,""),"")</f>
        <v>0.486248238886483</v>
      </c>
      <c r="P112" s="26" t="n">
        <f aca="false">IF(AND(ISNUMBER(P111),ISNUMBER(P157)),IFERROR(P111/P157,""),"")</f>
        <v>4.00676720131616</v>
      </c>
      <c r="Q112" s="26" t="n">
        <f aca="false">IF(AND(ISNUMBER(Q111),ISNUMBER(Q157)),IFERROR(Q111/Q157,""),"")</f>
        <v>0.249303698238495</v>
      </c>
      <c r="R112" s="26" t="n">
        <f aca="false">IF(AND(ISNUMBER(R111),ISNUMBER(R157)),IFERROR(R111/R157,""),"")</f>
        <v>2.14528054276234</v>
      </c>
      <c r="S112" s="26" t="n">
        <f aca="false">IF(AND(ISNUMBER(S111),ISNUMBER(S157)),IFERROR(S111/S157,""),"")</f>
        <v>1.77395840118459</v>
      </c>
      <c r="T112" s="26" t="n">
        <f aca="false">IF(AND(ISNUMBER(T111),ISNUMBER(T157)),IFERROR(T111/T157,""),"")</f>
        <v>0.85121045048327</v>
      </c>
      <c r="U112" s="26" t="n">
        <f aca="false">IF(AND(ISNUMBER(U111),ISNUMBER(U157)),IFERROR(U111/U157,""),"")</f>
        <v>0.621029679691521</v>
      </c>
      <c r="V112" s="26" t="n">
        <f aca="false">IF(AND(ISNUMBER(V111),ISNUMBER(V157)),IFERROR(V111/V157,""),"")</f>
        <v>0.455441625333842</v>
      </c>
      <c r="W112" s="26" t="n">
        <f aca="false">IF(AND(ISNUMBER(W111),ISNUMBER(W157)),IFERROR(W111/W157,""),"")</f>
        <v>2.01232162701273</v>
      </c>
      <c r="X112" s="26" t="n">
        <f aca="false">IF(AND(ISNUMBER(X111),ISNUMBER(X157)),IFERROR(X111/X157,""),"")</f>
        <v>0.992874486442801</v>
      </c>
      <c r="Y112" s="26" t="n">
        <f aca="false">IF(AND(ISNUMBER(Y111),ISNUMBER(Y157)),IFERROR(Y111/Y157,""),"")</f>
        <v>0.272666860489264</v>
      </c>
      <c r="Z112" s="26" t="n">
        <f aca="false">IF(AND(ISNUMBER(Z111),ISNUMBER(Z157)),IFERROR(Z111/Z157,""),"")</f>
        <v>1.07265088706168</v>
      </c>
      <c r="AA112" s="26" t="n">
        <f aca="false">IF(AND(ISNUMBER(AA111),ISNUMBER(AA157)),IFERROR(AA111/AA157,""),"")</f>
        <v>1.50255577464061</v>
      </c>
      <c r="AB112" s="26" t="n">
        <f aca="false">IF(AND(ISNUMBER(AB111),ISNUMBER(AB157)),IFERROR(AB111/AB157,""),"")</f>
        <v>0.255657973464324</v>
      </c>
      <c r="AC112" s="26" t="n">
        <f aca="false">IF(AND(ISNUMBER(AC111),ISNUMBER(AC157)),IFERROR(AC111/AC157,""),"")</f>
        <v>0.753988718193178</v>
      </c>
      <c r="AD112" s="26" t="n">
        <f aca="false">IF(AND(ISNUMBER(AD111),ISNUMBER(AD157)),IFERROR(AD111/AD157,""),"")</f>
        <v>4.23052485988849</v>
      </c>
      <c r="AE112" s="26" t="n">
        <f aca="false">IF(AND(ISNUMBER(AE111),ISNUMBER(AE157)),IFERROR(AE111/AE157,""),"")</f>
        <v>0.323045385384238</v>
      </c>
      <c r="AF112" s="26" t="n">
        <f aca="false">IF(AND(ISNUMBER(AF111),ISNUMBER(AF157)),IFERROR(AF111/AF157,""),"")</f>
        <v>0.437197628458498</v>
      </c>
      <c r="AG112" s="26" t="n">
        <f aca="false">IF(AND(ISNUMBER(AG111),ISNUMBER(AG157)),IFERROR(AG111/AG157,""),"")</f>
        <v>3.13129968976628</v>
      </c>
      <c r="AH112" s="26" t="n">
        <f aca="false">IF(AND(ISNUMBER(AH111),ISNUMBER(AH157)),IFERROR(AH111/AH157,""),"")</f>
        <v>1.9551152555253</v>
      </c>
      <c r="AI112" s="26" t="n">
        <f aca="false">IF(AND(ISNUMBER(AI111),ISNUMBER(AI157)),IFERROR(AI111/AI157,""),"")</f>
        <v>0.437317413243626</v>
      </c>
      <c r="AJ112" s="26" t="n">
        <f aca="false">IF(AND(ISNUMBER(AJ111),ISNUMBER(AJ157)),IFERROR(AJ111/AJ157,""),"")</f>
        <v>0.272730516134147</v>
      </c>
      <c r="AK112" s="26" t="n">
        <f aca="false">IF(AND(ISNUMBER(AK111),ISNUMBER(AK157)),IFERROR(AK111/AK157,""),"")</f>
        <v>0.301049476992679</v>
      </c>
      <c r="AL112" s="26" t="n">
        <f aca="false">IF(AND(ISNUMBER(AL111),ISNUMBER(AL157)),IFERROR(AL111/AL157,""),"")</f>
        <v>1.07328652744609</v>
      </c>
      <c r="AM112" s="26" t="n">
        <f aca="false">IF(AND(ISNUMBER(AM111),ISNUMBER(AM157)),IFERROR(AM111/AM157,""),"")</f>
        <v>0.531640920058997</v>
      </c>
      <c r="AN112" s="26" t="n">
        <f aca="false">IF(AND(ISNUMBER(AN111),ISNUMBER(AN157)),IFERROR(AN111/AN157,""),"")</f>
        <v>2.48968052503157</v>
      </c>
      <c r="AO112" s="26" t="n">
        <f aca="false">IF(AND(ISNUMBER(AO111),ISNUMBER(AO157)),IFERROR(AO111/AO157,""),"")</f>
        <v>0.319475983916024</v>
      </c>
      <c r="AP112" s="26" t="n">
        <f aca="false">IF(AND(ISNUMBER(AP111),ISNUMBER(AP157)),IFERROR(AP111/AP157,""),"")</f>
        <v>0.302307675341419</v>
      </c>
      <c r="AQ112" s="26" t="n">
        <f aca="false">IF(AND(ISNUMBER(AQ111),ISNUMBER(AQ157)),IFERROR(AQ111/AQ157,""),"")</f>
        <v>2.14014781029604</v>
      </c>
      <c r="AR112" s="26" t="n">
        <f aca="false">IF(AND(ISNUMBER(AR111),ISNUMBER(AR157)),IFERROR(AR111/AR157,""),"")</f>
        <v>1.36260836486864</v>
      </c>
      <c r="AS112" s="26" t="n">
        <f aca="false">IF(AND(ISNUMBER(AS111),ISNUMBER(AS157)),IFERROR(AS111/AS157,""),"")</f>
        <v>0.492028081652341</v>
      </c>
      <c r="AT112" s="26" t="n">
        <f aca="false">IF(AND(ISNUMBER(AT111),ISNUMBER(AT157)),IFERROR(AT111/AT157,""),"")</f>
        <v>0.584558505109995</v>
      </c>
      <c r="AU112" s="26" t="n">
        <f aca="false">IF(AND(ISNUMBER(AU111),ISNUMBER(AU157)),IFERROR(AU111/AU157,""),"")</f>
        <v>0.232716135425836</v>
      </c>
      <c r="AV112" s="26" t="n">
        <f aca="false">IF(AND(ISNUMBER(AV111),ISNUMBER(AV157)),IFERROR(AV111/AV157,""),"")</f>
        <v>0.719073275689428</v>
      </c>
      <c r="AW112" s="26" t="n">
        <f aca="false">IF(AND(ISNUMBER(AW111),ISNUMBER(AW157)),IFERROR(AW111/AW157,""),"")</f>
        <v>0.517643049147406</v>
      </c>
      <c r="AX112" s="26" t="n">
        <f aca="false">IF(AND(ISNUMBER(AX111),ISNUMBER(AX157)),IFERROR(AX111/AX157,""),"")</f>
        <v>0.349114997536772</v>
      </c>
      <c r="AY112" s="26" t="n">
        <f aca="false">IF(AND(ISNUMBER(AY111),ISNUMBER(AY157)),IFERROR(AY111/AY157,""),"")</f>
        <v>1.55612830539885</v>
      </c>
      <c r="AZ112" s="26" t="n">
        <f aca="false">IF(AND(ISNUMBER(AZ111),ISNUMBER(AZ157)),IFERROR(AZ111/AZ157,""),"")</f>
        <v>0.77266186318728</v>
      </c>
      <c r="BA112" s="26" t="n">
        <f aca="false">IF(AND(ISNUMBER(BA111),ISNUMBER(BA157)),IFERROR(BA111/BA157,""),"")</f>
        <v>1.0231614783981</v>
      </c>
      <c r="BB112" s="26" t="n">
        <f aca="false">IF(AND(ISNUMBER(BB111),ISNUMBER(BB157)),IFERROR(BB111/BB157,""),"")</f>
        <v>0.9412484592252</v>
      </c>
      <c r="BC112" s="26" t="n">
        <f aca="false">IF(AND(ISNUMBER(BC111),ISNUMBER(BC157)),IFERROR(BC111/BC157,""),"")</f>
        <v>0.400398366795482</v>
      </c>
      <c r="BD112" s="26" t="n">
        <f aca="false">IF(AND(ISNUMBER(BD111),ISNUMBER(BD157)),IFERROR(BD111/BD157,""),"")</f>
        <v>0.851406895438504</v>
      </c>
      <c r="BE112" s="26" t="n">
        <f aca="false">IF(AND(ISNUMBER(BE111),ISNUMBER(BE157)),IFERROR(BE111/BE157,""),"")</f>
        <v>0.771476108554727</v>
      </c>
      <c r="BF112" s="26" t="n">
        <f aca="false">IF(AND(ISNUMBER(BF111),ISNUMBER(BF157)),IFERROR(BF111/BF157,""),"")</f>
        <v>2.9596190103542</v>
      </c>
      <c r="BG112" s="26" t="n">
        <f aca="false">IF(AND(ISNUMBER(BG111),ISNUMBER(BG157)),IFERROR(BG111/BG157,""),"")</f>
        <v>1.312703474631</v>
      </c>
      <c r="BH112" s="26" t="n">
        <f aca="false">IF(AND(ISNUMBER(BH111),ISNUMBER(BH157)),IFERROR(BH111/BH157,""),"")</f>
        <v>1.05505102175423</v>
      </c>
      <c r="BI112" s="26" t="n">
        <f aca="false">IF(AND(ISNUMBER(BI111),ISNUMBER(BI157)),IFERROR(BI111/BI157,""),"")</f>
        <v>2.14711683565891</v>
      </c>
      <c r="BJ112" s="26" t="n">
        <f aca="false">IF(AND(ISNUMBER(BJ111),ISNUMBER(BJ157)),IFERROR(BJ111/BJ157,""),"")</f>
        <v>2.59202388125861</v>
      </c>
      <c r="BK112" s="26" t="n">
        <f aca="false">IF(AND(ISNUMBER(BK111),ISNUMBER(BK157)),IFERROR(BK111/BK157,""),"")</f>
        <v>0.851360626387098</v>
      </c>
      <c r="BL112" s="26" t="n">
        <f aca="false">IF(AND(ISNUMBER(BL111),ISNUMBER(BL157)),IFERROR(BL111/BL157,""),"")</f>
        <v>1.67579449260183</v>
      </c>
      <c r="BM112" s="26" t="n">
        <f aca="false">IF(AND(ISNUMBER(BM111),ISNUMBER(BM157)),IFERROR(BM111/BM157,""),"")</f>
        <v>2.61603758121497</v>
      </c>
      <c r="BN112" s="26" t="n">
        <f aca="false">IF(AND(ISNUMBER(BN111),ISNUMBER(BN157)),IFERROR(BN111/BN157,""),"")</f>
        <v>0.7196672674338</v>
      </c>
      <c r="BO112" s="28" t="n">
        <f aca="false">IF(AND(ISNUMBER(BO111),ISNUMBER(BO157)),IFERROR(BO111/BO157,""),"")</f>
        <v>1.00137836087412</v>
      </c>
      <c r="BP112" s="28" t="n">
        <f aca="false">IF(AND(ISNUMBER(BP111),ISNUMBER(BP157)),IFERROR(BP111/BP157,""),"")</f>
        <v>1.00092224391019</v>
      </c>
      <c r="BQ112" s="28" t="n">
        <f aca="false">IF(AND(ISNUMBER(BQ111),ISNUMBER(BQ157)),IFERROR(BQ111/BQ157,""),"")</f>
        <v>1.29992763157895</v>
      </c>
      <c r="BR112" s="28" t="n">
        <f aca="false">IF(AND(ISNUMBER(BR111),ISNUMBER(BR157)),IFERROR(BR111/BR157,""),"")</f>
        <v>1.03294757502933</v>
      </c>
      <c r="BS112" s="28" t="n">
        <f aca="false">IF(AND(ISNUMBER(BS111),ISNUMBER(BS157)),IFERROR(BS111/BS157,""),"")</f>
        <v>1.02404011792319</v>
      </c>
      <c r="BT112" s="28" t="n">
        <f aca="false">IF(AND(ISNUMBER(BT111),ISNUMBER(BT157)),IFERROR(BT111/BT157,""),"")</f>
        <v>1.007691613023</v>
      </c>
      <c r="BU112" s="28" t="n">
        <f aca="false">IF(AND(ISNUMBER(BU111),ISNUMBER(BU157)),IFERROR(BU111/BU157,""),"")</f>
        <v>0.993276848683557</v>
      </c>
      <c r="BV112" s="15"/>
    </row>
    <row r="113" customFormat="false" ht="15" hidden="false" customHeight="false" outlineLevel="0" collapsed="false">
      <c r="B113" s="51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20" t="n">
        <f aca="false">IF(AND(ISNUMBER(AM103),ISNUMBER(AM157)),ROUND(AM103-AM157,1),"")</f>
        <v>0</v>
      </c>
      <c r="AN113" s="20" t="n">
        <f aca="false">IF(AND(ISNUMBER(AN103),ISNUMBER(AN157)),ROUND(AN103-AN157,1),"")</f>
        <v>0</v>
      </c>
      <c r="AO113" s="20" t="n">
        <f aca="false">IF(AND(ISNUMBER(AO103),ISNUMBER(AO157)),ROUND(AO103-AO157,1),"")</f>
        <v>0</v>
      </c>
      <c r="AP113" s="20" t="n">
        <f aca="false">IF(AND(ISNUMBER(AP103),ISNUMBER(AP157)),ROUND(AP103-AP157,1),"")</f>
        <v>0</v>
      </c>
      <c r="AQ113" s="20" t="n">
        <f aca="false">IF(AND(ISNUMBER(AQ103),ISNUMBER(AQ157)),ROUND(AQ103-AQ157,1),"")</f>
        <v>0</v>
      </c>
      <c r="AR113" s="20" t="n">
        <f aca="false">IF(AND(ISNUMBER(AR103),ISNUMBER(AR157)),ROUND(AR103-AR157,1),"")</f>
        <v>0</v>
      </c>
      <c r="AS113" s="20" t="n">
        <f aca="false">IF(AND(ISNUMBER(AS103),ISNUMBER(AS157)),ROUND(AS103-AS157,1),"")</f>
        <v>0</v>
      </c>
      <c r="AT113" s="20" t="n">
        <f aca="false">IF(AND(ISNUMBER(AT103),ISNUMBER(AT157)),ROUND(AT103-AT157,1),"")</f>
        <v>0</v>
      </c>
      <c r="AU113" s="20" t="n">
        <f aca="false">IF(AND(ISNUMBER(AU103),ISNUMBER(AU157)),ROUND(AU103-AU157,1),"")</f>
        <v>0</v>
      </c>
      <c r="AV113" s="20" t="n">
        <f aca="false">IF(AND(ISNUMBER(AV103),ISNUMBER(AV157)),ROUND(AV103-AV157,1),"")</f>
        <v>0</v>
      </c>
      <c r="AW113" s="20" t="n">
        <f aca="false">IF(AND(ISNUMBER(AW103),ISNUMBER(AW157)),ROUND(AW103-AW157,1),"")</f>
        <v>0</v>
      </c>
      <c r="AX113" s="20" t="n">
        <f aca="false">IF(AND(ISNUMBER(AX103),ISNUMBER(AX157)),ROUND(AX103-AX157,1),"")</f>
        <v>0</v>
      </c>
      <c r="AY113" s="20" t="n">
        <f aca="false">IF(AND(ISNUMBER(AY103),ISNUMBER(AY157)),ROUND(AY103-AY157,1),"")</f>
        <v>0</v>
      </c>
      <c r="AZ113" s="20" t="n">
        <f aca="false">IF(AND(ISNUMBER(AZ103),ISNUMBER(AZ157)),ROUND(AZ103-AZ157,1),"")</f>
        <v>0</v>
      </c>
      <c r="BA113" s="20" t="n">
        <f aca="false">IF(AND(ISNUMBER(BA103),ISNUMBER(BA157)),ROUND(BA103-BA157,1),"")</f>
        <v>0</v>
      </c>
      <c r="BB113" s="20" t="n">
        <f aca="false">IF(AND(ISNUMBER(BB103),ISNUMBER(BB157)),ROUND(BB103-BB157,1),"")</f>
        <v>0</v>
      </c>
      <c r="BC113" s="20" t="n">
        <f aca="false">IF(AND(ISNUMBER(BC103),ISNUMBER(BC157)),ROUND(BC103-BC157,1),"")</f>
        <v>0</v>
      </c>
      <c r="BD113" s="20" t="n">
        <f aca="false">IF(AND(ISNUMBER(BD103),ISNUMBER(BD157)),ROUND(BD103-BD157,1),"")</f>
        <v>0</v>
      </c>
      <c r="BE113" s="20" t="n">
        <f aca="false">IF(AND(ISNUMBER(BE103),ISNUMBER(BE157)),ROUND(BE103-BE157,1),"")</f>
        <v>0</v>
      </c>
      <c r="BF113" s="20" t="n">
        <f aca="false">IF(AND(ISNUMBER(BF103),ISNUMBER(BF157)),ROUND(BF103-BF157,1),"")</f>
        <v>-0</v>
      </c>
      <c r="BG113" s="20" t="n">
        <f aca="false">IF(AND(ISNUMBER(BG103),ISNUMBER(BG157)),ROUND(BG103-BG157,1),"")</f>
        <v>0</v>
      </c>
      <c r="BH113" s="20" t="n">
        <f aca="false">IF(AND(ISNUMBER(BH103),ISNUMBER(BH157)),ROUND(BH103-BH157,1),"")</f>
        <v>0</v>
      </c>
      <c r="BI113" s="20" t="n">
        <f aca="false">IF(AND(ISNUMBER(BI103),ISNUMBER(BI157)),ROUND(BI103-BI157,1),"")</f>
        <v>0</v>
      </c>
      <c r="BJ113" s="20" t="n">
        <f aca="false">IF(AND(ISNUMBER(BJ103),ISNUMBER(BJ157)),ROUND(BJ103-BJ157,1),"")</f>
        <v>0</v>
      </c>
      <c r="BK113" s="20" t="n">
        <f aca="false">IF(AND(ISNUMBER(BK103),ISNUMBER(BK157)),ROUND(BK103-BK157,1),"")</f>
        <v>0</v>
      </c>
      <c r="BL113" s="20" t="n">
        <f aca="false">IF(AND(ISNUMBER(BL103),ISNUMBER(BL157)),ROUND(BL103-BL157,1),"")</f>
        <v>0</v>
      </c>
      <c r="BM113" s="20" t="n">
        <f aca="false">IF(AND(ISNUMBER(BM103),ISNUMBER(BM157)),ROUND(BM103-BM157,1),"")</f>
        <v>0</v>
      </c>
      <c r="BN113" s="20" t="n">
        <f aca="false">IF(AND(ISNUMBER(BN103),ISNUMBER(BN157)),ROUND(BN103-BN157,1),"")</f>
        <v>0</v>
      </c>
      <c r="BO113" s="21" t="n">
        <f aca="false">IF(AND(ISNUMBER(BO103),ISNUMBER(BO157)),ROUND(BO103-BO157,1),"")</f>
        <v>0</v>
      </c>
      <c r="BP113" s="21" t="n">
        <f aca="false">IF(AND(ISNUMBER(BP103),ISNUMBER(BP157)),ROUND(BP103-BP157,1),"")</f>
        <v>0</v>
      </c>
      <c r="BQ113" s="21" t="n">
        <f aca="false">IF(AND(ISNUMBER(BQ103),ISNUMBER(BQ157)),ROUND(BQ103-BQ157,1),"")</f>
        <v>0</v>
      </c>
      <c r="BR113" s="21" t="n">
        <f aca="false">IF(AND(ISNUMBER(BR103),ISNUMBER(BR157)),ROUND(BR103-BR157,1),"")</f>
        <v>0</v>
      </c>
      <c r="BS113" s="21" t="n">
        <f aca="false">IF(AND(ISNUMBER(BS103),ISNUMBER(BS157)),ROUND(BS103-BS157,1),"")</f>
        <v>0</v>
      </c>
      <c r="BT113" s="21" t="n">
        <f aca="false">IF(AND(ISNUMBER(BT103),ISNUMBER(BT157)),ROUND(BT103-BT157,1),"")</f>
        <v>0</v>
      </c>
      <c r="BU113" s="21" t="n">
        <f aca="false">IF(AND(ISNUMBER(BU103),ISNUMBER(BU157)),ROUND(BU103-BU157,1),"")</f>
        <v>0</v>
      </c>
      <c r="BV113" s="15"/>
    </row>
    <row r="114" customFormat="false" ht="15" hidden="false" customHeight="false" outlineLevel="0" collapsed="false">
      <c r="B114" s="51" t="s">
        <v>254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20" t="n">
        <f aca="false">IF(AND(ISNUMBER(AM106),ISNUMBER(AM164)),ROUND(AM106-AM164,1),"")</f>
        <v>0</v>
      </c>
      <c r="AN114" s="20" t="n">
        <f aca="false">IF(AND(ISNUMBER(AN106),ISNUMBER(AN164)),ROUND(AN106-AN164,1),"")</f>
        <v>0</v>
      </c>
      <c r="AO114" s="20" t="n">
        <f aca="false">IF(AND(ISNUMBER(AO106),ISNUMBER(AO164)),ROUND(AO106-AO164,1),"")</f>
        <v>0</v>
      </c>
      <c r="AP114" s="20" t="n">
        <f aca="false">IF(AND(ISNUMBER(AP106),ISNUMBER(AP164)),ROUND(AP106-AP164,1),"")</f>
        <v>0</v>
      </c>
      <c r="AQ114" s="20" t="n">
        <f aca="false">IF(AND(ISNUMBER(AQ106),ISNUMBER(AQ164)),ROUND(AQ106-AQ164,1),"")</f>
        <v>0</v>
      </c>
      <c r="AR114" s="20" t="n">
        <f aca="false">IF(AND(ISNUMBER(AR106),ISNUMBER(AR164)),ROUND(AR106-AR164,1),"")</f>
        <v>0</v>
      </c>
      <c r="AS114" s="20" t="n">
        <f aca="false">IF(AND(ISNUMBER(AS106),ISNUMBER(AS164)),ROUND(AS106-AS164,1),"")</f>
        <v>0</v>
      </c>
      <c r="AT114" s="20" t="n">
        <f aca="false">IF(AND(ISNUMBER(AT106),ISNUMBER(AT164)),ROUND(AT106-AT164,1),"")</f>
        <v>0</v>
      </c>
      <c r="AU114" s="20" t="n">
        <f aca="false">IF(AND(ISNUMBER(AU106),ISNUMBER(AU164)),ROUND(AU106-AU164,1),"")</f>
        <v>0</v>
      </c>
      <c r="AV114" s="20" t="n">
        <f aca="false">IF(AND(ISNUMBER(AV106),ISNUMBER(AV164)),ROUND(AV106-AV164,1),"")</f>
        <v>0</v>
      </c>
      <c r="AW114" s="20" t="n">
        <f aca="false">IF(AND(ISNUMBER(AW106),ISNUMBER(AW164)),ROUND(AW106-AW164,1),"")</f>
        <v>0</v>
      </c>
      <c r="AX114" s="20" t="n">
        <f aca="false">IF(AND(ISNUMBER(AX106),ISNUMBER(AX164)),ROUND(AX106-AX164,1),"")</f>
        <v>0</v>
      </c>
      <c r="AY114" s="20" t="n">
        <f aca="false">IF(AND(ISNUMBER(AY106),ISNUMBER(AY164)),ROUND(AY106-AY164,1),"")</f>
        <v>0</v>
      </c>
      <c r="AZ114" s="20" t="n">
        <f aca="false">IF(AND(ISNUMBER(AZ106),ISNUMBER(AZ164)),ROUND(AZ106-AZ164,1),"")</f>
        <v>0</v>
      </c>
      <c r="BA114" s="20" t="n">
        <f aca="false">IF(AND(ISNUMBER(BA106),ISNUMBER(BA164)),ROUND(BA106-BA164,1),"")</f>
        <v>0</v>
      </c>
      <c r="BB114" s="20" t="n">
        <f aca="false">IF(AND(ISNUMBER(BB106),ISNUMBER(BB164)),ROUND(BB106-BB164,1),"")</f>
        <v>0</v>
      </c>
      <c r="BC114" s="20" t="n">
        <f aca="false">IF(AND(ISNUMBER(BC106),ISNUMBER(BC164)),ROUND(BC106-BC164,1),"")</f>
        <v>0</v>
      </c>
      <c r="BD114" s="20" t="n">
        <f aca="false">IF(AND(ISNUMBER(BD106),ISNUMBER(BD164)),ROUND(BD106-BD164,1),"")</f>
        <v>0</v>
      </c>
      <c r="BE114" s="20" t="n">
        <f aca="false">IF(AND(ISNUMBER(BE106),ISNUMBER(BE164)),ROUND(BE106-BE164,1),"")</f>
        <v>0</v>
      </c>
      <c r="BF114" s="20" t="n">
        <f aca="false">IF(AND(ISNUMBER(BF106),ISNUMBER(BF164)),ROUND(BF106-BF164,1),"")</f>
        <v>-0</v>
      </c>
      <c r="BG114" s="20" t="n">
        <f aca="false">IF(AND(ISNUMBER(BG106),ISNUMBER(BG164)),ROUND(BG106-BG164,1),"")</f>
        <v>0</v>
      </c>
      <c r="BH114" s="20" t="n">
        <f aca="false">IF(AND(ISNUMBER(BH106),ISNUMBER(BH164)),ROUND(BH106-BH164,1),"")</f>
        <v>0</v>
      </c>
      <c r="BI114" s="20" t="n">
        <f aca="false">IF(AND(ISNUMBER(BI106),ISNUMBER(BI164)),ROUND(BI106-BI164,1),"")</f>
        <v>0</v>
      </c>
      <c r="BJ114" s="20" t="n">
        <f aca="false">IF(AND(ISNUMBER(BJ106),ISNUMBER(BJ164)),ROUND(BJ106-BJ164,1),"")</f>
        <v>0</v>
      </c>
      <c r="BK114" s="20" t="n">
        <f aca="false">IF(AND(ISNUMBER(BK106),ISNUMBER(BK164)),ROUND(BK106-BK164,1),"")</f>
        <v>0</v>
      </c>
      <c r="BL114" s="20" t="n">
        <f aca="false">IF(AND(ISNUMBER(BL106),ISNUMBER(BL164)),ROUND(BL106-BL164,1),"")</f>
        <v>0</v>
      </c>
      <c r="BM114" s="20" t="n">
        <f aca="false">IF(AND(ISNUMBER(BM106),ISNUMBER(BM164)),ROUND(BM106-BM164,1),"")</f>
        <v>0</v>
      </c>
      <c r="BN114" s="20" t="n">
        <f aca="false">IF(AND(ISNUMBER(BN106),ISNUMBER(BN164)),ROUND(BN106-BN164,1),"")</f>
        <v>0</v>
      </c>
      <c r="BO114" s="21" t="n">
        <f aca="false">IF(AND(ISNUMBER(BO106),ISNUMBER(BO164)),ROUND(BO106-BO164,1),"")</f>
        <v>0</v>
      </c>
      <c r="BP114" s="21" t="n">
        <f aca="false">IF(AND(ISNUMBER(BP106),ISNUMBER(BP164)),ROUND(BP106-BP164,1),"")</f>
        <v>0</v>
      </c>
      <c r="BQ114" s="21" t="n">
        <f aca="false">IF(AND(ISNUMBER(BQ106),ISNUMBER(BQ164)),ROUND(BQ106-BQ164,1),"")</f>
        <v>0</v>
      </c>
      <c r="BR114" s="21" t="n">
        <f aca="false">IF(AND(ISNUMBER(BR106),ISNUMBER(BR164)),ROUND(BR106-BR164,1),"")</f>
        <v>0</v>
      </c>
      <c r="BS114" s="21" t="n">
        <f aca="false">IF(AND(ISNUMBER(BS106),ISNUMBER(BS164)),ROUND(BS106-BS164,1),"")</f>
        <v>0</v>
      </c>
      <c r="BT114" s="21" t="n">
        <f aca="false">IF(AND(ISNUMBER(BT106),ISNUMBER(BT164)),ROUND(BT106-BT164,1),"")</f>
        <v>0</v>
      </c>
      <c r="BU114" s="21" t="n">
        <f aca="false">IF(AND(ISNUMBER(BU106),ISNUMBER(BU164)),ROUND(BU106-BU164,1),"")</f>
        <v>0</v>
      </c>
      <c r="BV114" s="15"/>
    </row>
    <row r="115" customFormat="false" ht="15" hidden="false" customHeight="false" outlineLevel="0" collapsed="false">
      <c r="B115" s="50" t="s">
        <v>255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36"/>
      <c r="BP115" s="36"/>
      <c r="BQ115" s="21" t="n">
        <f aca="false">CHOOSE(MATCH($BV$2,{"Bull","Base","Bear"},0),$CE$12,$CF$12,$CG$12)</f>
        <v>3800</v>
      </c>
      <c r="BR115" s="36"/>
      <c r="BS115" s="36"/>
      <c r="BT115" s="36"/>
      <c r="BU115" s="36"/>
      <c r="BV115" s="15" t="s">
        <v>256</v>
      </c>
    </row>
    <row r="116" customFormat="false" ht="15" hidden="false" customHeight="false" outlineLevel="0" collapsed="false">
      <c r="B116" s="13" t="s">
        <v>257</v>
      </c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36"/>
      <c r="BP116" s="36"/>
      <c r="BQ116" s="21" t="n">
        <f aca="false">SUM(BM157,BN157)+BJ15*(1+BO16)+BK15*(1+BP16)+BJ39*(1+BO40)+BK39*(1+BP40)+BO47+BP47+BO71+BP71</f>
        <v>3785.38462808358</v>
      </c>
      <c r="BR116" s="36"/>
      <c r="BS116" s="36"/>
      <c r="BT116" s="36"/>
      <c r="BU116" s="36"/>
      <c r="BV116" s="15"/>
    </row>
    <row r="117" customFormat="false" ht="15" hidden="false" customHeight="false" outlineLevel="0" collapsed="false">
      <c r="B117" s="13" t="s">
        <v>258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36"/>
      <c r="BP117" s="36"/>
      <c r="BQ117" s="21" t="n">
        <f aca="false">SUM(BJ15,BK15,BJ39,BK39)</f>
        <v>1754.465</v>
      </c>
      <c r="BR117" s="36"/>
      <c r="BS117" s="36"/>
      <c r="BT117" s="36"/>
      <c r="BU117" s="36"/>
      <c r="BV117" s="15"/>
    </row>
    <row r="118" customFormat="false" ht="15" hidden="false" customHeight="false" outlineLevel="0" collapsed="false">
      <c r="B118" s="13" t="s">
        <v>259</v>
      </c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5" t="n">
        <f aca="false">($BQ$115-$BQ$116)/$BQ$117</f>
        <v>0.00833038670843606</v>
      </c>
      <c r="BP118" s="35" t="n">
        <f aca="false">($BQ$115-$BQ$116)/$BQ$117</f>
        <v>0.00833038670843606</v>
      </c>
      <c r="BQ118" s="36"/>
      <c r="BR118" s="36"/>
      <c r="BS118" s="36"/>
      <c r="BT118" s="36"/>
      <c r="BU118" s="36"/>
      <c r="BV118" s="15" t="s">
        <v>260</v>
      </c>
    </row>
    <row r="119" customFormat="false" ht="15" hidden="false" customHeight="false" outlineLevel="0" collapsed="false">
      <c r="B119" s="51" t="s">
        <v>261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36"/>
      <c r="BP119" s="36"/>
      <c r="BQ119" s="21" t="n">
        <f aca="false">IF(AND(ISNUMBER(BQ157),ISNUMBER(BQ115)),ROUND(BQ157-BQ115,1),"")</f>
        <v>0</v>
      </c>
      <c r="BR119" s="36"/>
      <c r="BS119" s="36"/>
      <c r="BT119" s="36"/>
      <c r="BU119" s="36"/>
      <c r="BV119" s="15"/>
    </row>
    <row r="120" customFormat="false" ht="15" hidden="false" customHeight="false" outlineLevel="0" collapsed="false">
      <c r="B120" s="13" t="s">
        <v>262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36"/>
      <c r="BP120" s="36"/>
      <c r="BQ120" s="21" t="n">
        <f aca="false">SUM(BM108,BN108)+BO15*BO25+BP15*BP25+BO39*BO56+BP39*BP56+BO74+BP74+BO28+BP28+BO60+BP60+BO76+BP76</f>
        <v>629.820652244798</v>
      </c>
      <c r="BR120" s="36"/>
      <c r="BS120" s="36"/>
      <c r="BT120" s="36"/>
      <c r="BU120" s="36"/>
      <c r="BV120" s="15" t="s">
        <v>263</v>
      </c>
    </row>
    <row r="121" customFormat="false" ht="15" hidden="false" customHeight="false" outlineLevel="0" collapsed="false">
      <c r="B121" s="13" t="s">
        <v>264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35" t="n">
        <f aca="false">($BQ$122-$BQ$120)/SUM($BO$15,$BP$15,$BO$39,$BP$39)</f>
        <v>0.0182207492570195</v>
      </c>
      <c r="BP121" s="35" t="n">
        <f aca="false">($BQ$122-$BQ$120)/SUM($BO$15,$BP$15,$BO$39,$BP$39)</f>
        <v>0.0182207492570195</v>
      </c>
      <c r="BQ121" s="36"/>
      <c r="BR121" s="36"/>
      <c r="BS121" s="36"/>
      <c r="BT121" s="36"/>
      <c r="BU121" s="36"/>
      <c r="BV121" s="15" t="s">
        <v>265</v>
      </c>
    </row>
    <row r="122" customFormat="false" ht="15" hidden="false" customHeight="false" outlineLevel="0" collapsed="false">
      <c r="B122" s="50" t="s">
        <v>266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36"/>
      <c r="BP122" s="36"/>
      <c r="BQ122" s="21" t="n">
        <f aca="false">CHOOSE(MATCH($BV$2,{"Bull","Base","Bear"},0),$CE$13,$CF$13,$CG$13)</f>
        <v>667</v>
      </c>
      <c r="BR122" s="36"/>
      <c r="BS122" s="36"/>
      <c r="BT122" s="36"/>
      <c r="BU122" s="36"/>
      <c r="BV122" s="15" t="s">
        <v>267</v>
      </c>
    </row>
    <row r="123" customFormat="false" ht="15" hidden="false" customHeight="false" outlineLevel="0" collapsed="false">
      <c r="B123" s="51" t="s">
        <v>268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36"/>
      <c r="BP123" s="36"/>
      <c r="BQ123" s="21" t="n">
        <f aca="false">IF(AND(ISNUMBER(BQ208),ISNUMBER(BQ122)),ROUND(BQ208-BQ122,1),"")</f>
        <v>0</v>
      </c>
      <c r="BR123" s="36"/>
      <c r="BS123" s="36"/>
      <c r="BT123" s="36"/>
      <c r="BU123" s="36"/>
      <c r="BV123" s="15"/>
    </row>
    <row r="124" customFormat="false" ht="15" hidden="false" customHeight="false" outlineLevel="0" collapsed="false">
      <c r="B124" s="50" t="s">
        <v>269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36"/>
      <c r="BP124" s="36"/>
      <c r="BQ124" s="63" t="n">
        <f aca="false">CHOOSE(MATCH($BV$2,{"Bull","Base","Bear"},0),$CE$14,$CF$14,$CG$14)</f>
        <v>4.75</v>
      </c>
      <c r="BR124" s="36"/>
      <c r="BS124" s="36"/>
      <c r="BT124" s="36"/>
      <c r="BU124" s="36"/>
      <c r="BV124" s="15" t="s">
        <v>270</v>
      </c>
    </row>
    <row r="125" customFormat="false" ht="15" hidden="false" customHeight="false" outlineLevel="0" collapsed="false">
      <c r="B125" s="13" t="s">
        <v>271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36"/>
      <c r="BP125" s="36"/>
      <c r="BQ125" s="63" t="n">
        <f aca="false">BQ236-BQ124</f>
        <v>-0.0105331480021853</v>
      </c>
      <c r="BR125" s="36"/>
      <c r="BS125" s="36"/>
      <c r="BT125" s="36"/>
      <c r="BU125" s="36"/>
      <c r="BV125" s="15"/>
    </row>
    <row r="126" customFormat="false" ht="15" hidden="false" customHeight="false" outlineLevel="0" collapsed="false">
      <c r="B126" s="50" t="s">
        <v>272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36"/>
      <c r="BP126" s="36"/>
      <c r="BQ126" s="21" t="n">
        <f aca="false">CHOOSE(MATCH($BV$2,{"Bull","Base","Bear"},0),$CE$15,$CF$15,$CG$15)</f>
        <v>352.5</v>
      </c>
      <c r="BR126" s="36"/>
      <c r="BS126" s="36"/>
      <c r="BT126" s="36"/>
      <c r="BU126" s="36"/>
      <c r="BV126" s="15" t="s">
        <v>273</v>
      </c>
    </row>
    <row r="127" customFormat="false" ht="15" hidden="false" customHeight="false" outlineLevel="0" collapsed="false">
      <c r="B127" s="13" t="s">
        <v>274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36"/>
      <c r="BP127" s="36"/>
      <c r="BQ127" s="21" t="n">
        <f aca="false">BQ288-BQ126</f>
        <v>15.7357550248702</v>
      </c>
      <c r="BR127" s="36"/>
      <c r="BS127" s="36"/>
      <c r="BT127" s="36"/>
      <c r="BU127" s="36"/>
      <c r="BV127" s="15"/>
    </row>
    <row r="128" customFormat="false" ht="15" hidden="false" customHeight="false" outlineLevel="0" collapsed="false">
      <c r="B128" s="13"/>
      <c r="BO128" s="14"/>
      <c r="BP128" s="14"/>
      <c r="BQ128" s="14"/>
      <c r="BR128" s="14"/>
      <c r="BS128" s="14"/>
      <c r="BT128" s="14"/>
      <c r="BU128" s="14"/>
      <c r="BV128" s="15"/>
    </row>
    <row r="129" customFormat="false" ht="15" hidden="false" customHeight="false" outlineLevel="0" collapsed="false">
      <c r="B129" s="16" t="s">
        <v>275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7" t="s">
        <v>276</v>
      </c>
    </row>
    <row r="130" customFormat="false" ht="15" hidden="false" customHeight="false" outlineLevel="0" collapsed="false">
      <c r="B130" s="13" t="s">
        <v>277</v>
      </c>
      <c r="C130" s="19"/>
      <c r="D130" s="19"/>
      <c r="E130" s="24" t="n">
        <v>286.214</v>
      </c>
      <c r="F130" s="24" t="n">
        <v>293.438</v>
      </c>
      <c r="G130" s="24" t="n">
        <v>297.489</v>
      </c>
      <c r="H130" s="24" t="n">
        <v>343.811</v>
      </c>
      <c r="I130" s="24" t="n">
        <v>1220.952</v>
      </c>
      <c r="J130" s="24" t="n">
        <v>284.438</v>
      </c>
      <c r="K130" s="24" t="n">
        <v>291.751</v>
      </c>
      <c r="L130" s="24" t="n">
        <v>303.304</v>
      </c>
      <c r="M130" s="24" t="n">
        <v>300.403</v>
      </c>
      <c r="N130" s="24" t="n">
        <v>1179.896</v>
      </c>
      <c r="O130" s="24" t="n">
        <v>295.255</v>
      </c>
      <c r="P130" s="24" t="n">
        <v>325.66</v>
      </c>
      <c r="Q130" s="24" t="n">
        <v>316.899</v>
      </c>
      <c r="R130" s="24" t="n">
        <v>331.458</v>
      </c>
      <c r="S130" s="24" t="n">
        <v>1269.272</v>
      </c>
      <c r="T130" s="24" t="n">
        <v>325.081</v>
      </c>
      <c r="U130" s="24" t="n">
        <v>312.866</v>
      </c>
      <c r="V130" s="24" t="n">
        <v>324.545</v>
      </c>
      <c r="W130" s="24" t="n">
        <v>309.369</v>
      </c>
      <c r="X130" s="24" t="n">
        <v>1271.861</v>
      </c>
      <c r="Y130" s="24" t="n">
        <v>316.631</v>
      </c>
      <c r="Z130" s="24" t="n">
        <v>332.14</v>
      </c>
      <c r="AA130" s="24" t="n">
        <v>319.325</v>
      </c>
      <c r="AB130" s="24" t="n">
        <v>351.074</v>
      </c>
      <c r="AC130" s="24" t="n">
        <v>1319.17</v>
      </c>
      <c r="AD130" s="24" t="n">
        <v>304.801</v>
      </c>
      <c r="AE130" s="24" t="n">
        <v>358.352</v>
      </c>
      <c r="AF130" s="24" t="n">
        <v>394.484</v>
      </c>
      <c r="AG130" s="24" t="n">
        <v>370.95</v>
      </c>
      <c r="AH130" s="24" t="n">
        <v>1428.587</v>
      </c>
      <c r="AI130" s="24" t="n">
        <v>423.775</v>
      </c>
      <c r="AJ130" s="24" t="n">
        <v>410.252</v>
      </c>
      <c r="AK130" s="24" t="n">
        <v>386.502</v>
      </c>
      <c r="AL130" s="24" t="n">
        <v>425.728</v>
      </c>
      <c r="AM130" s="24" t="n">
        <v>1646.257</v>
      </c>
      <c r="AN130" s="24" t="n">
        <v>402.068</v>
      </c>
      <c r="AO130" s="24" t="n">
        <v>381.342</v>
      </c>
      <c r="AP130" s="24" t="n">
        <v>386.618</v>
      </c>
      <c r="AQ130" s="24" t="n">
        <v>452.57</v>
      </c>
      <c r="AR130" s="24" t="n">
        <v>1622.598</v>
      </c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36"/>
      <c r="BP130" s="36"/>
      <c r="BQ130" s="36"/>
      <c r="BR130" s="36"/>
      <c r="BS130" s="36"/>
      <c r="BT130" s="36"/>
      <c r="BU130" s="36"/>
      <c r="BV130" s="15"/>
    </row>
    <row r="131" customFormat="false" ht="15" hidden="false" customHeight="false" outlineLevel="0" collapsed="false">
      <c r="B131" s="13" t="s">
        <v>278</v>
      </c>
      <c r="C131" s="19"/>
      <c r="D131" s="19"/>
      <c r="E131" s="24" t="n">
        <v>24.455</v>
      </c>
      <c r="F131" s="24" t="n">
        <v>26.015</v>
      </c>
      <c r="G131" s="24" t="n">
        <v>20.236</v>
      </c>
      <c r="H131" s="24" t="n">
        <v>14.128</v>
      </c>
      <c r="I131" s="24" t="n">
        <v>84.834</v>
      </c>
      <c r="J131" s="24" t="n">
        <v>18.584</v>
      </c>
      <c r="K131" s="24" t="n">
        <v>21.589</v>
      </c>
      <c r="L131" s="24" t="n">
        <v>21.261</v>
      </c>
      <c r="M131" s="24" t="n">
        <v>22.373</v>
      </c>
      <c r="N131" s="24" t="n">
        <v>83.807</v>
      </c>
      <c r="O131" s="24" t="n">
        <v>22.525</v>
      </c>
      <c r="P131" s="24" t="n">
        <v>23.135</v>
      </c>
      <c r="Q131" s="24" t="n">
        <v>26.178</v>
      </c>
      <c r="R131" s="24" t="n">
        <v>25.381</v>
      </c>
      <c r="S131" s="24" t="n">
        <v>97.219</v>
      </c>
      <c r="T131" s="24" t="n">
        <v>27.854</v>
      </c>
      <c r="U131" s="24" t="n">
        <v>44.785</v>
      </c>
      <c r="V131" s="24" t="n">
        <v>27.507</v>
      </c>
      <c r="W131" s="24" t="n">
        <v>37.103</v>
      </c>
      <c r="X131" s="24" t="n">
        <v>137.249</v>
      </c>
      <c r="Y131" s="24" t="n">
        <v>30.033</v>
      </c>
      <c r="Z131" s="24" t="n">
        <v>32.596</v>
      </c>
      <c r="AA131" s="24" t="n">
        <v>28.366</v>
      </c>
      <c r="AB131" s="24" t="n">
        <v>31.443</v>
      </c>
      <c r="AC131" s="24" t="n">
        <v>122.438</v>
      </c>
      <c r="AD131" s="24" t="n">
        <v>29.094</v>
      </c>
      <c r="AE131" s="24" t="n">
        <v>29.829</v>
      </c>
      <c r="AF131" s="24" t="n">
        <v>33.237</v>
      </c>
      <c r="AG131" s="24" t="n">
        <v>39.179</v>
      </c>
      <c r="AH131" s="24" t="n">
        <v>131.339</v>
      </c>
      <c r="AI131" s="24" t="n">
        <v>36.765</v>
      </c>
      <c r="AJ131" s="24" t="n">
        <v>33.328</v>
      </c>
      <c r="AK131" s="24" t="n">
        <v>33.707</v>
      </c>
      <c r="AL131" s="24" t="n">
        <v>32.693</v>
      </c>
      <c r="AM131" s="24" t="n">
        <v>136.493</v>
      </c>
      <c r="AN131" s="24" t="n">
        <v>25.483</v>
      </c>
      <c r="AO131" s="24" t="n">
        <v>30.134</v>
      </c>
      <c r="AP131" s="24" t="n">
        <v>35.739</v>
      </c>
      <c r="AQ131" s="24" t="n">
        <v>32.182</v>
      </c>
      <c r="AR131" s="24" t="n">
        <v>123.538</v>
      </c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36"/>
      <c r="BP131" s="36"/>
      <c r="BQ131" s="36"/>
      <c r="BR131" s="36"/>
      <c r="BS131" s="36"/>
      <c r="BT131" s="36"/>
      <c r="BU131" s="36"/>
      <c r="BV131" s="15"/>
    </row>
    <row r="132" customFormat="false" ht="15" hidden="false" customHeight="false" outlineLevel="0" collapsed="false">
      <c r="B132" s="13" t="s">
        <v>279</v>
      </c>
      <c r="C132" s="19"/>
      <c r="D132" s="19"/>
      <c r="E132" s="24" t="n">
        <v>47.78</v>
      </c>
      <c r="F132" s="24" t="n">
        <v>44.927</v>
      </c>
      <c r="G132" s="24" t="n">
        <v>21.529</v>
      </c>
      <c r="H132" s="24" t="n">
        <v>40.485</v>
      </c>
      <c r="I132" s="24" t="n">
        <v>154.721</v>
      </c>
      <c r="J132" s="24" t="n">
        <v>32.957</v>
      </c>
      <c r="K132" s="24" t="n">
        <v>45.466</v>
      </c>
      <c r="L132" s="24" t="n">
        <v>34.927</v>
      </c>
      <c r="M132" s="24" t="n">
        <v>41.682</v>
      </c>
      <c r="N132" s="24" t="n">
        <v>155.032</v>
      </c>
      <c r="O132" s="24" t="n">
        <v>47.314</v>
      </c>
      <c r="P132" s="24" t="n">
        <v>54.194</v>
      </c>
      <c r="Q132" s="24" t="n">
        <v>38.19</v>
      </c>
      <c r="R132" s="24" t="n">
        <v>49.461</v>
      </c>
      <c r="S132" s="24" t="n">
        <v>189.159</v>
      </c>
      <c r="T132" s="24" t="n">
        <v>77.674</v>
      </c>
      <c r="U132" s="24" t="n">
        <v>54.569</v>
      </c>
      <c r="V132" s="24" t="n">
        <v>68.621</v>
      </c>
      <c r="W132" s="24" t="n">
        <v>84.967</v>
      </c>
      <c r="X132" s="24" t="n">
        <v>285.831</v>
      </c>
      <c r="Y132" s="24" t="n">
        <v>112.816</v>
      </c>
      <c r="Z132" s="24" t="n">
        <v>75.697</v>
      </c>
      <c r="AA132" s="24" t="n">
        <v>79.162</v>
      </c>
      <c r="AB132" s="24" t="n">
        <v>98.236</v>
      </c>
      <c r="AC132" s="24" t="n">
        <v>365.911</v>
      </c>
      <c r="AD132" s="24" t="n">
        <v>84.399</v>
      </c>
      <c r="AE132" s="24" t="n">
        <v>86.639</v>
      </c>
      <c r="AF132" s="24" t="n">
        <v>84.376</v>
      </c>
      <c r="AG132" s="24" t="n">
        <v>97.226</v>
      </c>
      <c r="AH132" s="24" t="n">
        <v>352.64</v>
      </c>
      <c r="AI132" s="24" t="n">
        <v>87.917</v>
      </c>
      <c r="AJ132" s="24" t="n">
        <v>67.983</v>
      </c>
      <c r="AK132" s="24" t="n">
        <v>108.104</v>
      </c>
      <c r="AL132" s="24" t="n">
        <v>107.265</v>
      </c>
      <c r="AM132" s="24" t="n">
        <v>371.269</v>
      </c>
      <c r="AN132" s="24" t="n">
        <v>107.398</v>
      </c>
      <c r="AO132" s="24" t="n">
        <v>101.842</v>
      </c>
      <c r="AP132" s="24" t="n">
        <v>83.382</v>
      </c>
      <c r="AQ132" s="24" t="n">
        <v>114.46</v>
      </c>
      <c r="AR132" s="24" t="n">
        <v>407.082</v>
      </c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36"/>
      <c r="BP132" s="36"/>
      <c r="BQ132" s="36"/>
      <c r="BR132" s="36"/>
      <c r="BS132" s="36"/>
      <c r="BT132" s="36"/>
      <c r="BU132" s="36"/>
      <c r="BV132" s="15"/>
    </row>
    <row r="133" customFormat="false" ht="15" hidden="false" customHeight="false" outlineLevel="0" collapsed="false">
      <c r="B133" s="13" t="s">
        <v>280</v>
      </c>
      <c r="C133" s="19"/>
      <c r="D133" s="19"/>
      <c r="E133" s="24" t="n">
        <v>0.278</v>
      </c>
      <c r="F133" s="24" t="n">
        <v>0</v>
      </c>
      <c r="G133" s="24" t="n">
        <v>0</v>
      </c>
      <c r="H133" s="24" t="n">
        <v>0</v>
      </c>
      <c r="I133" s="24" t="n">
        <v>0.278</v>
      </c>
      <c r="J133" s="19"/>
      <c r="K133" s="24" t="n">
        <v>0</v>
      </c>
      <c r="L133" s="24" t="n">
        <v>0</v>
      </c>
      <c r="M133" s="24" t="n">
        <v>0</v>
      </c>
      <c r="N133" s="24" t="n">
        <v>0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36"/>
      <c r="BP133" s="36"/>
      <c r="BQ133" s="36"/>
      <c r="BR133" s="36"/>
      <c r="BS133" s="36"/>
      <c r="BT133" s="36"/>
      <c r="BU133" s="36"/>
      <c r="BV133" s="15"/>
    </row>
    <row r="134" customFormat="false" ht="15" hidden="false" customHeight="false" outlineLevel="0" collapsed="false">
      <c r="B134" s="13" t="s">
        <v>281</v>
      </c>
      <c r="C134" s="19"/>
      <c r="D134" s="19"/>
      <c r="E134" s="24" t="n">
        <v>59.528</v>
      </c>
      <c r="F134" s="24" t="n">
        <v>58.682</v>
      </c>
      <c r="G134" s="24" t="n">
        <v>61.893</v>
      </c>
      <c r="H134" s="24" t="n">
        <v>90.433</v>
      </c>
      <c r="I134" s="24" t="n">
        <v>270.536</v>
      </c>
      <c r="J134" s="24" t="n">
        <v>68.012</v>
      </c>
      <c r="K134" s="24" t="n">
        <v>61.145</v>
      </c>
      <c r="L134" s="24" t="n">
        <v>62.72</v>
      </c>
      <c r="M134" s="24" t="n">
        <v>65.523</v>
      </c>
      <c r="N134" s="24" t="n">
        <v>257.4</v>
      </c>
      <c r="O134" s="24" t="n">
        <v>64.942</v>
      </c>
      <c r="P134" s="24" t="n">
        <v>64.407</v>
      </c>
      <c r="Q134" s="24" t="n">
        <v>62.537</v>
      </c>
      <c r="R134" s="24" t="n">
        <v>76.617</v>
      </c>
      <c r="S134" s="24" t="n">
        <v>268.503</v>
      </c>
      <c r="T134" s="24" t="n">
        <v>73.248</v>
      </c>
      <c r="U134" s="24" t="n">
        <v>74.794</v>
      </c>
      <c r="V134" s="24" t="n">
        <v>71.902</v>
      </c>
      <c r="W134" s="24" t="n">
        <v>69.908</v>
      </c>
      <c r="X134" s="24" t="n">
        <v>289.852</v>
      </c>
      <c r="Y134" s="24" t="n">
        <v>67.657</v>
      </c>
      <c r="Z134" s="24" t="n">
        <v>67.046</v>
      </c>
      <c r="AA134" s="24" t="n">
        <v>45.58</v>
      </c>
      <c r="AB134" s="24" t="n">
        <v>91.122</v>
      </c>
      <c r="AC134" s="24" t="n">
        <v>271.405</v>
      </c>
      <c r="AD134" s="24" t="n">
        <v>57.625</v>
      </c>
      <c r="AE134" s="24" t="n">
        <v>75.226</v>
      </c>
      <c r="AF134" s="24" t="n">
        <v>93.667</v>
      </c>
      <c r="AG134" s="24" t="n">
        <v>71.81</v>
      </c>
      <c r="AH134" s="24" t="n">
        <v>298.328</v>
      </c>
      <c r="AI134" s="24" t="n">
        <v>90.359</v>
      </c>
      <c r="AJ134" s="24" t="n">
        <v>85.972</v>
      </c>
      <c r="AK134" s="24" t="n">
        <v>68.46</v>
      </c>
      <c r="AL134" s="24" t="n">
        <v>81.258</v>
      </c>
      <c r="AM134" s="24" t="n">
        <v>326.049</v>
      </c>
      <c r="AN134" s="24" t="n">
        <v>74.36</v>
      </c>
      <c r="AO134" s="24" t="n">
        <v>69.157</v>
      </c>
      <c r="AP134" s="24" t="n">
        <v>79.372</v>
      </c>
      <c r="AQ134" s="24" t="n">
        <v>85.756</v>
      </c>
      <c r="AR134" s="24" t="n">
        <v>308.645</v>
      </c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36"/>
      <c r="BP134" s="36"/>
      <c r="BQ134" s="36"/>
      <c r="BR134" s="36"/>
      <c r="BS134" s="36"/>
      <c r="BT134" s="36"/>
      <c r="BU134" s="36"/>
      <c r="BV134" s="15"/>
    </row>
    <row r="135" customFormat="false" ht="15" hidden="false" customHeight="false" outlineLevel="0" collapsed="false">
      <c r="B135" s="13" t="s">
        <v>282</v>
      </c>
      <c r="C135" s="19"/>
      <c r="D135" s="19"/>
      <c r="E135" s="24" t="n">
        <v>14.789</v>
      </c>
      <c r="F135" s="24" t="n">
        <v>15.078</v>
      </c>
      <c r="G135" s="24" t="n">
        <v>4.951</v>
      </c>
      <c r="H135" s="24" t="n">
        <v>0.385</v>
      </c>
      <c r="I135" s="24" t="n">
        <v>35.203</v>
      </c>
      <c r="J135" s="24" t="n">
        <v>1.645</v>
      </c>
      <c r="K135" s="24" t="n">
        <v>5.49</v>
      </c>
      <c r="L135" s="24" t="n">
        <v>8.34</v>
      </c>
      <c r="M135" s="24" t="n">
        <v>2.614</v>
      </c>
      <c r="N135" s="24" t="n">
        <v>18.089</v>
      </c>
      <c r="O135" s="24" t="n">
        <v>5.371</v>
      </c>
      <c r="P135" s="24" t="n">
        <v>4.621</v>
      </c>
      <c r="Q135" s="24" t="n">
        <v>4.683</v>
      </c>
      <c r="R135" s="24" t="n">
        <v>1.82</v>
      </c>
      <c r="S135" s="24" t="n">
        <v>16.495</v>
      </c>
      <c r="T135" s="24" t="n">
        <v>0.662</v>
      </c>
      <c r="U135" s="24" t="n">
        <v>15.659</v>
      </c>
      <c r="V135" s="24" t="n">
        <v>1.033</v>
      </c>
      <c r="W135" s="24" t="n">
        <v>5.764</v>
      </c>
      <c r="X135" s="24" t="n">
        <v>23.118</v>
      </c>
      <c r="Y135" s="24" t="n">
        <v>1.177</v>
      </c>
      <c r="Z135" s="24" t="n">
        <v>3.511</v>
      </c>
      <c r="AA135" s="24" t="n">
        <v>6.494</v>
      </c>
      <c r="AB135" s="24" t="n">
        <v>9.192</v>
      </c>
      <c r="AC135" s="24" t="n">
        <v>20.374</v>
      </c>
      <c r="AD135" s="24" t="n">
        <v>1.571</v>
      </c>
      <c r="AE135" s="24" t="n">
        <v>1.49</v>
      </c>
      <c r="AF135" s="24" t="n">
        <v>5.516</v>
      </c>
      <c r="AG135" s="24" t="n">
        <v>5.649</v>
      </c>
      <c r="AH135" s="24" t="n">
        <v>14.226</v>
      </c>
      <c r="AI135" s="24" t="n">
        <v>6.4</v>
      </c>
      <c r="AJ135" s="24" t="n">
        <v>4.122</v>
      </c>
      <c r="AK135" s="24" t="n">
        <v>7.557</v>
      </c>
      <c r="AL135" s="24" t="n">
        <v>8.357</v>
      </c>
      <c r="AM135" s="24" t="n">
        <v>26.436</v>
      </c>
      <c r="AN135" s="24" t="n">
        <v>5.747</v>
      </c>
      <c r="AO135" s="24" t="n">
        <v>5.76</v>
      </c>
      <c r="AP135" s="24" t="n">
        <v>10.304</v>
      </c>
      <c r="AQ135" s="24" t="n">
        <v>6.121</v>
      </c>
      <c r="AR135" s="24" t="n">
        <v>27.932</v>
      </c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36"/>
      <c r="BP135" s="36"/>
      <c r="BQ135" s="36"/>
      <c r="BR135" s="36"/>
      <c r="BS135" s="36"/>
      <c r="BT135" s="36"/>
      <c r="BU135" s="36"/>
      <c r="BV135" s="15"/>
    </row>
    <row r="136" customFormat="false" ht="15" hidden="false" customHeight="false" outlineLevel="0" collapsed="false">
      <c r="B136" s="13" t="s">
        <v>283</v>
      </c>
      <c r="C136" s="19"/>
      <c r="D136" s="19"/>
      <c r="E136" s="24" t="n">
        <v>0.523</v>
      </c>
      <c r="F136" s="24" t="n">
        <v>1.548</v>
      </c>
      <c r="G136" s="24" t="n">
        <v>-6.698</v>
      </c>
      <c r="H136" s="24" t="n">
        <v>-18.584</v>
      </c>
      <c r="I136" s="24" t="n">
        <v>-23.211</v>
      </c>
      <c r="J136" s="24" t="n">
        <v>-3.666</v>
      </c>
      <c r="K136" s="24" t="n">
        <v>2.364</v>
      </c>
      <c r="L136" s="24" t="n">
        <v>1.382</v>
      </c>
      <c r="M136" s="24" t="n">
        <v>1.59</v>
      </c>
      <c r="N136" s="24" t="n">
        <v>1.669</v>
      </c>
      <c r="O136" s="24" t="n">
        <v>7.386</v>
      </c>
      <c r="P136" s="24" t="n">
        <v>26.458</v>
      </c>
      <c r="Q136" s="24" t="n">
        <v>1</v>
      </c>
      <c r="R136" s="24" t="n">
        <v>3.64</v>
      </c>
      <c r="S136" s="24" t="n">
        <v>38.484</v>
      </c>
      <c r="T136" s="24" t="n">
        <v>13.798</v>
      </c>
      <c r="U136" s="24" t="n">
        <v>6.541</v>
      </c>
      <c r="V136" s="24" t="n">
        <v>9.305</v>
      </c>
      <c r="W136" s="24" t="n">
        <v>10.334</v>
      </c>
      <c r="X136" s="24" t="n">
        <v>39.978</v>
      </c>
      <c r="Y136" s="24" t="n">
        <v>21.764</v>
      </c>
      <c r="Z136" s="24" t="n">
        <v>7.81</v>
      </c>
      <c r="AA136" s="24" t="n">
        <v>9.063</v>
      </c>
      <c r="AB136" s="24" t="n">
        <v>13.633</v>
      </c>
      <c r="AC136" s="24" t="n">
        <v>52.27</v>
      </c>
      <c r="AD136" s="24" t="n">
        <v>12.583</v>
      </c>
      <c r="AE136" s="24" t="n">
        <v>14.883</v>
      </c>
      <c r="AF136" s="24" t="n">
        <v>8.967</v>
      </c>
      <c r="AG136" s="24" t="n">
        <v>17.382</v>
      </c>
      <c r="AH136" s="24" t="n">
        <v>53.815</v>
      </c>
      <c r="AI136" s="24" t="n">
        <v>8.47</v>
      </c>
      <c r="AJ136" s="24" t="n">
        <v>1.102</v>
      </c>
      <c r="AK136" s="24" t="n">
        <v>29.199</v>
      </c>
      <c r="AL136" s="24" t="n">
        <v>13.218</v>
      </c>
      <c r="AM136" s="24" t="n">
        <v>51.989</v>
      </c>
      <c r="AN136" s="24" t="n">
        <v>10.318</v>
      </c>
      <c r="AO136" s="24" t="n">
        <v>10.84</v>
      </c>
      <c r="AP136" s="24" t="n">
        <v>8.977</v>
      </c>
      <c r="AQ136" s="24" t="n">
        <v>22.413</v>
      </c>
      <c r="AR136" s="24" t="n">
        <v>52.548</v>
      </c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36"/>
      <c r="BP136" s="36"/>
      <c r="BQ136" s="36"/>
      <c r="BR136" s="36"/>
      <c r="BS136" s="36"/>
      <c r="BT136" s="36"/>
      <c r="BU136" s="36"/>
      <c r="BV136" s="15"/>
    </row>
    <row r="137" customFormat="false" ht="15" hidden="false" customHeight="false" outlineLevel="0" collapsed="false">
      <c r="B137" s="13" t="s">
        <v>284</v>
      </c>
      <c r="C137" s="19"/>
      <c r="D137" s="19"/>
      <c r="E137" s="24" t="n">
        <v>-26.709</v>
      </c>
      <c r="F137" s="24" t="n">
        <v>-31.933</v>
      </c>
      <c r="G137" s="24" t="n">
        <v>-5.14</v>
      </c>
      <c r="H137" s="24" t="n">
        <v>-5.164</v>
      </c>
      <c r="I137" s="24" t="n">
        <v>-68.946</v>
      </c>
      <c r="J137" s="24" t="n">
        <v>-5.168</v>
      </c>
      <c r="K137" s="24" t="n">
        <v>-4.49</v>
      </c>
      <c r="L137" s="24" t="n">
        <v>-2.357</v>
      </c>
      <c r="M137" s="24" t="n">
        <v>-1.934</v>
      </c>
      <c r="N137" s="24" t="n">
        <v>-13.949</v>
      </c>
      <c r="O137" s="24" t="n">
        <v>-1.89</v>
      </c>
      <c r="P137" s="24" t="n">
        <v>-1.271</v>
      </c>
      <c r="Q137" s="24" t="n">
        <v>-1.907</v>
      </c>
      <c r="R137" s="24" t="n">
        <v>-1.33</v>
      </c>
      <c r="S137" s="24" t="n">
        <v>-6.398</v>
      </c>
      <c r="T137" s="24" t="n">
        <v>-1.612</v>
      </c>
      <c r="U137" s="24" t="n">
        <v>-1.07</v>
      </c>
      <c r="V137" s="24" t="n">
        <v>-2.255</v>
      </c>
      <c r="W137" s="24" t="n">
        <v>-5.751</v>
      </c>
      <c r="X137" s="24" t="n">
        <v>-10.688</v>
      </c>
      <c r="Y137" s="24" t="n">
        <v>-4.043</v>
      </c>
      <c r="Z137" s="24" t="n">
        <v>-4.357</v>
      </c>
      <c r="AA137" s="24" t="n">
        <v>-5.142</v>
      </c>
      <c r="AB137" s="24" t="n">
        <v>-4.532</v>
      </c>
      <c r="AC137" s="24" t="n">
        <v>-18.074</v>
      </c>
      <c r="AD137" s="24" t="n">
        <v>-6.096</v>
      </c>
      <c r="AE137" s="24" t="n">
        <v>-6.744</v>
      </c>
      <c r="AF137" s="24" t="n">
        <v>-6.948</v>
      </c>
      <c r="AG137" s="24" t="n">
        <v>-3.311</v>
      </c>
      <c r="AH137" s="24" t="n">
        <v>-23.099</v>
      </c>
      <c r="AI137" s="24" t="n">
        <v>-5.359</v>
      </c>
      <c r="AJ137" s="24" t="n">
        <v>-5.6</v>
      </c>
      <c r="AK137" s="24" t="n">
        <v>-5.714</v>
      </c>
      <c r="AL137" s="24" t="n">
        <v>-5.636</v>
      </c>
      <c r="AM137" s="24" t="n">
        <v>-22.309</v>
      </c>
      <c r="AN137" s="24" t="n">
        <v>-5.886</v>
      </c>
      <c r="AO137" s="24" t="n">
        <v>-7.246</v>
      </c>
      <c r="AP137" s="24" t="n">
        <v>-6.186</v>
      </c>
      <c r="AQ137" s="24" t="n">
        <v>-5.015</v>
      </c>
      <c r="AR137" s="24" t="n">
        <v>-24.333</v>
      </c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36"/>
      <c r="BP137" s="36"/>
      <c r="BQ137" s="36"/>
      <c r="BR137" s="36"/>
      <c r="BS137" s="36"/>
      <c r="BT137" s="36"/>
      <c r="BU137" s="36"/>
      <c r="BV137" s="15"/>
    </row>
    <row r="138" customFormat="false" ht="15" hidden="false" customHeight="false" outlineLevel="0" collapsed="false">
      <c r="B138" s="13" t="s">
        <v>285</v>
      </c>
      <c r="C138" s="19"/>
      <c r="D138" s="19"/>
      <c r="E138" s="19"/>
      <c r="F138" s="24" t="n">
        <v>192.452</v>
      </c>
      <c r="G138" s="24" t="n">
        <v>273.415</v>
      </c>
      <c r="H138" s="24" t="n">
        <v>264.992</v>
      </c>
      <c r="I138" s="24" t="n">
        <v>264.992</v>
      </c>
      <c r="J138" s="24" t="n">
        <v>236.164</v>
      </c>
      <c r="K138" s="24" t="n">
        <v>380.549</v>
      </c>
      <c r="L138" s="24" t="n">
        <v>341.952</v>
      </c>
      <c r="M138" s="24" t="n">
        <v>335.333</v>
      </c>
      <c r="N138" s="24" t="n">
        <v>335.333</v>
      </c>
      <c r="O138" s="24" t="n">
        <v>345.006</v>
      </c>
      <c r="P138" s="24" t="n">
        <v>405.364</v>
      </c>
      <c r="Q138" s="24" t="n">
        <v>395.001</v>
      </c>
      <c r="R138" s="24" t="n">
        <v>492.793</v>
      </c>
      <c r="S138" s="24" t="n">
        <v>492.793</v>
      </c>
      <c r="T138" s="24" t="n">
        <v>478.357</v>
      </c>
      <c r="U138" s="24" t="n">
        <v>480.534</v>
      </c>
      <c r="V138" s="24" t="n">
        <v>527.708</v>
      </c>
      <c r="W138" s="24" t="n">
        <v>637.053</v>
      </c>
      <c r="X138" s="24" t="n">
        <v>637.053</v>
      </c>
      <c r="Y138" s="24" t="n">
        <v>550.097</v>
      </c>
      <c r="Z138" s="24" t="n">
        <v>883.049</v>
      </c>
      <c r="AA138" s="24" t="n">
        <v>868.258</v>
      </c>
      <c r="AB138" s="24" t="n">
        <v>803.634</v>
      </c>
      <c r="AC138" s="24" t="n">
        <v>803.634</v>
      </c>
      <c r="AD138" s="24" t="n">
        <v>769.351</v>
      </c>
      <c r="AE138" s="24" t="n">
        <v>750.417</v>
      </c>
      <c r="AF138" s="24" t="n">
        <v>729.445</v>
      </c>
      <c r="AG138" s="24" t="n">
        <v>729.748</v>
      </c>
      <c r="AH138" s="24" t="n">
        <v>729.748</v>
      </c>
      <c r="AI138" s="24" t="n">
        <v>778.394</v>
      </c>
      <c r="AJ138" s="24" t="n">
        <v>771.407</v>
      </c>
      <c r="AK138" s="24" t="n">
        <v>726.081</v>
      </c>
      <c r="AL138" s="24" t="n">
        <v>725.702</v>
      </c>
      <c r="AM138" s="24" t="n">
        <v>725.702</v>
      </c>
      <c r="AN138" s="24" t="n">
        <v>697.169</v>
      </c>
      <c r="AO138" s="24" t="n">
        <v>674.287</v>
      </c>
      <c r="AP138" s="24" t="n">
        <v>687.806</v>
      </c>
      <c r="AQ138" s="24" t="n">
        <v>643.866</v>
      </c>
      <c r="AR138" s="24" t="n">
        <v>643.866</v>
      </c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36"/>
      <c r="BP138" s="36"/>
      <c r="BQ138" s="36"/>
      <c r="BR138" s="36"/>
      <c r="BS138" s="36"/>
      <c r="BT138" s="36"/>
      <c r="BU138" s="36"/>
      <c r="BV138" s="15"/>
    </row>
    <row r="139" customFormat="false" ht="15" hidden="false" customHeight="false" outlineLevel="0" collapsed="false">
      <c r="B139" s="13" t="s">
        <v>286</v>
      </c>
      <c r="C139" s="19"/>
      <c r="D139" s="19"/>
      <c r="E139" s="20" t="str">
        <f aca="false">IF(ISNUMBER(E138),E110-E138,"")</f>
        <v/>
      </c>
      <c r="F139" s="20" t="n">
        <f aca="false">IF(ISNUMBER(F138),F110-F138,"")</f>
        <v>2592.229</v>
      </c>
      <c r="G139" s="20" t="n">
        <f aca="false">IF(ISNUMBER(G138),G110-G138,"")</f>
        <v>2380.913</v>
      </c>
      <c r="H139" s="20" t="n">
        <f aca="false">IF(ISNUMBER(H138),H110-H138,"")</f>
        <v>2780.734</v>
      </c>
      <c r="I139" s="20" t="n">
        <f aca="false">IF(ISNUMBER(I138),I110-I138,"")</f>
        <v>2780.734</v>
      </c>
      <c r="J139" s="20" t="n">
        <f aca="false">IF(ISNUMBER(J138),J110-J138,"")</f>
        <v>2867.333</v>
      </c>
      <c r="K139" s="20" t="n">
        <f aca="false">IF(ISNUMBER(K138),K110-K138,"")</f>
        <v>2611.543</v>
      </c>
      <c r="L139" s="20" t="n">
        <f aca="false">IF(ISNUMBER(L138),L110-L138,"")</f>
        <v>2457.657</v>
      </c>
      <c r="M139" s="20" t="n">
        <f aca="false">IF(ISNUMBER(M138),M110-M138,"")</f>
        <v>2314.955</v>
      </c>
      <c r="N139" s="20" t="n">
        <f aca="false">IF(ISNUMBER(N138),N110-N138,"")</f>
        <v>2314.955</v>
      </c>
      <c r="O139" s="20" t="n">
        <f aca="false">IF(ISNUMBER(O138),O110-O138,"")</f>
        <v>2117.853</v>
      </c>
      <c r="P139" s="20" t="n">
        <f aca="false">IF(ISNUMBER(P138),P110-P138,"")</f>
        <v>3267.362</v>
      </c>
      <c r="Q139" s="20" t="n">
        <f aca="false">IF(ISNUMBER(Q138),Q110-Q138,"")</f>
        <v>2992.832</v>
      </c>
      <c r="R139" s="20" t="n">
        <f aca="false">IF(ISNUMBER(R138),R110-R138,"")</f>
        <v>3489.987</v>
      </c>
      <c r="S139" s="20" t="n">
        <f aca="false">IF(ISNUMBER(S138),S110-S138,"")</f>
        <v>3489.987</v>
      </c>
      <c r="T139" s="20" t="n">
        <f aca="false">IF(ISNUMBER(T138),T110-T138,"")</f>
        <v>3440.708</v>
      </c>
      <c r="U139" s="20" t="n">
        <f aca="false">IF(ISNUMBER(U138),U110-U138,"")</f>
        <v>3283.149</v>
      </c>
      <c r="V139" s="20" t="n">
        <f aca="false">IF(ISNUMBER(V138),V110-V138,"")</f>
        <v>3007.608</v>
      </c>
      <c r="W139" s="20" t="n">
        <f aca="false">IF(ISNUMBER(W138),W110-W138,"")</f>
        <v>3333.701</v>
      </c>
      <c r="X139" s="20" t="n">
        <f aca="false">IF(ISNUMBER(X138),X110-X138,"")</f>
        <v>3333.701</v>
      </c>
      <c r="Y139" s="20" t="n">
        <f aca="false">IF(ISNUMBER(Y138),Y110-Y138,"")</f>
        <v>3030.329</v>
      </c>
      <c r="Z139" s="20" t="n">
        <f aca="false">IF(ISNUMBER(Z138),Z110-Z138,"")</f>
        <v>2729.568</v>
      </c>
      <c r="AA139" s="20" t="n">
        <f aca="false">IF(ISNUMBER(AA138),AA110-AA138,"")</f>
        <v>2965.675</v>
      </c>
      <c r="AB139" s="20" t="n">
        <f aca="false">IF(ISNUMBER(AB138),AB110-AB138,"")</f>
        <v>2674.966</v>
      </c>
      <c r="AC139" s="20" t="n">
        <f aca="false">IF(ISNUMBER(AC138),AC110-AC138,"")</f>
        <v>2674.966</v>
      </c>
      <c r="AD139" s="20" t="n">
        <f aca="false">IF(ISNUMBER(AD138),AD110-AD138,"")</f>
        <v>4054.614</v>
      </c>
      <c r="AE139" s="20" t="n">
        <f aca="false">IF(ISNUMBER(AE138),AE110-AE138,"")</f>
        <v>3754.546</v>
      </c>
      <c r="AF139" s="20" t="n">
        <f aca="false">IF(ISNUMBER(AF138),AF110-AF138,"")</f>
        <v>3490.741</v>
      </c>
      <c r="AG139" s="20" t="n">
        <f aca="false">IF(ISNUMBER(AG138),AG110-AG138,"")</f>
        <v>4558.718</v>
      </c>
      <c r="AH139" s="20" t="n">
        <f aca="false">IF(ISNUMBER(AH138),AH110-AH138,"")</f>
        <v>4558.718</v>
      </c>
      <c r="AI139" s="20" t="n">
        <f aca="false">IF(ISNUMBER(AI138),AI110-AI138,"")</f>
        <v>4332.548</v>
      </c>
      <c r="AJ139" s="20" t="n">
        <f aca="false">IF(ISNUMBER(AJ138),AJ110-AJ138,"")</f>
        <v>3956.976</v>
      </c>
      <c r="AK139" s="20" t="n">
        <f aca="false">IF(ISNUMBER(AK138),AK110-AK138,"")</f>
        <v>3638.933</v>
      </c>
      <c r="AL139" s="20" t="n">
        <f aca="false">IF(ISNUMBER(AL138),AL110-AL138,"")</f>
        <v>3680.126</v>
      </c>
      <c r="AM139" s="20" t="n">
        <f aca="false">IF(ISNUMBER(AM138),AM110-AM138,"")</f>
        <v>3680.126</v>
      </c>
      <c r="AN139" s="20" t="n">
        <f aca="false">IF(ISNUMBER(AN138),AN110-AN138,"")</f>
        <v>4495.617</v>
      </c>
      <c r="AO139" s="20" t="n">
        <f aca="false">IF(ISNUMBER(AO138),AO110-AO138,"")</f>
        <v>4174.767</v>
      </c>
      <c r="AP139" s="20" t="n">
        <f aca="false">IF(ISNUMBER(AP138),AP110-AP138,"")</f>
        <v>3813.289</v>
      </c>
      <c r="AQ139" s="20" t="n">
        <f aca="false">IF(ISNUMBER(AQ138),AQ110-AQ138,"")</f>
        <v>4532.17</v>
      </c>
      <c r="AR139" s="20" t="n">
        <f aca="false">IF(ISNUMBER(AR138),AR110-AR138,"")</f>
        <v>4532.17</v>
      </c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36"/>
      <c r="BP139" s="36"/>
      <c r="BQ139" s="36"/>
      <c r="BR139" s="36"/>
      <c r="BS139" s="36"/>
      <c r="BT139" s="36"/>
      <c r="BU139" s="36"/>
      <c r="BV139" s="15"/>
    </row>
    <row r="140" customFormat="false" ht="15" hidden="false" customHeight="false" outlineLevel="0" collapsed="false">
      <c r="B140" s="13"/>
      <c r="BO140" s="14"/>
      <c r="BP140" s="14"/>
      <c r="BQ140" s="14"/>
      <c r="BR140" s="14"/>
      <c r="BS140" s="14"/>
      <c r="BT140" s="14"/>
      <c r="BU140" s="14"/>
      <c r="BV140" s="15"/>
    </row>
    <row r="141" customFormat="false" ht="15" hidden="false" customHeight="false" outlineLevel="0" collapsed="false">
      <c r="B141" s="16" t="s">
        <v>287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7" t="s">
        <v>288</v>
      </c>
    </row>
    <row r="142" customFormat="false" ht="15" hidden="false" customHeight="false" outlineLevel="0" collapsed="false">
      <c r="B142" s="13" t="s">
        <v>289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43" t="n">
        <f aca="false">IF(AND(ISNUMBER(AM163),ISNUMBER(AM15)),IFERROR(AM163/AM15,""),"")</f>
        <v>0.0153999116342725</v>
      </c>
      <c r="AN142" s="43" t="n">
        <f aca="false">IF(AND(ISNUMBER(AN163),ISNUMBER(AN15)),IFERROR(AN163/AN15,""),"")</f>
        <v>0.0196468017246471</v>
      </c>
      <c r="AO142" s="43" t="n">
        <f aca="false">IF(AND(ISNUMBER(AO163),ISNUMBER(AO15)),IFERROR(AO163/AO15,""),"")</f>
        <v>0.0179113532282606</v>
      </c>
      <c r="AP142" s="43" t="n">
        <f aca="false">IF(AND(ISNUMBER(AP163),ISNUMBER(AP15)),IFERROR(AP163/AP15,""),"")</f>
        <v>0.0254543449545595</v>
      </c>
      <c r="AQ142" s="43" t="n">
        <f aca="false">IF(AND(ISNUMBER(AQ163),ISNUMBER(AQ15)),IFERROR(AQ163/AQ15,""),"")</f>
        <v>0.0152362548154579</v>
      </c>
      <c r="AR142" s="43" t="n">
        <f aca="false">IF(AND(ISNUMBER(AR163),ISNUMBER(AR15)),IFERROR(AR163/AR15,""),"")</f>
        <v>0.0194180385218918</v>
      </c>
      <c r="AS142" s="43" t="n">
        <f aca="false">IF(AND(ISNUMBER(AS163),ISNUMBER(AS15)),IFERROR(AS163/AS15,""),"")</f>
        <v>0.0203322548445146</v>
      </c>
      <c r="AT142" s="43" t="n">
        <f aca="false">IF(AND(ISNUMBER(AT163),ISNUMBER(AT15)),IFERROR(AT163/AT15,""),"")</f>
        <v>0.0259290735951363</v>
      </c>
      <c r="AU142" s="43" t="n">
        <f aca="false">IF(AND(ISNUMBER(AU163),ISNUMBER(AU15)),IFERROR(AU163/AU15,""),"")</f>
        <v>0.0349876100832858</v>
      </c>
      <c r="AV142" s="43" t="n">
        <f aca="false">IF(AND(ISNUMBER(AV163),ISNUMBER(AV15)),IFERROR(AV163/AV15,""),"")</f>
        <v>0.021427688313294</v>
      </c>
      <c r="AW142" s="43" t="n">
        <f aca="false">IF(AND(ISNUMBER(AW163),ISNUMBER(AW15)),IFERROR(AW163/AW15,""),"")</f>
        <v>0.0254207531948047</v>
      </c>
      <c r="AX142" s="43" t="n">
        <f aca="false">IF(AND(ISNUMBER(AX163),ISNUMBER(AX15)),IFERROR(AX163/AX15,""),"")</f>
        <v>0.0296703965765429</v>
      </c>
      <c r="AY142" s="43" t="n">
        <f aca="false">IF(AND(ISNUMBER(AY163),ISNUMBER(AY15)),IFERROR(AY163/AY15,""),"")</f>
        <v>0.0255464289271435</v>
      </c>
      <c r="AZ142" s="43" t="n">
        <f aca="false">IF(AND(ISNUMBER(AZ163),ISNUMBER(AZ15)),IFERROR(AZ163/AZ15,""),"")</f>
        <v>0.0264703728118362</v>
      </c>
      <c r="BA142" s="43" t="n">
        <f aca="false">IF(AND(ISNUMBER(BA163),ISNUMBER(BA15)),IFERROR(BA163/BA15,""),"")</f>
        <v>0.0198544285597935</v>
      </c>
      <c r="BB142" s="43" t="n">
        <f aca="false">IF(AND(ISNUMBER(BB163),ISNUMBER(BB15)),IFERROR(BB163/BB15,""),"")</f>
        <v>0.025011605656767</v>
      </c>
      <c r="BC142" s="43" t="n">
        <f aca="false">IF(AND(ISNUMBER(BC163),ISNUMBER(BC15)),IFERROR(BC163/BC15,""),"")</f>
        <v>0.0271041486612156</v>
      </c>
      <c r="BD142" s="43" t="n">
        <f aca="false">IF(AND(ISNUMBER(BD163),ISNUMBER(BD15)),IFERROR(BD163/BD15,""),"")</f>
        <v>0.0214182965206362</v>
      </c>
      <c r="BE142" s="43" t="n">
        <f aca="false">IF(AND(ISNUMBER(BE163),ISNUMBER(BE15)),IFERROR(BE163/BE15,""),"")</f>
        <v>0.027732099208496</v>
      </c>
      <c r="BF142" s="43" t="n">
        <f aca="false">IF(AND(ISNUMBER(BF163),ISNUMBER(BF15)),IFERROR(BF163/BF15,""),"")</f>
        <v>0.0262386554621849</v>
      </c>
      <c r="BG142" s="43" t="n">
        <f aca="false">IF(AND(ISNUMBER(BG163),ISNUMBER(BG15)),IFERROR(BG163/BG15,""),"")</f>
        <v>0.025620694077983</v>
      </c>
      <c r="BH142" s="43" t="n">
        <f aca="false">IF(AND(ISNUMBER(BH163),ISNUMBER(BH15)),IFERROR(BH163/BH15,""),"")</f>
        <v>0.0298728943283281</v>
      </c>
      <c r="BI142" s="43" t="n">
        <f aca="false">IF(AND(ISNUMBER(BI163),ISNUMBER(BI15)),IFERROR(BI163/BI15,""),"")</f>
        <v>0.0314877606081238</v>
      </c>
      <c r="BJ142" s="43" t="n">
        <f aca="false">IF(AND(ISNUMBER(BJ163),ISNUMBER(BJ15)),IFERROR(BJ163/BJ15,""),"")</f>
        <v>0.034402632086746</v>
      </c>
      <c r="BK142" s="43" t="n">
        <f aca="false">IF(AND(ISNUMBER(BK163),ISNUMBER(BK15)),IFERROR(BK163/BK15,""),"")</f>
        <v>0.0315065679703028</v>
      </c>
      <c r="BL142" s="43" t="n">
        <f aca="false">IF(AND(ISNUMBER(BL163),ISNUMBER(BL15)),IFERROR(BL163/BL15,""),"")</f>
        <v>0.0318758005012574</v>
      </c>
      <c r="BM142" s="43" t="n">
        <f aca="false">IF(AND(ISNUMBER(BM163),ISNUMBER(BM15)),IFERROR(BM163/BM15,""),"")</f>
        <v>0.0373160800898424</v>
      </c>
      <c r="BN142" s="43" t="n">
        <f aca="false">IF(AND(ISNUMBER(BN163),ISNUMBER(BN15)),IFERROR(BN163/BN15,""),"")</f>
        <v>0.0406259198956911</v>
      </c>
      <c r="BO142" s="35" t="n">
        <f aca="false">SUM(BM163,BN163)/SUM(BM15,BN15)</f>
        <v>0.0390038263488898</v>
      </c>
      <c r="BP142" s="35" t="n">
        <f aca="false">SUM(BM163,BN163)/SUM(BM15,BN15)</f>
        <v>0.0390038263488898</v>
      </c>
      <c r="BQ142" s="35" t="n">
        <f aca="false">IF(AND(ISNUMBER(BQ163),ISNUMBER(BQ15)),IFERROR(BQ163/BQ15,""),"")</f>
        <v>0.0390038263488898</v>
      </c>
      <c r="BR142" s="48" t="n">
        <v>0.038</v>
      </c>
      <c r="BS142" s="48" t="n">
        <v>0.038</v>
      </c>
      <c r="BT142" s="48" t="n">
        <v>0.038</v>
      </c>
      <c r="BU142" s="48" t="n">
        <v>0.038</v>
      </c>
      <c r="BV142" s="15" t="s">
        <v>290</v>
      </c>
    </row>
    <row r="143" customFormat="false" ht="15" hidden="false" customHeight="false" outlineLevel="0" collapsed="false">
      <c r="B143" s="13" t="s">
        <v>291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36"/>
      <c r="BP143" s="36"/>
      <c r="BQ143" s="48" t="n">
        <v>0.95</v>
      </c>
      <c r="BR143" s="48" t="n">
        <v>0.95</v>
      </c>
      <c r="BS143" s="48" t="n">
        <v>0.95</v>
      </c>
      <c r="BT143" s="48" t="n">
        <v>0.95</v>
      </c>
      <c r="BU143" s="48" t="n">
        <v>0.95</v>
      </c>
      <c r="BV143" s="15" t="s">
        <v>292</v>
      </c>
    </row>
    <row r="144" customFormat="false" ht="15" hidden="false" customHeight="false" outlineLevel="0" collapsed="false">
      <c r="B144" s="13" t="s">
        <v>293</v>
      </c>
      <c r="C144" s="43" t="str">
        <f aca="false">IF(AND(ISNUMBER(C161),ISNUMBER(C157)),IFERROR(C161/C157,""),"")</f>
        <v/>
      </c>
      <c r="D144" s="43" t="n">
        <f aca="false">IF(AND(ISNUMBER(D161),ISNUMBER(D157)),IFERROR(D161/D157,""),"")</f>
        <v>0.127839096170271</v>
      </c>
      <c r="E144" s="43" t="n">
        <f aca="false">IF(AND(ISNUMBER(E161),ISNUMBER(E157)),IFERROR(E161/E157,""),"")</f>
        <v>0.140598622459315</v>
      </c>
      <c r="F144" s="43" t="n">
        <f aca="false">IF(AND(ISNUMBER(F161),ISNUMBER(F157)),IFERROR(F161/F157,""),"")</f>
        <v>0.147226942684999</v>
      </c>
      <c r="G144" s="43" t="n">
        <f aca="false">IF(AND(ISNUMBER(G161),ISNUMBER(G157)),IFERROR(G161/G157,""),"")</f>
        <v>0.163891128554151</v>
      </c>
      <c r="H144" s="43" t="n">
        <f aca="false">IF(AND(ISNUMBER(H161),ISNUMBER(H157)),IFERROR(H161/H157,""),"")</f>
        <v>0.181480394785433</v>
      </c>
      <c r="I144" s="43" t="n">
        <f aca="false">IF(AND(ISNUMBER(I161),ISNUMBER(I157)),IFERROR(I161/I157,""),"")</f>
        <v>0.158813878299474</v>
      </c>
      <c r="J144" s="43" t="n">
        <f aca="false">IF(AND(ISNUMBER(J161),ISNUMBER(J157)),IFERROR(J161/J157,""),"")</f>
        <v>0.150307315357422</v>
      </c>
      <c r="K144" s="43" t="n">
        <f aca="false">IF(AND(ISNUMBER(K161),ISNUMBER(K157)),IFERROR(K161/K157,""),"")</f>
        <v>0.153331373290212</v>
      </c>
      <c r="L144" s="43" t="n">
        <f aca="false">IF(AND(ISNUMBER(L161),ISNUMBER(L157)),IFERROR(L161/L157,""),"")</f>
        <v>0.132462322756776</v>
      </c>
      <c r="M144" s="43" t="n">
        <f aca="false">IF(AND(ISNUMBER(M161),ISNUMBER(M157)),IFERROR(M161/M157,""),"")</f>
        <v>0.151193335128511</v>
      </c>
      <c r="N144" s="43" t="n">
        <f aca="false">IF(AND(ISNUMBER(N161),ISNUMBER(N157)),IFERROR(N161/N157,""),"")</f>
        <v>0.146772690633678</v>
      </c>
      <c r="O144" s="43" t="n">
        <f aca="false">IF(AND(ISNUMBER(O161),ISNUMBER(O157)),IFERROR(O161/O157,""),"")</f>
        <v>0.123919347853497</v>
      </c>
      <c r="P144" s="43" t="n">
        <f aca="false">IF(AND(ISNUMBER(P161),ISNUMBER(P157)),IFERROR(P161/P157,""),"")</f>
        <v>0.129329840798048</v>
      </c>
      <c r="Q144" s="43" t="n">
        <f aca="false">IF(AND(ISNUMBER(Q161),ISNUMBER(Q157)),IFERROR(Q161/Q157,""),"")</f>
        <v>0.129708435988986</v>
      </c>
      <c r="R144" s="43" t="n">
        <f aca="false">IF(AND(ISNUMBER(R161),ISNUMBER(R157)),IFERROR(R161/R157,""),"")</f>
        <v>0.173357103946912</v>
      </c>
      <c r="S144" s="43" t="n">
        <f aca="false">IF(AND(ISNUMBER(S161),ISNUMBER(S157)),IFERROR(S161/S157,""),"")</f>
        <v>0.13961677392809</v>
      </c>
      <c r="T144" s="43" t="n">
        <f aca="false">IF(AND(ISNUMBER(T161),ISNUMBER(T157)),IFERROR(T161/T157,""),"")</f>
        <v>0.119445436904086</v>
      </c>
      <c r="U144" s="43" t="n">
        <f aca="false">IF(AND(ISNUMBER(U161),ISNUMBER(U157)),IFERROR(U161/U157,""),"")</f>
        <v>0.118260241798391</v>
      </c>
      <c r="V144" s="43" t="n">
        <f aca="false">IF(AND(ISNUMBER(V161),ISNUMBER(V157)),IFERROR(V161/V157,""),"")</f>
        <v>0.122562953071347</v>
      </c>
      <c r="W144" s="43" t="n">
        <f aca="false">IF(AND(ISNUMBER(W161),ISNUMBER(W157)),IFERROR(W161/W157,""),"")</f>
        <v>0.147792103929437</v>
      </c>
      <c r="X144" s="43" t="n">
        <f aca="false">IF(AND(ISNUMBER(X161),ISNUMBER(X157)),IFERROR(X161/X157,""),"")</f>
        <v>0.127156584730568</v>
      </c>
      <c r="Y144" s="43" t="n">
        <f aca="false">IF(AND(ISNUMBER(Y161),ISNUMBER(Y157)),IFERROR(Y161/Y157,""),"")</f>
        <v>0.117522072823376</v>
      </c>
      <c r="Z144" s="43" t="n">
        <f aca="false">IF(AND(ISNUMBER(Z161),ISNUMBER(Z157)),IFERROR(Z161/Z157,""),"")</f>
        <v>0.117374197178991</v>
      </c>
      <c r="AA144" s="43" t="n">
        <f aca="false">IF(AND(ISNUMBER(AA161),ISNUMBER(AA157)),IFERROR(AA161/AA157,""),"")</f>
        <v>0.126717069284407</v>
      </c>
      <c r="AB144" s="43" t="n">
        <f aca="false">IF(AND(ISNUMBER(AB161),ISNUMBER(AB157)),IFERROR(AB161/AB157,""),"")</f>
        <v>0.114839392633442</v>
      </c>
      <c r="AC144" s="43" t="n">
        <f aca="false">IF(AND(ISNUMBER(AC161),ISNUMBER(AC157)),IFERROR(AC161/AC157,""),"")</f>
        <v>0.118947335085664</v>
      </c>
      <c r="AD144" s="43" t="n">
        <f aca="false">IF(AND(ISNUMBER(AD161),ISNUMBER(AD157)),IFERROR(AD161/AD157,""),"")</f>
        <v>0.124102541937405</v>
      </c>
      <c r="AE144" s="43" t="n">
        <f aca="false">IF(AND(ISNUMBER(AE161),ISNUMBER(AE157)),IFERROR(AE161/AE157,""),"")</f>
        <v>0.114703828907691</v>
      </c>
      <c r="AF144" s="43" t="n">
        <f aca="false">IF(AND(ISNUMBER(AF161),ISNUMBER(AF157)),IFERROR(AF161/AF157,""),"")</f>
        <v>0.103875494071146</v>
      </c>
      <c r="AG144" s="43" t="n">
        <f aca="false">IF(AND(ISNUMBER(AG161),ISNUMBER(AG157)),IFERROR(AG161/AG157,""),"")</f>
        <v>0.116661845242252</v>
      </c>
      <c r="AH144" s="43" t="n">
        <f aca="false">IF(AND(ISNUMBER(AH161),ISNUMBER(AH157)),IFERROR(AH161/AH157,""),"")</f>
        <v>0.114395858400355</v>
      </c>
      <c r="AI144" s="43" t="n">
        <f aca="false">IF(AND(ISNUMBER(AI161),ISNUMBER(AI157)),IFERROR(AI161/AI157,""),"")</f>
        <v>0.0976710044853636</v>
      </c>
      <c r="AJ144" s="43" t="n">
        <f aca="false">IF(AND(ISNUMBER(AJ161),ISNUMBER(AJ157)),IFERROR(AJ161/AJ157,""),"")</f>
        <v>0.109286054071196</v>
      </c>
      <c r="AK144" s="43" t="n">
        <f aca="false">IF(AND(ISNUMBER(AK161),ISNUMBER(AK157)),IFERROR(AK161/AK157,""),"")</f>
        <v>0.120485960167578</v>
      </c>
      <c r="AL144" s="43" t="n">
        <f aca="false">IF(AND(ISNUMBER(AL161),ISNUMBER(AL157)),IFERROR(AL161/AL157,""),"")</f>
        <v>0.108520227684904</v>
      </c>
      <c r="AM144" s="43" t="n">
        <f aca="false">IF(AND(ISNUMBER(AM161),ISNUMBER(AM157)),IFERROR(AM161/AM157,""),"")</f>
        <v>0.108861435468346</v>
      </c>
      <c r="AN144" s="43" t="n">
        <f aca="false">IF(AND(ISNUMBER(AN161),ISNUMBER(AN157)),IFERROR(AN161/AN157,""),"")</f>
        <v>0.110285780268914</v>
      </c>
      <c r="AO144" s="43" t="n">
        <f aca="false">IF(AND(ISNUMBER(AO161),ISNUMBER(AO157)),IFERROR(AO161/AO157,""),"")</f>
        <v>0.11743836356833</v>
      </c>
      <c r="AP144" s="43" t="n">
        <f aca="false">IF(AND(ISNUMBER(AP161),ISNUMBER(AP157)),IFERROR(AP161/AP157,""),"")</f>
        <v>0.117214427933519</v>
      </c>
      <c r="AQ144" s="43" t="n">
        <f aca="false">IF(AND(ISNUMBER(AQ161),ISNUMBER(AQ157)),IFERROR(AQ161/AQ157,""),"")</f>
        <v>0.0918332699860636</v>
      </c>
      <c r="AR144" s="43" t="n">
        <f aca="false">IF(AND(ISNUMBER(AR161),ISNUMBER(AR157)),IFERROR(AR161/AR157,""),"")</f>
        <v>0.108470797156785</v>
      </c>
      <c r="AS144" s="43" t="n">
        <f aca="false">IF(AND(ISNUMBER(AS161),ISNUMBER(AS157)),IFERROR(AS161/AS157,""),"")</f>
        <v>0.113302608820171</v>
      </c>
      <c r="AT144" s="43" t="n">
        <f aca="false">IF(AND(ISNUMBER(AT161),ISNUMBER(AT157)),IFERROR(AT161/AT157,""),"")</f>
        <v>0.0986633177435187</v>
      </c>
      <c r="AU144" s="43" t="n">
        <f aca="false">IF(AND(ISNUMBER(AU161),ISNUMBER(AU157)),IFERROR(AU161/AU157,""),"")</f>
        <v>0.111053615448215</v>
      </c>
      <c r="AV144" s="43" t="n">
        <f aca="false">IF(AND(ISNUMBER(AV161),ISNUMBER(AV157)),IFERROR(AV161/AV157,""),"")</f>
        <v>0.09822213891252</v>
      </c>
      <c r="AW144" s="43" t="n">
        <f aca="false">IF(AND(ISNUMBER(AW161),ISNUMBER(AW157)),IFERROR(AW161/AW157,""),"")</f>
        <v>0.104925847599956</v>
      </c>
      <c r="AX144" s="43" t="n">
        <f aca="false">IF(AND(ISNUMBER(AX161),ISNUMBER(AX157)),IFERROR(AX161/AX157,""),"")</f>
        <v>0.107036033499894</v>
      </c>
      <c r="AY144" s="43" t="n">
        <f aca="false">IF(AND(ISNUMBER(AY161),ISNUMBER(AY157)),IFERROR(AY161/AY157,""),"")</f>
        <v>0.105212712978308</v>
      </c>
      <c r="AZ144" s="43" t="n">
        <f aca="false">IF(AND(ISNUMBER(AZ161),ISNUMBER(AZ157)),IFERROR(AZ161/AZ157,""),"")</f>
        <v>0.135304217536259</v>
      </c>
      <c r="BA144" s="43" t="n">
        <f aca="false">IF(AND(ISNUMBER(BA161),ISNUMBER(BA157)),IFERROR(BA161/BA157,""),"")</f>
        <v>0.102815241587011</v>
      </c>
      <c r="BB144" s="43" t="n">
        <f aca="false">IF(AND(ISNUMBER(BB161),ISNUMBER(BB157)),IFERROR(BB161/BB157,""),"")</f>
        <v>0.112043020315193</v>
      </c>
      <c r="BC144" s="43" t="n">
        <f aca="false">IF(AND(ISNUMBER(BC161),ISNUMBER(BC157)),IFERROR(BC161/BC157,""),"")</f>
        <v>0.111531112678528</v>
      </c>
      <c r="BD144" s="43" t="n">
        <f aca="false">IF(AND(ISNUMBER(BD161),ISNUMBER(BD157)),IFERROR(BD161/BD157,""),"")</f>
        <v>0.117071309605042</v>
      </c>
      <c r="BE144" s="43" t="n">
        <f aca="false">IF(AND(ISNUMBER(BE161),ISNUMBER(BE157)),IFERROR(BE161/BE157,""),"")</f>
        <v>0.120289126073731</v>
      </c>
      <c r="BF144" s="43" t="n">
        <f aca="false">IF(AND(ISNUMBER(BF161),ISNUMBER(BF157)),IFERROR(BF161/BF157,""),"")</f>
        <v>0.121528889794135</v>
      </c>
      <c r="BG144" s="43" t="n">
        <f aca="false">IF(AND(ISNUMBER(BG161),ISNUMBER(BG157)),IFERROR(BG161/BG157,""),"")</f>
        <v>0.117863824291126</v>
      </c>
      <c r="BH144" s="43" t="n">
        <f aca="false">IF(AND(ISNUMBER(BH161),ISNUMBER(BH157)),IFERROR(BH161/BH157,""),"")</f>
        <v>0.128351737905602</v>
      </c>
      <c r="BI144" s="43" t="n">
        <f aca="false">IF(AND(ISNUMBER(BI161),ISNUMBER(BI157)),IFERROR(BI161/BI157,""),"")</f>
        <v>0.134731342248236</v>
      </c>
      <c r="BJ144" s="43" t="n">
        <f aca="false">IF(AND(ISNUMBER(BJ161),ISNUMBER(BJ157)),IFERROR(BJ161/BJ157,""),"")</f>
        <v>0.107794654421288</v>
      </c>
      <c r="BK144" s="43" t="n">
        <f aca="false">IF(AND(ISNUMBER(BK161),ISNUMBER(BK157)),IFERROR(BK161/BK157,""),"")</f>
        <v>0.124769428408226</v>
      </c>
      <c r="BL144" s="43" t="n">
        <f aca="false">IF(AND(ISNUMBER(BL161),ISNUMBER(BL157)),IFERROR(BL161/BL157,""),"")</f>
        <v>0.123315694443359</v>
      </c>
      <c r="BM144" s="43" t="n">
        <f aca="false">IF(AND(ISNUMBER(BM161),ISNUMBER(BM157)),IFERROR(BM161/BM157,""),"")</f>
        <v>0.125569478399055</v>
      </c>
      <c r="BN144" s="43" t="n">
        <f aca="false">IF(AND(ISNUMBER(BN161),ISNUMBER(BN157)),IFERROR(BN161/BN157,""),"")</f>
        <v>0.120262858727298</v>
      </c>
      <c r="BO144" s="35" t="n">
        <f aca="false">SUM(BM161,BN161)/SUM(BM157,BN157)</f>
        <v>0.12285380868432</v>
      </c>
      <c r="BP144" s="35" t="n">
        <f aca="false">SUM(BM161,BN161)/SUM(BM157,BN157)</f>
        <v>0.12285380868432</v>
      </c>
      <c r="BQ144" s="35" t="n">
        <f aca="false">IF(AND(ISNUMBER(BQ161),ISNUMBER(BQ157)),IFERROR(BQ161/BQ157,""),"")</f>
        <v>0.12285380868432</v>
      </c>
      <c r="BR144" s="48" t="n">
        <v>0.12</v>
      </c>
      <c r="BS144" s="48" t="n">
        <v>0.12</v>
      </c>
      <c r="BT144" s="48" t="n">
        <v>0.12</v>
      </c>
      <c r="BU144" s="48" t="n">
        <v>0.12</v>
      </c>
      <c r="BV144" s="15" t="s">
        <v>294</v>
      </c>
      <c r="BX144" s="38" t="n">
        <f aca="false">IFERROR(AVERAGE(BQ144,BR144,BS144,BT144,BU144),"n/m")</f>
        <v>0.120570761736864</v>
      </c>
      <c r="BY144" s="38" t="n">
        <f aca="false">IFERROR(AVERAGE(AR144,AW144,BB144,BG144,BL144),"n/m")</f>
        <v>0.113323836761284</v>
      </c>
      <c r="BZ144" s="38" t="n">
        <f aca="false">IFERROR(AVERAGE(S144,X144,AC144,AH144,AM144,AR144,AW144,BB144,BG144,BL144),"n/m")</f>
        <v>0.117559717141944</v>
      </c>
      <c r="CA144" s="38" t="n">
        <f aca="false">IFERROR(AVERAGE(D144,I144,N144,S144,X144,AC144,AH144,AM144,AR144,AW144,BB144,BG144,BL144),"n/m")</f>
        <v>0.123770987424836</v>
      </c>
    </row>
    <row r="145" customFormat="false" ht="15" hidden="false" customHeight="false" outlineLevel="0" collapsed="false">
      <c r="B145" s="13" t="s">
        <v>295</v>
      </c>
      <c r="C145" s="43" t="str">
        <f aca="false">IF(AND(ISNUMBER(C159),ISNUMBER(C157)),IFERROR(C159/C157,""),"")</f>
        <v/>
      </c>
      <c r="D145" s="43" t="n">
        <f aca="false">IF(AND(ISNUMBER(D159),ISNUMBER(D157)),IFERROR(D159/D157,""),"")</f>
        <v>0.0376184081470883</v>
      </c>
      <c r="E145" s="43" t="n">
        <f aca="false">IF(AND(ISNUMBER(E159),ISNUMBER(E157)),IFERROR(E159/E157,""),"")</f>
        <v>0.0562298827289711</v>
      </c>
      <c r="F145" s="43" t="n">
        <f aca="false">IF(AND(ISNUMBER(F159),ISNUMBER(F157)),IFERROR(F159/F157,""),"")</f>
        <v>0.0734810531658979</v>
      </c>
      <c r="G145" s="43" t="n">
        <f aca="false">IF(AND(ISNUMBER(G159),ISNUMBER(G157)),IFERROR(G159/G157,""),"")</f>
        <v>0.0114924470582656</v>
      </c>
      <c r="H145" s="43" t="n">
        <f aca="false">IF(AND(ISNUMBER(H159),ISNUMBER(H157)),IFERROR(H159/H157,""),"")</f>
        <v>0.0107574477556823</v>
      </c>
      <c r="I145" s="43" t="n">
        <f aca="false">IF(AND(ISNUMBER(I159),ISNUMBER(I157)),IFERROR(I159/I157,""),"")</f>
        <v>0.0377434320734036</v>
      </c>
      <c r="J145" s="43" t="n">
        <f aca="false">IF(AND(ISNUMBER(J159),ISNUMBER(J157)),IFERROR(J159/J157,""),"")</f>
        <v>0.0114103122037879</v>
      </c>
      <c r="K145" s="43" t="n">
        <f aca="false">IF(AND(ISNUMBER(K159),ISNUMBER(K157)),IFERROR(K159/K157,""),"")</f>
        <v>0.0102286250297507</v>
      </c>
      <c r="L145" s="43" t="n">
        <f aca="false">IF(AND(ISNUMBER(L159),ISNUMBER(L157)),IFERROR(L159/L157,""),"")</f>
        <v>0.00422876563501128</v>
      </c>
      <c r="M145" s="43" t="n">
        <f aca="false">IF(AND(ISNUMBER(M159),ISNUMBER(M157)),IFERROR(M159/M157,""),"")</f>
        <v>0.00422599453753112</v>
      </c>
      <c r="N145" s="43" t="n">
        <f aca="false">IF(AND(ISNUMBER(N159),ISNUMBER(N157)),IFERROR(N159/N157,""),"")</f>
        <v>0.00744386021056439</v>
      </c>
      <c r="O145" s="43" t="n">
        <f aca="false">IF(AND(ISNUMBER(O159),ISNUMBER(O157)),IFERROR(O159/O157,""),"")</f>
        <v>0.00474472762357946</v>
      </c>
      <c r="P145" s="43" t="n">
        <f aca="false">IF(AND(ISNUMBER(P159),ISNUMBER(P157)),IFERROR(P159/P157,""),"")</f>
        <v>0.00389182418696661</v>
      </c>
      <c r="Q145" s="43" t="n">
        <f aca="false">IF(AND(ISNUMBER(Q159),ISNUMBER(Q157)),IFERROR(Q159/Q157,""),"")</f>
        <v>0.00460072989815681</v>
      </c>
      <c r="R145" s="43" t="n">
        <f aca="false">IF(AND(ISNUMBER(R159),ISNUMBER(R157)),IFERROR(R159/R157,""),"")</f>
        <v>0.00337740801267766</v>
      </c>
      <c r="S145" s="43" t="n">
        <f aca="false">IF(AND(ISNUMBER(S159),ISNUMBER(S157)),IFERROR(S159/S157,""),"")</f>
        <v>0.00413202087228399</v>
      </c>
      <c r="T145" s="43" t="n">
        <f aca="false">IF(AND(ISNUMBER(T159),ISNUMBER(T157)),IFERROR(T159/T157,""),"")</f>
        <v>0.00354716752018196</v>
      </c>
      <c r="U145" s="43" t="n">
        <f aca="false">IF(AND(ISNUMBER(U159),ISNUMBER(U157)),IFERROR(U159/U157,""),"")</f>
        <v>0.00280968071588323</v>
      </c>
      <c r="V145" s="43" t="n">
        <f aca="false">IF(AND(ISNUMBER(V159),ISNUMBER(V157)),IFERROR(V159/V157,""),"")</f>
        <v>0.00619276993513926</v>
      </c>
      <c r="W145" s="43" t="n">
        <f aca="false">IF(AND(ISNUMBER(W159),ISNUMBER(W157)),IFERROR(W159/W157,""),"")</f>
        <v>0.00446833341857729</v>
      </c>
      <c r="X145" s="43" t="n">
        <f aca="false">IF(AND(ISNUMBER(X159),ISNUMBER(X157)),IFERROR(X159/X157,""),"")</f>
        <v>0.00426013990323143</v>
      </c>
      <c r="Y145" s="43" t="n">
        <f aca="false">IF(AND(ISNUMBER(Y159),ISNUMBER(Y157)),IFERROR(Y159/Y157,""),"")</f>
        <v>0.00788479068252515</v>
      </c>
      <c r="Z145" s="43" t="n">
        <f aca="false">IF(AND(ISNUMBER(Z159),ISNUMBER(Z157)),IFERROR(Z159/Z157,""),"")</f>
        <v>0.00935703691552694</v>
      </c>
      <c r="AA145" s="43" t="n">
        <f aca="false">IF(AND(ISNUMBER(AA159),ISNUMBER(AA157)),IFERROR(AA159/AA157,""),"")</f>
        <v>0.00930419476060323</v>
      </c>
      <c r="AB145" s="43" t="n">
        <f aca="false">IF(AND(ISNUMBER(AB159),ISNUMBER(AB157)),IFERROR(AB159/AB157,""),"")</f>
        <v>0.0074268093171938</v>
      </c>
      <c r="AC145" s="43" t="n">
        <f aca="false">IF(AND(ISNUMBER(AC159),ISNUMBER(AC157)),IFERROR(AC159/AC157,""),"")</f>
        <v>0.00845774378308885</v>
      </c>
      <c r="AD145" s="43" t="n">
        <f aca="false">IF(AND(ISNUMBER(AD159),ISNUMBER(AD157)),IFERROR(AD159/AD157,""),"")</f>
        <v>0.0124239411795781</v>
      </c>
      <c r="AE145" s="43" t="n">
        <f aca="false">IF(AND(ISNUMBER(AE159),ISNUMBER(AE157)),IFERROR(AE159/AE157,""),"")</f>
        <v>0.0113150450628248</v>
      </c>
      <c r="AF145" s="43" t="n">
        <f aca="false">IF(AND(ISNUMBER(AF159),ISNUMBER(AF157)),IFERROR(AF159/AF157,""),"")</f>
        <v>0.0101284584980237</v>
      </c>
      <c r="AG145" s="43" t="n">
        <f aca="false">IF(AND(ISNUMBER(AG159),ISNUMBER(AG157)),IFERROR(AG159/AG157,""),"")</f>
        <v>0.00407194230251279</v>
      </c>
      <c r="AH145" s="43" t="n">
        <f aca="false">IF(AND(ISNUMBER(AH159),ISNUMBER(AH157)),IFERROR(AH159/AH157,""),"")</f>
        <v>0.0093259873767758</v>
      </c>
      <c r="AI145" s="43" t="n">
        <f aca="false">IF(AND(ISNUMBER(AI159),ISNUMBER(AI157)),IFERROR(AI159/AI157,""),"")</f>
        <v>0.00848936201605288</v>
      </c>
      <c r="AJ145" s="43" t="n">
        <f aca="false">IF(AND(ISNUMBER(AJ159),ISNUMBER(AJ157)),IFERROR(AJ159/AJ157,""),"")</f>
        <v>0.007985808293031</v>
      </c>
      <c r="AK145" s="43" t="n">
        <f aca="false">IF(AND(ISNUMBER(AK159),ISNUMBER(AK157)),IFERROR(AK159/AK157,""),"")</f>
        <v>0.00564170824693486</v>
      </c>
      <c r="AL145" s="43" t="n">
        <f aca="false">IF(AND(ISNUMBER(AL159),ISNUMBER(AL157)),IFERROR(AL159/AL157,""),"")</f>
        <v>0.00471171284408612</v>
      </c>
      <c r="AM145" s="43" t="n">
        <f aca="false">IF(AND(ISNUMBER(AM159),ISNUMBER(AM157)),IFERROR(AM159/AM157,""),"")</f>
        <v>0.00668184275512876</v>
      </c>
      <c r="AN145" s="43" t="n">
        <f aca="false">IF(AND(ISNUMBER(AN159),ISNUMBER(AN157)),IFERROR(AN159/AN157,""),"")</f>
        <v>0.00589846537680328</v>
      </c>
      <c r="AO145" s="43" t="n">
        <f aca="false">IF(AND(ISNUMBER(AO159),ISNUMBER(AO157)),IFERROR(AO159/AO157,""),"")</f>
        <v>0.00693923369478063</v>
      </c>
      <c r="AP145" s="43" t="n">
        <f aca="false">IF(AND(ISNUMBER(AP159),ISNUMBER(AP157)),IFERROR(AP159/AP157,""),"")</f>
        <v>0.00575465134231754</v>
      </c>
      <c r="AQ145" s="43" t="n">
        <f aca="false">IF(AND(ISNUMBER(AQ159),ISNUMBER(AQ157)),IFERROR(AQ159/AQ157,""),"")</f>
        <v>0.0026487605050889</v>
      </c>
      <c r="AR145" s="43" t="n">
        <f aca="false">IF(AND(ISNUMBER(AR159),ISNUMBER(AR157)),IFERROR(AR159/AR157,""),"")</f>
        <v>0.00520650410484757</v>
      </c>
      <c r="AS145" s="43" t="n">
        <f aca="false">IF(AND(ISNUMBER(AS159),ISNUMBER(AS157)),IFERROR(AS159/AS157,""),"")</f>
        <v>0.00556395057448308</v>
      </c>
      <c r="AT145" s="43" t="n">
        <f aca="false">IF(AND(ISNUMBER(AT159),ISNUMBER(AT157)),IFERROR(AT159/AT157,""),"")</f>
        <v>0.0047112275535539</v>
      </c>
      <c r="AU145" s="43" t="n">
        <f aca="false">IF(AND(ISNUMBER(AU159),ISNUMBER(AU157)),IFERROR(AU159/AU157,""),"")</f>
        <v>0.00272287578454529</v>
      </c>
      <c r="AV145" s="43" t="n">
        <f aca="false">IF(AND(ISNUMBER(AV159),ISNUMBER(AV157)),IFERROR(AV159/AV157,""),"")</f>
        <v>0.00407736907960402</v>
      </c>
      <c r="AW145" s="43" t="n">
        <f aca="false">IF(AND(ISNUMBER(AW159),ISNUMBER(AW157)),IFERROR(AW159/AW157,""),"")</f>
        <v>0.00427035776058587</v>
      </c>
      <c r="AX145" s="43" t="n">
        <f aca="false">IF(AND(ISNUMBER(AX159),ISNUMBER(AX157)),IFERROR(AX159/AX157,""),"")</f>
        <v>0.00387782391442044</v>
      </c>
      <c r="AY145" s="43" t="n">
        <f aca="false">IF(AND(ISNUMBER(AY159),ISNUMBER(AY157)),IFERROR(AY159/AY157,""),"")</f>
        <v>0.00423711516952543</v>
      </c>
      <c r="AZ145" s="43" t="n">
        <f aca="false">IF(AND(ISNUMBER(AZ159),ISNUMBER(AZ157)),IFERROR(AZ159/AZ157,""),"")</f>
        <v>0.00195935856431222</v>
      </c>
      <c r="BA145" s="43" t="n">
        <f aca="false">IF(AND(ISNUMBER(BA159),ISNUMBER(BA157)),IFERROR(BA159/BA157,""),"")</f>
        <v>0.00228527321971289</v>
      </c>
      <c r="BB145" s="43" t="n">
        <f aca="false">IF(AND(ISNUMBER(BB159),ISNUMBER(BB157)),IFERROR(BB159/BB157,""),"")</f>
        <v>0.00304970258089043</v>
      </c>
      <c r="BC145" s="43" t="n">
        <f aca="false">IF(AND(ISNUMBER(BC159),ISNUMBER(BC157)),IFERROR(BC159/BC157,""),"")</f>
        <v>0.00246702628955935</v>
      </c>
      <c r="BD145" s="43" t="n">
        <f aca="false">IF(AND(ISNUMBER(BD159),ISNUMBER(BD157)),IFERROR(BD159/BD157,""),"")</f>
        <v>0.00186509945485095</v>
      </c>
      <c r="BE145" s="43" t="n">
        <f aca="false">IF(AND(ISNUMBER(BE159),ISNUMBER(BE157)),IFERROR(BE159/BE157,""),"")</f>
        <v>0.00309692896558703</v>
      </c>
      <c r="BF145" s="43" t="n">
        <f aca="false">IF(AND(ISNUMBER(BF159),ISNUMBER(BF157)),IFERROR(BF159/BF157,""),"")</f>
        <v>0.00353224784159021</v>
      </c>
      <c r="BG145" s="43" t="n">
        <f aca="false">IF(AND(ISNUMBER(BG159),ISNUMBER(BG157)),IFERROR(BG159/BG157,""),"")</f>
        <v>0.00276588646328265</v>
      </c>
      <c r="BH145" s="43" t="n">
        <f aca="false">IF(AND(ISNUMBER(BH159),ISNUMBER(BH157)),IFERROR(BH159/BH157,""),"")</f>
        <v>0.00295049673290749</v>
      </c>
      <c r="BI145" s="43" t="n">
        <f aca="false">IF(AND(ISNUMBER(BI159),ISNUMBER(BI157)),IFERROR(BI159/BI157,""),"")</f>
        <v>0.00597482589239555</v>
      </c>
      <c r="BJ145" s="43" t="n">
        <f aca="false">IF(AND(ISNUMBER(BJ159),ISNUMBER(BJ157)),IFERROR(BJ159/BJ157,""),"")</f>
        <v>0.00401599471767984</v>
      </c>
      <c r="BK145" s="43" t="n">
        <f aca="false">IF(AND(ISNUMBER(BK159),ISNUMBER(BK157)),IFERROR(BK159/BK157,""),"")</f>
        <v>0.0043009927278228</v>
      </c>
      <c r="BL145" s="43" t="n">
        <f aca="false">IF(AND(ISNUMBER(BL159),ISNUMBER(BL157)),IFERROR(BL159/BL157,""),"")</f>
        <v>0.00433557141405536</v>
      </c>
      <c r="BM145" s="43" t="n">
        <f aca="false">IF(AND(ISNUMBER(BM159),ISNUMBER(BM157)),IFERROR(BM159/BM157,""),"")</f>
        <v>0.00476623921638377</v>
      </c>
      <c r="BN145" s="43" t="n">
        <f aca="false">IF(AND(ISNUMBER(BN159),ISNUMBER(BN157)),IFERROR(BN159/BN157,""),"")</f>
        <v>0.00462165534451684</v>
      </c>
      <c r="BO145" s="35" t="n">
        <f aca="false">SUM(BM159,BN159)/SUM(BM157,BN157)</f>
        <v>0.00469224822657196</v>
      </c>
      <c r="BP145" s="35" t="n">
        <f aca="false">SUM(BM159,BN159)/SUM(BM157,BN157)</f>
        <v>0.00469224822657196</v>
      </c>
      <c r="BQ145" s="35" t="n">
        <f aca="false">IF(AND(ISNUMBER(BQ159),ISNUMBER(BQ157)),IFERROR(BQ159/BQ157,""),"")</f>
        <v>0.00469224822657196</v>
      </c>
      <c r="BR145" s="48" t="n">
        <v>0.005</v>
      </c>
      <c r="BS145" s="48" t="n">
        <v>0.005</v>
      </c>
      <c r="BT145" s="48" t="n">
        <v>0.005</v>
      </c>
      <c r="BU145" s="48" t="n">
        <v>0.005</v>
      </c>
      <c r="BV145" s="15"/>
    </row>
    <row r="146" customFormat="false" ht="15" hidden="false" customHeight="false" outlineLevel="0" collapsed="false">
      <c r="B146" s="13" t="s">
        <v>296</v>
      </c>
      <c r="C146" s="43" t="str">
        <f aca="false">IF(AND(ISNUMBER(C182),ISNUMBER(C157)),IFERROR(C182/C157,""),"")</f>
        <v/>
      </c>
      <c r="D146" s="43" t="str">
        <f aca="false">IF(AND(ISNUMBER(D182),ISNUMBER(D157)),IFERROR(D182/D157,""),"")</f>
        <v/>
      </c>
      <c r="E146" s="43" t="str">
        <f aca="false">IF(AND(ISNUMBER(E182),ISNUMBER(E157)),IFERROR(E182/E157,""),"")</f>
        <v/>
      </c>
      <c r="F146" s="43" t="str">
        <f aca="false">IF(AND(ISNUMBER(F182),ISNUMBER(F157)),IFERROR(F182/F157,""),"")</f>
        <v/>
      </c>
      <c r="G146" s="43" t="str">
        <f aca="false">IF(AND(ISNUMBER(G182),ISNUMBER(G157)),IFERROR(G182/G157,""),"")</f>
        <v/>
      </c>
      <c r="H146" s="43" t="str">
        <f aca="false">IF(AND(ISNUMBER(H182),ISNUMBER(H157)),IFERROR(H182/H157,""),"")</f>
        <v/>
      </c>
      <c r="I146" s="43" t="str">
        <f aca="false">IF(AND(ISNUMBER(I182),ISNUMBER(I157)),IFERROR(I182/I157,""),"")</f>
        <v/>
      </c>
      <c r="J146" s="43" t="str">
        <f aca="false">IF(AND(ISNUMBER(J182),ISNUMBER(J157)),IFERROR(J182/J157,""),"")</f>
        <v/>
      </c>
      <c r="K146" s="43" t="n">
        <f aca="false">IF(AND(ISNUMBER(K182),ISNUMBER(K157)),IFERROR(K182/K157,""),"")</f>
        <v>0.0432973525417559</v>
      </c>
      <c r="L146" s="43" t="n">
        <f aca="false">IF(AND(ISNUMBER(L182),ISNUMBER(L157)),IFERROR(L182/L157,""),"")</f>
        <v>0.00741287572777669</v>
      </c>
      <c r="M146" s="43" t="n">
        <f aca="false">IF(AND(ISNUMBER(M182),ISNUMBER(M157)),IFERROR(M182/M157,""),"")</f>
        <v>0.0181184707285307</v>
      </c>
      <c r="N146" s="43" t="n">
        <f aca="false">IF(AND(ISNUMBER(N182),ISNUMBER(N157)),IFERROR(N182/N157,""),"")</f>
        <v>0.0223937482029686</v>
      </c>
      <c r="O146" s="43" t="n">
        <f aca="false">IF(AND(ISNUMBER(O182),ISNUMBER(O157)),IFERROR(O182/O157,""),"")</f>
        <v>0.00676760976465493</v>
      </c>
      <c r="P146" s="43" t="n">
        <f aca="false">IF(AND(ISNUMBER(P182),ISNUMBER(P157)),IFERROR(P182/P157,""),"")</f>
        <v>0.00884979944430914</v>
      </c>
      <c r="Q146" s="43" t="n">
        <f aca="false">IF(AND(ISNUMBER(Q182),ISNUMBER(Q157)),IFERROR(Q182/Q157,""),"")</f>
        <v>0.00617383170182211</v>
      </c>
      <c r="R146" s="43" t="n">
        <f aca="false">IF(AND(ISNUMBER(R182),ISNUMBER(R157)),IFERROR(R182/R157,""),"")</f>
        <v>0.0173277868568316</v>
      </c>
      <c r="S146" s="43" t="n">
        <f aca="false">IF(AND(ISNUMBER(S182),ISNUMBER(S157)),IFERROR(S182/S157,""),"")</f>
        <v>0.00991310954079556</v>
      </c>
      <c r="T146" s="43" t="n">
        <f aca="false">IF(AND(ISNUMBER(T182),ISNUMBER(T157)),IFERROR(T182/T157,""),"")</f>
        <v>0.00796769952525401</v>
      </c>
      <c r="U146" s="43" t="n">
        <f aca="false">IF(AND(ISNUMBER(U182),ISNUMBER(U157)),IFERROR(U182/U157,""),"")</f>
        <v>0.00899000270724444</v>
      </c>
      <c r="V146" s="43" t="n">
        <f aca="false">IF(AND(ISNUMBER(V182),ISNUMBER(V157)),IFERROR(V182/V157,""),"")</f>
        <v>0.00663153376573827</v>
      </c>
      <c r="W146" s="43" t="n">
        <f aca="false">IF(AND(ISNUMBER(W182),ISNUMBER(W157)),IFERROR(W182/W157,""),"")</f>
        <v>0.0124215949299992</v>
      </c>
      <c r="X146" s="43" t="n">
        <f aca="false">IF(AND(ISNUMBER(X182),ISNUMBER(X157)),IFERROR(X182/X157,""),"")</f>
        <v>0.00901917240709162</v>
      </c>
      <c r="Y146" s="43" t="n">
        <f aca="false">IF(AND(ISNUMBER(Y182),ISNUMBER(Y157)),IFERROR(Y182/Y157,""),"")</f>
        <v>0.00975160832679364</v>
      </c>
      <c r="Z146" s="43" t="n">
        <f aca="false">IF(AND(ISNUMBER(Z182),ISNUMBER(Z157)),IFERROR(Z182/Z157,""),"")</f>
        <v>0.00294813873111562</v>
      </c>
      <c r="AA146" s="43" t="n">
        <f aca="false">IF(AND(ISNUMBER(AA182),ISNUMBER(AA157)),IFERROR(AA182/AA157,""),"")</f>
        <v>0.0064957803279382</v>
      </c>
      <c r="AB146" s="43" t="n">
        <f aca="false">IF(AND(ISNUMBER(AB182),ISNUMBER(AB157)),IFERROR(AB182/AB157,""),"")</f>
        <v>0.00703768635015209</v>
      </c>
      <c r="AC146" s="43" t="n">
        <f aca="false">IF(AND(ISNUMBER(AC182),ISNUMBER(AC157)),IFERROR(AC182/AC157,""),"")</f>
        <v>0.00660207379455066</v>
      </c>
      <c r="AD146" s="43" t="n">
        <f aca="false">IF(AND(ISNUMBER(AD182),ISNUMBER(AD157)),IFERROR(AD182/AD157,""),"")</f>
        <v>0.00607269950582778</v>
      </c>
      <c r="AE146" s="43" t="n">
        <f aca="false">IF(AND(ISNUMBER(AE182),ISNUMBER(AE157)),IFERROR(AE182/AE157,""),"")</f>
        <v>0.00811279393758051</v>
      </c>
      <c r="AF146" s="43" t="n">
        <f aca="false">IF(AND(ISNUMBER(AF182),ISNUMBER(AF157)),IFERROR(AF182/AF157,""),"")</f>
        <v>0.00550790513833992</v>
      </c>
      <c r="AG146" s="43" t="n">
        <f aca="false">IF(AND(ISNUMBER(AG182),ISNUMBER(AG157)),IFERROR(AG182/AG157,""),"")</f>
        <v>0.00715632388001636</v>
      </c>
      <c r="AH146" s="43" t="n">
        <f aca="false">IF(AND(ISNUMBER(AH182),ISNUMBER(AH157)),IFERROR(AH182/AH157,""),"")</f>
        <v>0.00671585080108923</v>
      </c>
      <c r="AI146" s="43" t="n">
        <f aca="false">IF(AND(ISNUMBER(AI182),ISNUMBER(AI157)),IFERROR(AI182/AI157,""),"")</f>
        <v>0.00572105169971671</v>
      </c>
      <c r="AJ146" s="43" t="n">
        <f aca="false">IF(AND(ISNUMBER(AJ182),ISNUMBER(AJ157)),IFERROR(AJ182/AJ157,""),"")</f>
        <v>0.00867160865773409</v>
      </c>
      <c r="AK146" s="43" t="n">
        <f aca="false">IF(AND(ISNUMBER(AK182),ISNUMBER(AK157)),IFERROR(AK182/AK157,""),"")</f>
        <v>0.00896748852615421</v>
      </c>
      <c r="AL146" s="43" t="n">
        <f aca="false">IF(AND(ISNUMBER(AL182),ISNUMBER(AL157)),IFERROR(AL182/AL157,""),"")</f>
        <v>0.00844840279398826</v>
      </c>
      <c r="AM146" s="43" t="n">
        <f aca="false">IF(AND(ISNUMBER(AM182),ISNUMBER(AM157)),IFERROR(AM182/AM157,""),"")</f>
        <v>0.00793212765997525</v>
      </c>
      <c r="AN146" s="43" t="n">
        <f aca="false">IF(AND(ISNUMBER(AN182),ISNUMBER(AN157)),IFERROR(AN182/AN157,""),"")</f>
        <v>0.00753587633666684</v>
      </c>
      <c r="AO146" s="43" t="n">
        <f aca="false">IF(AND(ISNUMBER(AO182),ISNUMBER(AO157)),IFERROR(AO182/AO157,""),"")</f>
        <v>0.0104771539836745</v>
      </c>
      <c r="AP146" s="43" t="n">
        <f aca="false">IF(AND(ISNUMBER(AP182),ISNUMBER(AP157)),IFERROR(AP182/AP157,""),"")</f>
        <v>0.011204526725042</v>
      </c>
      <c r="AQ146" s="43" t="n">
        <f aca="false">IF(AND(ISNUMBER(AQ182),ISNUMBER(AQ157)),IFERROR(AQ182/AQ157,""),"")</f>
        <v>0.00633810549431986</v>
      </c>
      <c r="AR146" s="43" t="n">
        <f aca="false">IF(AND(ISNUMBER(AR182),ISNUMBER(AR157)),IFERROR(AR182/AR157,""),"")</f>
        <v>0.00876287737621194</v>
      </c>
      <c r="AS146" s="43" t="n">
        <f aca="false">IF(AND(ISNUMBER(AS182),ISNUMBER(AS157)),IFERROR(AS182/AS157,""),"")</f>
        <v>0.00745754025526719</v>
      </c>
      <c r="AT146" s="43" t="n">
        <f aca="false">IF(AND(ISNUMBER(AT182),ISNUMBER(AT157)),IFERROR(AT182/AT157,""),"")</f>
        <v>0.00903631849413939</v>
      </c>
      <c r="AU146" s="43" t="n">
        <f aca="false">IF(AND(ISNUMBER(AU182),ISNUMBER(AU157)),IFERROR(AU182/AU157,""),"")</f>
        <v>0.00588301563266764</v>
      </c>
      <c r="AV146" s="43" t="n">
        <f aca="false">IF(AND(ISNUMBER(AV182),ISNUMBER(AV157)),IFERROR(AV182/AV157,""),"")</f>
        <v>0.00333238808863512</v>
      </c>
      <c r="AW146" s="43" t="n">
        <f aca="false">IF(AND(ISNUMBER(AW182),ISNUMBER(AW157)),IFERROR(AW182/AW157,""),"")</f>
        <v>0.00632693697784968</v>
      </c>
      <c r="AX146" s="43" t="n">
        <f aca="false">IF(AND(ISNUMBER(AX182),ISNUMBER(AX157)),IFERROR(AX182/AX157,""),"")</f>
        <v>0.00684953198676895</v>
      </c>
      <c r="AY146" s="43" t="n">
        <f aca="false">IF(AND(ISNUMBER(AY182),ISNUMBER(AY157)),IFERROR(AY182/AY157,""),"")</f>
        <v>0.00779825127154275</v>
      </c>
      <c r="AZ146" s="43" t="n">
        <f aca="false">IF(AND(ISNUMBER(AZ182),ISNUMBER(AZ157)),IFERROR(AZ182/AZ157,""),"")</f>
        <v>0.0061628267645668</v>
      </c>
      <c r="BA146" s="43" t="n">
        <f aca="false">IF(AND(ISNUMBER(BA182),ISNUMBER(BA157)),IFERROR(BA182/BA157,""),"")</f>
        <v>0.00494958753437214</v>
      </c>
      <c r="BB146" s="43" t="n">
        <f aca="false">IF(AND(ISNUMBER(BB182),ISNUMBER(BB157)),IFERROR(BB182/BB157,""),"")</f>
        <v>0.00636780142201947</v>
      </c>
      <c r="BC146" s="43" t="n">
        <f aca="false">IF(AND(ISNUMBER(BC182),ISNUMBER(BC157)),IFERROR(BC182/BC157,""),"")</f>
        <v>0.00711463890351444</v>
      </c>
      <c r="BD146" s="43" t="n">
        <f aca="false">IF(AND(ISNUMBER(BD182),ISNUMBER(BD157)),IFERROR(BD182/BD157,""),"")</f>
        <v>0.00877814708018754</v>
      </c>
      <c r="BE146" s="43" t="n">
        <f aca="false">IF(AND(ISNUMBER(BE182),ISNUMBER(BE157)),IFERROR(BE182/BE157,""),"")</f>
        <v>0.0068055051223592</v>
      </c>
      <c r="BF146" s="43" t="n">
        <f aca="false">IF(AND(ISNUMBER(BF182),ISNUMBER(BF157)),IFERROR(BF182/BF157,""),"")</f>
        <v>0.00914954031197949</v>
      </c>
      <c r="BG146" s="43" t="n">
        <f aca="false">IF(AND(ISNUMBER(BG182),ISNUMBER(BG157)),IFERROR(BG182/BG157,""),"")</f>
        <v>0.00801877755067771</v>
      </c>
      <c r="BH146" s="43" t="n">
        <f aca="false">IF(AND(ISNUMBER(BH182),ISNUMBER(BH157)),IFERROR(BH182/BH157,""),"")</f>
        <v>0.00739749478936121</v>
      </c>
      <c r="BI146" s="43" t="n">
        <f aca="false">IF(AND(ISNUMBER(BI182),ISNUMBER(BI157)),IFERROR(BI182/BI157,""),"")</f>
        <v>0.0113711472843664</v>
      </c>
      <c r="BJ146" s="43" t="n">
        <f aca="false">IF(AND(ISNUMBER(BJ182),ISNUMBER(BJ157)),IFERROR(BJ182/BJ157,""),"")</f>
        <v>0.0080631569712543</v>
      </c>
      <c r="BK146" s="43" t="n">
        <f aca="false">IF(AND(ISNUMBER(BK182),ISNUMBER(BK157)),IFERROR(BK182/BK157,""),"")</f>
        <v>0.00604170946963454</v>
      </c>
      <c r="BL146" s="43" t="n">
        <f aca="false">IF(AND(ISNUMBER(BL182),ISNUMBER(BL157)),IFERROR(BL182/BL157,""),"")</f>
        <v>0.00815151207234811</v>
      </c>
      <c r="BM146" s="43" t="n">
        <f aca="false">IF(AND(ISNUMBER(BM182),ISNUMBER(BM157)),IFERROR(BM182/BM157,""),"")</f>
        <v>0.0118202732566318</v>
      </c>
      <c r="BN146" s="43" t="n">
        <f aca="false">IF(AND(ISNUMBER(BN182),ISNUMBER(BN157)),IFERROR(BN182/BN157,""),"")</f>
        <v>0.0110345210037432</v>
      </c>
      <c r="BO146" s="35" t="n">
        <f aca="false">SUM(BM182,BN182)/SUM(BM157,BN157)</f>
        <v>0.0114181634902562</v>
      </c>
      <c r="BP146" s="35" t="n">
        <f aca="false">SUM(BM182,BN182)/SUM(BM157,BN157)</f>
        <v>0.0114181634902562</v>
      </c>
      <c r="BQ146" s="35" t="n">
        <f aca="false">IF(AND(ISNUMBER(BQ182),ISNUMBER(BQ157)),IFERROR(BQ182/BQ157,""),"")</f>
        <v>0.0114181634902562</v>
      </c>
      <c r="BR146" s="48" t="n">
        <v>0.0105</v>
      </c>
      <c r="BS146" s="48" t="n">
        <v>0.0105</v>
      </c>
      <c r="BT146" s="48" t="n">
        <v>0.0105</v>
      </c>
      <c r="BU146" s="48" t="n">
        <v>0.0105</v>
      </c>
      <c r="BV146" s="15" t="s">
        <v>297</v>
      </c>
    </row>
    <row r="147" customFormat="false" ht="15" hidden="false" customHeight="false" outlineLevel="0" collapsed="false">
      <c r="B147" s="13" t="s">
        <v>298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24" t="n">
        <v>10.6</v>
      </c>
      <c r="BM147" s="24" t="n">
        <v>2.5</v>
      </c>
      <c r="BN147" s="24" t="n">
        <v>2.5</v>
      </c>
      <c r="BO147" s="21" t="n">
        <f aca="false">BN147</f>
        <v>2.5</v>
      </c>
      <c r="BP147" s="21" t="n">
        <f aca="false">BN147</f>
        <v>2.5</v>
      </c>
      <c r="BQ147" s="21" t="n">
        <f aca="false">SUM(BM147:BP147)</f>
        <v>10</v>
      </c>
      <c r="BR147" s="39" t="n">
        <v>10</v>
      </c>
      <c r="BS147" s="39" t="n">
        <v>10</v>
      </c>
      <c r="BT147" s="39" t="n">
        <v>10</v>
      </c>
      <c r="BU147" s="39" t="n">
        <v>10</v>
      </c>
      <c r="BV147" s="15" t="s">
        <v>299</v>
      </c>
    </row>
    <row r="148" customFormat="false" ht="15" hidden="false" customHeight="false" outlineLevel="0" collapsed="false">
      <c r="B148" s="13" t="s">
        <v>300</v>
      </c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36"/>
      <c r="BP148" s="36"/>
      <c r="BQ148" s="36"/>
      <c r="BR148" s="48" t="n">
        <v>0.45</v>
      </c>
      <c r="BS148" s="48" t="n">
        <v>0.45</v>
      </c>
      <c r="BT148" s="48" t="n">
        <v>0.45</v>
      </c>
      <c r="BU148" s="48" t="n">
        <v>0.45</v>
      </c>
      <c r="BV148" s="15" t="s">
        <v>301</v>
      </c>
    </row>
    <row r="149" customFormat="false" ht="15" hidden="false" customHeight="false" outlineLevel="0" collapsed="false">
      <c r="B149" s="13" t="s">
        <v>302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36"/>
      <c r="BP149" s="36"/>
      <c r="BQ149" s="39" t="n">
        <v>300</v>
      </c>
      <c r="BR149" s="36"/>
      <c r="BS149" s="36"/>
      <c r="BT149" s="36"/>
      <c r="BU149" s="36"/>
      <c r="BV149" s="15" t="s">
        <v>303</v>
      </c>
    </row>
    <row r="150" customFormat="false" ht="15" hidden="false" customHeight="false" outlineLevel="0" collapsed="false">
      <c r="B150" s="13" t="s">
        <v>304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36"/>
      <c r="BP150" s="36"/>
      <c r="BQ150" s="48" t="n">
        <v>0.2</v>
      </c>
      <c r="BR150" s="36"/>
      <c r="BS150" s="36"/>
      <c r="BT150" s="36"/>
      <c r="BU150" s="36"/>
      <c r="BV150" s="15"/>
    </row>
    <row r="151" customFormat="false" ht="15" hidden="false" customHeight="false" outlineLevel="0" collapsed="false">
      <c r="B151" s="13" t="s">
        <v>305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36"/>
      <c r="BP151" s="36"/>
      <c r="BQ151" s="48" t="n">
        <v>0.3</v>
      </c>
      <c r="BR151" s="36"/>
      <c r="BS151" s="36"/>
      <c r="BT151" s="36"/>
      <c r="BU151" s="36"/>
      <c r="BV151" s="15"/>
    </row>
    <row r="152" customFormat="false" ht="15" hidden="false" customHeight="false" outlineLevel="0" collapsed="false">
      <c r="B152" s="13" t="s">
        <v>306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36"/>
      <c r="BP152" s="36"/>
      <c r="BQ152" s="59" t="n">
        <v>10</v>
      </c>
      <c r="BR152" s="36"/>
      <c r="BS152" s="36"/>
      <c r="BT152" s="36"/>
      <c r="BU152" s="36"/>
      <c r="BV152" s="15"/>
    </row>
    <row r="153" customFormat="false" ht="15" hidden="false" customHeight="false" outlineLevel="0" collapsed="false">
      <c r="B153" s="13" t="s">
        <v>307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21" t="n">
        <f aca="false">$BQ$149*$BQ$151/$BQ$152/4</f>
        <v>2.25</v>
      </c>
      <c r="BP153" s="21" t="n">
        <f aca="false">$BQ$149*$BQ$151/$BQ$152/4</f>
        <v>2.25</v>
      </c>
      <c r="BQ153" s="21" t="n">
        <f aca="false">SUM(BM153:BP153)</f>
        <v>4.5</v>
      </c>
      <c r="BR153" s="21" t="n">
        <f aca="false">$BQ$149*$BQ$151/$BQ$152</f>
        <v>9</v>
      </c>
      <c r="BS153" s="21" t="n">
        <f aca="false">$BQ$149*$BQ$151/$BQ$152</f>
        <v>9</v>
      </c>
      <c r="BT153" s="21" t="n">
        <f aca="false">$BQ$149*$BQ$151/$BQ$152</f>
        <v>9</v>
      </c>
      <c r="BU153" s="21" t="n">
        <f aca="false">$BQ$149*$BQ$151/$BQ$152</f>
        <v>9</v>
      </c>
      <c r="BV153" s="15"/>
    </row>
    <row r="154" customFormat="false" ht="15" hidden="false" customHeight="false" outlineLevel="0" collapsed="false">
      <c r="B154" s="30" t="s">
        <v>308</v>
      </c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2" t="n">
        <v>10.6</v>
      </c>
      <c r="BM154" s="32" t="n">
        <v>2.5</v>
      </c>
      <c r="BN154" s="32" t="n">
        <v>2.5</v>
      </c>
      <c r="BO154" s="33" t="n">
        <f aca="false">BO147+BO153</f>
        <v>4.75</v>
      </c>
      <c r="BP154" s="33" t="n">
        <f aca="false">BP147+BP153</f>
        <v>4.75</v>
      </c>
      <c r="BQ154" s="33" t="n">
        <f aca="false">SUM(BM154:BP154)</f>
        <v>14.5</v>
      </c>
      <c r="BR154" s="33" t="n">
        <f aca="false">BR147+BR153+BR100</f>
        <v>19</v>
      </c>
      <c r="BS154" s="33" t="n">
        <f aca="false">BS147+BS153+BS100</f>
        <v>21.1875</v>
      </c>
      <c r="BT154" s="33" t="n">
        <f aca="false">BT147+BT153+BT100</f>
        <v>25.5625</v>
      </c>
      <c r="BU154" s="33" t="n">
        <f aca="false">BU147+BU153+BU100</f>
        <v>29.9375</v>
      </c>
      <c r="BV154" s="15"/>
    </row>
    <row r="155" customFormat="false" ht="15" hidden="false" customHeight="false" outlineLevel="0" collapsed="false">
      <c r="B155" s="13"/>
      <c r="BO155" s="14"/>
      <c r="BP155" s="14"/>
      <c r="BQ155" s="14"/>
      <c r="BR155" s="14"/>
      <c r="BS155" s="14"/>
      <c r="BT155" s="14"/>
      <c r="BU155" s="14"/>
      <c r="BV155" s="15"/>
    </row>
    <row r="156" customFormat="false" ht="15" hidden="false" customHeight="false" outlineLevel="0" collapsed="false">
      <c r="B156" s="9" t="s">
        <v>309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 t="s">
        <v>310</v>
      </c>
    </row>
    <row r="157" customFormat="false" ht="15" hidden="false" customHeight="false" outlineLevel="0" collapsed="false">
      <c r="B157" s="60" t="s">
        <v>311</v>
      </c>
      <c r="C157" s="64" t="n">
        <v>1522.864</v>
      </c>
      <c r="D157" s="64" t="n">
        <v>1546.663</v>
      </c>
      <c r="E157" s="64" t="n">
        <v>355.416</v>
      </c>
      <c r="F157" s="64" t="n">
        <v>362.488</v>
      </c>
      <c r="G157" s="64" t="n">
        <v>337.352</v>
      </c>
      <c r="H157" s="64" t="n">
        <v>395.354</v>
      </c>
      <c r="I157" s="64" t="n">
        <v>1450.61</v>
      </c>
      <c r="J157" s="64" t="n">
        <v>335.486</v>
      </c>
      <c r="K157" s="64" t="n">
        <v>357.135</v>
      </c>
      <c r="L157" s="64" t="n">
        <v>358.97</v>
      </c>
      <c r="M157" s="64" t="n">
        <v>363.938</v>
      </c>
      <c r="N157" s="64" t="n">
        <v>1415.529</v>
      </c>
      <c r="O157" s="64" t="n">
        <v>364.826</v>
      </c>
      <c r="P157" s="64" t="n">
        <v>402.382</v>
      </c>
      <c r="Q157" s="64" t="n">
        <v>379.505</v>
      </c>
      <c r="R157" s="64" t="n">
        <v>403.86</v>
      </c>
      <c r="S157" s="64" t="n">
        <v>1550.573</v>
      </c>
      <c r="T157" s="64" t="n">
        <v>428.229</v>
      </c>
      <c r="U157" s="64" t="n">
        <v>410.011</v>
      </c>
      <c r="V157" s="64" t="n">
        <v>419.36</v>
      </c>
      <c r="W157" s="64" t="n">
        <v>430.138</v>
      </c>
      <c r="X157" s="64" t="n">
        <v>1687.738</v>
      </c>
      <c r="Y157" s="64" t="n">
        <v>457.463</v>
      </c>
      <c r="Z157" s="64" t="n">
        <v>438.921</v>
      </c>
      <c r="AA157" s="64" t="n">
        <v>425.507</v>
      </c>
      <c r="AB157" s="64" t="n">
        <v>477.998</v>
      </c>
      <c r="AC157" s="64" t="n">
        <v>1799.889</v>
      </c>
      <c r="AD157" s="64" t="n">
        <v>416.454</v>
      </c>
      <c r="AE157" s="64" t="n">
        <v>471.231</v>
      </c>
      <c r="AF157" s="64" t="n">
        <v>506</v>
      </c>
      <c r="AG157" s="64" t="n">
        <v>501.235</v>
      </c>
      <c r="AH157" s="64" t="n">
        <v>1894.92</v>
      </c>
      <c r="AI157" s="64" t="n">
        <v>542.208</v>
      </c>
      <c r="AJ157" s="64" t="n">
        <v>504.52</v>
      </c>
      <c r="AK157" s="64" t="n">
        <v>519.878</v>
      </c>
      <c r="AL157" s="64" t="n">
        <v>556.91</v>
      </c>
      <c r="AM157" s="64" t="n">
        <v>2123.516</v>
      </c>
      <c r="AN157" s="64" t="n">
        <v>528.273</v>
      </c>
      <c r="AO157" s="64" t="n">
        <v>505.099</v>
      </c>
      <c r="AP157" s="64" t="n">
        <v>498.727</v>
      </c>
      <c r="AQ157" s="64" t="n">
        <v>591.975</v>
      </c>
      <c r="AR157" s="64" t="n">
        <v>2124.074</v>
      </c>
      <c r="AS157" s="64" t="n">
        <v>530.738</v>
      </c>
      <c r="AT157" s="64" t="n">
        <v>554.208</v>
      </c>
      <c r="AU157" s="64" t="n">
        <v>523.711</v>
      </c>
      <c r="AV157" s="64" t="n">
        <v>624.177</v>
      </c>
      <c r="AW157" s="64" t="n">
        <v>2232.834</v>
      </c>
      <c r="AX157" s="64" t="n">
        <v>568.36</v>
      </c>
      <c r="AY157" s="64" t="n">
        <v>612.445</v>
      </c>
      <c r="AZ157" s="64" t="n">
        <v>589.989</v>
      </c>
      <c r="BA157" s="64" t="n">
        <v>725.515</v>
      </c>
      <c r="BB157" s="64" t="n">
        <v>2496.309</v>
      </c>
      <c r="BC157" s="64" t="n">
        <v>603.966</v>
      </c>
      <c r="BD157" s="64" t="n">
        <v>681.465</v>
      </c>
      <c r="BE157" s="64" t="n">
        <v>671.956</v>
      </c>
      <c r="BF157" s="64" t="n">
        <v>746.267</v>
      </c>
      <c r="BG157" s="64" t="n">
        <v>2703.654</v>
      </c>
      <c r="BH157" s="64" t="n">
        <v>682.258</v>
      </c>
      <c r="BI157" s="64" t="n">
        <v>764.039</v>
      </c>
      <c r="BJ157" s="64" t="n">
        <v>866.286</v>
      </c>
      <c r="BK157" s="64" t="n">
        <v>885.842</v>
      </c>
      <c r="BL157" s="64" t="n">
        <v>3198.425</v>
      </c>
      <c r="BM157" s="64" t="n">
        <v>860.217</v>
      </c>
      <c r="BN157" s="64" t="n">
        <v>901.625</v>
      </c>
      <c r="BO157" s="62" t="n">
        <f aca="false">BO103</f>
        <v>1002.64018367641</v>
      </c>
      <c r="BP157" s="62" t="n">
        <f aca="false">BP103</f>
        <v>1035.51781632359</v>
      </c>
      <c r="BQ157" s="62" t="n">
        <f aca="false">SUM(BM157:BP157)</f>
        <v>3800</v>
      </c>
      <c r="BR157" s="62" t="n">
        <f aca="false">BR103</f>
        <v>4163.19293675605</v>
      </c>
      <c r="BS157" s="62" t="n">
        <f aca="false">BS103</f>
        <v>4582.87937392749</v>
      </c>
      <c r="BT157" s="62" t="n">
        <f aca="false">BT103</f>
        <v>5083.58749984571</v>
      </c>
      <c r="BU157" s="62" t="n">
        <f aca="false">BU103</f>
        <v>5615.82229200984</v>
      </c>
      <c r="BV157" s="15" t="s">
        <v>312</v>
      </c>
      <c r="BX157" s="25" t="n">
        <f aca="false">IFERROR((BU157/BL157)^(1/5)-1,"n/m")</f>
        <v>0.119168394255038</v>
      </c>
      <c r="BY157" s="25" t="n">
        <f aca="false">IFERROR((BL157/AM157)^(1/5)-1,"n/m")</f>
        <v>0.0853657849177651</v>
      </c>
      <c r="BZ157" s="25" t="n">
        <f aca="false">IFERROR((BL157/N157)^(1/10)-1,"n/m")</f>
        <v>0.084930054300757</v>
      </c>
      <c r="CA157" s="25" t="n">
        <f aca="false">IFERROR((BL157/D157)^(1/12)-1,"n/m")</f>
        <v>0.0624170691321546</v>
      </c>
    </row>
    <row r="158" customFormat="false" ht="15" hidden="false" customHeight="false" outlineLevel="0" collapsed="false">
      <c r="B158" s="13" t="s">
        <v>313</v>
      </c>
      <c r="C158" s="19"/>
      <c r="D158" s="24" t="n">
        <v>1012.392</v>
      </c>
      <c r="E158" s="24" t="n">
        <v>252.554</v>
      </c>
      <c r="F158" s="24" t="n">
        <v>257.819</v>
      </c>
      <c r="G158" s="24" t="n">
        <v>242.607</v>
      </c>
      <c r="H158" s="24" t="n">
        <v>400.054</v>
      </c>
      <c r="I158" s="24" t="n">
        <v>1153.034</v>
      </c>
      <c r="J158" s="24" t="n">
        <v>227.639</v>
      </c>
      <c r="K158" s="24" t="n">
        <v>249.489</v>
      </c>
      <c r="L158" s="24" t="n">
        <v>250.558</v>
      </c>
      <c r="M158" s="24" t="n">
        <v>299.751</v>
      </c>
      <c r="N158" s="24" t="n">
        <v>1027.437</v>
      </c>
      <c r="O158" s="24" t="n">
        <v>248.81</v>
      </c>
      <c r="P158" s="24" t="n">
        <v>265.076</v>
      </c>
      <c r="Q158" s="24" t="n">
        <v>271.174</v>
      </c>
      <c r="R158" s="24" t="n">
        <v>289.469</v>
      </c>
      <c r="S158" s="24" t="n">
        <v>1074.529</v>
      </c>
      <c r="T158" s="24" t="n">
        <v>296.23</v>
      </c>
      <c r="U158" s="24" t="n">
        <v>271.382</v>
      </c>
      <c r="V158" s="24" t="n">
        <v>295.316</v>
      </c>
      <c r="W158" s="24" t="n">
        <v>307.934</v>
      </c>
      <c r="X158" s="24" t="n">
        <v>1170.862</v>
      </c>
      <c r="Y158" s="24" t="n">
        <v>327.364</v>
      </c>
      <c r="Z158" s="24" t="n">
        <v>318.209</v>
      </c>
      <c r="AA158" s="24" t="n">
        <v>326.314</v>
      </c>
      <c r="AB158" s="24" t="n">
        <v>323.989</v>
      </c>
      <c r="AC158" s="24" t="n">
        <v>1295.876</v>
      </c>
      <c r="AD158" s="24" t="n">
        <v>303.635</v>
      </c>
      <c r="AE158" s="24" t="n">
        <v>338.023</v>
      </c>
      <c r="AF158" s="24" t="n">
        <v>357.732</v>
      </c>
      <c r="AG158" s="24" t="n">
        <v>361.666</v>
      </c>
      <c r="AH158" s="24" t="n">
        <v>1361.056</v>
      </c>
      <c r="AI158" s="24" t="n">
        <v>392.443</v>
      </c>
      <c r="AJ158" s="24" t="n">
        <v>367.534</v>
      </c>
      <c r="AK158" s="24" t="n">
        <v>373.783</v>
      </c>
      <c r="AL158" s="24" t="n">
        <v>414.359</v>
      </c>
      <c r="AM158" s="24" t="n">
        <v>1548.119</v>
      </c>
      <c r="AN158" s="24" t="n">
        <v>392.806</v>
      </c>
      <c r="AO158" s="24" t="n">
        <v>375.817</v>
      </c>
      <c r="AP158" s="24" t="n">
        <v>361.53</v>
      </c>
      <c r="AQ158" s="24" t="n">
        <v>443.644</v>
      </c>
      <c r="AR158" s="24" t="n">
        <v>1573.797</v>
      </c>
      <c r="AS158" s="24" t="n">
        <v>404.827</v>
      </c>
      <c r="AT158" s="24" t="n">
        <v>413</v>
      </c>
      <c r="AU158" s="24" t="n">
        <v>399.281</v>
      </c>
      <c r="AV158" s="24" t="n">
        <v>463.791</v>
      </c>
      <c r="AW158" s="24" t="n">
        <v>1680.899</v>
      </c>
      <c r="AX158" s="24" t="n">
        <v>431.13</v>
      </c>
      <c r="AY158" s="24" t="n">
        <v>471.324</v>
      </c>
      <c r="AZ158" s="24" t="n">
        <v>436.296</v>
      </c>
      <c r="BA158" s="24" t="n">
        <v>536.966</v>
      </c>
      <c r="BB158" s="24" t="n">
        <v>1875.716</v>
      </c>
      <c r="BC158" s="24" t="n">
        <v>455.357</v>
      </c>
      <c r="BD158" s="24" t="n">
        <v>513.196</v>
      </c>
      <c r="BE158" s="24" t="n">
        <v>508</v>
      </c>
      <c r="BF158" s="24" t="n">
        <v>571.894</v>
      </c>
      <c r="BG158" s="24" t="n">
        <v>2048.447</v>
      </c>
      <c r="BH158" s="24" t="n">
        <v>517.065</v>
      </c>
      <c r="BI158" s="24" t="n">
        <v>572.642</v>
      </c>
      <c r="BJ158" s="24" t="n">
        <v>677.292</v>
      </c>
      <c r="BK158" s="24" t="n">
        <v>698.567</v>
      </c>
      <c r="BL158" s="24" t="n">
        <v>2465.566</v>
      </c>
      <c r="BM158" s="24" t="n">
        <v>662.849</v>
      </c>
      <c r="BN158" s="24" t="n">
        <v>699.32</v>
      </c>
      <c r="BO158" s="21" t="n">
        <f aca="false">BO157-BO159-BO160-BO161-BO162+BO163-BO106</f>
        <v>766.660902883385</v>
      </c>
      <c r="BP158" s="21" t="n">
        <f aca="false">BP157-BP159-BP160-BP161-BP162+BP163-BP106</f>
        <v>790.505355732765</v>
      </c>
      <c r="BQ158" s="21" t="n">
        <f aca="false">SUM(BM158:BP158)</f>
        <v>2919.33525861615</v>
      </c>
      <c r="BR158" s="21" t="n">
        <f aca="false">BR157-BR159-BR160-BR161-BR162+BR163-BR106</f>
        <v>3177.0408292914</v>
      </c>
      <c r="BS158" s="21" t="n">
        <f aca="false">BS157-BS159-BS160-BS161-BS162+BS163-BS106</f>
        <v>3468.6139968783</v>
      </c>
      <c r="BT158" s="21" t="n">
        <f aca="false">BT157-BT159-BT160-BT161-BT162+BT163-BT106</f>
        <v>3825.62617355889</v>
      </c>
      <c r="BU158" s="21" t="n">
        <f aca="false">BU157-BU159-BU160-BU161-BU162+BU163-BU106</f>
        <v>4215.94031172475</v>
      </c>
      <c r="BV158" s="15" t="s">
        <v>314</v>
      </c>
    </row>
    <row r="159" customFormat="false" ht="15" hidden="false" customHeight="false" outlineLevel="0" collapsed="false">
      <c r="B159" s="13" t="s">
        <v>315</v>
      </c>
      <c r="C159" s="19"/>
      <c r="D159" s="24" t="n">
        <v>58.183</v>
      </c>
      <c r="E159" s="24" t="n">
        <v>19.985</v>
      </c>
      <c r="F159" s="24" t="n">
        <v>26.636</v>
      </c>
      <c r="G159" s="24" t="n">
        <v>3.877</v>
      </c>
      <c r="H159" s="24" t="n">
        <v>4.253</v>
      </c>
      <c r="I159" s="24" t="n">
        <v>54.751</v>
      </c>
      <c r="J159" s="24" t="n">
        <v>3.828</v>
      </c>
      <c r="K159" s="24" t="n">
        <v>3.653</v>
      </c>
      <c r="L159" s="24" t="n">
        <v>1.518</v>
      </c>
      <c r="M159" s="24" t="n">
        <v>1.538</v>
      </c>
      <c r="N159" s="24" t="n">
        <v>10.537</v>
      </c>
      <c r="O159" s="24" t="n">
        <v>1.731</v>
      </c>
      <c r="P159" s="24" t="n">
        <v>1.566</v>
      </c>
      <c r="Q159" s="24" t="n">
        <v>1.746</v>
      </c>
      <c r="R159" s="24" t="n">
        <v>1.364</v>
      </c>
      <c r="S159" s="24" t="n">
        <v>6.407</v>
      </c>
      <c r="T159" s="24" t="n">
        <v>1.519</v>
      </c>
      <c r="U159" s="24" t="n">
        <v>1.152</v>
      </c>
      <c r="V159" s="24" t="n">
        <v>2.597</v>
      </c>
      <c r="W159" s="24" t="n">
        <v>1.922</v>
      </c>
      <c r="X159" s="24" t="n">
        <v>7.19</v>
      </c>
      <c r="Y159" s="24" t="n">
        <v>3.607</v>
      </c>
      <c r="Z159" s="24" t="n">
        <v>4.107</v>
      </c>
      <c r="AA159" s="24" t="n">
        <v>3.959</v>
      </c>
      <c r="AB159" s="24" t="n">
        <v>3.55</v>
      </c>
      <c r="AC159" s="24" t="n">
        <v>15.223</v>
      </c>
      <c r="AD159" s="24" t="n">
        <v>5.174</v>
      </c>
      <c r="AE159" s="24" t="n">
        <v>5.332</v>
      </c>
      <c r="AF159" s="24" t="n">
        <v>5.125</v>
      </c>
      <c r="AG159" s="24" t="n">
        <v>2.041</v>
      </c>
      <c r="AH159" s="24" t="n">
        <v>17.672</v>
      </c>
      <c r="AI159" s="24" t="n">
        <v>4.603</v>
      </c>
      <c r="AJ159" s="24" t="n">
        <v>4.029</v>
      </c>
      <c r="AK159" s="24" t="n">
        <v>2.933</v>
      </c>
      <c r="AL159" s="24" t="n">
        <v>2.624</v>
      </c>
      <c r="AM159" s="24" t="n">
        <v>14.189</v>
      </c>
      <c r="AN159" s="24" t="n">
        <v>3.116</v>
      </c>
      <c r="AO159" s="24" t="n">
        <v>3.505</v>
      </c>
      <c r="AP159" s="24" t="n">
        <v>2.87</v>
      </c>
      <c r="AQ159" s="24" t="n">
        <v>1.568</v>
      </c>
      <c r="AR159" s="24" t="n">
        <v>11.059</v>
      </c>
      <c r="AS159" s="24" t="n">
        <v>2.953</v>
      </c>
      <c r="AT159" s="24" t="n">
        <v>2.611</v>
      </c>
      <c r="AU159" s="24" t="n">
        <v>1.426</v>
      </c>
      <c r="AV159" s="24" t="n">
        <v>2.545</v>
      </c>
      <c r="AW159" s="24" t="n">
        <v>9.535</v>
      </c>
      <c r="AX159" s="24" t="n">
        <v>2.204</v>
      </c>
      <c r="AY159" s="24" t="n">
        <v>2.595</v>
      </c>
      <c r="AZ159" s="24" t="n">
        <v>1.156</v>
      </c>
      <c r="BA159" s="24" t="n">
        <v>1.658</v>
      </c>
      <c r="BB159" s="24" t="n">
        <v>7.613</v>
      </c>
      <c r="BC159" s="24" t="n">
        <v>1.49</v>
      </c>
      <c r="BD159" s="24" t="n">
        <v>1.271</v>
      </c>
      <c r="BE159" s="24" t="n">
        <v>2.081</v>
      </c>
      <c r="BF159" s="24" t="n">
        <v>2.636</v>
      </c>
      <c r="BG159" s="24" t="n">
        <v>7.478</v>
      </c>
      <c r="BH159" s="24" t="n">
        <v>2.013</v>
      </c>
      <c r="BI159" s="24" t="n">
        <v>4.565</v>
      </c>
      <c r="BJ159" s="24" t="n">
        <v>3.479</v>
      </c>
      <c r="BK159" s="24" t="n">
        <v>3.81</v>
      </c>
      <c r="BL159" s="24" t="n">
        <v>13.867</v>
      </c>
      <c r="BM159" s="24" t="n">
        <v>4.1</v>
      </c>
      <c r="BN159" s="24" t="n">
        <v>4.167</v>
      </c>
      <c r="BO159" s="21" t="n">
        <f aca="false">BO157*BO145</f>
        <v>4.70463662374542</v>
      </c>
      <c r="BP159" s="21" t="n">
        <f aca="false">BP157*BP145</f>
        <v>4.85890663722804</v>
      </c>
      <c r="BQ159" s="21" t="n">
        <f aca="false">SUM(BM159:BP159)</f>
        <v>17.8305432609735</v>
      </c>
      <c r="BR159" s="21" t="n">
        <f aca="false">BR157*BR145</f>
        <v>20.8159646837802</v>
      </c>
      <c r="BS159" s="21" t="n">
        <f aca="false">BS157*BS145</f>
        <v>22.9143968696375</v>
      </c>
      <c r="BT159" s="21" t="n">
        <f aca="false">BT157*BT145</f>
        <v>25.4179374992285</v>
      </c>
      <c r="BU159" s="21" t="n">
        <f aca="false">BU157*BU145</f>
        <v>28.0791114600492</v>
      </c>
      <c r="BV159" s="15"/>
    </row>
    <row r="160" customFormat="false" ht="15" hidden="false" customHeight="false" outlineLevel="0" collapsed="false">
      <c r="B160" s="13" t="s">
        <v>316</v>
      </c>
      <c r="C160" s="19"/>
      <c r="D160" s="24" t="n">
        <v>-0.132</v>
      </c>
      <c r="E160" s="24" t="n">
        <v>0</v>
      </c>
      <c r="F160" s="24" t="n">
        <v>0</v>
      </c>
      <c r="G160" s="24" t="n">
        <v>-0.625</v>
      </c>
      <c r="H160" s="24" t="n">
        <v>-0.046</v>
      </c>
      <c r="I160" s="24" t="n">
        <v>-0.671</v>
      </c>
      <c r="J160" s="24" t="n">
        <v>-0.003</v>
      </c>
      <c r="K160" s="24" t="n">
        <v>0</v>
      </c>
      <c r="L160" s="24" t="n">
        <v>0</v>
      </c>
      <c r="M160" s="24" t="n">
        <v>0.385</v>
      </c>
      <c r="N160" s="24" t="n">
        <v>0.382</v>
      </c>
      <c r="O160" s="24" t="n">
        <v>0</v>
      </c>
      <c r="P160" s="24" t="n">
        <v>-0.05</v>
      </c>
      <c r="Q160" s="24" t="n">
        <v>-0.005</v>
      </c>
      <c r="R160" s="24" t="n">
        <v>0.012</v>
      </c>
      <c r="S160" s="24" t="n">
        <v>-0.043</v>
      </c>
      <c r="T160" s="24" t="n">
        <v>0</v>
      </c>
      <c r="U160" s="24" t="n">
        <v>-0.031</v>
      </c>
      <c r="V160" s="24" t="n">
        <v>-0.002</v>
      </c>
      <c r="W160" s="24" t="n">
        <v>-0.161</v>
      </c>
      <c r="X160" s="24" t="n">
        <v>-0.194</v>
      </c>
      <c r="Y160" s="24" t="n">
        <v>-0.008</v>
      </c>
      <c r="Z160" s="24" t="n">
        <v>-0.237</v>
      </c>
      <c r="AA160" s="24" t="n">
        <v>0.243</v>
      </c>
      <c r="AB160" s="24" t="n">
        <v>0.066</v>
      </c>
      <c r="AC160" s="24" t="n">
        <v>0.064</v>
      </c>
      <c r="AD160" s="24" t="n">
        <v>0</v>
      </c>
      <c r="AE160" s="24" t="n">
        <v>0.151</v>
      </c>
      <c r="AF160" s="24" t="n">
        <v>-0.006</v>
      </c>
      <c r="AG160" s="24" t="n">
        <v>2.679</v>
      </c>
      <c r="AH160" s="24" t="n">
        <v>2.824</v>
      </c>
      <c r="AI160" s="24" t="n">
        <v>0</v>
      </c>
      <c r="AJ160" s="24" t="n">
        <v>0.299</v>
      </c>
      <c r="AK160" s="24" t="n">
        <v>0.025</v>
      </c>
      <c r="AL160" s="24" t="n">
        <v>-1.685</v>
      </c>
      <c r="AM160" s="24" t="n">
        <v>-1.361</v>
      </c>
      <c r="AN160" s="24" t="n">
        <v>-0.008</v>
      </c>
      <c r="AO160" s="24" t="n">
        <v>-0.029</v>
      </c>
      <c r="AP160" s="24" t="n">
        <v>-0.981</v>
      </c>
      <c r="AQ160" s="24" t="n">
        <v>-2.514</v>
      </c>
      <c r="AR160" s="24" t="n">
        <v>-3.532</v>
      </c>
      <c r="AS160" s="24" t="n">
        <v>0.03</v>
      </c>
      <c r="AT160" s="24" t="n">
        <v>-0.001</v>
      </c>
      <c r="AU160" s="24" t="n">
        <v>-0.251</v>
      </c>
      <c r="AV160" s="24" t="n">
        <v>5.742</v>
      </c>
      <c r="AW160" s="24" t="n">
        <v>5.52</v>
      </c>
      <c r="AX160" s="24" t="n">
        <v>-0.006</v>
      </c>
      <c r="AY160" s="24" t="n">
        <v>-0.009</v>
      </c>
      <c r="AZ160" s="24" t="n">
        <v>0</v>
      </c>
      <c r="BA160" s="24" t="n">
        <v>1.049</v>
      </c>
      <c r="BB160" s="24" t="n">
        <v>1.034</v>
      </c>
      <c r="BC160" s="24" t="n">
        <v>0</v>
      </c>
      <c r="BD160" s="24" t="n">
        <v>-0.004</v>
      </c>
      <c r="BE160" s="24" t="n">
        <v>0</v>
      </c>
      <c r="BF160" s="24" t="n">
        <v>4.394</v>
      </c>
      <c r="BG160" s="24" t="n">
        <v>4.39</v>
      </c>
      <c r="BH160" s="24" t="n">
        <v>-4.431</v>
      </c>
      <c r="BI160" s="24" t="n">
        <v>0.013</v>
      </c>
      <c r="BJ160" s="24" t="n">
        <v>0.001</v>
      </c>
      <c r="BK160" s="24" t="n">
        <v>-0.555</v>
      </c>
      <c r="BL160" s="24" t="n">
        <v>-4.972</v>
      </c>
      <c r="BM160" s="24" t="n">
        <v>0.125</v>
      </c>
      <c r="BN160" s="24" t="n">
        <v>-0.002</v>
      </c>
      <c r="BO160" s="39" t="n">
        <v>0</v>
      </c>
      <c r="BP160" s="39" t="n">
        <v>0</v>
      </c>
      <c r="BQ160" s="21" t="n">
        <f aca="false">SUM(BM160:BP160)</f>
        <v>0.123</v>
      </c>
      <c r="BR160" s="21" t="n">
        <f aca="false">-BR83</f>
        <v>-587.5</v>
      </c>
      <c r="BS160" s="21" t="n">
        <f aca="false">-BS83</f>
        <v>-0</v>
      </c>
      <c r="BT160" s="21" t="n">
        <f aca="false">-BT83</f>
        <v>-0</v>
      </c>
      <c r="BU160" s="21" t="n">
        <f aca="false">-BU83</f>
        <v>-0</v>
      </c>
      <c r="BV160" s="15" t="s">
        <v>317</v>
      </c>
    </row>
    <row r="161" customFormat="false" ht="15" hidden="false" customHeight="false" outlineLevel="0" collapsed="false">
      <c r="B161" s="13" t="s">
        <v>318</v>
      </c>
      <c r="C161" s="19"/>
      <c r="D161" s="24" t="n">
        <v>197.724</v>
      </c>
      <c r="E161" s="24" t="n">
        <v>49.971</v>
      </c>
      <c r="F161" s="24" t="n">
        <v>53.368</v>
      </c>
      <c r="G161" s="24" t="n">
        <v>55.289</v>
      </c>
      <c r="H161" s="24" t="n">
        <v>71.749</v>
      </c>
      <c r="I161" s="24" t="n">
        <v>230.377</v>
      </c>
      <c r="J161" s="24" t="n">
        <v>50.426</v>
      </c>
      <c r="K161" s="24" t="n">
        <v>54.76</v>
      </c>
      <c r="L161" s="24" t="n">
        <v>47.55</v>
      </c>
      <c r="M161" s="24" t="n">
        <v>55.025</v>
      </c>
      <c r="N161" s="24" t="n">
        <v>207.761</v>
      </c>
      <c r="O161" s="24" t="n">
        <v>45.209</v>
      </c>
      <c r="P161" s="24" t="n">
        <v>52.04</v>
      </c>
      <c r="Q161" s="24" t="n">
        <v>49.225</v>
      </c>
      <c r="R161" s="24" t="n">
        <v>70.012</v>
      </c>
      <c r="S161" s="24" t="n">
        <v>216.486</v>
      </c>
      <c r="T161" s="24" t="n">
        <v>51.15</v>
      </c>
      <c r="U161" s="24" t="n">
        <v>48.488</v>
      </c>
      <c r="V161" s="24" t="n">
        <v>51.398</v>
      </c>
      <c r="W161" s="24" t="n">
        <v>63.571</v>
      </c>
      <c r="X161" s="24" t="n">
        <v>214.607</v>
      </c>
      <c r="Y161" s="24" t="n">
        <v>53.762</v>
      </c>
      <c r="Z161" s="24" t="n">
        <v>51.518</v>
      </c>
      <c r="AA161" s="24" t="n">
        <v>53.919</v>
      </c>
      <c r="AB161" s="24" t="n">
        <v>54.893</v>
      </c>
      <c r="AC161" s="24" t="n">
        <v>214.092</v>
      </c>
      <c r="AD161" s="24" t="n">
        <v>51.683</v>
      </c>
      <c r="AE161" s="24" t="n">
        <v>54.052</v>
      </c>
      <c r="AF161" s="24" t="n">
        <v>52.561</v>
      </c>
      <c r="AG161" s="24" t="n">
        <v>58.475</v>
      </c>
      <c r="AH161" s="24" t="n">
        <v>216.771</v>
      </c>
      <c r="AI161" s="24" t="n">
        <v>52.958</v>
      </c>
      <c r="AJ161" s="24" t="n">
        <v>55.137</v>
      </c>
      <c r="AK161" s="24" t="n">
        <v>62.638</v>
      </c>
      <c r="AL161" s="24" t="n">
        <v>60.436</v>
      </c>
      <c r="AM161" s="24" t="n">
        <v>231.169</v>
      </c>
      <c r="AN161" s="24" t="n">
        <v>58.261</v>
      </c>
      <c r="AO161" s="24" t="n">
        <v>59.318</v>
      </c>
      <c r="AP161" s="24" t="n">
        <v>58.458</v>
      </c>
      <c r="AQ161" s="24" t="n">
        <v>54.363</v>
      </c>
      <c r="AR161" s="24" t="n">
        <v>230.4</v>
      </c>
      <c r="AS161" s="24" t="n">
        <v>60.134</v>
      </c>
      <c r="AT161" s="24" t="n">
        <v>54.68</v>
      </c>
      <c r="AU161" s="24" t="n">
        <v>58.16</v>
      </c>
      <c r="AV161" s="24" t="n">
        <v>61.308</v>
      </c>
      <c r="AW161" s="24" t="n">
        <v>234.282</v>
      </c>
      <c r="AX161" s="24" t="n">
        <v>60.835</v>
      </c>
      <c r="AY161" s="24" t="n">
        <v>64.437</v>
      </c>
      <c r="AZ161" s="24" t="n">
        <v>79.828</v>
      </c>
      <c r="BA161" s="24" t="n">
        <v>74.594</v>
      </c>
      <c r="BB161" s="24" t="n">
        <v>279.694</v>
      </c>
      <c r="BC161" s="24" t="n">
        <v>67.361</v>
      </c>
      <c r="BD161" s="24" t="n">
        <v>79.78</v>
      </c>
      <c r="BE161" s="24" t="n">
        <v>80.829</v>
      </c>
      <c r="BF161" s="24" t="n">
        <v>90.693</v>
      </c>
      <c r="BG161" s="24" t="n">
        <v>318.663</v>
      </c>
      <c r="BH161" s="24" t="n">
        <v>87.569</v>
      </c>
      <c r="BI161" s="24" t="n">
        <v>102.94</v>
      </c>
      <c r="BJ161" s="24" t="n">
        <v>93.381</v>
      </c>
      <c r="BK161" s="24" t="n">
        <v>110.526</v>
      </c>
      <c r="BL161" s="24" t="n">
        <v>394.416</v>
      </c>
      <c r="BM161" s="24" t="n">
        <v>108.017</v>
      </c>
      <c r="BN161" s="24" t="n">
        <v>108.432</v>
      </c>
      <c r="BO161" s="21" t="n">
        <f aca="false">BO157*BO144</f>
        <v>123.178165304593</v>
      </c>
      <c r="BP161" s="21" t="n">
        <f aca="false">BP157*BP144</f>
        <v>127.217307695824</v>
      </c>
      <c r="BQ161" s="21" t="n">
        <f aca="false">SUM(BM161:BP161)</f>
        <v>466.844473000417</v>
      </c>
      <c r="BR161" s="21" t="n">
        <f aca="false">BR157*BR144</f>
        <v>499.583152410726</v>
      </c>
      <c r="BS161" s="21" t="n">
        <f aca="false">BS157*BS144</f>
        <v>549.945524871299</v>
      </c>
      <c r="BT161" s="21" t="n">
        <f aca="false">BT157*BT144</f>
        <v>610.030499981485</v>
      </c>
      <c r="BU161" s="21" t="n">
        <f aca="false">BU157*BU144</f>
        <v>673.898675041181</v>
      </c>
      <c r="BV161" s="15"/>
    </row>
    <row r="162" customFormat="false" ht="15" hidden="false" customHeight="false" outlineLevel="0" collapsed="false">
      <c r="B162" s="13" t="s">
        <v>319</v>
      </c>
      <c r="C162" s="19"/>
      <c r="D162" s="24" t="n">
        <v>21.256</v>
      </c>
      <c r="E162" s="24" t="n">
        <v>1.18</v>
      </c>
      <c r="F162" s="24" t="n">
        <v>9.957</v>
      </c>
      <c r="G162" s="24" t="n">
        <v>5.922</v>
      </c>
      <c r="H162" s="24" t="n">
        <v>4.01</v>
      </c>
      <c r="I162" s="24" t="n">
        <v>21.069</v>
      </c>
      <c r="J162" s="24" t="n">
        <v>1.665</v>
      </c>
      <c r="K162" s="24" t="n">
        <v>40.93</v>
      </c>
      <c r="L162" s="24" t="n">
        <v>-65.728</v>
      </c>
      <c r="M162" s="24" t="n">
        <v>0</v>
      </c>
      <c r="N162" s="24" t="n">
        <v>-23.133</v>
      </c>
      <c r="O162" s="24" t="n">
        <v>30</v>
      </c>
      <c r="P162" s="24" t="n">
        <v>0</v>
      </c>
      <c r="Q162" s="24" t="n">
        <v>0</v>
      </c>
      <c r="R162" s="24" t="n">
        <v>0</v>
      </c>
      <c r="S162" s="24" t="n">
        <v>30</v>
      </c>
      <c r="T162" s="24" t="n">
        <v>0</v>
      </c>
      <c r="U162" s="24" t="n">
        <v>0</v>
      </c>
      <c r="V162" s="24" t="n">
        <v>0</v>
      </c>
      <c r="W162" s="24" t="n">
        <v>0</v>
      </c>
      <c r="X162" s="24" t="n">
        <v>0</v>
      </c>
      <c r="Y162" s="24" t="n">
        <v>0</v>
      </c>
      <c r="Z162" s="24" t="n">
        <v>0</v>
      </c>
      <c r="AA162" s="24" t="n">
        <v>0</v>
      </c>
      <c r="AB162" s="24" t="n">
        <v>0</v>
      </c>
      <c r="AC162" s="24" t="n">
        <v>0</v>
      </c>
      <c r="AD162" s="24" t="n">
        <v>0</v>
      </c>
      <c r="AE162" s="24" t="n">
        <v>0</v>
      </c>
      <c r="AF162" s="24" t="n">
        <v>0</v>
      </c>
      <c r="AG162" s="24" t="n">
        <v>0</v>
      </c>
      <c r="AH162" s="24" t="n">
        <v>0</v>
      </c>
      <c r="AI162" s="24" t="n">
        <v>0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39" t="n">
        <v>0</v>
      </c>
      <c r="BP162" s="39" t="n">
        <v>0</v>
      </c>
      <c r="BQ162" s="21" t="n">
        <f aca="false">SUM(BM162:BP162)</f>
        <v>0</v>
      </c>
      <c r="BR162" s="39" t="n">
        <v>0</v>
      </c>
      <c r="BS162" s="39" t="n">
        <v>0</v>
      </c>
      <c r="BT162" s="39" t="n">
        <v>0</v>
      </c>
      <c r="BU162" s="39" t="n">
        <v>0</v>
      </c>
      <c r="BV162" s="15" t="s">
        <v>320</v>
      </c>
    </row>
    <row r="163" customFormat="false" ht="15" hidden="false" customHeight="false" outlineLevel="0" collapsed="false">
      <c r="B163" s="13" t="s">
        <v>321</v>
      </c>
      <c r="C163" s="19"/>
      <c r="D163" s="24" t="n">
        <v>49.671</v>
      </c>
      <c r="E163" s="24" t="n">
        <v>12.903</v>
      </c>
      <c r="F163" s="24" t="n">
        <v>12.749</v>
      </c>
      <c r="G163" s="24" t="n">
        <v>4.449</v>
      </c>
      <c r="H163" s="24" t="n">
        <v>2.974</v>
      </c>
      <c r="I163" s="24" t="n">
        <v>33.075</v>
      </c>
      <c r="J163" s="24" t="n">
        <v>1.852</v>
      </c>
      <c r="K163" s="24" t="n">
        <v>3.282</v>
      </c>
      <c r="L163" s="24" t="n">
        <v>5.894</v>
      </c>
      <c r="M163" s="24" t="n">
        <v>2.368</v>
      </c>
      <c r="N163" s="24" t="n">
        <v>13.396</v>
      </c>
      <c r="O163" s="24" t="n">
        <v>3.533</v>
      </c>
      <c r="P163" s="24" t="n">
        <v>4.708</v>
      </c>
      <c r="Q163" s="24" t="n">
        <v>5.008</v>
      </c>
      <c r="R163" s="24" t="n">
        <v>2.82</v>
      </c>
      <c r="S163" s="24" t="n">
        <v>16.069</v>
      </c>
      <c r="T163" s="24" t="n">
        <v>3.875</v>
      </c>
      <c r="U163" s="24" t="n">
        <v>3.327</v>
      </c>
      <c r="V163" s="24" t="n">
        <v>3.63</v>
      </c>
      <c r="W163" s="24" t="n">
        <v>2.78</v>
      </c>
      <c r="X163" s="24" t="n">
        <v>13.612</v>
      </c>
      <c r="Y163" s="24" t="n">
        <v>7.15</v>
      </c>
      <c r="Z163" s="24" t="n">
        <v>6.225</v>
      </c>
      <c r="AA163" s="24" t="n">
        <v>9.323</v>
      </c>
      <c r="AB163" s="24" t="n">
        <v>7.645</v>
      </c>
      <c r="AC163" s="24" t="n">
        <v>30.343</v>
      </c>
      <c r="AD163" s="24" t="n">
        <v>7.682</v>
      </c>
      <c r="AE163" s="24" t="n">
        <v>6.862</v>
      </c>
      <c r="AF163" s="24" t="n">
        <v>7.874</v>
      </c>
      <c r="AG163" s="24" t="n">
        <v>6.506</v>
      </c>
      <c r="AH163" s="24" t="n">
        <v>28.924</v>
      </c>
      <c r="AI163" s="24" t="n">
        <v>6.063</v>
      </c>
      <c r="AJ163" s="24" t="n">
        <v>4.913</v>
      </c>
      <c r="AK163" s="24" t="n">
        <v>8.271</v>
      </c>
      <c r="AL163" s="24" t="n">
        <v>7.905</v>
      </c>
      <c r="AM163" s="24" t="n">
        <v>27.152</v>
      </c>
      <c r="AN163" s="24" t="n">
        <v>8.316</v>
      </c>
      <c r="AO163" s="24" t="n">
        <v>7.263</v>
      </c>
      <c r="AP163" s="24" t="n">
        <v>10.618</v>
      </c>
      <c r="AQ163" s="24" t="n">
        <v>7.301</v>
      </c>
      <c r="AR163" s="24" t="n">
        <v>33.498</v>
      </c>
      <c r="AS163" s="24" t="n">
        <v>8.779</v>
      </c>
      <c r="AT163" s="24" t="n">
        <v>11.319</v>
      </c>
      <c r="AU163" s="24" t="n">
        <v>14.783</v>
      </c>
      <c r="AV163" s="24" t="n">
        <v>11.092</v>
      </c>
      <c r="AW163" s="24" t="n">
        <v>45.973</v>
      </c>
      <c r="AX163" s="24" t="n">
        <v>13.645</v>
      </c>
      <c r="AY163" s="24" t="n">
        <v>12.568</v>
      </c>
      <c r="AZ163" s="24" t="n">
        <v>12.649</v>
      </c>
      <c r="BA163" s="24" t="n">
        <v>11.945</v>
      </c>
      <c r="BB163" s="24" t="n">
        <v>50.807</v>
      </c>
      <c r="BC163" s="24" t="n">
        <v>13.203</v>
      </c>
      <c r="BD163" s="24" t="n">
        <v>11.584</v>
      </c>
      <c r="BE163" s="24" t="n">
        <v>15.532</v>
      </c>
      <c r="BF163" s="24" t="n">
        <v>15.612</v>
      </c>
      <c r="BG163" s="24" t="n">
        <v>55.931</v>
      </c>
      <c r="BH163" s="24" t="n">
        <v>16.588</v>
      </c>
      <c r="BI163" s="24" t="n">
        <v>18.545</v>
      </c>
      <c r="BJ163" s="24" t="n">
        <v>21.216</v>
      </c>
      <c r="BK163" s="24" t="n">
        <v>18.562</v>
      </c>
      <c r="BL163" s="24" t="n">
        <v>74.911</v>
      </c>
      <c r="BM163" s="24" t="n">
        <v>21.565</v>
      </c>
      <c r="BN163" s="24" t="n">
        <v>24.428</v>
      </c>
      <c r="BO163" s="21" t="n">
        <f aca="false">BO15*BO142</f>
        <v>24.9885501534336</v>
      </c>
      <c r="BP163" s="21" t="n">
        <f aca="false">BP15*BP142</f>
        <v>23.8722247023173</v>
      </c>
      <c r="BQ163" s="21" t="n">
        <f aca="false">SUM(BM163:BP163)</f>
        <v>94.8537748557509</v>
      </c>
      <c r="BR163" s="21" t="n">
        <f aca="false">BR15*BR142</f>
        <v>99.8055648504554</v>
      </c>
      <c r="BS163" s="21" t="n">
        <f aca="false">BS15*BS142</f>
        <v>107.790010038492</v>
      </c>
      <c r="BT163" s="21" t="n">
        <f aca="false">BT15*BT142</f>
        <v>115.335310741186</v>
      </c>
      <c r="BU163" s="21" t="n">
        <f aca="false">BU15*BU142</f>
        <v>123.408782493069</v>
      </c>
      <c r="BV163" s="15"/>
      <c r="BX163" s="25" t="n">
        <f aca="false">IFERROR((BU163/BL163)^(1/5)-1,"n/m")</f>
        <v>0.104994444692637</v>
      </c>
      <c r="BY163" s="25" t="n">
        <f aca="false">IFERROR((BL163/AM163)^(1/5)-1,"n/m")</f>
        <v>0.225035724889157</v>
      </c>
      <c r="BZ163" s="25" t="n">
        <f aca="false">IFERROR((BL163/N163)^(1/10)-1,"n/m")</f>
        <v>0.187837537602558</v>
      </c>
      <c r="CA163" s="25" t="n">
        <f aca="false">IFERROR((BL163/D163)^(1/12)-1,"n/m")</f>
        <v>0.034832892026446</v>
      </c>
    </row>
    <row r="164" customFormat="false" ht="15" hidden="false" customHeight="false" outlineLevel="0" collapsed="false">
      <c r="B164" s="60" t="s">
        <v>322</v>
      </c>
      <c r="C164" s="62" t="str">
        <f aca="false">IF(ISNUMBER(C158),C157-C158-C159-C160-C161-C162+C163,"")</f>
        <v/>
      </c>
      <c r="D164" s="62" t="n">
        <f aca="false">IF(ISNUMBER(D158),D157-D158-D159-D160-D161-D162+D163,"")</f>
        <v>306.911</v>
      </c>
      <c r="E164" s="62" t="n">
        <f aca="false">IF(ISNUMBER(E158),E157-E158-E159-E160-E161-E162+E163,"")</f>
        <v>44.629</v>
      </c>
      <c r="F164" s="62" t="n">
        <f aca="false">IF(ISNUMBER(F158),F157-F158-F159-F160-F161-F162+F163,"")</f>
        <v>27.457</v>
      </c>
      <c r="G164" s="62" t="n">
        <f aca="false">IF(ISNUMBER(G158),G157-G158-G159-G160-G161-G162+G163,"")</f>
        <v>34.731</v>
      </c>
      <c r="H164" s="62" t="n">
        <f aca="false">IF(ISNUMBER(H158),H157-H158-H159-H160-H161-H162+H163,"")</f>
        <v>-81.692</v>
      </c>
      <c r="I164" s="62" t="n">
        <f aca="false">IF(ISNUMBER(I158),I157-I158-I159-I160-I161-I162+I163,"")</f>
        <v>25.1249999999998</v>
      </c>
      <c r="J164" s="62" t="n">
        <f aca="false">IF(ISNUMBER(J158),J157-J158-J159-J160-J161-J162+J163,"")</f>
        <v>53.783</v>
      </c>
      <c r="K164" s="62" t="n">
        <f aca="false">IF(ISNUMBER(K158),K157-K158-K159-K160-K161-K162+K163,"")</f>
        <v>11.585</v>
      </c>
      <c r="L164" s="62" t="n">
        <f aca="false">IF(ISNUMBER(L158),L157-L158-L159-L160-L161-L162+L163,"")</f>
        <v>130.966</v>
      </c>
      <c r="M164" s="62" t="n">
        <f aca="false">IF(ISNUMBER(M158),M157-M158-M159-M160-M161-M162+M163,"")</f>
        <v>9.60700000000002</v>
      </c>
      <c r="N164" s="62" t="n">
        <f aca="false">IF(ISNUMBER(N158),N157-N158-N159-N160-N161-N162+N163,"")</f>
        <v>205.941</v>
      </c>
      <c r="O164" s="62" t="n">
        <f aca="false">IF(ISNUMBER(O158),O157-O158-O159-O160-O161-O162+O163,"")</f>
        <v>42.609</v>
      </c>
      <c r="P164" s="62" t="n">
        <f aca="false">IF(ISNUMBER(P158),P157-P158-P159-P160-P161-P162+P163,"")</f>
        <v>88.458</v>
      </c>
      <c r="Q164" s="62" t="n">
        <f aca="false">IF(ISNUMBER(Q158),Q157-Q158-Q159-Q160-Q161-Q162+Q163,"")</f>
        <v>62.373</v>
      </c>
      <c r="R164" s="62" t="n">
        <f aca="false">IF(ISNUMBER(R158),R157-R158-R159-R160-R161-R162+R163,"")</f>
        <v>45.823</v>
      </c>
      <c r="S164" s="62" t="n">
        <f aca="false">IF(ISNUMBER(S158),S157-S158-S159-S160-S161-S162+S163,"")</f>
        <v>239.263</v>
      </c>
      <c r="T164" s="62" t="n">
        <f aca="false">IF(ISNUMBER(T158),T157-T158-T159-T160-T161-T162+T163,"")</f>
        <v>83.205</v>
      </c>
      <c r="U164" s="62" t="n">
        <f aca="false">IF(ISNUMBER(U158),U157-U158-U159-U160-U161-U162+U163,"")</f>
        <v>92.347</v>
      </c>
      <c r="V164" s="62" t="n">
        <f aca="false">IF(ISNUMBER(V158),V157-V158-V159-V160-V161-V162+V163,"")</f>
        <v>73.681</v>
      </c>
      <c r="W164" s="62" t="n">
        <f aca="false">IF(ISNUMBER(W158),W157-W158-W159-W160-W161-W162+W163,"")</f>
        <v>59.652</v>
      </c>
      <c r="X164" s="62" t="n">
        <f aca="false">IF(ISNUMBER(X158),X157-X158-X159-X160-X161-X162+X163,"")</f>
        <v>308.885</v>
      </c>
      <c r="Y164" s="62" t="n">
        <f aca="false">IF(ISNUMBER(Y158),Y157-Y158-Y159-Y160-Y161-Y162+Y163,"")</f>
        <v>79.8880000000001</v>
      </c>
      <c r="Z164" s="62" t="n">
        <f aca="false">IF(ISNUMBER(Z158),Z157-Z158-Z159-Z160-Z161-Z162+Z163,"")</f>
        <v>71.549</v>
      </c>
      <c r="AA164" s="62" t="n">
        <f aca="false">IF(ISNUMBER(AA158),AA157-AA158-AA159-AA160-AA161-AA162+AA163,"")</f>
        <v>50.395</v>
      </c>
      <c r="AB164" s="62" t="n">
        <f aca="false">IF(ISNUMBER(AB158),AB157-AB158-AB159-AB160-AB161-AB162+AB163,"")</f>
        <v>103.145</v>
      </c>
      <c r="AC164" s="62" t="n">
        <f aca="false">IF(ISNUMBER(AC158),AC157-AC158-AC159-AC160-AC161-AC162+AC163,"")</f>
        <v>304.977</v>
      </c>
      <c r="AD164" s="62" t="n">
        <f aca="false">IF(ISNUMBER(AD158),AD157-AD158-AD159-AD160-AD161-AD162+AD163,"")</f>
        <v>63.644</v>
      </c>
      <c r="AE164" s="62" t="n">
        <f aca="false">IF(ISNUMBER(AE158),AE157-AE158-AE159-AE160-AE161-AE162+AE163,"")</f>
        <v>80.535</v>
      </c>
      <c r="AF164" s="62" t="n">
        <f aca="false">IF(ISNUMBER(AF158),AF157-AF158-AF159-AF160-AF161-AF162+AF163,"")</f>
        <v>98.462</v>
      </c>
      <c r="AG164" s="62" t="n">
        <f aca="false">IF(ISNUMBER(AG158),AG157-AG158-AG159-AG160-AG161-AG162+AG163,"")</f>
        <v>82.88</v>
      </c>
      <c r="AH164" s="62" t="n">
        <f aca="false">IF(ISNUMBER(AH158),AH157-AH158-AH159-AH160-AH161-AH162+AH163,"")</f>
        <v>325.521</v>
      </c>
      <c r="AI164" s="62" t="n">
        <f aca="false">IF(ISNUMBER(AI158),AI157-AI158-AI159-AI160-AI161-AI162+AI163,"")</f>
        <v>98.267</v>
      </c>
      <c r="AJ164" s="62" t="n">
        <f aca="false">IF(ISNUMBER(AJ158),AJ157-AJ158-AJ159-AJ160-AJ161-AJ162+AJ163,"")</f>
        <v>82.434</v>
      </c>
      <c r="AK164" s="62" t="n">
        <f aca="false">IF(ISNUMBER(AK158),AK157-AK158-AK159-AK160-AK161-AK162+AK163,"")</f>
        <v>88.77</v>
      </c>
      <c r="AL164" s="62" t="n">
        <f aca="false">IF(ISNUMBER(AL158),AL157-AL158-AL159-AL160-AL161-AL162+AL163,"")</f>
        <v>89.081</v>
      </c>
      <c r="AM164" s="62" t="n">
        <f aca="false">IF(ISNUMBER(AM158),AM157-AM158-AM159-AM160-AM161-AM162+AM163,"")</f>
        <v>358.552</v>
      </c>
      <c r="AN164" s="62" t="n">
        <f aca="false">IF(ISNUMBER(AN158),AN157-AN158-AN159-AN160-AN161-AN162+AN163,"")</f>
        <v>82.414</v>
      </c>
      <c r="AO164" s="62" t="n">
        <f aca="false">IF(ISNUMBER(AO158),AO157-AO158-AO159-AO160-AO161-AO162+AO163,"")</f>
        <v>73.751</v>
      </c>
      <c r="AP164" s="62" t="n">
        <f aca="false">IF(ISNUMBER(AP158),AP157-AP158-AP159-AP160-AP161-AP162+AP163,"")</f>
        <v>87.468</v>
      </c>
      <c r="AQ164" s="62" t="n">
        <f aca="false">IF(ISNUMBER(AQ158),AQ157-AQ158-AQ159-AQ160-AQ161-AQ162+AQ163,"")</f>
        <v>102.215</v>
      </c>
      <c r="AR164" s="62" t="n">
        <f aca="false">IF(ISNUMBER(AR158),AR157-AR158-AR159-AR160-AR161-AR162+AR163,"")</f>
        <v>345.848</v>
      </c>
      <c r="AS164" s="62" t="n">
        <f aca="false">IF(ISNUMBER(AS158),AS157-AS158-AS159-AS160-AS161-AS162+AS163,"")</f>
        <v>71.5730000000001</v>
      </c>
      <c r="AT164" s="62" t="n">
        <f aca="false">IF(ISNUMBER(AT158),AT157-AT158-AT159-AT160-AT161-AT162+AT163,"")</f>
        <v>95.237</v>
      </c>
      <c r="AU164" s="62" t="n">
        <f aca="false">IF(ISNUMBER(AU158),AU157-AU158-AU159-AU160-AU161-AU162+AU163,"")</f>
        <v>79.878</v>
      </c>
      <c r="AV164" s="62" t="n">
        <f aca="false">IF(ISNUMBER(AV158),AV157-AV158-AV159-AV160-AV161-AV162+AV163,"")</f>
        <v>101.883</v>
      </c>
      <c r="AW164" s="62" t="n">
        <f aca="false">IF(ISNUMBER(AW158),AW157-AW158-AW159-AW160-AW161-AW162+AW163,"")</f>
        <v>348.571</v>
      </c>
      <c r="AX164" s="62" t="n">
        <f aca="false">IF(ISNUMBER(AX158),AX157-AX158-AX159-AX160-AX161-AX162+AX163,"")</f>
        <v>87.842</v>
      </c>
      <c r="AY164" s="62" t="n">
        <f aca="false">IF(ISNUMBER(AY158),AY157-AY158-AY159-AY160-AY161-AY162+AY163,"")</f>
        <v>86.666</v>
      </c>
      <c r="AZ164" s="62" t="n">
        <f aca="false">IF(ISNUMBER(AZ158),AZ157-AZ158-AZ159-AZ160-AZ161-AZ162+AZ163,"")</f>
        <v>85.358</v>
      </c>
      <c r="BA164" s="62" t="n">
        <f aca="false">IF(ISNUMBER(BA158),BA157-BA158-BA159-BA160-BA161-BA162+BA163,"")</f>
        <v>123.193</v>
      </c>
      <c r="BB164" s="62" t="n">
        <f aca="false">IF(ISNUMBER(BB158),BB157-BB158-BB159-BB160-BB161-BB162+BB163,"")</f>
        <v>383.059</v>
      </c>
      <c r="BC164" s="62" t="n">
        <f aca="false">IF(ISNUMBER(BC158),BC157-BC158-BC159-BC160-BC161-BC162+BC163,"")</f>
        <v>92.961</v>
      </c>
      <c r="BD164" s="62" t="n">
        <f aca="false">IF(ISNUMBER(BD158),BD157-BD158-BD159-BD160-BD161-BD162+BD163,"")</f>
        <v>98.806</v>
      </c>
      <c r="BE164" s="62" t="n">
        <f aca="false">IF(ISNUMBER(BE158),BE157-BE158-BE159-BE160-BE161-BE162+BE163,"")</f>
        <v>96.578</v>
      </c>
      <c r="BF164" s="62" t="n">
        <f aca="false">IF(ISNUMBER(BF158),BF157-BF158-BF159-BF160-BF161-BF162+BF163,"")</f>
        <v>92.262</v>
      </c>
      <c r="BG164" s="62" t="n">
        <f aca="false">IF(ISNUMBER(BG158),BG157-BG158-BG159-BG160-BG161-BG162+BG163,"")</f>
        <v>380.607</v>
      </c>
      <c r="BH164" s="62" t="n">
        <f aca="false">IF(ISNUMBER(BH158),BH157-BH158-BH159-BH160-BH161-BH162+BH163,"")</f>
        <v>96.63</v>
      </c>
      <c r="BI164" s="62" t="n">
        <f aca="false">IF(ISNUMBER(BI158),BI157-BI158-BI159-BI160-BI161-BI162+BI163,"")</f>
        <v>102.424</v>
      </c>
      <c r="BJ164" s="62" t="n">
        <f aca="false">IF(ISNUMBER(BJ158),BJ157-BJ158-BJ159-BJ160-BJ161-BJ162+BJ163,"")</f>
        <v>113.349</v>
      </c>
      <c r="BK164" s="62" t="n">
        <f aca="false">IF(ISNUMBER(BK158),BK157-BK158-BK159-BK160-BK161-BK162+BK163,"")</f>
        <v>92.056</v>
      </c>
      <c r="BL164" s="62" t="n">
        <f aca="false">IF(ISNUMBER(BL158),BL157-BL158-BL159-BL160-BL161-BL162+BL163,"")</f>
        <v>404.459</v>
      </c>
      <c r="BM164" s="62" t="n">
        <f aca="false">IF(ISNUMBER(BM158),BM157-BM158-BM159-BM160-BM161-BM162+BM163,"")</f>
        <v>106.691</v>
      </c>
      <c r="BN164" s="62" t="n">
        <f aca="false">IF(ISNUMBER(BN158),BN157-BN158-BN159-BN160-BN161-BN162+BN163,"")</f>
        <v>114.136</v>
      </c>
      <c r="BO164" s="62" t="n">
        <f aca="false">BO157-BO158-BO159-BO160-BO161-BO162+BO163</f>
        <v>133.085029018119</v>
      </c>
      <c r="BP164" s="62" t="n">
        <f aca="false">BP157-BP158-BP159-BP160-BP161-BP162+BP163</f>
        <v>136.808470960092</v>
      </c>
      <c r="BQ164" s="62" t="n">
        <f aca="false">BQ157-BQ158-BQ159-BQ160-BQ161-BQ162+BQ163</f>
        <v>490.72049997821</v>
      </c>
      <c r="BR164" s="62" t="n">
        <f aca="false">BR157-BR158-BR159-BR160-BR161-BR162+BR163</f>
        <v>1153.0585552206</v>
      </c>
      <c r="BS164" s="62" t="n">
        <f aca="false">BS157-BS158-BS159-BS160-BS161-BS162+BS163</f>
        <v>649.195465346747</v>
      </c>
      <c r="BT164" s="62" t="n">
        <f aca="false">BT157-BT158-BT159-BT160-BT161-BT162+BT163</f>
        <v>737.848199547292</v>
      </c>
      <c r="BU164" s="62" t="n">
        <f aca="false">BU157-BU158-BU159-BU160-BU161-BU162+BU163</f>
        <v>821.312976276937</v>
      </c>
      <c r="BV164" s="15"/>
      <c r="BX164" s="25" t="n">
        <f aca="false">IFERROR((BU164/BL164)^(1/5)-1,"n/m")</f>
        <v>0.152197254785915</v>
      </c>
      <c r="BY164" s="25" t="n">
        <f aca="false">IFERROR((BL164/AM164)^(1/5)-1,"n/m")</f>
        <v>0.0243879729192782</v>
      </c>
      <c r="BZ164" s="25" t="n">
        <f aca="false">IFERROR((BL164/N164)^(1/10)-1,"n/m")</f>
        <v>0.0698260500014811</v>
      </c>
      <c r="CA164" s="25" t="n">
        <f aca="false">IFERROR((BL164/D164)^(1/12)-1,"n/m")</f>
        <v>0.0232659058367992</v>
      </c>
    </row>
    <row r="165" customFormat="false" ht="15" hidden="false" customHeight="false" outlineLevel="0" collapsed="false">
      <c r="B165" s="51" t="s">
        <v>323</v>
      </c>
      <c r="C165" s="20" t="str">
        <f aca="false">IF(AND(ISNUMBER(C164),ISNUMBER(C166)),ROUND(C164-C166,1),"")</f>
        <v/>
      </c>
      <c r="D165" s="20" t="n">
        <f aca="false">IF(AND(ISNUMBER(D164),ISNUMBER(D166)),ROUND(D164-D166,1),"")</f>
        <v>0</v>
      </c>
      <c r="E165" s="20" t="n">
        <f aca="false">IF(AND(ISNUMBER(E164),ISNUMBER(E166)),ROUND(E164-E166,1),"")</f>
        <v>0</v>
      </c>
      <c r="F165" s="20" t="n">
        <f aca="false">IF(AND(ISNUMBER(F164),ISNUMBER(F166)),ROUND(F164-F166,1),"")</f>
        <v>0</v>
      </c>
      <c r="G165" s="20" t="n">
        <f aca="false">IF(AND(ISNUMBER(G164),ISNUMBER(G166)),ROUND(G164-G166,1),"")</f>
        <v>0</v>
      </c>
      <c r="H165" s="20" t="n">
        <f aca="false">IF(AND(ISNUMBER(H164),ISNUMBER(H166)),ROUND(H164-H166,1),"")</f>
        <v>0</v>
      </c>
      <c r="I165" s="20" t="n">
        <f aca="false">IF(AND(ISNUMBER(I164),ISNUMBER(I166)),ROUND(I164-I166,1),"")</f>
        <v>-0</v>
      </c>
      <c r="J165" s="20" t="n">
        <f aca="false">IF(AND(ISNUMBER(J164),ISNUMBER(J166)),ROUND(J164-J166,1),"")</f>
        <v>0</v>
      </c>
      <c r="K165" s="20" t="n">
        <f aca="false">IF(AND(ISNUMBER(K164),ISNUMBER(K166)),ROUND(K164-K166,1),"")</f>
        <v>0</v>
      </c>
      <c r="L165" s="20" t="n">
        <f aca="false">IF(AND(ISNUMBER(L164),ISNUMBER(L166)),ROUND(L164-L166,1),"")</f>
        <v>0</v>
      </c>
      <c r="M165" s="20" t="n">
        <f aca="false">IF(AND(ISNUMBER(M164),ISNUMBER(M166)),ROUND(M164-M166,1),"")</f>
        <v>0</v>
      </c>
      <c r="N165" s="20" t="n">
        <f aca="false">IF(AND(ISNUMBER(N164),ISNUMBER(N166)),ROUND(N164-N166,1),"")</f>
        <v>0</v>
      </c>
      <c r="O165" s="20" t="n">
        <f aca="false">IF(AND(ISNUMBER(O164),ISNUMBER(O166)),ROUND(O164-O166,1),"")</f>
        <v>0</v>
      </c>
      <c r="P165" s="20" t="n">
        <f aca="false">IF(AND(ISNUMBER(P164),ISNUMBER(P166)),ROUND(P164-P166,1),"")</f>
        <v>0</v>
      </c>
      <c r="Q165" s="20" t="n">
        <f aca="false">IF(AND(ISNUMBER(Q164),ISNUMBER(Q166)),ROUND(Q164-Q166,1),"")</f>
        <v>0</v>
      </c>
      <c r="R165" s="20" t="n">
        <f aca="false">IF(AND(ISNUMBER(R164),ISNUMBER(R166)),ROUND(R164-R166,1),"")</f>
        <v>0</v>
      </c>
      <c r="S165" s="20" t="n">
        <f aca="false">IF(AND(ISNUMBER(S164),ISNUMBER(S166)),ROUND(S164-S166,1),"")</f>
        <v>0</v>
      </c>
      <c r="T165" s="20" t="n">
        <f aca="false">IF(AND(ISNUMBER(T164),ISNUMBER(T166)),ROUND(T164-T166,1),"")</f>
        <v>0</v>
      </c>
      <c r="U165" s="20" t="n">
        <f aca="false">IF(AND(ISNUMBER(U164),ISNUMBER(U166)),ROUND(U164-U166,1),"")</f>
        <v>0</v>
      </c>
      <c r="V165" s="20" t="n">
        <f aca="false">IF(AND(ISNUMBER(V164),ISNUMBER(V166)),ROUND(V164-V166,1),"")</f>
        <v>0</v>
      </c>
      <c r="W165" s="20" t="n">
        <f aca="false">IF(AND(ISNUMBER(W164),ISNUMBER(W166)),ROUND(W164-W166,1),"")</f>
        <v>0</v>
      </c>
      <c r="X165" s="20" t="n">
        <f aca="false">IF(AND(ISNUMBER(X164),ISNUMBER(X166)),ROUND(X164-X166,1),"")</f>
        <v>0</v>
      </c>
      <c r="Y165" s="20" t="n">
        <f aca="false">IF(AND(ISNUMBER(Y164),ISNUMBER(Y166)),ROUND(Y164-Y166,1),"")</f>
        <v>0</v>
      </c>
      <c r="Z165" s="20" t="n">
        <f aca="false">IF(AND(ISNUMBER(Z164),ISNUMBER(Z166)),ROUND(Z164-Z166,1),"")</f>
        <v>0</v>
      </c>
      <c r="AA165" s="20" t="n">
        <f aca="false">IF(AND(ISNUMBER(AA164),ISNUMBER(AA166)),ROUND(AA164-AA166,1),"")</f>
        <v>0</v>
      </c>
      <c r="AB165" s="20" t="n">
        <f aca="false">IF(AND(ISNUMBER(AB164),ISNUMBER(AB166)),ROUND(AB164-AB166,1),"")</f>
        <v>0</v>
      </c>
      <c r="AC165" s="20" t="n">
        <f aca="false">IF(AND(ISNUMBER(AC164),ISNUMBER(AC166)),ROUND(AC164-AC166,1),"")</f>
        <v>0</v>
      </c>
      <c r="AD165" s="20" t="n">
        <f aca="false">IF(AND(ISNUMBER(AD164),ISNUMBER(AD166)),ROUND(AD164-AD166,1),"")</f>
        <v>0</v>
      </c>
      <c r="AE165" s="20" t="n">
        <f aca="false">IF(AND(ISNUMBER(AE164),ISNUMBER(AE166)),ROUND(AE164-AE166,1),"")</f>
        <v>0</v>
      </c>
      <c r="AF165" s="20" t="n">
        <f aca="false">IF(AND(ISNUMBER(AF164),ISNUMBER(AF166)),ROUND(AF164-AF166,1),"")</f>
        <v>0</v>
      </c>
      <c r="AG165" s="20" t="n">
        <f aca="false">IF(AND(ISNUMBER(AG164),ISNUMBER(AG166)),ROUND(AG164-AG166,1),"")</f>
        <v>0</v>
      </c>
      <c r="AH165" s="20" t="n">
        <f aca="false">IF(AND(ISNUMBER(AH164),ISNUMBER(AH166)),ROUND(AH164-AH166,1),"")</f>
        <v>0</v>
      </c>
      <c r="AI165" s="20" t="n">
        <f aca="false">IF(AND(ISNUMBER(AI164),ISNUMBER(AI166)),ROUND(AI164-AI166,1),"")</f>
        <v>0</v>
      </c>
      <c r="AJ165" s="20" t="n">
        <f aca="false">IF(AND(ISNUMBER(AJ164),ISNUMBER(AJ166)),ROUND(AJ164-AJ166,1),"")</f>
        <v>0</v>
      </c>
      <c r="AK165" s="20" t="n">
        <f aca="false">IF(AND(ISNUMBER(AK164),ISNUMBER(AK166)),ROUND(AK164-AK166,1),"")</f>
        <v>0</v>
      </c>
      <c r="AL165" s="20" t="n">
        <f aca="false">IF(AND(ISNUMBER(AL164),ISNUMBER(AL166)),ROUND(AL164-AL166,1),"")</f>
        <v>0</v>
      </c>
      <c r="AM165" s="20" t="n">
        <f aca="false">IF(AND(ISNUMBER(AM164),ISNUMBER(AM166)),ROUND(AM164-AM166,1),"")</f>
        <v>0</v>
      </c>
      <c r="AN165" s="20" t="n">
        <f aca="false">IF(AND(ISNUMBER(AN164),ISNUMBER(AN166)),ROUND(AN164-AN166,1),"")</f>
        <v>0</v>
      </c>
      <c r="AO165" s="20" t="n">
        <f aca="false">IF(AND(ISNUMBER(AO164),ISNUMBER(AO166)),ROUND(AO164-AO166,1),"")</f>
        <v>0</v>
      </c>
      <c r="AP165" s="20" t="n">
        <f aca="false">IF(AND(ISNUMBER(AP164),ISNUMBER(AP166)),ROUND(AP164-AP166,1),"")</f>
        <v>0</v>
      </c>
      <c r="AQ165" s="20" t="n">
        <f aca="false">IF(AND(ISNUMBER(AQ164),ISNUMBER(AQ166)),ROUND(AQ164-AQ166,1),"")</f>
        <v>0</v>
      </c>
      <c r="AR165" s="20" t="n">
        <f aca="false">IF(AND(ISNUMBER(AR164),ISNUMBER(AR166)),ROUND(AR164-AR166,1),"")</f>
        <v>0</v>
      </c>
      <c r="AS165" s="20" t="n">
        <f aca="false">IF(AND(ISNUMBER(AS164),ISNUMBER(AS166)),ROUND(AS164-AS166,1),"")</f>
        <v>0</v>
      </c>
      <c r="AT165" s="20" t="n">
        <f aca="false">IF(AND(ISNUMBER(AT164),ISNUMBER(AT166)),ROUND(AT164-AT166,1),"")</f>
        <v>0</v>
      </c>
      <c r="AU165" s="20" t="n">
        <f aca="false">IF(AND(ISNUMBER(AU164),ISNUMBER(AU166)),ROUND(AU164-AU166,1),"")</f>
        <v>0</v>
      </c>
      <c r="AV165" s="20" t="n">
        <f aca="false">IF(AND(ISNUMBER(AV164),ISNUMBER(AV166)),ROUND(AV164-AV166,1),"")</f>
        <v>0</v>
      </c>
      <c r="AW165" s="20" t="n">
        <f aca="false">IF(AND(ISNUMBER(AW164),ISNUMBER(AW166)),ROUND(AW164-AW166,1),"")</f>
        <v>0</v>
      </c>
      <c r="AX165" s="20" t="n">
        <f aca="false">IF(AND(ISNUMBER(AX164),ISNUMBER(AX166)),ROUND(AX164-AX166,1),"")</f>
        <v>0</v>
      </c>
      <c r="AY165" s="20" t="n">
        <f aca="false">IF(AND(ISNUMBER(AY164),ISNUMBER(AY166)),ROUND(AY164-AY166,1),"")</f>
        <v>0</v>
      </c>
      <c r="AZ165" s="20" t="n">
        <f aca="false">IF(AND(ISNUMBER(AZ164),ISNUMBER(AZ166)),ROUND(AZ164-AZ166,1),"")</f>
        <v>0</v>
      </c>
      <c r="BA165" s="20" t="n">
        <f aca="false">IF(AND(ISNUMBER(BA164),ISNUMBER(BA166)),ROUND(BA164-BA166,1),"")</f>
        <v>0</v>
      </c>
      <c r="BB165" s="20" t="n">
        <f aca="false">IF(AND(ISNUMBER(BB164),ISNUMBER(BB166)),ROUND(BB164-BB166,1),"")</f>
        <v>0</v>
      </c>
      <c r="BC165" s="20" t="n">
        <f aca="false">IF(AND(ISNUMBER(BC164),ISNUMBER(BC166)),ROUND(BC164-BC166,1),"")</f>
        <v>0</v>
      </c>
      <c r="BD165" s="20" t="n">
        <f aca="false">IF(AND(ISNUMBER(BD164),ISNUMBER(BD166)),ROUND(BD164-BD166,1),"")</f>
        <v>0</v>
      </c>
      <c r="BE165" s="20" t="n">
        <f aca="false">IF(AND(ISNUMBER(BE164),ISNUMBER(BE166)),ROUND(BE164-BE166,1),"")</f>
        <v>0</v>
      </c>
      <c r="BF165" s="20" t="n">
        <f aca="false">IF(AND(ISNUMBER(BF164),ISNUMBER(BF166)),ROUND(BF164-BF166,1),"")</f>
        <v>0</v>
      </c>
      <c r="BG165" s="20" t="n">
        <f aca="false">IF(AND(ISNUMBER(BG164),ISNUMBER(BG166)),ROUND(BG164-BG166,1),"")</f>
        <v>0</v>
      </c>
      <c r="BH165" s="20" t="n">
        <f aca="false">IF(AND(ISNUMBER(BH164),ISNUMBER(BH166)),ROUND(BH164-BH166,1),"")</f>
        <v>0</v>
      </c>
      <c r="BI165" s="20" t="n">
        <f aca="false">IF(AND(ISNUMBER(BI164),ISNUMBER(BI166)),ROUND(BI164-BI166,1),"")</f>
        <v>0</v>
      </c>
      <c r="BJ165" s="20" t="n">
        <f aca="false">IF(AND(ISNUMBER(BJ164),ISNUMBER(BJ166)),ROUND(BJ164-BJ166,1),"")</f>
        <v>0</v>
      </c>
      <c r="BK165" s="20" t="n">
        <f aca="false">IF(AND(ISNUMBER(BK164),ISNUMBER(BK166)),ROUND(BK164-BK166,1),"")</f>
        <v>0</v>
      </c>
      <c r="BL165" s="20" t="n">
        <f aca="false">IF(AND(ISNUMBER(BL164),ISNUMBER(BL166)),ROUND(BL164-BL166,1),"")</f>
        <v>0</v>
      </c>
      <c r="BM165" s="20" t="n">
        <f aca="false">IF(AND(ISNUMBER(BM164),ISNUMBER(BM166)),ROUND(BM164-BM166,1),"")</f>
        <v>0</v>
      </c>
      <c r="BN165" s="20" t="n">
        <f aca="false">IF(AND(ISNUMBER(BN164),ISNUMBER(BN166)),ROUND(BN164-BN166,1),"")</f>
        <v>0</v>
      </c>
      <c r="BO165" s="36"/>
      <c r="BP165" s="36"/>
      <c r="BQ165" s="36"/>
      <c r="BR165" s="36"/>
      <c r="BS165" s="36"/>
      <c r="BT165" s="36"/>
      <c r="BU165" s="36"/>
      <c r="BV165" s="15"/>
    </row>
    <row r="166" customFormat="false" ht="15" hidden="false" customHeight="false" outlineLevel="0" collapsed="false">
      <c r="B166" s="50" t="s">
        <v>324</v>
      </c>
      <c r="C166" s="19"/>
      <c r="D166" s="24" t="n">
        <v>306.911</v>
      </c>
      <c r="E166" s="24" t="n">
        <v>44.629</v>
      </c>
      <c r="F166" s="24" t="n">
        <v>27.457</v>
      </c>
      <c r="G166" s="24" t="n">
        <v>34.731</v>
      </c>
      <c r="H166" s="24" t="n">
        <v>-81.692</v>
      </c>
      <c r="I166" s="24" t="n">
        <v>25.125</v>
      </c>
      <c r="J166" s="24" t="n">
        <v>53.783</v>
      </c>
      <c r="K166" s="24" t="n">
        <v>11.585</v>
      </c>
      <c r="L166" s="24" t="n">
        <v>130.966</v>
      </c>
      <c r="M166" s="24" t="n">
        <v>9.607</v>
      </c>
      <c r="N166" s="24" t="n">
        <v>205.941</v>
      </c>
      <c r="O166" s="24" t="n">
        <v>42.609</v>
      </c>
      <c r="P166" s="24" t="n">
        <v>88.458</v>
      </c>
      <c r="Q166" s="24" t="n">
        <v>62.373</v>
      </c>
      <c r="R166" s="24" t="n">
        <v>45.823</v>
      </c>
      <c r="S166" s="24" t="n">
        <v>239.263</v>
      </c>
      <c r="T166" s="24" t="n">
        <v>83.205</v>
      </c>
      <c r="U166" s="24" t="n">
        <v>92.347</v>
      </c>
      <c r="V166" s="24" t="n">
        <v>73.681</v>
      </c>
      <c r="W166" s="24" t="n">
        <v>59.652</v>
      </c>
      <c r="X166" s="24" t="n">
        <v>308.885</v>
      </c>
      <c r="Y166" s="24" t="n">
        <v>79.888</v>
      </c>
      <c r="Z166" s="24" t="n">
        <v>71.549</v>
      </c>
      <c r="AA166" s="24" t="n">
        <v>50.395</v>
      </c>
      <c r="AB166" s="24" t="n">
        <v>103.145</v>
      </c>
      <c r="AC166" s="24" t="n">
        <v>304.977</v>
      </c>
      <c r="AD166" s="24" t="n">
        <v>63.644</v>
      </c>
      <c r="AE166" s="24" t="n">
        <v>80.535</v>
      </c>
      <c r="AF166" s="24" t="n">
        <v>98.462</v>
      </c>
      <c r="AG166" s="24" t="n">
        <v>82.88</v>
      </c>
      <c r="AH166" s="24" t="n">
        <v>325.521</v>
      </c>
      <c r="AI166" s="24" t="n">
        <v>98.267</v>
      </c>
      <c r="AJ166" s="24" t="n">
        <v>82.434</v>
      </c>
      <c r="AK166" s="24" t="n">
        <v>88.77</v>
      </c>
      <c r="AL166" s="24" t="n">
        <v>89.081</v>
      </c>
      <c r="AM166" s="24" t="n">
        <v>358.552</v>
      </c>
      <c r="AN166" s="24" t="n">
        <v>82.414</v>
      </c>
      <c r="AO166" s="24" t="n">
        <v>73.751</v>
      </c>
      <c r="AP166" s="24" t="n">
        <v>87.468</v>
      </c>
      <c r="AQ166" s="24" t="n">
        <v>102.215</v>
      </c>
      <c r="AR166" s="24" t="n">
        <v>345.848</v>
      </c>
      <c r="AS166" s="24" t="n">
        <v>71.573</v>
      </c>
      <c r="AT166" s="24" t="n">
        <v>95.237</v>
      </c>
      <c r="AU166" s="24" t="n">
        <v>79.878</v>
      </c>
      <c r="AV166" s="24" t="n">
        <v>101.883</v>
      </c>
      <c r="AW166" s="24" t="n">
        <v>348.571</v>
      </c>
      <c r="AX166" s="24" t="n">
        <v>87.842</v>
      </c>
      <c r="AY166" s="24" t="n">
        <v>86.666</v>
      </c>
      <c r="AZ166" s="24" t="n">
        <v>85.358</v>
      </c>
      <c r="BA166" s="24" t="n">
        <v>123.193</v>
      </c>
      <c r="BB166" s="24" t="n">
        <v>383.059</v>
      </c>
      <c r="BC166" s="24" t="n">
        <v>92.961</v>
      </c>
      <c r="BD166" s="24" t="n">
        <v>98.806</v>
      </c>
      <c r="BE166" s="24" t="n">
        <v>96.578</v>
      </c>
      <c r="BF166" s="24" t="n">
        <v>92.262</v>
      </c>
      <c r="BG166" s="24" t="n">
        <v>380.607</v>
      </c>
      <c r="BH166" s="24" t="n">
        <v>96.63</v>
      </c>
      <c r="BI166" s="24" t="n">
        <v>102.424</v>
      </c>
      <c r="BJ166" s="24" t="n">
        <v>113.349</v>
      </c>
      <c r="BK166" s="24" t="n">
        <v>92.056</v>
      </c>
      <c r="BL166" s="24" t="n">
        <v>404.459</v>
      </c>
      <c r="BM166" s="24" t="n">
        <v>106.691</v>
      </c>
      <c r="BN166" s="24" t="n">
        <v>114.136</v>
      </c>
      <c r="BO166" s="36"/>
      <c r="BP166" s="36"/>
      <c r="BQ166" s="36"/>
      <c r="BR166" s="36"/>
      <c r="BS166" s="36"/>
      <c r="BT166" s="36"/>
      <c r="BU166" s="36"/>
      <c r="BV166" s="15"/>
    </row>
    <row r="167" customFormat="false" ht="15" hidden="false" customHeight="false" outlineLevel="0" collapsed="false">
      <c r="B167" s="13" t="s">
        <v>325</v>
      </c>
      <c r="C167" s="19"/>
      <c r="D167" s="24" t="n">
        <v>0.215</v>
      </c>
      <c r="E167" s="24" t="n">
        <v>0.204</v>
      </c>
      <c r="F167" s="24" t="n">
        <v>0.027</v>
      </c>
      <c r="G167" s="24" t="n">
        <v>0.145</v>
      </c>
      <c r="H167" s="24" t="n">
        <v>-0.143</v>
      </c>
      <c r="I167" s="24" t="n">
        <v>0.233</v>
      </c>
      <c r="J167" s="24" t="n">
        <v>0.026</v>
      </c>
      <c r="K167" s="24" t="n">
        <v>0.17</v>
      </c>
      <c r="L167" s="24" t="n">
        <v>30.028</v>
      </c>
      <c r="M167" s="24" t="n">
        <v>0.069</v>
      </c>
      <c r="N167" s="24" t="n">
        <v>30.331</v>
      </c>
      <c r="O167" s="24" t="n">
        <v>0.138</v>
      </c>
      <c r="P167" s="24" t="n">
        <v>0.267</v>
      </c>
      <c r="Q167" s="24" t="n">
        <v>0.128</v>
      </c>
      <c r="R167" s="24" t="n">
        <v>0.118</v>
      </c>
      <c r="S167" s="24" t="n">
        <v>0.651</v>
      </c>
      <c r="T167" s="24" t="n">
        <v>0.137</v>
      </c>
      <c r="U167" s="24" t="n">
        <v>0.211</v>
      </c>
      <c r="V167" s="24" t="n">
        <v>0.402</v>
      </c>
      <c r="W167" s="24" t="n">
        <v>0.655</v>
      </c>
      <c r="X167" s="24" t="n">
        <v>1.405</v>
      </c>
      <c r="Y167" s="24" t="n">
        <v>0.778</v>
      </c>
      <c r="Z167" s="24" t="n">
        <v>0.441</v>
      </c>
      <c r="AA167" s="24" t="n">
        <v>1.121</v>
      </c>
      <c r="AB167" s="24" t="n">
        <v>0.139</v>
      </c>
      <c r="AC167" s="24" t="n">
        <v>2.479</v>
      </c>
      <c r="AD167" s="24" t="n">
        <v>0.415</v>
      </c>
      <c r="AE167" s="24" t="n">
        <v>0.137</v>
      </c>
      <c r="AF167" s="24" t="n">
        <v>0.232</v>
      </c>
      <c r="AG167" s="24" t="n">
        <v>0.158</v>
      </c>
      <c r="AH167" s="24" t="n">
        <v>0.942</v>
      </c>
      <c r="AI167" s="24" t="n">
        <v>0.231</v>
      </c>
      <c r="AJ167" s="24" t="n">
        <v>0.061</v>
      </c>
      <c r="AK167" s="24" t="n">
        <v>0.161</v>
      </c>
      <c r="AL167" s="24" t="n">
        <v>0.065</v>
      </c>
      <c r="AM167" s="24" t="n">
        <v>0.518</v>
      </c>
      <c r="AN167" s="24" t="n">
        <v>0.132</v>
      </c>
      <c r="AO167" s="24" t="n">
        <v>0.077</v>
      </c>
      <c r="AP167" s="24" t="n">
        <v>0.16</v>
      </c>
      <c r="AQ167" s="24" t="n">
        <v>0.047</v>
      </c>
      <c r="AR167" s="24" t="n">
        <v>0.416</v>
      </c>
      <c r="AS167" s="24" t="n">
        <v>0.117</v>
      </c>
      <c r="AT167" s="24" t="n">
        <v>0.073</v>
      </c>
      <c r="AU167" s="24" t="n">
        <v>0.273</v>
      </c>
      <c r="AV167" s="24" t="n">
        <v>0.295</v>
      </c>
      <c r="AW167" s="24" t="n">
        <v>0.758</v>
      </c>
      <c r="AX167" s="24" t="n">
        <v>0.463</v>
      </c>
      <c r="AY167" s="24" t="n">
        <v>0.517</v>
      </c>
      <c r="AZ167" s="24" t="n">
        <v>0.643</v>
      </c>
      <c r="BA167" s="24" t="n">
        <v>0.736</v>
      </c>
      <c r="BB167" s="24" t="n">
        <v>2.359</v>
      </c>
      <c r="BC167" s="24" t="n">
        <v>0.846</v>
      </c>
      <c r="BD167" s="24" t="n">
        <v>0.54</v>
      </c>
      <c r="BE167" s="24" t="n">
        <v>0.663</v>
      </c>
      <c r="BF167" s="24" t="n">
        <v>0.505</v>
      </c>
      <c r="BG167" s="24" t="n">
        <v>2.554</v>
      </c>
      <c r="BH167" s="24" t="n">
        <v>0.722</v>
      </c>
      <c r="BI167" s="24" t="n">
        <v>0.551</v>
      </c>
      <c r="BJ167" s="24" t="n">
        <v>1.016</v>
      </c>
      <c r="BK167" s="24" t="n">
        <v>1.604</v>
      </c>
      <c r="BL167" s="24" t="n">
        <v>3.893</v>
      </c>
      <c r="BM167" s="24" t="n">
        <v>4.914</v>
      </c>
      <c r="BN167" s="24" t="n">
        <v>4.474</v>
      </c>
      <c r="BO167" s="21" t="n">
        <f aca="false">BN167</f>
        <v>4.474</v>
      </c>
      <c r="BP167" s="21" t="n">
        <f aca="false">BN167</f>
        <v>4.474</v>
      </c>
      <c r="BQ167" s="21" t="n">
        <f aca="false">SUM(BM167:BP167)</f>
        <v>18.336</v>
      </c>
      <c r="BR167" s="21" t="n">
        <f aca="false">BQ284*BR406</f>
        <v>15.9595831858705</v>
      </c>
      <c r="BS167" s="21" t="n">
        <f aca="false">BR284*BS406</f>
        <v>31.3765924160665</v>
      </c>
      <c r="BT167" s="21" t="n">
        <f aca="false">BS284*BT406</f>
        <v>26.6577459636447</v>
      </c>
      <c r="BU167" s="21" t="n">
        <f aca="false">BT284*BU406</f>
        <v>21.1353399638445</v>
      </c>
      <c r="BV167" s="15" t="s">
        <v>326</v>
      </c>
    </row>
    <row r="168" customFormat="false" ht="15" hidden="false" customHeight="false" outlineLevel="0" collapsed="false">
      <c r="B168" s="13" t="s">
        <v>327</v>
      </c>
      <c r="C168" s="19"/>
      <c r="D168" s="24" t="n">
        <v>2.653</v>
      </c>
      <c r="E168" s="24" t="n">
        <v>1.169</v>
      </c>
      <c r="F168" s="24" t="n">
        <v>0.636</v>
      </c>
      <c r="G168" s="24" t="n">
        <v>2.832</v>
      </c>
      <c r="H168" s="24" t="n">
        <v>2.45</v>
      </c>
      <c r="I168" s="24" t="n">
        <v>7.087</v>
      </c>
      <c r="J168" s="24" t="n">
        <v>2.223</v>
      </c>
      <c r="K168" s="24" t="n">
        <v>3.3</v>
      </c>
      <c r="L168" s="24" t="n">
        <v>1.231</v>
      </c>
      <c r="M168" s="24" t="n">
        <v>3.388</v>
      </c>
      <c r="N168" s="24" t="n">
        <v>10.181</v>
      </c>
      <c r="O168" s="24" t="n">
        <v>1.694</v>
      </c>
      <c r="P168" s="24" t="n">
        <v>1.583</v>
      </c>
      <c r="Q168" s="24" t="n">
        <v>2.049</v>
      </c>
      <c r="R168" s="24" t="n">
        <v>3.067</v>
      </c>
      <c r="S168" s="24" t="n">
        <v>8.393</v>
      </c>
      <c r="T168" s="24" t="n">
        <v>3.517</v>
      </c>
      <c r="U168" s="24" t="n">
        <v>3.906</v>
      </c>
      <c r="V168" s="24" t="n">
        <v>3.837</v>
      </c>
      <c r="W168" s="24" t="n">
        <v>3.619</v>
      </c>
      <c r="X168" s="24" t="n">
        <v>14.879</v>
      </c>
      <c r="Y168" s="24" t="n">
        <v>3.56</v>
      </c>
      <c r="Z168" s="24" t="n">
        <v>7.869</v>
      </c>
      <c r="AA168" s="24" t="n">
        <v>7.925</v>
      </c>
      <c r="AB168" s="24" t="n">
        <v>8.469</v>
      </c>
      <c r="AC168" s="24" t="n">
        <v>27.823</v>
      </c>
      <c r="AD168" s="24" t="n">
        <v>8.703</v>
      </c>
      <c r="AE168" s="24" t="n">
        <v>9.542</v>
      </c>
      <c r="AF168" s="24" t="n">
        <v>8.858</v>
      </c>
      <c r="AG168" s="24" t="n">
        <v>8.217</v>
      </c>
      <c r="AH168" s="24" t="n">
        <v>35.32</v>
      </c>
      <c r="AI168" s="24" t="n">
        <v>7.967</v>
      </c>
      <c r="AJ168" s="24" t="n">
        <v>7.865</v>
      </c>
      <c r="AK168" s="24" t="n">
        <v>7.701</v>
      </c>
      <c r="AL168" s="24" t="n">
        <v>7.481</v>
      </c>
      <c r="AM168" s="24" t="n">
        <v>31.014</v>
      </c>
      <c r="AN168" s="24" t="n">
        <v>7.039</v>
      </c>
      <c r="AO168" s="24" t="n">
        <v>10.203</v>
      </c>
      <c r="AP168" s="24" t="n">
        <v>11.483</v>
      </c>
      <c r="AQ168" s="24" t="n">
        <v>7.033</v>
      </c>
      <c r="AR168" s="24" t="n">
        <v>35.758</v>
      </c>
      <c r="AS168" s="24" t="n">
        <v>7.051</v>
      </c>
      <c r="AT168" s="24" t="n">
        <v>8.307</v>
      </c>
      <c r="AU168" s="24" t="n">
        <v>9.625</v>
      </c>
      <c r="AV168" s="24" t="n">
        <v>11.427</v>
      </c>
      <c r="AW168" s="24" t="n">
        <v>36.41</v>
      </c>
      <c r="AX168" s="24" t="n">
        <v>10.819</v>
      </c>
      <c r="AY168" s="24" t="n">
        <v>12.206</v>
      </c>
      <c r="AZ168" s="24" t="n">
        <v>12.175</v>
      </c>
      <c r="BA168" s="24" t="n">
        <v>11.836</v>
      </c>
      <c r="BB168" s="24" t="n">
        <v>47.036</v>
      </c>
      <c r="BC168" s="24" t="n">
        <v>9.595</v>
      </c>
      <c r="BD168" s="24" t="n">
        <v>10.688</v>
      </c>
      <c r="BE168" s="24" t="n">
        <v>9.907</v>
      </c>
      <c r="BF168" s="24" t="n">
        <v>9.285</v>
      </c>
      <c r="BG168" s="24" t="n">
        <v>39.475</v>
      </c>
      <c r="BH168" s="24" t="n">
        <v>7.994</v>
      </c>
      <c r="BI168" s="24" t="n">
        <v>11.741</v>
      </c>
      <c r="BJ168" s="24" t="n">
        <v>14.019</v>
      </c>
      <c r="BK168" s="24" t="n">
        <v>10.453</v>
      </c>
      <c r="BL168" s="24" t="n">
        <v>44.207</v>
      </c>
      <c r="BM168" s="24" t="n">
        <v>4.733</v>
      </c>
      <c r="BN168" s="24" t="n">
        <v>5.283</v>
      </c>
      <c r="BO168" s="21" t="n">
        <f aca="false">BN168</f>
        <v>5.283</v>
      </c>
      <c r="BP168" s="21" t="n">
        <f aca="false">BN168</f>
        <v>5.283</v>
      </c>
      <c r="BQ168" s="21" t="n">
        <f aca="false">SUM(BM168:BP168)</f>
        <v>20.582</v>
      </c>
      <c r="BR168" s="21" t="n">
        <f aca="false">BR405</f>
        <v>24</v>
      </c>
      <c r="BS168" s="21" t="n">
        <f aca="false">BS405</f>
        <v>24</v>
      </c>
      <c r="BT168" s="21" t="n">
        <f aca="false">BT405</f>
        <v>30.5</v>
      </c>
      <c r="BU168" s="21" t="n">
        <f aca="false">BU405</f>
        <v>37</v>
      </c>
      <c r="BV168" s="15" t="s">
        <v>328</v>
      </c>
    </row>
    <row r="169" customFormat="false" ht="15" hidden="false" customHeight="false" outlineLevel="0" collapsed="false">
      <c r="B169" s="13" t="s">
        <v>329</v>
      </c>
      <c r="C169" s="19"/>
      <c r="D169" s="24" t="n">
        <v>-18.961</v>
      </c>
      <c r="E169" s="24" t="n">
        <v>0.105</v>
      </c>
      <c r="F169" s="24" t="n">
        <v>0.258</v>
      </c>
      <c r="G169" s="24" t="n">
        <v>18.563</v>
      </c>
      <c r="H169" s="24" t="n">
        <v>-5.062</v>
      </c>
      <c r="I169" s="24" t="n">
        <v>13.864</v>
      </c>
      <c r="J169" s="24" t="n">
        <v>-1.404</v>
      </c>
      <c r="K169" s="24" t="n">
        <v>0.12</v>
      </c>
      <c r="L169" s="24" t="n">
        <v>-1.666</v>
      </c>
      <c r="M169" s="24" t="n">
        <v>-2.078</v>
      </c>
      <c r="N169" s="24" t="n">
        <v>-5.026</v>
      </c>
      <c r="O169" s="24" t="n">
        <v>24.071</v>
      </c>
      <c r="P169" s="24" t="n">
        <v>0.82</v>
      </c>
      <c r="Q169" s="24" t="n">
        <v>0.228</v>
      </c>
      <c r="R169" s="24" t="n">
        <v>0.628</v>
      </c>
      <c r="S169" s="24" t="n">
        <v>25.747</v>
      </c>
      <c r="T169" s="24" t="n">
        <v>0.553</v>
      </c>
      <c r="U169" s="24" t="n">
        <v>-0.17</v>
      </c>
      <c r="V169" s="24" t="n">
        <v>0.348</v>
      </c>
      <c r="W169" s="24" t="n">
        <v>-0.362</v>
      </c>
      <c r="X169" s="24" t="n">
        <v>0.369</v>
      </c>
      <c r="Y169" s="24" t="n">
        <v>7.91</v>
      </c>
      <c r="Z169" s="24" t="n">
        <v>15.106</v>
      </c>
      <c r="AA169" s="24" t="n">
        <v>40.968</v>
      </c>
      <c r="AB169" s="24" t="n">
        <v>-63.472</v>
      </c>
      <c r="AC169" s="24" t="n">
        <v>0.512</v>
      </c>
      <c r="AD169" s="24" t="n">
        <v>7.521</v>
      </c>
      <c r="AE169" s="24" t="n">
        <v>6.604</v>
      </c>
      <c r="AF169" s="24" t="n">
        <v>4.67</v>
      </c>
      <c r="AG169" s="24" t="n">
        <v>3.804</v>
      </c>
      <c r="AH169" s="24" t="n">
        <v>22.599</v>
      </c>
      <c r="AI169" s="24" t="n">
        <v>7.917</v>
      </c>
      <c r="AJ169" s="24" t="n">
        <v>9.45</v>
      </c>
      <c r="AK169" s="24" t="n">
        <v>10.652</v>
      </c>
      <c r="AL169" s="24" t="n">
        <v>6.097</v>
      </c>
      <c r="AM169" s="24" t="n">
        <v>34.116</v>
      </c>
      <c r="AN169" s="24" t="n">
        <v>16.386</v>
      </c>
      <c r="AO169" s="24" t="n">
        <v>15.306</v>
      </c>
      <c r="AP169" s="24" t="n">
        <v>1.624</v>
      </c>
      <c r="AQ169" s="24" t="n">
        <v>51.891</v>
      </c>
      <c r="AR169" s="24" t="n">
        <v>85.207</v>
      </c>
      <c r="AS169" s="24" t="n">
        <v>12.809</v>
      </c>
      <c r="AT169" s="24" t="n">
        <v>11.096</v>
      </c>
      <c r="AU169" s="24" t="n">
        <v>11.496</v>
      </c>
      <c r="AV169" s="24" t="n">
        <v>-33.943</v>
      </c>
      <c r="AW169" s="24" t="n">
        <v>1.458</v>
      </c>
      <c r="AX169" s="24" t="n">
        <v>2.188</v>
      </c>
      <c r="AY169" s="24" t="n">
        <v>2.962</v>
      </c>
      <c r="AZ169" s="24" t="n">
        <v>4.34</v>
      </c>
      <c r="BA169" s="24" t="n">
        <v>-26.472</v>
      </c>
      <c r="BB169" s="24" t="n">
        <v>-16.982</v>
      </c>
      <c r="BC169" s="24" t="n">
        <v>4.165</v>
      </c>
      <c r="BD169" s="24" t="n">
        <v>2.971</v>
      </c>
      <c r="BE169" s="24" t="n">
        <v>3.29</v>
      </c>
      <c r="BF169" s="24" t="n">
        <v>-5.392</v>
      </c>
      <c r="BG169" s="24" t="n">
        <v>5.034</v>
      </c>
      <c r="BH169" s="24" t="n">
        <v>2.459</v>
      </c>
      <c r="BI169" s="24" t="n">
        <v>6.525</v>
      </c>
      <c r="BJ169" s="24" t="n">
        <v>7.222</v>
      </c>
      <c r="BK169" s="24" t="n">
        <v>17.769</v>
      </c>
      <c r="BL169" s="24" t="n">
        <v>33.975</v>
      </c>
      <c r="BM169" s="24" t="n">
        <v>0.444</v>
      </c>
      <c r="BN169" s="24" t="n">
        <v>0.267</v>
      </c>
      <c r="BO169" s="21" t="n">
        <f aca="false">AVERAGE(BM169,BN169)</f>
        <v>0.3555</v>
      </c>
      <c r="BP169" s="21" t="n">
        <f aca="false">AVERAGE(BM169,BN169)</f>
        <v>0.3555</v>
      </c>
      <c r="BQ169" s="21" t="n">
        <f aca="false">SUM(BM169:BP169)</f>
        <v>1.422</v>
      </c>
      <c r="BR169" s="39" t="n">
        <v>2</v>
      </c>
      <c r="BS169" s="39" t="n">
        <v>2</v>
      </c>
      <c r="BT169" s="39" t="n">
        <v>2</v>
      </c>
      <c r="BU169" s="39" t="n">
        <v>2</v>
      </c>
      <c r="BV169" s="15" t="s">
        <v>330</v>
      </c>
    </row>
    <row r="170" customFormat="false" ht="15" hidden="false" customHeight="false" outlineLevel="0" collapsed="false">
      <c r="B170" s="30" t="s">
        <v>331</v>
      </c>
      <c r="C170" s="32" t="n">
        <v>145.69</v>
      </c>
      <c r="D170" s="49" t="n">
        <f aca="false">IF(ISNUMBER(D164),D164+D167-D168+D169,"")</f>
        <v>285.512</v>
      </c>
      <c r="E170" s="49" t="n">
        <f aca="false">IF(ISNUMBER(E164),E164+E167-E168+E169,"")</f>
        <v>43.769</v>
      </c>
      <c r="F170" s="49" t="n">
        <f aca="false">IF(ISNUMBER(F164),F164+F167-F168+F169,"")</f>
        <v>27.106</v>
      </c>
      <c r="G170" s="49" t="n">
        <f aca="false">IF(ISNUMBER(G164),G164+G167-G168+G169,"")</f>
        <v>50.607</v>
      </c>
      <c r="H170" s="49" t="n">
        <f aca="false">IF(ISNUMBER(H164),H164+H167-H168+H169,"")</f>
        <v>-89.347</v>
      </c>
      <c r="I170" s="49" t="n">
        <f aca="false">IF(ISNUMBER(I164),I164+I167-I168+I169,"")</f>
        <v>32.1349999999998</v>
      </c>
      <c r="J170" s="49" t="n">
        <f aca="false">IF(ISNUMBER(J164),J164+J167-J168+J169,"")</f>
        <v>50.182</v>
      </c>
      <c r="K170" s="49" t="n">
        <f aca="false">IF(ISNUMBER(K164),K164+K167-K168+K169,"")</f>
        <v>8.57499999999998</v>
      </c>
      <c r="L170" s="49" t="n">
        <f aca="false">IF(ISNUMBER(L164),L164+L167-L168+L169,"")</f>
        <v>158.097</v>
      </c>
      <c r="M170" s="49" t="n">
        <f aca="false">IF(ISNUMBER(M164),M164+M167-M168+M169,"")</f>
        <v>4.21000000000002</v>
      </c>
      <c r="N170" s="49" t="n">
        <f aca="false">IF(ISNUMBER(N164),N164+N167-N168+N169,"")</f>
        <v>221.065</v>
      </c>
      <c r="O170" s="49" t="n">
        <f aca="false">IF(ISNUMBER(O164),O164+O167-O168+O169,"")</f>
        <v>65.124</v>
      </c>
      <c r="P170" s="49" t="n">
        <f aca="false">IF(ISNUMBER(P164),P164+P167-P168+P169,"")</f>
        <v>87.962</v>
      </c>
      <c r="Q170" s="49" t="n">
        <f aca="false">IF(ISNUMBER(Q164),Q164+Q167-Q168+Q169,"")</f>
        <v>60.68</v>
      </c>
      <c r="R170" s="49" t="n">
        <f aca="false">IF(ISNUMBER(R164),R164+R167-R168+R169,"")</f>
        <v>43.502</v>
      </c>
      <c r="S170" s="49" t="n">
        <f aca="false">IF(ISNUMBER(S164),S164+S167-S168+S169,"")</f>
        <v>257.268</v>
      </c>
      <c r="T170" s="49" t="n">
        <f aca="false">IF(ISNUMBER(T164),T164+T167-T168+T169,"")</f>
        <v>80.378</v>
      </c>
      <c r="U170" s="49" t="n">
        <f aca="false">IF(ISNUMBER(U164),U164+U167-U168+U169,"")</f>
        <v>88.482</v>
      </c>
      <c r="V170" s="49" t="n">
        <f aca="false">IF(ISNUMBER(V164),V164+V167-V168+V169,"")</f>
        <v>70.594</v>
      </c>
      <c r="W170" s="49" t="n">
        <f aca="false">IF(ISNUMBER(W164),W164+W167-W168+W169,"")</f>
        <v>56.326</v>
      </c>
      <c r="X170" s="49" t="n">
        <f aca="false">IF(ISNUMBER(X164),X164+X167-X168+X169,"")</f>
        <v>295.78</v>
      </c>
      <c r="Y170" s="49" t="n">
        <f aca="false">IF(ISNUMBER(Y164),Y164+Y167-Y168+Y169,"")</f>
        <v>85.0160000000001</v>
      </c>
      <c r="Z170" s="49" t="n">
        <f aca="false">IF(ISNUMBER(Z164),Z164+Z167-Z168+Z169,"")</f>
        <v>79.227</v>
      </c>
      <c r="AA170" s="49" t="n">
        <f aca="false">IF(ISNUMBER(AA164),AA164+AA167-AA168+AA169,"")</f>
        <v>84.559</v>
      </c>
      <c r="AB170" s="49" t="n">
        <f aca="false">IF(ISNUMBER(AB164),AB164+AB167-AB168+AB169,"")</f>
        <v>31.343</v>
      </c>
      <c r="AC170" s="49" t="n">
        <f aca="false">IF(ISNUMBER(AC164),AC164+AC167-AC168+AC169,"")</f>
        <v>280.145</v>
      </c>
      <c r="AD170" s="49" t="n">
        <f aca="false">IF(ISNUMBER(AD164),AD164+AD167-AD168+AD169,"")</f>
        <v>62.877</v>
      </c>
      <c r="AE170" s="49" t="n">
        <f aca="false">IF(ISNUMBER(AE164),AE164+AE167-AE168+AE169,"")</f>
        <v>77.734</v>
      </c>
      <c r="AF170" s="49" t="n">
        <f aca="false">IF(ISNUMBER(AF164),AF164+AF167-AF168+AF169,"")</f>
        <v>94.506</v>
      </c>
      <c r="AG170" s="49" t="n">
        <f aca="false">IF(ISNUMBER(AG164),AG164+AG167-AG168+AG169,"")</f>
        <v>78.625</v>
      </c>
      <c r="AH170" s="49" t="n">
        <f aca="false">IF(ISNUMBER(AH164),AH164+AH167-AH168+AH169,"")</f>
        <v>313.742</v>
      </c>
      <c r="AI170" s="49" t="n">
        <f aca="false">IF(ISNUMBER(AI164),AI164+AI167-AI168+AI169,"")</f>
        <v>98.448</v>
      </c>
      <c r="AJ170" s="49" t="n">
        <f aca="false">IF(ISNUMBER(AJ164),AJ164+AJ167-AJ168+AJ169,"")</f>
        <v>84.08</v>
      </c>
      <c r="AK170" s="49" t="n">
        <f aca="false">IF(ISNUMBER(AK164),AK164+AK167-AK168+AK169,"")</f>
        <v>91.882</v>
      </c>
      <c r="AL170" s="49" t="n">
        <f aca="false">IF(ISNUMBER(AL164),AL164+AL167-AL168+AL169,"")</f>
        <v>87.762</v>
      </c>
      <c r="AM170" s="49" t="n">
        <f aca="false">IF(ISNUMBER(AM164),AM164+AM167-AM168+AM169,"")</f>
        <v>362.172</v>
      </c>
      <c r="AN170" s="49" t="n">
        <f aca="false">IF(ISNUMBER(AN164),AN164+AN167-AN168+AN169,"")</f>
        <v>91.893</v>
      </c>
      <c r="AO170" s="49" t="n">
        <f aca="false">IF(ISNUMBER(AO164),AO164+AO167-AO168+AO169,"")</f>
        <v>78.931</v>
      </c>
      <c r="AP170" s="49" t="n">
        <f aca="false">IF(ISNUMBER(AP164),AP164+AP167-AP168+AP169,"")</f>
        <v>77.769</v>
      </c>
      <c r="AQ170" s="49" t="n">
        <f aca="false">IF(ISNUMBER(AQ164),AQ164+AQ167-AQ168+AQ169,"")</f>
        <v>147.12</v>
      </c>
      <c r="AR170" s="49" t="n">
        <f aca="false">IF(ISNUMBER(AR164),AR164+AR167-AR168+AR169,"")</f>
        <v>395.713</v>
      </c>
      <c r="AS170" s="49" t="n">
        <f aca="false">IF(ISNUMBER(AS164),AS164+AS167-AS168+AS169,"")</f>
        <v>77.4480000000001</v>
      </c>
      <c r="AT170" s="49" t="n">
        <f aca="false">IF(ISNUMBER(AT164),AT164+AT167-AT168+AT169,"")</f>
        <v>98.099</v>
      </c>
      <c r="AU170" s="49" t="n">
        <f aca="false">IF(ISNUMBER(AU164),AU164+AU167-AU168+AU169,"")</f>
        <v>82.022</v>
      </c>
      <c r="AV170" s="49" t="n">
        <f aca="false">IF(ISNUMBER(AV164),AV164+AV167-AV168+AV169,"")</f>
        <v>56.8080000000001</v>
      </c>
      <c r="AW170" s="49" t="n">
        <f aca="false">IF(ISNUMBER(AW164),AW164+AW167-AW168+AW169,"")</f>
        <v>314.377</v>
      </c>
      <c r="AX170" s="49" t="n">
        <f aca="false">IF(ISNUMBER(AX164),AX164+AX167-AX168+AX169,"")</f>
        <v>79.674</v>
      </c>
      <c r="AY170" s="49" t="n">
        <f aca="false">IF(ISNUMBER(AY164),AY164+AY167-AY168+AY169,"")</f>
        <v>77.939</v>
      </c>
      <c r="AZ170" s="49" t="n">
        <f aca="false">IF(ISNUMBER(AZ164),AZ164+AZ167-AZ168+AZ169,"")</f>
        <v>78.166</v>
      </c>
      <c r="BA170" s="49" t="n">
        <f aca="false">IF(ISNUMBER(BA164),BA164+BA167-BA168+BA169,"")</f>
        <v>85.621</v>
      </c>
      <c r="BB170" s="49" t="n">
        <f aca="false">IF(ISNUMBER(BB164),BB164+BB167-BB168+BB169,"")</f>
        <v>321.4</v>
      </c>
      <c r="BC170" s="49" t="n">
        <f aca="false">IF(ISNUMBER(BC164),BC164+BC167-BC168+BC169,"")</f>
        <v>88.377</v>
      </c>
      <c r="BD170" s="49" t="n">
        <f aca="false">IF(ISNUMBER(BD164),BD164+BD167-BD168+BD169,"")</f>
        <v>91.629</v>
      </c>
      <c r="BE170" s="49" t="n">
        <f aca="false">IF(ISNUMBER(BE164),BE164+BE167-BE168+BE169,"")</f>
        <v>90.624</v>
      </c>
      <c r="BF170" s="49" t="n">
        <f aca="false">IF(ISNUMBER(BF164),BF164+BF167-BF168+BF169,"")</f>
        <v>78.0900000000001</v>
      </c>
      <c r="BG170" s="49" t="n">
        <f aca="false">IF(ISNUMBER(BG164),BG164+BG167-BG168+BG169,"")</f>
        <v>348.72</v>
      </c>
      <c r="BH170" s="49" t="n">
        <f aca="false">IF(ISNUMBER(BH164),BH164+BH167-BH168+BH169,"")</f>
        <v>91.817</v>
      </c>
      <c r="BI170" s="49" t="n">
        <f aca="false">IF(ISNUMBER(BI164),BI164+BI167-BI168+BI169,"")</f>
        <v>97.7589999999999</v>
      </c>
      <c r="BJ170" s="49" t="n">
        <f aca="false">IF(ISNUMBER(BJ164),BJ164+BJ167-BJ168+BJ169,"")</f>
        <v>107.568</v>
      </c>
      <c r="BK170" s="49" t="n">
        <f aca="false">IF(ISNUMBER(BK164),BK164+BK167-BK168+BK169,"")</f>
        <v>100.976</v>
      </c>
      <c r="BL170" s="49" t="n">
        <f aca="false">IF(ISNUMBER(BL164),BL164+BL167-BL168+BL169,"")</f>
        <v>398.12</v>
      </c>
      <c r="BM170" s="49" t="n">
        <f aca="false">IF(ISNUMBER(BM164),BM164+BM167-BM168+BM169,"")</f>
        <v>107.316</v>
      </c>
      <c r="BN170" s="49" t="n">
        <f aca="false">IF(ISNUMBER(BN164),BN164+BN167-BN168+BN169,"")</f>
        <v>113.594</v>
      </c>
      <c r="BO170" s="33" t="n">
        <f aca="false">BO164+BO167-BO168+BO169</f>
        <v>132.631529018119</v>
      </c>
      <c r="BP170" s="33" t="n">
        <f aca="false">BP164+BP167-BP168+BP169</f>
        <v>136.354970960092</v>
      </c>
      <c r="BQ170" s="33" t="n">
        <f aca="false">BQ164+BQ167-BQ168+BQ169</f>
        <v>489.89649997821</v>
      </c>
      <c r="BR170" s="33" t="n">
        <f aca="false">BR164+BR167-BR168+BR169</f>
        <v>1147.01813840647</v>
      </c>
      <c r="BS170" s="33" t="n">
        <f aca="false">BS164+BS167-BS168+BS169</f>
        <v>658.572057762814</v>
      </c>
      <c r="BT170" s="33" t="n">
        <f aca="false">BT164+BT167-BT168+BT169</f>
        <v>736.005945510937</v>
      </c>
      <c r="BU170" s="33" t="n">
        <f aca="false">BU164+BU167-BU168+BU169</f>
        <v>807.448316240782</v>
      </c>
      <c r="BV170" s="15"/>
      <c r="BX170" s="25" t="n">
        <f aca="false">IFERROR((BU170/BL170)^(1/5)-1,"n/m")</f>
        <v>0.151914241318835</v>
      </c>
      <c r="BY170" s="25" t="n">
        <f aca="false">IFERROR((BL170/AM170)^(1/5)-1,"n/m")</f>
        <v>0.0191070941857248</v>
      </c>
      <c r="BZ170" s="25" t="n">
        <f aca="false">IFERROR((BL170/N170)^(1/10)-1,"n/m")</f>
        <v>0.0605945733742515</v>
      </c>
      <c r="CA170" s="25" t="n">
        <f aca="false">IFERROR((BL170/D170)^(1/12)-1,"n/m")</f>
        <v>0.0280931584321902</v>
      </c>
    </row>
    <row r="171" customFormat="false" ht="15" hidden="false" customHeight="false" outlineLevel="0" collapsed="false">
      <c r="B171" s="13" t="s">
        <v>332</v>
      </c>
      <c r="C171" s="24" t="n">
        <v>33.108</v>
      </c>
      <c r="D171" s="24" t="n">
        <v>100.799</v>
      </c>
      <c r="E171" s="24" t="n">
        <v>8.625</v>
      </c>
      <c r="F171" s="24" t="n">
        <v>7.917</v>
      </c>
      <c r="G171" s="24" t="n">
        <v>10.853</v>
      </c>
      <c r="H171" s="24" t="n">
        <v>-25.704</v>
      </c>
      <c r="I171" s="24" t="n">
        <v>1.691</v>
      </c>
      <c r="J171" s="24" t="n">
        <v>16.217</v>
      </c>
      <c r="K171" s="24" t="n">
        <v>8.982</v>
      </c>
      <c r="L171" s="24" t="n">
        <v>51.589</v>
      </c>
      <c r="M171" s="24" t="n">
        <v>3.627</v>
      </c>
      <c r="N171" s="24" t="n">
        <v>80.416</v>
      </c>
      <c r="O171" s="24" t="n">
        <v>16.23</v>
      </c>
      <c r="P171" s="24" t="n">
        <v>30.36</v>
      </c>
      <c r="Q171" s="24" t="n">
        <v>20.032</v>
      </c>
      <c r="R171" s="24" t="n">
        <v>9.328</v>
      </c>
      <c r="S171" s="24" t="n">
        <v>73.656</v>
      </c>
      <c r="T171" s="24" t="n">
        <v>24.592</v>
      </c>
      <c r="U171" s="24" t="n">
        <v>27.062</v>
      </c>
      <c r="V171" s="24" t="n">
        <v>23.901</v>
      </c>
      <c r="W171" s="24" t="n">
        <v>71.86</v>
      </c>
      <c r="X171" s="24" t="n">
        <v>147.415</v>
      </c>
      <c r="Y171" s="24" t="n">
        <v>18.603</v>
      </c>
      <c r="Z171" s="24" t="n">
        <v>18.493</v>
      </c>
      <c r="AA171" s="24" t="n">
        <v>6.482</v>
      </c>
      <c r="AB171" s="24" t="n">
        <v>9.262</v>
      </c>
      <c r="AC171" s="24" t="n">
        <v>52.84</v>
      </c>
      <c r="AD171" s="24" t="n">
        <v>13.767</v>
      </c>
      <c r="AE171" s="24" t="n">
        <v>18.734</v>
      </c>
      <c r="AF171" s="24" t="n">
        <v>19.508</v>
      </c>
      <c r="AG171" s="24" t="n">
        <v>17.056</v>
      </c>
      <c r="AH171" s="24" t="n">
        <v>69.065</v>
      </c>
      <c r="AI171" s="24" t="n">
        <v>22.828</v>
      </c>
      <c r="AJ171" s="24" t="n">
        <v>19.684</v>
      </c>
      <c r="AK171" s="24" t="n">
        <v>18.687</v>
      </c>
      <c r="AL171" s="24" t="n">
        <v>21.777</v>
      </c>
      <c r="AM171" s="24" t="n">
        <v>82.976</v>
      </c>
      <c r="AN171" s="24" t="n">
        <v>22.078</v>
      </c>
      <c r="AO171" s="24" t="n">
        <v>19.522</v>
      </c>
      <c r="AP171" s="24" t="n">
        <v>17.611</v>
      </c>
      <c r="AQ171" s="24" t="n">
        <v>30.214</v>
      </c>
      <c r="AR171" s="24" t="n">
        <v>89.425</v>
      </c>
      <c r="AS171" s="24" t="n">
        <v>18.374</v>
      </c>
      <c r="AT171" s="24" t="n">
        <v>23.418</v>
      </c>
      <c r="AU171" s="24" t="n">
        <v>20.185</v>
      </c>
      <c r="AV171" s="24" t="n">
        <v>13.78</v>
      </c>
      <c r="AW171" s="24" t="n">
        <v>75.757</v>
      </c>
      <c r="AX171" s="24" t="n">
        <v>18.681</v>
      </c>
      <c r="AY171" s="24" t="n">
        <v>19.274</v>
      </c>
      <c r="AZ171" s="24" t="n">
        <v>17.814</v>
      </c>
      <c r="BA171" s="24" t="n">
        <v>19.31</v>
      </c>
      <c r="BB171" s="24" t="n">
        <v>75.079</v>
      </c>
      <c r="BC171" s="24" t="n">
        <v>19.843</v>
      </c>
      <c r="BD171" s="24" t="n">
        <v>18.584</v>
      </c>
      <c r="BE171" s="24" t="n">
        <v>20.983</v>
      </c>
      <c r="BF171" s="24" t="n">
        <v>7.012</v>
      </c>
      <c r="BG171" s="24" t="n">
        <v>66.422</v>
      </c>
      <c r="BH171" s="24" t="n">
        <v>16.291</v>
      </c>
      <c r="BI171" s="24" t="n">
        <v>19.297</v>
      </c>
      <c r="BJ171" s="24" t="n">
        <v>25.377</v>
      </c>
      <c r="BK171" s="24" t="n">
        <v>7.294</v>
      </c>
      <c r="BL171" s="24" t="n">
        <v>68.259</v>
      </c>
      <c r="BM171" s="24" t="n">
        <v>16.127</v>
      </c>
      <c r="BN171" s="24" t="n">
        <v>24.496</v>
      </c>
      <c r="BO171" s="21" t="n">
        <f aca="false">BO170*BO172</f>
        <v>28.5157787388956</v>
      </c>
      <c r="BP171" s="21" t="n">
        <f aca="false">BP170*BP172</f>
        <v>29.3163187564198</v>
      </c>
      <c r="BQ171" s="21" t="n">
        <f aca="false">SUM(BM171:BP171)</f>
        <v>98.4550974953153</v>
      </c>
      <c r="BR171" s="21" t="n">
        <f aca="false">BR170*BR172</f>
        <v>252.343990449422</v>
      </c>
      <c r="BS171" s="21" t="n">
        <f aca="false">BS170*BS172</f>
        <v>144.885852707819</v>
      </c>
      <c r="BT171" s="21" t="n">
        <f aca="false">BT170*BT172</f>
        <v>161.921308012406</v>
      </c>
      <c r="BU171" s="21" t="n">
        <f aca="false">BU170*BU172</f>
        <v>177.638629572972</v>
      </c>
      <c r="BV171" s="15" t="s">
        <v>333</v>
      </c>
    </row>
    <row r="172" customFormat="false" ht="15" hidden="false" customHeight="false" outlineLevel="0" collapsed="false">
      <c r="B172" s="13" t="s">
        <v>334</v>
      </c>
      <c r="C172" s="43" t="n">
        <f aca="false">IF(AND(ISNUMBER(C171),ISNUMBER(C170)),IFERROR(C171/C170,""),"")</f>
        <v>0.227249639645823</v>
      </c>
      <c r="D172" s="43" t="n">
        <f aca="false">IF(AND(ISNUMBER(D171),ISNUMBER(D170)),IFERROR(D171/D170,""),"")</f>
        <v>0.353046456891479</v>
      </c>
      <c r="E172" s="43" t="n">
        <f aca="false">IF(AND(ISNUMBER(E171),ISNUMBER(E170)),IFERROR(E171/E170,""),"")</f>
        <v>0.197057277982134</v>
      </c>
      <c r="F172" s="43" t="n">
        <f aca="false">IF(AND(ISNUMBER(F171),ISNUMBER(F170)),IFERROR(F171/F170,""),"")</f>
        <v>0.292075555227625</v>
      </c>
      <c r="G172" s="43" t="n">
        <f aca="false">IF(AND(ISNUMBER(G171),ISNUMBER(G170)),IFERROR(G171/G170,""),"")</f>
        <v>0.214456498112909</v>
      </c>
      <c r="H172" s="43" t="n">
        <f aca="false">IF(AND(ISNUMBER(H171),ISNUMBER(H170)),IFERROR(H171/H170,""),"")</f>
        <v>0.287687331415716</v>
      </c>
      <c r="I172" s="43" t="n">
        <f aca="false">IF(AND(ISNUMBER(I171),ISNUMBER(I170)),IFERROR(I171/I170,""),"")</f>
        <v>0.0526217519838186</v>
      </c>
      <c r="J172" s="43" t="n">
        <f aca="false">IF(AND(ISNUMBER(J171),ISNUMBER(J170)),IFERROR(J171/J170,""),"")</f>
        <v>0.32316368418955</v>
      </c>
      <c r="K172" s="43" t="n">
        <f aca="false">IF(AND(ISNUMBER(K171),ISNUMBER(K170)),IFERROR(K171/K170,""),"")</f>
        <v>1.04746355685131</v>
      </c>
      <c r="L172" s="43" t="n">
        <f aca="false">IF(AND(ISNUMBER(L171),ISNUMBER(L170)),IFERROR(L171/L170,""),"")</f>
        <v>0.326312327242136</v>
      </c>
      <c r="M172" s="43" t="n">
        <f aca="false">IF(AND(ISNUMBER(M171),ISNUMBER(M170)),IFERROR(M171/M170,""),"")</f>
        <v>0.861520190023749</v>
      </c>
      <c r="N172" s="43" t="n">
        <f aca="false">IF(AND(ISNUMBER(N171),ISNUMBER(N170)),IFERROR(N171/N170,""),"")</f>
        <v>0.36376631307534</v>
      </c>
      <c r="O172" s="43" t="n">
        <f aca="false">IF(AND(ISNUMBER(O171),ISNUMBER(O170)),IFERROR(O171/O170,""),"")</f>
        <v>0.249216878570112</v>
      </c>
      <c r="P172" s="43" t="n">
        <f aca="false">IF(AND(ISNUMBER(P171),ISNUMBER(P170)),IFERROR(P171/P170,""),"")</f>
        <v>0.345149041631614</v>
      </c>
      <c r="Q172" s="43" t="n">
        <f aca="false">IF(AND(ISNUMBER(Q171),ISNUMBER(Q170)),IFERROR(Q171/Q170,""),"")</f>
        <v>0.330125247198418</v>
      </c>
      <c r="R172" s="43" t="n">
        <f aca="false">IF(AND(ISNUMBER(R171),ISNUMBER(R170)),IFERROR(R171/R170,""),"")</f>
        <v>0.214426922900096</v>
      </c>
      <c r="S172" s="43" t="n">
        <f aca="false">IF(AND(ISNUMBER(S171),ISNUMBER(S170)),IFERROR(S171/S170,""),"")</f>
        <v>0.286300667008722</v>
      </c>
      <c r="T172" s="43" t="n">
        <f aca="false">IF(AND(ISNUMBER(T171),ISNUMBER(T170)),IFERROR(T171/T170,""),"")</f>
        <v>0.305954365622434</v>
      </c>
      <c r="U172" s="43" t="n">
        <f aca="false">IF(AND(ISNUMBER(U171),ISNUMBER(U170)),IFERROR(U171/U170,""),"")</f>
        <v>0.305847517009109</v>
      </c>
      <c r="V172" s="43" t="n">
        <f aca="false">IF(AND(ISNUMBER(V171),ISNUMBER(V170)),IFERROR(V171/V170,""),"")</f>
        <v>0.338569850128906</v>
      </c>
      <c r="W172" s="43" t="n">
        <f aca="false">IF(AND(ISNUMBER(W171),ISNUMBER(W170)),IFERROR(W171/W170,""),"")</f>
        <v>1.27578738060576</v>
      </c>
      <c r="X172" s="43" t="n">
        <f aca="false">IF(AND(ISNUMBER(X171),ISNUMBER(X170)),IFERROR(X171/X170,""),"")</f>
        <v>0.498394076678612</v>
      </c>
      <c r="Y172" s="43" t="n">
        <f aca="false">IF(AND(ISNUMBER(Y171),ISNUMBER(Y170)),IFERROR(Y171/Y170,""),"")</f>
        <v>0.218817634327656</v>
      </c>
      <c r="Z172" s="43" t="n">
        <f aca="false">IF(AND(ISNUMBER(Z171),ISNUMBER(Z170)),IFERROR(Z171/Z170,""),"")</f>
        <v>0.233417900463226</v>
      </c>
      <c r="AA172" s="43" t="n">
        <f aca="false">IF(AND(ISNUMBER(AA171),ISNUMBER(AA170)),IFERROR(AA171/AA170,""),"")</f>
        <v>0.0766565356733169</v>
      </c>
      <c r="AB172" s="43" t="n">
        <f aca="false">IF(AND(ISNUMBER(AB171),ISNUMBER(AB170)),IFERROR(AB171/AB170,""),"")</f>
        <v>0.295504578374757</v>
      </c>
      <c r="AC172" s="43" t="n">
        <f aca="false">IF(AND(ISNUMBER(AC171),ISNUMBER(AC170)),IFERROR(AC171/AC170,""),"")</f>
        <v>0.188616609255921</v>
      </c>
      <c r="AD172" s="43" t="n">
        <f aca="false">IF(AND(ISNUMBER(AD171),ISNUMBER(AD170)),IFERROR(AD171/AD170,""),"")</f>
        <v>0.21895128584379</v>
      </c>
      <c r="AE172" s="43" t="n">
        <f aca="false">IF(AND(ISNUMBER(AE171),ISNUMBER(AE170)),IFERROR(AE171/AE170,""),"")</f>
        <v>0.241001363624669</v>
      </c>
      <c r="AF172" s="43" t="n">
        <f aca="false">IF(AND(ISNUMBER(AF171),ISNUMBER(AF170)),IFERROR(AF171/AF170,""),"")</f>
        <v>0.206420756354094</v>
      </c>
      <c r="AG172" s="43" t="n">
        <f aca="false">IF(AND(ISNUMBER(AG171),ISNUMBER(AG170)),IFERROR(AG171/AG170,""),"")</f>
        <v>0.216928457869634</v>
      </c>
      <c r="AH172" s="43" t="n">
        <f aca="false">IF(AND(ISNUMBER(AH171),ISNUMBER(AH170)),IFERROR(AH171/AH170,""),"")</f>
        <v>0.220133102995455</v>
      </c>
      <c r="AI172" s="43" t="n">
        <f aca="false">IF(AND(ISNUMBER(AI171),ISNUMBER(AI170)),IFERROR(AI171/AI170,""),"")</f>
        <v>0.23187875832927</v>
      </c>
      <c r="AJ172" s="43" t="n">
        <f aca="false">IF(AND(ISNUMBER(AJ171),ISNUMBER(AJ170)),IFERROR(AJ171/AJ170,""),"")</f>
        <v>0.234110371075167</v>
      </c>
      <c r="AK172" s="43" t="n">
        <f aca="false">IF(AND(ISNUMBER(AK171),ISNUMBER(AK170)),IFERROR(AK171/AK170,""),"")</f>
        <v>0.203380422716092</v>
      </c>
      <c r="AL172" s="43" t="n">
        <f aca="false">IF(AND(ISNUMBER(AL171),ISNUMBER(AL170)),IFERROR(AL171/AL170,""),"")</f>
        <v>0.248137006905039</v>
      </c>
      <c r="AM172" s="43" t="n">
        <f aca="false">IF(AND(ISNUMBER(AM171),ISNUMBER(AM170)),IFERROR(AM171/AM170,""),"")</f>
        <v>0.229106612327844</v>
      </c>
      <c r="AN172" s="43" t="n">
        <f aca="false">IF(AND(ISNUMBER(AN171),ISNUMBER(AN170)),IFERROR(AN171/AN170,""),"")</f>
        <v>0.240257691010197</v>
      </c>
      <c r="AO172" s="43" t="n">
        <f aca="false">IF(AND(ISNUMBER(AO171),ISNUMBER(AO170)),IFERROR(AO171/AO170,""),"")</f>
        <v>0.247329946408889</v>
      </c>
      <c r="AP172" s="43" t="n">
        <f aca="false">IF(AND(ISNUMBER(AP171),ISNUMBER(AP170)),IFERROR(AP171/AP170,""),"")</f>
        <v>0.226452699661819</v>
      </c>
      <c r="AQ172" s="43" t="n">
        <f aca="false">IF(AND(ISNUMBER(AQ171),ISNUMBER(AQ170)),IFERROR(AQ171/AQ170,""),"")</f>
        <v>0.20536976617727</v>
      </c>
      <c r="AR172" s="43" t="n">
        <f aca="false">IF(AND(ISNUMBER(AR171),ISNUMBER(AR170)),IFERROR(AR171/AR170,""),"")</f>
        <v>0.225984488758267</v>
      </c>
      <c r="AS172" s="43" t="n">
        <f aca="false">IF(AND(ISNUMBER(AS171),ISNUMBER(AS170)),IFERROR(AS171/AS170,""),"")</f>
        <v>0.237243053403574</v>
      </c>
      <c r="AT172" s="43" t="n">
        <f aca="false">IF(AND(ISNUMBER(AT171),ISNUMBER(AT170)),IFERROR(AT171/AT170,""),"")</f>
        <v>0.238718029745461</v>
      </c>
      <c r="AU172" s="43" t="n">
        <f aca="false">IF(AND(ISNUMBER(AU171),ISNUMBER(AU170)),IFERROR(AU171/AU170,""),"")</f>
        <v>0.246092511765136</v>
      </c>
      <c r="AV172" s="43" t="n">
        <f aca="false">IF(AND(ISNUMBER(AV171),ISNUMBER(AV170)),IFERROR(AV171/AV170,""),"")</f>
        <v>0.24257146880721</v>
      </c>
      <c r="AW172" s="43" t="n">
        <f aca="false">IF(AND(ISNUMBER(AW171),ISNUMBER(AW170)),IFERROR(AW171/AW170,""),"")</f>
        <v>0.240975007713669</v>
      </c>
      <c r="AX172" s="43" t="n">
        <f aca="false">IF(AND(ISNUMBER(AX171),ISNUMBER(AX170)),IFERROR(AX171/AX170,""),"")</f>
        <v>0.234467956924467</v>
      </c>
      <c r="AY172" s="43" t="n">
        <f aca="false">IF(AND(ISNUMBER(AY171),ISNUMBER(AY170)),IFERROR(AY171/AY170,""),"")</f>
        <v>0.24729596222687</v>
      </c>
      <c r="AZ172" s="43" t="n">
        <f aca="false">IF(AND(ISNUMBER(AZ171),ISNUMBER(AZ170)),IFERROR(AZ171/AZ170,""),"")</f>
        <v>0.227899598290817</v>
      </c>
      <c r="BA172" s="43" t="n">
        <f aca="false">IF(AND(ISNUMBER(BA171),ISNUMBER(BA170)),IFERROR(BA171/BA170,""),"")</f>
        <v>0.225528783826398</v>
      </c>
      <c r="BB172" s="43" t="n">
        <f aca="false">IF(AND(ISNUMBER(BB171),ISNUMBER(BB170)),IFERROR(BB171/BB170,""),"")</f>
        <v>0.233599875544493</v>
      </c>
      <c r="BC172" s="43" t="n">
        <f aca="false">IF(AND(ISNUMBER(BC171),ISNUMBER(BC170)),IFERROR(BC171/BC170,""),"")</f>
        <v>0.22452674338346</v>
      </c>
      <c r="BD172" s="43" t="n">
        <f aca="false">IF(AND(ISNUMBER(BD171),ISNUMBER(BD170)),IFERROR(BD171/BD170,""),"")</f>
        <v>0.20281788516736</v>
      </c>
      <c r="BE172" s="43" t="n">
        <f aca="false">IF(AND(ISNUMBER(BE171),ISNUMBER(BE170)),IFERROR(BE171/BE170,""),"")</f>
        <v>0.231539106638418</v>
      </c>
      <c r="BF172" s="43" t="n">
        <f aca="false">IF(AND(ISNUMBER(BF171),ISNUMBER(BF170)),IFERROR(BF171/BF170,""),"")</f>
        <v>0.0897938276347803</v>
      </c>
      <c r="BG172" s="43" t="n">
        <f aca="false">IF(AND(ISNUMBER(BG171),ISNUMBER(BG170)),IFERROR(BG171/BG170,""),"")</f>
        <v>0.190473732507456</v>
      </c>
      <c r="BH172" s="43" t="n">
        <f aca="false">IF(AND(ISNUMBER(BH171),ISNUMBER(BH170)),IFERROR(BH171/BH170,""),"")</f>
        <v>0.177429016413083</v>
      </c>
      <c r="BI172" s="43" t="n">
        <f aca="false">IF(AND(ISNUMBER(BI171),ISNUMBER(BI170)),IFERROR(BI171/BI170,""),"")</f>
        <v>0.197393590359967</v>
      </c>
      <c r="BJ172" s="43" t="n">
        <f aca="false">IF(AND(ISNUMBER(BJ171),ISNUMBER(BJ170)),IFERROR(BJ171/BJ170,""),"")</f>
        <v>0.235915885765284</v>
      </c>
      <c r="BK172" s="43" t="n">
        <f aca="false">IF(AND(ISNUMBER(BK171),ISNUMBER(BK170)),IFERROR(BK171/BK170,""),"")</f>
        <v>0.072234986531453</v>
      </c>
      <c r="BL172" s="43" t="n">
        <f aca="false">IF(AND(ISNUMBER(BL171),ISNUMBER(BL170)),IFERROR(BL171/BL170,""),"")</f>
        <v>0.171453330654074</v>
      </c>
      <c r="BM172" s="43" t="n">
        <f aca="false">IF(AND(ISNUMBER(BM171),ISNUMBER(BM170)),IFERROR(BM171/BM170,""),"")</f>
        <v>0.150275820940028</v>
      </c>
      <c r="BN172" s="43" t="n">
        <f aca="false">IF(AND(ISNUMBER(BN171),ISNUMBER(BN170)),IFERROR(BN171/BN170,""),"")</f>
        <v>0.215645192527774</v>
      </c>
      <c r="BO172" s="48" t="n">
        <v>0.215</v>
      </c>
      <c r="BP172" s="48" t="n">
        <v>0.215</v>
      </c>
      <c r="BQ172" s="35" t="n">
        <f aca="false">IF(AND(ISNUMBER(BQ171),ISNUMBER(BQ170)),IFERROR(BQ171/BQ170,""),"")</f>
        <v>0.200971220451043</v>
      </c>
      <c r="BR172" s="48" t="n">
        <v>0.22</v>
      </c>
      <c r="BS172" s="48" t="n">
        <v>0.22</v>
      </c>
      <c r="BT172" s="48" t="n">
        <v>0.22</v>
      </c>
      <c r="BU172" s="48" t="n">
        <v>0.22</v>
      </c>
      <c r="BV172" s="15" t="s">
        <v>335</v>
      </c>
      <c r="BX172" s="38" t="n">
        <f aca="false">IFERROR(AVERAGE(BQ172,BR172,BS172,BT172,BU172),"n/m")</f>
        <v>0.216194244090209</v>
      </c>
      <c r="BY172" s="38" t="n">
        <f aca="false">IFERROR(AVERAGE(AR172,AW172,BB172,BG172,BL172),"n/m")</f>
        <v>0.212497287035592</v>
      </c>
      <c r="BZ172" s="38" t="n">
        <f aca="false">IFERROR(AVERAGE(S172,X172,AC172,AH172,AM172,AR172,AW172,BB172,BG172,BL172),"n/m")</f>
        <v>0.248503750344451</v>
      </c>
      <c r="CA172" s="38" t="n">
        <f aca="false">IFERROR(AVERAGE(D172,I172,N172,S172,X172,AC172,AH172,AM172,AR172,AW172,BB172,BG172,BL172),"n/m")</f>
        <v>0.250344001953473</v>
      </c>
    </row>
    <row r="173" customFormat="false" ht="15" hidden="false" customHeight="false" outlineLevel="0" collapsed="false">
      <c r="B173" s="30" t="s">
        <v>336</v>
      </c>
      <c r="C173" s="49" t="n">
        <f aca="false">IF(ISNUMBER(C170),C170-C171,"")</f>
        <v>112.582</v>
      </c>
      <c r="D173" s="49" t="n">
        <f aca="false">IF(ISNUMBER(D170),D170-D171,"")</f>
        <v>184.713</v>
      </c>
      <c r="E173" s="49" t="n">
        <f aca="false">IF(ISNUMBER(E170),E170-E171,"")</f>
        <v>35.144</v>
      </c>
      <c r="F173" s="49" t="n">
        <f aca="false">IF(ISNUMBER(F170),F170-F171,"")</f>
        <v>19.189</v>
      </c>
      <c r="G173" s="49" t="n">
        <f aca="false">IF(ISNUMBER(G170),G170-G171,"")</f>
        <v>39.754</v>
      </c>
      <c r="H173" s="49" t="n">
        <f aca="false">IF(ISNUMBER(H170),H170-H171,"")</f>
        <v>-63.643</v>
      </c>
      <c r="I173" s="49" t="n">
        <f aca="false">IF(ISNUMBER(I170),I170-I171,"")</f>
        <v>30.4439999999998</v>
      </c>
      <c r="J173" s="49" t="n">
        <f aca="false">IF(ISNUMBER(J170),J170-J171,"")</f>
        <v>33.965</v>
      </c>
      <c r="K173" s="49" t="n">
        <f aca="false">IF(ISNUMBER(K170),K170-K171,"")</f>
        <v>-0.407000000000016</v>
      </c>
      <c r="L173" s="49" t="n">
        <f aca="false">IF(ISNUMBER(L170),L170-L171,"")</f>
        <v>106.508</v>
      </c>
      <c r="M173" s="49" t="n">
        <f aca="false">IF(ISNUMBER(M170),M170-M171,"")</f>
        <v>0.583000000000021</v>
      </c>
      <c r="N173" s="49" t="n">
        <f aca="false">IF(ISNUMBER(N170),N170-N171,"")</f>
        <v>140.649</v>
      </c>
      <c r="O173" s="49" t="n">
        <f aca="false">IF(ISNUMBER(O170),O170-O171,"")</f>
        <v>48.894</v>
      </c>
      <c r="P173" s="49" t="n">
        <f aca="false">IF(ISNUMBER(P170),P170-P171,"")</f>
        <v>57.602</v>
      </c>
      <c r="Q173" s="49" t="n">
        <f aca="false">IF(ISNUMBER(Q170),Q170-Q171,"")</f>
        <v>40.648</v>
      </c>
      <c r="R173" s="49" t="n">
        <f aca="false">IF(ISNUMBER(R170),R170-R171,"")</f>
        <v>34.174</v>
      </c>
      <c r="S173" s="49" t="n">
        <f aca="false">IF(ISNUMBER(S170),S170-S171,"")</f>
        <v>183.612</v>
      </c>
      <c r="T173" s="49" t="n">
        <f aca="false">IF(ISNUMBER(T170),T170-T171,"")</f>
        <v>55.786</v>
      </c>
      <c r="U173" s="49" t="n">
        <f aca="false">IF(ISNUMBER(U170),U170-U171,"")</f>
        <v>61.42</v>
      </c>
      <c r="V173" s="49" t="n">
        <f aca="false">IF(ISNUMBER(V170),V170-V171,"")</f>
        <v>46.693</v>
      </c>
      <c r="W173" s="49" t="n">
        <f aca="false">IF(ISNUMBER(W170),W170-W171,"")</f>
        <v>-15.534</v>
      </c>
      <c r="X173" s="49" t="n">
        <f aca="false">IF(ISNUMBER(X170),X170-X171,"")</f>
        <v>148.365</v>
      </c>
      <c r="Y173" s="49" t="n">
        <f aca="false">IF(ISNUMBER(Y170),Y170-Y171,"")</f>
        <v>66.413</v>
      </c>
      <c r="Z173" s="49" t="n">
        <f aca="false">IF(ISNUMBER(Z170),Z170-Z171,"")</f>
        <v>60.734</v>
      </c>
      <c r="AA173" s="49" t="n">
        <f aca="false">IF(ISNUMBER(AA170),AA170-AA171,"")</f>
        <v>78.077</v>
      </c>
      <c r="AB173" s="49" t="n">
        <f aca="false">IF(ISNUMBER(AB170),AB170-AB171,"")</f>
        <v>22.081</v>
      </c>
      <c r="AC173" s="49" t="n">
        <f aca="false">IF(ISNUMBER(AC170),AC170-AC171,"")</f>
        <v>227.305</v>
      </c>
      <c r="AD173" s="49" t="n">
        <f aca="false">IF(ISNUMBER(AD170),AD170-AD171,"")</f>
        <v>49.11</v>
      </c>
      <c r="AE173" s="49" t="n">
        <f aca="false">IF(ISNUMBER(AE170),AE170-AE171,"")</f>
        <v>59</v>
      </c>
      <c r="AF173" s="49" t="n">
        <f aca="false">IF(ISNUMBER(AF170),AF170-AF171,"")</f>
        <v>74.998</v>
      </c>
      <c r="AG173" s="49" t="n">
        <f aca="false">IF(ISNUMBER(AG170),AG170-AG171,"")</f>
        <v>61.569</v>
      </c>
      <c r="AH173" s="49" t="n">
        <f aca="false">IF(ISNUMBER(AH170),AH170-AH171,"")</f>
        <v>244.677</v>
      </c>
      <c r="AI173" s="49" t="n">
        <f aca="false">IF(ISNUMBER(AI170),AI170-AI171,"")</f>
        <v>75.62</v>
      </c>
      <c r="AJ173" s="49" t="n">
        <f aca="false">IF(ISNUMBER(AJ170),AJ170-AJ171,"")</f>
        <v>64.396</v>
      </c>
      <c r="AK173" s="49" t="n">
        <f aca="false">IF(ISNUMBER(AK170),AK170-AK171,"")</f>
        <v>73.195</v>
      </c>
      <c r="AL173" s="49" t="n">
        <f aca="false">IF(ISNUMBER(AL170),AL170-AL171,"")</f>
        <v>65.985</v>
      </c>
      <c r="AM173" s="49" t="n">
        <f aca="false">IF(ISNUMBER(AM170),AM170-AM171,"")</f>
        <v>279.196</v>
      </c>
      <c r="AN173" s="49" t="n">
        <f aca="false">IF(ISNUMBER(AN170),AN170-AN171,"")</f>
        <v>69.815</v>
      </c>
      <c r="AO173" s="49" t="n">
        <f aca="false">IF(ISNUMBER(AO170),AO170-AO171,"")</f>
        <v>59.409</v>
      </c>
      <c r="AP173" s="49" t="n">
        <f aca="false">IF(ISNUMBER(AP170),AP170-AP171,"")</f>
        <v>60.158</v>
      </c>
      <c r="AQ173" s="49" t="n">
        <f aca="false">IF(ISNUMBER(AQ170),AQ170-AQ171,"")</f>
        <v>116.906</v>
      </c>
      <c r="AR173" s="49" t="n">
        <f aca="false">IF(ISNUMBER(AR170),AR170-AR171,"")</f>
        <v>306.288</v>
      </c>
      <c r="AS173" s="49" t="n">
        <f aca="false">IF(ISNUMBER(AS170),AS170-AS171,"")</f>
        <v>59.0740000000001</v>
      </c>
      <c r="AT173" s="49" t="n">
        <f aca="false">IF(ISNUMBER(AT170),AT170-AT171,"")</f>
        <v>74.681</v>
      </c>
      <c r="AU173" s="49" t="n">
        <f aca="false">IF(ISNUMBER(AU170),AU170-AU171,"")</f>
        <v>61.837</v>
      </c>
      <c r="AV173" s="49" t="n">
        <f aca="false">IF(ISNUMBER(AV170),AV170-AV171,"")</f>
        <v>43.0280000000001</v>
      </c>
      <c r="AW173" s="49" t="n">
        <f aca="false">IF(ISNUMBER(AW170),AW170-AW171,"")</f>
        <v>238.62</v>
      </c>
      <c r="AX173" s="49" t="n">
        <f aca="false">IF(ISNUMBER(AX170),AX170-AX171,"")</f>
        <v>60.993</v>
      </c>
      <c r="AY173" s="49" t="n">
        <f aca="false">IF(ISNUMBER(AY170),AY170-AY171,"")</f>
        <v>58.665</v>
      </c>
      <c r="AZ173" s="49" t="n">
        <f aca="false">IF(ISNUMBER(AZ170),AZ170-AZ171,"")</f>
        <v>60.352</v>
      </c>
      <c r="BA173" s="49" t="n">
        <f aca="false">IF(ISNUMBER(BA170),BA170-BA171,"")</f>
        <v>66.311</v>
      </c>
      <c r="BB173" s="49" t="n">
        <f aca="false">IF(ISNUMBER(BB170),BB170-BB171,"")</f>
        <v>246.321</v>
      </c>
      <c r="BC173" s="49" t="n">
        <f aca="false">IF(ISNUMBER(BC170),BC170-BC171,"")</f>
        <v>68.534</v>
      </c>
      <c r="BD173" s="49" t="n">
        <f aca="false">IF(ISNUMBER(BD170),BD170-BD171,"")</f>
        <v>73.045</v>
      </c>
      <c r="BE173" s="49" t="n">
        <f aca="false">IF(ISNUMBER(BE170),BE170-BE171,"")</f>
        <v>69.641</v>
      </c>
      <c r="BF173" s="49" t="n">
        <f aca="false">IF(ISNUMBER(BF170),BF170-BF171,"")</f>
        <v>71.0780000000001</v>
      </c>
      <c r="BG173" s="49" t="n">
        <f aca="false">IF(ISNUMBER(BG170),BG170-BG171,"")</f>
        <v>282.298</v>
      </c>
      <c r="BH173" s="49" t="n">
        <f aca="false">IF(ISNUMBER(BH170),BH170-BH171,"")</f>
        <v>75.526</v>
      </c>
      <c r="BI173" s="49" t="n">
        <f aca="false">IF(ISNUMBER(BI170),BI170-BI171,"")</f>
        <v>78.462</v>
      </c>
      <c r="BJ173" s="49" t="n">
        <f aca="false">IF(ISNUMBER(BJ170),BJ170-BJ171,"")</f>
        <v>82.1909999999999</v>
      </c>
      <c r="BK173" s="49" t="n">
        <f aca="false">IF(ISNUMBER(BK170),BK170-BK171,"")</f>
        <v>93.682</v>
      </c>
      <c r="BL173" s="49" t="n">
        <f aca="false">IF(ISNUMBER(BL170),BL170-BL171,"")</f>
        <v>329.861</v>
      </c>
      <c r="BM173" s="49" t="n">
        <f aca="false">IF(ISNUMBER(BM170),BM170-BM171,"")</f>
        <v>91.189</v>
      </c>
      <c r="BN173" s="49" t="n">
        <f aca="false">IF(ISNUMBER(BN170),BN170-BN171,"")</f>
        <v>89.098</v>
      </c>
      <c r="BO173" s="33" t="n">
        <f aca="false">BO170-BO171</f>
        <v>104.115750279223</v>
      </c>
      <c r="BP173" s="33" t="n">
        <f aca="false">BP170-BP171</f>
        <v>107.038652203672</v>
      </c>
      <c r="BQ173" s="33" t="n">
        <f aca="false">BQ170-BQ171</f>
        <v>391.441402482895</v>
      </c>
      <c r="BR173" s="33" t="n">
        <f aca="false">BR170-BR171</f>
        <v>894.674147957043</v>
      </c>
      <c r="BS173" s="33" t="n">
        <f aca="false">BS170-BS171</f>
        <v>513.686205054995</v>
      </c>
      <c r="BT173" s="33" t="n">
        <f aca="false">BT170-BT171</f>
        <v>574.084637498531</v>
      </c>
      <c r="BU173" s="33" t="n">
        <f aca="false">BU170-BU171</f>
        <v>629.80968666781</v>
      </c>
      <c r="BV173" s="15"/>
    </row>
    <row r="174" customFormat="false" ht="15" hidden="false" customHeight="false" outlineLevel="0" collapsed="false">
      <c r="B174" s="13" t="s">
        <v>337</v>
      </c>
      <c r="C174" s="24" t="n">
        <v>115.113</v>
      </c>
      <c r="D174" s="24" t="n">
        <v>147.877</v>
      </c>
      <c r="E174" s="24" t="n">
        <v>6.01</v>
      </c>
      <c r="F174" s="24" t="n">
        <v>4.303</v>
      </c>
      <c r="G174" s="24" t="n">
        <v>20.649</v>
      </c>
      <c r="H174" s="24" t="n">
        <v>-39.949</v>
      </c>
      <c r="I174" s="24" t="n">
        <v>-8.987</v>
      </c>
      <c r="J174" s="24" t="n">
        <v>11.076</v>
      </c>
      <c r="K174" s="24" t="n">
        <v>-16.912</v>
      </c>
      <c r="L174" s="24" t="n">
        <v>-2.474</v>
      </c>
      <c r="M174" s="24" t="n">
        <v>-0.893</v>
      </c>
      <c r="N174" s="24" t="n">
        <v>-9.203</v>
      </c>
      <c r="O174" s="24" t="n">
        <v>0</v>
      </c>
      <c r="P174" s="24" t="n">
        <v>0</v>
      </c>
      <c r="Q174" s="24" t="n">
        <v>0</v>
      </c>
      <c r="R174" s="24" t="n">
        <v>0</v>
      </c>
      <c r="S174" s="24" t="n">
        <v>0</v>
      </c>
      <c r="T174" s="24" t="n">
        <v>0</v>
      </c>
      <c r="U174" s="24" t="n">
        <v>0</v>
      </c>
      <c r="V174" s="24" t="n">
        <v>0</v>
      </c>
      <c r="W174" s="24" t="n">
        <v>0</v>
      </c>
      <c r="X174" s="24" t="n">
        <v>0</v>
      </c>
      <c r="Y174" s="24" t="n">
        <v>0</v>
      </c>
      <c r="Z174" s="24" t="n">
        <v>0</v>
      </c>
      <c r="AA174" s="24" t="n">
        <v>0</v>
      </c>
      <c r="AB174" s="24" t="n">
        <v>0</v>
      </c>
      <c r="AC174" s="24" t="n">
        <v>0</v>
      </c>
      <c r="AD174" s="24" t="n">
        <v>0</v>
      </c>
      <c r="AE174" s="24" t="n">
        <v>0</v>
      </c>
      <c r="AF174" s="24" t="n">
        <v>0</v>
      </c>
      <c r="AG174" s="24" t="n">
        <v>0</v>
      </c>
      <c r="AH174" s="24" t="n">
        <v>0</v>
      </c>
      <c r="AI174" s="24" t="n">
        <v>0</v>
      </c>
      <c r="AJ174" s="24" t="n">
        <v>0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0</v>
      </c>
      <c r="AR174" s="24" t="n">
        <v>0</v>
      </c>
      <c r="AS174" s="24" t="n">
        <v>0</v>
      </c>
      <c r="AT174" s="24" t="n">
        <v>0</v>
      </c>
      <c r="AU174" s="24" t="n">
        <v>0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39" t="n">
        <v>0</v>
      </c>
      <c r="BP174" s="39" t="n">
        <v>0</v>
      </c>
      <c r="BQ174" s="21" t="n">
        <f aca="false">SUM(BM174:BP174)</f>
        <v>0</v>
      </c>
      <c r="BR174" s="39" t="n">
        <v>0</v>
      </c>
      <c r="BS174" s="39" t="n">
        <v>0</v>
      </c>
      <c r="BT174" s="39" t="n">
        <v>0</v>
      </c>
      <c r="BU174" s="39" t="n">
        <v>0</v>
      </c>
      <c r="BV174" s="15"/>
    </row>
    <row r="175" customFormat="false" ht="15" hidden="false" customHeight="false" outlineLevel="0" collapsed="false">
      <c r="B175" s="30" t="s">
        <v>338</v>
      </c>
      <c r="C175" s="49" t="n">
        <f aca="false">IF(ISNUMBER(C173),C173+N(C174),"")</f>
        <v>227.695</v>
      </c>
      <c r="D175" s="49" t="n">
        <f aca="false">IF(ISNUMBER(D173),D173+N(D174),"")</f>
        <v>332.59</v>
      </c>
      <c r="E175" s="49" t="n">
        <f aca="false">IF(ISNUMBER(E173),E173+N(E174),"")</f>
        <v>41.154</v>
      </c>
      <c r="F175" s="49" t="n">
        <f aca="false">IF(ISNUMBER(F173),F173+N(F174),"")</f>
        <v>23.492</v>
      </c>
      <c r="G175" s="49" t="n">
        <f aca="false">IF(ISNUMBER(G173),G173+N(G174),"")</f>
        <v>60.403</v>
      </c>
      <c r="H175" s="49" t="n">
        <f aca="false">IF(ISNUMBER(H173),H173+N(H174),"")</f>
        <v>-103.592</v>
      </c>
      <c r="I175" s="49" t="n">
        <f aca="false">IF(ISNUMBER(I173),I173+N(I174),"")</f>
        <v>21.4569999999998</v>
      </c>
      <c r="J175" s="49" t="n">
        <f aca="false">IF(ISNUMBER(J173),J173+N(J174),"")</f>
        <v>45.041</v>
      </c>
      <c r="K175" s="49" t="n">
        <f aca="false">IF(ISNUMBER(K173),K173+N(K174),"")</f>
        <v>-17.319</v>
      </c>
      <c r="L175" s="49" t="n">
        <f aca="false">IF(ISNUMBER(L173),L173+N(L174),"")</f>
        <v>104.034</v>
      </c>
      <c r="M175" s="49" t="n">
        <f aca="false">IF(ISNUMBER(M173),M173+N(M174),"")</f>
        <v>-0.309999999999979</v>
      </c>
      <c r="N175" s="49" t="n">
        <f aca="false">IF(ISNUMBER(N173),N173+N(N174),"")</f>
        <v>131.446</v>
      </c>
      <c r="O175" s="49" t="n">
        <f aca="false">IF(ISNUMBER(O173),O173+N(O174),"")</f>
        <v>48.894</v>
      </c>
      <c r="P175" s="49" t="n">
        <f aca="false">IF(ISNUMBER(P173),P173+N(P174),"")</f>
        <v>57.602</v>
      </c>
      <c r="Q175" s="49" t="n">
        <f aca="false">IF(ISNUMBER(Q173),Q173+N(Q174),"")</f>
        <v>40.648</v>
      </c>
      <c r="R175" s="49" t="n">
        <f aca="false">IF(ISNUMBER(R173),R173+N(R174),"")</f>
        <v>34.174</v>
      </c>
      <c r="S175" s="49" t="n">
        <f aca="false">IF(ISNUMBER(S173),S173+N(S174),"")</f>
        <v>183.612</v>
      </c>
      <c r="T175" s="49" t="n">
        <f aca="false">IF(ISNUMBER(T173),T173+N(T174),"")</f>
        <v>55.786</v>
      </c>
      <c r="U175" s="49" t="n">
        <f aca="false">IF(ISNUMBER(U173),U173+N(U174),"")</f>
        <v>61.42</v>
      </c>
      <c r="V175" s="49" t="n">
        <f aca="false">IF(ISNUMBER(V173),V173+N(V174),"")</f>
        <v>46.693</v>
      </c>
      <c r="W175" s="49" t="n">
        <f aca="false">IF(ISNUMBER(W173),W173+N(W174),"")</f>
        <v>-15.534</v>
      </c>
      <c r="X175" s="49" t="n">
        <f aca="false">IF(ISNUMBER(X173),X173+N(X174),"")</f>
        <v>148.365</v>
      </c>
      <c r="Y175" s="49" t="n">
        <f aca="false">IF(ISNUMBER(Y173),Y173+N(Y174),"")</f>
        <v>66.413</v>
      </c>
      <c r="Z175" s="49" t="n">
        <f aca="false">IF(ISNUMBER(Z173),Z173+N(Z174),"")</f>
        <v>60.734</v>
      </c>
      <c r="AA175" s="49" t="n">
        <f aca="false">IF(ISNUMBER(AA173),AA173+N(AA174),"")</f>
        <v>78.077</v>
      </c>
      <c r="AB175" s="49" t="n">
        <f aca="false">IF(ISNUMBER(AB173),AB173+N(AB174),"")</f>
        <v>22.081</v>
      </c>
      <c r="AC175" s="49" t="n">
        <f aca="false">IF(ISNUMBER(AC173),AC173+N(AC174),"")</f>
        <v>227.305</v>
      </c>
      <c r="AD175" s="49" t="n">
        <f aca="false">IF(ISNUMBER(AD173),AD173+N(AD174),"")</f>
        <v>49.11</v>
      </c>
      <c r="AE175" s="49" t="n">
        <f aca="false">IF(ISNUMBER(AE173),AE173+N(AE174),"")</f>
        <v>59</v>
      </c>
      <c r="AF175" s="49" t="n">
        <f aca="false">IF(ISNUMBER(AF173),AF173+N(AF174),"")</f>
        <v>74.998</v>
      </c>
      <c r="AG175" s="49" t="n">
        <f aca="false">IF(ISNUMBER(AG173),AG173+N(AG174),"")</f>
        <v>61.569</v>
      </c>
      <c r="AH175" s="49" t="n">
        <f aca="false">IF(ISNUMBER(AH173),AH173+N(AH174),"")</f>
        <v>244.677</v>
      </c>
      <c r="AI175" s="49" t="n">
        <f aca="false">IF(ISNUMBER(AI173),AI173+N(AI174),"")</f>
        <v>75.62</v>
      </c>
      <c r="AJ175" s="49" t="n">
        <f aca="false">IF(ISNUMBER(AJ173),AJ173+N(AJ174),"")</f>
        <v>64.396</v>
      </c>
      <c r="AK175" s="49" t="n">
        <f aca="false">IF(ISNUMBER(AK173),AK173+N(AK174),"")</f>
        <v>73.195</v>
      </c>
      <c r="AL175" s="49" t="n">
        <f aca="false">IF(ISNUMBER(AL173),AL173+N(AL174),"")</f>
        <v>65.985</v>
      </c>
      <c r="AM175" s="49" t="n">
        <f aca="false">IF(ISNUMBER(AM173),AM173+N(AM174),"")</f>
        <v>279.196</v>
      </c>
      <c r="AN175" s="49" t="n">
        <f aca="false">IF(ISNUMBER(AN173),AN173+N(AN174),"")</f>
        <v>69.815</v>
      </c>
      <c r="AO175" s="49" t="n">
        <f aca="false">IF(ISNUMBER(AO173),AO173+N(AO174),"")</f>
        <v>59.409</v>
      </c>
      <c r="AP175" s="49" t="n">
        <f aca="false">IF(ISNUMBER(AP173),AP173+N(AP174),"")</f>
        <v>60.158</v>
      </c>
      <c r="AQ175" s="49" t="n">
        <f aca="false">IF(ISNUMBER(AQ173),AQ173+N(AQ174),"")</f>
        <v>116.906</v>
      </c>
      <c r="AR175" s="49" t="n">
        <f aca="false">IF(ISNUMBER(AR173),AR173+N(AR174),"")</f>
        <v>306.288</v>
      </c>
      <c r="AS175" s="49" t="n">
        <f aca="false">IF(ISNUMBER(AS173),AS173+N(AS174),"")</f>
        <v>59.0740000000001</v>
      </c>
      <c r="AT175" s="49" t="n">
        <f aca="false">IF(ISNUMBER(AT173),AT173+N(AT174),"")</f>
        <v>74.681</v>
      </c>
      <c r="AU175" s="49" t="n">
        <f aca="false">IF(ISNUMBER(AU173),AU173+N(AU174),"")</f>
        <v>61.837</v>
      </c>
      <c r="AV175" s="49" t="n">
        <f aca="false">IF(ISNUMBER(AV173),AV173+N(AV174),"")</f>
        <v>43.0280000000001</v>
      </c>
      <c r="AW175" s="49" t="n">
        <f aca="false">IF(ISNUMBER(AW173),AW173+N(AW174),"")</f>
        <v>238.62</v>
      </c>
      <c r="AX175" s="49" t="n">
        <f aca="false">IF(ISNUMBER(AX173),AX173+N(AX174),"")</f>
        <v>60.993</v>
      </c>
      <c r="AY175" s="49" t="n">
        <f aca="false">IF(ISNUMBER(AY173),AY173+N(AY174),"")</f>
        <v>58.665</v>
      </c>
      <c r="AZ175" s="49" t="n">
        <f aca="false">IF(ISNUMBER(AZ173),AZ173+N(AZ174),"")</f>
        <v>60.352</v>
      </c>
      <c r="BA175" s="49" t="n">
        <f aca="false">IF(ISNUMBER(BA173),BA173+N(BA174),"")</f>
        <v>66.311</v>
      </c>
      <c r="BB175" s="49" t="n">
        <f aca="false">IF(ISNUMBER(BB173),BB173+N(BB174),"")</f>
        <v>246.321</v>
      </c>
      <c r="BC175" s="49" t="n">
        <f aca="false">IF(ISNUMBER(BC173),BC173+N(BC174),"")</f>
        <v>68.534</v>
      </c>
      <c r="BD175" s="49" t="n">
        <f aca="false">IF(ISNUMBER(BD173),BD173+N(BD174),"")</f>
        <v>73.045</v>
      </c>
      <c r="BE175" s="49" t="n">
        <f aca="false">IF(ISNUMBER(BE173),BE173+N(BE174),"")</f>
        <v>69.641</v>
      </c>
      <c r="BF175" s="49" t="n">
        <f aca="false">IF(ISNUMBER(BF173),BF173+N(BF174),"")</f>
        <v>71.0780000000001</v>
      </c>
      <c r="BG175" s="49" t="n">
        <f aca="false">IF(ISNUMBER(BG173),BG173+N(BG174),"")</f>
        <v>282.298</v>
      </c>
      <c r="BH175" s="49" t="n">
        <f aca="false">IF(ISNUMBER(BH173),BH173+N(BH174),"")</f>
        <v>75.526</v>
      </c>
      <c r="BI175" s="49" t="n">
        <f aca="false">IF(ISNUMBER(BI173),BI173+N(BI174),"")</f>
        <v>78.462</v>
      </c>
      <c r="BJ175" s="49" t="n">
        <f aca="false">IF(ISNUMBER(BJ173),BJ173+N(BJ174),"")</f>
        <v>82.1909999999999</v>
      </c>
      <c r="BK175" s="49" t="n">
        <f aca="false">IF(ISNUMBER(BK173),BK173+N(BK174),"")</f>
        <v>93.682</v>
      </c>
      <c r="BL175" s="49" t="n">
        <f aca="false">IF(ISNUMBER(BL173),BL173+N(BL174),"")</f>
        <v>329.861</v>
      </c>
      <c r="BM175" s="49" t="n">
        <f aca="false">IF(ISNUMBER(BM173),BM173+N(BM174),"")</f>
        <v>91.189</v>
      </c>
      <c r="BN175" s="49" t="n">
        <f aca="false">IF(ISNUMBER(BN173),BN173+N(BN174),"")</f>
        <v>89.098</v>
      </c>
      <c r="BO175" s="33" t="n">
        <f aca="false">BO173+BO174</f>
        <v>104.115750279223</v>
      </c>
      <c r="BP175" s="33" t="n">
        <f aca="false">BP173+BP174</f>
        <v>107.038652203672</v>
      </c>
      <c r="BQ175" s="33" t="n">
        <f aca="false">BQ173+BQ174</f>
        <v>391.441402482895</v>
      </c>
      <c r="BR175" s="33" t="n">
        <f aca="false">BR173+BR174</f>
        <v>894.674147957043</v>
      </c>
      <c r="BS175" s="33" t="n">
        <f aca="false">BS173+BS174</f>
        <v>513.686205054995</v>
      </c>
      <c r="BT175" s="33" t="n">
        <f aca="false">BT173+BT174</f>
        <v>574.084637498531</v>
      </c>
      <c r="BU175" s="33" t="n">
        <f aca="false">BU173+BU174</f>
        <v>629.80968666781</v>
      </c>
      <c r="BV175" s="15"/>
    </row>
    <row r="176" customFormat="false" ht="15" hidden="false" customHeight="false" outlineLevel="0" collapsed="false">
      <c r="B176" s="13" t="s">
        <v>339</v>
      </c>
      <c r="C176" s="24" t="n">
        <v>0</v>
      </c>
      <c r="D176" s="24" t="n">
        <v>-13.488</v>
      </c>
      <c r="E176" s="24" t="n">
        <v>-3.89</v>
      </c>
      <c r="F176" s="24" t="n">
        <v>-2.945</v>
      </c>
      <c r="G176" s="24" t="n">
        <v>-0.811</v>
      </c>
      <c r="H176" s="24" t="n">
        <v>-0.285</v>
      </c>
      <c r="I176" s="24" t="n">
        <v>-7.931</v>
      </c>
      <c r="J176" s="24" t="n">
        <v>-0.216</v>
      </c>
      <c r="K176" s="24" t="n">
        <v>-0.172</v>
      </c>
      <c r="L176" s="24" t="n">
        <v>0.164</v>
      </c>
      <c r="M176" s="24" t="n">
        <v>0.205</v>
      </c>
      <c r="N176" s="24" t="n">
        <v>-0.019</v>
      </c>
      <c r="O176" s="24" t="n">
        <v>0.103</v>
      </c>
      <c r="P176" s="24" t="n">
        <v>0.125</v>
      </c>
      <c r="Q176" s="24" t="n">
        <v>0.145</v>
      </c>
      <c r="R176" s="24" t="n">
        <v>0.182</v>
      </c>
      <c r="S176" s="24" t="n">
        <v>0.555</v>
      </c>
      <c r="T176" s="24" t="n">
        <v>0.067</v>
      </c>
      <c r="U176" s="24" t="n">
        <v>0.157</v>
      </c>
      <c r="V176" s="24" t="n">
        <v>0.14</v>
      </c>
      <c r="W176" s="24" t="n">
        <v>0.157</v>
      </c>
      <c r="X176" s="24" t="n">
        <v>0.521</v>
      </c>
      <c r="Y176" s="24" t="n">
        <v>-0.028</v>
      </c>
      <c r="Z176" s="24" t="n">
        <v>0.071</v>
      </c>
      <c r="AA176" s="24" t="n">
        <v>0.158</v>
      </c>
      <c r="AB176" s="24" t="n">
        <v>0.146</v>
      </c>
      <c r="AC176" s="24" t="n">
        <v>0.347</v>
      </c>
      <c r="AD176" s="24" t="n">
        <v>0.132</v>
      </c>
      <c r="AE176" s="24" t="n">
        <v>0.122</v>
      </c>
      <c r="AF176" s="24" t="n">
        <v>0.188</v>
      </c>
      <c r="AG176" s="24" t="n">
        <v>0.12</v>
      </c>
      <c r="AH176" s="24" t="n">
        <v>0.562</v>
      </c>
      <c r="AI176" s="24" t="n">
        <v>0.121</v>
      </c>
      <c r="AJ176" s="24" t="n">
        <v>0.138</v>
      </c>
      <c r="AK176" s="24" t="n">
        <v>0.024</v>
      </c>
      <c r="AL176" s="24" t="n">
        <v>0.243</v>
      </c>
      <c r="AM176" s="24" t="n">
        <v>0.526</v>
      </c>
      <c r="AN176" s="24" t="n">
        <v>0.066</v>
      </c>
      <c r="AO176" s="24" t="n">
        <v>0.062</v>
      </c>
      <c r="AP176" s="24" t="n">
        <v>0.244</v>
      </c>
      <c r="AQ176" s="24" t="n">
        <v>0.045</v>
      </c>
      <c r="AR176" s="24" t="n">
        <v>0.417</v>
      </c>
      <c r="AS176" s="24" t="n">
        <v>0.064</v>
      </c>
      <c r="AT176" s="24" t="n">
        <v>0.068</v>
      </c>
      <c r="AU176" s="24" t="n">
        <v>0.234</v>
      </c>
      <c r="AV176" s="24" t="n">
        <v>0.063</v>
      </c>
      <c r="AW176" s="24" t="n">
        <v>0.429</v>
      </c>
      <c r="AX176" s="24" t="n">
        <v>-0.099</v>
      </c>
      <c r="AY176" s="24" t="n">
        <v>0.068</v>
      </c>
      <c r="AZ176" s="24" t="n">
        <v>0.079</v>
      </c>
      <c r="BA176" s="24" t="n">
        <v>0.424</v>
      </c>
      <c r="BB176" s="24" t="n">
        <v>0.472</v>
      </c>
      <c r="BC176" s="24" t="n">
        <v>0.066</v>
      </c>
      <c r="BD176" s="24" t="n">
        <v>0.073</v>
      </c>
      <c r="BE176" s="24" t="n">
        <v>0.158</v>
      </c>
      <c r="BF176" s="24" t="n">
        <v>0.06</v>
      </c>
      <c r="BG176" s="24" t="n">
        <v>0.357</v>
      </c>
      <c r="BH176" s="24" t="n">
        <v>0.064</v>
      </c>
      <c r="BI176" s="24" t="n">
        <v>0.074</v>
      </c>
      <c r="BJ176" s="24" t="n">
        <v>0.085</v>
      </c>
      <c r="BK176" s="24" t="n">
        <v>0.693</v>
      </c>
      <c r="BL176" s="24" t="n">
        <v>0.916</v>
      </c>
      <c r="BM176" s="24" t="n">
        <v>0.121</v>
      </c>
      <c r="BN176" s="24" t="n">
        <v>0.084</v>
      </c>
      <c r="BO176" s="21" t="n">
        <f aca="false">BN176</f>
        <v>0.084</v>
      </c>
      <c r="BP176" s="21" t="n">
        <f aca="false">BN176</f>
        <v>0.084</v>
      </c>
      <c r="BQ176" s="21" t="n">
        <f aca="false">SUM(BM176:BP176)</f>
        <v>0.373</v>
      </c>
      <c r="BR176" s="39" t="n">
        <v>0.4</v>
      </c>
      <c r="BS176" s="39" t="n">
        <v>0.4</v>
      </c>
      <c r="BT176" s="39" t="n">
        <v>0.4</v>
      </c>
      <c r="BU176" s="39" t="n">
        <v>0.4</v>
      </c>
      <c r="BV176" s="15"/>
    </row>
    <row r="177" customFormat="false" ht="15" hidden="false" customHeight="false" outlineLevel="0" collapsed="false">
      <c r="B177" s="60" t="s">
        <v>340</v>
      </c>
      <c r="C177" s="62" t="n">
        <f aca="false">IF(ISNUMBER(C175),C175-C176,"")</f>
        <v>227.695</v>
      </c>
      <c r="D177" s="62" t="n">
        <f aca="false">IF(ISNUMBER(D175),D175-D176,"")</f>
        <v>346.078</v>
      </c>
      <c r="E177" s="62" t="n">
        <f aca="false">IF(ISNUMBER(E175),E175-E176,"")</f>
        <v>45.044</v>
      </c>
      <c r="F177" s="62" t="n">
        <f aca="false">IF(ISNUMBER(F175),F175-F176,"")</f>
        <v>26.437</v>
      </c>
      <c r="G177" s="62" t="n">
        <f aca="false">IF(ISNUMBER(G175),G175-G176,"")</f>
        <v>61.214</v>
      </c>
      <c r="H177" s="62" t="n">
        <f aca="false">IF(ISNUMBER(H175),H175-H176,"")</f>
        <v>-103.307</v>
      </c>
      <c r="I177" s="62" t="n">
        <f aca="false">IF(ISNUMBER(I175),I175-I176,"")</f>
        <v>29.3879999999998</v>
      </c>
      <c r="J177" s="62" t="n">
        <f aca="false">IF(ISNUMBER(J175),J175-J176,"")</f>
        <v>45.257</v>
      </c>
      <c r="K177" s="62" t="n">
        <f aca="false">IF(ISNUMBER(K175),K175-K176,"")</f>
        <v>-17.147</v>
      </c>
      <c r="L177" s="62" t="n">
        <f aca="false">IF(ISNUMBER(L175),L175-L176,"")</f>
        <v>103.87</v>
      </c>
      <c r="M177" s="62" t="n">
        <f aca="false">IF(ISNUMBER(M175),M175-M176,"")</f>
        <v>-0.514999999999979</v>
      </c>
      <c r="N177" s="62" t="n">
        <f aca="false">IF(ISNUMBER(N175),N175-N176,"")</f>
        <v>131.465</v>
      </c>
      <c r="O177" s="62" t="n">
        <f aca="false">IF(ISNUMBER(O175),O175-O176,"")</f>
        <v>48.791</v>
      </c>
      <c r="P177" s="62" t="n">
        <f aca="false">IF(ISNUMBER(P175),P175-P176,"")</f>
        <v>57.477</v>
      </c>
      <c r="Q177" s="62" t="n">
        <f aca="false">IF(ISNUMBER(Q175),Q175-Q176,"")</f>
        <v>40.503</v>
      </c>
      <c r="R177" s="62" t="n">
        <f aca="false">IF(ISNUMBER(R175),R175-R176,"")</f>
        <v>33.992</v>
      </c>
      <c r="S177" s="62" t="n">
        <f aca="false">IF(ISNUMBER(S175),S175-S176,"")</f>
        <v>183.057</v>
      </c>
      <c r="T177" s="62" t="n">
        <f aca="false">IF(ISNUMBER(T175),T175-T176,"")</f>
        <v>55.719</v>
      </c>
      <c r="U177" s="62" t="n">
        <f aca="false">IF(ISNUMBER(U175),U175-U176,"")</f>
        <v>61.263</v>
      </c>
      <c r="V177" s="62" t="n">
        <f aca="false">IF(ISNUMBER(V175),V175-V176,"")</f>
        <v>46.553</v>
      </c>
      <c r="W177" s="62" t="n">
        <f aca="false">IF(ISNUMBER(W175),W175-W176,"")</f>
        <v>-15.691</v>
      </c>
      <c r="X177" s="62" t="n">
        <f aca="false">IF(ISNUMBER(X175),X175-X176,"")</f>
        <v>147.844</v>
      </c>
      <c r="Y177" s="62" t="n">
        <f aca="false">IF(ISNUMBER(Y175),Y175-Y176,"")</f>
        <v>66.4410000000001</v>
      </c>
      <c r="Z177" s="62" t="n">
        <f aca="false">IF(ISNUMBER(Z175),Z175-Z176,"")</f>
        <v>60.663</v>
      </c>
      <c r="AA177" s="62" t="n">
        <f aca="false">IF(ISNUMBER(AA175),AA175-AA176,"")</f>
        <v>77.919</v>
      </c>
      <c r="AB177" s="62" t="n">
        <f aca="false">IF(ISNUMBER(AB175),AB175-AB176,"")</f>
        <v>21.935</v>
      </c>
      <c r="AC177" s="62" t="n">
        <f aca="false">IF(ISNUMBER(AC175),AC175-AC176,"")</f>
        <v>226.958</v>
      </c>
      <c r="AD177" s="62" t="n">
        <f aca="false">IF(ISNUMBER(AD175),AD175-AD176,"")</f>
        <v>48.978</v>
      </c>
      <c r="AE177" s="62" t="n">
        <f aca="false">IF(ISNUMBER(AE175),AE175-AE176,"")</f>
        <v>58.878</v>
      </c>
      <c r="AF177" s="62" t="n">
        <f aca="false">IF(ISNUMBER(AF175),AF175-AF176,"")</f>
        <v>74.81</v>
      </c>
      <c r="AG177" s="62" t="n">
        <f aca="false">IF(ISNUMBER(AG175),AG175-AG176,"")</f>
        <v>61.449</v>
      </c>
      <c r="AH177" s="62" t="n">
        <f aca="false">IF(ISNUMBER(AH175),AH175-AH176,"")</f>
        <v>244.115</v>
      </c>
      <c r="AI177" s="62" t="n">
        <f aca="false">IF(ISNUMBER(AI175),AI175-AI176,"")</f>
        <v>75.499</v>
      </c>
      <c r="AJ177" s="62" t="n">
        <f aca="false">IF(ISNUMBER(AJ175),AJ175-AJ176,"")</f>
        <v>64.258</v>
      </c>
      <c r="AK177" s="62" t="n">
        <f aca="false">IF(ISNUMBER(AK175),AK175-AK176,"")</f>
        <v>73.171</v>
      </c>
      <c r="AL177" s="62" t="n">
        <f aca="false">IF(ISNUMBER(AL175),AL175-AL176,"")</f>
        <v>65.742</v>
      </c>
      <c r="AM177" s="62" t="n">
        <f aca="false">IF(ISNUMBER(AM175),AM175-AM176,"")</f>
        <v>278.67</v>
      </c>
      <c r="AN177" s="62" t="n">
        <f aca="false">IF(ISNUMBER(AN175),AN175-AN176,"")</f>
        <v>69.749</v>
      </c>
      <c r="AO177" s="62" t="n">
        <f aca="false">IF(ISNUMBER(AO175),AO175-AO176,"")</f>
        <v>59.347</v>
      </c>
      <c r="AP177" s="62" t="n">
        <f aca="false">IF(ISNUMBER(AP175),AP175-AP176,"")</f>
        <v>59.914</v>
      </c>
      <c r="AQ177" s="62" t="n">
        <f aca="false">IF(ISNUMBER(AQ175),AQ175-AQ176,"")</f>
        <v>116.861</v>
      </c>
      <c r="AR177" s="62" t="n">
        <f aca="false">IF(ISNUMBER(AR175),AR175-AR176,"")</f>
        <v>305.871</v>
      </c>
      <c r="AS177" s="62" t="n">
        <f aca="false">IF(ISNUMBER(AS175),AS175-AS176,"")</f>
        <v>59.0100000000001</v>
      </c>
      <c r="AT177" s="62" t="n">
        <f aca="false">IF(ISNUMBER(AT175),AT175-AT176,"")</f>
        <v>74.613</v>
      </c>
      <c r="AU177" s="62" t="n">
        <f aca="false">IF(ISNUMBER(AU175),AU175-AU176,"")</f>
        <v>61.603</v>
      </c>
      <c r="AV177" s="62" t="n">
        <f aca="false">IF(ISNUMBER(AV175),AV175-AV176,"")</f>
        <v>42.9650000000001</v>
      </c>
      <c r="AW177" s="62" t="n">
        <f aca="false">IF(ISNUMBER(AW175),AW175-AW176,"")</f>
        <v>238.191</v>
      </c>
      <c r="AX177" s="62" t="n">
        <f aca="false">IF(ISNUMBER(AX175),AX175-AX176,"")</f>
        <v>61.092</v>
      </c>
      <c r="AY177" s="62" t="n">
        <f aca="false">IF(ISNUMBER(AY175),AY175-AY176,"")</f>
        <v>58.597</v>
      </c>
      <c r="AZ177" s="62" t="n">
        <f aca="false">IF(ISNUMBER(AZ175),AZ175-AZ176,"")</f>
        <v>60.273</v>
      </c>
      <c r="BA177" s="62" t="n">
        <f aca="false">IF(ISNUMBER(BA175),BA175-BA176,"")</f>
        <v>65.887</v>
      </c>
      <c r="BB177" s="62" t="n">
        <f aca="false">IF(ISNUMBER(BB175),BB175-BB176,"")</f>
        <v>245.849</v>
      </c>
      <c r="BC177" s="62" t="n">
        <f aca="false">IF(ISNUMBER(BC175),BC175-BC176,"")</f>
        <v>68.468</v>
      </c>
      <c r="BD177" s="62" t="n">
        <f aca="false">IF(ISNUMBER(BD175),BD175-BD176,"")</f>
        <v>72.972</v>
      </c>
      <c r="BE177" s="62" t="n">
        <f aca="false">IF(ISNUMBER(BE175),BE175-BE176,"")</f>
        <v>69.483</v>
      </c>
      <c r="BF177" s="62" t="n">
        <f aca="false">IF(ISNUMBER(BF175),BF175-BF176,"")</f>
        <v>71.018</v>
      </c>
      <c r="BG177" s="62" t="n">
        <f aca="false">IF(ISNUMBER(BG175),BG175-BG176,"")</f>
        <v>281.941</v>
      </c>
      <c r="BH177" s="62" t="n">
        <f aca="false">IF(ISNUMBER(BH175),BH175-BH176,"")</f>
        <v>75.462</v>
      </c>
      <c r="BI177" s="62" t="n">
        <f aca="false">IF(ISNUMBER(BI175),BI175-BI176,"")</f>
        <v>78.388</v>
      </c>
      <c r="BJ177" s="62" t="n">
        <f aca="false">IF(ISNUMBER(BJ175),BJ175-BJ176,"")</f>
        <v>82.1059999999999</v>
      </c>
      <c r="BK177" s="62" t="n">
        <f aca="false">IF(ISNUMBER(BK175),BK175-BK176,"")</f>
        <v>92.989</v>
      </c>
      <c r="BL177" s="62" t="n">
        <f aca="false">IF(ISNUMBER(BL175),BL175-BL176,"")</f>
        <v>328.945</v>
      </c>
      <c r="BM177" s="62" t="n">
        <f aca="false">IF(ISNUMBER(BM175),BM175-BM176,"")</f>
        <v>91.068</v>
      </c>
      <c r="BN177" s="62" t="n">
        <f aca="false">IF(ISNUMBER(BN175),BN175-BN176,"")</f>
        <v>89.014</v>
      </c>
      <c r="BO177" s="62" t="n">
        <f aca="false">BO175-BO176</f>
        <v>104.031750279223</v>
      </c>
      <c r="BP177" s="62" t="n">
        <f aca="false">BP175-BP176</f>
        <v>106.954652203672</v>
      </c>
      <c r="BQ177" s="62" t="n">
        <f aca="false">BQ175-BQ176</f>
        <v>391.068402482895</v>
      </c>
      <c r="BR177" s="62" t="n">
        <f aca="false">BR175-BR176</f>
        <v>894.274147957043</v>
      </c>
      <c r="BS177" s="62" t="n">
        <f aca="false">BS175-BS176</f>
        <v>513.286205054995</v>
      </c>
      <c r="BT177" s="62" t="n">
        <f aca="false">BT175-BT176</f>
        <v>573.684637498531</v>
      </c>
      <c r="BU177" s="62" t="n">
        <f aca="false">BU175-BU176</f>
        <v>629.40968666781</v>
      </c>
      <c r="BV177" s="15"/>
      <c r="BX177" s="25" t="n">
        <f aca="false">IFERROR((BU177/BL177)^(1/5)-1,"n/m")</f>
        <v>0.138576003943656</v>
      </c>
      <c r="BY177" s="25" t="n">
        <f aca="false">IFERROR((BL177/AM177)^(1/5)-1,"n/m")</f>
        <v>0.0337287960804815</v>
      </c>
      <c r="BZ177" s="25" t="n">
        <f aca="false">IFERROR((BL177/N177)^(1/10)-1,"n/m")</f>
        <v>0.0960523924398213</v>
      </c>
      <c r="CA177" s="25" t="n">
        <f aca="false">IFERROR((BL177/D177)^(1/12)-1,"n/m")</f>
        <v>-0.00422219632968546</v>
      </c>
    </row>
    <row r="178" customFormat="false" ht="15" hidden="false" customHeight="false" outlineLevel="0" collapsed="false">
      <c r="B178" s="51" t="s">
        <v>341</v>
      </c>
      <c r="C178" s="20" t="n">
        <f aca="false">IF(AND(ISNUMBER(C177),ISNUMBER(C179)),ROUND(C177-C179,1),"")</f>
        <v>0</v>
      </c>
      <c r="D178" s="20" t="n">
        <f aca="false">IF(AND(ISNUMBER(D177),ISNUMBER(D179)),ROUND(D177-D179,1),"")</f>
        <v>0</v>
      </c>
      <c r="E178" s="20" t="n">
        <f aca="false">IF(AND(ISNUMBER(E177),ISNUMBER(E179)),ROUND(E177-E179,1),"")</f>
        <v>0</v>
      </c>
      <c r="F178" s="20" t="n">
        <f aca="false">IF(AND(ISNUMBER(F177),ISNUMBER(F179)),ROUND(F177-F179,1),"")</f>
        <v>0</v>
      </c>
      <c r="G178" s="20" t="n">
        <f aca="false">IF(AND(ISNUMBER(G177),ISNUMBER(G179)),ROUND(G177-G179,1),"")</f>
        <v>0</v>
      </c>
      <c r="H178" s="20" t="n">
        <f aca="false">IF(AND(ISNUMBER(H177),ISNUMBER(H179)),ROUND(H177-H179,1),"")</f>
        <v>0</v>
      </c>
      <c r="I178" s="20" t="n">
        <f aca="false">IF(AND(ISNUMBER(I177),ISNUMBER(I179)),ROUND(I177-I179,1),"")</f>
        <v>-0</v>
      </c>
      <c r="J178" s="20" t="n">
        <f aca="false">IF(AND(ISNUMBER(J177),ISNUMBER(J179)),ROUND(J177-J179,1),"")</f>
        <v>0</v>
      </c>
      <c r="K178" s="20" t="n">
        <f aca="false">IF(AND(ISNUMBER(K177),ISNUMBER(K179)),ROUND(K177-K179,1),"")</f>
        <v>0</v>
      </c>
      <c r="L178" s="20" t="n">
        <f aca="false">IF(AND(ISNUMBER(L177),ISNUMBER(L179)),ROUND(L177-L179,1),"")</f>
        <v>0</v>
      </c>
      <c r="M178" s="20" t="n">
        <f aca="false">IF(AND(ISNUMBER(M177),ISNUMBER(M179)),ROUND(M177-M179,1),"")</f>
        <v>0</v>
      </c>
      <c r="N178" s="20" t="n">
        <f aca="false">IF(AND(ISNUMBER(N177),ISNUMBER(N179)),ROUND(N177-N179,1),"")</f>
        <v>0</v>
      </c>
      <c r="O178" s="20" t="n">
        <f aca="false">IF(AND(ISNUMBER(O177),ISNUMBER(O179)),ROUND(O177-O179,1),"")</f>
        <v>0</v>
      </c>
      <c r="P178" s="20" t="n">
        <f aca="false">IF(AND(ISNUMBER(P177),ISNUMBER(P179)),ROUND(P177-P179,1),"")</f>
        <v>0</v>
      </c>
      <c r="Q178" s="20" t="n">
        <f aca="false">IF(AND(ISNUMBER(Q177),ISNUMBER(Q179)),ROUND(Q177-Q179,1),"")</f>
        <v>0</v>
      </c>
      <c r="R178" s="20" t="n">
        <f aca="false">IF(AND(ISNUMBER(R177),ISNUMBER(R179)),ROUND(R177-R179,1),"")</f>
        <v>0</v>
      </c>
      <c r="S178" s="20" t="n">
        <f aca="false">IF(AND(ISNUMBER(S177),ISNUMBER(S179)),ROUND(S177-S179,1),"")</f>
        <v>0</v>
      </c>
      <c r="T178" s="20" t="n">
        <f aca="false">IF(AND(ISNUMBER(T177),ISNUMBER(T179)),ROUND(T177-T179,1),"")</f>
        <v>0</v>
      </c>
      <c r="U178" s="20" t="n">
        <f aca="false">IF(AND(ISNUMBER(U177),ISNUMBER(U179)),ROUND(U177-U179,1),"")</f>
        <v>0</v>
      </c>
      <c r="V178" s="20" t="n">
        <f aca="false">IF(AND(ISNUMBER(V177),ISNUMBER(V179)),ROUND(V177-V179,1),"")</f>
        <v>0</v>
      </c>
      <c r="W178" s="20" t="n">
        <f aca="false">IF(AND(ISNUMBER(W177),ISNUMBER(W179)),ROUND(W177-W179,1),"")</f>
        <v>0</v>
      </c>
      <c r="X178" s="20" t="n">
        <f aca="false">IF(AND(ISNUMBER(X177),ISNUMBER(X179)),ROUND(X177-X179,1),"")</f>
        <v>0</v>
      </c>
      <c r="Y178" s="20" t="n">
        <f aca="false">IF(AND(ISNUMBER(Y177),ISNUMBER(Y179)),ROUND(Y177-Y179,1),"")</f>
        <v>0</v>
      </c>
      <c r="Z178" s="20" t="n">
        <f aca="false">IF(AND(ISNUMBER(Z177),ISNUMBER(Z179)),ROUND(Z177-Z179,1),"")</f>
        <v>0</v>
      </c>
      <c r="AA178" s="20" t="n">
        <f aca="false">IF(AND(ISNUMBER(AA177),ISNUMBER(AA179)),ROUND(AA177-AA179,1),"")</f>
        <v>0</v>
      </c>
      <c r="AB178" s="20" t="n">
        <f aca="false">IF(AND(ISNUMBER(AB177),ISNUMBER(AB179)),ROUND(AB177-AB179,1),"")</f>
        <v>0</v>
      </c>
      <c r="AC178" s="20" t="n">
        <f aca="false">IF(AND(ISNUMBER(AC177),ISNUMBER(AC179)),ROUND(AC177-AC179,1),"")</f>
        <v>0</v>
      </c>
      <c r="AD178" s="20" t="n">
        <f aca="false">IF(AND(ISNUMBER(AD177),ISNUMBER(AD179)),ROUND(AD177-AD179,1),"")</f>
        <v>0</v>
      </c>
      <c r="AE178" s="20" t="n">
        <f aca="false">IF(AND(ISNUMBER(AE177),ISNUMBER(AE179)),ROUND(AE177-AE179,1),"")</f>
        <v>0</v>
      </c>
      <c r="AF178" s="20" t="n">
        <f aca="false">IF(AND(ISNUMBER(AF177),ISNUMBER(AF179)),ROUND(AF177-AF179,1),"")</f>
        <v>0</v>
      </c>
      <c r="AG178" s="20" t="n">
        <f aca="false">IF(AND(ISNUMBER(AG177),ISNUMBER(AG179)),ROUND(AG177-AG179,1),"")</f>
        <v>0</v>
      </c>
      <c r="AH178" s="20" t="n">
        <f aca="false">IF(AND(ISNUMBER(AH177),ISNUMBER(AH179)),ROUND(AH177-AH179,1),"")</f>
        <v>0</v>
      </c>
      <c r="AI178" s="20" t="n">
        <f aca="false">IF(AND(ISNUMBER(AI177),ISNUMBER(AI179)),ROUND(AI177-AI179,1),"")</f>
        <v>0</v>
      </c>
      <c r="AJ178" s="20" t="n">
        <f aca="false">IF(AND(ISNUMBER(AJ177),ISNUMBER(AJ179)),ROUND(AJ177-AJ179,1),"")</f>
        <v>0</v>
      </c>
      <c r="AK178" s="20" t="n">
        <f aca="false">IF(AND(ISNUMBER(AK177),ISNUMBER(AK179)),ROUND(AK177-AK179,1),"")</f>
        <v>0</v>
      </c>
      <c r="AL178" s="20" t="n">
        <f aca="false">IF(AND(ISNUMBER(AL177),ISNUMBER(AL179)),ROUND(AL177-AL179,1),"")</f>
        <v>0</v>
      </c>
      <c r="AM178" s="20" t="n">
        <f aca="false">IF(AND(ISNUMBER(AM177),ISNUMBER(AM179)),ROUND(AM177-AM179,1),"")</f>
        <v>0</v>
      </c>
      <c r="AN178" s="20" t="n">
        <f aca="false">IF(AND(ISNUMBER(AN177),ISNUMBER(AN179)),ROUND(AN177-AN179,1),"")</f>
        <v>0</v>
      </c>
      <c r="AO178" s="20" t="n">
        <f aca="false">IF(AND(ISNUMBER(AO177),ISNUMBER(AO179)),ROUND(AO177-AO179,1),"")</f>
        <v>0</v>
      </c>
      <c r="AP178" s="20" t="n">
        <f aca="false">IF(AND(ISNUMBER(AP177),ISNUMBER(AP179)),ROUND(AP177-AP179,1),"")</f>
        <v>0</v>
      </c>
      <c r="AQ178" s="20" t="n">
        <f aca="false">IF(AND(ISNUMBER(AQ177),ISNUMBER(AQ179)),ROUND(AQ177-AQ179,1),"")</f>
        <v>0</v>
      </c>
      <c r="AR178" s="20" t="n">
        <f aca="false">IF(AND(ISNUMBER(AR177),ISNUMBER(AR179)),ROUND(AR177-AR179,1),"")</f>
        <v>0</v>
      </c>
      <c r="AS178" s="20" t="n">
        <f aca="false">IF(AND(ISNUMBER(AS177),ISNUMBER(AS179)),ROUND(AS177-AS179,1),"")</f>
        <v>0</v>
      </c>
      <c r="AT178" s="20" t="n">
        <f aca="false">IF(AND(ISNUMBER(AT177),ISNUMBER(AT179)),ROUND(AT177-AT179,1),"")</f>
        <v>0</v>
      </c>
      <c r="AU178" s="20" t="n">
        <f aca="false">IF(AND(ISNUMBER(AU177),ISNUMBER(AU179)),ROUND(AU177-AU179,1),"")</f>
        <v>0</v>
      </c>
      <c r="AV178" s="20" t="n">
        <f aca="false">IF(AND(ISNUMBER(AV177),ISNUMBER(AV179)),ROUND(AV177-AV179,1),"")</f>
        <v>0</v>
      </c>
      <c r="AW178" s="20" t="n">
        <f aca="false">IF(AND(ISNUMBER(AW177),ISNUMBER(AW179)),ROUND(AW177-AW179,1),"")</f>
        <v>0</v>
      </c>
      <c r="AX178" s="20" t="n">
        <f aca="false">IF(AND(ISNUMBER(AX177),ISNUMBER(AX179)),ROUND(AX177-AX179,1),"")</f>
        <v>0</v>
      </c>
      <c r="AY178" s="20" t="n">
        <f aca="false">IF(AND(ISNUMBER(AY177),ISNUMBER(AY179)),ROUND(AY177-AY179,1),"")</f>
        <v>0</v>
      </c>
      <c r="AZ178" s="20" t="n">
        <f aca="false">IF(AND(ISNUMBER(AZ177),ISNUMBER(AZ179)),ROUND(AZ177-AZ179,1),"")</f>
        <v>0</v>
      </c>
      <c r="BA178" s="20" t="n">
        <f aca="false">IF(AND(ISNUMBER(BA177),ISNUMBER(BA179)),ROUND(BA177-BA179,1),"")</f>
        <v>0</v>
      </c>
      <c r="BB178" s="20" t="n">
        <f aca="false">IF(AND(ISNUMBER(BB177),ISNUMBER(BB179)),ROUND(BB177-BB179,1),"")</f>
        <v>0</v>
      </c>
      <c r="BC178" s="20" t="n">
        <f aca="false">IF(AND(ISNUMBER(BC177),ISNUMBER(BC179)),ROUND(BC177-BC179,1),"")</f>
        <v>0</v>
      </c>
      <c r="BD178" s="20" t="n">
        <f aca="false">IF(AND(ISNUMBER(BD177),ISNUMBER(BD179)),ROUND(BD177-BD179,1),"")</f>
        <v>0</v>
      </c>
      <c r="BE178" s="20" t="n">
        <f aca="false">IF(AND(ISNUMBER(BE177),ISNUMBER(BE179)),ROUND(BE177-BE179,1),"")</f>
        <v>0</v>
      </c>
      <c r="BF178" s="20" t="n">
        <f aca="false">IF(AND(ISNUMBER(BF177),ISNUMBER(BF179)),ROUND(BF177-BF179,1),"")</f>
        <v>0</v>
      </c>
      <c r="BG178" s="20" t="n">
        <f aca="false">IF(AND(ISNUMBER(BG177),ISNUMBER(BG179)),ROUND(BG177-BG179,1),"")</f>
        <v>0</v>
      </c>
      <c r="BH178" s="20" t="n">
        <f aca="false">IF(AND(ISNUMBER(BH177),ISNUMBER(BH179)),ROUND(BH177-BH179,1),"")</f>
        <v>0</v>
      </c>
      <c r="BI178" s="20" t="n">
        <f aca="false">IF(AND(ISNUMBER(BI177),ISNUMBER(BI179)),ROUND(BI177-BI179,1),"")</f>
        <v>0</v>
      </c>
      <c r="BJ178" s="20" t="n">
        <f aca="false">IF(AND(ISNUMBER(BJ177),ISNUMBER(BJ179)),ROUND(BJ177-BJ179,1),"")</f>
        <v>0</v>
      </c>
      <c r="BK178" s="20" t="n">
        <f aca="false">IF(AND(ISNUMBER(BK177),ISNUMBER(BK179)),ROUND(BK177-BK179,1),"")</f>
        <v>0</v>
      </c>
      <c r="BL178" s="20" t="n">
        <f aca="false">IF(AND(ISNUMBER(BL177),ISNUMBER(BL179)),ROUND(BL177-BL179,1),"")</f>
        <v>0</v>
      </c>
      <c r="BM178" s="20" t="n">
        <f aca="false">IF(AND(ISNUMBER(BM177),ISNUMBER(BM179)),ROUND(BM177-BM179,1),"")</f>
        <v>0</v>
      </c>
      <c r="BN178" s="20" t="n">
        <f aca="false">IF(AND(ISNUMBER(BN177),ISNUMBER(BN179)),ROUND(BN177-BN179,1),"")</f>
        <v>0</v>
      </c>
      <c r="BO178" s="36"/>
      <c r="BP178" s="36"/>
      <c r="BQ178" s="36"/>
      <c r="BR178" s="36"/>
      <c r="BS178" s="36"/>
      <c r="BT178" s="36"/>
      <c r="BU178" s="36"/>
      <c r="BV178" s="15"/>
    </row>
    <row r="179" customFormat="false" ht="15" hidden="false" customHeight="false" outlineLevel="0" collapsed="false">
      <c r="B179" s="50" t="s">
        <v>342</v>
      </c>
      <c r="C179" s="24" t="n">
        <v>227.695</v>
      </c>
      <c r="D179" s="24" t="n">
        <v>346.078</v>
      </c>
      <c r="E179" s="24" t="n">
        <v>45.044</v>
      </c>
      <c r="F179" s="24" t="n">
        <v>26.437</v>
      </c>
      <c r="G179" s="24" t="n">
        <v>61.214</v>
      </c>
      <c r="H179" s="24" t="n">
        <v>-103.307</v>
      </c>
      <c r="I179" s="24" t="n">
        <v>29.388</v>
      </c>
      <c r="J179" s="24" t="n">
        <v>45.257</v>
      </c>
      <c r="K179" s="24" t="n">
        <v>-17.147</v>
      </c>
      <c r="L179" s="24" t="n">
        <v>103.87</v>
      </c>
      <c r="M179" s="24" t="n">
        <v>-0.515</v>
      </c>
      <c r="N179" s="24" t="n">
        <v>131.465</v>
      </c>
      <c r="O179" s="24" t="n">
        <v>48.791</v>
      </c>
      <c r="P179" s="24" t="n">
        <v>57.477</v>
      </c>
      <c r="Q179" s="24" t="n">
        <v>40.503</v>
      </c>
      <c r="R179" s="24" t="n">
        <v>33.992</v>
      </c>
      <c r="S179" s="24" t="n">
        <v>183.057</v>
      </c>
      <c r="T179" s="24" t="n">
        <v>55.719</v>
      </c>
      <c r="U179" s="24" t="n">
        <v>61.263</v>
      </c>
      <c r="V179" s="24" t="n">
        <v>46.553</v>
      </c>
      <c r="W179" s="24" t="n">
        <v>-15.691</v>
      </c>
      <c r="X179" s="24" t="n">
        <v>147.844</v>
      </c>
      <c r="Y179" s="24" t="n">
        <v>66.441</v>
      </c>
      <c r="Z179" s="24" t="n">
        <v>60.663</v>
      </c>
      <c r="AA179" s="24" t="n">
        <v>77.919</v>
      </c>
      <c r="AB179" s="24" t="n">
        <v>21.935</v>
      </c>
      <c r="AC179" s="24" t="n">
        <v>226.958</v>
      </c>
      <c r="AD179" s="24" t="n">
        <v>48.978</v>
      </c>
      <c r="AE179" s="24" t="n">
        <v>58.878</v>
      </c>
      <c r="AF179" s="24" t="n">
        <v>74.81</v>
      </c>
      <c r="AG179" s="24" t="n">
        <v>61.449</v>
      </c>
      <c r="AH179" s="24" t="n">
        <v>244.115</v>
      </c>
      <c r="AI179" s="24" t="n">
        <v>75.499</v>
      </c>
      <c r="AJ179" s="24" t="n">
        <v>64.258</v>
      </c>
      <c r="AK179" s="24" t="n">
        <v>73.171</v>
      </c>
      <c r="AL179" s="24" t="n">
        <v>65.742</v>
      </c>
      <c r="AM179" s="24" t="n">
        <v>278.67</v>
      </c>
      <c r="AN179" s="24" t="n">
        <v>69.749</v>
      </c>
      <c r="AO179" s="24" t="n">
        <v>59.347</v>
      </c>
      <c r="AP179" s="24" t="n">
        <v>59.914</v>
      </c>
      <c r="AQ179" s="24" t="n">
        <v>116.861</v>
      </c>
      <c r="AR179" s="24" t="n">
        <v>305.871</v>
      </c>
      <c r="AS179" s="24" t="n">
        <v>59.01</v>
      </c>
      <c r="AT179" s="24" t="n">
        <v>74.613</v>
      </c>
      <c r="AU179" s="24" t="n">
        <v>61.603</v>
      </c>
      <c r="AV179" s="24" t="n">
        <v>42.965</v>
      </c>
      <c r="AW179" s="24" t="n">
        <v>238.191</v>
      </c>
      <c r="AX179" s="24" t="n">
        <v>61.092</v>
      </c>
      <c r="AY179" s="24" t="n">
        <v>58.597</v>
      </c>
      <c r="AZ179" s="24" t="n">
        <v>60.273</v>
      </c>
      <c r="BA179" s="24" t="n">
        <v>65.887</v>
      </c>
      <c r="BB179" s="24" t="n">
        <v>245.849</v>
      </c>
      <c r="BC179" s="24" t="n">
        <v>68.468</v>
      </c>
      <c r="BD179" s="24" t="n">
        <v>72.972</v>
      </c>
      <c r="BE179" s="24" t="n">
        <v>69.483</v>
      </c>
      <c r="BF179" s="24" t="n">
        <v>71.018</v>
      </c>
      <c r="BG179" s="24" t="n">
        <v>281.941</v>
      </c>
      <c r="BH179" s="24" t="n">
        <v>75.462</v>
      </c>
      <c r="BI179" s="24" t="n">
        <v>78.388</v>
      </c>
      <c r="BJ179" s="24" t="n">
        <v>82.106</v>
      </c>
      <c r="BK179" s="24" t="n">
        <v>92.989</v>
      </c>
      <c r="BL179" s="24" t="n">
        <v>328.945</v>
      </c>
      <c r="BM179" s="24" t="n">
        <v>91.068</v>
      </c>
      <c r="BN179" s="24" t="n">
        <v>89.014</v>
      </c>
      <c r="BO179" s="36"/>
      <c r="BP179" s="36"/>
      <c r="BQ179" s="36"/>
      <c r="BR179" s="36"/>
      <c r="BS179" s="36"/>
      <c r="BT179" s="36"/>
      <c r="BU179" s="36"/>
      <c r="BV179" s="15"/>
    </row>
    <row r="180" customFormat="false" ht="15" hidden="false" customHeight="false" outlineLevel="0" collapsed="false">
      <c r="B180" s="50" t="s">
        <v>343</v>
      </c>
      <c r="C180" s="24" t="n">
        <v>112.582</v>
      </c>
      <c r="D180" s="24" t="n">
        <v>198.49</v>
      </c>
      <c r="E180" s="24" t="n">
        <v>39.15</v>
      </c>
      <c r="F180" s="24" t="n">
        <v>22.211</v>
      </c>
      <c r="G180" s="24" t="n">
        <v>40.626</v>
      </c>
      <c r="H180" s="24" t="n">
        <v>-63.247</v>
      </c>
      <c r="I180" s="24" t="n">
        <v>38.74</v>
      </c>
      <c r="J180" s="24" t="n">
        <v>34.233</v>
      </c>
      <c r="K180" s="24" t="n">
        <v>-0.181</v>
      </c>
      <c r="L180" s="24" t="n">
        <v>106.344</v>
      </c>
      <c r="M180" s="24" t="n">
        <v>0.378</v>
      </c>
      <c r="N180" s="24" t="n">
        <v>140.774</v>
      </c>
      <c r="O180" s="24" t="n">
        <v>48.791</v>
      </c>
      <c r="P180" s="24" t="n">
        <v>57.477</v>
      </c>
      <c r="Q180" s="24" t="n">
        <v>40.503</v>
      </c>
      <c r="R180" s="24" t="n">
        <v>33.992</v>
      </c>
      <c r="S180" s="24" t="n">
        <v>183.057</v>
      </c>
      <c r="T180" s="24" t="n">
        <v>55.719</v>
      </c>
      <c r="U180" s="24" t="n">
        <v>61.263</v>
      </c>
      <c r="V180" s="24" t="n">
        <v>46.553</v>
      </c>
      <c r="W180" s="24" t="n">
        <v>-15.691</v>
      </c>
      <c r="X180" s="24" t="n">
        <v>147.844</v>
      </c>
      <c r="Y180" s="24" t="n">
        <v>66.441</v>
      </c>
      <c r="Z180" s="24" t="n">
        <v>60.663</v>
      </c>
      <c r="AA180" s="24" t="n">
        <v>77.919</v>
      </c>
      <c r="AB180" s="24" t="n">
        <v>21.935</v>
      </c>
      <c r="AC180" s="24" t="n">
        <v>226.958</v>
      </c>
      <c r="AD180" s="24" t="n">
        <v>48.978</v>
      </c>
      <c r="AE180" s="24" t="n">
        <v>58.878</v>
      </c>
      <c r="AF180" s="24" t="n">
        <v>74.81</v>
      </c>
      <c r="AG180" s="24" t="n">
        <v>61.449</v>
      </c>
      <c r="AH180" s="24" t="n">
        <v>244.115</v>
      </c>
      <c r="AI180" s="24" t="n">
        <v>75.499</v>
      </c>
      <c r="AJ180" s="24" t="n">
        <v>64.258</v>
      </c>
      <c r="AK180" s="24" t="n">
        <v>73.171</v>
      </c>
      <c r="AL180" s="24" t="n">
        <v>65.742</v>
      </c>
      <c r="AM180" s="24" t="n">
        <v>278.67</v>
      </c>
      <c r="AN180" s="24" t="n">
        <v>69.749</v>
      </c>
      <c r="AO180" s="24" t="n">
        <v>59.347</v>
      </c>
      <c r="AP180" s="24" t="n">
        <v>59.914</v>
      </c>
      <c r="AQ180" s="24" t="n">
        <v>116.861</v>
      </c>
      <c r="AR180" s="24" t="n">
        <v>305.871</v>
      </c>
      <c r="AS180" s="24" t="n">
        <v>59.01</v>
      </c>
      <c r="AT180" s="24" t="n">
        <v>74.613</v>
      </c>
      <c r="AU180" s="24" t="n">
        <v>61.603</v>
      </c>
      <c r="AV180" s="24" t="n">
        <v>42.965</v>
      </c>
      <c r="AW180" s="24" t="n">
        <v>238.191</v>
      </c>
      <c r="AX180" s="24" t="n">
        <v>61.092</v>
      </c>
      <c r="AY180" s="24" t="n">
        <v>58.597</v>
      </c>
      <c r="AZ180" s="24" t="n">
        <v>60.273</v>
      </c>
      <c r="BA180" s="24" t="n">
        <v>65.887</v>
      </c>
      <c r="BB180" s="24" t="n">
        <v>245.849</v>
      </c>
      <c r="BC180" s="24" t="n">
        <v>68.468</v>
      </c>
      <c r="BD180" s="24" t="n">
        <v>72.972</v>
      </c>
      <c r="BE180" s="24" t="n">
        <v>69.483</v>
      </c>
      <c r="BF180" s="24" t="n">
        <v>71.018</v>
      </c>
      <c r="BG180" s="24" t="n">
        <v>281.941</v>
      </c>
      <c r="BH180" s="24" t="n">
        <v>75.462</v>
      </c>
      <c r="BI180" s="24" t="n">
        <v>78.388</v>
      </c>
      <c r="BJ180" s="24" t="n">
        <v>82.106</v>
      </c>
      <c r="BK180" s="24" t="n">
        <v>92.989</v>
      </c>
      <c r="BL180" s="24" t="n">
        <v>328.945</v>
      </c>
      <c r="BM180" s="24" t="n">
        <v>91.068</v>
      </c>
      <c r="BN180" s="24" t="n">
        <v>89.014</v>
      </c>
      <c r="BO180" s="21" t="n">
        <f aca="false">BO177-BO174</f>
        <v>104.031750279223</v>
      </c>
      <c r="BP180" s="21" t="n">
        <f aca="false">BP177-BP174</f>
        <v>106.954652203672</v>
      </c>
      <c r="BQ180" s="21" t="n">
        <f aca="false">SUM(BM180:BP180)</f>
        <v>391.068402482895</v>
      </c>
      <c r="BR180" s="21" t="n">
        <f aca="false">BR177-BR174</f>
        <v>894.274147957043</v>
      </c>
      <c r="BS180" s="21" t="n">
        <f aca="false">BS177-BS174</f>
        <v>513.286205054995</v>
      </c>
      <c r="BT180" s="21" t="n">
        <f aca="false">BT177-BT174</f>
        <v>573.684637498531</v>
      </c>
      <c r="BU180" s="21" t="n">
        <f aca="false">BU177-BU174</f>
        <v>629.40968666781</v>
      </c>
      <c r="BV180" s="15"/>
      <c r="BX180" s="25" t="n">
        <f aca="false">IFERROR((BU180/BL180)^(1/5)-1,"n/m")</f>
        <v>0.138576003943656</v>
      </c>
      <c r="BY180" s="25" t="n">
        <f aca="false">IFERROR((BL180/AM180)^(1/5)-1,"n/m")</f>
        <v>0.0337287960804813</v>
      </c>
      <c r="BZ180" s="25" t="n">
        <f aca="false">IFERROR((BL180/N180)^(1/10)-1,"n/m")</f>
        <v>0.0885793304883171</v>
      </c>
      <c r="CA180" s="25" t="n">
        <f aca="false">IFERROR((BL180/D180)^(1/12)-1,"n/m")</f>
        <v>0.0429945877384128</v>
      </c>
    </row>
    <row r="181" customFormat="false" ht="15" hidden="false" customHeight="false" outlineLevel="0" collapsed="false">
      <c r="B181" s="50" t="s">
        <v>344</v>
      </c>
      <c r="C181" s="19"/>
      <c r="D181" s="19"/>
      <c r="E181" s="24" t="n">
        <v>11.446</v>
      </c>
      <c r="F181" s="24" t="n">
        <v>12.3</v>
      </c>
      <c r="G181" s="24" t="n">
        <v>12.461</v>
      </c>
      <c r="H181" s="24" t="n">
        <v>38.93</v>
      </c>
      <c r="I181" s="24" t="n">
        <v>75.137</v>
      </c>
      <c r="J181" s="24" t="n">
        <v>15.11</v>
      </c>
      <c r="K181" s="24" t="n">
        <v>15.147</v>
      </c>
      <c r="L181" s="24" t="n">
        <v>13.295</v>
      </c>
      <c r="M181" s="24" t="n">
        <v>13.611</v>
      </c>
      <c r="N181" s="24" t="n">
        <v>57.163</v>
      </c>
      <c r="O181" s="24" t="n">
        <v>11.905</v>
      </c>
      <c r="P181" s="24" t="n">
        <v>12.764</v>
      </c>
      <c r="Q181" s="24" t="n">
        <v>12.421</v>
      </c>
      <c r="R181" s="24" t="n">
        <v>13.464</v>
      </c>
      <c r="S181" s="24" t="n">
        <v>50.554</v>
      </c>
      <c r="T181" s="24" t="n">
        <v>13.976</v>
      </c>
      <c r="U181" s="24" t="n">
        <v>14.223</v>
      </c>
      <c r="V181" s="24" t="n">
        <v>13.936</v>
      </c>
      <c r="W181" s="24" t="n">
        <v>14.422</v>
      </c>
      <c r="X181" s="24" t="n">
        <v>56.557</v>
      </c>
      <c r="Y181" s="24" t="n">
        <v>14.061</v>
      </c>
      <c r="Z181" s="24" t="n">
        <v>14.359</v>
      </c>
      <c r="AA181" s="24" t="n">
        <v>15.272</v>
      </c>
      <c r="AB181" s="24" t="n">
        <v>16.405</v>
      </c>
      <c r="AC181" s="24" t="n">
        <v>60.097</v>
      </c>
      <c r="AD181" s="24" t="n">
        <v>15.122</v>
      </c>
      <c r="AE181" s="24" t="n">
        <v>15.711</v>
      </c>
      <c r="AF181" s="24" t="n">
        <v>15.195</v>
      </c>
      <c r="AG181" s="24" t="n">
        <v>15.693</v>
      </c>
      <c r="AH181" s="24" t="n">
        <v>61.722</v>
      </c>
      <c r="AI181" s="24" t="n">
        <v>15.614</v>
      </c>
      <c r="AJ181" s="24" t="n">
        <v>14.951</v>
      </c>
      <c r="AK181" s="24" t="n">
        <v>14.893</v>
      </c>
      <c r="AL181" s="24" t="n">
        <v>15.216</v>
      </c>
      <c r="AM181" s="24" t="n">
        <v>60.674</v>
      </c>
      <c r="AN181" s="24" t="n">
        <v>15.897</v>
      </c>
      <c r="AO181" s="24" t="n">
        <v>17.095</v>
      </c>
      <c r="AP181" s="24" t="n">
        <v>17.484</v>
      </c>
      <c r="AQ181" s="24" t="n">
        <v>18.604</v>
      </c>
      <c r="AR181" s="24" t="n">
        <v>69.08</v>
      </c>
      <c r="AS181" s="24" t="n">
        <v>17.62</v>
      </c>
      <c r="AT181" s="24" t="n">
        <v>18.596</v>
      </c>
      <c r="AU181" s="24" t="n">
        <v>18.592</v>
      </c>
      <c r="AV181" s="24" t="n">
        <v>19.034</v>
      </c>
      <c r="AW181" s="24" t="n">
        <v>73.842</v>
      </c>
      <c r="AX181" s="24" t="n">
        <v>19.02</v>
      </c>
      <c r="AY181" s="24" t="n">
        <v>19.384</v>
      </c>
      <c r="AZ181" s="24" t="n">
        <v>19.801</v>
      </c>
      <c r="BA181" s="24" t="n">
        <v>20.361</v>
      </c>
      <c r="BB181" s="24" t="n">
        <v>78.566</v>
      </c>
      <c r="BC181" s="24" t="n">
        <v>20.552</v>
      </c>
      <c r="BD181" s="24" t="n">
        <v>21.609</v>
      </c>
      <c r="BE181" s="24" t="n">
        <v>21.269</v>
      </c>
      <c r="BF181" s="24" t="n">
        <v>22.433</v>
      </c>
      <c r="BG181" s="24" t="n">
        <v>85.862</v>
      </c>
      <c r="BH181" s="24" t="n">
        <v>23.912</v>
      </c>
      <c r="BI181" s="24" t="n">
        <v>27.259</v>
      </c>
      <c r="BJ181" s="24" t="n">
        <v>28.458</v>
      </c>
      <c r="BK181" s="24" t="n">
        <v>29.556</v>
      </c>
      <c r="BL181" s="24" t="n">
        <v>109.186</v>
      </c>
      <c r="BM181" s="24" t="n">
        <v>29.013</v>
      </c>
      <c r="BN181" s="24" t="n">
        <v>31.362</v>
      </c>
      <c r="BO181" s="21" t="n">
        <f aca="false">BO107+BO154</f>
        <v>35.7447150420619</v>
      </c>
      <c r="BP181" s="21" t="n">
        <f aca="false">BP107+BP154</f>
        <v>36.3597849797272</v>
      </c>
      <c r="BQ181" s="21" t="n">
        <f aca="false">SUM(BM181:BP181)</f>
        <v>132.479500021789</v>
      </c>
      <c r="BR181" s="21" t="n">
        <f aca="false">BR107+BR154</f>
        <v>163.780732092423</v>
      </c>
      <c r="BS181" s="21" t="n">
        <f aca="false">BS107+BS154</f>
        <v>184.026611536211</v>
      </c>
      <c r="BT181" s="21" t="n">
        <f aca="false">BT107+BT154</f>
        <v>209.562563046147</v>
      </c>
      <c r="BU181" s="21" t="n">
        <f aca="false">BU107+BU154</f>
        <v>231.604285074626</v>
      </c>
      <c r="BV181" s="15" t="s">
        <v>345</v>
      </c>
      <c r="BX181" s="25" t="n">
        <f aca="false">IFERROR((BU181/BL181)^(1/5)-1,"n/m")</f>
        <v>0.1622938152498</v>
      </c>
      <c r="BY181" s="25" t="n">
        <f aca="false">IFERROR((BL181/AM181)^(1/5)-1,"n/m")</f>
        <v>0.124690083024</v>
      </c>
      <c r="BZ181" s="25" t="n">
        <f aca="false">IFERROR((BL181/N181)^(1/10)-1,"n/m")</f>
        <v>0.0668545021524443</v>
      </c>
      <c r="CA181" s="25" t="str">
        <f aca="false">IFERROR((BL181/D181)^(1/12)-1,"n/m")</f>
        <v>n/m</v>
      </c>
    </row>
    <row r="182" customFormat="false" ht="15" hidden="false" customHeight="false" outlineLevel="0" collapsed="false">
      <c r="B182" s="50" t="s">
        <v>346</v>
      </c>
      <c r="C182" s="19"/>
      <c r="D182" s="19"/>
      <c r="E182" s="19"/>
      <c r="F182" s="19"/>
      <c r="G182" s="19"/>
      <c r="H182" s="19"/>
      <c r="I182" s="19"/>
      <c r="J182" s="19"/>
      <c r="K182" s="24" t="n">
        <v>15.463</v>
      </c>
      <c r="L182" s="24" t="n">
        <v>2.661</v>
      </c>
      <c r="M182" s="24" t="n">
        <v>6.594</v>
      </c>
      <c r="N182" s="24" t="n">
        <v>31.699</v>
      </c>
      <c r="O182" s="24" t="n">
        <v>2.469</v>
      </c>
      <c r="P182" s="24" t="n">
        <v>3.561</v>
      </c>
      <c r="Q182" s="24" t="n">
        <v>2.343</v>
      </c>
      <c r="R182" s="24" t="n">
        <v>6.998</v>
      </c>
      <c r="S182" s="24" t="n">
        <v>15.371</v>
      </c>
      <c r="T182" s="24" t="n">
        <v>3.412</v>
      </c>
      <c r="U182" s="24" t="n">
        <v>3.686</v>
      </c>
      <c r="V182" s="24" t="n">
        <v>2.781</v>
      </c>
      <c r="W182" s="24" t="n">
        <v>5.343</v>
      </c>
      <c r="X182" s="24" t="n">
        <v>15.222</v>
      </c>
      <c r="Y182" s="24" t="n">
        <v>4.461</v>
      </c>
      <c r="Z182" s="24" t="n">
        <v>1.294</v>
      </c>
      <c r="AA182" s="24" t="n">
        <v>2.764</v>
      </c>
      <c r="AB182" s="24" t="n">
        <v>3.364</v>
      </c>
      <c r="AC182" s="24" t="n">
        <v>11.883</v>
      </c>
      <c r="AD182" s="24" t="n">
        <v>2.529</v>
      </c>
      <c r="AE182" s="24" t="n">
        <v>3.823</v>
      </c>
      <c r="AF182" s="24" t="n">
        <v>2.787</v>
      </c>
      <c r="AG182" s="24" t="n">
        <v>3.587</v>
      </c>
      <c r="AH182" s="24" t="n">
        <v>12.726</v>
      </c>
      <c r="AI182" s="24" t="n">
        <v>3.102</v>
      </c>
      <c r="AJ182" s="24" t="n">
        <v>4.375</v>
      </c>
      <c r="AK182" s="24" t="n">
        <v>4.662</v>
      </c>
      <c r="AL182" s="24" t="n">
        <v>4.705</v>
      </c>
      <c r="AM182" s="24" t="n">
        <v>16.844</v>
      </c>
      <c r="AN182" s="24" t="n">
        <v>3.981</v>
      </c>
      <c r="AO182" s="24" t="n">
        <v>5.292</v>
      </c>
      <c r="AP182" s="24" t="n">
        <v>5.588</v>
      </c>
      <c r="AQ182" s="24" t="n">
        <v>3.752</v>
      </c>
      <c r="AR182" s="24" t="n">
        <v>18.613</v>
      </c>
      <c r="AS182" s="24" t="n">
        <v>3.958</v>
      </c>
      <c r="AT182" s="24" t="n">
        <v>5.008</v>
      </c>
      <c r="AU182" s="24" t="n">
        <v>3.081</v>
      </c>
      <c r="AV182" s="24" t="n">
        <v>2.08</v>
      </c>
      <c r="AW182" s="24" t="n">
        <v>14.127</v>
      </c>
      <c r="AX182" s="24" t="n">
        <v>3.893</v>
      </c>
      <c r="AY182" s="24" t="n">
        <v>4.776</v>
      </c>
      <c r="AZ182" s="24" t="n">
        <v>3.636</v>
      </c>
      <c r="BA182" s="24" t="n">
        <v>3.591</v>
      </c>
      <c r="BB182" s="24" t="n">
        <v>15.896</v>
      </c>
      <c r="BC182" s="24" t="n">
        <v>4.297</v>
      </c>
      <c r="BD182" s="24" t="n">
        <v>5.982</v>
      </c>
      <c r="BE182" s="24" t="n">
        <v>4.573</v>
      </c>
      <c r="BF182" s="24" t="n">
        <v>6.828</v>
      </c>
      <c r="BG182" s="24" t="n">
        <v>21.68</v>
      </c>
      <c r="BH182" s="24" t="n">
        <v>5.047</v>
      </c>
      <c r="BI182" s="24" t="n">
        <v>8.688</v>
      </c>
      <c r="BJ182" s="24" t="n">
        <v>6.985</v>
      </c>
      <c r="BK182" s="24" t="n">
        <v>5.352</v>
      </c>
      <c r="BL182" s="24" t="n">
        <v>26.072</v>
      </c>
      <c r="BM182" s="24" t="n">
        <v>10.168</v>
      </c>
      <c r="BN182" s="24" t="n">
        <v>9.949</v>
      </c>
      <c r="BO182" s="21" t="n">
        <f aca="false">BO157*BO146</f>
        <v>11.4483095391178</v>
      </c>
      <c r="BP182" s="21" t="n">
        <f aca="false">BP157*BP146</f>
        <v>11.8237117238559</v>
      </c>
      <c r="BQ182" s="21" t="n">
        <f aca="false">SUM(BM182:BP182)</f>
        <v>43.3890212629736</v>
      </c>
      <c r="BR182" s="21" t="n">
        <f aca="false">BR157*BR146</f>
        <v>43.7135258359385</v>
      </c>
      <c r="BS182" s="21" t="n">
        <f aca="false">BS157*BS146</f>
        <v>48.1202334262387</v>
      </c>
      <c r="BT182" s="21" t="n">
        <f aca="false">BT157*BT146</f>
        <v>53.3776687483799</v>
      </c>
      <c r="BU182" s="21" t="n">
        <f aca="false">BU157*BU146</f>
        <v>58.9661340661034</v>
      </c>
      <c r="BV182" s="15"/>
    </row>
    <row r="183" customFormat="false" ht="15" hidden="false" customHeight="false" outlineLevel="0" collapsed="false">
      <c r="B183" s="13" t="s">
        <v>347</v>
      </c>
      <c r="BO183" s="14"/>
      <c r="BP183" s="14"/>
      <c r="BQ183" s="14"/>
      <c r="BR183" s="14"/>
      <c r="BS183" s="14"/>
      <c r="BT183" s="14"/>
      <c r="BU183" s="14"/>
      <c r="BV183" s="15"/>
    </row>
    <row r="184" customFormat="false" ht="15" hidden="false" customHeight="false" outlineLevel="0" collapsed="false">
      <c r="B184" s="13" t="s">
        <v>348</v>
      </c>
      <c r="C184" s="24" t="n">
        <v>118.4189</v>
      </c>
      <c r="D184" s="24" t="n">
        <v>111.9018</v>
      </c>
      <c r="E184" s="24" t="n">
        <v>110.4394</v>
      </c>
      <c r="F184" s="24" t="n">
        <v>109.7662</v>
      </c>
      <c r="G184" s="24" t="n">
        <v>107.106</v>
      </c>
      <c r="H184" s="24" t="n">
        <v>106.5974</v>
      </c>
      <c r="I184" s="24" t="n">
        <v>108.4773</v>
      </c>
      <c r="J184" s="24" t="n">
        <v>106.7759</v>
      </c>
      <c r="K184" s="24" t="n">
        <v>107.1201</v>
      </c>
      <c r="L184" s="24" t="n">
        <v>106.9622</v>
      </c>
      <c r="M184" s="24" t="n">
        <v>105.9543</v>
      </c>
      <c r="N184" s="24" t="n">
        <v>106.7031</v>
      </c>
      <c r="O184" s="24" t="n">
        <v>104.3641</v>
      </c>
      <c r="P184" s="24" t="n">
        <v>103.5276</v>
      </c>
      <c r="Q184" s="24" t="n">
        <v>102.736</v>
      </c>
      <c r="R184" s="24" t="n">
        <v>99.2594</v>
      </c>
      <c r="S184" s="24" t="n">
        <v>102.4718</v>
      </c>
      <c r="T184" s="24" t="n">
        <v>99.4449</v>
      </c>
      <c r="U184" s="24" t="n">
        <v>99.1662</v>
      </c>
      <c r="V184" s="24" t="n">
        <v>99.3287</v>
      </c>
      <c r="W184" s="24" t="n">
        <v>99.3981</v>
      </c>
      <c r="X184" s="24" t="n">
        <v>99.3345</v>
      </c>
      <c r="Y184" s="24" t="n">
        <v>99.5262</v>
      </c>
      <c r="Z184" s="24" t="n">
        <v>99.6816</v>
      </c>
      <c r="AA184" s="24" t="n">
        <v>99.421</v>
      </c>
      <c r="AB184" s="24" t="n">
        <v>97.6195</v>
      </c>
      <c r="AC184" s="24" t="n">
        <v>99.0621</v>
      </c>
      <c r="AD184" s="24" t="n">
        <v>95.2551</v>
      </c>
      <c r="AE184" s="24" t="n">
        <v>95.3573</v>
      </c>
      <c r="AF184" s="24" t="n">
        <v>95.4206</v>
      </c>
      <c r="AG184" s="24" t="n">
        <v>95.4766</v>
      </c>
      <c r="AH184" s="24" t="n">
        <v>95.3774</v>
      </c>
      <c r="AI184" s="24" t="n">
        <v>95.4124</v>
      </c>
      <c r="AJ184" s="24" t="n">
        <v>95.4576</v>
      </c>
      <c r="AK184" s="24" t="n">
        <v>95.483</v>
      </c>
      <c r="AL184" s="24" t="n">
        <v>95.4758</v>
      </c>
      <c r="AM184" s="24" t="n">
        <v>95.4572</v>
      </c>
      <c r="AN184" s="24" t="n">
        <v>95.3037</v>
      </c>
      <c r="AO184" s="24" t="n">
        <v>95.3549</v>
      </c>
      <c r="AP184" s="24" t="n">
        <v>94.2773</v>
      </c>
      <c r="AQ184" s="24" t="n">
        <v>92.1797</v>
      </c>
      <c r="AR184" s="24" t="n">
        <v>94.2789</v>
      </c>
      <c r="AS184" s="24" t="n">
        <v>91.5636</v>
      </c>
      <c r="AT184" s="24" t="n">
        <v>91.3949</v>
      </c>
      <c r="AU184" s="24" t="n">
        <v>91.4076</v>
      </c>
      <c r="AV184" s="24" t="n">
        <v>91.4223</v>
      </c>
      <c r="AW184" s="24" t="n">
        <v>91.4471</v>
      </c>
      <c r="AX184" s="24" t="n">
        <v>91.504</v>
      </c>
      <c r="AY184" s="24" t="n">
        <v>91.6268</v>
      </c>
      <c r="AZ184" s="24" t="n">
        <v>91.6591</v>
      </c>
      <c r="BA184" s="24" t="n">
        <v>91.6867</v>
      </c>
      <c r="BB184" s="24" t="n">
        <v>91.6192</v>
      </c>
      <c r="BC184" s="24" t="n">
        <v>91.5554</v>
      </c>
      <c r="BD184" s="24" t="n">
        <v>91.5643</v>
      </c>
      <c r="BE184" s="24" t="n">
        <v>91.5745</v>
      </c>
      <c r="BF184" s="24" t="n">
        <v>91.5965</v>
      </c>
      <c r="BG184" s="24" t="n">
        <v>91.5727</v>
      </c>
      <c r="BH184" s="24" t="n">
        <v>91.5941</v>
      </c>
      <c r="BI184" s="24" t="n">
        <v>91.543</v>
      </c>
      <c r="BJ184" s="24" t="n">
        <v>91.5651</v>
      </c>
      <c r="BK184" s="24" t="n">
        <v>91.563</v>
      </c>
      <c r="BL184" s="24" t="n">
        <v>91.5663</v>
      </c>
      <c r="BM184" s="24" t="n">
        <v>91.664</v>
      </c>
      <c r="BN184" s="24" t="n">
        <v>91.7209</v>
      </c>
      <c r="BO184" s="21" t="n">
        <f aca="false">BN184+$BQ$301/4</f>
        <v>91.7459</v>
      </c>
      <c r="BP184" s="21" t="n">
        <f aca="false">BN184+$BQ$301/4</f>
        <v>91.7459</v>
      </c>
      <c r="BQ184" s="21" t="n">
        <f aca="false">AVERAGE(BM184,BN184,BO184,BP184)</f>
        <v>91.719175</v>
      </c>
      <c r="BR184" s="21" t="n">
        <f aca="false">AVERAGE(BR302,BR303)</f>
        <v>90.8776217616778</v>
      </c>
      <c r="BS184" s="21" t="n">
        <f aca="false">AVERAGE(BS302,BS303)</f>
        <v>89.3563853254866</v>
      </c>
      <c r="BT184" s="21" t="n">
        <f aca="false">AVERAGE(BT302,BT303)</f>
        <v>87.8144873291016</v>
      </c>
      <c r="BU184" s="21" t="n">
        <f aca="false">AVERAGE(BU302,BU303)</f>
        <v>86.0645434826549</v>
      </c>
      <c r="BV184" s="15" t="s">
        <v>349</v>
      </c>
    </row>
    <row r="185" customFormat="false" ht="15" hidden="false" customHeight="false" outlineLevel="0" collapsed="false">
      <c r="B185" s="13" t="s">
        <v>350</v>
      </c>
      <c r="C185" s="24" t="n">
        <v>119.0213</v>
      </c>
      <c r="D185" s="24" t="n">
        <v>112.6854</v>
      </c>
      <c r="E185" s="24" t="n">
        <v>110.886</v>
      </c>
      <c r="F185" s="24" t="n">
        <v>110.1166</v>
      </c>
      <c r="G185" s="24" t="n">
        <v>107.4443</v>
      </c>
      <c r="H185" s="24" t="n">
        <v>106.5974</v>
      </c>
      <c r="I185" s="24" t="n">
        <v>108.7611</v>
      </c>
      <c r="J185" s="24" t="n">
        <v>107.1465</v>
      </c>
      <c r="K185" s="24" t="n">
        <v>107.1201</v>
      </c>
      <c r="L185" s="24" t="n">
        <v>108.1843</v>
      </c>
      <c r="M185" s="24" t="n">
        <v>107.4279</v>
      </c>
      <c r="N185" s="24" t="n">
        <v>107.583</v>
      </c>
      <c r="O185" s="24" t="n">
        <v>105.7629</v>
      </c>
      <c r="P185" s="24" t="n">
        <v>104.819</v>
      </c>
      <c r="Q185" s="24" t="n">
        <v>103.8156</v>
      </c>
      <c r="R185" s="24" t="n">
        <v>100.5378</v>
      </c>
      <c r="S185" s="24" t="n">
        <v>103.8407</v>
      </c>
      <c r="T185" s="24" t="n">
        <v>100.691</v>
      </c>
      <c r="U185" s="24" t="n">
        <v>100.1509</v>
      </c>
      <c r="V185" s="24" t="n">
        <v>100.2603</v>
      </c>
      <c r="W185" s="24" t="n">
        <v>99.3981</v>
      </c>
      <c r="X185" s="24" t="n">
        <v>100.3692</v>
      </c>
      <c r="Y185" s="24" t="n">
        <v>100.5123</v>
      </c>
      <c r="Z185" s="24" t="n">
        <v>100.5717</v>
      </c>
      <c r="AA185" s="24" t="n">
        <v>100.4208</v>
      </c>
      <c r="AB185" s="24" t="n">
        <v>98.5714</v>
      </c>
      <c r="AC185" s="24" t="n">
        <v>100.0191</v>
      </c>
      <c r="AD185" s="24" t="n">
        <v>95.8214</v>
      </c>
      <c r="AE185" s="24" t="n">
        <v>95.6772</v>
      </c>
      <c r="AF185" s="24" t="n">
        <v>95.8112</v>
      </c>
      <c r="AG185" s="24" t="n">
        <v>95.9324</v>
      </c>
      <c r="AH185" s="24" t="n">
        <v>95.8105</v>
      </c>
      <c r="AI185" s="24" t="n">
        <v>95.7564</v>
      </c>
      <c r="AJ185" s="24" t="n">
        <v>95.6336</v>
      </c>
      <c r="AK185" s="24" t="n">
        <v>95.7307</v>
      </c>
      <c r="AL185" s="24" t="n">
        <v>95.7853</v>
      </c>
      <c r="AM185" s="24" t="n">
        <v>95.7265</v>
      </c>
      <c r="AN185" s="24" t="n">
        <v>95.5589</v>
      </c>
      <c r="AO185" s="24" t="n">
        <v>95.5292</v>
      </c>
      <c r="AP185" s="24" t="n">
        <v>94.484</v>
      </c>
      <c r="AQ185" s="24" t="n">
        <v>92.5017</v>
      </c>
      <c r="AR185" s="24" t="n">
        <v>94.5184</v>
      </c>
      <c r="AS185" s="24" t="n">
        <v>91.8003</v>
      </c>
      <c r="AT185" s="24" t="n">
        <v>91.5403</v>
      </c>
      <c r="AU185" s="24" t="n">
        <v>91.6555</v>
      </c>
      <c r="AV185" s="24" t="n">
        <v>91.8123</v>
      </c>
      <c r="AW185" s="24" t="n">
        <v>91.7021</v>
      </c>
      <c r="AX185" s="24" t="n">
        <v>91.7997</v>
      </c>
      <c r="AY185" s="24" t="n">
        <v>91.8052</v>
      </c>
      <c r="AZ185" s="24" t="n">
        <v>91.8955</v>
      </c>
      <c r="BA185" s="24" t="n">
        <v>91.9978</v>
      </c>
      <c r="BB185" s="24" t="n">
        <v>91.8745</v>
      </c>
      <c r="BC185" s="24" t="n">
        <v>91.8609</v>
      </c>
      <c r="BD185" s="24" t="n">
        <v>91.8015</v>
      </c>
      <c r="BE185" s="24" t="n">
        <v>91.8867</v>
      </c>
      <c r="BF185" s="24" t="n">
        <v>91.8898</v>
      </c>
      <c r="BG185" s="24" t="n">
        <v>91.8597</v>
      </c>
      <c r="BH185" s="24" t="n">
        <v>91.8737</v>
      </c>
      <c r="BI185" s="24" t="n">
        <v>91.7027</v>
      </c>
      <c r="BJ185" s="24" t="n">
        <v>91.7876</v>
      </c>
      <c r="BK185" s="24" t="n">
        <v>92.06</v>
      </c>
      <c r="BL185" s="24" t="n">
        <v>91.856</v>
      </c>
      <c r="BM185" s="24" t="n">
        <v>91.9086</v>
      </c>
      <c r="BN185" s="24" t="n">
        <v>92.0073</v>
      </c>
      <c r="BO185" s="21" t="n">
        <f aca="false">BO184+(BN185-BN184)+BO306</f>
        <v>92.0323</v>
      </c>
      <c r="BP185" s="21" t="n">
        <f aca="false">BP184+(BN185-BN184)+BP306</f>
        <v>92.0323</v>
      </c>
      <c r="BQ185" s="21" t="n">
        <f aca="false">AVERAGE(BM185,BN185,BO185,BP185)</f>
        <v>91.995125</v>
      </c>
      <c r="BR185" s="21" t="n">
        <f aca="false">BR184+BR305+BR306</f>
        <v>91.1776217616778</v>
      </c>
      <c r="BS185" s="21" t="n">
        <f aca="false">BS184+BS305+BS306</f>
        <v>89.6563853254866</v>
      </c>
      <c r="BT185" s="21" t="n">
        <f aca="false">BT184+BT305+BT306</f>
        <v>88.1144873291016</v>
      </c>
      <c r="BU185" s="21" t="n">
        <f aca="false">BU184+BU305+BU306</f>
        <v>86.3645434826549</v>
      </c>
      <c r="BV185" s="15" t="s">
        <v>351</v>
      </c>
      <c r="BX185" s="25" t="n">
        <f aca="false">IFERROR((BU185/BL185)^(1/5)-1,"n/m")</f>
        <v>-0.0122532931031626</v>
      </c>
      <c r="BY185" s="25" t="n">
        <f aca="false">IFERROR((BL185/AM185)^(1/5)-1,"n/m")</f>
        <v>-0.00822063102404469</v>
      </c>
      <c r="BZ185" s="25" t="n">
        <f aca="false">IFERROR((BL185/N185)^(1/10)-1,"n/m")</f>
        <v>-0.0156798222126503</v>
      </c>
      <c r="CA185" s="25" t="n">
        <f aca="false">IFERROR((BL185/D185)^(1/12)-1,"n/m")</f>
        <v>-0.0168872619273307</v>
      </c>
    </row>
    <row r="186" customFormat="false" ht="15" hidden="false" customHeight="false" outlineLevel="0" collapsed="false">
      <c r="B186" s="13" t="s">
        <v>352</v>
      </c>
      <c r="C186" s="65" t="n">
        <f aca="false">IF(AND(ISNUMBER(C177),ISNUMBER(C184)),IFERROR(C177/C184,""),"")</f>
        <v>1.92279272987673</v>
      </c>
      <c r="D186" s="65" t="n">
        <f aca="false">IF(AND(ISNUMBER(D177),ISNUMBER(D184)),IFERROR(D177/D184,""),"")</f>
        <v>3.0926937725756</v>
      </c>
      <c r="E186" s="65" t="n">
        <f aca="false">IF(AND(ISNUMBER(E177),ISNUMBER(E184)),IFERROR(E177/E184,""),"")</f>
        <v>0.407861687042849</v>
      </c>
      <c r="F186" s="65" t="n">
        <f aca="false">IF(AND(ISNUMBER(F177),ISNUMBER(F184)),IFERROR(F177/F184,""),"")</f>
        <v>0.240848275698712</v>
      </c>
      <c r="G186" s="65" t="n">
        <f aca="false">IF(AND(ISNUMBER(G177),ISNUMBER(G184)),IFERROR(G177/G184,""),"")</f>
        <v>0.571527272048251</v>
      </c>
      <c r="H186" s="65" t="n">
        <f aca="false">IF(AND(ISNUMBER(H177),ISNUMBER(H184)),IFERROR(H177/H184,""),"")</f>
        <v>-0.969132455388218</v>
      </c>
      <c r="I186" s="65" t="n">
        <f aca="false">IF(AND(ISNUMBER(I177),ISNUMBER(I184)),IFERROR(I177/I184,""),"")</f>
        <v>0.270913822523236</v>
      </c>
      <c r="J186" s="65" t="n">
        <f aca="false">IF(AND(ISNUMBER(J177),ISNUMBER(J184)),IFERROR(J177/J184,""),"")</f>
        <v>0.42385032577576</v>
      </c>
      <c r="K186" s="65" t="n">
        <f aca="false">IF(AND(ISNUMBER(K177),ISNUMBER(K184)),IFERROR(K177/K184,""),"")</f>
        <v>-0.160072666100947</v>
      </c>
      <c r="L186" s="65" t="n">
        <f aca="false">IF(AND(ISNUMBER(L177),ISNUMBER(L184)),IFERROR(L177/L184,""),"")</f>
        <v>0.971090721768999</v>
      </c>
      <c r="M186" s="65" t="n">
        <f aca="false">IF(AND(ISNUMBER(M177),ISNUMBER(M184)),IFERROR(M177/M184,""),"")</f>
        <v>-0.00486058612061973</v>
      </c>
      <c r="N186" s="65" t="n">
        <f aca="false">IF(AND(ISNUMBER(N177),ISNUMBER(N184)),IFERROR(N177/N184,""),"")</f>
        <v>1.23206354829429</v>
      </c>
      <c r="O186" s="65" t="n">
        <f aca="false">IF(AND(ISNUMBER(O177),ISNUMBER(O184)),IFERROR(O177/O184,""),"")</f>
        <v>0.46750750497537</v>
      </c>
      <c r="P186" s="65" t="n">
        <f aca="false">IF(AND(ISNUMBER(P177),ISNUMBER(P184)),IFERROR(P177/P184,""),"")</f>
        <v>0.555185283924287</v>
      </c>
      <c r="Q186" s="65" t="n">
        <f aca="false">IF(AND(ISNUMBER(Q177),ISNUMBER(Q184)),IFERROR(Q177/Q184,""),"")</f>
        <v>0.394243497897524</v>
      </c>
      <c r="R186" s="65" t="n">
        <f aca="false">IF(AND(ISNUMBER(R177),ISNUMBER(R184)),IFERROR(R177/R184,""),"")</f>
        <v>0.342456230845643</v>
      </c>
      <c r="S186" s="65" t="n">
        <f aca="false">IF(AND(ISNUMBER(S177),ISNUMBER(S184)),IFERROR(S177/S184,""),"")</f>
        <v>1.78641343276882</v>
      </c>
      <c r="T186" s="65" t="n">
        <f aca="false">IF(AND(ISNUMBER(T177),ISNUMBER(T184)),IFERROR(T177/T184,""),"")</f>
        <v>0.560300226557621</v>
      </c>
      <c r="U186" s="65" t="n">
        <f aca="false">IF(AND(ISNUMBER(U177),ISNUMBER(U184)),IFERROR(U177/U184,""),"")</f>
        <v>0.617781058465486</v>
      </c>
      <c r="V186" s="65" t="n">
        <f aca="false">IF(AND(ISNUMBER(V177),ISNUMBER(V184)),IFERROR(V177/V184,""),"")</f>
        <v>0.468676223488277</v>
      </c>
      <c r="W186" s="65" t="n">
        <f aca="false">IF(AND(ISNUMBER(W177),ISNUMBER(W184)),IFERROR(W177/W184,""),"")</f>
        <v>-0.157860160304875</v>
      </c>
      <c r="X186" s="65" t="n">
        <f aca="false">IF(AND(ISNUMBER(X177),ISNUMBER(X184)),IFERROR(X177/X184,""),"")</f>
        <v>1.48834493554606</v>
      </c>
      <c r="Y186" s="65" t="n">
        <f aca="false">IF(AND(ISNUMBER(Y177),ISNUMBER(Y184)),IFERROR(Y177/Y184,""),"")</f>
        <v>0.667572960687739</v>
      </c>
      <c r="Z186" s="65" t="n">
        <f aca="false">IF(AND(ISNUMBER(Z177),ISNUMBER(Z184)),IFERROR(Z177/Z184,""),"")</f>
        <v>0.608567679491501</v>
      </c>
      <c r="AA186" s="65" t="n">
        <f aca="false">IF(AND(ISNUMBER(AA177),ISNUMBER(AA184)),IFERROR(AA177/AA184,""),"")</f>
        <v>0.783727783868599</v>
      </c>
      <c r="AB186" s="65" t="n">
        <f aca="false">IF(AND(ISNUMBER(AB177),ISNUMBER(AB184)),IFERROR(AB177/AB184,""),"")</f>
        <v>0.224698958712143</v>
      </c>
      <c r="AC186" s="65" t="n">
        <f aca="false">IF(AND(ISNUMBER(AC177),ISNUMBER(AC184)),IFERROR(AC177/AC184,""),"")</f>
        <v>2.29106792607869</v>
      </c>
      <c r="AD186" s="65" t="n">
        <f aca="false">IF(AND(ISNUMBER(AD177),ISNUMBER(AD184)),IFERROR(AD177/AD184,""),"")</f>
        <v>0.514177193662072</v>
      </c>
      <c r="AE186" s="65" t="n">
        <f aca="false">IF(AND(ISNUMBER(AE177),ISNUMBER(AE184)),IFERROR(AE177/AE184,""),"")</f>
        <v>0.617446173496942</v>
      </c>
      <c r="AF186" s="65" t="n">
        <f aca="false">IF(AND(ISNUMBER(AF177),ISNUMBER(AF184)),IFERROR(AF177/AF184,""),"")</f>
        <v>0.784002615787366</v>
      </c>
      <c r="AG186" s="65" t="n">
        <f aca="false">IF(AND(ISNUMBER(AG177),ISNUMBER(AG184)),IFERROR(AG177/AG184,""),"")</f>
        <v>0.643602725694045</v>
      </c>
      <c r="AH186" s="65" t="n">
        <f aca="false">IF(AND(ISNUMBER(AH177),ISNUMBER(AH184)),IFERROR(AH177/AH184,""),"")</f>
        <v>2.5594637723402</v>
      </c>
      <c r="AI186" s="65" t="n">
        <f aca="false">IF(AND(ISNUMBER(AI177),ISNUMBER(AI184)),IFERROR(AI177/AI184,""),"")</f>
        <v>0.79129127870172</v>
      </c>
      <c r="AJ186" s="65" t="n">
        <f aca="false">IF(AND(ISNUMBER(AJ177),ISNUMBER(AJ184)),IFERROR(AJ177/AJ184,""),"")</f>
        <v>0.673157506578837</v>
      </c>
      <c r="AK186" s="65" t="n">
        <f aca="false">IF(AND(ISNUMBER(AK177),ISNUMBER(AK184)),IFERROR(AK177/AK184,""),"")</f>
        <v>0.766324895531142</v>
      </c>
      <c r="AL186" s="65" t="n">
        <f aca="false">IF(AND(ISNUMBER(AL177),ISNUMBER(AL184)),IFERROR(AL177/AL184,""),"")</f>
        <v>0.688572392166392</v>
      </c>
      <c r="AM186" s="65" t="n">
        <f aca="false">IF(AND(ISNUMBER(AM177),ISNUMBER(AM184)),IFERROR(AM177/AM184,""),"")</f>
        <v>2.9193188151339</v>
      </c>
      <c r="AN186" s="65" t="n">
        <f aca="false">IF(AND(ISNUMBER(AN177),ISNUMBER(AN184)),IFERROR(AN177/AN184,""),"")</f>
        <v>0.731860357992397</v>
      </c>
      <c r="AO186" s="65" t="n">
        <f aca="false">IF(AND(ISNUMBER(AO177),ISNUMBER(AO184)),IFERROR(AO177/AO184,""),"")</f>
        <v>0.622380181825999</v>
      </c>
      <c r="AP186" s="65" t="n">
        <f aca="false">IF(AND(ISNUMBER(AP177),ISNUMBER(AP184)),IFERROR(AP177/AP184,""),"")</f>
        <v>0.635508229446537</v>
      </c>
      <c r="AQ186" s="65" t="n">
        <f aca="false">IF(AND(ISNUMBER(AQ177),ISNUMBER(AQ184)),IFERROR(AQ177/AQ184,""),"")</f>
        <v>1.26775201047519</v>
      </c>
      <c r="AR186" s="65" t="n">
        <f aca="false">IF(AND(ISNUMBER(AR177),ISNUMBER(AR184)),IFERROR(AR177/AR184,""),"")</f>
        <v>3.24432083955159</v>
      </c>
      <c r="AS186" s="65" t="n">
        <f aca="false">IF(AND(ISNUMBER(AS177),ISNUMBER(AS184)),IFERROR(AS177/AS184,""),"")</f>
        <v>0.644470073260554</v>
      </c>
      <c r="AT186" s="65" t="n">
        <f aca="false">IF(AND(ISNUMBER(AT177),ISNUMBER(AT184)),IFERROR(AT177/AT184,""),"")</f>
        <v>0.816380345073959</v>
      </c>
      <c r="AU186" s="65" t="n">
        <f aca="false">IF(AND(ISNUMBER(AU177),ISNUMBER(AU184)),IFERROR(AU177/AU184,""),"")</f>
        <v>0.673937396890412</v>
      </c>
      <c r="AV186" s="65" t="n">
        <f aca="false">IF(AND(ISNUMBER(AV177),ISNUMBER(AV184)),IFERROR(AV177/AV184,""),"")</f>
        <v>0.469961923950722</v>
      </c>
      <c r="AW186" s="65" t="n">
        <f aca="false">IF(AND(ISNUMBER(AW177),ISNUMBER(AW184)),IFERROR(AW177/AW184,""),"")</f>
        <v>2.60468620656095</v>
      </c>
      <c r="AX186" s="65" t="n">
        <f aca="false">IF(AND(ISNUMBER(AX177),ISNUMBER(AX184)),IFERROR(AX177/AX184,""),"")</f>
        <v>0.667642944570729</v>
      </c>
      <c r="AY186" s="65" t="n">
        <f aca="false">IF(AND(ISNUMBER(AY177),ISNUMBER(AY184)),IFERROR(AY177/AY184,""),"")</f>
        <v>0.639518132249517</v>
      </c>
      <c r="AZ186" s="65" t="n">
        <f aca="false">IF(AND(ISNUMBER(AZ177),ISNUMBER(AZ184)),IFERROR(AZ177/AZ184,""),"")</f>
        <v>0.657577916431648</v>
      </c>
      <c r="BA186" s="65" t="n">
        <f aca="false">IF(AND(ISNUMBER(BA177),ISNUMBER(BA184)),IFERROR(BA177/BA184,""),"")</f>
        <v>0.718610223729287</v>
      </c>
      <c r="BB186" s="65" t="n">
        <f aca="false">IF(AND(ISNUMBER(BB177),ISNUMBER(BB184)),IFERROR(BB177/BB184,""),"")</f>
        <v>2.68337859313332</v>
      </c>
      <c r="BC186" s="65" t="n">
        <f aca="false">IF(AND(ISNUMBER(BC177),ISNUMBER(BC184)),IFERROR(BC177/BC184,""),"")</f>
        <v>0.747831367674654</v>
      </c>
      <c r="BD186" s="65" t="n">
        <f aca="false">IF(AND(ISNUMBER(BD177),ISNUMBER(BD184)),IFERROR(BD177/BD184,""),"")</f>
        <v>0.796948155558444</v>
      </c>
      <c r="BE186" s="65" t="n">
        <f aca="false">IF(AND(ISNUMBER(BE177),ISNUMBER(BE184)),IFERROR(BE177/BE184,""),"")</f>
        <v>0.75875926158483</v>
      </c>
      <c r="BF186" s="65" t="n">
        <f aca="false">IF(AND(ISNUMBER(BF177),ISNUMBER(BF184)),IFERROR(BF177/BF184,""),"")</f>
        <v>0.775335302113072</v>
      </c>
      <c r="BG186" s="65" t="n">
        <f aca="false">IF(AND(ISNUMBER(BG177),ISNUMBER(BG184)),IFERROR(BG177/BG184,""),"")</f>
        <v>3.07887612792896</v>
      </c>
      <c r="BH186" s="65" t="n">
        <f aca="false">IF(AND(ISNUMBER(BH177),ISNUMBER(BH184)),IFERROR(BH177/BH184,""),"")</f>
        <v>0.823874026820505</v>
      </c>
      <c r="BI186" s="65" t="n">
        <f aca="false">IF(AND(ISNUMBER(BI177),ISNUMBER(BI184)),IFERROR(BI177/BI184,""),"")</f>
        <v>0.856297040734955</v>
      </c>
      <c r="BJ186" s="65" t="n">
        <f aca="false">IF(AND(ISNUMBER(BJ177),ISNUMBER(BJ184)),IFERROR(BJ177/BJ184,""),"")</f>
        <v>0.896695356636971</v>
      </c>
      <c r="BK186" s="65" t="n">
        <f aca="false">IF(AND(ISNUMBER(BK177),ISNUMBER(BK184)),IFERROR(BK177/BK184,""),"")</f>
        <v>1.01557397638784</v>
      </c>
      <c r="BL186" s="65" t="n">
        <f aca="false">IF(AND(ISNUMBER(BL177),ISNUMBER(BL184)),IFERROR(BL177/BL184,""),"")</f>
        <v>3.59242428710126</v>
      </c>
      <c r="BM186" s="65" t="n">
        <f aca="false">IF(AND(ISNUMBER(BM177),ISNUMBER(BM184)),IFERROR(BM177/BM184,""),"")</f>
        <v>0.993497992668877</v>
      </c>
      <c r="BN186" s="65" t="n">
        <f aca="false">IF(AND(ISNUMBER(BN177),ISNUMBER(BN184)),IFERROR(BN177/BN184,""),"")</f>
        <v>0.970487642402113</v>
      </c>
      <c r="BO186" s="63" t="n">
        <f aca="false">IFERROR(BO177/BO184,"")</f>
        <v>1.13391170917963</v>
      </c>
      <c r="BP186" s="63" t="n">
        <f aca="false">IFERROR(BP177/BP184,"")</f>
        <v>1.16577037451998</v>
      </c>
      <c r="BQ186" s="63" t="n">
        <f aca="false">IFERROR(BQ177/BQ184,"")</f>
        <v>4.26375839602673</v>
      </c>
      <c r="BR186" s="63" t="n">
        <f aca="false">IFERROR(BR177/BR184,"")</f>
        <v>9.84042199412122</v>
      </c>
      <c r="BS186" s="63" t="n">
        <f aca="false">IFERROR(BS177/BS184,"")</f>
        <v>5.74425882588374</v>
      </c>
      <c r="BT186" s="63" t="n">
        <f aca="false">IFERROR(BT177/BT184,"")</f>
        <v>6.53291563780971</v>
      </c>
      <c r="BU186" s="63" t="n">
        <f aca="false">IFERROR(BU177/BU184,"")</f>
        <v>7.31322866767612</v>
      </c>
      <c r="BV186" s="15"/>
    </row>
    <row r="187" customFormat="false" ht="15" hidden="false" customHeight="false" outlineLevel="0" collapsed="false">
      <c r="B187" s="60" t="s">
        <v>353</v>
      </c>
      <c r="C187" s="66" t="n">
        <f aca="false">IF(AND(ISNUMBER(C177),ISNUMBER(C185)),IFERROR(C177/C185,""),"")</f>
        <v>1.91306093951251</v>
      </c>
      <c r="D187" s="66" t="n">
        <f aca="false">IF(AND(ISNUMBER(D177),ISNUMBER(D185)),IFERROR(D177/D185,""),"")</f>
        <v>3.07118757177061</v>
      </c>
      <c r="E187" s="66" t="n">
        <f aca="false">IF(AND(ISNUMBER(E177),ISNUMBER(E185)),IFERROR(E177/E185,""),"")</f>
        <v>0.406218999693379</v>
      </c>
      <c r="F187" s="66" t="n">
        <f aca="false">IF(AND(ISNUMBER(F177),ISNUMBER(F185)),IFERROR(F177/F185,""),"")</f>
        <v>0.240081876846906</v>
      </c>
      <c r="G187" s="66" t="n">
        <f aca="false">IF(AND(ISNUMBER(G177),ISNUMBER(G185)),IFERROR(G177/G185,""),"")</f>
        <v>0.569727756614357</v>
      </c>
      <c r="H187" s="66" t="n">
        <f aca="false">IF(AND(ISNUMBER(H177),ISNUMBER(H185)),IFERROR(H177/H185,""),"")</f>
        <v>-0.969132455388218</v>
      </c>
      <c r="I187" s="66" t="n">
        <f aca="false">IF(AND(ISNUMBER(I177),ISNUMBER(I185)),IFERROR(I177/I185,""),"")</f>
        <v>0.270206903019552</v>
      </c>
      <c r="J187" s="66" t="n">
        <f aca="false">IF(AND(ISNUMBER(J177),ISNUMBER(J185)),IFERROR(J177/J185,""),"")</f>
        <v>0.422384305600276</v>
      </c>
      <c r="K187" s="66" t="n">
        <f aca="false">IF(AND(ISNUMBER(K177),ISNUMBER(K185)),IFERROR(K177/K185,""),"")</f>
        <v>-0.160072666100947</v>
      </c>
      <c r="L187" s="66" t="n">
        <f aca="false">IF(AND(ISNUMBER(L177),ISNUMBER(L185)),IFERROR(L177/L185,""),"")</f>
        <v>0.960120830841444</v>
      </c>
      <c r="M187" s="66" t="n">
        <f aca="false">IF(AND(ISNUMBER(M177),ISNUMBER(M185)),IFERROR(M177/M185,""),"")</f>
        <v>-0.00479391294067909</v>
      </c>
      <c r="N187" s="66" t="n">
        <f aca="false">IF(AND(ISNUMBER(N177),ISNUMBER(N185)),IFERROR(N177/N185,""),"")</f>
        <v>1.22198674511772</v>
      </c>
      <c r="O187" s="66" t="n">
        <f aca="false">IF(AND(ISNUMBER(O177),ISNUMBER(O185)),IFERROR(O177/O185,""),"")</f>
        <v>0.461324339631383</v>
      </c>
      <c r="P187" s="66" t="n">
        <f aca="false">IF(AND(ISNUMBER(P177),ISNUMBER(P185)),IFERROR(P177/P185,""),"")</f>
        <v>0.548345242751791</v>
      </c>
      <c r="Q187" s="66" t="n">
        <f aca="false">IF(AND(ISNUMBER(Q177),ISNUMBER(Q185)),IFERROR(Q177/Q185,""),"")</f>
        <v>0.390143677828766</v>
      </c>
      <c r="R187" s="66" t="n">
        <f aca="false">IF(AND(ISNUMBER(R177),ISNUMBER(R185)),IFERROR(R177/R185,""),"")</f>
        <v>0.338101689115935</v>
      </c>
      <c r="S187" s="66" t="n">
        <f aca="false">IF(AND(ISNUMBER(S177),ISNUMBER(S185)),IFERROR(S177/S185,""),"")</f>
        <v>1.76286369410068</v>
      </c>
      <c r="T187" s="66" t="n">
        <f aca="false">IF(AND(ISNUMBER(T177),ISNUMBER(T185)),IFERROR(T177/T185,""),"")</f>
        <v>0.55336623928653</v>
      </c>
      <c r="U187" s="66" t="n">
        <f aca="false">IF(AND(ISNUMBER(U177),ISNUMBER(U185)),IFERROR(U177/U185,""),"")</f>
        <v>0.611706934236238</v>
      </c>
      <c r="V187" s="66" t="n">
        <f aca="false">IF(AND(ISNUMBER(V177),ISNUMBER(V185)),IFERROR(V177/V185,""),"")</f>
        <v>0.464321371470064</v>
      </c>
      <c r="W187" s="66" t="n">
        <f aca="false">IF(AND(ISNUMBER(W177),ISNUMBER(W185)),IFERROR(W177/W185,""),"")</f>
        <v>-0.157860160304875</v>
      </c>
      <c r="X187" s="66" t="n">
        <f aca="false">IF(AND(ISNUMBER(X177),ISNUMBER(X185)),IFERROR(X177/X185,""),"")</f>
        <v>1.47300167780554</v>
      </c>
      <c r="Y187" s="66" t="n">
        <f aca="false">IF(AND(ISNUMBER(Y177),ISNUMBER(Y185)),IFERROR(Y177/Y185,""),"")</f>
        <v>0.66102357621903</v>
      </c>
      <c r="Z187" s="66" t="n">
        <f aca="false">IF(AND(ISNUMBER(Z177),ISNUMBER(Z185)),IFERROR(Z177/Z185,""),"")</f>
        <v>0.603181610731448</v>
      </c>
      <c r="AA187" s="66" t="n">
        <f aca="false">IF(AND(ISNUMBER(AA177),ISNUMBER(AA185)),IFERROR(AA177/AA185,""),"")</f>
        <v>0.77592490798719</v>
      </c>
      <c r="AB187" s="66" t="n">
        <f aca="false">IF(AND(ISNUMBER(AB177),ISNUMBER(AB185)),IFERROR(AB177/AB185,""),"")</f>
        <v>0.22252905000842</v>
      </c>
      <c r="AC187" s="66" t="n">
        <f aca="false">IF(AND(ISNUMBER(AC177),ISNUMBER(AC185)),IFERROR(AC177/AC185,""),"")</f>
        <v>2.26914659300074</v>
      </c>
      <c r="AD187" s="66" t="n">
        <f aca="false">IF(AND(ISNUMBER(AD177),ISNUMBER(AD185)),IFERROR(AD177/AD185,""),"")</f>
        <v>0.511138430454993</v>
      </c>
      <c r="AE187" s="66" t="n">
        <f aca="false">IF(AND(ISNUMBER(AE177),ISNUMBER(AE185)),IFERROR(AE177/AE185,""),"")</f>
        <v>0.615381721036987</v>
      </c>
      <c r="AF187" s="66" t="n">
        <f aca="false">IF(AND(ISNUMBER(AF177),ISNUMBER(AF185)),IFERROR(AF177/AF185,""),"")</f>
        <v>0.780806419291272</v>
      </c>
      <c r="AG187" s="66" t="n">
        <f aca="false">IF(AND(ISNUMBER(AG177),ISNUMBER(AG185)),IFERROR(AG177/AG185,""),"")</f>
        <v>0.640544800296876</v>
      </c>
      <c r="AH187" s="66" t="n">
        <f aca="false">IF(AND(ISNUMBER(AH177),ISNUMBER(AH185)),IFERROR(AH177/AH185,""),"")</f>
        <v>2.5478940199665</v>
      </c>
      <c r="AI187" s="66" t="n">
        <f aca="false">IF(AND(ISNUMBER(AI177),ISNUMBER(AI185)),IFERROR(AI177/AI185,""),"")</f>
        <v>0.788448605001859</v>
      </c>
      <c r="AJ187" s="66" t="n">
        <f aca="false">IF(AND(ISNUMBER(AJ177),ISNUMBER(AJ185)),IFERROR(AJ177/AJ185,""),"")</f>
        <v>0.671918656204514</v>
      </c>
      <c r="AK187" s="66" t="n">
        <f aca="false">IF(AND(ISNUMBER(AK177),ISNUMBER(AK185)),IFERROR(AK177/AK185,""),"")</f>
        <v>0.764342055369908</v>
      </c>
      <c r="AL187" s="66" t="n">
        <f aca="false">IF(AND(ISNUMBER(AL177),ISNUMBER(AL185)),IFERROR(AL177/AL185,""),"")</f>
        <v>0.686347487558112</v>
      </c>
      <c r="AM187" s="66" t="n">
        <f aca="false">IF(AND(ISNUMBER(AM177),ISNUMBER(AM185)),IFERROR(AM177/AM185,""),"")</f>
        <v>2.91110612003991</v>
      </c>
      <c r="AN187" s="66" t="n">
        <f aca="false">IF(AND(ISNUMBER(AN177),ISNUMBER(AN185)),IFERROR(AN177/AN185,""),"")</f>
        <v>0.729905848644135</v>
      </c>
      <c r="AO187" s="66" t="n">
        <f aca="false">IF(AND(ISNUMBER(AO177),ISNUMBER(AO185)),IFERROR(AO177/AO185,""),"")</f>
        <v>0.621244603744195</v>
      </c>
      <c r="AP187" s="66" t="n">
        <f aca="false">IF(AND(ISNUMBER(AP177),ISNUMBER(AP185)),IFERROR(AP177/AP185,""),"")</f>
        <v>0.634117945895601</v>
      </c>
      <c r="AQ187" s="66" t="n">
        <f aca="false">IF(AND(ISNUMBER(AQ177),ISNUMBER(AQ185)),IFERROR(AQ177/AQ185,""),"")</f>
        <v>1.26333894404103</v>
      </c>
      <c r="AR187" s="66" t="n">
        <f aca="false">IF(AND(ISNUMBER(AR177),ISNUMBER(AR185)),IFERROR(AR177/AR185,""),"")</f>
        <v>3.23610006094052</v>
      </c>
      <c r="AS187" s="66" t="n">
        <f aca="false">IF(AND(ISNUMBER(AS177),ISNUMBER(AS185)),IFERROR(AS177/AS185,""),"")</f>
        <v>0.642808356835436</v>
      </c>
      <c r="AT187" s="66" t="n">
        <f aca="false">IF(AND(ISNUMBER(AT177),ISNUMBER(AT185)),IFERROR(AT177/AT185,""),"")</f>
        <v>0.81508362983298</v>
      </c>
      <c r="AU187" s="66" t="n">
        <f aca="false">IF(AND(ISNUMBER(AU177),ISNUMBER(AU185)),IFERROR(AU177/AU185,""),"")</f>
        <v>0.672114603051645</v>
      </c>
      <c r="AV187" s="66" t="n">
        <f aca="false">IF(AND(ISNUMBER(AV177),ISNUMBER(AV185)),IFERROR(AV177/AV185,""),"")</f>
        <v>0.46796562116405</v>
      </c>
      <c r="AW187" s="66" t="n">
        <f aca="false">IF(AND(ISNUMBER(AW177),ISNUMBER(AW185)),IFERROR(AW177/AW185,""),"")</f>
        <v>2.59744324284831</v>
      </c>
      <c r="AX187" s="66" t="n">
        <f aca="false">IF(AND(ISNUMBER(AX177),ISNUMBER(AX185)),IFERROR(AX177/AX185,""),"")</f>
        <v>0.665492370890101</v>
      </c>
      <c r="AY187" s="66" t="n">
        <f aca="false">IF(AND(ISNUMBER(AY177),ISNUMBER(AY185)),IFERROR(AY177/AY185,""),"")</f>
        <v>0.638275391807872</v>
      </c>
      <c r="AZ187" s="66" t="n">
        <f aca="false">IF(AND(ISNUMBER(AZ177),ISNUMBER(AZ185)),IFERROR(AZ177/AZ185,""),"")</f>
        <v>0.655886305640647</v>
      </c>
      <c r="BA187" s="66" t="n">
        <f aca="false">IF(AND(ISNUMBER(BA177),ISNUMBER(BA185)),IFERROR(BA177/BA185,""),"")</f>
        <v>0.716180169525793</v>
      </c>
      <c r="BB187" s="66" t="n">
        <f aca="false">IF(AND(ISNUMBER(BB177),ISNUMBER(BB185)),IFERROR(BB177/BB185,""),"")</f>
        <v>2.67592204583427</v>
      </c>
      <c r="BC187" s="66" t="n">
        <f aca="false">IF(AND(ISNUMBER(BC177),ISNUMBER(BC185)),IFERROR(BC177/BC185,""),"")</f>
        <v>0.745344319509171</v>
      </c>
      <c r="BD187" s="66" t="n">
        <f aca="false">IF(AND(ISNUMBER(BD177),ISNUMBER(BD185)),IFERROR(BD177/BD185,""),"")</f>
        <v>0.794888972402412</v>
      </c>
      <c r="BE187" s="66" t="n">
        <f aca="false">IF(AND(ISNUMBER(BE177),ISNUMBER(BE185)),IFERROR(BE177/BE185,""),"")</f>
        <v>0.756181253652596</v>
      </c>
      <c r="BF187" s="66" t="n">
        <f aca="false">IF(AND(ISNUMBER(BF177),ISNUMBER(BF185)),IFERROR(BF177/BF185,""),"")</f>
        <v>0.772860535119241</v>
      </c>
      <c r="BG187" s="66" t="n">
        <f aca="false">IF(AND(ISNUMBER(BG177),ISNUMBER(BG185)),IFERROR(BG177/BG185,""),"")</f>
        <v>3.06925670342925</v>
      </c>
      <c r="BH187" s="66" t="n">
        <f aca="false">IF(AND(ISNUMBER(BH177),ISNUMBER(BH185)),IFERROR(BH177/BH185,""),"")</f>
        <v>0.821366724100586</v>
      </c>
      <c r="BI187" s="66" t="n">
        <f aca="false">IF(AND(ISNUMBER(BI177),ISNUMBER(BI185)),IFERROR(BI177/BI185,""),"")</f>
        <v>0.854805801792095</v>
      </c>
      <c r="BJ187" s="66" t="n">
        <f aca="false">IF(AND(ISNUMBER(BJ177),ISNUMBER(BJ185)),IFERROR(BJ177/BJ185,""),"")</f>
        <v>0.894521700098923</v>
      </c>
      <c r="BK187" s="66" t="n">
        <f aca="false">IF(AND(ISNUMBER(BK177),ISNUMBER(BK185)),IFERROR(BK177/BK185,""),"")</f>
        <v>1.01009124484032</v>
      </c>
      <c r="BL187" s="66" t="n">
        <f aca="false">IF(AND(ISNUMBER(BL177),ISNUMBER(BL185)),IFERROR(BL177/BL185,""),"")</f>
        <v>3.58109432154677</v>
      </c>
      <c r="BM187" s="66" t="n">
        <f aca="false">IF(AND(ISNUMBER(BM177),ISNUMBER(BM185)),IFERROR(BM177/BM185,""),"")</f>
        <v>0.99085395708345</v>
      </c>
      <c r="BN187" s="66" t="n">
        <f aca="false">IF(AND(ISNUMBER(BN177),ISNUMBER(BN185)),IFERROR(BN177/BN185,""),"")</f>
        <v>0.96746671188047</v>
      </c>
      <c r="BO187" s="66" t="n">
        <f aca="false">IFERROR(BO177/BO185,"")</f>
        <v>1.13038303160112</v>
      </c>
      <c r="BP187" s="66" t="n">
        <f aca="false">IFERROR(BP177/BP185,"")</f>
        <v>1.16214255433877</v>
      </c>
      <c r="BQ187" s="66" t="n">
        <f aca="false">IFERROR(BQ177/BQ185,"")</f>
        <v>4.25096876038698</v>
      </c>
      <c r="BR187" s="66" t="n">
        <f aca="false">IFERROR(BR177/BR185,"")</f>
        <v>9.80804424022506</v>
      </c>
      <c r="BS187" s="66" t="n">
        <f aca="false">IFERROR(BS177/BS185,"")</f>
        <v>5.72503791215284</v>
      </c>
      <c r="BT187" s="66" t="n">
        <f aca="false">IFERROR(BT177/BT185,"")</f>
        <v>6.5106732716478</v>
      </c>
      <c r="BU187" s="66" t="n">
        <f aca="false">IFERROR(BU177/BU185,"")</f>
        <v>7.28782508755133</v>
      </c>
      <c r="BV187" s="15" t="s">
        <v>354</v>
      </c>
      <c r="BX187" s="25" t="n">
        <f aca="false">IFERROR((BU187/BL187)^(1/5)-1,"n/m")</f>
        <v>0.152700379554463</v>
      </c>
      <c r="BY187" s="25" t="n">
        <f aca="false">IFERROR((BL187/AM187)^(1/5)-1,"n/m")</f>
        <v>0.0422971362550526</v>
      </c>
      <c r="BZ187" s="25" t="n">
        <f aca="false">IFERROR((BL187/N187)^(1/10)-1,"n/m")</f>
        <v>0.113512063629168</v>
      </c>
      <c r="CA187" s="25" t="n">
        <f aca="false">IFERROR((BL187/D187)^(1/12)-1,"n/m")</f>
        <v>0.0128826177376913</v>
      </c>
    </row>
    <row r="188" customFormat="false" ht="15" hidden="false" customHeight="false" outlineLevel="0" collapsed="false">
      <c r="B188" s="13" t="s">
        <v>355</v>
      </c>
      <c r="C188" s="65" t="n">
        <f aca="false">IF(AND(ISNUMBER(C180),ISNUMBER(C185)),IFERROR(C180/C185,""),"")</f>
        <v>0.945897919111957</v>
      </c>
      <c r="D188" s="65" t="n">
        <f aca="false">IF(AND(ISNUMBER(D180),ISNUMBER(D185)),IFERROR(D180/D185,""),"")</f>
        <v>1.76145268153638</v>
      </c>
      <c r="E188" s="65" t="n">
        <f aca="false">IF(AND(ISNUMBER(E180),ISNUMBER(E185)),IFERROR(E180/E185,""),"")</f>
        <v>0.353065310318706</v>
      </c>
      <c r="F188" s="65" t="n">
        <f aca="false">IF(AND(ISNUMBER(F180),ISNUMBER(F185)),IFERROR(F180/F185,""),"")</f>
        <v>0.20170437518049</v>
      </c>
      <c r="G188" s="65" t="n">
        <f aca="false">IF(AND(ISNUMBER(G180),ISNUMBER(G185)),IFERROR(G180/G185,""),"")</f>
        <v>0.378112193946073</v>
      </c>
      <c r="H188" s="65" t="n">
        <f aca="false">IF(AND(ISNUMBER(H180),ISNUMBER(H185)),IFERROR(H180/H185,""),"")</f>
        <v>-0.593325916016713</v>
      </c>
      <c r="I188" s="65" t="n">
        <f aca="false">IF(AND(ISNUMBER(I180),ISNUMBER(I185)),IFERROR(I180/I185,""),"")</f>
        <v>0.356193528752468</v>
      </c>
      <c r="J188" s="65" t="n">
        <f aca="false">IF(AND(ISNUMBER(J180),ISNUMBER(J185)),IFERROR(J180/J185,""),"")</f>
        <v>0.319497137097339</v>
      </c>
      <c r="K188" s="65" t="n">
        <f aca="false">IF(AND(ISNUMBER(K180),ISNUMBER(K185)),IFERROR(K180/K185,""),"")</f>
        <v>-0.0016896922239617</v>
      </c>
      <c r="L188" s="65" t="n">
        <f aca="false">IF(AND(ISNUMBER(L180),ISNUMBER(L185)),IFERROR(L180/L185,""),"")</f>
        <v>0.98298921377686</v>
      </c>
      <c r="M188" s="65" t="n">
        <f aca="false">IF(AND(ISNUMBER(M180),ISNUMBER(M185)),IFERROR(M180/M185,""),"")</f>
        <v>0.00351863901277043</v>
      </c>
      <c r="N188" s="65" t="n">
        <f aca="false">IF(AND(ISNUMBER(N180),ISNUMBER(N185)),IFERROR(N180/N185,""),"")</f>
        <v>1.3085152858723</v>
      </c>
      <c r="O188" s="65" t="n">
        <f aca="false">IF(AND(ISNUMBER(O180),ISNUMBER(O185)),IFERROR(O180/O185,""),"")</f>
        <v>0.461324339631383</v>
      </c>
      <c r="P188" s="65" t="n">
        <f aca="false">IF(AND(ISNUMBER(P180),ISNUMBER(P185)),IFERROR(P180/P185,""),"")</f>
        <v>0.548345242751791</v>
      </c>
      <c r="Q188" s="65" t="n">
        <f aca="false">IF(AND(ISNUMBER(Q180),ISNUMBER(Q185)),IFERROR(Q180/Q185,""),"")</f>
        <v>0.390143677828766</v>
      </c>
      <c r="R188" s="65" t="n">
        <f aca="false">IF(AND(ISNUMBER(R180),ISNUMBER(R185)),IFERROR(R180/R185,""),"")</f>
        <v>0.338101689115934</v>
      </c>
      <c r="S188" s="65" t="n">
        <f aca="false">IF(AND(ISNUMBER(S180),ISNUMBER(S185)),IFERROR(S180/S185,""),"")</f>
        <v>1.76286369410068</v>
      </c>
      <c r="T188" s="65" t="n">
        <f aca="false">IF(AND(ISNUMBER(T180),ISNUMBER(T185)),IFERROR(T180/T185,""),"")</f>
        <v>0.55336623928653</v>
      </c>
      <c r="U188" s="65" t="n">
        <f aca="false">IF(AND(ISNUMBER(U180),ISNUMBER(U185)),IFERROR(U180/U185,""),"")</f>
        <v>0.611706934236238</v>
      </c>
      <c r="V188" s="65" t="n">
        <f aca="false">IF(AND(ISNUMBER(V180),ISNUMBER(V185)),IFERROR(V180/V185,""),"")</f>
        <v>0.464321371470063</v>
      </c>
      <c r="W188" s="65" t="n">
        <f aca="false">IF(AND(ISNUMBER(W180),ISNUMBER(W185)),IFERROR(W180/W185,""),"")</f>
        <v>-0.157860160304875</v>
      </c>
      <c r="X188" s="65" t="n">
        <f aca="false">IF(AND(ISNUMBER(X180),ISNUMBER(X185)),IFERROR(X180/X185,""),"")</f>
        <v>1.47300167780554</v>
      </c>
      <c r="Y188" s="65" t="n">
        <f aca="false">IF(AND(ISNUMBER(Y180),ISNUMBER(Y185)),IFERROR(Y180/Y185,""),"")</f>
        <v>0.66102357621903</v>
      </c>
      <c r="Z188" s="65" t="n">
        <f aca="false">IF(AND(ISNUMBER(Z180),ISNUMBER(Z185)),IFERROR(Z180/Z185,""),"")</f>
        <v>0.603181610731448</v>
      </c>
      <c r="AA188" s="65" t="n">
        <f aca="false">IF(AND(ISNUMBER(AA180),ISNUMBER(AA185)),IFERROR(AA180/AA185,""),"")</f>
        <v>0.77592490798719</v>
      </c>
      <c r="AB188" s="65" t="n">
        <f aca="false">IF(AND(ISNUMBER(AB180),ISNUMBER(AB185)),IFERROR(AB180/AB185,""),"")</f>
        <v>0.22252905000842</v>
      </c>
      <c r="AC188" s="65" t="n">
        <f aca="false">IF(AND(ISNUMBER(AC180),ISNUMBER(AC185)),IFERROR(AC180/AC185,""),"")</f>
        <v>2.26914659300074</v>
      </c>
      <c r="AD188" s="65" t="n">
        <f aca="false">IF(AND(ISNUMBER(AD180),ISNUMBER(AD185)),IFERROR(AD180/AD185,""),"")</f>
        <v>0.511138430454992</v>
      </c>
      <c r="AE188" s="65" t="n">
        <f aca="false">IF(AND(ISNUMBER(AE180),ISNUMBER(AE185)),IFERROR(AE180/AE185,""),"")</f>
        <v>0.615381721036987</v>
      </c>
      <c r="AF188" s="65" t="n">
        <f aca="false">IF(AND(ISNUMBER(AF180),ISNUMBER(AF185)),IFERROR(AF180/AF185,""),"")</f>
        <v>0.780806419291273</v>
      </c>
      <c r="AG188" s="65" t="n">
        <f aca="false">IF(AND(ISNUMBER(AG180),ISNUMBER(AG185)),IFERROR(AG180/AG185,""),"")</f>
        <v>0.640544800296876</v>
      </c>
      <c r="AH188" s="65" t="n">
        <f aca="false">IF(AND(ISNUMBER(AH180),ISNUMBER(AH185)),IFERROR(AH180/AH185,""),"")</f>
        <v>2.5478940199665</v>
      </c>
      <c r="AI188" s="65" t="n">
        <f aca="false">IF(AND(ISNUMBER(AI180),ISNUMBER(AI185)),IFERROR(AI180/AI185,""),"")</f>
        <v>0.788448605001859</v>
      </c>
      <c r="AJ188" s="65" t="n">
        <f aca="false">IF(AND(ISNUMBER(AJ180),ISNUMBER(AJ185)),IFERROR(AJ180/AJ185,""),"")</f>
        <v>0.671918656204514</v>
      </c>
      <c r="AK188" s="65" t="n">
        <f aca="false">IF(AND(ISNUMBER(AK180),ISNUMBER(AK185)),IFERROR(AK180/AK185,""),"")</f>
        <v>0.764342055369908</v>
      </c>
      <c r="AL188" s="65" t="n">
        <f aca="false">IF(AND(ISNUMBER(AL180),ISNUMBER(AL185)),IFERROR(AL180/AL185,""),"")</f>
        <v>0.686347487558112</v>
      </c>
      <c r="AM188" s="65" t="n">
        <f aca="false">IF(AND(ISNUMBER(AM180),ISNUMBER(AM185)),IFERROR(AM180/AM185,""),"")</f>
        <v>2.91110612003991</v>
      </c>
      <c r="AN188" s="65" t="n">
        <f aca="false">IF(AND(ISNUMBER(AN180),ISNUMBER(AN185)),IFERROR(AN180/AN185,""),"")</f>
        <v>0.729905848644135</v>
      </c>
      <c r="AO188" s="65" t="n">
        <f aca="false">IF(AND(ISNUMBER(AO180),ISNUMBER(AO185)),IFERROR(AO180/AO185,""),"")</f>
        <v>0.621244603744195</v>
      </c>
      <c r="AP188" s="65" t="n">
        <f aca="false">IF(AND(ISNUMBER(AP180),ISNUMBER(AP185)),IFERROR(AP180/AP185,""),"")</f>
        <v>0.634117945895601</v>
      </c>
      <c r="AQ188" s="65" t="n">
        <f aca="false">IF(AND(ISNUMBER(AQ180),ISNUMBER(AQ185)),IFERROR(AQ180/AQ185,""),"")</f>
        <v>1.26333894404103</v>
      </c>
      <c r="AR188" s="65" t="n">
        <f aca="false">IF(AND(ISNUMBER(AR180),ISNUMBER(AR185)),IFERROR(AR180/AR185,""),"")</f>
        <v>3.23610006094052</v>
      </c>
      <c r="AS188" s="65" t="n">
        <f aca="false">IF(AND(ISNUMBER(AS180),ISNUMBER(AS185)),IFERROR(AS180/AS185,""),"")</f>
        <v>0.642808356835435</v>
      </c>
      <c r="AT188" s="65" t="n">
        <f aca="false">IF(AND(ISNUMBER(AT180),ISNUMBER(AT185)),IFERROR(AT180/AT185,""),"")</f>
        <v>0.815083629832981</v>
      </c>
      <c r="AU188" s="65" t="n">
        <f aca="false">IF(AND(ISNUMBER(AU180),ISNUMBER(AU185)),IFERROR(AU180/AU185,""),"")</f>
        <v>0.672114603051645</v>
      </c>
      <c r="AV188" s="65" t="n">
        <f aca="false">IF(AND(ISNUMBER(AV180),ISNUMBER(AV185)),IFERROR(AV180/AV185,""),"")</f>
        <v>0.467965621164049</v>
      </c>
      <c r="AW188" s="65" t="n">
        <f aca="false">IF(AND(ISNUMBER(AW180),ISNUMBER(AW185)),IFERROR(AW180/AW185,""),"")</f>
        <v>2.59744324284831</v>
      </c>
      <c r="AX188" s="65" t="n">
        <f aca="false">IF(AND(ISNUMBER(AX180),ISNUMBER(AX185)),IFERROR(AX180/AX185,""),"")</f>
        <v>0.665492370890101</v>
      </c>
      <c r="AY188" s="65" t="n">
        <f aca="false">IF(AND(ISNUMBER(AY180),ISNUMBER(AY185)),IFERROR(AY180/AY185,""),"")</f>
        <v>0.638275391807872</v>
      </c>
      <c r="AZ188" s="65" t="n">
        <f aca="false">IF(AND(ISNUMBER(AZ180),ISNUMBER(AZ185)),IFERROR(AZ180/AZ185,""),"")</f>
        <v>0.655886305640646</v>
      </c>
      <c r="BA188" s="65" t="n">
        <f aca="false">IF(AND(ISNUMBER(BA180),ISNUMBER(BA185)),IFERROR(BA180/BA185,""),"")</f>
        <v>0.716180169525793</v>
      </c>
      <c r="BB188" s="65" t="n">
        <f aca="false">IF(AND(ISNUMBER(BB180),ISNUMBER(BB185)),IFERROR(BB180/BB185,""),"")</f>
        <v>2.67592204583426</v>
      </c>
      <c r="BC188" s="65" t="n">
        <f aca="false">IF(AND(ISNUMBER(BC180),ISNUMBER(BC185)),IFERROR(BC180/BC185,""),"")</f>
        <v>0.745344319509171</v>
      </c>
      <c r="BD188" s="65" t="n">
        <f aca="false">IF(AND(ISNUMBER(BD180),ISNUMBER(BD185)),IFERROR(BD180/BD185,""),"")</f>
        <v>0.794888972402412</v>
      </c>
      <c r="BE188" s="65" t="n">
        <f aca="false">IF(AND(ISNUMBER(BE180),ISNUMBER(BE185)),IFERROR(BE180/BE185,""),"")</f>
        <v>0.756181253652596</v>
      </c>
      <c r="BF188" s="65" t="n">
        <f aca="false">IF(AND(ISNUMBER(BF180),ISNUMBER(BF185)),IFERROR(BF180/BF185,""),"")</f>
        <v>0.772860535119241</v>
      </c>
      <c r="BG188" s="65" t="n">
        <f aca="false">IF(AND(ISNUMBER(BG180),ISNUMBER(BG185)),IFERROR(BG180/BG185,""),"")</f>
        <v>3.06925670342925</v>
      </c>
      <c r="BH188" s="65" t="n">
        <f aca="false">IF(AND(ISNUMBER(BH180),ISNUMBER(BH185)),IFERROR(BH180/BH185,""),"")</f>
        <v>0.821366724100586</v>
      </c>
      <c r="BI188" s="65" t="n">
        <f aca="false">IF(AND(ISNUMBER(BI180),ISNUMBER(BI185)),IFERROR(BI180/BI185,""),"")</f>
        <v>0.854805801792096</v>
      </c>
      <c r="BJ188" s="65" t="n">
        <f aca="false">IF(AND(ISNUMBER(BJ180),ISNUMBER(BJ185)),IFERROR(BJ180/BJ185,""),"")</f>
        <v>0.894521700098924</v>
      </c>
      <c r="BK188" s="65" t="n">
        <f aca="false">IF(AND(ISNUMBER(BK180),ISNUMBER(BK185)),IFERROR(BK180/BK185,""),"")</f>
        <v>1.01009124484032</v>
      </c>
      <c r="BL188" s="65" t="n">
        <f aca="false">IF(AND(ISNUMBER(BL180),ISNUMBER(BL185)),IFERROR(BL180/BL185,""),"")</f>
        <v>3.58109432154677</v>
      </c>
      <c r="BM188" s="65" t="n">
        <f aca="false">IF(AND(ISNUMBER(BM180),ISNUMBER(BM185)),IFERROR(BM180/BM185,""),"")</f>
        <v>0.99085395708345</v>
      </c>
      <c r="BN188" s="65" t="n">
        <f aca="false">IF(AND(ISNUMBER(BN180),ISNUMBER(BN185)),IFERROR(BN180/BN185,""),"")</f>
        <v>0.96746671188047</v>
      </c>
      <c r="BO188" s="63" t="n">
        <f aca="false">IFERROR(BO180/BO185,"")</f>
        <v>1.13038303160112</v>
      </c>
      <c r="BP188" s="63" t="n">
        <f aca="false">IFERROR(BP180/BP185,"")</f>
        <v>1.16214255433877</v>
      </c>
      <c r="BQ188" s="63" t="n">
        <f aca="false">IFERROR(BQ180/BQ185,"")</f>
        <v>4.25096876038698</v>
      </c>
      <c r="BR188" s="63" t="n">
        <f aca="false">IFERROR(BR180/BR185,"")</f>
        <v>9.80804424022506</v>
      </c>
      <c r="BS188" s="63" t="n">
        <f aca="false">IFERROR(BS180/BS185,"")</f>
        <v>5.72503791215284</v>
      </c>
      <c r="BT188" s="63" t="n">
        <f aca="false">IFERROR(BT180/BT185,"")</f>
        <v>6.5106732716478</v>
      </c>
      <c r="BU188" s="63" t="n">
        <f aca="false">IFERROR(BU180/BU185,"")</f>
        <v>7.28782508755133</v>
      </c>
      <c r="BV188" s="15"/>
      <c r="BX188" s="25" t="n">
        <f aca="false">IFERROR((BU188/BL188)^(1/5)-1,"n/m")</f>
        <v>0.152700379554464</v>
      </c>
      <c r="BY188" s="25" t="n">
        <f aca="false">IFERROR((BL188/AM188)^(1/5)-1,"n/m")</f>
        <v>0.0422971362550526</v>
      </c>
      <c r="BZ188" s="25" t="n">
        <f aca="false">IFERROR((BL188/N188)^(1/10)-1,"n/m")</f>
        <v>0.1059199588241</v>
      </c>
      <c r="CA188" s="25" t="n">
        <f aca="false">IFERROR((BL188/D188)^(1/12)-1,"n/m")</f>
        <v>0.0609104605674606</v>
      </c>
    </row>
    <row r="189" customFormat="false" ht="15" hidden="false" customHeight="false" outlineLevel="0" collapsed="false">
      <c r="B189" s="13" t="s">
        <v>356</v>
      </c>
      <c r="C189" s="34"/>
      <c r="D189" s="37" t="n">
        <f aca="false">IF(AND(ISNUMBER(D188),ISNUMBER(C188)),IFERROR(D188/C188-1,""),"")</f>
        <v>0.862201666740211</v>
      </c>
      <c r="E189" s="34"/>
      <c r="F189" s="34"/>
      <c r="G189" s="34"/>
      <c r="H189" s="34"/>
      <c r="I189" s="37" t="n">
        <f aca="false">IF(AND(ISNUMBER(I188),ISNUMBER(D188)),IFERROR(I188/D188-1,""),"")</f>
        <v>-0.797784219533058</v>
      </c>
      <c r="J189" s="37" t="n">
        <f aca="false">IF(AND(ISNUMBER(J188),ISNUMBER(E188)),IFERROR(J188/E188-1,""),"")</f>
        <v>-0.0950763845676756</v>
      </c>
      <c r="K189" s="37" t="n">
        <f aca="false">IF(AND(ISNUMBER(K188),ISNUMBER(F188)),IFERROR(K188/F188-1,""),"")</f>
        <v>-1.00837707274545</v>
      </c>
      <c r="L189" s="37" t="n">
        <f aca="false">IF(AND(ISNUMBER(L188),ISNUMBER(G188)),IFERROR(L188/G188-1,""),"")</f>
        <v>1.59972894160895</v>
      </c>
      <c r="M189" s="37" t="n">
        <f aca="false">IF(AND(ISNUMBER(M188),ISNUMBER(H188)),IFERROR(M188/H188-1,""),"")</f>
        <v>-1.00593036460702</v>
      </c>
      <c r="N189" s="37" t="n">
        <f aca="false">IF(AND(ISNUMBER(N188),ISNUMBER(I188)),IFERROR(N188/I188-1,""),"")</f>
        <v>2.67360768864962</v>
      </c>
      <c r="O189" s="37" t="n">
        <f aca="false">IF(AND(ISNUMBER(O188),ISNUMBER(J188)),IFERROR(O188/J188-1,""),"")</f>
        <v>0.443907584971051</v>
      </c>
      <c r="P189" s="37" t="n">
        <f aca="false">IF(AND(ISNUMBER(P188),ISNUMBER(K188)),IFERROR(P188/K188-1,""),"")</f>
        <v>-325.52374164694</v>
      </c>
      <c r="Q189" s="37" t="n">
        <f aca="false">IF(AND(ISNUMBER(Q188),ISNUMBER(L188)),IFERROR(Q188/L188-1,""),"")</f>
        <v>-0.603104823165101</v>
      </c>
      <c r="R189" s="37" t="n">
        <f aca="false">IF(AND(ISNUMBER(R188),ISNUMBER(M188)),IFERROR(R188/M188-1,""),"")</f>
        <v>95.0887683814225</v>
      </c>
      <c r="S189" s="37" t="n">
        <f aca="false">IF(AND(ISNUMBER(S188),ISNUMBER(N188)),IFERROR(S188/N188-1,""),"")</f>
        <v>0.347224379519179</v>
      </c>
      <c r="T189" s="37" t="n">
        <f aca="false">IF(AND(ISNUMBER(T188),ISNUMBER(O188)),IFERROR(T188/O188-1,""),"")</f>
        <v>0.199516677851189</v>
      </c>
      <c r="U189" s="37" t="n">
        <f aca="false">IF(AND(ISNUMBER(U188),ISNUMBER(P188)),IFERROR(U188/P188-1,""),"")</f>
        <v>0.115550727068361</v>
      </c>
      <c r="V189" s="37" t="n">
        <f aca="false">IF(AND(ISNUMBER(V188),ISNUMBER(Q188)),IFERROR(V188/Q188-1,""),"")</f>
        <v>0.1901291699871</v>
      </c>
      <c r="W189" s="37" t="n">
        <f aca="false">IF(AND(ISNUMBER(W188),ISNUMBER(R188)),IFERROR(W188/R188-1,""),"")</f>
        <v>-1.46690142459106</v>
      </c>
      <c r="X189" s="37" t="n">
        <f aca="false">IF(AND(ISNUMBER(X188),ISNUMBER(S188)),IFERROR(X188/S188-1,""),"")</f>
        <v>-0.16442678878982</v>
      </c>
      <c r="Y189" s="37" t="n">
        <f aca="false">IF(AND(ISNUMBER(Y188),ISNUMBER(T188)),IFERROR(Y188/T188-1,""),"")</f>
        <v>0.19454988268042</v>
      </c>
      <c r="Z189" s="37" t="n">
        <f aca="false">IF(AND(ISNUMBER(Z188),ISNUMBER(U188)),IFERROR(Z188/U188-1,""),"")</f>
        <v>-0.0139369410867212</v>
      </c>
      <c r="AA189" s="37" t="n">
        <f aca="false">IF(AND(ISNUMBER(AA188),ISNUMBER(V188)),IFERROR(AA188/V188-1,""),"")</f>
        <v>0.671094538531739</v>
      </c>
      <c r="AB189" s="37" t="n">
        <f aca="false">IF(AND(ISNUMBER(AB188),ISNUMBER(W188)),IFERROR(AB188/W188-1,""),"")</f>
        <v>-2.40965934393232</v>
      </c>
      <c r="AC189" s="37" t="n">
        <f aca="false">IF(AND(ISNUMBER(AC188),ISNUMBER(X188)),IFERROR(AC188/X188-1,""),"")</f>
        <v>0.540491519589633</v>
      </c>
      <c r="AD189" s="37" t="n">
        <f aca="false">IF(AND(ISNUMBER(AD188),ISNUMBER(Y188)),IFERROR(AD188/Y188-1,""),"")</f>
        <v>-0.226747049812295</v>
      </c>
      <c r="AE189" s="37" t="n">
        <f aca="false">IF(AND(ISNUMBER(AE188),ISNUMBER(Z188)),IFERROR(AE188/Z188-1,""),"")</f>
        <v>0.0202262636799291</v>
      </c>
      <c r="AF189" s="37" t="n">
        <f aca="false">IF(AND(ISNUMBER(AF188),ISNUMBER(AA188)),IFERROR(AF188/AA188-1,""),"")</f>
        <v>0.0062912161393891</v>
      </c>
      <c r="AG189" s="37" t="n">
        <f aca="false">IF(AND(ISNUMBER(AG188),ISNUMBER(AB188)),IFERROR(AG188/AB188-1,""),"")</f>
        <v>1.87847721577312</v>
      </c>
      <c r="AH189" s="37" t="n">
        <f aca="false">IF(AND(ISNUMBER(AH188),ISNUMBER(AC188)),IFERROR(AH188/AC188-1,""),"")</f>
        <v>0.122842405962473</v>
      </c>
      <c r="AI189" s="37" t="n">
        <f aca="false">IF(AND(ISNUMBER(AI188),ISNUMBER(AD188)),IFERROR(AI188/AD188-1,""),"")</f>
        <v>0.542534386037101</v>
      </c>
      <c r="AJ189" s="37" t="n">
        <f aca="false">IF(AND(ISNUMBER(AJ188),ISNUMBER(AE188)),IFERROR(AJ188/AE188-1,""),"")</f>
        <v>0.0918729517546539</v>
      </c>
      <c r="AK189" s="37" t="n">
        <f aca="false">IF(AND(ISNUMBER(AK188),ISNUMBER(AF188)),IFERROR(AK188/AF188-1,""),"")</f>
        <v>-0.0210863583016002</v>
      </c>
      <c r="AL189" s="37" t="n">
        <f aca="false">IF(AND(ISNUMBER(AL188),ISNUMBER(AG188)),IFERROR(AL188/AG188-1,""),"")</f>
        <v>0.0715058294751714</v>
      </c>
      <c r="AM189" s="37" t="n">
        <f aca="false">IF(AND(ISNUMBER(AM188),ISNUMBER(AH188)),IFERROR(AM188/AH188-1,""),"")</f>
        <v>0.142553849268105</v>
      </c>
      <c r="AN189" s="37" t="n">
        <f aca="false">IF(AND(ISNUMBER(AN188),ISNUMBER(AI188)),IFERROR(AN188/AI188-1,""),"")</f>
        <v>-0.0742505674895401</v>
      </c>
      <c r="AO189" s="37" t="n">
        <f aca="false">IF(AND(ISNUMBER(AO188),ISNUMBER(AJ188)),IFERROR(AO188/AJ188-1,""),"")</f>
        <v>-0.0754169451798858</v>
      </c>
      <c r="AP189" s="37" t="n">
        <f aca="false">IF(AND(ISNUMBER(AP188),ISNUMBER(AK188)),IFERROR(AP188/AK188-1,""),"")</f>
        <v>-0.170374125771849</v>
      </c>
      <c r="AQ189" s="37" t="n">
        <f aca="false">IF(AND(ISNUMBER(AQ188),ISNUMBER(AL188)),IFERROR(AQ188/AL188-1,""),"")</f>
        <v>0.840669583472562</v>
      </c>
      <c r="AR189" s="37" t="n">
        <f aca="false">IF(AND(ISNUMBER(AR188),ISNUMBER(AM188)),IFERROR(AR188/AM188-1,""),"")</f>
        <v>0.111639331408556</v>
      </c>
      <c r="AS189" s="37" t="n">
        <f aca="false">IF(AND(ISNUMBER(AS188),ISNUMBER(AN188)),IFERROR(AS188/AN188-1,""),"")</f>
        <v>-0.11932702275299</v>
      </c>
      <c r="AT189" s="37" t="n">
        <f aca="false">IF(AND(ISNUMBER(AT188),ISNUMBER(AO188)),IFERROR(AT188/AO188-1,""),"")</f>
        <v>0.312017239136617</v>
      </c>
      <c r="AU189" s="37" t="n">
        <f aca="false">IF(AND(ISNUMBER(AU188),ISNUMBER(AP188)),IFERROR(AU188/AP188-1,""),"")</f>
        <v>0.0599204886125375</v>
      </c>
      <c r="AV189" s="37" t="n">
        <f aca="false">IF(AND(ISNUMBER(AV188),ISNUMBER(AQ188)),IFERROR(AV188/AQ188-1,""),"")</f>
        <v>-0.629580309091737</v>
      </c>
      <c r="AW189" s="37" t="n">
        <f aca="false">IF(AND(ISNUMBER(AW188),ISNUMBER(AR188)),IFERROR(AW188/AR188-1,""),"")</f>
        <v>-0.197353853733</v>
      </c>
      <c r="AX189" s="37" t="n">
        <f aca="false">IF(AND(ISNUMBER(AX188),ISNUMBER(AS188)),IFERROR(AX188/AS188-1,""),"")</f>
        <v>0.0352889221390023</v>
      </c>
      <c r="AY189" s="37" t="n">
        <f aca="false">IF(AND(ISNUMBER(AY188),ISNUMBER(AT188)),IFERROR(AY188/AT188-1,""),"")</f>
        <v>-0.216920364430996</v>
      </c>
      <c r="AZ189" s="37" t="n">
        <f aca="false">IF(AND(ISNUMBER(AZ188),ISNUMBER(AU188)),IFERROR(AZ188/AU188-1,""),"")</f>
        <v>-0.024145134382315</v>
      </c>
      <c r="BA189" s="37" t="n">
        <f aca="false">IF(AND(ISNUMBER(BA188),ISNUMBER(AV188)),IFERROR(BA188/AV188-1,""),"")</f>
        <v>0.530411930142045</v>
      </c>
      <c r="BB189" s="37" t="n">
        <f aca="false">IF(AND(ISNUMBER(BB188),ISNUMBER(AW188)),IFERROR(BB188/AW188-1,""),"")</f>
        <v>0.0302138663480072</v>
      </c>
      <c r="BC189" s="37" t="n">
        <f aca="false">IF(AND(ISNUMBER(BC188),ISNUMBER(AX188)),IFERROR(BC188/AX188-1,""),"")</f>
        <v>0.119989277280921</v>
      </c>
      <c r="BD189" s="37" t="n">
        <f aca="false">IF(AND(ISNUMBER(BD188),ISNUMBER(AY188)),IFERROR(BD188/AY188-1,""),"")</f>
        <v>0.245369918070855</v>
      </c>
      <c r="BE189" s="37" t="n">
        <f aca="false">IF(AND(ISNUMBER(BE188),ISNUMBER(AZ188)),IFERROR(BE188/AZ188-1,""),"")</f>
        <v>0.152915142684654</v>
      </c>
      <c r="BF189" s="37" t="n">
        <f aca="false">IF(AND(ISNUMBER(BF188),ISNUMBER(BA188)),IFERROR(BF188/BA188-1,""),"")</f>
        <v>0.0791426068540513</v>
      </c>
      <c r="BG189" s="37" t="n">
        <f aca="false">IF(AND(ISNUMBER(BG188),ISNUMBER(BB188)),IFERROR(BG188/BB188-1,""),"")</f>
        <v>0.146990327392874</v>
      </c>
      <c r="BH189" s="37" t="n">
        <f aca="false">IF(AND(ISNUMBER(BH188),ISNUMBER(BC188)),IFERROR(BH188/BC188-1,""),"")</f>
        <v>0.101996356048541</v>
      </c>
      <c r="BI189" s="37" t="n">
        <f aca="false">IF(AND(ISNUMBER(BI188),ISNUMBER(BD188)),IFERROR(BI188/BD188-1,""),"")</f>
        <v>0.0753776080307114</v>
      </c>
      <c r="BJ189" s="37" t="n">
        <f aca="false">IF(AND(ISNUMBER(BJ188),ISNUMBER(BE188)),IFERROR(BJ188/BE188-1,""),"")</f>
        <v>0.182946146546347</v>
      </c>
      <c r="BK189" s="37" t="n">
        <f aca="false">IF(AND(ISNUMBER(BK188),ISNUMBER(BF188)),IFERROR(BK188/BF188-1,""),"")</f>
        <v>0.306951511872035</v>
      </c>
      <c r="BL189" s="37" t="n">
        <f aca="false">IF(AND(ISNUMBER(BL188),ISNUMBER(BG188)),IFERROR(BL188/BG188-1,""),"")</f>
        <v>0.16676272712727</v>
      </c>
      <c r="BM189" s="37" t="n">
        <f aca="false">IF(AND(ISNUMBER(BM188),ISNUMBER(BH188)),IFERROR(BM188/BH188-1,""),"")</f>
        <v>0.206347820053773</v>
      </c>
      <c r="BN189" s="37" t="n">
        <f aca="false">IF(AND(ISNUMBER(BN188),ISNUMBER(BI188)),IFERROR(BN188/BI188-1,""),"")</f>
        <v>0.13179708169058</v>
      </c>
      <c r="BO189" s="35" t="n">
        <f aca="false">IF(AND(ISNUMBER(BO188),ISNUMBER(BJ188)),IFERROR(BO188/BJ188-1,""),"")</f>
        <v>0.263673124392742</v>
      </c>
      <c r="BP189" s="35" t="n">
        <f aca="false">IF(AND(ISNUMBER(BP188),ISNUMBER(BK188)),IFERROR(BP188/BK188-1,""),"")</f>
        <v>0.150532251690279</v>
      </c>
      <c r="BQ189" s="35" t="n">
        <f aca="false">IF(AND(ISNUMBER(BQ188),ISNUMBER(BL188)),IFERROR(BQ188/BL188-1,""),"")</f>
        <v>0.187058585642301</v>
      </c>
      <c r="BR189" s="35" t="n">
        <f aca="false">IF(AND(ISNUMBER(BR188),ISNUMBER(BQ188)),IFERROR(BR188/BQ188-1,""),"")</f>
        <v>1.30724919261279</v>
      </c>
      <c r="BS189" s="35" t="n">
        <f aca="false">IF(AND(ISNUMBER(BS188),ISNUMBER(BR188)),IFERROR(BS188/BR188-1,""),"")</f>
        <v>-0.416291589645045</v>
      </c>
      <c r="BT189" s="35" t="n">
        <f aca="false">IF(AND(ISNUMBER(BT188),ISNUMBER(BS188)),IFERROR(BT188/BS188-1,""),"")</f>
        <v>0.137227975002095</v>
      </c>
      <c r="BU189" s="35" t="n">
        <f aca="false">IF(AND(ISNUMBER(BU188),ISNUMBER(BT188)),IFERROR(BU188/BT188-1,""),"")</f>
        <v>0.119365814175904</v>
      </c>
      <c r="BV189" s="15"/>
    </row>
    <row r="190" customFormat="false" ht="15" hidden="false" customHeight="false" outlineLevel="0" collapsed="false">
      <c r="B190" s="50" t="s">
        <v>357</v>
      </c>
      <c r="C190" s="67" t="n">
        <v>1.91</v>
      </c>
      <c r="D190" s="67" t="n">
        <v>3.07</v>
      </c>
      <c r="E190" s="67" t="n">
        <v>0.41</v>
      </c>
      <c r="F190" s="67" t="n">
        <v>0.24</v>
      </c>
      <c r="G190" s="67" t="n">
        <v>0.57</v>
      </c>
      <c r="H190" s="67" t="n">
        <v>-0.97</v>
      </c>
      <c r="I190" s="67" t="n">
        <v>0.27</v>
      </c>
      <c r="J190" s="67" t="n">
        <v>0.42</v>
      </c>
      <c r="K190" s="67" t="n">
        <v>-0.16</v>
      </c>
      <c r="L190" s="67" t="n">
        <v>0.96</v>
      </c>
      <c r="M190" s="67" t="n">
        <v>0</v>
      </c>
      <c r="N190" s="67" t="n">
        <v>1.22</v>
      </c>
      <c r="O190" s="67" t="n">
        <v>0.46</v>
      </c>
      <c r="P190" s="67" t="n">
        <v>0.55</v>
      </c>
      <c r="Q190" s="67" t="n">
        <v>0.39</v>
      </c>
      <c r="R190" s="67" t="n">
        <v>0.34</v>
      </c>
      <c r="S190" s="67" t="n">
        <v>1.76</v>
      </c>
      <c r="T190" s="67" t="n">
        <v>0.55</v>
      </c>
      <c r="U190" s="67" t="n">
        <v>0.61</v>
      </c>
      <c r="V190" s="67" t="n">
        <v>0.46</v>
      </c>
      <c r="W190" s="67" t="n">
        <v>-0.16</v>
      </c>
      <c r="X190" s="67" t="n">
        <v>1.47</v>
      </c>
      <c r="Y190" s="67" t="n">
        <v>0.66</v>
      </c>
      <c r="Z190" s="67" t="n">
        <v>0.6</v>
      </c>
      <c r="AA190" s="67" t="n">
        <v>0.78</v>
      </c>
      <c r="AB190" s="67" t="n">
        <v>0.22</v>
      </c>
      <c r="AC190" s="67" t="n">
        <v>2.27</v>
      </c>
      <c r="AD190" s="67" t="n">
        <v>0.51</v>
      </c>
      <c r="AE190" s="67" t="n">
        <v>0.62</v>
      </c>
      <c r="AF190" s="67" t="n">
        <v>0.78</v>
      </c>
      <c r="AG190" s="67" t="n">
        <v>0.64</v>
      </c>
      <c r="AH190" s="67" t="n">
        <v>2.55</v>
      </c>
      <c r="AI190" s="67" t="n">
        <v>0.79</v>
      </c>
      <c r="AJ190" s="67" t="n">
        <v>0.67</v>
      </c>
      <c r="AK190" s="67" t="n">
        <v>0.76</v>
      </c>
      <c r="AL190" s="67" t="n">
        <v>0.69</v>
      </c>
      <c r="AM190" s="67" t="n">
        <v>2.91</v>
      </c>
      <c r="AN190" s="67" t="n">
        <v>0.73</v>
      </c>
      <c r="AO190" s="67" t="n">
        <v>0.62</v>
      </c>
      <c r="AP190" s="67" t="n">
        <v>0.63</v>
      </c>
      <c r="AQ190" s="67" t="n">
        <v>1.26</v>
      </c>
      <c r="AR190" s="67" t="n">
        <v>3.24</v>
      </c>
      <c r="AS190" s="67" t="n">
        <v>0.64</v>
      </c>
      <c r="AT190" s="67" t="n">
        <v>0.82</v>
      </c>
      <c r="AU190" s="67" t="n">
        <v>0.67</v>
      </c>
      <c r="AV190" s="67" t="n">
        <v>0.47</v>
      </c>
      <c r="AW190" s="67" t="n">
        <v>2.6</v>
      </c>
      <c r="AX190" s="67" t="n">
        <v>0.67</v>
      </c>
      <c r="AY190" s="67" t="n">
        <v>0.64</v>
      </c>
      <c r="AZ190" s="67" t="n">
        <v>0.66</v>
      </c>
      <c r="BA190" s="67" t="n">
        <v>0.72</v>
      </c>
      <c r="BB190" s="67" t="n">
        <v>2.68</v>
      </c>
      <c r="BC190" s="67" t="n">
        <v>0.75</v>
      </c>
      <c r="BD190" s="67" t="n">
        <v>0.79</v>
      </c>
      <c r="BE190" s="67" t="n">
        <v>0.76</v>
      </c>
      <c r="BF190" s="67" t="n">
        <v>0.77</v>
      </c>
      <c r="BG190" s="67" t="n">
        <v>3.07</v>
      </c>
      <c r="BH190" s="67" t="n">
        <v>0.82</v>
      </c>
      <c r="BI190" s="67" t="n">
        <v>0.85</v>
      </c>
      <c r="BJ190" s="67" t="n">
        <v>0.89</v>
      </c>
      <c r="BK190" s="67" t="n">
        <v>1.01</v>
      </c>
      <c r="BL190" s="67" t="n">
        <v>3.58</v>
      </c>
      <c r="BM190" s="67" t="n">
        <v>0.99</v>
      </c>
      <c r="BN190" s="67" t="n">
        <v>0.97</v>
      </c>
      <c r="BO190" s="36"/>
      <c r="BP190" s="36"/>
      <c r="BQ190" s="36"/>
      <c r="BR190" s="36"/>
      <c r="BS190" s="36"/>
      <c r="BT190" s="36"/>
      <c r="BU190" s="36"/>
      <c r="BV190" s="15"/>
    </row>
    <row r="191" customFormat="false" ht="15" hidden="false" customHeight="false" outlineLevel="0" collapsed="false">
      <c r="B191" s="50" t="s">
        <v>358</v>
      </c>
      <c r="C191" s="67" t="n">
        <v>0.95</v>
      </c>
      <c r="D191" s="67" t="n">
        <v>1.76</v>
      </c>
      <c r="E191" s="67" t="n">
        <v>0.36</v>
      </c>
      <c r="F191" s="67" t="n">
        <v>0.2</v>
      </c>
      <c r="G191" s="67" t="n">
        <v>0.38</v>
      </c>
      <c r="H191" s="67" t="n">
        <v>-0.59</v>
      </c>
      <c r="I191" s="67" t="n">
        <v>0.36</v>
      </c>
      <c r="J191" s="67" t="n">
        <v>0.32</v>
      </c>
      <c r="K191" s="67" t="n">
        <v>0</v>
      </c>
      <c r="L191" s="67" t="n">
        <v>0.98</v>
      </c>
      <c r="M191" s="67" t="n">
        <v>0</v>
      </c>
      <c r="N191" s="67" t="n">
        <v>1.31</v>
      </c>
      <c r="O191" s="67" t="n">
        <v>0.46</v>
      </c>
      <c r="P191" s="67" t="n">
        <v>0.55</v>
      </c>
      <c r="Q191" s="67" t="n">
        <v>0.39</v>
      </c>
      <c r="R191" s="67" t="n">
        <v>0.34</v>
      </c>
      <c r="S191" s="67" t="n">
        <v>1.76</v>
      </c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36"/>
      <c r="BP191" s="36"/>
      <c r="BQ191" s="36"/>
      <c r="BR191" s="36"/>
      <c r="BS191" s="36"/>
      <c r="BT191" s="36"/>
      <c r="BU191" s="36"/>
      <c r="BV191" s="15"/>
    </row>
    <row r="192" customFormat="false" ht="15" hidden="false" customHeight="false" outlineLevel="0" collapsed="false">
      <c r="B192" s="13" t="s">
        <v>359</v>
      </c>
      <c r="C192" s="67" t="n">
        <v>0.08</v>
      </c>
      <c r="D192" s="67" t="n">
        <v>0.34</v>
      </c>
      <c r="E192" s="67" t="n">
        <v>0.1</v>
      </c>
      <c r="F192" s="19"/>
      <c r="G192" s="19"/>
      <c r="H192" s="19"/>
      <c r="I192" s="67" t="n">
        <v>0.4</v>
      </c>
      <c r="J192" s="67" t="n">
        <v>0.1</v>
      </c>
      <c r="K192" s="19"/>
      <c r="L192" s="19"/>
      <c r="M192" s="19"/>
      <c r="N192" s="67" t="n">
        <v>0.32</v>
      </c>
      <c r="O192" s="67" t="n">
        <v>0.09</v>
      </c>
      <c r="P192" s="19"/>
      <c r="Q192" s="19"/>
      <c r="R192" s="19"/>
      <c r="S192" s="67" t="n">
        <v>0.36</v>
      </c>
      <c r="T192" s="67" t="n">
        <v>0.09</v>
      </c>
      <c r="U192" s="19"/>
      <c r="V192" s="19"/>
      <c r="W192" s="19"/>
      <c r="X192" s="67" t="n">
        <v>0.42</v>
      </c>
      <c r="Y192" s="67" t="n">
        <v>0.16</v>
      </c>
      <c r="Z192" s="67" t="n">
        <v>0.16</v>
      </c>
      <c r="AA192" s="67" t="n">
        <v>0.16</v>
      </c>
      <c r="AB192" s="67" t="n">
        <v>0.16</v>
      </c>
      <c r="AC192" s="67" t="n">
        <v>0.64</v>
      </c>
      <c r="AD192" s="67" t="n">
        <v>0.17</v>
      </c>
      <c r="AE192" s="67" t="n">
        <v>0.17</v>
      </c>
      <c r="AF192" s="67" t="n">
        <v>0.17</v>
      </c>
      <c r="AG192" s="67" t="n">
        <v>0.17</v>
      </c>
      <c r="AH192" s="67" t="n">
        <v>0.68</v>
      </c>
      <c r="AI192" s="67" t="n">
        <v>0.19</v>
      </c>
      <c r="AJ192" s="67" t="n">
        <v>0.19</v>
      </c>
      <c r="AK192" s="67" t="n">
        <v>0.19</v>
      </c>
      <c r="AL192" s="67" t="n">
        <v>0.19</v>
      </c>
      <c r="AM192" s="67" t="n">
        <v>0.76</v>
      </c>
      <c r="AN192" s="67" t="n">
        <v>0.21</v>
      </c>
      <c r="AO192" s="67" t="n">
        <v>0.21</v>
      </c>
      <c r="AP192" s="67" t="n">
        <v>0.21</v>
      </c>
      <c r="AQ192" s="67" t="n">
        <v>0.21</v>
      </c>
      <c r="AR192" s="67" t="n">
        <v>0.84</v>
      </c>
      <c r="AS192" s="67" t="n">
        <v>0.22</v>
      </c>
      <c r="AT192" s="67" t="n">
        <v>0.22</v>
      </c>
      <c r="AU192" s="67" t="n">
        <v>0.22</v>
      </c>
      <c r="AV192" s="67" t="n">
        <v>0.22</v>
      </c>
      <c r="AW192" s="67" t="n">
        <v>0.88</v>
      </c>
      <c r="AX192" s="67" t="n">
        <v>0.23</v>
      </c>
      <c r="AY192" s="67" t="n">
        <v>0.23</v>
      </c>
      <c r="AZ192" s="67" t="n">
        <v>0.23</v>
      </c>
      <c r="BA192" s="67" t="n">
        <v>0.23</v>
      </c>
      <c r="BB192" s="67" t="n">
        <v>0.92</v>
      </c>
      <c r="BC192" s="67" t="n">
        <v>0.24</v>
      </c>
      <c r="BD192" s="67" t="n">
        <v>0.24</v>
      </c>
      <c r="BE192" s="67" t="n">
        <v>0.24</v>
      </c>
      <c r="BF192" s="67" t="n">
        <v>0.24</v>
      </c>
      <c r="BG192" s="67" t="n">
        <v>0.96</v>
      </c>
      <c r="BH192" s="67" t="n">
        <v>0.25</v>
      </c>
      <c r="BI192" s="67" t="n">
        <v>0.25</v>
      </c>
      <c r="BJ192" s="67" t="n">
        <v>0.25</v>
      </c>
      <c r="BK192" s="67" t="n">
        <v>0.25</v>
      </c>
      <c r="BL192" s="67" t="n">
        <v>1</v>
      </c>
      <c r="BM192" s="67" t="n">
        <v>0.27</v>
      </c>
      <c r="BN192" s="67" t="n">
        <v>0.27</v>
      </c>
      <c r="BO192" s="68" t="n">
        <v>0.27</v>
      </c>
      <c r="BP192" s="68" t="n">
        <v>0.27</v>
      </c>
      <c r="BQ192" s="63" t="n">
        <f aca="false">SUM(BM192:BP192)</f>
        <v>1.08</v>
      </c>
      <c r="BR192" s="63" t="n">
        <f aca="false">BQ192*(1+BR193)</f>
        <v>1.1664</v>
      </c>
      <c r="BS192" s="63" t="n">
        <f aca="false">BR192*(1+BS193)</f>
        <v>1.259712</v>
      </c>
      <c r="BT192" s="63" t="n">
        <f aca="false">BS192*(1+BT193)</f>
        <v>1.36048896</v>
      </c>
      <c r="BU192" s="63" t="n">
        <f aca="false">BT192*(1+BU193)</f>
        <v>1.4693280768</v>
      </c>
      <c r="BV192" s="15" t="s">
        <v>360</v>
      </c>
    </row>
    <row r="193" customFormat="false" ht="15" hidden="false" customHeight="false" outlineLevel="0" collapsed="false">
      <c r="B193" s="13" t="s">
        <v>361</v>
      </c>
      <c r="C193" s="19"/>
      <c r="D193" s="43" t="n">
        <f aca="false">IF(AND(ISNUMBER(D192),ISNUMBER(C192)),IFERROR(D192/C192-1,""),"")</f>
        <v>3.25</v>
      </c>
      <c r="E193" s="19"/>
      <c r="F193" s="19"/>
      <c r="G193" s="19"/>
      <c r="H193" s="19"/>
      <c r="I193" s="43" t="n">
        <f aca="false">IF(AND(ISNUMBER(I192),ISNUMBER(D192)),IFERROR(I192/D192-1,""),"")</f>
        <v>0.176470588235294</v>
      </c>
      <c r="J193" s="19"/>
      <c r="K193" s="19"/>
      <c r="L193" s="19"/>
      <c r="M193" s="19"/>
      <c r="N193" s="43" t="n">
        <f aca="false">IF(AND(ISNUMBER(N192),ISNUMBER(I192)),IFERROR(N192/I192-1,""),"")</f>
        <v>-0.2</v>
      </c>
      <c r="O193" s="19"/>
      <c r="P193" s="19"/>
      <c r="Q193" s="19"/>
      <c r="R193" s="19"/>
      <c r="S193" s="43" t="n">
        <f aca="false">IF(AND(ISNUMBER(S192),ISNUMBER(N192)),IFERROR(S192/N192-1,""),"")</f>
        <v>0.125</v>
      </c>
      <c r="T193" s="19"/>
      <c r="U193" s="19"/>
      <c r="V193" s="19"/>
      <c r="W193" s="19"/>
      <c r="X193" s="43" t="n">
        <f aca="false">IF(AND(ISNUMBER(X192),ISNUMBER(S192)),IFERROR(X192/S192-1,""),"")</f>
        <v>0.166666666666667</v>
      </c>
      <c r="Y193" s="19"/>
      <c r="Z193" s="19"/>
      <c r="AA193" s="19"/>
      <c r="AB193" s="19"/>
      <c r="AC193" s="43" t="n">
        <f aca="false">IF(AND(ISNUMBER(AC192),ISNUMBER(X192)),IFERROR(AC192/X192-1,""),"")</f>
        <v>0.523809523809524</v>
      </c>
      <c r="AD193" s="19"/>
      <c r="AE193" s="19"/>
      <c r="AF193" s="19"/>
      <c r="AG193" s="19"/>
      <c r="AH193" s="43" t="n">
        <f aca="false">IF(AND(ISNUMBER(AH192),ISNUMBER(AC192)),IFERROR(AH192/AC192-1,""),"")</f>
        <v>0.0625</v>
      </c>
      <c r="AI193" s="19"/>
      <c r="AJ193" s="19"/>
      <c r="AK193" s="19"/>
      <c r="AL193" s="19"/>
      <c r="AM193" s="43" t="n">
        <f aca="false">IF(AND(ISNUMBER(AM192),ISNUMBER(AH192)),IFERROR(AM192/AH192-1,""),"")</f>
        <v>0.117647058823529</v>
      </c>
      <c r="AN193" s="19"/>
      <c r="AO193" s="19"/>
      <c r="AP193" s="19"/>
      <c r="AQ193" s="19"/>
      <c r="AR193" s="43" t="n">
        <f aca="false">IF(AND(ISNUMBER(AR192),ISNUMBER(AM192)),IFERROR(AR192/AM192-1,""),"")</f>
        <v>0.105263157894737</v>
      </c>
      <c r="AS193" s="19"/>
      <c r="AT193" s="19"/>
      <c r="AU193" s="19"/>
      <c r="AV193" s="19"/>
      <c r="AW193" s="43" t="n">
        <f aca="false">IF(AND(ISNUMBER(AW192),ISNUMBER(AR192)),IFERROR(AW192/AR192-1,""),"")</f>
        <v>0.0476190476190477</v>
      </c>
      <c r="AX193" s="19"/>
      <c r="AY193" s="19"/>
      <c r="AZ193" s="19"/>
      <c r="BA193" s="19"/>
      <c r="BB193" s="43" t="n">
        <f aca="false">IF(AND(ISNUMBER(BB192),ISNUMBER(AW192)),IFERROR(BB192/AW192-1,""),"")</f>
        <v>0.0454545454545454</v>
      </c>
      <c r="BC193" s="19"/>
      <c r="BD193" s="19"/>
      <c r="BE193" s="19"/>
      <c r="BF193" s="19"/>
      <c r="BG193" s="43" t="n">
        <f aca="false">IF(AND(ISNUMBER(BG192),ISNUMBER(BB192)),IFERROR(BG192/BB192-1,""),"")</f>
        <v>0.0434782608695652</v>
      </c>
      <c r="BH193" s="19"/>
      <c r="BI193" s="19"/>
      <c r="BJ193" s="19"/>
      <c r="BK193" s="19"/>
      <c r="BL193" s="43" t="n">
        <f aca="false">IF(AND(ISNUMBER(BL192),ISNUMBER(BG192)),IFERROR(BL192/BG192-1,""),"")</f>
        <v>0.0416666666666667</v>
      </c>
      <c r="BM193" s="19"/>
      <c r="BN193" s="19"/>
      <c r="BO193" s="36"/>
      <c r="BP193" s="36"/>
      <c r="BQ193" s="35" t="n">
        <f aca="false">IF(AND(ISNUMBER(BQ192),ISNUMBER(BL192)),IFERROR(BQ192/BL192-1,""),"")</f>
        <v>0.0800000000000001</v>
      </c>
      <c r="BR193" s="48" t="n">
        <v>0.08</v>
      </c>
      <c r="BS193" s="48" t="n">
        <v>0.08</v>
      </c>
      <c r="BT193" s="48" t="n">
        <v>0.08</v>
      </c>
      <c r="BU193" s="48" t="n">
        <v>0.08</v>
      </c>
      <c r="BV193" s="15"/>
    </row>
    <row r="194" customFormat="false" ht="15" hidden="false" customHeight="false" outlineLevel="0" collapsed="false">
      <c r="B194" s="13"/>
      <c r="BO194" s="14"/>
      <c r="BP194" s="14"/>
      <c r="BQ194" s="14"/>
      <c r="BR194" s="14"/>
      <c r="BS194" s="14"/>
      <c r="BT194" s="14"/>
      <c r="BU194" s="14"/>
      <c r="BV194" s="15"/>
    </row>
    <row r="195" customFormat="false" ht="15" hidden="false" customHeight="false" outlineLevel="0" collapsed="false">
      <c r="B195" s="9" t="s">
        <v>362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 t="s">
        <v>363</v>
      </c>
    </row>
    <row r="196" customFormat="false" ht="15" hidden="false" customHeight="false" outlineLevel="0" collapsed="false">
      <c r="B196" s="30" t="s">
        <v>364</v>
      </c>
      <c r="C196" s="31"/>
      <c r="D196" s="31"/>
      <c r="E196" s="49" t="n">
        <f aca="false">E173</f>
        <v>35.144</v>
      </c>
      <c r="F196" s="49" t="n">
        <f aca="false">F173</f>
        <v>19.189</v>
      </c>
      <c r="G196" s="49" t="n">
        <f aca="false">G173</f>
        <v>39.754</v>
      </c>
      <c r="H196" s="49" t="n">
        <f aca="false">H173</f>
        <v>-63.643</v>
      </c>
      <c r="I196" s="49" t="n">
        <f aca="false">I173</f>
        <v>30.4439999999998</v>
      </c>
      <c r="J196" s="49" t="n">
        <f aca="false">J173</f>
        <v>33.965</v>
      </c>
      <c r="K196" s="49" t="n">
        <f aca="false">K173</f>
        <v>-0.407000000000016</v>
      </c>
      <c r="L196" s="49" t="n">
        <f aca="false">L173</f>
        <v>106.508</v>
      </c>
      <c r="M196" s="49" t="n">
        <f aca="false">M173</f>
        <v>0.583000000000021</v>
      </c>
      <c r="N196" s="49" t="n">
        <f aca="false">N173</f>
        <v>140.649</v>
      </c>
      <c r="O196" s="49" t="n">
        <f aca="false">O173</f>
        <v>48.894</v>
      </c>
      <c r="P196" s="49" t="n">
        <f aca="false">P173</f>
        <v>57.602</v>
      </c>
      <c r="Q196" s="49" t="n">
        <f aca="false">Q173</f>
        <v>40.648</v>
      </c>
      <c r="R196" s="49" t="n">
        <f aca="false">R173</f>
        <v>34.174</v>
      </c>
      <c r="S196" s="49" t="n">
        <f aca="false">S173</f>
        <v>183.612</v>
      </c>
      <c r="T196" s="49" t="n">
        <f aca="false">T173</f>
        <v>55.786</v>
      </c>
      <c r="U196" s="49" t="n">
        <f aca="false">U173</f>
        <v>61.42</v>
      </c>
      <c r="V196" s="49" t="n">
        <f aca="false">V173</f>
        <v>46.693</v>
      </c>
      <c r="W196" s="49" t="n">
        <f aca="false">W173</f>
        <v>-15.534</v>
      </c>
      <c r="X196" s="49" t="n">
        <f aca="false">X173</f>
        <v>148.365</v>
      </c>
      <c r="Y196" s="49" t="n">
        <f aca="false">Y173</f>
        <v>66.413</v>
      </c>
      <c r="Z196" s="49" t="n">
        <f aca="false">Z173</f>
        <v>60.734</v>
      </c>
      <c r="AA196" s="49" t="n">
        <f aca="false">AA173</f>
        <v>78.077</v>
      </c>
      <c r="AB196" s="49" t="n">
        <f aca="false">AB173</f>
        <v>22.081</v>
      </c>
      <c r="AC196" s="49" t="n">
        <f aca="false">AC173</f>
        <v>227.305</v>
      </c>
      <c r="AD196" s="49" t="n">
        <f aca="false">AD173</f>
        <v>49.11</v>
      </c>
      <c r="AE196" s="49" t="n">
        <f aca="false">AE173</f>
        <v>59</v>
      </c>
      <c r="AF196" s="49" t="n">
        <f aca="false">AF173</f>
        <v>74.998</v>
      </c>
      <c r="AG196" s="49" t="n">
        <f aca="false">AG173</f>
        <v>61.569</v>
      </c>
      <c r="AH196" s="49" t="n">
        <f aca="false">AH173</f>
        <v>244.677</v>
      </c>
      <c r="AI196" s="49" t="n">
        <f aca="false">AI173</f>
        <v>75.62</v>
      </c>
      <c r="AJ196" s="49" t="n">
        <f aca="false">AJ173</f>
        <v>64.396</v>
      </c>
      <c r="AK196" s="49" t="n">
        <f aca="false">AK173</f>
        <v>73.195</v>
      </c>
      <c r="AL196" s="49" t="n">
        <f aca="false">AL173</f>
        <v>65.985</v>
      </c>
      <c r="AM196" s="49" t="n">
        <f aca="false">AM173</f>
        <v>279.196</v>
      </c>
      <c r="AN196" s="49" t="n">
        <f aca="false">AN173</f>
        <v>69.815</v>
      </c>
      <c r="AO196" s="49" t="n">
        <f aca="false">AO173</f>
        <v>59.409</v>
      </c>
      <c r="AP196" s="49" t="n">
        <f aca="false">AP173</f>
        <v>60.158</v>
      </c>
      <c r="AQ196" s="49" t="n">
        <f aca="false">AQ173</f>
        <v>116.906</v>
      </c>
      <c r="AR196" s="49" t="n">
        <f aca="false">AR173</f>
        <v>306.288</v>
      </c>
      <c r="AS196" s="49" t="n">
        <f aca="false">AS173</f>
        <v>59.0740000000001</v>
      </c>
      <c r="AT196" s="49" t="n">
        <f aca="false">AT173</f>
        <v>74.681</v>
      </c>
      <c r="AU196" s="49" t="n">
        <f aca="false">AU173</f>
        <v>61.837</v>
      </c>
      <c r="AV196" s="49" t="n">
        <f aca="false">AV173</f>
        <v>43.0280000000001</v>
      </c>
      <c r="AW196" s="49" t="n">
        <f aca="false">AW173</f>
        <v>238.62</v>
      </c>
      <c r="AX196" s="49" t="n">
        <f aca="false">AX173</f>
        <v>60.993</v>
      </c>
      <c r="AY196" s="49" t="n">
        <f aca="false">AY173</f>
        <v>58.665</v>
      </c>
      <c r="AZ196" s="49" t="n">
        <f aca="false">AZ173</f>
        <v>60.352</v>
      </c>
      <c r="BA196" s="49" t="n">
        <f aca="false">BA173</f>
        <v>66.311</v>
      </c>
      <c r="BB196" s="49" t="n">
        <f aca="false">BB173</f>
        <v>246.321</v>
      </c>
      <c r="BC196" s="49" t="n">
        <f aca="false">BC173</f>
        <v>68.534</v>
      </c>
      <c r="BD196" s="49" t="n">
        <f aca="false">BD173</f>
        <v>73.045</v>
      </c>
      <c r="BE196" s="49" t="n">
        <f aca="false">BE173</f>
        <v>69.641</v>
      </c>
      <c r="BF196" s="49" t="n">
        <f aca="false">BF173</f>
        <v>71.0780000000001</v>
      </c>
      <c r="BG196" s="49" t="n">
        <f aca="false">BG173</f>
        <v>282.298</v>
      </c>
      <c r="BH196" s="49" t="n">
        <f aca="false">BH173</f>
        <v>75.526</v>
      </c>
      <c r="BI196" s="49" t="n">
        <f aca="false">BI173</f>
        <v>78.462</v>
      </c>
      <c r="BJ196" s="49" t="n">
        <f aca="false">BJ173</f>
        <v>82.1909999999999</v>
      </c>
      <c r="BK196" s="49" t="n">
        <f aca="false">BK173</f>
        <v>93.682</v>
      </c>
      <c r="BL196" s="49" t="n">
        <f aca="false">BL173</f>
        <v>329.861</v>
      </c>
      <c r="BM196" s="49" t="n">
        <f aca="false">BM173</f>
        <v>91.189</v>
      </c>
      <c r="BN196" s="49" t="n">
        <f aca="false">BN173</f>
        <v>89.098</v>
      </c>
      <c r="BO196" s="33" t="n">
        <f aca="false">BO173</f>
        <v>104.115750279223</v>
      </c>
      <c r="BP196" s="33" t="n">
        <f aca="false">BP173</f>
        <v>107.038652203672</v>
      </c>
      <c r="BQ196" s="33" t="n">
        <f aca="false">BQ173</f>
        <v>391.441402482895</v>
      </c>
      <c r="BR196" s="33" t="n">
        <f aca="false">BR173</f>
        <v>894.674147957043</v>
      </c>
      <c r="BS196" s="33" t="n">
        <f aca="false">BS173</f>
        <v>513.686205054995</v>
      </c>
      <c r="BT196" s="33" t="n">
        <f aca="false">BT173</f>
        <v>574.084637498531</v>
      </c>
      <c r="BU196" s="33" t="n">
        <f aca="false">BU173</f>
        <v>629.80968666781</v>
      </c>
      <c r="BV196" s="15"/>
    </row>
    <row r="197" customFormat="false" ht="15" hidden="false" customHeight="false" outlineLevel="0" collapsed="false">
      <c r="B197" s="13" t="s">
        <v>365</v>
      </c>
      <c r="C197" s="19"/>
      <c r="D197" s="19"/>
      <c r="E197" s="20" t="n">
        <f aca="false">E171</f>
        <v>8.625</v>
      </c>
      <c r="F197" s="20" t="n">
        <f aca="false">F171</f>
        <v>7.917</v>
      </c>
      <c r="G197" s="20" t="n">
        <f aca="false">G171</f>
        <v>10.853</v>
      </c>
      <c r="H197" s="20" t="n">
        <f aca="false">H171</f>
        <v>-25.704</v>
      </c>
      <c r="I197" s="20" t="n">
        <f aca="false">I171</f>
        <v>1.691</v>
      </c>
      <c r="J197" s="20" t="n">
        <f aca="false">J171</f>
        <v>16.217</v>
      </c>
      <c r="K197" s="20" t="n">
        <f aca="false">K171</f>
        <v>8.982</v>
      </c>
      <c r="L197" s="20" t="n">
        <f aca="false">L171</f>
        <v>51.589</v>
      </c>
      <c r="M197" s="20" t="n">
        <f aca="false">M171</f>
        <v>3.627</v>
      </c>
      <c r="N197" s="20" t="n">
        <f aca="false">N171</f>
        <v>80.416</v>
      </c>
      <c r="O197" s="20" t="n">
        <f aca="false">O171</f>
        <v>16.23</v>
      </c>
      <c r="P197" s="20" t="n">
        <f aca="false">P171</f>
        <v>30.36</v>
      </c>
      <c r="Q197" s="20" t="n">
        <f aca="false">Q171</f>
        <v>20.032</v>
      </c>
      <c r="R197" s="20" t="n">
        <f aca="false">R171</f>
        <v>9.328</v>
      </c>
      <c r="S197" s="20" t="n">
        <f aca="false">S171</f>
        <v>73.656</v>
      </c>
      <c r="T197" s="20" t="n">
        <f aca="false">T171</f>
        <v>24.592</v>
      </c>
      <c r="U197" s="20" t="n">
        <f aca="false">U171</f>
        <v>27.062</v>
      </c>
      <c r="V197" s="20" t="n">
        <f aca="false">V171</f>
        <v>23.901</v>
      </c>
      <c r="W197" s="20" t="n">
        <f aca="false">W171</f>
        <v>71.86</v>
      </c>
      <c r="X197" s="20" t="n">
        <f aca="false">X171</f>
        <v>147.415</v>
      </c>
      <c r="Y197" s="20" t="n">
        <f aca="false">Y171</f>
        <v>18.603</v>
      </c>
      <c r="Z197" s="20" t="n">
        <f aca="false">Z171</f>
        <v>18.493</v>
      </c>
      <c r="AA197" s="20" t="n">
        <f aca="false">AA171</f>
        <v>6.482</v>
      </c>
      <c r="AB197" s="20" t="n">
        <f aca="false">AB171</f>
        <v>9.262</v>
      </c>
      <c r="AC197" s="20" t="n">
        <f aca="false">AC171</f>
        <v>52.84</v>
      </c>
      <c r="AD197" s="20" t="n">
        <f aca="false">AD171</f>
        <v>13.767</v>
      </c>
      <c r="AE197" s="20" t="n">
        <f aca="false">AE171</f>
        <v>18.734</v>
      </c>
      <c r="AF197" s="20" t="n">
        <f aca="false">AF171</f>
        <v>19.508</v>
      </c>
      <c r="AG197" s="20" t="n">
        <f aca="false">AG171</f>
        <v>17.056</v>
      </c>
      <c r="AH197" s="20" t="n">
        <f aca="false">AH171</f>
        <v>69.065</v>
      </c>
      <c r="AI197" s="20" t="n">
        <f aca="false">AI171</f>
        <v>22.828</v>
      </c>
      <c r="AJ197" s="20" t="n">
        <f aca="false">AJ171</f>
        <v>19.684</v>
      </c>
      <c r="AK197" s="20" t="n">
        <f aca="false">AK171</f>
        <v>18.687</v>
      </c>
      <c r="AL197" s="20" t="n">
        <f aca="false">AL171</f>
        <v>21.777</v>
      </c>
      <c r="AM197" s="20" t="n">
        <f aca="false">AM171</f>
        <v>82.976</v>
      </c>
      <c r="AN197" s="20" t="n">
        <f aca="false">AN171</f>
        <v>22.078</v>
      </c>
      <c r="AO197" s="20" t="n">
        <f aca="false">AO171</f>
        <v>19.522</v>
      </c>
      <c r="AP197" s="20" t="n">
        <f aca="false">AP171</f>
        <v>17.611</v>
      </c>
      <c r="AQ197" s="20" t="n">
        <f aca="false">AQ171</f>
        <v>30.214</v>
      </c>
      <c r="AR197" s="20" t="n">
        <f aca="false">AR171</f>
        <v>89.425</v>
      </c>
      <c r="AS197" s="20" t="n">
        <f aca="false">AS171</f>
        <v>18.374</v>
      </c>
      <c r="AT197" s="20" t="n">
        <f aca="false">AT171</f>
        <v>23.418</v>
      </c>
      <c r="AU197" s="20" t="n">
        <f aca="false">AU171</f>
        <v>20.185</v>
      </c>
      <c r="AV197" s="20" t="n">
        <f aca="false">AV171</f>
        <v>13.78</v>
      </c>
      <c r="AW197" s="20" t="n">
        <f aca="false">AW171</f>
        <v>75.757</v>
      </c>
      <c r="AX197" s="20" t="n">
        <f aca="false">AX171</f>
        <v>18.681</v>
      </c>
      <c r="AY197" s="20" t="n">
        <f aca="false">AY171</f>
        <v>19.274</v>
      </c>
      <c r="AZ197" s="20" t="n">
        <f aca="false">AZ171</f>
        <v>17.814</v>
      </c>
      <c r="BA197" s="20" t="n">
        <f aca="false">BA171</f>
        <v>19.31</v>
      </c>
      <c r="BB197" s="20" t="n">
        <f aca="false">BB171</f>
        <v>75.079</v>
      </c>
      <c r="BC197" s="20" t="n">
        <f aca="false">BC171</f>
        <v>19.843</v>
      </c>
      <c r="BD197" s="20" t="n">
        <f aca="false">BD171</f>
        <v>18.584</v>
      </c>
      <c r="BE197" s="20" t="n">
        <f aca="false">BE171</f>
        <v>20.983</v>
      </c>
      <c r="BF197" s="20" t="n">
        <f aca="false">BF171</f>
        <v>7.012</v>
      </c>
      <c r="BG197" s="20" t="n">
        <f aca="false">BG171</f>
        <v>66.422</v>
      </c>
      <c r="BH197" s="20" t="n">
        <f aca="false">BH171</f>
        <v>16.291</v>
      </c>
      <c r="BI197" s="20" t="n">
        <f aca="false">BI171</f>
        <v>19.297</v>
      </c>
      <c r="BJ197" s="20" t="n">
        <f aca="false">BJ171</f>
        <v>25.377</v>
      </c>
      <c r="BK197" s="20" t="n">
        <f aca="false">BK171</f>
        <v>7.294</v>
      </c>
      <c r="BL197" s="20" t="n">
        <f aca="false">BL171</f>
        <v>68.259</v>
      </c>
      <c r="BM197" s="20" t="n">
        <f aca="false">BM171</f>
        <v>16.127</v>
      </c>
      <c r="BN197" s="20" t="n">
        <f aca="false">BN171</f>
        <v>24.496</v>
      </c>
      <c r="BO197" s="21" t="n">
        <f aca="false">BO171</f>
        <v>28.5157787388956</v>
      </c>
      <c r="BP197" s="21" t="n">
        <f aca="false">BP171</f>
        <v>29.3163187564198</v>
      </c>
      <c r="BQ197" s="21" t="n">
        <f aca="false">BQ171</f>
        <v>98.4550974953153</v>
      </c>
      <c r="BR197" s="21" t="n">
        <f aca="false">BR171</f>
        <v>252.343990449422</v>
      </c>
      <c r="BS197" s="21" t="n">
        <f aca="false">BS171</f>
        <v>144.885852707819</v>
      </c>
      <c r="BT197" s="21" t="n">
        <f aca="false">BT171</f>
        <v>161.921308012406</v>
      </c>
      <c r="BU197" s="21" t="n">
        <f aca="false">BU171</f>
        <v>177.638629572972</v>
      </c>
      <c r="BV197" s="15"/>
    </row>
    <row r="198" customFormat="false" ht="15" hidden="false" customHeight="false" outlineLevel="0" collapsed="false">
      <c r="B198" s="13" t="s">
        <v>366</v>
      </c>
      <c r="C198" s="19"/>
      <c r="D198" s="19"/>
      <c r="E198" s="20" t="n">
        <f aca="false">E168</f>
        <v>1.169</v>
      </c>
      <c r="F198" s="20" t="n">
        <f aca="false">F168</f>
        <v>0.636</v>
      </c>
      <c r="G198" s="20" t="n">
        <f aca="false">G168</f>
        <v>2.832</v>
      </c>
      <c r="H198" s="20" t="n">
        <f aca="false">H168</f>
        <v>2.45</v>
      </c>
      <c r="I198" s="20" t="n">
        <f aca="false">I168</f>
        <v>7.087</v>
      </c>
      <c r="J198" s="20" t="n">
        <f aca="false">J168</f>
        <v>2.223</v>
      </c>
      <c r="K198" s="20" t="n">
        <f aca="false">K168</f>
        <v>3.3</v>
      </c>
      <c r="L198" s="20" t="n">
        <f aca="false">L168</f>
        <v>1.231</v>
      </c>
      <c r="M198" s="20" t="n">
        <f aca="false">M168</f>
        <v>3.388</v>
      </c>
      <c r="N198" s="20" t="n">
        <f aca="false">N168</f>
        <v>10.181</v>
      </c>
      <c r="O198" s="20" t="n">
        <f aca="false">O168</f>
        <v>1.694</v>
      </c>
      <c r="P198" s="20" t="n">
        <f aca="false">P168</f>
        <v>1.583</v>
      </c>
      <c r="Q198" s="20" t="n">
        <f aca="false">Q168</f>
        <v>2.049</v>
      </c>
      <c r="R198" s="20" t="n">
        <f aca="false">R168</f>
        <v>3.067</v>
      </c>
      <c r="S198" s="20" t="n">
        <f aca="false">S168</f>
        <v>8.393</v>
      </c>
      <c r="T198" s="20" t="n">
        <f aca="false">T168</f>
        <v>3.517</v>
      </c>
      <c r="U198" s="20" t="n">
        <f aca="false">U168</f>
        <v>3.906</v>
      </c>
      <c r="V198" s="20" t="n">
        <f aca="false">V168</f>
        <v>3.837</v>
      </c>
      <c r="W198" s="20" t="n">
        <f aca="false">W168</f>
        <v>3.619</v>
      </c>
      <c r="X198" s="20" t="n">
        <f aca="false">X168</f>
        <v>14.879</v>
      </c>
      <c r="Y198" s="20" t="n">
        <f aca="false">Y168</f>
        <v>3.56</v>
      </c>
      <c r="Z198" s="20" t="n">
        <f aca="false">Z168</f>
        <v>7.869</v>
      </c>
      <c r="AA198" s="20" t="n">
        <f aca="false">AA168</f>
        <v>7.925</v>
      </c>
      <c r="AB198" s="20" t="n">
        <f aca="false">AB168</f>
        <v>8.469</v>
      </c>
      <c r="AC198" s="20" t="n">
        <f aca="false">AC168</f>
        <v>27.823</v>
      </c>
      <c r="AD198" s="20" t="n">
        <f aca="false">AD168</f>
        <v>8.703</v>
      </c>
      <c r="AE198" s="20" t="n">
        <f aca="false">AE168</f>
        <v>9.542</v>
      </c>
      <c r="AF198" s="20" t="n">
        <f aca="false">AF168</f>
        <v>8.858</v>
      </c>
      <c r="AG198" s="20" t="n">
        <f aca="false">AG168</f>
        <v>8.217</v>
      </c>
      <c r="AH198" s="20" t="n">
        <f aca="false">AH168</f>
        <v>35.32</v>
      </c>
      <c r="AI198" s="20" t="n">
        <f aca="false">AI168</f>
        <v>7.967</v>
      </c>
      <c r="AJ198" s="20" t="n">
        <f aca="false">AJ168</f>
        <v>7.865</v>
      </c>
      <c r="AK198" s="20" t="n">
        <f aca="false">AK168</f>
        <v>7.701</v>
      </c>
      <c r="AL198" s="20" t="n">
        <f aca="false">AL168</f>
        <v>7.481</v>
      </c>
      <c r="AM198" s="20" t="n">
        <f aca="false">AM168</f>
        <v>31.014</v>
      </c>
      <c r="AN198" s="20" t="n">
        <f aca="false">AN168</f>
        <v>7.039</v>
      </c>
      <c r="AO198" s="20" t="n">
        <f aca="false">AO168</f>
        <v>10.203</v>
      </c>
      <c r="AP198" s="20" t="n">
        <f aca="false">AP168</f>
        <v>11.483</v>
      </c>
      <c r="AQ198" s="20" t="n">
        <f aca="false">AQ168</f>
        <v>7.033</v>
      </c>
      <c r="AR198" s="20" t="n">
        <f aca="false">AR168</f>
        <v>35.758</v>
      </c>
      <c r="AS198" s="20" t="n">
        <f aca="false">AS168</f>
        <v>7.051</v>
      </c>
      <c r="AT198" s="20" t="n">
        <f aca="false">AT168</f>
        <v>8.307</v>
      </c>
      <c r="AU198" s="20" t="n">
        <f aca="false">AU168</f>
        <v>9.625</v>
      </c>
      <c r="AV198" s="20" t="n">
        <f aca="false">AV168</f>
        <v>11.427</v>
      </c>
      <c r="AW198" s="20" t="n">
        <f aca="false">AW168</f>
        <v>36.41</v>
      </c>
      <c r="AX198" s="20" t="n">
        <f aca="false">AX168</f>
        <v>10.819</v>
      </c>
      <c r="AY198" s="20" t="n">
        <f aca="false">AY168</f>
        <v>12.206</v>
      </c>
      <c r="AZ198" s="20" t="n">
        <f aca="false">AZ168</f>
        <v>12.175</v>
      </c>
      <c r="BA198" s="20" t="n">
        <f aca="false">BA168</f>
        <v>11.836</v>
      </c>
      <c r="BB198" s="20" t="n">
        <f aca="false">BB168</f>
        <v>47.036</v>
      </c>
      <c r="BC198" s="20" t="n">
        <f aca="false">BC168</f>
        <v>9.595</v>
      </c>
      <c r="BD198" s="20" t="n">
        <f aca="false">BD168</f>
        <v>10.688</v>
      </c>
      <c r="BE198" s="20" t="n">
        <f aca="false">BE168</f>
        <v>9.907</v>
      </c>
      <c r="BF198" s="20" t="n">
        <f aca="false">BF168</f>
        <v>9.285</v>
      </c>
      <c r="BG198" s="20" t="n">
        <f aca="false">BG168</f>
        <v>39.475</v>
      </c>
      <c r="BH198" s="20" t="n">
        <f aca="false">BH168</f>
        <v>7.994</v>
      </c>
      <c r="BI198" s="20" t="n">
        <f aca="false">BI168</f>
        <v>11.741</v>
      </c>
      <c r="BJ198" s="20" t="n">
        <f aca="false">BJ168</f>
        <v>14.019</v>
      </c>
      <c r="BK198" s="20" t="n">
        <f aca="false">BK168</f>
        <v>10.453</v>
      </c>
      <c r="BL198" s="20" t="n">
        <f aca="false">BL168</f>
        <v>44.207</v>
      </c>
      <c r="BM198" s="20" t="n">
        <f aca="false">BM168</f>
        <v>4.733</v>
      </c>
      <c r="BN198" s="20" t="n">
        <f aca="false">BN168</f>
        <v>5.283</v>
      </c>
      <c r="BO198" s="21" t="n">
        <f aca="false">BO168</f>
        <v>5.283</v>
      </c>
      <c r="BP198" s="21" t="n">
        <f aca="false">BP168</f>
        <v>5.283</v>
      </c>
      <c r="BQ198" s="21" t="n">
        <f aca="false">BQ168</f>
        <v>20.582</v>
      </c>
      <c r="BR198" s="21" t="n">
        <f aca="false">BR168</f>
        <v>24</v>
      </c>
      <c r="BS198" s="21" t="n">
        <f aca="false">BS168</f>
        <v>24</v>
      </c>
      <c r="BT198" s="21" t="n">
        <f aca="false">BT168</f>
        <v>30.5</v>
      </c>
      <c r="BU198" s="21" t="n">
        <f aca="false">BU168</f>
        <v>37</v>
      </c>
      <c r="BV198" s="15"/>
    </row>
    <row r="199" customFormat="false" ht="15" hidden="false" customHeight="false" outlineLevel="0" collapsed="false">
      <c r="B199" s="13" t="s">
        <v>367</v>
      </c>
      <c r="C199" s="19"/>
      <c r="D199" s="19"/>
      <c r="E199" s="20" t="n">
        <f aca="false">-E167</f>
        <v>-0.204</v>
      </c>
      <c r="F199" s="20" t="n">
        <f aca="false">-F167</f>
        <v>-0.027</v>
      </c>
      <c r="G199" s="20" t="n">
        <f aca="false">-G167</f>
        <v>-0.145</v>
      </c>
      <c r="H199" s="20" t="n">
        <f aca="false">-H167</f>
        <v>0.143</v>
      </c>
      <c r="I199" s="20" t="n">
        <f aca="false">-I167</f>
        <v>-0.233</v>
      </c>
      <c r="J199" s="20" t="n">
        <f aca="false">-J167</f>
        <v>-0.026</v>
      </c>
      <c r="K199" s="20" t="n">
        <f aca="false">-K167</f>
        <v>-0.17</v>
      </c>
      <c r="L199" s="20" t="n">
        <f aca="false">-L167</f>
        <v>-30.028</v>
      </c>
      <c r="M199" s="20" t="n">
        <f aca="false">-M167</f>
        <v>-0.069</v>
      </c>
      <c r="N199" s="20" t="n">
        <f aca="false">-N167</f>
        <v>-30.331</v>
      </c>
      <c r="O199" s="20" t="n">
        <f aca="false">-O167</f>
        <v>-0.138</v>
      </c>
      <c r="P199" s="20" t="n">
        <f aca="false">-P167</f>
        <v>-0.267</v>
      </c>
      <c r="Q199" s="20" t="n">
        <f aca="false">-Q167</f>
        <v>-0.128</v>
      </c>
      <c r="R199" s="20" t="n">
        <f aca="false">-R167</f>
        <v>-0.118</v>
      </c>
      <c r="S199" s="20" t="n">
        <f aca="false">-S167</f>
        <v>-0.651</v>
      </c>
      <c r="T199" s="20" t="n">
        <f aca="false">-T167</f>
        <v>-0.137</v>
      </c>
      <c r="U199" s="20" t="n">
        <f aca="false">-U167</f>
        <v>-0.211</v>
      </c>
      <c r="V199" s="20" t="n">
        <f aca="false">-V167</f>
        <v>-0.402</v>
      </c>
      <c r="W199" s="20" t="n">
        <f aca="false">-W167</f>
        <v>-0.655</v>
      </c>
      <c r="X199" s="20" t="n">
        <f aca="false">-X167</f>
        <v>-1.405</v>
      </c>
      <c r="Y199" s="20" t="n">
        <f aca="false">-Y167</f>
        <v>-0.778</v>
      </c>
      <c r="Z199" s="20" t="n">
        <f aca="false">-Z167</f>
        <v>-0.441</v>
      </c>
      <c r="AA199" s="20" t="n">
        <f aca="false">-AA167</f>
        <v>-1.121</v>
      </c>
      <c r="AB199" s="20" t="n">
        <f aca="false">-AB167</f>
        <v>-0.139</v>
      </c>
      <c r="AC199" s="20" t="n">
        <f aca="false">-AC167</f>
        <v>-2.479</v>
      </c>
      <c r="AD199" s="20" t="n">
        <f aca="false">-AD167</f>
        <v>-0.415</v>
      </c>
      <c r="AE199" s="20" t="n">
        <f aca="false">-AE167</f>
        <v>-0.137</v>
      </c>
      <c r="AF199" s="20" t="n">
        <f aca="false">-AF167</f>
        <v>-0.232</v>
      </c>
      <c r="AG199" s="20" t="n">
        <f aca="false">-AG167</f>
        <v>-0.158</v>
      </c>
      <c r="AH199" s="20" t="n">
        <f aca="false">-AH167</f>
        <v>-0.942</v>
      </c>
      <c r="AI199" s="20" t="n">
        <f aca="false">-AI167</f>
        <v>-0.231</v>
      </c>
      <c r="AJ199" s="20" t="n">
        <f aca="false">-AJ167</f>
        <v>-0.061</v>
      </c>
      <c r="AK199" s="20" t="n">
        <f aca="false">-AK167</f>
        <v>-0.161</v>
      </c>
      <c r="AL199" s="20" t="n">
        <f aca="false">-AL167</f>
        <v>-0.065</v>
      </c>
      <c r="AM199" s="20" t="n">
        <f aca="false">-AM167</f>
        <v>-0.518</v>
      </c>
      <c r="AN199" s="20" t="n">
        <f aca="false">-AN167</f>
        <v>-0.132</v>
      </c>
      <c r="AO199" s="20" t="n">
        <f aca="false">-AO167</f>
        <v>-0.077</v>
      </c>
      <c r="AP199" s="20" t="n">
        <f aca="false">-AP167</f>
        <v>-0.16</v>
      </c>
      <c r="AQ199" s="20" t="n">
        <f aca="false">-AQ167</f>
        <v>-0.047</v>
      </c>
      <c r="AR199" s="20" t="n">
        <f aca="false">-AR167</f>
        <v>-0.416</v>
      </c>
      <c r="AS199" s="20" t="n">
        <f aca="false">-AS167</f>
        <v>-0.117</v>
      </c>
      <c r="AT199" s="20" t="n">
        <f aca="false">-AT167</f>
        <v>-0.073</v>
      </c>
      <c r="AU199" s="20" t="n">
        <f aca="false">-AU167</f>
        <v>-0.273</v>
      </c>
      <c r="AV199" s="20" t="n">
        <f aca="false">-AV167</f>
        <v>-0.295</v>
      </c>
      <c r="AW199" s="20" t="n">
        <f aca="false">-AW167</f>
        <v>-0.758</v>
      </c>
      <c r="AX199" s="20" t="n">
        <f aca="false">-AX167</f>
        <v>-0.463</v>
      </c>
      <c r="AY199" s="20" t="n">
        <f aca="false">-AY167</f>
        <v>-0.517</v>
      </c>
      <c r="AZ199" s="20" t="n">
        <f aca="false">-AZ167</f>
        <v>-0.643</v>
      </c>
      <c r="BA199" s="20" t="n">
        <f aca="false">-BA167</f>
        <v>-0.736</v>
      </c>
      <c r="BB199" s="20" t="n">
        <f aca="false">-BB167</f>
        <v>-2.359</v>
      </c>
      <c r="BC199" s="20" t="n">
        <f aca="false">-BC167</f>
        <v>-0.846</v>
      </c>
      <c r="BD199" s="20" t="n">
        <f aca="false">-BD167</f>
        <v>-0.54</v>
      </c>
      <c r="BE199" s="20" t="n">
        <f aca="false">-BE167</f>
        <v>-0.663</v>
      </c>
      <c r="BF199" s="20" t="n">
        <f aca="false">-BF167</f>
        <v>-0.505</v>
      </c>
      <c r="BG199" s="20" t="n">
        <f aca="false">-BG167</f>
        <v>-2.554</v>
      </c>
      <c r="BH199" s="20" t="n">
        <f aca="false">-BH167</f>
        <v>-0.722</v>
      </c>
      <c r="BI199" s="20" t="n">
        <f aca="false">-BI167</f>
        <v>-0.551</v>
      </c>
      <c r="BJ199" s="20" t="n">
        <f aca="false">-BJ167</f>
        <v>-1.016</v>
      </c>
      <c r="BK199" s="20" t="n">
        <f aca="false">-BK167</f>
        <v>-1.604</v>
      </c>
      <c r="BL199" s="20" t="n">
        <f aca="false">-BL167</f>
        <v>-3.893</v>
      </c>
      <c r="BM199" s="20" t="n">
        <f aca="false">-BM167</f>
        <v>-4.914</v>
      </c>
      <c r="BN199" s="20" t="n">
        <f aca="false">-BN167</f>
        <v>-4.474</v>
      </c>
      <c r="BO199" s="21" t="n">
        <f aca="false">-BO167</f>
        <v>-4.474</v>
      </c>
      <c r="BP199" s="21" t="n">
        <f aca="false">-BP167</f>
        <v>-4.474</v>
      </c>
      <c r="BQ199" s="21" t="n">
        <f aca="false">-BQ167</f>
        <v>-18.336</v>
      </c>
      <c r="BR199" s="21" t="n">
        <f aca="false">-BR167</f>
        <v>-15.9595831858705</v>
      </c>
      <c r="BS199" s="21" t="n">
        <f aca="false">-BS167</f>
        <v>-31.3765924160665</v>
      </c>
      <c r="BT199" s="21" t="n">
        <f aca="false">-BT167</f>
        <v>-26.6577459636447</v>
      </c>
      <c r="BU199" s="21" t="n">
        <f aca="false">-BU167</f>
        <v>-21.1353399638445</v>
      </c>
      <c r="BV199" s="15"/>
    </row>
    <row r="200" customFormat="false" ht="15" hidden="false" customHeight="false" outlineLevel="0" collapsed="false">
      <c r="B200" s="13" t="s">
        <v>368</v>
      </c>
      <c r="C200" s="19"/>
      <c r="D200" s="19"/>
      <c r="E200" s="20" t="n">
        <f aca="false">-E169</f>
        <v>-0.105</v>
      </c>
      <c r="F200" s="20" t="n">
        <f aca="false">-F169</f>
        <v>-0.258</v>
      </c>
      <c r="G200" s="20" t="n">
        <f aca="false">-G169</f>
        <v>-18.563</v>
      </c>
      <c r="H200" s="20" t="n">
        <f aca="false">-H169</f>
        <v>5.062</v>
      </c>
      <c r="I200" s="20" t="n">
        <f aca="false">-I169</f>
        <v>-13.864</v>
      </c>
      <c r="J200" s="20" t="n">
        <f aca="false">-J169</f>
        <v>1.404</v>
      </c>
      <c r="K200" s="20" t="n">
        <f aca="false">-K169</f>
        <v>-0.12</v>
      </c>
      <c r="L200" s="20" t="n">
        <f aca="false">-L169</f>
        <v>1.666</v>
      </c>
      <c r="M200" s="20" t="n">
        <f aca="false">-M169</f>
        <v>2.078</v>
      </c>
      <c r="N200" s="20" t="n">
        <f aca="false">-N169</f>
        <v>5.026</v>
      </c>
      <c r="O200" s="20" t="n">
        <f aca="false">-O169</f>
        <v>-24.071</v>
      </c>
      <c r="P200" s="20" t="n">
        <f aca="false">-P169</f>
        <v>-0.82</v>
      </c>
      <c r="Q200" s="20" t="n">
        <f aca="false">-Q169</f>
        <v>-0.228</v>
      </c>
      <c r="R200" s="20" t="n">
        <f aca="false">-R169</f>
        <v>-0.628</v>
      </c>
      <c r="S200" s="20" t="n">
        <f aca="false">-S169</f>
        <v>-25.747</v>
      </c>
      <c r="T200" s="20" t="n">
        <f aca="false">-T169</f>
        <v>-0.553</v>
      </c>
      <c r="U200" s="20" t="n">
        <f aca="false">-U169</f>
        <v>0.17</v>
      </c>
      <c r="V200" s="20" t="n">
        <f aca="false">-V169</f>
        <v>-0.348</v>
      </c>
      <c r="W200" s="20" t="n">
        <f aca="false">-W169</f>
        <v>0.362</v>
      </c>
      <c r="X200" s="20" t="n">
        <f aca="false">-X169</f>
        <v>-0.369</v>
      </c>
      <c r="Y200" s="20" t="n">
        <f aca="false">-Y169</f>
        <v>-7.91</v>
      </c>
      <c r="Z200" s="20" t="n">
        <f aca="false">-Z169</f>
        <v>-15.106</v>
      </c>
      <c r="AA200" s="20" t="n">
        <f aca="false">-AA169</f>
        <v>-40.968</v>
      </c>
      <c r="AB200" s="20" t="n">
        <f aca="false">-AB169</f>
        <v>63.472</v>
      </c>
      <c r="AC200" s="20" t="n">
        <f aca="false">-AC169</f>
        <v>-0.512</v>
      </c>
      <c r="AD200" s="20" t="n">
        <f aca="false">-AD169</f>
        <v>-7.521</v>
      </c>
      <c r="AE200" s="20" t="n">
        <f aca="false">-AE169</f>
        <v>-6.604</v>
      </c>
      <c r="AF200" s="20" t="n">
        <f aca="false">-AF169</f>
        <v>-4.67</v>
      </c>
      <c r="AG200" s="20" t="n">
        <f aca="false">-AG169</f>
        <v>-3.804</v>
      </c>
      <c r="AH200" s="20" t="n">
        <f aca="false">-AH169</f>
        <v>-22.599</v>
      </c>
      <c r="AI200" s="20" t="n">
        <f aca="false">-AI169</f>
        <v>-7.917</v>
      </c>
      <c r="AJ200" s="20" t="n">
        <f aca="false">-AJ169</f>
        <v>-9.45</v>
      </c>
      <c r="AK200" s="20" t="n">
        <f aca="false">-AK169</f>
        <v>-10.652</v>
      </c>
      <c r="AL200" s="20" t="n">
        <f aca="false">-AL169</f>
        <v>-6.097</v>
      </c>
      <c r="AM200" s="20" t="n">
        <f aca="false">-AM169</f>
        <v>-34.116</v>
      </c>
      <c r="AN200" s="20" t="n">
        <f aca="false">-AN169</f>
        <v>-16.386</v>
      </c>
      <c r="AO200" s="20" t="n">
        <f aca="false">-AO169</f>
        <v>-15.306</v>
      </c>
      <c r="AP200" s="20" t="n">
        <f aca="false">-AP169</f>
        <v>-1.624</v>
      </c>
      <c r="AQ200" s="20" t="n">
        <f aca="false">-AQ169</f>
        <v>-51.891</v>
      </c>
      <c r="AR200" s="20" t="n">
        <f aca="false">-AR169</f>
        <v>-85.207</v>
      </c>
      <c r="AS200" s="20" t="n">
        <f aca="false">-AS169</f>
        <v>-12.809</v>
      </c>
      <c r="AT200" s="20" t="n">
        <f aca="false">-AT169</f>
        <v>-11.096</v>
      </c>
      <c r="AU200" s="20" t="n">
        <f aca="false">-AU169</f>
        <v>-11.496</v>
      </c>
      <c r="AV200" s="20" t="n">
        <f aca="false">-AV169</f>
        <v>33.943</v>
      </c>
      <c r="AW200" s="20" t="n">
        <f aca="false">-AW169</f>
        <v>-1.458</v>
      </c>
      <c r="AX200" s="20" t="n">
        <f aca="false">-AX169</f>
        <v>-2.188</v>
      </c>
      <c r="AY200" s="20" t="n">
        <f aca="false">-AY169</f>
        <v>-2.962</v>
      </c>
      <c r="AZ200" s="20" t="n">
        <f aca="false">-AZ169</f>
        <v>-4.34</v>
      </c>
      <c r="BA200" s="20" t="n">
        <f aca="false">-BA169</f>
        <v>26.472</v>
      </c>
      <c r="BB200" s="20" t="n">
        <f aca="false">-BB169</f>
        <v>16.982</v>
      </c>
      <c r="BC200" s="20" t="n">
        <f aca="false">-BC169</f>
        <v>-4.165</v>
      </c>
      <c r="BD200" s="20" t="n">
        <f aca="false">-BD169</f>
        <v>-2.971</v>
      </c>
      <c r="BE200" s="20" t="n">
        <f aca="false">-BE169</f>
        <v>-3.29</v>
      </c>
      <c r="BF200" s="20" t="n">
        <f aca="false">-BF169</f>
        <v>5.392</v>
      </c>
      <c r="BG200" s="20" t="n">
        <f aca="false">-BG169</f>
        <v>-5.034</v>
      </c>
      <c r="BH200" s="20" t="n">
        <f aca="false">-BH169</f>
        <v>-2.459</v>
      </c>
      <c r="BI200" s="20" t="n">
        <f aca="false">-BI169</f>
        <v>-6.525</v>
      </c>
      <c r="BJ200" s="20" t="n">
        <f aca="false">-BJ169</f>
        <v>-7.222</v>
      </c>
      <c r="BK200" s="20" t="n">
        <f aca="false">-BK169</f>
        <v>-17.769</v>
      </c>
      <c r="BL200" s="20" t="n">
        <f aca="false">-BL169</f>
        <v>-33.975</v>
      </c>
      <c r="BM200" s="20" t="n">
        <f aca="false">-BM169</f>
        <v>-0.444</v>
      </c>
      <c r="BN200" s="20" t="n">
        <f aca="false">-BN169</f>
        <v>-0.267</v>
      </c>
      <c r="BO200" s="21" t="n">
        <f aca="false">-BO169</f>
        <v>-0.3555</v>
      </c>
      <c r="BP200" s="21" t="n">
        <f aca="false">-BP169</f>
        <v>-0.3555</v>
      </c>
      <c r="BQ200" s="21" t="n">
        <f aca="false">-BQ169</f>
        <v>-1.422</v>
      </c>
      <c r="BR200" s="21" t="n">
        <f aca="false">-BR169</f>
        <v>-2</v>
      </c>
      <c r="BS200" s="21" t="n">
        <f aca="false">-BS169</f>
        <v>-2</v>
      </c>
      <c r="BT200" s="21" t="n">
        <f aca="false">-BT169</f>
        <v>-2</v>
      </c>
      <c r="BU200" s="21" t="n">
        <f aca="false">-BU169</f>
        <v>-2</v>
      </c>
      <c r="BV200" s="15"/>
    </row>
    <row r="201" customFormat="false" ht="15" hidden="false" customHeight="false" outlineLevel="0" collapsed="false">
      <c r="B201" s="13" t="s">
        <v>369</v>
      </c>
      <c r="C201" s="19"/>
      <c r="D201" s="19"/>
      <c r="E201" s="20" t="n">
        <f aca="false">E181</f>
        <v>11.446</v>
      </c>
      <c r="F201" s="20" t="n">
        <f aca="false">F181</f>
        <v>12.3</v>
      </c>
      <c r="G201" s="20" t="n">
        <f aca="false">G181</f>
        <v>12.461</v>
      </c>
      <c r="H201" s="20" t="n">
        <f aca="false">H181</f>
        <v>38.93</v>
      </c>
      <c r="I201" s="20" t="n">
        <f aca="false">I181</f>
        <v>75.137</v>
      </c>
      <c r="J201" s="20" t="n">
        <f aca="false">J181</f>
        <v>15.11</v>
      </c>
      <c r="K201" s="20" t="n">
        <f aca="false">K181</f>
        <v>15.147</v>
      </c>
      <c r="L201" s="20" t="n">
        <f aca="false">L181</f>
        <v>13.295</v>
      </c>
      <c r="M201" s="20" t="n">
        <f aca="false">M181</f>
        <v>13.611</v>
      </c>
      <c r="N201" s="20" t="n">
        <f aca="false">N181</f>
        <v>57.163</v>
      </c>
      <c r="O201" s="20" t="n">
        <f aca="false">O181</f>
        <v>11.905</v>
      </c>
      <c r="P201" s="20" t="n">
        <f aca="false">P181</f>
        <v>12.764</v>
      </c>
      <c r="Q201" s="20" t="n">
        <f aca="false">Q181</f>
        <v>12.421</v>
      </c>
      <c r="R201" s="20" t="n">
        <f aca="false">R181</f>
        <v>13.464</v>
      </c>
      <c r="S201" s="20" t="n">
        <f aca="false">S181</f>
        <v>50.554</v>
      </c>
      <c r="T201" s="20" t="n">
        <f aca="false">T181</f>
        <v>13.976</v>
      </c>
      <c r="U201" s="20" t="n">
        <f aca="false">U181</f>
        <v>14.223</v>
      </c>
      <c r="V201" s="20" t="n">
        <f aca="false">V181</f>
        <v>13.936</v>
      </c>
      <c r="W201" s="20" t="n">
        <f aca="false">W181</f>
        <v>14.422</v>
      </c>
      <c r="X201" s="20" t="n">
        <f aca="false">X181</f>
        <v>56.557</v>
      </c>
      <c r="Y201" s="20" t="n">
        <f aca="false">Y181</f>
        <v>14.061</v>
      </c>
      <c r="Z201" s="20" t="n">
        <f aca="false">Z181</f>
        <v>14.359</v>
      </c>
      <c r="AA201" s="20" t="n">
        <f aca="false">AA181</f>
        <v>15.272</v>
      </c>
      <c r="AB201" s="20" t="n">
        <f aca="false">AB181</f>
        <v>16.405</v>
      </c>
      <c r="AC201" s="20" t="n">
        <f aca="false">AC181</f>
        <v>60.097</v>
      </c>
      <c r="AD201" s="20" t="n">
        <f aca="false">AD181</f>
        <v>15.122</v>
      </c>
      <c r="AE201" s="20" t="n">
        <f aca="false">AE181</f>
        <v>15.711</v>
      </c>
      <c r="AF201" s="20" t="n">
        <f aca="false">AF181</f>
        <v>15.195</v>
      </c>
      <c r="AG201" s="20" t="n">
        <f aca="false">AG181</f>
        <v>15.693</v>
      </c>
      <c r="AH201" s="20" t="n">
        <f aca="false">AH181</f>
        <v>61.722</v>
      </c>
      <c r="AI201" s="20" t="n">
        <f aca="false">AI181</f>
        <v>15.614</v>
      </c>
      <c r="AJ201" s="20" t="n">
        <f aca="false">AJ181</f>
        <v>14.951</v>
      </c>
      <c r="AK201" s="20" t="n">
        <f aca="false">AK181</f>
        <v>14.893</v>
      </c>
      <c r="AL201" s="20" t="n">
        <f aca="false">AL181</f>
        <v>15.216</v>
      </c>
      <c r="AM201" s="20" t="n">
        <f aca="false">AM181</f>
        <v>60.674</v>
      </c>
      <c r="AN201" s="20" t="n">
        <f aca="false">AN181</f>
        <v>15.897</v>
      </c>
      <c r="AO201" s="20" t="n">
        <f aca="false">AO181</f>
        <v>17.095</v>
      </c>
      <c r="AP201" s="20" t="n">
        <f aca="false">AP181</f>
        <v>17.484</v>
      </c>
      <c r="AQ201" s="20" t="n">
        <f aca="false">AQ181</f>
        <v>18.604</v>
      </c>
      <c r="AR201" s="20" t="n">
        <f aca="false">AR181</f>
        <v>69.08</v>
      </c>
      <c r="AS201" s="20" t="n">
        <f aca="false">AS181</f>
        <v>17.62</v>
      </c>
      <c r="AT201" s="20" t="n">
        <f aca="false">AT181</f>
        <v>18.596</v>
      </c>
      <c r="AU201" s="20" t="n">
        <f aca="false">AU181</f>
        <v>18.592</v>
      </c>
      <c r="AV201" s="20" t="n">
        <f aca="false">AV181</f>
        <v>19.034</v>
      </c>
      <c r="AW201" s="20" t="n">
        <f aca="false">AW181</f>
        <v>73.842</v>
      </c>
      <c r="AX201" s="20" t="n">
        <f aca="false">AX181</f>
        <v>19.02</v>
      </c>
      <c r="AY201" s="20" t="n">
        <f aca="false">AY181</f>
        <v>19.384</v>
      </c>
      <c r="AZ201" s="20" t="n">
        <f aca="false">AZ181</f>
        <v>19.801</v>
      </c>
      <c r="BA201" s="20" t="n">
        <f aca="false">BA181</f>
        <v>20.361</v>
      </c>
      <c r="BB201" s="20" t="n">
        <f aca="false">BB181</f>
        <v>78.566</v>
      </c>
      <c r="BC201" s="20" t="n">
        <f aca="false">BC181</f>
        <v>20.552</v>
      </c>
      <c r="BD201" s="20" t="n">
        <f aca="false">BD181</f>
        <v>21.609</v>
      </c>
      <c r="BE201" s="20" t="n">
        <f aca="false">BE181</f>
        <v>21.269</v>
      </c>
      <c r="BF201" s="20" t="n">
        <f aca="false">BF181</f>
        <v>22.433</v>
      </c>
      <c r="BG201" s="20" t="n">
        <f aca="false">BG181</f>
        <v>85.862</v>
      </c>
      <c r="BH201" s="20" t="n">
        <f aca="false">BH181</f>
        <v>23.912</v>
      </c>
      <c r="BI201" s="20" t="n">
        <f aca="false">BI181</f>
        <v>27.259</v>
      </c>
      <c r="BJ201" s="20" t="n">
        <f aca="false">BJ181</f>
        <v>28.458</v>
      </c>
      <c r="BK201" s="20" t="n">
        <f aca="false">BK181</f>
        <v>29.556</v>
      </c>
      <c r="BL201" s="20" t="n">
        <f aca="false">BL181</f>
        <v>109.186</v>
      </c>
      <c r="BM201" s="20" t="n">
        <f aca="false">BM181</f>
        <v>29.013</v>
      </c>
      <c r="BN201" s="20" t="n">
        <f aca="false">BN181</f>
        <v>31.362</v>
      </c>
      <c r="BO201" s="21" t="n">
        <f aca="false">BO181</f>
        <v>35.7447150420619</v>
      </c>
      <c r="BP201" s="21" t="n">
        <f aca="false">BP181</f>
        <v>36.3597849797272</v>
      </c>
      <c r="BQ201" s="21" t="n">
        <f aca="false">BQ181</f>
        <v>132.479500021789</v>
      </c>
      <c r="BR201" s="21" t="n">
        <f aca="false">BR181</f>
        <v>163.780732092423</v>
      </c>
      <c r="BS201" s="21" t="n">
        <f aca="false">BS181</f>
        <v>184.026611536211</v>
      </c>
      <c r="BT201" s="21" t="n">
        <f aca="false">BT181</f>
        <v>209.562563046147</v>
      </c>
      <c r="BU201" s="21" t="n">
        <f aca="false">BU181</f>
        <v>231.604285074626</v>
      </c>
      <c r="BV201" s="15"/>
    </row>
    <row r="202" customFormat="false" ht="15" hidden="false" customHeight="false" outlineLevel="0" collapsed="false">
      <c r="B202" s="60" t="s">
        <v>370</v>
      </c>
      <c r="C202" s="61"/>
      <c r="D202" s="61"/>
      <c r="E202" s="62" t="n">
        <f aca="false">IF(ISNUMBER(E201),E196+E197+E198+E199+E200+E201,"")</f>
        <v>56.075</v>
      </c>
      <c r="F202" s="62" t="n">
        <f aca="false">IF(ISNUMBER(F201),F196+F197+F198+F199+F200+F201,"")</f>
        <v>39.757</v>
      </c>
      <c r="G202" s="62" t="n">
        <f aca="false">IF(ISNUMBER(G201),G196+G197+G198+G199+G200+G201,"")</f>
        <v>47.192</v>
      </c>
      <c r="H202" s="62" t="n">
        <f aca="false">IF(ISNUMBER(H201),H196+H197+H198+H199+H200+H201,"")</f>
        <v>-42.762</v>
      </c>
      <c r="I202" s="62" t="n">
        <f aca="false">IF(ISNUMBER(I201),I196+I197+I198+I199+I200+I201,"")</f>
        <v>100.262</v>
      </c>
      <c r="J202" s="62" t="n">
        <f aca="false">IF(ISNUMBER(J201),J196+J197+J198+J199+J200+J201,"")</f>
        <v>68.893</v>
      </c>
      <c r="K202" s="62" t="n">
        <f aca="false">IF(ISNUMBER(K201),K196+K197+K198+K199+K200+K201,"")</f>
        <v>26.732</v>
      </c>
      <c r="L202" s="62" t="n">
        <f aca="false">IF(ISNUMBER(L201),L196+L197+L198+L199+L200+L201,"")</f>
        <v>144.261</v>
      </c>
      <c r="M202" s="62" t="n">
        <f aca="false">IF(ISNUMBER(M201),M196+M197+M198+M199+M200+M201,"")</f>
        <v>23.218</v>
      </c>
      <c r="N202" s="62" t="n">
        <f aca="false">IF(ISNUMBER(N201),N196+N197+N198+N199+N200+N201,"")</f>
        <v>263.104</v>
      </c>
      <c r="O202" s="62" t="n">
        <f aca="false">IF(ISNUMBER(O201),O196+O197+O198+O199+O200+O201,"")</f>
        <v>54.514</v>
      </c>
      <c r="P202" s="62" t="n">
        <f aca="false">IF(ISNUMBER(P201),P196+P197+P198+P199+P200+P201,"")</f>
        <v>101.222</v>
      </c>
      <c r="Q202" s="62" t="n">
        <f aca="false">IF(ISNUMBER(Q201),Q196+Q197+Q198+Q199+Q200+Q201,"")</f>
        <v>74.794</v>
      </c>
      <c r="R202" s="62" t="n">
        <f aca="false">IF(ISNUMBER(R201),R196+R197+R198+R199+R200+R201,"")</f>
        <v>59.287</v>
      </c>
      <c r="S202" s="62" t="n">
        <f aca="false">IF(ISNUMBER(S201),S196+S197+S198+S199+S200+S201,"")</f>
        <v>289.817</v>
      </c>
      <c r="T202" s="62" t="n">
        <f aca="false">IF(ISNUMBER(T201),T196+T197+T198+T199+T200+T201,"")</f>
        <v>97.181</v>
      </c>
      <c r="U202" s="62" t="n">
        <f aca="false">IF(ISNUMBER(U201),U196+U197+U198+U199+U200+U201,"")</f>
        <v>106.57</v>
      </c>
      <c r="V202" s="62" t="n">
        <f aca="false">IF(ISNUMBER(V201),V196+V197+V198+V199+V200+V201,"")</f>
        <v>87.6170000000001</v>
      </c>
      <c r="W202" s="62" t="n">
        <f aca="false">IF(ISNUMBER(W201),W196+W197+W198+W199+W200+W201,"")</f>
        <v>74.074</v>
      </c>
      <c r="X202" s="62" t="n">
        <f aca="false">IF(ISNUMBER(X201),X196+X197+X198+X199+X200+X201,"")</f>
        <v>365.442</v>
      </c>
      <c r="Y202" s="62" t="n">
        <f aca="false">IF(ISNUMBER(Y201),Y196+Y197+Y198+Y199+Y200+Y201,"")</f>
        <v>93.949</v>
      </c>
      <c r="Z202" s="62" t="n">
        <f aca="false">IF(ISNUMBER(Z201),Z196+Z197+Z198+Z199+Z200+Z201,"")</f>
        <v>85.908</v>
      </c>
      <c r="AA202" s="62" t="n">
        <f aca="false">IF(ISNUMBER(AA201),AA196+AA197+AA198+AA199+AA200+AA201,"")</f>
        <v>65.667</v>
      </c>
      <c r="AB202" s="62" t="n">
        <f aca="false">IF(ISNUMBER(AB201),AB196+AB197+AB198+AB199+AB200+AB201,"")</f>
        <v>119.55</v>
      </c>
      <c r="AC202" s="62" t="n">
        <f aca="false">IF(ISNUMBER(AC201),AC196+AC197+AC198+AC199+AC200+AC201,"")</f>
        <v>365.074</v>
      </c>
      <c r="AD202" s="62" t="n">
        <f aca="false">IF(ISNUMBER(AD201),AD196+AD197+AD198+AD199+AD200+AD201,"")</f>
        <v>78.766</v>
      </c>
      <c r="AE202" s="62" t="n">
        <f aca="false">IF(ISNUMBER(AE201),AE196+AE197+AE198+AE199+AE200+AE201,"")</f>
        <v>96.246</v>
      </c>
      <c r="AF202" s="62" t="n">
        <f aca="false">IF(ISNUMBER(AF201),AF196+AF197+AF198+AF199+AF200+AF201,"")</f>
        <v>113.657</v>
      </c>
      <c r="AG202" s="62" t="n">
        <f aca="false">IF(ISNUMBER(AG201),AG196+AG197+AG198+AG199+AG200+AG201,"")</f>
        <v>98.573</v>
      </c>
      <c r="AH202" s="62" t="n">
        <f aca="false">IF(ISNUMBER(AH201),AH196+AH197+AH198+AH199+AH200+AH201,"")</f>
        <v>387.243</v>
      </c>
      <c r="AI202" s="62" t="n">
        <f aca="false">IF(ISNUMBER(AI201),AI196+AI197+AI198+AI199+AI200+AI201,"")</f>
        <v>113.881</v>
      </c>
      <c r="AJ202" s="62" t="n">
        <f aca="false">IF(ISNUMBER(AJ201),AJ196+AJ197+AJ198+AJ199+AJ200+AJ201,"")</f>
        <v>97.385</v>
      </c>
      <c r="AK202" s="62" t="n">
        <f aca="false">IF(ISNUMBER(AK201),AK196+AK197+AK198+AK199+AK200+AK201,"")</f>
        <v>103.663</v>
      </c>
      <c r="AL202" s="62" t="n">
        <f aca="false">IF(ISNUMBER(AL201),AL196+AL197+AL198+AL199+AL200+AL201,"")</f>
        <v>104.297</v>
      </c>
      <c r="AM202" s="62" t="n">
        <f aca="false">IF(ISNUMBER(AM201),AM196+AM197+AM198+AM199+AM200+AM201,"")</f>
        <v>419.226</v>
      </c>
      <c r="AN202" s="62" t="n">
        <f aca="false">IF(ISNUMBER(AN201),AN196+AN197+AN198+AN199+AN200+AN201,"")</f>
        <v>98.3110000000001</v>
      </c>
      <c r="AO202" s="62" t="n">
        <f aca="false">IF(ISNUMBER(AO201),AO196+AO197+AO198+AO199+AO200+AO201,"")</f>
        <v>90.846</v>
      </c>
      <c r="AP202" s="62" t="n">
        <f aca="false">IF(ISNUMBER(AP201),AP196+AP197+AP198+AP199+AP200+AP201,"")</f>
        <v>104.952</v>
      </c>
      <c r="AQ202" s="62" t="n">
        <f aca="false">IF(ISNUMBER(AQ201),AQ196+AQ197+AQ198+AQ199+AQ200+AQ201,"")</f>
        <v>120.819</v>
      </c>
      <c r="AR202" s="62" t="n">
        <f aca="false">IF(ISNUMBER(AR201),AR196+AR197+AR198+AR199+AR200+AR201,"")</f>
        <v>414.928</v>
      </c>
      <c r="AS202" s="62" t="n">
        <f aca="false">IF(ISNUMBER(AS201),AS196+AS197+AS198+AS199+AS200+AS201,"")</f>
        <v>89.1930000000001</v>
      </c>
      <c r="AT202" s="62" t="n">
        <f aca="false">IF(ISNUMBER(AT201),AT196+AT197+AT198+AT199+AT200+AT201,"")</f>
        <v>113.833</v>
      </c>
      <c r="AU202" s="62" t="n">
        <f aca="false">IF(ISNUMBER(AU201),AU196+AU197+AU198+AU199+AU200+AU201,"")</f>
        <v>98.47</v>
      </c>
      <c r="AV202" s="62" t="n">
        <f aca="false">IF(ISNUMBER(AV201),AV196+AV197+AV198+AV199+AV200+AV201,"")</f>
        <v>120.917</v>
      </c>
      <c r="AW202" s="62" t="n">
        <f aca="false">IF(ISNUMBER(AW201),AW196+AW197+AW198+AW199+AW200+AW201,"")</f>
        <v>422.413</v>
      </c>
      <c r="AX202" s="62" t="n">
        <f aca="false">IF(ISNUMBER(AX201),AX196+AX197+AX198+AX199+AX200+AX201,"")</f>
        <v>106.862</v>
      </c>
      <c r="AY202" s="62" t="n">
        <f aca="false">IF(ISNUMBER(AY201),AY196+AY197+AY198+AY199+AY200+AY201,"")</f>
        <v>106.05</v>
      </c>
      <c r="AZ202" s="62" t="n">
        <f aca="false">IF(ISNUMBER(AZ201),AZ196+AZ197+AZ198+AZ199+AZ200+AZ201,"")</f>
        <v>105.159</v>
      </c>
      <c r="BA202" s="62" t="n">
        <f aca="false">IF(ISNUMBER(BA201),BA196+BA197+BA198+BA199+BA200+BA201,"")</f>
        <v>143.554</v>
      </c>
      <c r="BB202" s="62" t="n">
        <f aca="false">IF(ISNUMBER(BB201),BB196+BB197+BB198+BB199+BB200+BB201,"")</f>
        <v>461.625</v>
      </c>
      <c r="BC202" s="62" t="n">
        <f aca="false">IF(ISNUMBER(BC201),BC196+BC197+BC198+BC199+BC200+BC201,"")</f>
        <v>113.513</v>
      </c>
      <c r="BD202" s="62" t="n">
        <f aca="false">IF(ISNUMBER(BD201),BD196+BD197+BD198+BD199+BD200+BD201,"")</f>
        <v>120.415</v>
      </c>
      <c r="BE202" s="62" t="n">
        <f aca="false">IF(ISNUMBER(BE201),BE196+BE197+BE198+BE199+BE200+BE201,"")</f>
        <v>117.847</v>
      </c>
      <c r="BF202" s="62" t="n">
        <f aca="false">IF(ISNUMBER(BF201),BF196+BF197+BF198+BF199+BF200+BF201,"")</f>
        <v>114.695</v>
      </c>
      <c r="BG202" s="62" t="n">
        <f aca="false">IF(ISNUMBER(BG201),BG196+BG197+BG198+BG199+BG200+BG201,"")</f>
        <v>466.469</v>
      </c>
      <c r="BH202" s="62" t="n">
        <f aca="false">IF(ISNUMBER(BH201),BH196+BH197+BH198+BH199+BH200+BH201,"")</f>
        <v>120.542</v>
      </c>
      <c r="BI202" s="62" t="n">
        <f aca="false">IF(ISNUMBER(BI201),BI196+BI197+BI198+BI199+BI200+BI201,"")</f>
        <v>129.683</v>
      </c>
      <c r="BJ202" s="62" t="n">
        <f aca="false">IF(ISNUMBER(BJ201),BJ196+BJ197+BJ198+BJ199+BJ200+BJ201,"")</f>
        <v>141.807</v>
      </c>
      <c r="BK202" s="62" t="n">
        <f aca="false">IF(ISNUMBER(BK201),BK196+BK197+BK198+BK199+BK200+BK201,"")</f>
        <v>121.612</v>
      </c>
      <c r="BL202" s="62" t="n">
        <f aca="false">IF(ISNUMBER(BL201),BL196+BL197+BL198+BL199+BL200+BL201,"")</f>
        <v>513.645</v>
      </c>
      <c r="BM202" s="62" t="n">
        <f aca="false">IF(ISNUMBER(BM201),BM196+BM197+BM198+BM199+BM200+BM201,"")</f>
        <v>135.704</v>
      </c>
      <c r="BN202" s="62" t="n">
        <f aca="false">IF(ISNUMBER(BN201),BN196+BN197+BN198+BN199+BN200+BN201,"")</f>
        <v>145.498</v>
      </c>
      <c r="BO202" s="62" t="n">
        <f aca="false">BO196+BO197+BO198+BO199+BO200+BO201</f>
        <v>168.829744060181</v>
      </c>
      <c r="BP202" s="62" t="n">
        <f aca="false">BP196+BP197+BP198+BP199+BP200+BP201</f>
        <v>173.168255939819</v>
      </c>
      <c r="BQ202" s="62" t="n">
        <f aca="false">BQ196+BQ197+BQ198+BQ199+BQ200+BQ201</f>
        <v>623.199999999999</v>
      </c>
      <c r="BR202" s="62" t="n">
        <f aca="false">BR196+BR197+BR198+BR199+BR200+BR201</f>
        <v>1316.83928731302</v>
      </c>
      <c r="BS202" s="62" t="n">
        <f aca="false">BS196+BS197+BS198+BS199+BS200+BS201</f>
        <v>833.222076882959</v>
      </c>
      <c r="BT202" s="62" t="n">
        <f aca="false">BT196+BT197+BT198+BT199+BT200+BT201</f>
        <v>947.410762593439</v>
      </c>
      <c r="BU202" s="62" t="n">
        <f aca="false">BU196+BU197+BU198+BU199+BU200+BU201</f>
        <v>1052.91726135156</v>
      </c>
      <c r="BV202" s="15"/>
      <c r="BX202" s="25" t="n">
        <f aca="false">IFERROR((BU202/BL202)^(1/5)-1,"n/m")</f>
        <v>0.154373201396248</v>
      </c>
      <c r="BY202" s="25" t="n">
        <f aca="false">IFERROR((BL202/AM202)^(1/5)-1,"n/m")</f>
        <v>0.0414609034031919</v>
      </c>
      <c r="BZ202" s="25" t="n">
        <f aca="false">IFERROR((BL202/N202)^(1/10)-1,"n/m")</f>
        <v>0.069186733583249</v>
      </c>
      <c r="CA202" s="25" t="str">
        <f aca="false">IFERROR((BL202/D202)^(1/12)-1,"n/m")</f>
        <v>n/m</v>
      </c>
    </row>
    <row r="203" customFormat="false" ht="15" hidden="false" customHeight="false" outlineLevel="0" collapsed="false">
      <c r="B203" s="13" t="s">
        <v>371</v>
      </c>
      <c r="C203" s="19"/>
      <c r="D203" s="19"/>
      <c r="E203" s="24" t="n">
        <v>0</v>
      </c>
      <c r="F203" s="24" t="n">
        <v>0</v>
      </c>
      <c r="G203" s="24" t="n">
        <v>9.1</v>
      </c>
      <c r="H203" s="24" t="n">
        <v>132.1</v>
      </c>
      <c r="I203" s="24" t="n">
        <v>141.1</v>
      </c>
      <c r="J203" s="24" t="n">
        <v>0</v>
      </c>
      <c r="K203" s="24" t="n">
        <v>2.2</v>
      </c>
      <c r="L203" s="24" t="n">
        <v>0</v>
      </c>
      <c r="M203" s="24" t="n">
        <v>52.5</v>
      </c>
      <c r="N203" s="24" t="n">
        <v>54.7</v>
      </c>
      <c r="O203" s="24" t="n">
        <v>0</v>
      </c>
      <c r="P203" s="24" t="n">
        <v>0</v>
      </c>
      <c r="Q203" s="24" t="n">
        <v>0</v>
      </c>
      <c r="R203" s="24" t="n">
        <v>21.5</v>
      </c>
      <c r="S203" s="24" t="n">
        <v>21.5</v>
      </c>
      <c r="T203" s="24" t="n">
        <v>0</v>
      </c>
      <c r="U203" s="24" t="n">
        <v>0</v>
      </c>
      <c r="V203" s="24" t="n">
        <v>0</v>
      </c>
      <c r="W203" s="24" t="n">
        <v>11</v>
      </c>
      <c r="X203" s="24" t="n">
        <v>11</v>
      </c>
      <c r="Y203" s="24" t="n">
        <v>0</v>
      </c>
      <c r="Z203" s="24" t="n">
        <v>0</v>
      </c>
      <c r="AA203" s="24" t="n">
        <v>0</v>
      </c>
      <c r="AB203" s="24" t="n">
        <v>0</v>
      </c>
      <c r="AC203" s="24" t="n">
        <v>0</v>
      </c>
      <c r="AD203" s="24" t="n">
        <v>0</v>
      </c>
      <c r="AE203" s="24" t="n">
        <v>0</v>
      </c>
      <c r="AF203" s="24" t="n">
        <v>0</v>
      </c>
      <c r="AG203" s="24" t="n">
        <v>0</v>
      </c>
      <c r="AH203" s="24" t="n">
        <v>0</v>
      </c>
      <c r="AI203" s="24" t="n">
        <v>0</v>
      </c>
      <c r="AJ203" s="24" t="n">
        <v>0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0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39" t="n">
        <v>0</v>
      </c>
      <c r="BP203" s="39" t="n">
        <v>0</v>
      </c>
      <c r="BQ203" s="21" t="n">
        <f aca="false">SUM(BM203:BP203)</f>
        <v>0</v>
      </c>
      <c r="BR203" s="39" t="n">
        <v>0</v>
      </c>
      <c r="BS203" s="39" t="n">
        <v>0</v>
      </c>
      <c r="BT203" s="39" t="n">
        <v>0</v>
      </c>
      <c r="BU203" s="39" t="n">
        <v>0</v>
      </c>
      <c r="BV203" s="15" t="s">
        <v>372</v>
      </c>
    </row>
    <row r="204" customFormat="false" ht="15" hidden="false" customHeight="false" outlineLevel="0" collapsed="false">
      <c r="B204" s="13" t="s">
        <v>373</v>
      </c>
      <c r="C204" s="19"/>
      <c r="D204" s="19"/>
      <c r="E204" s="24" t="n">
        <v>1.2</v>
      </c>
      <c r="F204" s="24" t="n">
        <v>25.2</v>
      </c>
      <c r="G204" s="24" t="n">
        <v>5.9</v>
      </c>
      <c r="H204" s="24" t="n">
        <v>4.1</v>
      </c>
      <c r="I204" s="24" t="n">
        <v>36.3</v>
      </c>
      <c r="J204" s="24" t="n">
        <v>1.7</v>
      </c>
      <c r="K204" s="24" t="n">
        <v>40.9</v>
      </c>
      <c r="L204" s="24" t="n">
        <v>0</v>
      </c>
      <c r="M204" s="24" t="n">
        <v>0</v>
      </c>
      <c r="N204" s="24" t="n">
        <v>42.6</v>
      </c>
      <c r="O204" s="24" t="n">
        <v>0</v>
      </c>
      <c r="P204" s="24" t="n">
        <v>0</v>
      </c>
      <c r="Q204" s="24" t="n">
        <v>0</v>
      </c>
      <c r="R204" s="24" t="n">
        <v>4.5</v>
      </c>
      <c r="S204" s="24" t="n">
        <v>4.5</v>
      </c>
      <c r="T204" s="24" t="n">
        <v>0</v>
      </c>
      <c r="U204" s="24" t="n">
        <v>0</v>
      </c>
      <c r="V204" s="24" t="n">
        <v>0</v>
      </c>
      <c r="W204" s="24" t="n">
        <v>2.6</v>
      </c>
      <c r="X204" s="24" t="n">
        <v>2.6</v>
      </c>
      <c r="Y204" s="24" t="n">
        <v>0</v>
      </c>
      <c r="Z204" s="24" t="n">
        <v>0</v>
      </c>
      <c r="AA204" s="24" t="n">
        <v>0</v>
      </c>
      <c r="AB204" s="24" t="n">
        <v>0</v>
      </c>
      <c r="AC204" s="24" t="n">
        <v>0</v>
      </c>
      <c r="AD204" s="24" t="n">
        <v>0</v>
      </c>
      <c r="AE204" s="24" t="n">
        <v>0.3</v>
      </c>
      <c r="AF204" s="24" t="n">
        <v>0.6</v>
      </c>
      <c r="AG204" s="24" t="n">
        <v>4.9</v>
      </c>
      <c r="AH204" s="24" t="n">
        <v>5.8</v>
      </c>
      <c r="AI204" s="24" t="n">
        <v>0.2</v>
      </c>
      <c r="AJ204" s="24" t="n">
        <v>1.3</v>
      </c>
      <c r="AK204" s="24" t="n">
        <v>0.5</v>
      </c>
      <c r="AL204" s="24" t="n">
        <v>0.4</v>
      </c>
      <c r="AM204" s="24" t="n">
        <v>2.3</v>
      </c>
      <c r="AN204" s="24" t="n">
        <v>0</v>
      </c>
      <c r="AO204" s="24" t="n">
        <v>0</v>
      </c>
      <c r="AP204" s="24" t="n">
        <v>0.8</v>
      </c>
      <c r="AQ204" s="24" t="n">
        <v>2.4</v>
      </c>
      <c r="AR204" s="24" t="n">
        <v>3.1</v>
      </c>
      <c r="AS204" s="24" t="n">
        <v>4.1</v>
      </c>
      <c r="AT204" s="24" t="n">
        <v>0.3</v>
      </c>
      <c r="AU204" s="24" t="n">
        <v>1.2</v>
      </c>
      <c r="AV204" s="24" t="n">
        <v>2.6</v>
      </c>
      <c r="AW204" s="24" t="n">
        <v>8.2</v>
      </c>
      <c r="AX204" s="24" t="n">
        <v>3.5</v>
      </c>
      <c r="AY204" s="24" t="n">
        <v>0.9</v>
      </c>
      <c r="AZ204" s="24" t="n">
        <v>1.1</v>
      </c>
      <c r="BA204" s="24" t="n">
        <v>4</v>
      </c>
      <c r="BB204" s="24" t="n">
        <v>9.6</v>
      </c>
      <c r="BC204" s="24" t="n">
        <v>1.6</v>
      </c>
      <c r="BD204" s="24" t="n">
        <v>5.8</v>
      </c>
      <c r="BE204" s="24" t="n">
        <v>6</v>
      </c>
      <c r="BF204" s="24" t="n">
        <v>7.8</v>
      </c>
      <c r="BG204" s="24" t="n">
        <v>21.2</v>
      </c>
      <c r="BH204" s="24" t="n">
        <v>4.8</v>
      </c>
      <c r="BI204" s="24" t="n">
        <v>9</v>
      </c>
      <c r="BJ204" s="24" t="n">
        <v>5.1</v>
      </c>
      <c r="BK204" s="24" t="n">
        <v>10.7</v>
      </c>
      <c r="BL204" s="24" t="n">
        <v>29.6</v>
      </c>
      <c r="BM204" s="24" t="n">
        <v>7.3</v>
      </c>
      <c r="BN204" s="24" t="n">
        <v>6.2</v>
      </c>
      <c r="BO204" s="21" t="n">
        <f aca="false">BO105-BO154</f>
        <v>10.8</v>
      </c>
      <c r="BP204" s="21" t="n">
        <f aca="false">BP105-BP154</f>
        <v>10.8</v>
      </c>
      <c r="BQ204" s="21" t="n">
        <f aca="false">SUM(BM204:BP204)</f>
        <v>35.1</v>
      </c>
      <c r="BR204" s="21" t="n">
        <f aca="false">BR105-BR154</f>
        <v>25</v>
      </c>
      <c r="BS204" s="21" t="n">
        <f aca="false">BS105-BS154</f>
        <v>15</v>
      </c>
      <c r="BT204" s="21" t="n">
        <f aca="false">BT105-BT154</f>
        <v>10</v>
      </c>
      <c r="BU204" s="21" t="n">
        <f aca="false">BU105-BU154</f>
        <v>10</v>
      </c>
      <c r="BV204" s="15" t="s">
        <v>374</v>
      </c>
    </row>
    <row r="205" customFormat="false" ht="15" hidden="false" customHeight="false" outlineLevel="0" collapsed="false">
      <c r="B205" s="13" t="s">
        <v>375</v>
      </c>
      <c r="C205" s="19"/>
      <c r="D205" s="19"/>
      <c r="E205" s="24" t="n">
        <v>0</v>
      </c>
      <c r="F205" s="24" t="n">
        <v>0</v>
      </c>
      <c r="G205" s="24" t="n">
        <v>0</v>
      </c>
      <c r="H205" s="24" t="n">
        <v>0</v>
      </c>
      <c r="I205" s="24" t="n">
        <v>0</v>
      </c>
      <c r="J205" s="24" t="n">
        <v>0</v>
      </c>
      <c r="K205" s="24" t="n">
        <v>0</v>
      </c>
      <c r="L205" s="24" t="n">
        <v>0</v>
      </c>
      <c r="M205" s="24" t="n">
        <v>0</v>
      </c>
      <c r="N205" s="24" t="n">
        <v>0</v>
      </c>
      <c r="O205" s="24" t="n">
        <v>0</v>
      </c>
      <c r="P205" s="24" t="n">
        <v>0</v>
      </c>
      <c r="Q205" s="24" t="n">
        <v>0</v>
      </c>
      <c r="R205" s="24" t="n">
        <v>0</v>
      </c>
      <c r="S205" s="24" t="n">
        <v>0</v>
      </c>
      <c r="T205" s="24" t="n">
        <v>0</v>
      </c>
      <c r="U205" s="24" t="n">
        <v>0</v>
      </c>
      <c r="V205" s="24" t="n">
        <v>0</v>
      </c>
      <c r="W205" s="24" t="n">
        <v>0</v>
      </c>
      <c r="X205" s="24" t="n">
        <v>0</v>
      </c>
      <c r="Y205" s="24" t="n">
        <v>1.6</v>
      </c>
      <c r="Z205" s="24" t="n">
        <v>0</v>
      </c>
      <c r="AA205" s="24" t="n">
        <v>0.9</v>
      </c>
      <c r="AB205" s="24" t="n">
        <v>0</v>
      </c>
      <c r="AC205" s="24" t="n">
        <v>2.5</v>
      </c>
      <c r="AD205" s="24" t="n">
        <v>0</v>
      </c>
      <c r="AE205" s="24" t="n">
        <v>0</v>
      </c>
      <c r="AF205" s="24" t="n">
        <v>0</v>
      </c>
      <c r="AG205" s="24" t="n">
        <v>0.2</v>
      </c>
      <c r="AH205" s="24" t="n">
        <v>0.2</v>
      </c>
      <c r="AI205" s="24" t="n">
        <v>0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1.2</v>
      </c>
      <c r="AT205" s="24" t="n">
        <v>0.6</v>
      </c>
      <c r="AU205" s="24" t="n">
        <v>0.5</v>
      </c>
      <c r="AV205" s="24" t="n">
        <v>0.3</v>
      </c>
      <c r="AW205" s="24" t="n">
        <v>2.6</v>
      </c>
      <c r="AX205" s="24" t="n">
        <v>0.3</v>
      </c>
      <c r="AY205" s="24" t="n">
        <v>0.1</v>
      </c>
      <c r="AZ205" s="24" t="n">
        <v>0.3</v>
      </c>
      <c r="BA205" s="24" t="n">
        <v>0</v>
      </c>
      <c r="BB205" s="24" t="n">
        <v>0.7</v>
      </c>
      <c r="BC205" s="24" t="n">
        <v>0.1</v>
      </c>
      <c r="BD205" s="24" t="n">
        <v>0.1</v>
      </c>
      <c r="BE205" s="24" t="n">
        <v>3.1</v>
      </c>
      <c r="BF205" s="24" t="n">
        <v>4.2</v>
      </c>
      <c r="BG205" s="24" t="n">
        <v>7.4</v>
      </c>
      <c r="BH205" s="24" t="n">
        <v>4.4</v>
      </c>
      <c r="BI205" s="24" t="n">
        <v>7.2</v>
      </c>
      <c r="BJ205" s="24" t="n">
        <v>4.2</v>
      </c>
      <c r="BK205" s="24" t="n">
        <v>15.2</v>
      </c>
      <c r="BL205" s="24" t="n">
        <v>31</v>
      </c>
      <c r="BM205" s="24" t="n">
        <v>5</v>
      </c>
      <c r="BN205" s="24" t="n">
        <v>3.7</v>
      </c>
      <c r="BO205" s="39" t="n">
        <v>0</v>
      </c>
      <c r="BP205" s="39" t="n">
        <v>0</v>
      </c>
      <c r="BQ205" s="21" t="n">
        <f aca="false">SUM(BM205:BP205)</f>
        <v>8.7</v>
      </c>
      <c r="BR205" s="39" t="n">
        <v>0</v>
      </c>
      <c r="BS205" s="39" t="n">
        <v>0</v>
      </c>
      <c r="BT205" s="39" t="n">
        <v>0</v>
      </c>
      <c r="BU205" s="39" t="n">
        <v>0</v>
      </c>
      <c r="BV205" s="15"/>
    </row>
    <row r="206" customFormat="false" ht="15" hidden="false" customHeight="false" outlineLevel="0" collapsed="false">
      <c r="B206" s="13" t="s">
        <v>376</v>
      </c>
      <c r="C206" s="19"/>
      <c r="D206" s="19"/>
      <c r="E206" s="24" t="n">
        <v>0</v>
      </c>
      <c r="F206" s="24" t="n">
        <v>0</v>
      </c>
      <c r="G206" s="24" t="n">
        <v>0</v>
      </c>
      <c r="H206" s="24" t="n">
        <v>16.1</v>
      </c>
      <c r="I206" s="24" t="n">
        <v>16.1</v>
      </c>
      <c r="J206" s="24" t="n">
        <v>0</v>
      </c>
      <c r="K206" s="24" t="n">
        <v>0</v>
      </c>
      <c r="L206" s="24" t="n">
        <v>-65.7</v>
      </c>
      <c r="M206" s="24" t="n">
        <v>0</v>
      </c>
      <c r="N206" s="24" t="n">
        <v>-65.7</v>
      </c>
      <c r="O206" s="24" t="n">
        <v>30</v>
      </c>
      <c r="P206" s="24" t="n">
        <v>-16.1</v>
      </c>
      <c r="Q206" s="24" t="n">
        <v>0</v>
      </c>
      <c r="R206" s="24" t="n">
        <v>0</v>
      </c>
      <c r="S206" s="24" t="n">
        <v>13.9</v>
      </c>
      <c r="T206" s="24" t="n">
        <v>0</v>
      </c>
      <c r="U206" s="24" t="n">
        <v>-7.9</v>
      </c>
      <c r="V206" s="24" t="n">
        <v>0</v>
      </c>
      <c r="W206" s="24" t="n">
        <v>0</v>
      </c>
      <c r="X206" s="24" t="n">
        <v>-7.9</v>
      </c>
      <c r="Y206" s="24" t="n">
        <v>0</v>
      </c>
      <c r="Z206" s="24" t="n">
        <v>0</v>
      </c>
      <c r="AA206" s="24" t="n">
        <v>0</v>
      </c>
      <c r="AB206" s="24" t="n">
        <v>0</v>
      </c>
      <c r="AC206" s="24" t="n">
        <v>0</v>
      </c>
      <c r="AD206" s="24" t="n">
        <v>0</v>
      </c>
      <c r="AE206" s="24" t="n">
        <v>0</v>
      </c>
      <c r="AF206" s="24" t="n">
        <v>0</v>
      </c>
      <c r="AG206" s="24" t="n">
        <v>0</v>
      </c>
      <c r="AH206" s="24" t="n">
        <v>0</v>
      </c>
      <c r="AI206" s="24" t="n">
        <v>0</v>
      </c>
      <c r="AJ206" s="24" t="n">
        <v>2.7</v>
      </c>
      <c r="AK206" s="24" t="n">
        <v>2.6</v>
      </c>
      <c r="AL206" s="24" t="n">
        <v>0.2</v>
      </c>
      <c r="AM206" s="24" t="n">
        <v>5.5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0</v>
      </c>
      <c r="AV206" s="24" t="n">
        <v>6.2</v>
      </c>
      <c r="AW206" s="24" t="n">
        <v>6.2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3.6</v>
      </c>
      <c r="BG206" s="24" t="n">
        <v>3.6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39" t="n">
        <v>0</v>
      </c>
      <c r="BP206" s="39" t="n">
        <v>0</v>
      </c>
      <c r="BQ206" s="21" t="n">
        <f aca="false">SUM(BM206:BP206)</f>
        <v>0</v>
      </c>
      <c r="BR206" s="21" t="n">
        <f aca="false">-BR83</f>
        <v>-587.5</v>
      </c>
      <c r="BS206" s="21" t="n">
        <f aca="false">-BS83</f>
        <v>-0</v>
      </c>
      <c r="BT206" s="21" t="n">
        <f aca="false">-BT83</f>
        <v>-0</v>
      </c>
      <c r="BU206" s="21" t="n">
        <f aca="false">-BU83</f>
        <v>-0</v>
      </c>
      <c r="BV206" s="15"/>
    </row>
    <row r="207" customFormat="false" ht="15" hidden="false" customHeight="false" outlineLevel="0" collapsed="false">
      <c r="B207" s="30" t="s">
        <v>377</v>
      </c>
      <c r="C207" s="31"/>
      <c r="D207" s="31"/>
      <c r="E207" s="49" t="n">
        <f aca="false">IF(ISNUMBER(E202),N(E203)+N(E204)+N(E205)+N(E206),"")</f>
        <v>1.2</v>
      </c>
      <c r="F207" s="49" t="n">
        <f aca="false">IF(ISNUMBER(F202),N(F203)+N(F204)+N(F205)+N(F206),"")</f>
        <v>25.2</v>
      </c>
      <c r="G207" s="49" t="n">
        <f aca="false">IF(ISNUMBER(G202),N(G203)+N(G204)+N(G205)+N(G206),"")</f>
        <v>15</v>
      </c>
      <c r="H207" s="49" t="n">
        <f aca="false">IF(ISNUMBER(H202),N(H203)+N(H204)+N(H205)+N(H206),"")</f>
        <v>152.3</v>
      </c>
      <c r="I207" s="49" t="n">
        <f aca="false">IF(ISNUMBER(I202),N(I203)+N(I204)+N(I205)+N(I206),"")</f>
        <v>193.5</v>
      </c>
      <c r="J207" s="49" t="n">
        <f aca="false">IF(ISNUMBER(J202),N(J203)+N(J204)+N(J205)+N(J206),"")</f>
        <v>1.7</v>
      </c>
      <c r="K207" s="49" t="n">
        <f aca="false">IF(ISNUMBER(K202),N(K203)+N(K204)+N(K205)+N(K206),"")</f>
        <v>43.1</v>
      </c>
      <c r="L207" s="49" t="n">
        <f aca="false">IF(ISNUMBER(L202),N(L203)+N(L204)+N(L205)+N(L206),"")</f>
        <v>-65.7</v>
      </c>
      <c r="M207" s="49" t="n">
        <f aca="false">IF(ISNUMBER(M202),N(M203)+N(M204)+N(M205)+N(M206),"")</f>
        <v>52.5</v>
      </c>
      <c r="N207" s="49" t="n">
        <f aca="false">IF(ISNUMBER(N202),N(N203)+N(N204)+N(N205)+N(N206),"")</f>
        <v>31.6</v>
      </c>
      <c r="O207" s="49" t="n">
        <f aca="false">IF(ISNUMBER(O202),N(O203)+N(O204)+N(O205)+N(O206),"")</f>
        <v>30</v>
      </c>
      <c r="P207" s="49" t="n">
        <f aca="false">IF(ISNUMBER(P202),N(P203)+N(P204)+N(P205)+N(P206),"")</f>
        <v>-16.1</v>
      </c>
      <c r="Q207" s="49" t="n">
        <f aca="false">IF(ISNUMBER(Q202),N(Q203)+N(Q204)+N(Q205)+N(Q206),"")</f>
        <v>0</v>
      </c>
      <c r="R207" s="49" t="n">
        <f aca="false">IF(ISNUMBER(R202),N(R203)+N(R204)+N(R205)+N(R206),"")</f>
        <v>26</v>
      </c>
      <c r="S207" s="49" t="n">
        <f aca="false">IF(ISNUMBER(S202),N(S203)+N(S204)+N(S205)+N(S206),"")</f>
        <v>39.9</v>
      </c>
      <c r="T207" s="49" t="n">
        <f aca="false">IF(ISNUMBER(T202),N(T203)+N(T204)+N(T205)+N(T206),"")</f>
        <v>0</v>
      </c>
      <c r="U207" s="49" t="n">
        <f aca="false">IF(ISNUMBER(U202),N(U203)+N(U204)+N(U205)+N(U206),"")</f>
        <v>-7.9</v>
      </c>
      <c r="V207" s="49" t="n">
        <f aca="false">IF(ISNUMBER(V202),N(V203)+N(V204)+N(V205)+N(V206),"")</f>
        <v>0</v>
      </c>
      <c r="W207" s="49" t="n">
        <f aca="false">IF(ISNUMBER(W202),N(W203)+N(W204)+N(W205)+N(W206),"")</f>
        <v>13.6</v>
      </c>
      <c r="X207" s="49" t="n">
        <f aca="false">IF(ISNUMBER(X202),N(X203)+N(X204)+N(X205)+N(X206),"")</f>
        <v>5.7</v>
      </c>
      <c r="Y207" s="49" t="n">
        <f aca="false">IF(ISNUMBER(Y202),N(Y203)+N(Y204)+N(Y205)+N(Y206),"")</f>
        <v>1.6</v>
      </c>
      <c r="Z207" s="49" t="n">
        <f aca="false">IF(ISNUMBER(Z202),N(Z203)+N(Z204)+N(Z205)+N(Z206),"")</f>
        <v>0</v>
      </c>
      <c r="AA207" s="49" t="n">
        <f aca="false">IF(ISNUMBER(AA202),N(AA203)+N(AA204)+N(AA205)+N(AA206),"")</f>
        <v>0.9</v>
      </c>
      <c r="AB207" s="49" t="n">
        <f aca="false">IF(ISNUMBER(AB202),N(AB203)+N(AB204)+N(AB205)+N(AB206),"")</f>
        <v>0</v>
      </c>
      <c r="AC207" s="49" t="n">
        <f aca="false">IF(ISNUMBER(AC202),N(AC203)+N(AC204)+N(AC205)+N(AC206),"")</f>
        <v>2.5</v>
      </c>
      <c r="AD207" s="49" t="n">
        <f aca="false">IF(ISNUMBER(AD202),N(AD203)+N(AD204)+N(AD205)+N(AD206),"")</f>
        <v>0</v>
      </c>
      <c r="AE207" s="49" t="n">
        <f aca="false">IF(ISNUMBER(AE202),N(AE203)+N(AE204)+N(AE205)+N(AE206),"")</f>
        <v>0.3</v>
      </c>
      <c r="AF207" s="49" t="n">
        <f aca="false">IF(ISNUMBER(AF202),N(AF203)+N(AF204)+N(AF205)+N(AF206),"")</f>
        <v>0.6</v>
      </c>
      <c r="AG207" s="49" t="n">
        <f aca="false">IF(ISNUMBER(AG202),N(AG203)+N(AG204)+N(AG205)+N(AG206),"")</f>
        <v>5.1</v>
      </c>
      <c r="AH207" s="49" t="n">
        <f aca="false">IF(ISNUMBER(AH202),N(AH203)+N(AH204)+N(AH205)+N(AH206),"")</f>
        <v>6</v>
      </c>
      <c r="AI207" s="49" t="n">
        <f aca="false">IF(ISNUMBER(AI202),N(AI203)+N(AI204)+N(AI205)+N(AI206),"")</f>
        <v>0.2</v>
      </c>
      <c r="AJ207" s="49" t="n">
        <f aca="false">IF(ISNUMBER(AJ202),N(AJ203)+N(AJ204)+N(AJ205)+N(AJ206),"")</f>
        <v>4</v>
      </c>
      <c r="AK207" s="49" t="n">
        <f aca="false">IF(ISNUMBER(AK202),N(AK203)+N(AK204)+N(AK205)+N(AK206),"")</f>
        <v>3.1</v>
      </c>
      <c r="AL207" s="49" t="n">
        <f aca="false">IF(ISNUMBER(AL202),N(AL203)+N(AL204)+N(AL205)+N(AL206),"")</f>
        <v>0.6</v>
      </c>
      <c r="AM207" s="49" t="n">
        <f aca="false">IF(ISNUMBER(AM202),N(AM203)+N(AM204)+N(AM205)+N(AM206),"")</f>
        <v>7.8</v>
      </c>
      <c r="AN207" s="49" t="n">
        <f aca="false">IF(ISNUMBER(AN202),N(AN203)+N(AN204)+N(AN205)+N(AN206),"")</f>
        <v>0</v>
      </c>
      <c r="AO207" s="49" t="n">
        <f aca="false">IF(ISNUMBER(AO202),N(AO203)+N(AO204)+N(AO205)+N(AO206),"")</f>
        <v>0</v>
      </c>
      <c r="AP207" s="49" t="n">
        <f aca="false">IF(ISNUMBER(AP202),N(AP203)+N(AP204)+N(AP205)+N(AP206),"")</f>
        <v>0.8</v>
      </c>
      <c r="AQ207" s="49" t="n">
        <f aca="false">IF(ISNUMBER(AQ202),N(AQ203)+N(AQ204)+N(AQ205)+N(AQ206),"")</f>
        <v>2.4</v>
      </c>
      <c r="AR207" s="49" t="n">
        <f aca="false">IF(ISNUMBER(AR202),N(AR203)+N(AR204)+N(AR205)+N(AR206),"")</f>
        <v>3.1</v>
      </c>
      <c r="AS207" s="49" t="n">
        <f aca="false">IF(ISNUMBER(AS202),N(AS203)+N(AS204)+N(AS205)+N(AS206),"")</f>
        <v>5.3</v>
      </c>
      <c r="AT207" s="49" t="n">
        <f aca="false">IF(ISNUMBER(AT202),N(AT203)+N(AT204)+N(AT205)+N(AT206),"")</f>
        <v>0.9</v>
      </c>
      <c r="AU207" s="49" t="n">
        <f aca="false">IF(ISNUMBER(AU202),N(AU203)+N(AU204)+N(AU205)+N(AU206),"")</f>
        <v>1.7</v>
      </c>
      <c r="AV207" s="49" t="n">
        <f aca="false">IF(ISNUMBER(AV202),N(AV203)+N(AV204)+N(AV205)+N(AV206),"")</f>
        <v>9.1</v>
      </c>
      <c r="AW207" s="49" t="n">
        <f aca="false">IF(ISNUMBER(AW202),N(AW203)+N(AW204)+N(AW205)+N(AW206),"")</f>
        <v>17</v>
      </c>
      <c r="AX207" s="49" t="n">
        <f aca="false">IF(ISNUMBER(AX202),N(AX203)+N(AX204)+N(AX205)+N(AX206),"")</f>
        <v>3.8</v>
      </c>
      <c r="AY207" s="49" t="n">
        <f aca="false">IF(ISNUMBER(AY202),N(AY203)+N(AY204)+N(AY205)+N(AY206),"")</f>
        <v>1</v>
      </c>
      <c r="AZ207" s="49" t="n">
        <f aca="false">IF(ISNUMBER(AZ202),N(AZ203)+N(AZ204)+N(AZ205)+N(AZ206),"")</f>
        <v>1.4</v>
      </c>
      <c r="BA207" s="49" t="n">
        <f aca="false">IF(ISNUMBER(BA202),N(BA203)+N(BA204)+N(BA205)+N(BA206),"")</f>
        <v>4</v>
      </c>
      <c r="BB207" s="49" t="n">
        <f aca="false">IF(ISNUMBER(BB202),N(BB203)+N(BB204)+N(BB205)+N(BB206),"")</f>
        <v>10.3</v>
      </c>
      <c r="BC207" s="49" t="n">
        <f aca="false">IF(ISNUMBER(BC202),N(BC203)+N(BC204)+N(BC205)+N(BC206),"")</f>
        <v>1.7</v>
      </c>
      <c r="BD207" s="49" t="n">
        <f aca="false">IF(ISNUMBER(BD202),N(BD203)+N(BD204)+N(BD205)+N(BD206),"")</f>
        <v>5.9</v>
      </c>
      <c r="BE207" s="49" t="n">
        <f aca="false">IF(ISNUMBER(BE202),N(BE203)+N(BE204)+N(BE205)+N(BE206),"")</f>
        <v>9.1</v>
      </c>
      <c r="BF207" s="49" t="n">
        <f aca="false">IF(ISNUMBER(BF202),N(BF203)+N(BF204)+N(BF205)+N(BF206),"")</f>
        <v>15.6</v>
      </c>
      <c r="BG207" s="49" t="n">
        <f aca="false">IF(ISNUMBER(BG202),N(BG203)+N(BG204)+N(BG205)+N(BG206),"")</f>
        <v>32.2</v>
      </c>
      <c r="BH207" s="49" t="n">
        <f aca="false">IF(ISNUMBER(BH202),N(BH203)+N(BH204)+N(BH205)+N(BH206),"")</f>
        <v>9.2</v>
      </c>
      <c r="BI207" s="49" t="n">
        <f aca="false">IF(ISNUMBER(BI202),N(BI203)+N(BI204)+N(BI205)+N(BI206),"")</f>
        <v>16.2</v>
      </c>
      <c r="BJ207" s="49" t="n">
        <f aca="false">IF(ISNUMBER(BJ202),N(BJ203)+N(BJ204)+N(BJ205)+N(BJ206),"")</f>
        <v>9.3</v>
      </c>
      <c r="BK207" s="49" t="n">
        <f aca="false">IF(ISNUMBER(BK202),N(BK203)+N(BK204)+N(BK205)+N(BK206),"")</f>
        <v>25.9</v>
      </c>
      <c r="BL207" s="49" t="n">
        <f aca="false">IF(ISNUMBER(BL202),N(BL203)+N(BL204)+N(BL205)+N(BL206),"")</f>
        <v>60.6</v>
      </c>
      <c r="BM207" s="49" t="n">
        <f aca="false">IF(ISNUMBER(BM202),N(BM203)+N(BM204)+N(BM205)+N(BM206),"")</f>
        <v>12.3</v>
      </c>
      <c r="BN207" s="49" t="n">
        <f aca="false">IF(ISNUMBER(BN202),N(BN203)+N(BN204)+N(BN205)+N(BN206),"")</f>
        <v>9.9</v>
      </c>
      <c r="BO207" s="33" t="n">
        <f aca="false">BO203+BO204+BO205+BO206</f>
        <v>10.8</v>
      </c>
      <c r="BP207" s="33" t="n">
        <f aca="false">BP203+BP204+BP205+BP206</f>
        <v>10.8</v>
      </c>
      <c r="BQ207" s="33" t="n">
        <f aca="false">BQ203+BQ204+BQ205+BQ206</f>
        <v>43.8</v>
      </c>
      <c r="BR207" s="33" t="n">
        <f aca="false">BR203+BR204+BR205+BR206</f>
        <v>-562.5</v>
      </c>
      <c r="BS207" s="33" t="n">
        <f aca="false">BS203+BS204+BS205+BS206</f>
        <v>15</v>
      </c>
      <c r="BT207" s="33" t="n">
        <f aca="false">BT203+BT204+BT205+BT206</f>
        <v>10</v>
      </c>
      <c r="BU207" s="33" t="n">
        <f aca="false">BU203+BU204+BU205+BU206</f>
        <v>10</v>
      </c>
      <c r="BV207" s="15"/>
    </row>
    <row r="208" customFormat="false" ht="15" hidden="false" customHeight="false" outlineLevel="0" collapsed="false">
      <c r="B208" s="60" t="s">
        <v>378</v>
      </c>
      <c r="C208" s="61"/>
      <c r="D208" s="61"/>
      <c r="E208" s="62" t="n">
        <f aca="false">IF(ISNUMBER(E202),E202+E207,"")</f>
        <v>57.275</v>
      </c>
      <c r="F208" s="62" t="n">
        <f aca="false">IF(ISNUMBER(F202),F202+F207,"")</f>
        <v>64.957</v>
      </c>
      <c r="G208" s="62" t="n">
        <f aca="false">IF(ISNUMBER(G202),G202+G207,"")</f>
        <v>62.192</v>
      </c>
      <c r="H208" s="62" t="n">
        <f aca="false">IF(ISNUMBER(H202),H202+H207,"")</f>
        <v>109.538</v>
      </c>
      <c r="I208" s="62" t="n">
        <f aca="false">IF(ISNUMBER(I202),I202+I207,"")</f>
        <v>293.762</v>
      </c>
      <c r="J208" s="62" t="n">
        <f aca="false">IF(ISNUMBER(J202),J202+J207,"")</f>
        <v>70.593</v>
      </c>
      <c r="K208" s="62" t="n">
        <f aca="false">IF(ISNUMBER(K202),K202+K207,"")</f>
        <v>69.832</v>
      </c>
      <c r="L208" s="62" t="n">
        <f aca="false">IF(ISNUMBER(L202),L202+L207,"")</f>
        <v>78.561</v>
      </c>
      <c r="M208" s="62" t="n">
        <f aca="false">IF(ISNUMBER(M202),M202+M207,"")</f>
        <v>75.718</v>
      </c>
      <c r="N208" s="62" t="n">
        <f aca="false">IF(ISNUMBER(N202),N202+N207,"")</f>
        <v>294.704</v>
      </c>
      <c r="O208" s="62" t="n">
        <f aca="false">IF(ISNUMBER(O202),O202+O207,"")</f>
        <v>84.514</v>
      </c>
      <c r="P208" s="62" t="n">
        <f aca="false">IF(ISNUMBER(P202),P202+P207,"")</f>
        <v>85.122</v>
      </c>
      <c r="Q208" s="62" t="n">
        <f aca="false">IF(ISNUMBER(Q202),Q202+Q207,"")</f>
        <v>74.794</v>
      </c>
      <c r="R208" s="62" t="n">
        <f aca="false">IF(ISNUMBER(R202),R202+R207,"")</f>
        <v>85.287</v>
      </c>
      <c r="S208" s="62" t="n">
        <f aca="false">IF(ISNUMBER(S202),S202+S207,"")</f>
        <v>329.717</v>
      </c>
      <c r="T208" s="62" t="n">
        <f aca="false">IF(ISNUMBER(T202),T202+T207,"")</f>
        <v>97.181</v>
      </c>
      <c r="U208" s="62" t="n">
        <f aca="false">IF(ISNUMBER(U202),U202+U207,"")</f>
        <v>98.67</v>
      </c>
      <c r="V208" s="62" t="n">
        <f aca="false">IF(ISNUMBER(V202),V202+V207,"")</f>
        <v>87.6170000000001</v>
      </c>
      <c r="W208" s="62" t="n">
        <f aca="false">IF(ISNUMBER(W202),W202+W207,"")</f>
        <v>87.674</v>
      </c>
      <c r="X208" s="62" t="n">
        <f aca="false">IF(ISNUMBER(X202),X202+X207,"")</f>
        <v>371.142</v>
      </c>
      <c r="Y208" s="62" t="n">
        <f aca="false">IF(ISNUMBER(Y202),Y202+Y207,"")</f>
        <v>95.549</v>
      </c>
      <c r="Z208" s="62" t="n">
        <f aca="false">IF(ISNUMBER(Z202),Z202+Z207,"")</f>
        <v>85.908</v>
      </c>
      <c r="AA208" s="62" t="n">
        <f aca="false">IF(ISNUMBER(AA202),AA202+AA207,"")</f>
        <v>66.567</v>
      </c>
      <c r="AB208" s="62" t="n">
        <f aca="false">IF(ISNUMBER(AB202),AB202+AB207,"")</f>
        <v>119.55</v>
      </c>
      <c r="AC208" s="62" t="n">
        <f aca="false">IF(ISNUMBER(AC202),AC202+AC207,"")</f>
        <v>367.574</v>
      </c>
      <c r="AD208" s="62" t="n">
        <f aca="false">IF(ISNUMBER(AD202),AD202+AD207,"")</f>
        <v>78.766</v>
      </c>
      <c r="AE208" s="62" t="n">
        <f aca="false">IF(ISNUMBER(AE202),AE202+AE207,"")</f>
        <v>96.546</v>
      </c>
      <c r="AF208" s="62" t="n">
        <f aca="false">IF(ISNUMBER(AF202),AF202+AF207,"")</f>
        <v>114.257</v>
      </c>
      <c r="AG208" s="62" t="n">
        <f aca="false">IF(ISNUMBER(AG202),AG202+AG207,"")</f>
        <v>103.673</v>
      </c>
      <c r="AH208" s="62" t="n">
        <f aca="false">IF(ISNUMBER(AH202),AH202+AH207,"")</f>
        <v>393.243</v>
      </c>
      <c r="AI208" s="62" t="n">
        <f aca="false">IF(ISNUMBER(AI202),AI202+AI207,"")</f>
        <v>114.081</v>
      </c>
      <c r="AJ208" s="62" t="n">
        <f aca="false">IF(ISNUMBER(AJ202),AJ202+AJ207,"")</f>
        <v>101.385</v>
      </c>
      <c r="AK208" s="62" t="n">
        <f aca="false">IF(ISNUMBER(AK202),AK202+AK207,"")</f>
        <v>106.763</v>
      </c>
      <c r="AL208" s="62" t="n">
        <f aca="false">IF(ISNUMBER(AL202),AL202+AL207,"")</f>
        <v>104.897</v>
      </c>
      <c r="AM208" s="62" t="n">
        <f aca="false">IF(ISNUMBER(AM202),AM202+AM207,"")</f>
        <v>427.026</v>
      </c>
      <c r="AN208" s="62" t="n">
        <f aca="false">IF(ISNUMBER(AN202),AN202+AN207,"")</f>
        <v>98.3110000000001</v>
      </c>
      <c r="AO208" s="62" t="n">
        <f aca="false">IF(ISNUMBER(AO202),AO202+AO207,"")</f>
        <v>90.846</v>
      </c>
      <c r="AP208" s="62" t="n">
        <f aca="false">IF(ISNUMBER(AP202),AP202+AP207,"")</f>
        <v>105.752</v>
      </c>
      <c r="AQ208" s="62" t="n">
        <f aca="false">IF(ISNUMBER(AQ202),AQ202+AQ207,"")</f>
        <v>123.219</v>
      </c>
      <c r="AR208" s="62" t="n">
        <f aca="false">IF(ISNUMBER(AR202),AR202+AR207,"")</f>
        <v>418.028</v>
      </c>
      <c r="AS208" s="62" t="n">
        <f aca="false">IF(ISNUMBER(AS202),AS202+AS207,"")</f>
        <v>94.4930000000001</v>
      </c>
      <c r="AT208" s="62" t="n">
        <f aca="false">IF(ISNUMBER(AT202),AT202+AT207,"")</f>
        <v>114.733</v>
      </c>
      <c r="AU208" s="62" t="n">
        <f aca="false">IF(ISNUMBER(AU202),AU202+AU207,"")</f>
        <v>100.17</v>
      </c>
      <c r="AV208" s="62" t="n">
        <f aca="false">IF(ISNUMBER(AV202),AV202+AV207,"")</f>
        <v>130.017</v>
      </c>
      <c r="AW208" s="62" t="n">
        <f aca="false">IF(ISNUMBER(AW202),AW202+AW207,"")</f>
        <v>439.413</v>
      </c>
      <c r="AX208" s="62" t="n">
        <f aca="false">IF(ISNUMBER(AX202),AX202+AX207,"")</f>
        <v>110.662</v>
      </c>
      <c r="AY208" s="62" t="n">
        <f aca="false">IF(ISNUMBER(AY202),AY202+AY207,"")</f>
        <v>107.05</v>
      </c>
      <c r="AZ208" s="62" t="n">
        <f aca="false">IF(ISNUMBER(AZ202),AZ202+AZ207,"")</f>
        <v>106.559</v>
      </c>
      <c r="BA208" s="62" t="n">
        <f aca="false">IF(ISNUMBER(BA202),BA202+BA207,"")</f>
        <v>147.554</v>
      </c>
      <c r="BB208" s="62" t="n">
        <f aca="false">IF(ISNUMBER(BB202),BB202+BB207,"")</f>
        <v>471.925</v>
      </c>
      <c r="BC208" s="62" t="n">
        <f aca="false">IF(ISNUMBER(BC202),BC202+BC207,"")</f>
        <v>115.213</v>
      </c>
      <c r="BD208" s="62" t="n">
        <f aca="false">IF(ISNUMBER(BD202),BD202+BD207,"")</f>
        <v>126.315</v>
      </c>
      <c r="BE208" s="62" t="n">
        <f aca="false">IF(ISNUMBER(BE202),BE202+BE207,"")</f>
        <v>126.947</v>
      </c>
      <c r="BF208" s="62" t="n">
        <f aca="false">IF(ISNUMBER(BF202),BF202+BF207,"")</f>
        <v>130.295</v>
      </c>
      <c r="BG208" s="62" t="n">
        <f aca="false">IF(ISNUMBER(BG202),BG202+BG207,"")</f>
        <v>498.669</v>
      </c>
      <c r="BH208" s="62" t="n">
        <f aca="false">IF(ISNUMBER(BH202),BH202+BH207,"")</f>
        <v>129.742</v>
      </c>
      <c r="BI208" s="62" t="n">
        <f aca="false">IF(ISNUMBER(BI202),BI202+BI207,"")</f>
        <v>145.883</v>
      </c>
      <c r="BJ208" s="62" t="n">
        <f aca="false">IF(ISNUMBER(BJ202),BJ202+BJ207,"")</f>
        <v>151.107</v>
      </c>
      <c r="BK208" s="62" t="n">
        <f aca="false">IF(ISNUMBER(BK202),BK202+BK207,"")</f>
        <v>147.512</v>
      </c>
      <c r="BL208" s="62" t="n">
        <f aca="false">IF(ISNUMBER(BL202),BL202+BL207,"")</f>
        <v>574.245000000001</v>
      </c>
      <c r="BM208" s="62" t="n">
        <f aca="false">IF(ISNUMBER(BM202),BM202+BM207,"")</f>
        <v>148.004</v>
      </c>
      <c r="BN208" s="62" t="n">
        <f aca="false">IF(ISNUMBER(BN202),BN202+BN207,"")</f>
        <v>155.398</v>
      </c>
      <c r="BO208" s="62" t="n">
        <f aca="false">BO202+BO207</f>
        <v>179.629744060181</v>
      </c>
      <c r="BP208" s="62" t="n">
        <f aca="false">BP202+BP207</f>
        <v>183.968255939819</v>
      </c>
      <c r="BQ208" s="62" t="n">
        <f aca="false">BQ202+BQ207</f>
        <v>666.999999999999</v>
      </c>
      <c r="BR208" s="62" t="n">
        <f aca="false">BR202+BR207</f>
        <v>754.339287313018</v>
      </c>
      <c r="BS208" s="62" t="n">
        <f aca="false">BS202+BS207</f>
        <v>848.222076882959</v>
      </c>
      <c r="BT208" s="62" t="n">
        <f aca="false">BT202+BT207</f>
        <v>957.410762593439</v>
      </c>
      <c r="BU208" s="62" t="n">
        <f aca="false">BU202+BU207</f>
        <v>1062.91726135156</v>
      </c>
      <c r="BV208" s="15" t="s">
        <v>379</v>
      </c>
      <c r="BX208" s="25" t="n">
        <f aca="false">IFERROR((BU208/BL208)^(1/5)-1,"n/m")</f>
        <v>0.131046466976548</v>
      </c>
      <c r="BY208" s="25" t="n">
        <f aca="false">IFERROR((BL208/AM208)^(1/5)-1,"n/m")</f>
        <v>0.0610322411092197</v>
      </c>
      <c r="BZ208" s="25" t="n">
        <f aca="false">IFERROR((BL208/N208)^(1/10)-1,"n/m")</f>
        <v>0.0689837888786358</v>
      </c>
      <c r="CA208" s="25" t="str">
        <f aca="false">IFERROR((BL208/D208)^(1/12)-1,"n/m")</f>
        <v>n/m</v>
      </c>
    </row>
    <row r="209" customFormat="false" ht="15" hidden="false" customHeight="false" outlineLevel="0" collapsed="false">
      <c r="B209" s="13" t="s">
        <v>250</v>
      </c>
      <c r="C209" s="19"/>
      <c r="D209" s="19"/>
      <c r="E209" s="43" t="n">
        <f aca="false">IF(AND(ISNUMBER(E208),ISNUMBER(E157)),IFERROR(E208/E157,""),"")</f>
        <v>0.161149188556508</v>
      </c>
      <c r="F209" s="43" t="n">
        <f aca="false">IF(AND(ISNUMBER(F208),ISNUMBER(F157)),IFERROR(F208/F157,""),"")</f>
        <v>0.179197656198274</v>
      </c>
      <c r="G209" s="43" t="n">
        <f aca="false">IF(AND(ISNUMBER(G208),ISNUMBER(G157)),IFERROR(G208/G157,""),"")</f>
        <v>0.184353434987787</v>
      </c>
      <c r="H209" s="43" t="n">
        <f aca="false">IF(AND(ISNUMBER(H208),ISNUMBER(H157)),IFERROR(H208/H157,""),"")</f>
        <v>0.277063087764383</v>
      </c>
      <c r="I209" s="43" t="n">
        <f aca="false">IF(AND(ISNUMBER(I208),ISNUMBER(I157)),IFERROR(I208/I157,""),"")</f>
        <v>0.20250928919558</v>
      </c>
      <c r="J209" s="43" t="n">
        <f aca="false">IF(AND(ISNUMBER(J208),ISNUMBER(J157)),IFERROR(J208/J157,""),"")</f>
        <v>0.210420106949321</v>
      </c>
      <c r="K209" s="43" t="n">
        <f aca="false">IF(AND(ISNUMBER(K208),ISNUMBER(K157)),IFERROR(K208/K157,""),"")</f>
        <v>0.195533901745838</v>
      </c>
      <c r="L209" s="43" t="n">
        <f aca="false">IF(AND(ISNUMBER(L208),ISNUMBER(L157)),IFERROR(L208/L157,""),"")</f>
        <v>0.218851157478341</v>
      </c>
      <c r="M209" s="43" t="n">
        <f aca="false">IF(AND(ISNUMBER(M208),ISNUMBER(M157)),IFERROR(M208/M157,""),"")</f>
        <v>0.208051920931587</v>
      </c>
      <c r="N209" s="43" t="n">
        <f aca="false">IF(AND(ISNUMBER(N208),ISNUMBER(N157)),IFERROR(N208/N157,""),"")</f>
        <v>0.208193544604173</v>
      </c>
      <c r="O209" s="43" t="n">
        <f aca="false">IF(AND(ISNUMBER(O208),ISNUMBER(O157)),IFERROR(O208/O157,""),"")</f>
        <v>0.231655638578391</v>
      </c>
      <c r="P209" s="43" t="n">
        <f aca="false">IF(AND(ISNUMBER(P208),ISNUMBER(P157)),IFERROR(P208/P157,""),"")</f>
        <v>0.211545248047875</v>
      </c>
      <c r="Q209" s="43" t="n">
        <f aca="false">IF(AND(ISNUMBER(Q208),ISNUMBER(Q157)),IFERROR(Q208/Q157,""),"")</f>
        <v>0.197083042384158</v>
      </c>
      <c r="R209" s="43" t="n">
        <f aca="false">IF(AND(ISNUMBER(R208),ISNUMBER(R157)),IFERROR(R208/R157,""),"")</f>
        <v>0.211179616698856</v>
      </c>
      <c r="S209" s="43" t="n">
        <f aca="false">IF(AND(ISNUMBER(S208),ISNUMBER(S157)),IFERROR(S208/S157,""),"")</f>
        <v>0.212642036202101</v>
      </c>
      <c r="T209" s="43" t="n">
        <f aca="false">IF(AND(ISNUMBER(T208),ISNUMBER(T157)),IFERROR(T208/T157,""),"")</f>
        <v>0.226936989321134</v>
      </c>
      <c r="U209" s="43" t="n">
        <f aca="false">IF(AND(ISNUMBER(U208),ISNUMBER(U157)),IFERROR(U208/U157,""),"")</f>
        <v>0.240652080066145</v>
      </c>
      <c r="V209" s="43" t="n">
        <f aca="false">IF(AND(ISNUMBER(V208),ISNUMBER(V157)),IFERROR(V208/V157,""),"")</f>
        <v>0.208930274704311</v>
      </c>
      <c r="W209" s="43" t="n">
        <f aca="false">IF(AND(ISNUMBER(W208),ISNUMBER(W157)),IFERROR(W208/W157,""),"")</f>
        <v>0.203827608813915</v>
      </c>
      <c r="X209" s="43" t="n">
        <f aca="false">IF(AND(ISNUMBER(X208),ISNUMBER(X157)),IFERROR(X208/X157,""),"")</f>
        <v>0.21990498525245</v>
      </c>
      <c r="Y209" s="43" t="n">
        <f aca="false">IF(AND(ISNUMBER(Y208),ISNUMBER(Y157)),IFERROR(Y208/Y157,""),"")</f>
        <v>0.208867165213362</v>
      </c>
      <c r="Z209" s="43" t="n">
        <f aca="false">IF(AND(ISNUMBER(Z208),ISNUMBER(Z157)),IFERROR(Z208/Z157,""),"")</f>
        <v>0.195725426671314</v>
      </c>
      <c r="AA209" s="43" t="n">
        <f aca="false">IF(AND(ISNUMBER(AA208),ISNUMBER(AA157)),IFERROR(AA208/AA157,""),"")</f>
        <v>0.156441609656245</v>
      </c>
      <c r="AB209" s="43" t="n">
        <f aca="false">IF(AND(ISNUMBER(AB208),ISNUMBER(AB157)),IFERROR(AB208/AB157,""),"")</f>
        <v>0.250105648977611</v>
      </c>
      <c r="AC209" s="43" t="n">
        <f aca="false">IF(AND(ISNUMBER(AC208),ISNUMBER(AC157)),IFERROR(AC208/AC157,""),"")</f>
        <v>0.204220371367345</v>
      </c>
      <c r="AD209" s="43" t="n">
        <f aca="false">IF(AND(ISNUMBER(AD208),ISNUMBER(AD157)),IFERROR(AD208/AD157,""),"")</f>
        <v>0.189134934470554</v>
      </c>
      <c r="AE209" s="43" t="n">
        <f aca="false">IF(AND(ISNUMBER(AE208),ISNUMBER(AE157)),IFERROR(AE208/AE157,""),"")</f>
        <v>0.204880408971396</v>
      </c>
      <c r="AF209" s="43" t="n">
        <f aca="false">IF(AND(ISNUMBER(AF208),ISNUMBER(AF157)),IFERROR(AF208/AF157,""),"")</f>
        <v>0.225804347826087</v>
      </c>
      <c r="AG209" s="43" t="n">
        <f aca="false">IF(AND(ISNUMBER(AG208),ISNUMBER(AG157)),IFERROR(AG208/AG157,""),"")</f>
        <v>0.206835117260367</v>
      </c>
      <c r="AH209" s="43" t="n">
        <f aca="false">IF(AND(ISNUMBER(AH208),ISNUMBER(AH157)),IFERROR(AH208/AH157,""),"")</f>
        <v>0.207524855930593</v>
      </c>
      <c r="AI209" s="43" t="n">
        <f aca="false">IF(AND(ISNUMBER(AI208),ISNUMBER(AI157)),IFERROR(AI208/AI157,""),"")</f>
        <v>0.210400805594901</v>
      </c>
      <c r="AJ209" s="43" t="n">
        <f aca="false">IF(AND(ISNUMBER(AJ208),ISNUMBER(AJ157)),IFERROR(AJ208/AJ157,""),"")</f>
        <v>0.200953381431856</v>
      </c>
      <c r="AK209" s="43" t="n">
        <f aca="false">IF(AND(ISNUMBER(AK208),ISNUMBER(AK157)),IFERROR(AK208/AK157,""),"")</f>
        <v>0.205361642539211</v>
      </c>
      <c r="AL209" s="43" t="n">
        <f aca="false">IF(AND(ISNUMBER(AL208),ISNUMBER(AL157)),IFERROR(AL208/AL157,""),"")</f>
        <v>0.188355389560252</v>
      </c>
      <c r="AM209" s="43" t="n">
        <f aca="false">IF(AND(ISNUMBER(AM208),ISNUMBER(AM157)),IFERROR(AM208/AM157,""),"")</f>
        <v>0.201093846243683</v>
      </c>
      <c r="AN209" s="43" t="n">
        <f aca="false">IF(AND(ISNUMBER(AN208),ISNUMBER(AN157)),IFERROR(AN208/AN157,""),"")</f>
        <v>0.18609885419092</v>
      </c>
      <c r="AO209" s="43" t="n">
        <f aca="false">IF(AND(ISNUMBER(AO208),ISNUMBER(AO157)),IFERROR(AO208/AO157,""),"")</f>
        <v>0.179857810053079</v>
      </c>
      <c r="AP209" s="43" t="n">
        <f aca="false">IF(AND(ISNUMBER(AP208),ISNUMBER(AP157)),IFERROR(AP208/AP157,""),"")</f>
        <v>0.212043863676921</v>
      </c>
      <c r="AQ209" s="43" t="n">
        <f aca="false">IF(AND(ISNUMBER(AQ208),ISNUMBER(AQ157)),IFERROR(AQ208/AQ157,""),"")</f>
        <v>0.208148992778411</v>
      </c>
      <c r="AR209" s="43" t="n">
        <f aca="false">IF(AND(ISNUMBER(AR208),ISNUMBER(AR157)),IFERROR(AR208/AR157,""),"")</f>
        <v>0.196804819417779</v>
      </c>
      <c r="AS209" s="43" t="n">
        <f aca="false">IF(AND(ISNUMBER(AS208),ISNUMBER(AS157)),IFERROR(AS208/AS157,""),"")</f>
        <v>0.178040765876949</v>
      </c>
      <c r="AT209" s="43" t="n">
        <f aca="false">IF(AND(ISNUMBER(AT208),ISNUMBER(AT157)),IFERROR(AT208/AT157,""),"")</f>
        <v>0.207021551475258</v>
      </c>
      <c r="AU209" s="43" t="n">
        <f aca="false">IF(AND(ISNUMBER(AU208),ISNUMBER(AU157)),IFERROR(AU208/AU157,""),"")</f>
        <v>0.191269612438922</v>
      </c>
      <c r="AV209" s="43" t="n">
        <f aca="false">IF(AND(ISNUMBER(AV208),ISNUMBER(AV157)),IFERROR(AV208/AV157,""),"")</f>
        <v>0.208301491403881</v>
      </c>
      <c r="AW209" s="43" t="n">
        <f aca="false">IF(AND(ISNUMBER(AW208),ISNUMBER(AW157)),IFERROR(AW208/AW157,""),"")</f>
        <v>0.196796089633175</v>
      </c>
      <c r="AX209" s="43" t="n">
        <f aca="false">IF(AND(ISNUMBER(AX208),ISNUMBER(AX157)),IFERROR(AX208/AX157,""),"")</f>
        <v>0.194704060806531</v>
      </c>
      <c r="AY209" s="43" t="n">
        <f aca="false">IF(AND(ISNUMBER(AY208),ISNUMBER(AY157)),IFERROR(AY208/AY157,""),"")</f>
        <v>0.174791205740924</v>
      </c>
      <c r="AZ209" s="43" t="n">
        <f aca="false">IF(AND(ISNUMBER(AZ208),ISNUMBER(AZ157)),IFERROR(AZ208/AZ157,""),"")</f>
        <v>0.180611841915697</v>
      </c>
      <c r="BA209" s="43" t="n">
        <f aca="false">IF(AND(ISNUMBER(BA208),ISNUMBER(BA157)),IFERROR(BA208/BA157,""),"")</f>
        <v>0.203378289904413</v>
      </c>
      <c r="BB209" s="43" t="n">
        <f aca="false">IF(AND(ISNUMBER(BB208),ISNUMBER(BB157)),IFERROR(BB208/BB157,""),"")</f>
        <v>0.189049112109118</v>
      </c>
      <c r="BC209" s="43" t="n">
        <f aca="false">IF(AND(ISNUMBER(BC208),ISNUMBER(BC157)),IFERROR(BC208/BC157,""),"")</f>
        <v>0.190760738187249</v>
      </c>
      <c r="BD209" s="43" t="n">
        <f aca="false">IF(AND(ISNUMBER(BD208),ISNUMBER(BD157)),IFERROR(BD208/BD157,""),"")</f>
        <v>0.185358015452004</v>
      </c>
      <c r="BE209" s="43" t="n">
        <f aca="false">IF(AND(ISNUMBER(BE208),ISNUMBER(BE157)),IFERROR(BE208/BE157,""),"")</f>
        <v>0.188921596056885</v>
      </c>
      <c r="BF209" s="43" t="n">
        <f aca="false">IF(AND(ISNUMBER(BF208),ISNUMBER(BF157)),IFERROR(BF208/BF157,""),"")</f>
        <v>0.174595687602427</v>
      </c>
      <c r="BG209" s="43" t="n">
        <f aca="false">IF(AND(ISNUMBER(BG208),ISNUMBER(BG157)),IFERROR(BG208/BG157,""),"")</f>
        <v>0.184442609890171</v>
      </c>
      <c r="BH209" s="43" t="n">
        <f aca="false">IF(AND(ISNUMBER(BH208),ISNUMBER(BH157)),IFERROR(BH208/BH157,""),"")</f>
        <v>0.19016559717878</v>
      </c>
      <c r="BI209" s="43" t="n">
        <f aca="false">IF(AND(ISNUMBER(BI208),ISNUMBER(BI157)),IFERROR(BI208/BI157,""),"")</f>
        <v>0.190936588315518</v>
      </c>
      <c r="BJ209" s="43" t="n">
        <f aca="false">IF(AND(ISNUMBER(BJ208),ISNUMBER(BJ157)),IFERROR(BJ208/BJ157,""),"")</f>
        <v>0.174430846163969</v>
      </c>
      <c r="BK209" s="43" t="n">
        <f aca="false">IF(AND(ISNUMBER(BK208),ISNUMBER(BK157)),IFERROR(BK208/BK157,""),"")</f>
        <v>0.166521795083096</v>
      </c>
      <c r="BL209" s="43" t="n">
        <f aca="false">IF(AND(ISNUMBER(BL208),ISNUMBER(BL157)),IFERROR(BL208/BL157,""),"")</f>
        <v>0.179539929809203</v>
      </c>
      <c r="BM209" s="43" t="n">
        <f aca="false">IF(AND(ISNUMBER(BM208),ISNUMBER(BM157)),IFERROR(BM208/BM157,""),"")</f>
        <v>0.172054260727235</v>
      </c>
      <c r="BN209" s="43" t="n">
        <f aca="false">IF(AND(ISNUMBER(BN208),ISNUMBER(BN157)),IFERROR(BN208/BN157,""),"")</f>
        <v>0.172353251074449</v>
      </c>
      <c r="BO209" s="35" t="n">
        <f aca="false">IF(AND(ISNUMBER(BO208),ISNUMBER(BO157)),IFERROR(BO208/BO157,""),"")</f>
        <v>0.179156737366667</v>
      </c>
      <c r="BP209" s="35" t="n">
        <f aca="false">IF(AND(ISNUMBER(BP208),ISNUMBER(BP157)),IFERROR(BP208/BP157,""),"")</f>
        <v>0.177658223779252</v>
      </c>
      <c r="BQ209" s="35" t="n">
        <f aca="false">IF(AND(ISNUMBER(BQ208),ISNUMBER(BQ157)),IFERROR(BQ208/BQ157,""),"")</f>
        <v>0.175526315789474</v>
      </c>
      <c r="BR209" s="35" t="n">
        <f aca="false">IF(AND(ISNUMBER(BR208),ISNUMBER(BR157)),IFERROR(BR208/BR157,""),"")</f>
        <v>0.181192488258975</v>
      </c>
      <c r="BS209" s="35" t="n">
        <f aca="false">IF(AND(ISNUMBER(BS208),ISNUMBER(BS157)),IFERROR(BS208/BS157,""),"")</f>
        <v>0.185084966824261</v>
      </c>
      <c r="BT209" s="35" t="n">
        <f aca="false">IF(AND(ISNUMBER(BT208),ISNUMBER(BT157)),IFERROR(BT208/BT157,""),"")</f>
        <v>0.188333684159562</v>
      </c>
      <c r="BU209" s="35" t="n">
        <f aca="false">IF(AND(ISNUMBER(BU208),ISNUMBER(BU157)),IFERROR(BU208/BU157,""),"")</f>
        <v>0.189271883275914</v>
      </c>
      <c r="BV209" s="15"/>
      <c r="BX209" s="38" t="n">
        <f aca="false">IFERROR(AVERAGE(BQ209,BR209,BS209,BT209,BU209),"n/m")</f>
        <v>0.183881867661637</v>
      </c>
      <c r="BY209" s="38" t="n">
        <f aca="false">IFERROR(AVERAGE(AR209,AW209,BB209,BG209,BL209),"n/m")</f>
        <v>0.189326512171889</v>
      </c>
      <c r="BZ209" s="38" t="n">
        <f aca="false">IFERROR(AVERAGE(S209,X209,AC209,AH209,AM209,AR209,AW209,BB209,BG209,BL209),"n/m")</f>
        <v>0.199201865585562</v>
      </c>
      <c r="CA209" s="38" t="n">
        <f aca="false">IFERROR(AVERAGE(D209,I209,N209,S209,X209,AC209,AH209,AM209,AR209,AW209,BB209,BG209,BL209),"n/m")</f>
        <v>0.200226790804614</v>
      </c>
    </row>
    <row r="210" customFormat="false" ht="15" hidden="false" customHeight="false" outlineLevel="0" collapsed="false">
      <c r="B210" s="50" t="s">
        <v>380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24" t="n">
        <v>105.7</v>
      </c>
      <c r="AQ210" s="24" t="n">
        <v>123.2</v>
      </c>
      <c r="AR210" s="24" t="n">
        <v>418.1</v>
      </c>
      <c r="AS210" s="24" t="n">
        <v>94.4</v>
      </c>
      <c r="AT210" s="24" t="n">
        <v>114.7</v>
      </c>
      <c r="AU210" s="24" t="n">
        <v>100.1</v>
      </c>
      <c r="AV210" s="24" t="n">
        <v>130.1</v>
      </c>
      <c r="AW210" s="24" t="n">
        <v>439.4</v>
      </c>
      <c r="AX210" s="24" t="n">
        <v>110.7</v>
      </c>
      <c r="AY210" s="24" t="n">
        <v>107</v>
      </c>
      <c r="AZ210" s="24" t="n">
        <v>106.5</v>
      </c>
      <c r="BA210" s="24" t="n">
        <v>147.6</v>
      </c>
      <c r="BB210" s="24" t="n">
        <v>471.9</v>
      </c>
      <c r="BC210" s="24" t="n">
        <v>115.2</v>
      </c>
      <c r="BD210" s="24" t="n">
        <v>126.2</v>
      </c>
      <c r="BE210" s="24" t="n">
        <v>127</v>
      </c>
      <c r="BF210" s="24" t="n">
        <v>130.3</v>
      </c>
      <c r="BG210" s="24" t="n">
        <v>498.7</v>
      </c>
      <c r="BH210" s="24" t="n">
        <v>129.8</v>
      </c>
      <c r="BI210" s="24" t="n">
        <v>145.9</v>
      </c>
      <c r="BJ210" s="24" t="n">
        <v>151.1</v>
      </c>
      <c r="BK210" s="24" t="n">
        <v>147.5</v>
      </c>
      <c r="BL210" s="24" t="n">
        <v>574.3</v>
      </c>
      <c r="BM210" s="24" t="n">
        <v>148</v>
      </c>
      <c r="BN210" s="24" t="n">
        <v>155.5</v>
      </c>
      <c r="BO210" s="36"/>
      <c r="BP210" s="36"/>
      <c r="BQ210" s="36"/>
      <c r="BR210" s="36"/>
      <c r="BS210" s="36"/>
      <c r="BT210" s="36"/>
      <c r="BU210" s="36"/>
      <c r="BV210" s="15"/>
    </row>
    <row r="211" customFormat="false" ht="15" hidden="false" customHeight="false" outlineLevel="0" collapsed="false">
      <c r="B211" s="51" t="s">
        <v>381</v>
      </c>
      <c r="C211" s="20" t="str">
        <f aca="false">IF(AND(ISNUMBER(C208),ISNUMBER(C210)),ROUND(C208-C210,1),"")</f>
        <v/>
      </c>
      <c r="D211" s="20" t="str">
        <f aca="false">IF(AND(ISNUMBER(D208),ISNUMBER(D210)),ROUND(D208-D210,1),"")</f>
        <v/>
      </c>
      <c r="E211" s="20" t="str">
        <f aca="false">IF(AND(ISNUMBER(E208),ISNUMBER(E210)),ROUND(E208-E210,1),"")</f>
        <v/>
      </c>
      <c r="F211" s="20" t="str">
        <f aca="false">IF(AND(ISNUMBER(F208),ISNUMBER(F210)),ROUND(F208-F210,1),"")</f>
        <v/>
      </c>
      <c r="G211" s="20" t="str">
        <f aca="false">IF(AND(ISNUMBER(G208),ISNUMBER(G210)),ROUND(G208-G210,1),"")</f>
        <v/>
      </c>
      <c r="H211" s="20" t="str">
        <f aca="false">IF(AND(ISNUMBER(H208),ISNUMBER(H210)),ROUND(H208-H210,1),"")</f>
        <v/>
      </c>
      <c r="I211" s="20" t="str">
        <f aca="false">IF(AND(ISNUMBER(I208),ISNUMBER(I210)),ROUND(I208-I210,1),"")</f>
        <v/>
      </c>
      <c r="J211" s="20" t="str">
        <f aca="false">IF(AND(ISNUMBER(J208),ISNUMBER(J210)),ROUND(J208-J210,1),"")</f>
        <v/>
      </c>
      <c r="K211" s="20" t="str">
        <f aca="false">IF(AND(ISNUMBER(K208),ISNUMBER(K210)),ROUND(K208-K210,1),"")</f>
        <v/>
      </c>
      <c r="L211" s="20" t="str">
        <f aca="false">IF(AND(ISNUMBER(L208),ISNUMBER(L210)),ROUND(L208-L210,1),"")</f>
        <v/>
      </c>
      <c r="M211" s="20" t="str">
        <f aca="false">IF(AND(ISNUMBER(M208),ISNUMBER(M210)),ROUND(M208-M210,1),"")</f>
        <v/>
      </c>
      <c r="N211" s="20" t="str">
        <f aca="false">IF(AND(ISNUMBER(N208),ISNUMBER(N210)),ROUND(N208-N210,1),"")</f>
        <v/>
      </c>
      <c r="O211" s="20" t="str">
        <f aca="false">IF(AND(ISNUMBER(O208),ISNUMBER(O210)),ROUND(O208-O210,1),"")</f>
        <v/>
      </c>
      <c r="P211" s="20" t="str">
        <f aca="false">IF(AND(ISNUMBER(P208),ISNUMBER(P210)),ROUND(P208-P210,1),"")</f>
        <v/>
      </c>
      <c r="Q211" s="20" t="str">
        <f aca="false">IF(AND(ISNUMBER(Q208),ISNUMBER(Q210)),ROUND(Q208-Q210,1),"")</f>
        <v/>
      </c>
      <c r="R211" s="20" t="str">
        <f aca="false">IF(AND(ISNUMBER(R208),ISNUMBER(R210)),ROUND(R208-R210,1),"")</f>
        <v/>
      </c>
      <c r="S211" s="20" t="str">
        <f aca="false">IF(AND(ISNUMBER(S208),ISNUMBER(S210)),ROUND(S208-S210,1),"")</f>
        <v/>
      </c>
      <c r="T211" s="20" t="str">
        <f aca="false">IF(AND(ISNUMBER(T208),ISNUMBER(T210)),ROUND(T208-T210,1),"")</f>
        <v/>
      </c>
      <c r="U211" s="20" t="str">
        <f aca="false">IF(AND(ISNUMBER(U208),ISNUMBER(U210)),ROUND(U208-U210,1),"")</f>
        <v/>
      </c>
      <c r="V211" s="20" t="str">
        <f aca="false">IF(AND(ISNUMBER(V208),ISNUMBER(V210)),ROUND(V208-V210,1),"")</f>
        <v/>
      </c>
      <c r="W211" s="20" t="str">
        <f aca="false">IF(AND(ISNUMBER(W208),ISNUMBER(W210)),ROUND(W208-W210,1),"")</f>
        <v/>
      </c>
      <c r="X211" s="20" t="str">
        <f aca="false">IF(AND(ISNUMBER(X208),ISNUMBER(X210)),ROUND(X208-X210,1),"")</f>
        <v/>
      </c>
      <c r="Y211" s="20" t="str">
        <f aca="false">IF(AND(ISNUMBER(Y208),ISNUMBER(Y210)),ROUND(Y208-Y210,1),"")</f>
        <v/>
      </c>
      <c r="Z211" s="20" t="str">
        <f aca="false">IF(AND(ISNUMBER(Z208),ISNUMBER(Z210)),ROUND(Z208-Z210,1),"")</f>
        <v/>
      </c>
      <c r="AA211" s="20" t="str">
        <f aca="false">IF(AND(ISNUMBER(AA208),ISNUMBER(AA210)),ROUND(AA208-AA210,1),"")</f>
        <v/>
      </c>
      <c r="AB211" s="20" t="str">
        <f aca="false">IF(AND(ISNUMBER(AB208),ISNUMBER(AB210)),ROUND(AB208-AB210,1),"")</f>
        <v/>
      </c>
      <c r="AC211" s="20" t="str">
        <f aca="false">IF(AND(ISNUMBER(AC208),ISNUMBER(AC210)),ROUND(AC208-AC210,1),"")</f>
        <v/>
      </c>
      <c r="AD211" s="20" t="str">
        <f aca="false">IF(AND(ISNUMBER(AD208),ISNUMBER(AD210)),ROUND(AD208-AD210,1),"")</f>
        <v/>
      </c>
      <c r="AE211" s="20" t="str">
        <f aca="false">IF(AND(ISNUMBER(AE208),ISNUMBER(AE210)),ROUND(AE208-AE210,1),"")</f>
        <v/>
      </c>
      <c r="AF211" s="20" t="str">
        <f aca="false">IF(AND(ISNUMBER(AF208),ISNUMBER(AF210)),ROUND(AF208-AF210,1),"")</f>
        <v/>
      </c>
      <c r="AG211" s="20" t="str">
        <f aca="false">IF(AND(ISNUMBER(AG208),ISNUMBER(AG210)),ROUND(AG208-AG210,1),"")</f>
        <v/>
      </c>
      <c r="AH211" s="20" t="str">
        <f aca="false">IF(AND(ISNUMBER(AH208),ISNUMBER(AH210)),ROUND(AH208-AH210,1),"")</f>
        <v/>
      </c>
      <c r="AI211" s="20" t="str">
        <f aca="false">IF(AND(ISNUMBER(AI208),ISNUMBER(AI210)),ROUND(AI208-AI210,1),"")</f>
        <v/>
      </c>
      <c r="AJ211" s="20" t="str">
        <f aca="false">IF(AND(ISNUMBER(AJ208),ISNUMBER(AJ210)),ROUND(AJ208-AJ210,1),"")</f>
        <v/>
      </c>
      <c r="AK211" s="20" t="str">
        <f aca="false">IF(AND(ISNUMBER(AK208),ISNUMBER(AK210)),ROUND(AK208-AK210,1),"")</f>
        <v/>
      </c>
      <c r="AL211" s="20" t="str">
        <f aca="false">IF(AND(ISNUMBER(AL208),ISNUMBER(AL210)),ROUND(AL208-AL210,1),"")</f>
        <v/>
      </c>
      <c r="AM211" s="20" t="str">
        <f aca="false">IF(AND(ISNUMBER(AM208),ISNUMBER(AM210)),ROUND(AM208-AM210,1),"")</f>
        <v/>
      </c>
      <c r="AN211" s="20" t="str">
        <f aca="false">IF(AND(ISNUMBER(AN208),ISNUMBER(AN210)),ROUND(AN208-AN210,1),"")</f>
        <v/>
      </c>
      <c r="AO211" s="20" t="str">
        <f aca="false">IF(AND(ISNUMBER(AO208),ISNUMBER(AO210)),ROUND(AO208-AO210,1),"")</f>
        <v/>
      </c>
      <c r="AP211" s="20" t="n">
        <f aca="false">IF(AND(ISNUMBER(AP208),ISNUMBER(AP210)),ROUND(AP208-AP210,1),"")</f>
        <v>0.1</v>
      </c>
      <c r="AQ211" s="20" t="n">
        <f aca="false">IF(AND(ISNUMBER(AQ208),ISNUMBER(AQ210)),ROUND(AQ208-AQ210,1),"")</f>
        <v>0</v>
      </c>
      <c r="AR211" s="20" t="n">
        <f aca="false">IF(AND(ISNUMBER(AR208),ISNUMBER(AR210)),ROUND(AR208-AR210,1),"")</f>
        <v>-0.1</v>
      </c>
      <c r="AS211" s="20" t="n">
        <f aca="false">IF(AND(ISNUMBER(AS208),ISNUMBER(AS210)),ROUND(AS208-AS210,1),"")</f>
        <v>0.1</v>
      </c>
      <c r="AT211" s="20" t="n">
        <f aca="false">IF(AND(ISNUMBER(AT208),ISNUMBER(AT210)),ROUND(AT208-AT210,1),"")</f>
        <v>0</v>
      </c>
      <c r="AU211" s="20" t="n">
        <f aca="false">IF(AND(ISNUMBER(AU208),ISNUMBER(AU210)),ROUND(AU208-AU210,1),"")</f>
        <v>0.1</v>
      </c>
      <c r="AV211" s="20" t="n">
        <f aca="false">IF(AND(ISNUMBER(AV208),ISNUMBER(AV210)),ROUND(AV208-AV210,1),"")</f>
        <v>-0.1</v>
      </c>
      <c r="AW211" s="20" t="n">
        <f aca="false">IF(AND(ISNUMBER(AW208),ISNUMBER(AW210)),ROUND(AW208-AW210,1),"")</f>
        <v>0</v>
      </c>
      <c r="AX211" s="20" t="n">
        <f aca="false">IF(AND(ISNUMBER(AX208),ISNUMBER(AX210)),ROUND(AX208-AX210,1),"")</f>
        <v>-0</v>
      </c>
      <c r="AY211" s="20" t="n">
        <f aca="false">IF(AND(ISNUMBER(AY208),ISNUMBER(AY210)),ROUND(AY208-AY210,1),"")</f>
        <v>0.1</v>
      </c>
      <c r="AZ211" s="20" t="n">
        <f aca="false">IF(AND(ISNUMBER(AZ208),ISNUMBER(AZ210)),ROUND(AZ208-AZ210,1),"")</f>
        <v>0.1</v>
      </c>
      <c r="BA211" s="20" t="n">
        <f aca="false">IF(AND(ISNUMBER(BA208),ISNUMBER(BA210)),ROUND(BA208-BA210,1),"")</f>
        <v>-0</v>
      </c>
      <c r="BB211" s="20" t="n">
        <f aca="false">IF(AND(ISNUMBER(BB208),ISNUMBER(BB210)),ROUND(BB208-BB210,1),"")</f>
        <v>0</v>
      </c>
      <c r="BC211" s="20" t="n">
        <f aca="false">IF(AND(ISNUMBER(BC208),ISNUMBER(BC210)),ROUND(BC208-BC210,1),"")</f>
        <v>0</v>
      </c>
      <c r="BD211" s="20" t="n">
        <f aca="false">IF(AND(ISNUMBER(BD208),ISNUMBER(BD210)),ROUND(BD208-BD210,1),"")</f>
        <v>0.1</v>
      </c>
      <c r="BE211" s="20" t="n">
        <f aca="false">IF(AND(ISNUMBER(BE208),ISNUMBER(BE210)),ROUND(BE208-BE210,1),"")</f>
        <v>-0.1</v>
      </c>
      <c r="BF211" s="20" t="n">
        <f aca="false">IF(AND(ISNUMBER(BF208),ISNUMBER(BF210)),ROUND(BF208-BF210,1),"")</f>
        <v>-0</v>
      </c>
      <c r="BG211" s="20" t="n">
        <f aca="false">IF(AND(ISNUMBER(BG208),ISNUMBER(BG210)),ROUND(BG208-BG210,1),"")</f>
        <v>-0</v>
      </c>
      <c r="BH211" s="20" t="n">
        <f aca="false">IF(AND(ISNUMBER(BH208),ISNUMBER(BH210)),ROUND(BH208-BH210,1),"")</f>
        <v>-0.1</v>
      </c>
      <c r="BI211" s="20" t="n">
        <f aca="false">IF(AND(ISNUMBER(BI208),ISNUMBER(BI210)),ROUND(BI208-BI210,1),"")</f>
        <v>-0</v>
      </c>
      <c r="BJ211" s="20" t="n">
        <f aca="false">IF(AND(ISNUMBER(BJ208),ISNUMBER(BJ210)),ROUND(BJ208-BJ210,1),"")</f>
        <v>0</v>
      </c>
      <c r="BK211" s="20" t="n">
        <f aca="false">IF(AND(ISNUMBER(BK208),ISNUMBER(BK210)),ROUND(BK208-BK210,1),"")</f>
        <v>0</v>
      </c>
      <c r="BL211" s="20" t="n">
        <f aca="false">IF(AND(ISNUMBER(BL208),ISNUMBER(BL210)),ROUND(BL208-BL210,1),"")</f>
        <v>-0.1</v>
      </c>
      <c r="BM211" s="20" t="n">
        <f aca="false">IF(AND(ISNUMBER(BM208),ISNUMBER(BM210)),ROUND(BM208-BM210,1),"")</f>
        <v>0</v>
      </c>
      <c r="BN211" s="20" t="n">
        <f aca="false">IF(AND(ISNUMBER(BN208),ISNUMBER(BN210)),ROUND(BN208-BN210,1),"")</f>
        <v>-0.1</v>
      </c>
      <c r="BO211" s="36"/>
      <c r="BP211" s="36"/>
      <c r="BQ211" s="36"/>
      <c r="BR211" s="36"/>
      <c r="BS211" s="36"/>
      <c r="BT211" s="36"/>
      <c r="BU211" s="36"/>
      <c r="BV211" s="15"/>
    </row>
    <row r="212" customFormat="false" ht="15" hidden="false" customHeight="false" outlineLevel="0" collapsed="false">
      <c r="B212" s="51" t="s">
        <v>382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20" t="n">
        <f aca="false">IF(AND(ISNUMBER(AM208),ISNUMBER(AM108)),ROUND(AM208-AM108,1),"")</f>
        <v>0</v>
      </c>
      <c r="AN212" s="20" t="n">
        <f aca="false">IF(AND(ISNUMBER(AN208),ISNUMBER(AN108)),ROUND(AN208-AN108,1),"")</f>
        <v>0</v>
      </c>
      <c r="AO212" s="20" t="n">
        <f aca="false">IF(AND(ISNUMBER(AO208),ISNUMBER(AO108)),ROUND(AO208-AO108,1),"")</f>
        <v>0</v>
      </c>
      <c r="AP212" s="20" t="n">
        <f aca="false">IF(AND(ISNUMBER(AP208),ISNUMBER(AP108)),ROUND(AP208-AP108,1),"")</f>
        <v>0</v>
      </c>
      <c r="AQ212" s="20" t="n">
        <f aca="false">IF(AND(ISNUMBER(AQ208),ISNUMBER(AQ108)),ROUND(AQ208-AQ108,1),"")</f>
        <v>0</v>
      </c>
      <c r="AR212" s="20" t="n">
        <f aca="false">IF(AND(ISNUMBER(AR208),ISNUMBER(AR108)),ROUND(AR208-AR108,1),"")</f>
        <v>0</v>
      </c>
      <c r="AS212" s="20" t="n">
        <f aca="false">IF(AND(ISNUMBER(AS208),ISNUMBER(AS108)),ROUND(AS208-AS108,1),"")</f>
        <v>0</v>
      </c>
      <c r="AT212" s="20" t="n">
        <f aca="false">IF(AND(ISNUMBER(AT208),ISNUMBER(AT108)),ROUND(AT208-AT108,1),"")</f>
        <v>0.1</v>
      </c>
      <c r="AU212" s="20" t="n">
        <f aca="false">IF(AND(ISNUMBER(AU208),ISNUMBER(AU108)),ROUND(AU208-AU108,1),"")</f>
        <v>0</v>
      </c>
      <c r="AV212" s="20" t="n">
        <f aca="false">IF(AND(ISNUMBER(AV208),ISNUMBER(AV108)),ROUND(AV208-AV108,1),"")</f>
        <v>-0.1</v>
      </c>
      <c r="AW212" s="20" t="n">
        <f aca="false">IF(AND(ISNUMBER(AW208),ISNUMBER(AW108)),ROUND(AW208-AW108,1),"")</f>
        <v>0</v>
      </c>
      <c r="AX212" s="20" t="n">
        <f aca="false">IF(AND(ISNUMBER(AX208),ISNUMBER(AX108)),ROUND(AX208-AX108,1),"")</f>
        <v>0</v>
      </c>
      <c r="AY212" s="20" t="n">
        <f aca="false">IF(AND(ISNUMBER(AY208),ISNUMBER(AY108)),ROUND(AY208-AY108,1),"")</f>
        <v>-0.1</v>
      </c>
      <c r="AZ212" s="20" t="n">
        <f aca="false">IF(AND(ISNUMBER(AZ208),ISNUMBER(AZ108)),ROUND(AZ208-AZ108,1),"")</f>
        <v>0</v>
      </c>
      <c r="BA212" s="20" t="n">
        <f aca="false">IF(AND(ISNUMBER(BA208),ISNUMBER(BA108)),ROUND(BA208-BA108,1),"")</f>
        <v>-0.1</v>
      </c>
      <c r="BB212" s="20" t="n">
        <f aca="false">IF(AND(ISNUMBER(BB208),ISNUMBER(BB108)),ROUND(BB208-BB108,1),"")</f>
        <v>0</v>
      </c>
      <c r="BC212" s="20" t="n">
        <f aca="false">IF(AND(ISNUMBER(BC208),ISNUMBER(BC108)),ROUND(BC208-BC108,1),"")</f>
        <v>0.1</v>
      </c>
      <c r="BD212" s="20" t="n">
        <f aca="false">IF(AND(ISNUMBER(BD208),ISNUMBER(BD108)),ROUND(BD208-BD108,1),"")</f>
        <v>0.1</v>
      </c>
      <c r="BE212" s="20" t="n">
        <f aca="false">IF(AND(ISNUMBER(BE208),ISNUMBER(BE108)),ROUND(BE208-BE108,1),"")</f>
        <v>-0.1</v>
      </c>
      <c r="BF212" s="20" t="n">
        <f aca="false">IF(AND(ISNUMBER(BF208),ISNUMBER(BF108)),ROUND(BF208-BF108,1),"")</f>
        <v>0.1</v>
      </c>
      <c r="BG212" s="20" t="n">
        <f aca="false">IF(AND(ISNUMBER(BG208),ISNUMBER(BG108)),ROUND(BG208-BG108,1),"")</f>
        <v>0</v>
      </c>
      <c r="BH212" s="20" t="n">
        <f aca="false">IF(AND(ISNUMBER(BH208),ISNUMBER(BH108)),ROUND(BH208-BH108,1),"")</f>
        <v>0</v>
      </c>
      <c r="BI212" s="20" t="n">
        <f aca="false">IF(AND(ISNUMBER(BI208),ISNUMBER(BI108)),ROUND(BI208-BI108,1),"")</f>
        <v>-0.1</v>
      </c>
      <c r="BJ212" s="20" t="n">
        <f aca="false">IF(AND(ISNUMBER(BJ208),ISNUMBER(BJ108)),ROUND(BJ208-BJ108,1),"")</f>
        <v>0.1</v>
      </c>
      <c r="BK212" s="20" t="n">
        <f aca="false">IF(AND(ISNUMBER(BK208),ISNUMBER(BK108)),ROUND(BK208-BK108,1),"")</f>
        <v>-0.2</v>
      </c>
      <c r="BL212" s="20" t="n">
        <f aca="false">IF(AND(ISNUMBER(BL208),ISNUMBER(BL108)),ROUND(BL208-BL108,1),"")</f>
        <v>0</v>
      </c>
      <c r="BM212" s="20" t="n">
        <f aca="false">IF(AND(ISNUMBER(BM208),ISNUMBER(BM108)),ROUND(BM208-BM108,1),"")</f>
        <v>0</v>
      </c>
      <c r="BN212" s="20" t="n">
        <f aca="false">IF(AND(ISNUMBER(BN208),ISNUMBER(BN108)),ROUND(BN208-BN108,1),"")</f>
        <v>0</v>
      </c>
      <c r="BO212" s="21" t="n">
        <f aca="false">IF(AND(ISNUMBER(BO208),ISNUMBER(BO108)),ROUND(BO208-BO108,1),"")</f>
        <v>0</v>
      </c>
      <c r="BP212" s="21" t="n">
        <f aca="false">IF(AND(ISNUMBER(BP208),ISNUMBER(BP108)),ROUND(BP208-BP108,1),"")</f>
        <v>0</v>
      </c>
      <c r="BQ212" s="21" t="n">
        <f aca="false">IF(AND(ISNUMBER(BQ208),ISNUMBER(BQ108)),ROUND(BQ208-BQ108,1),"")</f>
        <v>0</v>
      </c>
      <c r="BR212" s="21" t="n">
        <f aca="false">IF(AND(ISNUMBER(BR208),ISNUMBER(BR108)),ROUND(BR208-BR108,1),"")</f>
        <v>0</v>
      </c>
      <c r="BS212" s="21" t="n">
        <f aca="false">IF(AND(ISNUMBER(BS208),ISNUMBER(BS108)),ROUND(BS208-BS108,1),"")</f>
        <v>0</v>
      </c>
      <c r="BT212" s="21" t="n">
        <f aca="false">IF(AND(ISNUMBER(BT208),ISNUMBER(BT108)),ROUND(BT208-BT108,1),"")</f>
        <v>0</v>
      </c>
      <c r="BU212" s="21" t="n">
        <f aca="false">IF(AND(ISNUMBER(BU208),ISNUMBER(BU108)),ROUND(BU208-BU108,1),"")</f>
        <v>0</v>
      </c>
      <c r="BV212" s="15"/>
    </row>
    <row r="213" customFormat="false" ht="15" hidden="false" customHeight="false" outlineLevel="0" collapsed="false">
      <c r="B213" s="69" t="s">
        <v>383</v>
      </c>
      <c r="C213" s="70"/>
      <c r="D213" s="70"/>
      <c r="E213" s="70"/>
      <c r="F213" s="70"/>
      <c r="G213" s="70"/>
      <c r="H213" s="70"/>
      <c r="I213" s="70"/>
      <c r="J213" s="70"/>
      <c r="K213" s="71" t="s">
        <v>384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1" t="s">
        <v>385</v>
      </c>
      <c r="AD213" s="70"/>
      <c r="AE213" s="70"/>
      <c r="AF213" s="70"/>
      <c r="AG213" s="70"/>
      <c r="AH213" s="70"/>
      <c r="AI213" s="70"/>
      <c r="AJ213" s="70"/>
      <c r="AK213" s="70"/>
      <c r="AL213" s="70"/>
      <c r="AM213" s="71" t="s">
        <v>386</v>
      </c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1" t="s">
        <v>387</v>
      </c>
      <c r="BI213" s="70"/>
      <c r="BJ213" s="70"/>
      <c r="BK213" s="70"/>
      <c r="BL213" s="70"/>
      <c r="BM213" s="70"/>
      <c r="BN213" s="70"/>
      <c r="BO213" s="72"/>
      <c r="BP213" s="72"/>
      <c r="BQ213" s="72"/>
      <c r="BR213" s="72"/>
      <c r="BS213" s="72"/>
      <c r="BT213" s="72"/>
      <c r="BU213" s="72"/>
      <c r="BV213" s="15"/>
    </row>
    <row r="214" customFormat="false" ht="15" hidden="false" customHeight="false" outlineLevel="0" collapsed="false">
      <c r="B214" s="13" t="s">
        <v>388</v>
      </c>
      <c r="BO214" s="14"/>
      <c r="BP214" s="14"/>
      <c r="BQ214" s="14"/>
      <c r="BR214" s="14"/>
      <c r="BS214" s="14"/>
      <c r="BT214" s="14"/>
      <c r="BU214" s="14"/>
      <c r="BV214" s="15"/>
    </row>
    <row r="215" customFormat="false" ht="15" hidden="false" customHeight="false" outlineLevel="0" collapsed="false">
      <c r="B215" s="13" t="s">
        <v>389</v>
      </c>
      <c r="C215" s="19"/>
      <c r="D215" s="19"/>
      <c r="E215" s="24" t="n">
        <v>0</v>
      </c>
      <c r="F215" s="24" t="n">
        <v>0</v>
      </c>
      <c r="G215" s="24" t="n">
        <v>0</v>
      </c>
      <c r="H215" s="24" t="n">
        <v>0</v>
      </c>
      <c r="I215" s="24" t="n">
        <v>0</v>
      </c>
      <c r="J215" s="24" t="n">
        <v>0</v>
      </c>
      <c r="K215" s="24" t="n">
        <v>0</v>
      </c>
      <c r="L215" s="24" t="n">
        <v>0</v>
      </c>
      <c r="M215" s="24" t="n">
        <v>0</v>
      </c>
      <c r="N215" s="24" t="n">
        <v>0</v>
      </c>
      <c r="O215" s="24" t="n">
        <v>0</v>
      </c>
      <c r="P215" s="24" t="n">
        <v>0</v>
      </c>
      <c r="Q215" s="24" t="n">
        <v>0</v>
      </c>
      <c r="R215" s="24" t="n">
        <v>0</v>
      </c>
      <c r="S215" s="24" t="n">
        <v>0</v>
      </c>
      <c r="T215" s="24" t="n">
        <v>0</v>
      </c>
      <c r="U215" s="24" t="n">
        <v>0</v>
      </c>
      <c r="V215" s="24" t="n">
        <v>0</v>
      </c>
      <c r="W215" s="24" t="n">
        <v>0</v>
      </c>
      <c r="X215" s="24" t="n">
        <v>0</v>
      </c>
      <c r="Y215" s="24" t="n">
        <v>0</v>
      </c>
      <c r="Z215" s="24" t="n">
        <v>0</v>
      </c>
      <c r="AA215" s="24" t="n">
        <v>0</v>
      </c>
      <c r="AB215" s="24" t="n">
        <v>0</v>
      </c>
      <c r="AC215" s="24" t="n">
        <v>0</v>
      </c>
      <c r="AD215" s="24" t="n">
        <v>0</v>
      </c>
      <c r="AE215" s="24" t="n">
        <v>0</v>
      </c>
      <c r="AF215" s="24" t="n">
        <v>0</v>
      </c>
      <c r="AG215" s="24" t="n">
        <v>0</v>
      </c>
      <c r="AH215" s="24" t="n">
        <v>0</v>
      </c>
      <c r="AI215" s="24" t="n">
        <v>0</v>
      </c>
      <c r="AJ215" s="24" t="n">
        <v>0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0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1.8</v>
      </c>
      <c r="BI215" s="24" t="n">
        <v>2.5</v>
      </c>
      <c r="BJ215" s="24" t="n">
        <v>3.3</v>
      </c>
      <c r="BK215" s="24" t="n">
        <v>3.1</v>
      </c>
      <c r="BL215" s="24" t="n">
        <v>10.6</v>
      </c>
      <c r="BM215" s="24" t="n">
        <v>2.5</v>
      </c>
      <c r="BN215" s="24" t="n">
        <v>2.5</v>
      </c>
      <c r="BO215" s="21" t="n">
        <f aca="false">BO154</f>
        <v>4.75</v>
      </c>
      <c r="BP215" s="21" t="n">
        <f aca="false">BP154</f>
        <v>4.75</v>
      </c>
      <c r="BQ215" s="21" t="n">
        <f aca="false">SUM(BM215:BP215)</f>
        <v>14.5</v>
      </c>
      <c r="BR215" s="21" t="n">
        <f aca="false">BR154</f>
        <v>19</v>
      </c>
      <c r="BS215" s="21" t="n">
        <f aca="false">BS154</f>
        <v>21.1875</v>
      </c>
      <c r="BT215" s="21" t="n">
        <f aca="false">BT154</f>
        <v>25.5625</v>
      </c>
      <c r="BU215" s="21" t="n">
        <f aca="false">BU154</f>
        <v>29.9375</v>
      </c>
      <c r="BV215" s="15"/>
    </row>
    <row r="216" customFormat="false" ht="15" hidden="false" customHeight="false" outlineLevel="0" collapsed="false">
      <c r="B216" s="13" t="s">
        <v>390</v>
      </c>
      <c r="C216" s="19"/>
      <c r="D216" s="19"/>
      <c r="E216" s="20" t="n">
        <f aca="false">IF(ISNUMBER(E201),-(E201-N(E215)),"")</f>
        <v>-11.446</v>
      </c>
      <c r="F216" s="20" t="n">
        <f aca="false">IF(ISNUMBER(F201),-(F201-N(F215)),"")</f>
        <v>-12.3</v>
      </c>
      <c r="G216" s="20" t="n">
        <f aca="false">IF(ISNUMBER(G201),-(G201-N(G215)),"")</f>
        <v>-12.461</v>
      </c>
      <c r="H216" s="20" t="n">
        <f aca="false">IF(ISNUMBER(H201),-(H201-N(H215)),"")</f>
        <v>-38.93</v>
      </c>
      <c r="I216" s="20" t="n">
        <f aca="false">IF(ISNUMBER(I201),-(I201-N(I215)),"")</f>
        <v>-75.137</v>
      </c>
      <c r="J216" s="20" t="n">
        <f aca="false">IF(ISNUMBER(J201),-(J201-N(J215)),"")</f>
        <v>-15.11</v>
      </c>
      <c r="K216" s="20" t="n">
        <f aca="false">IF(ISNUMBER(K201),-(K201-N(K215)),"")</f>
        <v>-15.147</v>
      </c>
      <c r="L216" s="20" t="n">
        <f aca="false">IF(ISNUMBER(L201),-(L201-N(L215)),"")</f>
        <v>-13.295</v>
      </c>
      <c r="M216" s="20" t="n">
        <f aca="false">IF(ISNUMBER(M201),-(M201-N(M215)),"")</f>
        <v>-13.611</v>
      </c>
      <c r="N216" s="20" t="n">
        <f aca="false">IF(ISNUMBER(N201),-(N201-N(N215)),"")</f>
        <v>-57.163</v>
      </c>
      <c r="O216" s="20" t="n">
        <f aca="false">IF(ISNUMBER(O201),-(O201-N(O215)),"")</f>
        <v>-11.905</v>
      </c>
      <c r="P216" s="20" t="n">
        <f aca="false">IF(ISNUMBER(P201),-(P201-N(P215)),"")</f>
        <v>-12.764</v>
      </c>
      <c r="Q216" s="20" t="n">
        <f aca="false">IF(ISNUMBER(Q201),-(Q201-N(Q215)),"")</f>
        <v>-12.421</v>
      </c>
      <c r="R216" s="20" t="n">
        <f aca="false">IF(ISNUMBER(R201),-(R201-N(R215)),"")</f>
        <v>-13.464</v>
      </c>
      <c r="S216" s="20" t="n">
        <f aca="false">IF(ISNUMBER(S201),-(S201-N(S215)),"")</f>
        <v>-50.554</v>
      </c>
      <c r="T216" s="20" t="n">
        <f aca="false">IF(ISNUMBER(T201),-(T201-N(T215)),"")</f>
        <v>-13.976</v>
      </c>
      <c r="U216" s="20" t="n">
        <f aca="false">IF(ISNUMBER(U201),-(U201-N(U215)),"")</f>
        <v>-14.223</v>
      </c>
      <c r="V216" s="20" t="n">
        <f aca="false">IF(ISNUMBER(V201),-(V201-N(V215)),"")</f>
        <v>-13.936</v>
      </c>
      <c r="W216" s="20" t="n">
        <f aca="false">IF(ISNUMBER(W201),-(W201-N(W215)),"")</f>
        <v>-14.422</v>
      </c>
      <c r="X216" s="20" t="n">
        <f aca="false">IF(ISNUMBER(X201),-(X201-N(X215)),"")</f>
        <v>-56.557</v>
      </c>
      <c r="Y216" s="20" t="n">
        <f aca="false">IF(ISNUMBER(Y201),-(Y201-N(Y215)),"")</f>
        <v>-14.061</v>
      </c>
      <c r="Z216" s="20" t="n">
        <f aca="false">IF(ISNUMBER(Z201),-(Z201-N(Z215)),"")</f>
        <v>-14.359</v>
      </c>
      <c r="AA216" s="20" t="n">
        <f aca="false">IF(ISNUMBER(AA201),-(AA201-N(AA215)),"")</f>
        <v>-15.272</v>
      </c>
      <c r="AB216" s="20" t="n">
        <f aca="false">IF(ISNUMBER(AB201),-(AB201-N(AB215)),"")</f>
        <v>-16.405</v>
      </c>
      <c r="AC216" s="20" t="n">
        <f aca="false">IF(ISNUMBER(AC201),-(AC201-N(AC215)),"")</f>
        <v>-60.097</v>
      </c>
      <c r="AD216" s="20" t="n">
        <f aca="false">IF(ISNUMBER(AD201),-(AD201-N(AD215)),"")</f>
        <v>-15.122</v>
      </c>
      <c r="AE216" s="20" t="n">
        <f aca="false">IF(ISNUMBER(AE201),-(AE201-N(AE215)),"")</f>
        <v>-15.711</v>
      </c>
      <c r="AF216" s="20" t="n">
        <f aca="false">IF(ISNUMBER(AF201),-(AF201-N(AF215)),"")</f>
        <v>-15.195</v>
      </c>
      <c r="AG216" s="20" t="n">
        <f aca="false">IF(ISNUMBER(AG201),-(AG201-N(AG215)),"")</f>
        <v>-15.693</v>
      </c>
      <c r="AH216" s="20" t="n">
        <f aca="false">IF(ISNUMBER(AH201),-(AH201-N(AH215)),"")</f>
        <v>-61.722</v>
      </c>
      <c r="AI216" s="20" t="n">
        <f aca="false">IF(ISNUMBER(AI201),-(AI201-N(AI215)),"")</f>
        <v>-15.614</v>
      </c>
      <c r="AJ216" s="20" t="n">
        <f aca="false">IF(ISNUMBER(AJ201),-(AJ201-N(AJ215)),"")</f>
        <v>-14.951</v>
      </c>
      <c r="AK216" s="20" t="n">
        <f aca="false">IF(ISNUMBER(AK201),-(AK201-N(AK215)),"")</f>
        <v>-14.893</v>
      </c>
      <c r="AL216" s="20" t="n">
        <f aca="false">IF(ISNUMBER(AL201),-(AL201-N(AL215)),"")</f>
        <v>-15.216</v>
      </c>
      <c r="AM216" s="20" t="n">
        <f aca="false">IF(ISNUMBER(AM201),-(AM201-N(AM215)),"")</f>
        <v>-60.674</v>
      </c>
      <c r="AN216" s="20" t="n">
        <f aca="false">IF(ISNUMBER(AN201),-(AN201-N(AN215)),"")</f>
        <v>-15.897</v>
      </c>
      <c r="AO216" s="20" t="n">
        <f aca="false">IF(ISNUMBER(AO201),-(AO201-N(AO215)),"")</f>
        <v>-17.095</v>
      </c>
      <c r="AP216" s="20" t="n">
        <f aca="false">IF(ISNUMBER(AP201),-(AP201-N(AP215)),"")</f>
        <v>-17.484</v>
      </c>
      <c r="AQ216" s="20" t="n">
        <f aca="false">IF(ISNUMBER(AQ201),-(AQ201-N(AQ215)),"")</f>
        <v>-18.604</v>
      </c>
      <c r="AR216" s="20" t="n">
        <f aca="false">IF(ISNUMBER(AR201),-(AR201-N(AR215)),"")</f>
        <v>-69.08</v>
      </c>
      <c r="AS216" s="20" t="n">
        <f aca="false">IF(ISNUMBER(AS201),-(AS201-N(AS215)),"")</f>
        <v>-17.62</v>
      </c>
      <c r="AT216" s="20" t="n">
        <f aca="false">IF(ISNUMBER(AT201),-(AT201-N(AT215)),"")</f>
        <v>-18.596</v>
      </c>
      <c r="AU216" s="20" t="n">
        <f aca="false">IF(ISNUMBER(AU201),-(AU201-N(AU215)),"")</f>
        <v>-18.592</v>
      </c>
      <c r="AV216" s="20" t="n">
        <f aca="false">IF(ISNUMBER(AV201),-(AV201-N(AV215)),"")</f>
        <v>-19.034</v>
      </c>
      <c r="AW216" s="20" t="n">
        <f aca="false">IF(ISNUMBER(AW201),-(AW201-N(AW215)),"")</f>
        <v>-73.842</v>
      </c>
      <c r="AX216" s="20" t="n">
        <f aca="false">IF(ISNUMBER(AX201),-(AX201-N(AX215)),"")</f>
        <v>-19.02</v>
      </c>
      <c r="AY216" s="20" t="n">
        <f aca="false">IF(ISNUMBER(AY201),-(AY201-N(AY215)),"")</f>
        <v>-19.384</v>
      </c>
      <c r="AZ216" s="20" t="n">
        <f aca="false">IF(ISNUMBER(AZ201),-(AZ201-N(AZ215)),"")</f>
        <v>-19.801</v>
      </c>
      <c r="BA216" s="20" t="n">
        <f aca="false">IF(ISNUMBER(BA201),-(BA201-N(BA215)),"")</f>
        <v>-20.361</v>
      </c>
      <c r="BB216" s="20" t="n">
        <f aca="false">IF(ISNUMBER(BB201),-(BB201-N(BB215)),"")</f>
        <v>-78.566</v>
      </c>
      <c r="BC216" s="20" t="n">
        <f aca="false">IF(ISNUMBER(BC201),-(BC201-N(BC215)),"")</f>
        <v>-20.552</v>
      </c>
      <c r="BD216" s="20" t="n">
        <f aca="false">IF(ISNUMBER(BD201),-(BD201-N(BD215)),"")</f>
        <v>-21.609</v>
      </c>
      <c r="BE216" s="20" t="n">
        <f aca="false">IF(ISNUMBER(BE201),-(BE201-N(BE215)),"")</f>
        <v>-21.269</v>
      </c>
      <c r="BF216" s="20" t="n">
        <f aca="false">IF(ISNUMBER(BF201),-(BF201-N(BF215)),"")</f>
        <v>-22.433</v>
      </c>
      <c r="BG216" s="20" t="n">
        <f aca="false">IF(ISNUMBER(BG201),-(BG201-N(BG215)),"")</f>
        <v>-85.862</v>
      </c>
      <c r="BH216" s="20" t="n">
        <f aca="false">IF(ISNUMBER(BH201),-(BH201-N(BH215)),"")</f>
        <v>-22.112</v>
      </c>
      <c r="BI216" s="20" t="n">
        <f aca="false">IF(ISNUMBER(BI201),-(BI201-N(BI215)),"")</f>
        <v>-24.759</v>
      </c>
      <c r="BJ216" s="20" t="n">
        <f aca="false">IF(ISNUMBER(BJ201),-(BJ201-N(BJ215)),"")</f>
        <v>-25.158</v>
      </c>
      <c r="BK216" s="20" t="n">
        <f aca="false">IF(ISNUMBER(BK201),-(BK201-N(BK215)),"")</f>
        <v>-26.456</v>
      </c>
      <c r="BL216" s="20" t="n">
        <f aca="false">IF(ISNUMBER(BL201),-(BL201-N(BL215)),"")</f>
        <v>-98.586</v>
      </c>
      <c r="BM216" s="20" t="n">
        <f aca="false">IF(ISNUMBER(BM201),-(BM201-N(BM215)),"")</f>
        <v>-26.513</v>
      </c>
      <c r="BN216" s="20" t="n">
        <f aca="false">IF(ISNUMBER(BN201),-(BN201-N(BN215)),"")</f>
        <v>-28.862</v>
      </c>
      <c r="BO216" s="21" t="n">
        <f aca="false">-(BO201-BO215)</f>
        <v>-30.9947150420619</v>
      </c>
      <c r="BP216" s="21" t="n">
        <f aca="false">-(BP201-BP215)</f>
        <v>-31.6097849797272</v>
      </c>
      <c r="BQ216" s="21" t="n">
        <f aca="false">-(BQ201-BQ215)</f>
        <v>-117.979500021789</v>
      </c>
      <c r="BR216" s="21" t="n">
        <f aca="false">-(BR201-BR215)</f>
        <v>-144.780732092423</v>
      </c>
      <c r="BS216" s="21" t="n">
        <f aca="false">-(BS201-BS215)</f>
        <v>-162.839111536211</v>
      </c>
      <c r="BT216" s="21" t="n">
        <f aca="false">-(BT201-BT215)</f>
        <v>-184.000063046147</v>
      </c>
      <c r="BU216" s="21" t="n">
        <f aca="false">-(BU201-BU215)</f>
        <v>-201.666785074626</v>
      </c>
      <c r="BV216" s="15"/>
    </row>
    <row r="217" customFormat="false" ht="15" hidden="false" customHeight="false" outlineLevel="0" collapsed="false">
      <c r="B217" s="60" t="s">
        <v>391</v>
      </c>
      <c r="C217" s="61"/>
      <c r="D217" s="61"/>
      <c r="E217" s="62" t="n">
        <f aca="false">IF(ISNUMBER(E208),E208+E216,"")</f>
        <v>45.829</v>
      </c>
      <c r="F217" s="62" t="n">
        <f aca="false">IF(ISNUMBER(F208),F208+F216,"")</f>
        <v>52.657</v>
      </c>
      <c r="G217" s="62" t="n">
        <f aca="false">IF(ISNUMBER(G208),G208+G216,"")</f>
        <v>49.731</v>
      </c>
      <c r="H217" s="62" t="n">
        <f aca="false">IF(ISNUMBER(H208),H208+H216,"")</f>
        <v>70.608</v>
      </c>
      <c r="I217" s="62" t="n">
        <f aca="false">IF(ISNUMBER(I208),I208+I216,"")</f>
        <v>218.625</v>
      </c>
      <c r="J217" s="62" t="n">
        <f aca="false">IF(ISNUMBER(J208),J208+J216,"")</f>
        <v>55.483</v>
      </c>
      <c r="K217" s="62" t="n">
        <f aca="false">IF(ISNUMBER(K208),K208+K216,"")</f>
        <v>54.685</v>
      </c>
      <c r="L217" s="62" t="n">
        <f aca="false">IF(ISNUMBER(L208),L208+L216,"")</f>
        <v>65.266</v>
      </c>
      <c r="M217" s="62" t="n">
        <f aca="false">IF(ISNUMBER(M208),M208+M216,"")</f>
        <v>62.107</v>
      </c>
      <c r="N217" s="62" t="n">
        <f aca="false">IF(ISNUMBER(N208),N208+N216,"")</f>
        <v>237.541</v>
      </c>
      <c r="O217" s="62" t="n">
        <f aca="false">IF(ISNUMBER(O208),O208+O216,"")</f>
        <v>72.609</v>
      </c>
      <c r="P217" s="62" t="n">
        <f aca="false">IF(ISNUMBER(P208),P208+P216,"")</f>
        <v>72.358</v>
      </c>
      <c r="Q217" s="62" t="n">
        <f aca="false">IF(ISNUMBER(Q208),Q208+Q216,"")</f>
        <v>62.373</v>
      </c>
      <c r="R217" s="62" t="n">
        <f aca="false">IF(ISNUMBER(R208),R208+R216,"")</f>
        <v>71.823</v>
      </c>
      <c r="S217" s="62" t="n">
        <f aca="false">IF(ISNUMBER(S208),S208+S216,"")</f>
        <v>279.163</v>
      </c>
      <c r="T217" s="62" t="n">
        <f aca="false">IF(ISNUMBER(T208),T208+T216,"")</f>
        <v>83.205</v>
      </c>
      <c r="U217" s="62" t="n">
        <f aca="false">IF(ISNUMBER(U208),U208+U216,"")</f>
        <v>84.447</v>
      </c>
      <c r="V217" s="62" t="n">
        <f aca="false">IF(ISNUMBER(V208),V208+V216,"")</f>
        <v>73.681</v>
      </c>
      <c r="W217" s="62" t="n">
        <f aca="false">IF(ISNUMBER(W208),W208+W216,"")</f>
        <v>73.252</v>
      </c>
      <c r="X217" s="62" t="n">
        <f aca="false">IF(ISNUMBER(X208),X208+X216,"")</f>
        <v>314.585</v>
      </c>
      <c r="Y217" s="62" t="n">
        <f aca="false">IF(ISNUMBER(Y208),Y208+Y216,"")</f>
        <v>81.488</v>
      </c>
      <c r="Z217" s="62" t="n">
        <f aca="false">IF(ISNUMBER(Z208),Z208+Z216,"")</f>
        <v>71.549</v>
      </c>
      <c r="AA217" s="62" t="n">
        <f aca="false">IF(ISNUMBER(AA208),AA208+AA216,"")</f>
        <v>51.295</v>
      </c>
      <c r="AB217" s="62" t="n">
        <f aca="false">IF(ISNUMBER(AB208),AB208+AB216,"")</f>
        <v>103.145</v>
      </c>
      <c r="AC217" s="62" t="n">
        <f aca="false">IF(ISNUMBER(AC208),AC208+AC216,"")</f>
        <v>307.477</v>
      </c>
      <c r="AD217" s="62" t="n">
        <f aca="false">IF(ISNUMBER(AD208),AD208+AD216,"")</f>
        <v>63.644</v>
      </c>
      <c r="AE217" s="62" t="n">
        <f aca="false">IF(ISNUMBER(AE208),AE208+AE216,"")</f>
        <v>80.835</v>
      </c>
      <c r="AF217" s="62" t="n">
        <f aca="false">IF(ISNUMBER(AF208),AF208+AF216,"")</f>
        <v>99.062</v>
      </c>
      <c r="AG217" s="62" t="n">
        <f aca="false">IF(ISNUMBER(AG208),AG208+AG216,"")</f>
        <v>87.98</v>
      </c>
      <c r="AH217" s="62" t="n">
        <f aca="false">IF(ISNUMBER(AH208),AH208+AH216,"")</f>
        <v>331.521</v>
      </c>
      <c r="AI217" s="62" t="n">
        <f aca="false">IF(ISNUMBER(AI208),AI208+AI216,"")</f>
        <v>98.467</v>
      </c>
      <c r="AJ217" s="62" t="n">
        <f aca="false">IF(ISNUMBER(AJ208),AJ208+AJ216,"")</f>
        <v>86.434</v>
      </c>
      <c r="AK217" s="62" t="n">
        <f aca="false">IF(ISNUMBER(AK208),AK208+AK216,"")</f>
        <v>91.87</v>
      </c>
      <c r="AL217" s="62" t="n">
        <f aca="false">IF(ISNUMBER(AL208),AL208+AL216,"")</f>
        <v>89.681</v>
      </c>
      <c r="AM217" s="62" t="n">
        <f aca="false">IF(ISNUMBER(AM208),AM208+AM216,"")</f>
        <v>366.352</v>
      </c>
      <c r="AN217" s="62" t="n">
        <f aca="false">IF(ISNUMBER(AN208),AN208+AN216,"")</f>
        <v>82.414</v>
      </c>
      <c r="AO217" s="62" t="n">
        <f aca="false">IF(ISNUMBER(AO208),AO208+AO216,"")</f>
        <v>73.751</v>
      </c>
      <c r="AP217" s="62" t="n">
        <f aca="false">IF(ISNUMBER(AP208),AP208+AP216,"")</f>
        <v>88.268</v>
      </c>
      <c r="AQ217" s="62" t="n">
        <f aca="false">IF(ISNUMBER(AQ208),AQ208+AQ216,"")</f>
        <v>104.615</v>
      </c>
      <c r="AR217" s="62" t="n">
        <f aca="false">IF(ISNUMBER(AR208),AR208+AR216,"")</f>
        <v>348.948</v>
      </c>
      <c r="AS217" s="62" t="n">
        <f aca="false">IF(ISNUMBER(AS208),AS208+AS216,"")</f>
        <v>76.8730000000001</v>
      </c>
      <c r="AT217" s="62" t="n">
        <f aca="false">IF(ISNUMBER(AT208),AT208+AT216,"")</f>
        <v>96.137</v>
      </c>
      <c r="AU217" s="62" t="n">
        <f aca="false">IF(ISNUMBER(AU208),AU208+AU216,"")</f>
        <v>81.578</v>
      </c>
      <c r="AV217" s="62" t="n">
        <f aca="false">IF(ISNUMBER(AV208),AV208+AV216,"")</f>
        <v>110.983</v>
      </c>
      <c r="AW217" s="62" t="n">
        <f aca="false">IF(ISNUMBER(AW208),AW208+AW216,"")</f>
        <v>365.571</v>
      </c>
      <c r="AX217" s="62" t="n">
        <f aca="false">IF(ISNUMBER(AX208),AX208+AX216,"")</f>
        <v>91.642</v>
      </c>
      <c r="AY217" s="62" t="n">
        <f aca="false">IF(ISNUMBER(AY208),AY208+AY216,"")</f>
        <v>87.666</v>
      </c>
      <c r="AZ217" s="62" t="n">
        <f aca="false">IF(ISNUMBER(AZ208),AZ208+AZ216,"")</f>
        <v>86.758</v>
      </c>
      <c r="BA217" s="62" t="n">
        <f aca="false">IF(ISNUMBER(BA208),BA208+BA216,"")</f>
        <v>127.193</v>
      </c>
      <c r="BB217" s="62" t="n">
        <f aca="false">IF(ISNUMBER(BB208),BB208+BB216,"")</f>
        <v>393.359</v>
      </c>
      <c r="BC217" s="62" t="n">
        <f aca="false">IF(ISNUMBER(BC208),BC208+BC216,"")</f>
        <v>94.661</v>
      </c>
      <c r="BD217" s="62" t="n">
        <f aca="false">IF(ISNUMBER(BD208),BD208+BD216,"")</f>
        <v>104.706</v>
      </c>
      <c r="BE217" s="62" t="n">
        <f aca="false">IF(ISNUMBER(BE208),BE208+BE216,"")</f>
        <v>105.678</v>
      </c>
      <c r="BF217" s="62" t="n">
        <f aca="false">IF(ISNUMBER(BF208),BF208+BF216,"")</f>
        <v>107.862</v>
      </c>
      <c r="BG217" s="62" t="n">
        <f aca="false">IF(ISNUMBER(BG208),BG208+BG216,"")</f>
        <v>412.807</v>
      </c>
      <c r="BH217" s="62" t="n">
        <f aca="false">IF(ISNUMBER(BH208),BH208+BH216,"")</f>
        <v>107.63</v>
      </c>
      <c r="BI217" s="62" t="n">
        <f aca="false">IF(ISNUMBER(BI208),BI208+BI216,"")</f>
        <v>121.124</v>
      </c>
      <c r="BJ217" s="62" t="n">
        <f aca="false">IF(ISNUMBER(BJ208),BJ208+BJ216,"")</f>
        <v>125.949</v>
      </c>
      <c r="BK217" s="62" t="n">
        <f aca="false">IF(ISNUMBER(BK208),BK208+BK216,"")</f>
        <v>121.056</v>
      </c>
      <c r="BL217" s="62" t="n">
        <f aca="false">IF(ISNUMBER(BL208),BL208+BL216,"")</f>
        <v>475.659</v>
      </c>
      <c r="BM217" s="62" t="n">
        <f aca="false">IF(ISNUMBER(BM208),BM208+BM216,"")</f>
        <v>121.491</v>
      </c>
      <c r="BN217" s="62" t="n">
        <f aca="false">IF(ISNUMBER(BN208),BN208+BN216,"")</f>
        <v>126.536</v>
      </c>
      <c r="BO217" s="62" t="n">
        <f aca="false">BO208+BO216</f>
        <v>148.635029018119</v>
      </c>
      <c r="BP217" s="62" t="n">
        <f aca="false">BP208+BP216</f>
        <v>152.358470960092</v>
      </c>
      <c r="BQ217" s="62" t="n">
        <f aca="false">BQ208+BQ216</f>
        <v>549.02049997821</v>
      </c>
      <c r="BR217" s="62" t="n">
        <f aca="false">BR208+BR216</f>
        <v>609.558555220595</v>
      </c>
      <c r="BS217" s="62" t="n">
        <f aca="false">BS208+BS216</f>
        <v>685.382965346747</v>
      </c>
      <c r="BT217" s="62" t="n">
        <f aca="false">BT208+BT216</f>
        <v>773.410699547292</v>
      </c>
      <c r="BU217" s="62" t="n">
        <f aca="false">BU208+BU216</f>
        <v>861.250476276937</v>
      </c>
      <c r="BV217" s="15"/>
      <c r="BX217" s="25" t="n">
        <f aca="false">IFERROR((BU217/BL217)^(1/5)-1,"n/m")</f>
        <v>0.126073533758563</v>
      </c>
      <c r="BY217" s="25" t="n">
        <f aca="false">IFERROR((BL217/AM217)^(1/5)-1,"n/m")</f>
        <v>0.053608899557265</v>
      </c>
      <c r="BZ217" s="25" t="n">
        <f aca="false">IFERROR((BL217/N217)^(1/10)-1,"n/m")</f>
        <v>0.0719035612480417</v>
      </c>
      <c r="CA217" s="25" t="str">
        <f aca="false">IFERROR((BL217/D217)^(1/12)-1,"n/m")</f>
        <v>n/m</v>
      </c>
    </row>
    <row r="218" customFormat="false" ht="15" hidden="false" customHeight="false" outlineLevel="0" collapsed="false">
      <c r="B218" s="13" t="s">
        <v>392</v>
      </c>
      <c r="C218" s="19"/>
      <c r="D218" s="19"/>
      <c r="E218" s="43" t="n">
        <f aca="false">IF(AND(ISNUMBER(E217),ISNUMBER(E157)),IFERROR(E217/E157,""),"")</f>
        <v>0.128944673284264</v>
      </c>
      <c r="F218" s="43" t="n">
        <f aca="false">IF(AND(ISNUMBER(F217),ISNUMBER(F157)),IFERROR(F217/F157,""),"")</f>
        <v>0.145265498444086</v>
      </c>
      <c r="G218" s="43" t="n">
        <f aca="false">IF(AND(ISNUMBER(G217),ISNUMBER(G157)),IFERROR(G217/G157,""),"")</f>
        <v>0.147415755649885</v>
      </c>
      <c r="H218" s="43" t="n">
        <f aca="false">IF(AND(ISNUMBER(H217),ISNUMBER(H157)),IFERROR(H217/H157,""),"")</f>
        <v>0.178594373649944</v>
      </c>
      <c r="I218" s="43" t="n">
        <f aca="false">IF(AND(ISNUMBER(I217),ISNUMBER(I157)),IFERROR(I217/I157,""),"")</f>
        <v>0.150712458896602</v>
      </c>
      <c r="J218" s="43" t="n">
        <f aca="false">IF(AND(ISNUMBER(J217),ISNUMBER(J157)),IFERROR(J217/J157,""),"")</f>
        <v>0.165380969697692</v>
      </c>
      <c r="K218" s="43" t="n">
        <f aca="false">IF(AND(ISNUMBER(K217),ISNUMBER(K157)),IFERROR(K217/K157,""),"")</f>
        <v>0.153121368670111</v>
      </c>
      <c r="L218" s="43" t="n">
        <f aca="false">IF(AND(ISNUMBER(L217),ISNUMBER(L157)),IFERROR(L217/L157,""),"")</f>
        <v>0.181814636320584</v>
      </c>
      <c r="M218" s="43" t="n">
        <f aca="false">IF(AND(ISNUMBER(M217),ISNUMBER(M157)),IFERROR(M217/M157,""),"")</f>
        <v>0.170652693590667</v>
      </c>
      <c r="N218" s="43" t="n">
        <f aca="false">IF(AND(ISNUMBER(N217),ISNUMBER(N157)),IFERROR(N217/N157,""),"")</f>
        <v>0.167810761913038</v>
      </c>
      <c r="O218" s="43" t="n">
        <f aca="false">IF(AND(ISNUMBER(O217),ISNUMBER(O157)),IFERROR(O217/O157,""),"")</f>
        <v>0.199023644148169</v>
      </c>
      <c r="P218" s="43" t="n">
        <f aca="false">IF(AND(ISNUMBER(P217),ISNUMBER(P157)),IFERROR(P217/P157,""),"")</f>
        <v>0.179824147203404</v>
      </c>
      <c r="Q218" s="43" t="n">
        <f aca="false">IF(AND(ISNUMBER(Q217),ISNUMBER(Q157)),IFERROR(Q217/Q157,""),"")</f>
        <v>0.164353565829172</v>
      </c>
      <c r="R218" s="43" t="n">
        <f aca="false">IF(AND(ISNUMBER(R217),ISNUMBER(R157)),IFERROR(R217/R157,""),"")</f>
        <v>0.17784133115436</v>
      </c>
      <c r="S218" s="43" t="n">
        <f aca="false">IF(AND(ISNUMBER(S217),ISNUMBER(S157)),IFERROR(S217/S157,""),"")</f>
        <v>0.180038605083411</v>
      </c>
      <c r="T218" s="43" t="n">
        <f aca="false">IF(AND(ISNUMBER(T217),ISNUMBER(T157)),IFERROR(T217/T157,""),"")</f>
        <v>0.194300245896471</v>
      </c>
      <c r="U218" s="43" t="n">
        <f aca="false">IF(AND(ISNUMBER(U217),ISNUMBER(U157)),IFERROR(U217/U157,""),"")</f>
        <v>0.205962766852597</v>
      </c>
      <c r="V218" s="43" t="n">
        <f aca="false">IF(AND(ISNUMBER(V217),ISNUMBER(V157)),IFERROR(V217/V157,""),"")</f>
        <v>0.175698683708508</v>
      </c>
      <c r="W218" s="43" t="n">
        <f aca="false">IF(AND(ISNUMBER(W217),ISNUMBER(W157)),IFERROR(W217/W157,""),"")</f>
        <v>0.170298834327588</v>
      </c>
      <c r="X218" s="43" t="n">
        <f aca="false">IF(AND(ISNUMBER(X217),ISNUMBER(X157)),IFERROR(X217/X157,""),"")</f>
        <v>0.18639445221948</v>
      </c>
      <c r="Y218" s="43" t="n">
        <f aca="false">IF(AND(ISNUMBER(Y217),ISNUMBER(Y157)),IFERROR(Y217/Y157,""),"")</f>
        <v>0.178130253157086</v>
      </c>
      <c r="Z218" s="43" t="n">
        <f aca="false">IF(AND(ISNUMBER(Z217),ISNUMBER(Z157)),IFERROR(Z217/Z157,""),"")</f>
        <v>0.163011111338943</v>
      </c>
      <c r="AA218" s="43" t="n">
        <f aca="false">IF(AND(ISNUMBER(AA217),ISNUMBER(AA157)),IFERROR(AA217/AA157,""),"")</f>
        <v>0.120550308220546</v>
      </c>
      <c r="AB218" s="43" t="n">
        <f aca="false">IF(AND(ISNUMBER(AB217),ISNUMBER(AB157)),IFERROR(AB217/AB157,""),"")</f>
        <v>0.215785421696325</v>
      </c>
      <c r="AC218" s="43" t="n">
        <f aca="false">IF(AND(ISNUMBER(AC217),ISNUMBER(AC157)),IFERROR(AC217/AC157,""),"")</f>
        <v>0.170831090139447</v>
      </c>
      <c r="AD218" s="43" t="n">
        <f aca="false">IF(AND(ISNUMBER(AD217),ISNUMBER(AD157)),IFERROR(AD217/AD157,""),"")</f>
        <v>0.152823601166035</v>
      </c>
      <c r="AE218" s="43" t="n">
        <f aca="false">IF(AND(ISNUMBER(AE217),ISNUMBER(AE157)),IFERROR(AE217/AE157,""),"")</f>
        <v>0.171540072703196</v>
      </c>
      <c r="AF218" s="43" t="n">
        <f aca="false">IF(AND(ISNUMBER(AF217),ISNUMBER(AF157)),IFERROR(AF217/AF157,""),"")</f>
        <v>0.195774703557312</v>
      </c>
      <c r="AG218" s="43" t="n">
        <f aca="false">IF(AND(ISNUMBER(AG217),ISNUMBER(AG157)),IFERROR(AG217/AG157,""),"")</f>
        <v>0.175526449669317</v>
      </c>
      <c r="AH218" s="43" t="n">
        <f aca="false">IF(AND(ISNUMBER(AH217),ISNUMBER(AH157)),IFERROR(AH217/AH157,""),"")</f>
        <v>0.174952504591223</v>
      </c>
      <c r="AI218" s="43" t="n">
        <f aca="false">IF(AND(ISNUMBER(AI217),ISNUMBER(AI157)),IFERROR(AI217/AI157,""),"")</f>
        <v>0.181603738786591</v>
      </c>
      <c r="AJ218" s="43" t="n">
        <f aca="false">IF(AND(ISNUMBER(AJ217),ISNUMBER(AJ157)),IFERROR(AJ217/AJ157,""),"")</f>
        <v>0.171319273765163</v>
      </c>
      <c r="AK218" s="43" t="n">
        <f aca="false">IF(AND(ISNUMBER(AK217),ISNUMBER(AK157)),IFERROR(AK217/AK157,""),"")</f>
        <v>0.176714536872112</v>
      </c>
      <c r="AL218" s="43" t="n">
        <f aca="false">IF(AND(ISNUMBER(AL217),ISNUMBER(AL157)),IFERROR(AL217/AL157,""),"")</f>
        <v>0.161033201055826</v>
      </c>
      <c r="AM218" s="43" t="n">
        <f aca="false">IF(AND(ISNUMBER(AM217),ISNUMBER(AM157)),IFERROR(AM217/AM157,""),"")</f>
        <v>0.172521422018954</v>
      </c>
      <c r="AN218" s="43" t="n">
        <f aca="false">IF(AND(ISNUMBER(AN217),ISNUMBER(AN157)),IFERROR(AN217/AN157,""),"")</f>
        <v>0.156006458781728</v>
      </c>
      <c r="AO218" s="43" t="n">
        <f aca="false">IF(AND(ISNUMBER(AO217),ISNUMBER(AO157)),IFERROR(AO217/AO157,""),"")</f>
        <v>0.146012959835597</v>
      </c>
      <c r="AP218" s="43" t="n">
        <f aca="false">IF(AND(ISNUMBER(AP217),ISNUMBER(AP157)),IFERROR(AP217/AP157,""),"")</f>
        <v>0.176986607903723</v>
      </c>
      <c r="AQ218" s="43" t="n">
        <f aca="false">IF(AND(ISNUMBER(AQ217),ISNUMBER(AQ157)),IFERROR(AQ217/AQ157,""),"")</f>
        <v>0.1767219899489</v>
      </c>
      <c r="AR218" s="43" t="n">
        <f aca="false">IF(AND(ISNUMBER(AR217),ISNUMBER(AR157)),IFERROR(AR217/AR157,""),"")</f>
        <v>0.164282412006361</v>
      </c>
      <c r="AS218" s="43" t="n">
        <f aca="false">IF(AND(ISNUMBER(AS217),ISNUMBER(AS157)),IFERROR(AS217/AS157,""),"")</f>
        <v>0.144841710976037</v>
      </c>
      <c r="AT218" s="43" t="n">
        <f aca="false">IF(AND(ISNUMBER(AT217),ISNUMBER(AT157)),IFERROR(AT217/AT157,""),"")</f>
        <v>0.173467362434321</v>
      </c>
      <c r="AU218" s="43" t="n">
        <f aca="false">IF(AND(ISNUMBER(AU217),ISNUMBER(AU157)),IFERROR(AU217/AU157,""),"")</f>
        <v>0.155769116936631</v>
      </c>
      <c r="AV218" s="43" t="n">
        <f aca="false">IF(AND(ISNUMBER(AV217),ISNUMBER(AV157)),IFERROR(AV217/AV157,""),"")</f>
        <v>0.177806936173553</v>
      </c>
      <c r="AW218" s="43" t="n">
        <f aca="false">IF(AND(ISNUMBER(AW217),ISNUMBER(AW157)),IFERROR(AW217/AW157,""),"")</f>
        <v>0.163725113465667</v>
      </c>
      <c r="AX218" s="43" t="n">
        <f aca="false">IF(AND(ISNUMBER(AX217),ISNUMBER(AX157)),IFERROR(AX217/AX157,""),"")</f>
        <v>0.161239355338166</v>
      </c>
      <c r="AY218" s="43" t="n">
        <f aca="false">IF(AND(ISNUMBER(AY217),ISNUMBER(AY157)),IFERROR(AY217/AY157,""),"")</f>
        <v>0.143141016744361</v>
      </c>
      <c r="AZ218" s="43" t="n">
        <f aca="false">IF(AND(ISNUMBER(AZ217),ISNUMBER(AZ157)),IFERROR(AZ217/AZ157,""),"")</f>
        <v>0.147050199241003</v>
      </c>
      <c r="BA218" s="43" t="n">
        <f aca="false">IF(AND(ISNUMBER(BA217),ISNUMBER(BA157)),IFERROR(BA217/BA157,""),"")</f>
        <v>0.175314087234585</v>
      </c>
      <c r="BB218" s="43" t="n">
        <f aca="false">IF(AND(ISNUMBER(BB217),ISNUMBER(BB157)),IFERROR(BB217/BB157,""),"")</f>
        <v>0.157576245568958</v>
      </c>
      <c r="BC218" s="43" t="n">
        <f aca="false">IF(AND(ISNUMBER(BC217),ISNUMBER(BC157)),IFERROR(BC217/BC157,""),"")</f>
        <v>0.15673233261475</v>
      </c>
      <c r="BD218" s="43" t="n">
        <f aca="false">IF(AND(ISNUMBER(BD217),ISNUMBER(BD157)),IFERROR(BD217/BD157,""),"")</f>
        <v>0.153648389865951</v>
      </c>
      <c r="BE218" s="43" t="n">
        <f aca="false">IF(AND(ISNUMBER(BE217),ISNUMBER(BE157)),IFERROR(BE217/BE157,""),"")</f>
        <v>0.157269225961224</v>
      </c>
      <c r="BF218" s="43" t="n">
        <f aca="false">IF(AND(ISNUMBER(BF217),ISNUMBER(BF157)),IFERROR(BF217/BF157,""),"")</f>
        <v>0.14453540086859</v>
      </c>
      <c r="BG218" s="43" t="n">
        <f aca="false">IF(AND(ISNUMBER(BG217),ISNUMBER(BG157)),IFERROR(BG217/BG157,""),"")</f>
        <v>0.152684847987205</v>
      </c>
      <c r="BH218" s="43" t="n">
        <f aca="false">IF(AND(ISNUMBER(BH217),ISNUMBER(BH157)),IFERROR(BH217/BH157,""),"")</f>
        <v>0.15775557047334</v>
      </c>
      <c r="BI218" s="43" t="n">
        <f aca="false">IF(AND(ISNUMBER(BI217),ISNUMBER(BI157)),IFERROR(BI217/BI157,""),"")</f>
        <v>0.158531174455754</v>
      </c>
      <c r="BJ218" s="43" t="n">
        <f aca="false">IF(AND(ISNUMBER(BJ217),ISNUMBER(BJ157)),IFERROR(BJ217/BJ157,""),"")</f>
        <v>0.145389628829278</v>
      </c>
      <c r="BK218" s="43" t="n">
        <f aca="false">IF(AND(ISNUMBER(BK217),ISNUMBER(BK157)),IFERROR(BK217/BK157,""),"")</f>
        <v>0.136656424057563</v>
      </c>
      <c r="BL218" s="43" t="n">
        <f aca="false">IF(AND(ISNUMBER(BL217),ISNUMBER(BL157)),IFERROR(BL217/BL157,""),"")</f>
        <v>0.148716633968281</v>
      </c>
      <c r="BM218" s="43" t="n">
        <f aca="false">IF(AND(ISNUMBER(BM217),ISNUMBER(BM157)),IFERROR(BM217/BM157,""),"")</f>
        <v>0.14123296796041</v>
      </c>
      <c r="BN218" s="43" t="n">
        <f aca="false">IF(AND(ISNUMBER(BN217),ISNUMBER(BN157)),IFERROR(BN217/BN157,""),"")</f>
        <v>0.140342159988909</v>
      </c>
      <c r="BO218" s="35" t="n">
        <f aca="false">IF(AND(ISNUMBER(BO217),ISNUMBER(BO157)),IFERROR(BO217/BO157,""),"")</f>
        <v>0.1482436385834</v>
      </c>
      <c r="BP218" s="35" t="n">
        <f aca="false">IF(AND(ISNUMBER(BP217),ISNUMBER(BP157)),IFERROR(BP217/BP157,""),"")</f>
        <v>0.147132640847274</v>
      </c>
      <c r="BQ218" s="35" t="n">
        <f aca="false">IF(AND(ISNUMBER(BQ217),ISNUMBER(BQ157)),IFERROR(BQ217/BQ157,""),"")</f>
        <v>0.144479078941634</v>
      </c>
      <c r="BR218" s="35" t="n">
        <f aca="false">IF(AND(ISNUMBER(BR217),ISNUMBER(BR157)),IFERROR(BR217/BR157,""),"")</f>
        <v>0.14641611966597</v>
      </c>
      <c r="BS218" s="35" t="n">
        <f aca="false">IF(AND(ISNUMBER(BS217),ISNUMBER(BS157)),IFERROR(BS217/BS157,""),"")</f>
        <v>0.149552914101551</v>
      </c>
      <c r="BT218" s="35" t="n">
        <f aca="false">IF(AND(ISNUMBER(BT217),ISNUMBER(BT157)),IFERROR(BT217/BT157,""),"")</f>
        <v>0.152138760190666</v>
      </c>
      <c r="BU218" s="35" t="n">
        <f aca="false">IF(AND(ISNUMBER(BU217),ISNUMBER(BU157)),IFERROR(BU217/BU157,""),"")</f>
        <v>0.15336141912865</v>
      </c>
      <c r="BV218" s="15"/>
      <c r="BX218" s="38" t="n">
        <f aca="false">IFERROR(AVERAGE(BQ218,BR218,BS218,BT218,BU218),"n/m")</f>
        <v>0.149189658405694</v>
      </c>
      <c r="BY218" s="38" t="n">
        <f aca="false">IFERROR(AVERAGE(AR218,AW218,BB218,BG218,BL218),"n/m")</f>
        <v>0.157397050599295</v>
      </c>
      <c r="BZ218" s="38" t="n">
        <f aca="false">IFERROR(AVERAGE(S218,X218,AC218,AH218,AM218,AR218,AW218,BB218,BG218,BL218),"n/m")</f>
        <v>0.167172332704899</v>
      </c>
      <c r="CA218" s="38" t="n">
        <f aca="false">IFERROR(AVERAGE(D218,I218,N218,S218,X218,AC218,AH218,AM218,AR218,AW218,BB218,BG218,BL218),"n/m")</f>
        <v>0.165853878988219</v>
      </c>
    </row>
    <row r="219" customFormat="false" ht="15" hidden="false" customHeight="false" outlineLevel="0" collapsed="false">
      <c r="B219" s="50" t="s">
        <v>393</v>
      </c>
      <c r="C219" s="19"/>
      <c r="D219" s="19"/>
      <c r="E219" s="24" t="n">
        <v>45.8</v>
      </c>
      <c r="F219" s="24" t="n">
        <v>52.6</v>
      </c>
      <c r="G219" s="24" t="n">
        <v>49.7</v>
      </c>
      <c r="H219" s="24" t="n">
        <v>70.5</v>
      </c>
      <c r="I219" s="24" t="n">
        <v>218.6</v>
      </c>
      <c r="J219" s="24" t="n">
        <v>55.4</v>
      </c>
      <c r="K219" s="24" t="n">
        <v>54.7</v>
      </c>
      <c r="L219" s="24" t="n">
        <v>65.2</v>
      </c>
      <c r="M219" s="24" t="n">
        <v>62.1</v>
      </c>
      <c r="N219" s="24" t="n">
        <v>237.5</v>
      </c>
      <c r="O219" s="24" t="n">
        <v>72.6</v>
      </c>
      <c r="P219" s="24" t="n">
        <v>72.4</v>
      </c>
      <c r="Q219" s="24" t="n">
        <v>62.4</v>
      </c>
      <c r="R219" s="24" t="n">
        <v>71.8</v>
      </c>
      <c r="S219" s="24" t="n">
        <v>279.2</v>
      </c>
      <c r="T219" s="24" t="n">
        <v>83.2</v>
      </c>
      <c r="U219" s="24" t="n">
        <v>84.4</v>
      </c>
      <c r="V219" s="19"/>
      <c r="W219" s="24" t="n">
        <v>73.3</v>
      </c>
      <c r="X219" s="24" t="n">
        <v>314.7</v>
      </c>
      <c r="Y219" s="24" t="n">
        <v>81.4</v>
      </c>
      <c r="Z219" s="24" t="n">
        <v>71.5</v>
      </c>
      <c r="AA219" s="24" t="n">
        <v>51.3</v>
      </c>
      <c r="AB219" s="24" t="n">
        <v>103.1</v>
      </c>
      <c r="AC219" s="24" t="n">
        <v>307.5</v>
      </c>
      <c r="AD219" s="19"/>
      <c r="AE219" s="24" t="n">
        <v>80.9</v>
      </c>
      <c r="AF219" s="24" t="n">
        <v>99</v>
      </c>
      <c r="AG219" s="24" t="n">
        <v>87.9</v>
      </c>
      <c r="AH219" s="24" t="n">
        <v>331.5</v>
      </c>
      <c r="AI219" s="24" t="n">
        <v>98.4</v>
      </c>
      <c r="AJ219" s="24" t="n">
        <v>86.4</v>
      </c>
      <c r="AK219" s="24" t="n">
        <v>91.9</v>
      </c>
      <c r="AL219" s="24" t="n">
        <v>89.6</v>
      </c>
      <c r="AM219" s="24" t="n">
        <v>366.3</v>
      </c>
      <c r="AN219" s="19"/>
      <c r="AO219" s="19"/>
      <c r="AP219" s="24" t="n">
        <v>88.2</v>
      </c>
      <c r="AQ219" s="24" t="n">
        <v>104.6</v>
      </c>
      <c r="AR219" s="24" t="n">
        <v>349</v>
      </c>
      <c r="AS219" s="24" t="n">
        <v>76.8</v>
      </c>
      <c r="AT219" s="24" t="n">
        <v>96.1</v>
      </c>
      <c r="AU219" s="24" t="n">
        <v>81.5</v>
      </c>
      <c r="AV219" s="24" t="n">
        <v>111.1</v>
      </c>
      <c r="AW219" s="24" t="n">
        <v>365.6</v>
      </c>
      <c r="AX219" s="24" t="n">
        <v>91.7</v>
      </c>
      <c r="AY219" s="24" t="n">
        <v>87.6</v>
      </c>
      <c r="AZ219" s="24" t="n">
        <v>86.7</v>
      </c>
      <c r="BA219" s="24" t="n">
        <v>127.3</v>
      </c>
      <c r="BB219" s="24" t="n">
        <v>393.3</v>
      </c>
      <c r="BC219" s="24" t="n">
        <v>94.6</v>
      </c>
      <c r="BD219" s="24" t="n">
        <v>104.6</v>
      </c>
      <c r="BE219" s="24" t="n">
        <v>105.7</v>
      </c>
      <c r="BF219" s="24" t="n">
        <v>107.9</v>
      </c>
      <c r="BG219" s="24" t="n">
        <v>412.8</v>
      </c>
      <c r="BH219" s="24" t="n">
        <v>107.6</v>
      </c>
      <c r="BI219" s="24" t="n">
        <v>121.1</v>
      </c>
      <c r="BJ219" s="24" t="n">
        <v>125.9</v>
      </c>
      <c r="BK219" s="24" t="n">
        <v>121.1</v>
      </c>
      <c r="BL219" s="24" t="n">
        <v>475.7</v>
      </c>
      <c r="BM219" s="24" t="n">
        <v>121.5</v>
      </c>
      <c r="BN219" s="24" t="n">
        <v>126.5</v>
      </c>
      <c r="BO219" s="36"/>
      <c r="BP219" s="36"/>
      <c r="BQ219" s="36"/>
      <c r="BR219" s="36"/>
      <c r="BS219" s="36"/>
      <c r="BT219" s="36"/>
      <c r="BU219" s="36"/>
      <c r="BV219" s="15"/>
    </row>
    <row r="220" customFormat="false" ht="15" hidden="false" customHeight="false" outlineLevel="0" collapsed="false">
      <c r="B220" s="51" t="s">
        <v>394</v>
      </c>
      <c r="C220" s="20" t="str">
        <f aca="false">IF(AND(ISNUMBER(C217),ISNUMBER(C219)),ROUND(C217-C219,1),"")</f>
        <v/>
      </c>
      <c r="D220" s="20" t="str">
        <f aca="false">IF(AND(ISNUMBER(D217),ISNUMBER(D219)),ROUND(D217-D219,1),"")</f>
        <v/>
      </c>
      <c r="E220" s="20" t="n">
        <f aca="false">IF(AND(ISNUMBER(E217),ISNUMBER(E219)),ROUND(E217-E219,1),"")</f>
        <v>0</v>
      </c>
      <c r="F220" s="20" t="n">
        <f aca="false">IF(AND(ISNUMBER(F217),ISNUMBER(F219)),ROUND(F217-F219,1),"")</f>
        <v>0.1</v>
      </c>
      <c r="G220" s="20" t="n">
        <f aca="false">IF(AND(ISNUMBER(G217),ISNUMBER(G219)),ROUND(G217-G219,1),"")</f>
        <v>0</v>
      </c>
      <c r="H220" s="20" t="n">
        <f aca="false">IF(AND(ISNUMBER(H217),ISNUMBER(H219)),ROUND(H217-H219,1),"")</f>
        <v>0.1</v>
      </c>
      <c r="I220" s="20" t="n">
        <f aca="false">IF(AND(ISNUMBER(I217),ISNUMBER(I219)),ROUND(I217-I219,1),"")</f>
        <v>0</v>
      </c>
      <c r="J220" s="20" t="n">
        <f aca="false">IF(AND(ISNUMBER(J217),ISNUMBER(J219)),ROUND(J217-J219,1),"")</f>
        <v>0.1</v>
      </c>
      <c r="K220" s="20" t="n">
        <f aca="false">IF(AND(ISNUMBER(K217),ISNUMBER(K219)),ROUND(K217-K219,1),"")</f>
        <v>-0</v>
      </c>
      <c r="L220" s="20" t="n">
        <f aca="false">IF(AND(ISNUMBER(L217),ISNUMBER(L219)),ROUND(L217-L219,1),"")</f>
        <v>0.1</v>
      </c>
      <c r="M220" s="20" t="n">
        <f aca="false">IF(AND(ISNUMBER(M217),ISNUMBER(M219)),ROUND(M217-M219,1),"")</f>
        <v>0</v>
      </c>
      <c r="N220" s="20" t="n">
        <f aca="false">IF(AND(ISNUMBER(N217),ISNUMBER(N219)),ROUND(N217-N219,1),"")</f>
        <v>0</v>
      </c>
      <c r="O220" s="20" t="n">
        <f aca="false">IF(AND(ISNUMBER(O217),ISNUMBER(O219)),ROUND(O217-O219,1),"")</f>
        <v>0</v>
      </c>
      <c r="P220" s="20" t="n">
        <f aca="false">IF(AND(ISNUMBER(P217),ISNUMBER(P219)),ROUND(P217-P219,1),"")</f>
        <v>-0</v>
      </c>
      <c r="Q220" s="20" t="n">
        <f aca="false">IF(AND(ISNUMBER(Q217),ISNUMBER(Q219)),ROUND(Q217-Q219,1),"")</f>
        <v>-0</v>
      </c>
      <c r="R220" s="20" t="n">
        <f aca="false">IF(AND(ISNUMBER(R217),ISNUMBER(R219)),ROUND(R217-R219,1),"")</f>
        <v>0</v>
      </c>
      <c r="S220" s="20" t="n">
        <f aca="false">IF(AND(ISNUMBER(S217),ISNUMBER(S219)),ROUND(S217-S219,1),"")</f>
        <v>-0</v>
      </c>
      <c r="T220" s="20" t="n">
        <f aca="false">IF(AND(ISNUMBER(T217),ISNUMBER(T219)),ROUND(T217-T219,1),"")</f>
        <v>0</v>
      </c>
      <c r="U220" s="20" t="n">
        <f aca="false">IF(AND(ISNUMBER(U217),ISNUMBER(U219)),ROUND(U217-U219,1),"")</f>
        <v>0</v>
      </c>
      <c r="V220" s="20" t="str">
        <f aca="false">IF(AND(ISNUMBER(V217),ISNUMBER(V219)),ROUND(V217-V219,1),"")</f>
        <v/>
      </c>
      <c r="W220" s="20" t="n">
        <f aca="false">IF(AND(ISNUMBER(W217),ISNUMBER(W219)),ROUND(W217-W219,1),"")</f>
        <v>-0</v>
      </c>
      <c r="X220" s="20" t="n">
        <f aca="false">IF(AND(ISNUMBER(X217),ISNUMBER(X219)),ROUND(X217-X219,1),"")</f>
        <v>-0.1</v>
      </c>
      <c r="Y220" s="20" t="n">
        <f aca="false">IF(AND(ISNUMBER(Y217),ISNUMBER(Y219)),ROUND(Y217-Y219,1),"")</f>
        <v>0.1</v>
      </c>
      <c r="Z220" s="20" t="n">
        <f aca="false">IF(AND(ISNUMBER(Z217),ISNUMBER(Z219)),ROUND(Z217-Z219,1),"")</f>
        <v>0</v>
      </c>
      <c r="AA220" s="20" t="n">
        <f aca="false">IF(AND(ISNUMBER(AA217),ISNUMBER(AA219)),ROUND(AA217-AA219,1),"")</f>
        <v>-0</v>
      </c>
      <c r="AB220" s="20" t="n">
        <f aca="false">IF(AND(ISNUMBER(AB217),ISNUMBER(AB219)),ROUND(AB217-AB219,1),"")</f>
        <v>0</v>
      </c>
      <c r="AC220" s="20" t="n">
        <f aca="false">IF(AND(ISNUMBER(AC217),ISNUMBER(AC219)),ROUND(AC217-AC219,1),"")</f>
        <v>-0</v>
      </c>
      <c r="AD220" s="20" t="str">
        <f aca="false">IF(AND(ISNUMBER(AD217),ISNUMBER(AD219)),ROUND(AD217-AD219,1),"")</f>
        <v/>
      </c>
      <c r="AE220" s="20" t="n">
        <f aca="false">IF(AND(ISNUMBER(AE217),ISNUMBER(AE219)),ROUND(AE217-AE219,1),"")</f>
        <v>-0.1</v>
      </c>
      <c r="AF220" s="20" t="n">
        <f aca="false">IF(AND(ISNUMBER(AF217),ISNUMBER(AF219)),ROUND(AF217-AF219,1),"")</f>
        <v>0.1</v>
      </c>
      <c r="AG220" s="20" t="n">
        <f aca="false">IF(AND(ISNUMBER(AG217),ISNUMBER(AG219)),ROUND(AG217-AG219,1),"")</f>
        <v>0.1</v>
      </c>
      <c r="AH220" s="20" t="n">
        <f aca="false">IF(AND(ISNUMBER(AH217),ISNUMBER(AH219)),ROUND(AH217-AH219,1),"")</f>
        <v>0</v>
      </c>
      <c r="AI220" s="20" t="n">
        <f aca="false">IF(AND(ISNUMBER(AI217),ISNUMBER(AI219)),ROUND(AI217-AI219,1),"")</f>
        <v>0.1</v>
      </c>
      <c r="AJ220" s="20" t="n">
        <f aca="false">IF(AND(ISNUMBER(AJ217),ISNUMBER(AJ219)),ROUND(AJ217-AJ219,1),"")</f>
        <v>0</v>
      </c>
      <c r="AK220" s="20" t="n">
        <f aca="false">IF(AND(ISNUMBER(AK217),ISNUMBER(AK219)),ROUND(AK217-AK219,1),"")</f>
        <v>-0</v>
      </c>
      <c r="AL220" s="20" t="n">
        <f aca="false">IF(AND(ISNUMBER(AL217),ISNUMBER(AL219)),ROUND(AL217-AL219,1),"")</f>
        <v>0.1</v>
      </c>
      <c r="AM220" s="20" t="n">
        <f aca="false">IF(AND(ISNUMBER(AM217),ISNUMBER(AM219)),ROUND(AM217-AM219,1),"")</f>
        <v>0.1</v>
      </c>
      <c r="AN220" s="20" t="str">
        <f aca="false">IF(AND(ISNUMBER(AN217),ISNUMBER(AN219)),ROUND(AN217-AN219,1),"")</f>
        <v/>
      </c>
      <c r="AO220" s="20" t="str">
        <f aca="false">IF(AND(ISNUMBER(AO217),ISNUMBER(AO219)),ROUND(AO217-AO219,1),"")</f>
        <v/>
      </c>
      <c r="AP220" s="20" t="n">
        <f aca="false">IF(AND(ISNUMBER(AP217),ISNUMBER(AP219)),ROUND(AP217-AP219,1),"")</f>
        <v>0.1</v>
      </c>
      <c r="AQ220" s="20" t="n">
        <f aca="false">IF(AND(ISNUMBER(AQ217),ISNUMBER(AQ219)),ROUND(AQ217-AQ219,1),"")</f>
        <v>0</v>
      </c>
      <c r="AR220" s="20" t="n">
        <f aca="false">IF(AND(ISNUMBER(AR217),ISNUMBER(AR219)),ROUND(AR217-AR219,1),"")</f>
        <v>-0.1</v>
      </c>
      <c r="AS220" s="20" t="n">
        <f aca="false">IF(AND(ISNUMBER(AS217),ISNUMBER(AS219)),ROUND(AS217-AS219,1),"")</f>
        <v>0.1</v>
      </c>
      <c r="AT220" s="20" t="n">
        <f aca="false">IF(AND(ISNUMBER(AT217),ISNUMBER(AT219)),ROUND(AT217-AT219,1),"")</f>
        <v>0</v>
      </c>
      <c r="AU220" s="20" t="n">
        <f aca="false">IF(AND(ISNUMBER(AU217),ISNUMBER(AU219)),ROUND(AU217-AU219,1),"")</f>
        <v>0.1</v>
      </c>
      <c r="AV220" s="20" t="n">
        <f aca="false">IF(AND(ISNUMBER(AV217),ISNUMBER(AV219)),ROUND(AV217-AV219,1),"")</f>
        <v>-0.1</v>
      </c>
      <c r="AW220" s="20" t="n">
        <f aca="false">IF(AND(ISNUMBER(AW217),ISNUMBER(AW219)),ROUND(AW217-AW219,1),"")</f>
        <v>-0</v>
      </c>
      <c r="AX220" s="20" t="n">
        <f aca="false">IF(AND(ISNUMBER(AX217),ISNUMBER(AX219)),ROUND(AX217-AX219,1),"")</f>
        <v>-0.1</v>
      </c>
      <c r="AY220" s="20" t="n">
        <f aca="false">IF(AND(ISNUMBER(AY217),ISNUMBER(AY219)),ROUND(AY217-AY219,1),"")</f>
        <v>0.1</v>
      </c>
      <c r="AZ220" s="20" t="n">
        <f aca="false">IF(AND(ISNUMBER(AZ217),ISNUMBER(AZ219)),ROUND(AZ217-AZ219,1),"")</f>
        <v>0.1</v>
      </c>
      <c r="BA220" s="20" t="n">
        <f aca="false">IF(AND(ISNUMBER(BA217),ISNUMBER(BA219)),ROUND(BA217-BA219,1),"")</f>
        <v>-0.1</v>
      </c>
      <c r="BB220" s="20" t="n">
        <f aca="false">IF(AND(ISNUMBER(BB217),ISNUMBER(BB219)),ROUND(BB217-BB219,1),"")</f>
        <v>0.1</v>
      </c>
      <c r="BC220" s="20" t="n">
        <f aca="false">IF(AND(ISNUMBER(BC217),ISNUMBER(BC219)),ROUND(BC217-BC219,1),"")</f>
        <v>0.1</v>
      </c>
      <c r="BD220" s="20" t="n">
        <f aca="false">IF(AND(ISNUMBER(BD217),ISNUMBER(BD219)),ROUND(BD217-BD219,1),"")</f>
        <v>0.1</v>
      </c>
      <c r="BE220" s="20" t="n">
        <f aca="false">IF(AND(ISNUMBER(BE217),ISNUMBER(BE219)),ROUND(BE217-BE219,1),"")</f>
        <v>-0</v>
      </c>
      <c r="BF220" s="20" t="n">
        <f aca="false">IF(AND(ISNUMBER(BF217),ISNUMBER(BF219)),ROUND(BF217-BF219,1),"")</f>
        <v>-0</v>
      </c>
      <c r="BG220" s="20" t="n">
        <f aca="false">IF(AND(ISNUMBER(BG217),ISNUMBER(BG219)),ROUND(BG217-BG219,1),"")</f>
        <v>0</v>
      </c>
      <c r="BH220" s="20" t="n">
        <f aca="false">IF(AND(ISNUMBER(BH217),ISNUMBER(BH219)),ROUND(BH217-BH219,1),"")</f>
        <v>0</v>
      </c>
      <c r="BI220" s="20" t="n">
        <f aca="false">IF(AND(ISNUMBER(BI217),ISNUMBER(BI219)),ROUND(BI217-BI219,1),"")</f>
        <v>0</v>
      </c>
      <c r="BJ220" s="20" t="n">
        <f aca="false">IF(AND(ISNUMBER(BJ217),ISNUMBER(BJ219)),ROUND(BJ217-BJ219,1),"")</f>
        <v>0</v>
      </c>
      <c r="BK220" s="20" t="n">
        <f aca="false">IF(AND(ISNUMBER(BK217),ISNUMBER(BK219)),ROUND(BK217-BK219,1),"")</f>
        <v>-0</v>
      </c>
      <c r="BL220" s="20" t="n">
        <f aca="false">IF(AND(ISNUMBER(BL217),ISNUMBER(BL219)),ROUND(BL217-BL219,1),"")</f>
        <v>-0</v>
      </c>
      <c r="BM220" s="20" t="n">
        <f aca="false">IF(AND(ISNUMBER(BM217),ISNUMBER(BM219)),ROUND(BM217-BM219,1),"")</f>
        <v>-0</v>
      </c>
      <c r="BN220" s="20" t="n">
        <f aca="false">IF(AND(ISNUMBER(BN217),ISNUMBER(BN219)),ROUND(BN217-BN219,1),"")</f>
        <v>0</v>
      </c>
      <c r="BO220" s="36"/>
      <c r="BP220" s="36"/>
      <c r="BQ220" s="36"/>
      <c r="BR220" s="36"/>
      <c r="BS220" s="36"/>
      <c r="BT220" s="36"/>
      <c r="BU220" s="36"/>
      <c r="BV220" s="15"/>
    </row>
    <row r="221" customFormat="false" ht="15" hidden="false" customHeight="false" outlineLevel="0" collapsed="false">
      <c r="B221" s="13"/>
      <c r="BO221" s="14"/>
      <c r="BP221" s="14"/>
      <c r="BQ221" s="14"/>
      <c r="BR221" s="14"/>
      <c r="BS221" s="14"/>
      <c r="BT221" s="14"/>
      <c r="BU221" s="14"/>
      <c r="BV221" s="15"/>
    </row>
    <row r="222" customFormat="false" ht="15" hidden="false" customHeight="false" outlineLevel="0" collapsed="false">
      <c r="B222" s="9" t="s">
        <v>395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 t="s">
        <v>396</v>
      </c>
    </row>
    <row r="223" customFormat="false" ht="15" hidden="false" customHeight="false" outlineLevel="0" collapsed="false">
      <c r="B223" s="30" t="s">
        <v>397</v>
      </c>
      <c r="C223" s="49" t="n">
        <f aca="false">C180</f>
        <v>112.582</v>
      </c>
      <c r="D223" s="49" t="n">
        <f aca="false">D180</f>
        <v>198.49</v>
      </c>
      <c r="E223" s="49" t="n">
        <f aca="false">E180</f>
        <v>39.15</v>
      </c>
      <c r="F223" s="49" t="n">
        <f aca="false">F180</f>
        <v>22.211</v>
      </c>
      <c r="G223" s="49" t="n">
        <f aca="false">G180</f>
        <v>40.626</v>
      </c>
      <c r="H223" s="49" t="n">
        <f aca="false">H180</f>
        <v>-63.247</v>
      </c>
      <c r="I223" s="49" t="n">
        <f aca="false">I180</f>
        <v>38.74</v>
      </c>
      <c r="J223" s="49" t="n">
        <f aca="false">J180</f>
        <v>34.233</v>
      </c>
      <c r="K223" s="49" t="n">
        <f aca="false">K180</f>
        <v>-0.181</v>
      </c>
      <c r="L223" s="49" t="n">
        <f aca="false">L180</f>
        <v>106.344</v>
      </c>
      <c r="M223" s="49" t="n">
        <f aca="false">M180</f>
        <v>0.378</v>
      </c>
      <c r="N223" s="49" t="n">
        <f aca="false">N180</f>
        <v>140.774</v>
      </c>
      <c r="O223" s="49" t="n">
        <f aca="false">O180</f>
        <v>48.791</v>
      </c>
      <c r="P223" s="49" t="n">
        <f aca="false">P180</f>
        <v>57.477</v>
      </c>
      <c r="Q223" s="49" t="n">
        <f aca="false">Q180</f>
        <v>40.503</v>
      </c>
      <c r="R223" s="49" t="n">
        <f aca="false">R180</f>
        <v>33.992</v>
      </c>
      <c r="S223" s="49" t="n">
        <f aca="false">S180</f>
        <v>183.057</v>
      </c>
      <c r="T223" s="49" t="n">
        <f aca="false">T180</f>
        <v>55.719</v>
      </c>
      <c r="U223" s="49" t="n">
        <f aca="false">U180</f>
        <v>61.263</v>
      </c>
      <c r="V223" s="49" t="n">
        <f aca="false">V180</f>
        <v>46.553</v>
      </c>
      <c r="W223" s="49" t="n">
        <f aca="false">W180</f>
        <v>-15.691</v>
      </c>
      <c r="X223" s="49" t="n">
        <f aca="false">X180</f>
        <v>147.844</v>
      </c>
      <c r="Y223" s="49" t="n">
        <f aca="false">Y180</f>
        <v>66.441</v>
      </c>
      <c r="Z223" s="49" t="n">
        <f aca="false">Z180</f>
        <v>60.663</v>
      </c>
      <c r="AA223" s="49" t="n">
        <f aca="false">AA180</f>
        <v>77.919</v>
      </c>
      <c r="AB223" s="49" t="n">
        <f aca="false">AB180</f>
        <v>21.935</v>
      </c>
      <c r="AC223" s="49" t="n">
        <f aca="false">AC180</f>
        <v>226.958</v>
      </c>
      <c r="AD223" s="49" t="n">
        <f aca="false">AD180</f>
        <v>48.978</v>
      </c>
      <c r="AE223" s="49" t="n">
        <f aca="false">AE180</f>
        <v>58.878</v>
      </c>
      <c r="AF223" s="49" t="n">
        <f aca="false">AF180</f>
        <v>74.81</v>
      </c>
      <c r="AG223" s="49" t="n">
        <f aca="false">AG180</f>
        <v>61.449</v>
      </c>
      <c r="AH223" s="49" t="n">
        <f aca="false">AH180</f>
        <v>244.115</v>
      </c>
      <c r="AI223" s="49" t="n">
        <f aca="false">AI180</f>
        <v>75.499</v>
      </c>
      <c r="AJ223" s="49" t="n">
        <f aca="false">AJ180</f>
        <v>64.258</v>
      </c>
      <c r="AK223" s="49" t="n">
        <f aca="false">AK180</f>
        <v>73.171</v>
      </c>
      <c r="AL223" s="49" t="n">
        <f aca="false">AL180</f>
        <v>65.742</v>
      </c>
      <c r="AM223" s="49" t="n">
        <f aca="false">AM180</f>
        <v>278.67</v>
      </c>
      <c r="AN223" s="49" t="n">
        <f aca="false">AN180</f>
        <v>69.749</v>
      </c>
      <c r="AO223" s="49" t="n">
        <f aca="false">AO180</f>
        <v>59.347</v>
      </c>
      <c r="AP223" s="49" t="n">
        <f aca="false">AP180</f>
        <v>59.914</v>
      </c>
      <c r="AQ223" s="49" t="n">
        <f aca="false">AQ180</f>
        <v>116.861</v>
      </c>
      <c r="AR223" s="49" t="n">
        <f aca="false">AR180</f>
        <v>305.871</v>
      </c>
      <c r="AS223" s="49" t="n">
        <f aca="false">AS180</f>
        <v>59.01</v>
      </c>
      <c r="AT223" s="49" t="n">
        <f aca="false">AT180</f>
        <v>74.613</v>
      </c>
      <c r="AU223" s="49" t="n">
        <f aca="false">AU180</f>
        <v>61.603</v>
      </c>
      <c r="AV223" s="49" t="n">
        <f aca="false">AV180</f>
        <v>42.965</v>
      </c>
      <c r="AW223" s="49" t="n">
        <f aca="false">AW180</f>
        <v>238.191</v>
      </c>
      <c r="AX223" s="49" t="n">
        <f aca="false">AX180</f>
        <v>61.092</v>
      </c>
      <c r="AY223" s="49" t="n">
        <f aca="false">AY180</f>
        <v>58.597</v>
      </c>
      <c r="AZ223" s="49" t="n">
        <f aca="false">AZ180</f>
        <v>60.273</v>
      </c>
      <c r="BA223" s="49" t="n">
        <f aca="false">BA180</f>
        <v>65.887</v>
      </c>
      <c r="BB223" s="49" t="n">
        <f aca="false">BB180</f>
        <v>245.849</v>
      </c>
      <c r="BC223" s="49" t="n">
        <f aca="false">BC180</f>
        <v>68.468</v>
      </c>
      <c r="BD223" s="49" t="n">
        <f aca="false">BD180</f>
        <v>72.972</v>
      </c>
      <c r="BE223" s="49" t="n">
        <f aca="false">BE180</f>
        <v>69.483</v>
      </c>
      <c r="BF223" s="49" t="n">
        <f aca="false">BF180</f>
        <v>71.018</v>
      </c>
      <c r="BG223" s="49" t="n">
        <f aca="false">BG180</f>
        <v>281.941</v>
      </c>
      <c r="BH223" s="49" t="n">
        <f aca="false">BH180</f>
        <v>75.462</v>
      </c>
      <c r="BI223" s="49" t="n">
        <f aca="false">BI180</f>
        <v>78.388</v>
      </c>
      <c r="BJ223" s="49" t="n">
        <f aca="false">BJ180</f>
        <v>82.106</v>
      </c>
      <c r="BK223" s="49" t="n">
        <f aca="false">BK180</f>
        <v>92.989</v>
      </c>
      <c r="BL223" s="49" t="n">
        <f aca="false">BL180</f>
        <v>328.945</v>
      </c>
      <c r="BM223" s="49" t="n">
        <f aca="false">BM180</f>
        <v>91.068</v>
      </c>
      <c r="BN223" s="49" t="n">
        <f aca="false">BN180</f>
        <v>89.014</v>
      </c>
      <c r="BO223" s="33" t="n">
        <f aca="false">BO180</f>
        <v>104.031750279223</v>
      </c>
      <c r="BP223" s="33" t="n">
        <f aca="false">BP180</f>
        <v>106.954652203672</v>
      </c>
      <c r="BQ223" s="33" t="n">
        <f aca="false">BQ180</f>
        <v>391.068402482895</v>
      </c>
      <c r="BR223" s="33" t="n">
        <f aca="false">BR180</f>
        <v>894.274147957043</v>
      </c>
      <c r="BS223" s="33" t="n">
        <f aca="false">BS180</f>
        <v>513.286205054995</v>
      </c>
      <c r="BT223" s="33" t="n">
        <f aca="false">BT180</f>
        <v>573.684637498531</v>
      </c>
      <c r="BU223" s="33" t="n">
        <f aca="false">BU180</f>
        <v>629.40968666781</v>
      </c>
      <c r="BV223" s="15"/>
    </row>
    <row r="224" customFormat="false" ht="15" hidden="false" customHeight="false" outlineLevel="0" collapsed="false">
      <c r="B224" s="13" t="s">
        <v>398</v>
      </c>
      <c r="C224" s="24" t="n">
        <v>23.7</v>
      </c>
      <c r="D224" s="24" t="n">
        <v>-130.8</v>
      </c>
      <c r="E224" s="24" t="n">
        <v>0</v>
      </c>
      <c r="F224" s="24" t="n">
        <v>0</v>
      </c>
      <c r="G224" s="24" t="n">
        <v>9.1</v>
      </c>
      <c r="H224" s="24" t="n">
        <v>132.5</v>
      </c>
      <c r="I224" s="24" t="n">
        <v>141.5</v>
      </c>
      <c r="J224" s="24" t="n">
        <v>0</v>
      </c>
      <c r="K224" s="24" t="n">
        <v>2.2</v>
      </c>
      <c r="L224" s="24" t="n">
        <v>0</v>
      </c>
      <c r="M224" s="24" t="n">
        <v>52.5</v>
      </c>
      <c r="N224" s="24" t="n">
        <v>54.7</v>
      </c>
      <c r="O224" s="24" t="n">
        <v>0</v>
      </c>
      <c r="P224" s="24" t="n">
        <v>0</v>
      </c>
      <c r="Q224" s="24" t="n">
        <v>0</v>
      </c>
      <c r="R224" s="24" t="n">
        <v>21.3</v>
      </c>
      <c r="S224" s="24" t="n">
        <v>21.3</v>
      </c>
      <c r="T224" s="24" t="n">
        <v>0</v>
      </c>
      <c r="U224" s="24" t="n">
        <v>0</v>
      </c>
      <c r="V224" s="24" t="n">
        <v>0</v>
      </c>
      <c r="W224" s="24" t="n">
        <v>11</v>
      </c>
      <c r="X224" s="24" t="n">
        <v>11</v>
      </c>
      <c r="Y224" s="24" t="n">
        <v>0</v>
      </c>
      <c r="Z224" s="24" t="n">
        <v>0</v>
      </c>
      <c r="AA224" s="24" t="n">
        <v>-35.1</v>
      </c>
      <c r="AB224" s="24" t="n">
        <v>67.8</v>
      </c>
      <c r="AC224" s="24" t="n">
        <v>32.6</v>
      </c>
      <c r="AD224" s="24" t="n">
        <v>0</v>
      </c>
      <c r="AE224" s="24" t="n">
        <v>0</v>
      </c>
      <c r="AF224" s="24" t="n">
        <v>0</v>
      </c>
      <c r="AG224" s="24" t="n">
        <v>3.6</v>
      </c>
      <c r="AH224" s="24" t="n">
        <v>3.6</v>
      </c>
      <c r="AI224" s="24" t="n">
        <v>0</v>
      </c>
      <c r="AJ224" s="24" t="n">
        <v>0</v>
      </c>
      <c r="AK224" s="24" t="n">
        <v>0</v>
      </c>
      <c r="AL224" s="24" t="n">
        <v>6.4</v>
      </c>
      <c r="AM224" s="24" t="n">
        <v>6.4</v>
      </c>
      <c r="AN224" s="24" t="n">
        <v>0</v>
      </c>
      <c r="AO224" s="24" t="n">
        <v>0</v>
      </c>
      <c r="AP224" s="24" t="n">
        <v>0</v>
      </c>
      <c r="AQ224" s="24" t="n">
        <v>-39.6</v>
      </c>
      <c r="AR224" s="24" t="n">
        <v>-39.6</v>
      </c>
      <c r="AS224" s="24" t="n">
        <v>0</v>
      </c>
      <c r="AT224" s="24" t="n">
        <v>0</v>
      </c>
      <c r="AU224" s="24" t="n">
        <v>0</v>
      </c>
      <c r="AV224" s="24" t="n">
        <v>46.6</v>
      </c>
      <c r="AW224" s="24" t="n">
        <v>46.6</v>
      </c>
      <c r="AX224" s="24" t="n">
        <v>0</v>
      </c>
      <c r="AY224" s="24" t="n">
        <v>0</v>
      </c>
      <c r="AZ224" s="24" t="n">
        <v>0</v>
      </c>
      <c r="BA224" s="24" t="n">
        <v>30.8</v>
      </c>
      <c r="BB224" s="24" t="n">
        <v>30.8</v>
      </c>
      <c r="BC224" s="24" t="n">
        <v>0</v>
      </c>
      <c r="BD224" s="24" t="n">
        <v>0</v>
      </c>
      <c r="BE224" s="24" t="n">
        <v>0</v>
      </c>
      <c r="BF224" s="24" t="n">
        <v>10.9</v>
      </c>
      <c r="BG224" s="24" t="n">
        <v>10.9</v>
      </c>
      <c r="BH224" s="24" t="n">
        <v>0</v>
      </c>
      <c r="BI224" s="24" t="n">
        <v>0</v>
      </c>
      <c r="BJ224" s="24" t="n">
        <v>0</v>
      </c>
      <c r="BK224" s="24" t="n">
        <v>-7.3</v>
      </c>
      <c r="BL224" s="24" t="n">
        <v>-7.3</v>
      </c>
      <c r="BM224" s="24" t="n">
        <v>0</v>
      </c>
      <c r="BN224" s="24" t="n">
        <v>0</v>
      </c>
      <c r="BO224" s="39" t="n">
        <v>0</v>
      </c>
      <c r="BP224" s="39" t="n">
        <v>0</v>
      </c>
      <c r="BQ224" s="21" t="n">
        <f aca="false">SUM(BM224:BP224)</f>
        <v>0</v>
      </c>
      <c r="BR224" s="39" t="n">
        <v>0</v>
      </c>
      <c r="BS224" s="39" t="n">
        <v>0</v>
      </c>
      <c r="BT224" s="39" t="n">
        <v>0</v>
      </c>
      <c r="BU224" s="39" t="n">
        <v>0</v>
      </c>
      <c r="BV224" s="15"/>
    </row>
    <row r="225" customFormat="false" ht="15" hidden="false" customHeight="false" outlineLevel="0" collapsed="false">
      <c r="B225" s="13" t="s">
        <v>373</v>
      </c>
      <c r="C225" s="24" t="n">
        <v>0</v>
      </c>
      <c r="D225" s="24" t="n">
        <v>21.3</v>
      </c>
      <c r="E225" s="24" t="n">
        <v>1.2</v>
      </c>
      <c r="F225" s="24" t="n">
        <v>25.2</v>
      </c>
      <c r="G225" s="24" t="n">
        <v>5.9</v>
      </c>
      <c r="H225" s="24" t="n">
        <v>4.1</v>
      </c>
      <c r="I225" s="24" t="n">
        <v>36.3</v>
      </c>
      <c r="J225" s="24" t="n">
        <v>1.7</v>
      </c>
      <c r="K225" s="24" t="n">
        <v>40.9</v>
      </c>
      <c r="L225" s="24" t="n">
        <v>0</v>
      </c>
      <c r="M225" s="24" t="n">
        <v>0</v>
      </c>
      <c r="N225" s="24" t="n">
        <v>42.6</v>
      </c>
      <c r="O225" s="24" t="n">
        <v>0</v>
      </c>
      <c r="P225" s="24" t="n">
        <v>0</v>
      </c>
      <c r="Q225" s="24" t="n">
        <v>0</v>
      </c>
      <c r="R225" s="24" t="n">
        <v>4.5</v>
      </c>
      <c r="S225" s="24" t="n">
        <v>4.5</v>
      </c>
      <c r="T225" s="24" t="n">
        <v>0</v>
      </c>
      <c r="U225" s="24" t="n">
        <v>0</v>
      </c>
      <c r="V225" s="24" t="n">
        <v>0</v>
      </c>
      <c r="W225" s="24" t="n">
        <v>2.6</v>
      </c>
      <c r="X225" s="24" t="n">
        <v>2.6</v>
      </c>
      <c r="Y225" s="24" t="n">
        <v>0</v>
      </c>
      <c r="Z225" s="24" t="n">
        <v>0</v>
      </c>
      <c r="AA225" s="24" t="n">
        <v>0</v>
      </c>
      <c r="AB225" s="24" t="n">
        <v>0</v>
      </c>
      <c r="AC225" s="24" t="n">
        <v>0</v>
      </c>
      <c r="AD225" s="24" t="n">
        <v>0</v>
      </c>
      <c r="AE225" s="24" t="n">
        <v>0.3</v>
      </c>
      <c r="AF225" s="24" t="n">
        <v>0.6</v>
      </c>
      <c r="AG225" s="24" t="n">
        <v>4.9</v>
      </c>
      <c r="AH225" s="24" t="n">
        <v>5.8</v>
      </c>
      <c r="AI225" s="24" t="n">
        <v>0.2</v>
      </c>
      <c r="AJ225" s="24" t="n">
        <v>1.3</v>
      </c>
      <c r="AK225" s="24" t="n">
        <v>0.5</v>
      </c>
      <c r="AL225" s="24" t="n">
        <v>0.4</v>
      </c>
      <c r="AM225" s="24" t="n">
        <v>2.3</v>
      </c>
      <c r="AN225" s="24" t="n">
        <v>0</v>
      </c>
      <c r="AO225" s="24" t="n">
        <v>0</v>
      </c>
      <c r="AP225" s="24" t="n">
        <v>0.8</v>
      </c>
      <c r="AQ225" s="24" t="n">
        <v>2.4</v>
      </c>
      <c r="AR225" s="24" t="n">
        <v>3.1</v>
      </c>
      <c r="AS225" s="24" t="n">
        <v>4.1</v>
      </c>
      <c r="AT225" s="24" t="n">
        <v>0.3</v>
      </c>
      <c r="AU225" s="24" t="n">
        <v>1.2</v>
      </c>
      <c r="AV225" s="24" t="n">
        <v>2.7</v>
      </c>
      <c r="AW225" s="24" t="n">
        <v>8.2</v>
      </c>
      <c r="AX225" s="24" t="n">
        <v>3.5</v>
      </c>
      <c r="AY225" s="24" t="n">
        <v>0.9</v>
      </c>
      <c r="AZ225" s="24" t="n">
        <v>1.1</v>
      </c>
      <c r="BA225" s="24" t="n">
        <v>4</v>
      </c>
      <c r="BB225" s="24" t="n">
        <v>9.6</v>
      </c>
      <c r="BC225" s="24" t="n">
        <v>1.6</v>
      </c>
      <c r="BD225" s="24" t="n">
        <v>5.8</v>
      </c>
      <c r="BE225" s="24" t="n">
        <v>6</v>
      </c>
      <c r="BF225" s="24" t="n">
        <v>7.8</v>
      </c>
      <c r="BG225" s="24" t="n">
        <v>21.2</v>
      </c>
      <c r="BH225" s="24" t="n">
        <v>4.8</v>
      </c>
      <c r="BI225" s="24" t="n">
        <v>9</v>
      </c>
      <c r="BJ225" s="24" t="n">
        <v>5.1</v>
      </c>
      <c r="BK225" s="24" t="n">
        <v>12.2</v>
      </c>
      <c r="BL225" s="24" t="n">
        <v>31.1</v>
      </c>
      <c r="BM225" s="24" t="n">
        <v>7.3</v>
      </c>
      <c r="BN225" s="24" t="n">
        <v>6.2</v>
      </c>
      <c r="BO225" s="21" t="n">
        <f aca="false">BO105-BO154</f>
        <v>10.8</v>
      </c>
      <c r="BP225" s="21" t="n">
        <f aca="false">BP105-BP154</f>
        <v>10.8</v>
      </c>
      <c r="BQ225" s="21" t="n">
        <f aca="false">SUM(BM225:BP225)</f>
        <v>35.1</v>
      </c>
      <c r="BR225" s="21" t="n">
        <f aca="false">BR105-BR154</f>
        <v>25</v>
      </c>
      <c r="BS225" s="21" t="n">
        <f aca="false">BS105-BS154</f>
        <v>15</v>
      </c>
      <c r="BT225" s="21" t="n">
        <f aca="false">BT105-BT154</f>
        <v>10</v>
      </c>
      <c r="BU225" s="21" t="n">
        <f aca="false">BU105-BU154</f>
        <v>10</v>
      </c>
      <c r="BV225" s="15"/>
    </row>
    <row r="226" customFormat="false" ht="15" hidden="false" customHeight="false" outlineLevel="0" collapsed="false">
      <c r="B226" s="13" t="s">
        <v>375</v>
      </c>
      <c r="C226" s="24" t="n">
        <v>0</v>
      </c>
      <c r="D226" s="24" t="n">
        <v>0</v>
      </c>
      <c r="E226" s="24" t="n">
        <v>0</v>
      </c>
      <c r="F226" s="24" t="n">
        <v>0</v>
      </c>
      <c r="G226" s="24" t="n">
        <v>0</v>
      </c>
      <c r="H226" s="24" t="n">
        <v>0</v>
      </c>
      <c r="I226" s="24" t="n">
        <v>0</v>
      </c>
      <c r="J226" s="24" t="n">
        <v>0</v>
      </c>
      <c r="K226" s="24" t="n">
        <v>0</v>
      </c>
      <c r="L226" s="24" t="n">
        <v>0</v>
      </c>
      <c r="M226" s="24" t="n">
        <v>0</v>
      </c>
      <c r="N226" s="24" t="n">
        <v>0</v>
      </c>
      <c r="O226" s="24" t="n">
        <v>0</v>
      </c>
      <c r="P226" s="24" t="n">
        <v>0</v>
      </c>
      <c r="Q226" s="24" t="n">
        <v>0</v>
      </c>
      <c r="R226" s="24" t="n">
        <v>0</v>
      </c>
      <c r="S226" s="24" t="n">
        <v>0</v>
      </c>
      <c r="T226" s="24" t="n">
        <v>0</v>
      </c>
      <c r="U226" s="24" t="n">
        <v>0</v>
      </c>
      <c r="V226" s="24" t="n">
        <v>0</v>
      </c>
      <c r="W226" s="24" t="n">
        <v>0</v>
      </c>
      <c r="X226" s="24" t="n">
        <v>0</v>
      </c>
      <c r="Y226" s="24" t="n">
        <v>1.6</v>
      </c>
      <c r="Z226" s="24" t="n">
        <v>0</v>
      </c>
      <c r="AA226" s="24" t="n">
        <v>0.9</v>
      </c>
      <c r="AB226" s="24" t="n">
        <v>0</v>
      </c>
      <c r="AC226" s="24" t="n">
        <v>2.5</v>
      </c>
      <c r="AD226" s="24" t="n">
        <v>0</v>
      </c>
      <c r="AE226" s="24" t="n">
        <v>0</v>
      </c>
      <c r="AF226" s="24" t="n">
        <v>0</v>
      </c>
      <c r="AG226" s="24" t="n">
        <v>0.2</v>
      </c>
      <c r="AH226" s="24" t="n">
        <v>0.2</v>
      </c>
      <c r="AI226" s="24" t="n">
        <v>0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1.2</v>
      </c>
      <c r="AT226" s="24" t="n">
        <v>0.6</v>
      </c>
      <c r="AU226" s="24" t="n">
        <v>0.5</v>
      </c>
      <c r="AV226" s="24" t="n">
        <v>0.3</v>
      </c>
      <c r="AW226" s="24" t="n">
        <v>2.6</v>
      </c>
      <c r="AX226" s="24" t="n">
        <v>0.3</v>
      </c>
      <c r="AY226" s="24" t="n">
        <v>0.1</v>
      </c>
      <c r="AZ226" s="24" t="n">
        <v>0.3</v>
      </c>
      <c r="BA226" s="24" t="n">
        <v>0</v>
      </c>
      <c r="BB226" s="24" t="n">
        <v>0.7</v>
      </c>
      <c r="BC226" s="24" t="n">
        <v>0.1</v>
      </c>
      <c r="BD226" s="24" t="n">
        <v>0.1</v>
      </c>
      <c r="BE226" s="24" t="n">
        <v>3.1</v>
      </c>
      <c r="BF226" s="24" t="n">
        <v>4.2</v>
      </c>
      <c r="BG226" s="24" t="n">
        <v>7.4</v>
      </c>
      <c r="BH226" s="24" t="n">
        <v>4.4</v>
      </c>
      <c r="BI226" s="24" t="n">
        <v>7.2</v>
      </c>
      <c r="BJ226" s="24" t="n">
        <v>4.2</v>
      </c>
      <c r="BK226" s="24" t="n">
        <v>15.2</v>
      </c>
      <c r="BL226" s="24" t="n">
        <v>31</v>
      </c>
      <c r="BM226" s="24" t="n">
        <v>5</v>
      </c>
      <c r="BN226" s="24" t="n">
        <v>3.7</v>
      </c>
      <c r="BO226" s="39" t="n">
        <v>0</v>
      </c>
      <c r="BP226" s="39" t="n">
        <v>0</v>
      </c>
      <c r="BQ226" s="21" t="n">
        <f aca="false">SUM(BM226:BP226)</f>
        <v>8.7</v>
      </c>
      <c r="BR226" s="39" t="n">
        <v>0</v>
      </c>
      <c r="BS226" s="39" t="n">
        <v>0</v>
      </c>
      <c r="BT226" s="39" t="n">
        <v>0</v>
      </c>
      <c r="BU226" s="39" t="n">
        <v>0</v>
      </c>
      <c r="BV226" s="15"/>
    </row>
    <row r="227" customFormat="false" ht="15" hidden="false" customHeight="false" outlineLevel="0" collapsed="false">
      <c r="B227" s="13" t="s">
        <v>399</v>
      </c>
      <c r="C227" s="24" t="n">
        <v>0</v>
      </c>
      <c r="D227" s="24" t="n">
        <v>0</v>
      </c>
      <c r="E227" s="24" t="n">
        <v>0</v>
      </c>
      <c r="F227" s="24" t="n">
        <v>0</v>
      </c>
      <c r="G227" s="24" t="n">
        <v>0</v>
      </c>
      <c r="H227" s="24" t="n">
        <v>0</v>
      </c>
      <c r="I227" s="24" t="n">
        <v>0</v>
      </c>
      <c r="J227" s="24" t="n">
        <v>0</v>
      </c>
      <c r="K227" s="24" t="n">
        <v>0</v>
      </c>
      <c r="L227" s="24" t="n">
        <v>0</v>
      </c>
      <c r="M227" s="24" t="n">
        <v>0</v>
      </c>
      <c r="N227" s="24" t="n">
        <v>0</v>
      </c>
      <c r="O227" s="24" t="n">
        <v>0</v>
      </c>
      <c r="P227" s="24" t="n">
        <v>0</v>
      </c>
      <c r="Q227" s="24" t="n">
        <v>0</v>
      </c>
      <c r="R227" s="24" t="n">
        <v>0</v>
      </c>
      <c r="S227" s="24" t="n">
        <v>0</v>
      </c>
      <c r="T227" s="24" t="n">
        <v>0</v>
      </c>
      <c r="U227" s="24" t="n">
        <v>0</v>
      </c>
      <c r="V227" s="24" t="n">
        <v>0</v>
      </c>
      <c r="W227" s="24" t="n">
        <v>0</v>
      </c>
      <c r="X227" s="24" t="n">
        <v>0</v>
      </c>
      <c r="Y227" s="24" t="n">
        <v>0</v>
      </c>
      <c r="Z227" s="24" t="n">
        <v>0</v>
      </c>
      <c r="AA227" s="24" t="n">
        <v>0</v>
      </c>
      <c r="AB227" s="24" t="n">
        <v>0</v>
      </c>
      <c r="AC227" s="24" t="n">
        <v>0</v>
      </c>
      <c r="AD227" s="24" t="n">
        <v>0</v>
      </c>
      <c r="AE227" s="24" t="n">
        <v>0</v>
      </c>
      <c r="AF227" s="24" t="n">
        <v>0</v>
      </c>
      <c r="AG227" s="24" t="n">
        <v>0</v>
      </c>
      <c r="AH227" s="24" t="n">
        <v>0</v>
      </c>
      <c r="AI227" s="24" t="n">
        <v>0</v>
      </c>
      <c r="AJ227" s="24" t="n">
        <v>0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0</v>
      </c>
      <c r="AU227" s="24" t="n">
        <v>0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1.8</v>
      </c>
      <c r="BI227" s="24" t="n">
        <v>2.5</v>
      </c>
      <c r="BJ227" s="24" t="n">
        <v>3.3</v>
      </c>
      <c r="BK227" s="24" t="n">
        <v>3.1</v>
      </c>
      <c r="BL227" s="24" t="n">
        <v>10.6</v>
      </c>
      <c r="BM227" s="24" t="n">
        <v>2.5</v>
      </c>
      <c r="BN227" s="24" t="n">
        <v>2.5</v>
      </c>
      <c r="BO227" s="21" t="n">
        <f aca="false">BO154</f>
        <v>4.75</v>
      </c>
      <c r="BP227" s="21" t="n">
        <f aca="false">BP154</f>
        <v>4.75</v>
      </c>
      <c r="BQ227" s="21" t="n">
        <f aca="false">SUM(BM227:BP227)</f>
        <v>14.5</v>
      </c>
      <c r="BR227" s="21" t="n">
        <f aca="false">BR154</f>
        <v>19</v>
      </c>
      <c r="BS227" s="21" t="n">
        <f aca="false">BS154</f>
        <v>21.1875</v>
      </c>
      <c r="BT227" s="21" t="n">
        <f aca="false">BT154</f>
        <v>25.5625</v>
      </c>
      <c r="BU227" s="21" t="n">
        <f aca="false">BU154</f>
        <v>29.9375</v>
      </c>
      <c r="BV227" s="15"/>
    </row>
    <row r="228" customFormat="false" ht="15" hidden="false" customHeight="false" outlineLevel="0" collapsed="false">
      <c r="B228" s="13" t="s">
        <v>400</v>
      </c>
      <c r="C228" s="24" t="n">
        <v>27</v>
      </c>
      <c r="D228" s="24" t="n">
        <v>19.1</v>
      </c>
      <c r="E228" s="24" t="n">
        <v>0</v>
      </c>
      <c r="F228" s="24" t="n">
        <v>0</v>
      </c>
      <c r="G228" s="24" t="n">
        <v>-18.6</v>
      </c>
      <c r="H228" s="24" t="n">
        <v>20.3</v>
      </c>
      <c r="I228" s="24" t="n">
        <v>1.7</v>
      </c>
      <c r="J228" s="24" t="n">
        <v>0</v>
      </c>
      <c r="K228" s="24" t="n">
        <v>0</v>
      </c>
      <c r="L228" s="24" t="n">
        <v>-94.8</v>
      </c>
      <c r="M228" s="24" t="n">
        <v>2.9</v>
      </c>
      <c r="N228" s="24" t="n">
        <v>-91.9</v>
      </c>
      <c r="O228" s="24" t="n">
        <v>6.6</v>
      </c>
      <c r="P228" s="24" t="n">
        <v>-16.9</v>
      </c>
      <c r="Q228" s="24" t="n">
        <v>-0.3</v>
      </c>
      <c r="R228" s="24" t="n">
        <v>-0.1</v>
      </c>
      <c r="S228" s="24" t="n">
        <v>-10.6</v>
      </c>
      <c r="T228" s="24" t="n">
        <v>-0.4</v>
      </c>
      <c r="U228" s="24" t="n">
        <v>-7.9</v>
      </c>
      <c r="V228" s="24" t="n">
        <v>0</v>
      </c>
      <c r="W228" s="24" t="n">
        <v>0</v>
      </c>
      <c r="X228" s="24" t="n">
        <v>-8.3</v>
      </c>
      <c r="Y228" s="24" t="n">
        <v>0</v>
      </c>
      <c r="Z228" s="24" t="n">
        <v>-3.6</v>
      </c>
      <c r="AA228" s="24" t="n">
        <v>1.3</v>
      </c>
      <c r="AB228" s="24" t="n">
        <v>0</v>
      </c>
      <c r="AC228" s="24" t="n">
        <v>-2.3</v>
      </c>
      <c r="AD228" s="24" t="n">
        <v>0</v>
      </c>
      <c r="AE228" s="24" t="n">
        <v>0</v>
      </c>
      <c r="AF228" s="24" t="n">
        <v>0</v>
      </c>
      <c r="AG228" s="24" t="n">
        <v>0</v>
      </c>
      <c r="AH228" s="24" t="n">
        <v>0</v>
      </c>
      <c r="AI228" s="24" t="n">
        <v>0</v>
      </c>
      <c r="AJ228" s="24" t="n">
        <v>3.2</v>
      </c>
      <c r="AK228" s="24" t="n">
        <v>2.6</v>
      </c>
      <c r="AL228" s="24" t="n">
        <v>0.2</v>
      </c>
      <c r="AM228" s="24" t="n">
        <v>6</v>
      </c>
      <c r="AN228" s="24" t="n">
        <v>0</v>
      </c>
      <c r="AO228" s="24" t="n">
        <v>0</v>
      </c>
      <c r="AP228" s="24" t="n">
        <v>15</v>
      </c>
      <c r="AQ228" s="24" t="n">
        <v>0</v>
      </c>
      <c r="AR228" s="24" t="n">
        <v>15</v>
      </c>
      <c r="AS228" s="24" t="n">
        <v>0</v>
      </c>
      <c r="AT228" s="24" t="n">
        <v>0</v>
      </c>
      <c r="AU228" s="24" t="n">
        <v>0</v>
      </c>
      <c r="AV228" s="24" t="n">
        <v>6.2</v>
      </c>
      <c r="AW228" s="24" t="n">
        <v>6.2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3.6</v>
      </c>
      <c r="BG228" s="24" t="n">
        <v>3.6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39" t="n">
        <v>0</v>
      </c>
      <c r="BP228" s="39" t="n">
        <v>0</v>
      </c>
      <c r="BQ228" s="21" t="n">
        <f aca="false">SUM(BM228:BP228)</f>
        <v>0</v>
      </c>
      <c r="BR228" s="21" t="n">
        <f aca="false">-BR83</f>
        <v>-587.5</v>
      </c>
      <c r="BS228" s="21" t="n">
        <f aca="false">-BS83</f>
        <v>-0</v>
      </c>
      <c r="BT228" s="21" t="n">
        <f aca="false">-BT83</f>
        <v>-0</v>
      </c>
      <c r="BU228" s="21" t="n">
        <f aca="false">-BU83</f>
        <v>-0</v>
      </c>
      <c r="BV228" s="15"/>
    </row>
    <row r="229" customFormat="false" ht="15" hidden="false" customHeight="false" outlineLevel="0" collapsed="false">
      <c r="B229" s="30" t="s">
        <v>401</v>
      </c>
      <c r="C229" s="49" t="n">
        <f aca="false">IF(ISNUMBER(C224),N(C224)+N(C225)+N(C226)+N(C227)+N(C228),"")</f>
        <v>50.7</v>
      </c>
      <c r="D229" s="49" t="n">
        <f aca="false">IF(ISNUMBER(D224),N(D224)+N(D225)+N(D226)+N(D227)+N(D228),"")</f>
        <v>-90.4</v>
      </c>
      <c r="E229" s="49" t="n">
        <f aca="false">IF(ISNUMBER(E224),N(E224)+N(E225)+N(E226)+N(E227)+N(E228),"")</f>
        <v>1.2</v>
      </c>
      <c r="F229" s="49" t="n">
        <f aca="false">IF(ISNUMBER(F224),N(F224)+N(F225)+N(F226)+N(F227)+N(F228),"")</f>
        <v>25.2</v>
      </c>
      <c r="G229" s="49" t="n">
        <f aca="false">IF(ISNUMBER(G224),N(G224)+N(G225)+N(G226)+N(G227)+N(G228),"")</f>
        <v>-3.6</v>
      </c>
      <c r="H229" s="49" t="n">
        <f aca="false">IF(ISNUMBER(H224),N(H224)+N(H225)+N(H226)+N(H227)+N(H228),"")</f>
        <v>156.9</v>
      </c>
      <c r="I229" s="49" t="n">
        <f aca="false">IF(ISNUMBER(I224),N(I224)+N(I225)+N(I226)+N(I227)+N(I228),"")</f>
        <v>179.5</v>
      </c>
      <c r="J229" s="49" t="n">
        <f aca="false">IF(ISNUMBER(J224),N(J224)+N(J225)+N(J226)+N(J227)+N(J228),"")</f>
        <v>1.7</v>
      </c>
      <c r="K229" s="49" t="n">
        <f aca="false">IF(ISNUMBER(K224),N(K224)+N(K225)+N(K226)+N(K227)+N(K228),"")</f>
        <v>43.1</v>
      </c>
      <c r="L229" s="49" t="n">
        <f aca="false">IF(ISNUMBER(L224),N(L224)+N(L225)+N(L226)+N(L227)+N(L228),"")</f>
        <v>-94.8</v>
      </c>
      <c r="M229" s="49" t="n">
        <f aca="false">IF(ISNUMBER(M224),N(M224)+N(M225)+N(M226)+N(M227)+N(M228),"")</f>
        <v>55.4</v>
      </c>
      <c r="N229" s="49" t="n">
        <f aca="false">IF(ISNUMBER(N224),N(N224)+N(N225)+N(N226)+N(N227)+N(N228),"")</f>
        <v>5.40000000000001</v>
      </c>
      <c r="O229" s="49" t="n">
        <f aca="false">IF(ISNUMBER(O224),N(O224)+N(O225)+N(O226)+N(O227)+N(O228),"")</f>
        <v>6.6</v>
      </c>
      <c r="P229" s="49" t="n">
        <f aca="false">IF(ISNUMBER(P224),N(P224)+N(P225)+N(P226)+N(P227)+N(P228),"")</f>
        <v>-16.9</v>
      </c>
      <c r="Q229" s="49" t="n">
        <f aca="false">IF(ISNUMBER(Q224),N(Q224)+N(Q225)+N(Q226)+N(Q227)+N(Q228),"")</f>
        <v>-0.3</v>
      </c>
      <c r="R229" s="49" t="n">
        <f aca="false">IF(ISNUMBER(R224),N(R224)+N(R225)+N(R226)+N(R227)+N(R228),"")</f>
        <v>25.7</v>
      </c>
      <c r="S229" s="49" t="n">
        <f aca="false">IF(ISNUMBER(S224),N(S224)+N(S225)+N(S226)+N(S227)+N(S228),"")</f>
        <v>15.2</v>
      </c>
      <c r="T229" s="49" t="n">
        <f aca="false">IF(ISNUMBER(T224),N(T224)+N(T225)+N(T226)+N(T227)+N(T228),"")</f>
        <v>-0.4</v>
      </c>
      <c r="U229" s="49" t="n">
        <f aca="false">IF(ISNUMBER(U224),N(U224)+N(U225)+N(U226)+N(U227)+N(U228),"")</f>
        <v>-7.9</v>
      </c>
      <c r="V229" s="49" t="n">
        <f aca="false">IF(ISNUMBER(V224),N(V224)+N(V225)+N(V226)+N(V227)+N(V228),"")</f>
        <v>0</v>
      </c>
      <c r="W229" s="49" t="n">
        <f aca="false">IF(ISNUMBER(W224),N(W224)+N(W225)+N(W226)+N(W227)+N(W228),"")</f>
        <v>13.6</v>
      </c>
      <c r="X229" s="49" t="n">
        <f aca="false">IF(ISNUMBER(X224),N(X224)+N(X225)+N(X226)+N(X227)+N(X228),"")</f>
        <v>5.3</v>
      </c>
      <c r="Y229" s="49" t="n">
        <f aca="false">IF(ISNUMBER(Y224),N(Y224)+N(Y225)+N(Y226)+N(Y227)+N(Y228),"")</f>
        <v>1.6</v>
      </c>
      <c r="Z229" s="49" t="n">
        <f aca="false">IF(ISNUMBER(Z224),N(Z224)+N(Z225)+N(Z226)+N(Z227)+N(Z228),"")</f>
        <v>-3.6</v>
      </c>
      <c r="AA229" s="49" t="n">
        <f aca="false">IF(ISNUMBER(AA224),N(AA224)+N(AA225)+N(AA226)+N(AA227)+N(AA228),"")</f>
        <v>-32.9</v>
      </c>
      <c r="AB229" s="49" t="n">
        <f aca="false">IF(ISNUMBER(AB224),N(AB224)+N(AB225)+N(AB226)+N(AB227)+N(AB228),"")</f>
        <v>67.8</v>
      </c>
      <c r="AC229" s="49" t="n">
        <f aca="false">IF(ISNUMBER(AC224),N(AC224)+N(AC225)+N(AC226)+N(AC227)+N(AC228),"")</f>
        <v>32.8</v>
      </c>
      <c r="AD229" s="49" t="n">
        <f aca="false">IF(ISNUMBER(AD224),N(AD224)+N(AD225)+N(AD226)+N(AD227)+N(AD228),"")</f>
        <v>0</v>
      </c>
      <c r="AE229" s="49" t="n">
        <f aca="false">IF(ISNUMBER(AE224),N(AE224)+N(AE225)+N(AE226)+N(AE227)+N(AE228),"")</f>
        <v>0.3</v>
      </c>
      <c r="AF229" s="49" t="n">
        <f aca="false">IF(ISNUMBER(AF224),N(AF224)+N(AF225)+N(AF226)+N(AF227)+N(AF228),"")</f>
        <v>0.6</v>
      </c>
      <c r="AG229" s="49" t="n">
        <f aca="false">IF(ISNUMBER(AG224),N(AG224)+N(AG225)+N(AG226)+N(AG227)+N(AG228),"")</f>
        <v>8.7</v>
      </c>
      <c r="AH229" s="49" t="n">
        <f aca="false">IF(ISNUMBER(AH224),N(AH224)+N(AH225)+N(AH226)+N(AH227)+N(AH228),"")</f>
        <v>9.6</v>
      </c>
      <c r="AI229" s="49" t="n">
        <f aca="false">IF(ISNUMBER(AI224),N(AI224)+N(AI225)+N(AI226)+N(AI227)+N(AI228),"")</f>
        <v>0.2</v>
      </c>
      <c r="AJ229" s="49" t="n">
        <f aca="false">IF(ISNUMBER(AJ224),N(AJ224)+N(AJ225)+N(AJ226)+N(AJ227)+N(AJ228),"")</f>
        <v>4.5</v>
      </c>
      <c r="AK229" s="49" t="n">
        <f aca="false">IF(ISNUMBER(AK224),N(AK224)+N(AK225)+N(AK226)+N(AK227)+N(AK228),"")</f>
        <v>3.1</v>
      </c>
      <c r="AL229" s="49" t="n">
        <f aca="false">IF(ISNUMBER(AL224),N(AL224)+N(AL225)+N(AL226)+N(AL227)+N(AL228),"")</f>
        <v>7</v>
      </c>
      <c r="AM229" s="49" t="n">
        <f aca="false">IF(ISNUMBER(AM224),N(AM224)+N(AM225)+N(AM226)+N(AM227)+N(AM228),"")</f>
        <v>14.7</v>
      </c>
      <c r="AN229" s="49" t="n">
        <f aca="false">IF(ISNUMBER(AN224),N(AN224)+N(AN225)+N(AN226)+N(AN227)+N(AN228),"")</f>
        <v>0</v>
      </c>
      <c r="AO229" s="49" t="n">
        <f aca="false">IF(ISNUMBER(AO224),N(AO224)+N(AO225)+N(AO226)+N(AO227)+N(AO228),"")</f>
        <v>0</v>
      </c>
      <c r="AP229" s="49" t="n">
        <f aca="false">IF(ISNUMBER(AP224),N(AP224)+N(AP225)+N(AP226)+N(AP227)+N(AP228),"")</f>
        <v>15.8</v>
      </c>
      <c r="AQ229" s="49" t="n">
        <f aca="false">IF(ISNUMBER(AQ224),N(AQ224)+N(AQ225)+N(AQ226)+N(AQ227)+N(AQ228),"")</f>
        <v>-37.2</v>
      </c>
      <c r="AR229" s="49" t="n">
        <f aca="false">IF(ISNUMBER(AR224),N(AR224)+N(AR225)+N(AR226)+N(AR227)+N(AR228),"")</f>
        <v>-21.5</v>
      </c>
      <c r="AS229" s="49" t="n">
        <f aca="false">IF(ISNUMBER(AS224),N(AS224)+N(AS225)+N(AS226)+N(AS227)+N(AS228),"")</f>
        <v>5.3</v>
      </c>
      <c r="AT229" s="49" t="n">
        <f aca="false">IF(ISNUMBER(AT224),N(AT224)+N(AT225)+N(AT226)+N(AT227)+N(AT228),"")</f>
        <v>0.9</v>
      </c>
      <c r="AU229" s="49" t="n">
        <f aca="false">IF(ISNUMBER(AU224),N(AU224)+N(AU225)+N(AU226)+N(AU227)+N(AU228),"")</f>
        <v>1.7</v>
      </c>
      <c r="AV229" s="49" t="n">
        <f aca="false">IF(ISNUMBER(AV224),N(AV224)+N(AV225)+N(AV226)+N(AV227)+N(AV228),"")</f>
        <v>55.8</v>
      </c>
      <c r="AW229" s="49" t="n">
        <f aca="false">IF(ISNUMBER(AW224),N(AW224)+N(AW225)+N(AW226)+N(AW227)+N(AW228),"")</f>
        <v>63.6</v>
      </c>
      <c r="AX229" s="49" t="n">
        <f aca="false">IF(ISNUMBER(AX224),N(AX224)+N(AX225)+N(AX226)+N(AX227)+N(AX228),"")</f>
        <v>3.8</v>
      </c>
      <c r="AY229" s="49" t="n">
        <f aca="false">IF(ISNUMBER(AY224),N(AY224)+N(AY225)+N(AY226)+N(AY227)+N(AY228),"")</f>
        <v>1</v>
      </c>
      <c r="AZ229" s="49" t="n">
        <f aca="false">IF(ISNUMBER(AZ224),N(AZ224)+N(AZ225)+N(AZ226)+N(AZ227)+N(AZ228),"")</f>
        <v>1.4</v>
      </c>
      <c r="BA229" s="49" t="n">
        <f aca="false">IF(ISNUMBER(BA224),N(BA224)+N(BA225)+N(BA226)+N(BA227)+N(BA228),"")</f>
        <v>34.8</v>
      </c>
      <c r="BB229" s="49" t="n">
        <f aca="false">IF(ISNUMBER(BB224),N(BB224)+N(BB225)+N(BB226)+N(BB227)+N(BB228),"")</f>
        <v>41.1</v>
      </c>
      <c r="BC229" s="49" t="n">
        <f aca="false">IF(ISNUMBER(BC224),N(BC224)+N(BC225)+N(BC226)+N(BC227)+N(BC228),"")</f>
        <v>1.7</v>
      </c>
      <c r="BD229" s="49" t="n">
        <f aca="false">IF(ISNUMBER(BD224),N(BD224)+N(BD225)+N(BD226)+N(BD227)+N(BD228),"")</f>
        <v>5.9</v>
      </c>
      <c r="BE229" s="49" t="n">
        <f aca="false">IF(ISNUMBER(BE224),N(BE224)+N(BE225)+N(BE226)+N(BE227)+N(BE228),"")</f>
        <v>9.1</v>
      </c>
      <c r="BF229" s="49" t="n">
        <f aca="false">IF(ISNUMBER(BF224),N(BF224)+N(BF225)+N(BF226)+N(BF227)+N(BF228),"")</f>
        <v>26.5</v>
      </c>
      <c r="BG229" s="49" t="n">
        <f aca="false">IF(ISNUMBER(BG224),N(BG224)+N(BG225)+N(BG226)+N(BG227)+N(BG228),"")</f>
        <v>43.1</v>
      </c>
      <c r="BH229" s="49" t="n">
        <f aca="false">IF(ISNUMBER(BH224),N(BH224)+N(BH225)+N(BH226)+N(BH227)+N(BH228),"")</f>
        <v>11</v>
      </c>
      <c r="BI229" s="49" t="n">
        <f aca="false">IF(ISNUMBER(BI224),N(BI224)+N(BI225)+N(BI226)+N(BI227)+N(BI228),"")</f>
        <v>18.7</v>
      </c>
      <c r="BJ229" s="49" t="n">
        <f aca="false">IF(ISNUMBER(BJ224),N(BJ224)+N(BJ225)+N(BJ226)+N(BJ227)+N(BJ228),"")</f>
        <v>12.6</v>
      </c>
      <c r="BK229" s="49" t="n">
        <f aca="false">IF(ISNUMBER(BK224),N(BK224)+N(BK225)+N(BK226)+N(BK227)+N(BK228),"")</f>
        <v>23.2</v>
      </c>
      <c r="BL229" s="49" t="n">
        <f aca="false">IF(ISNUMBER(BL224),N(BL224)+N(BL225)+N(BL226)+N(BL227)+N(BL228),"")</f>
        <v>65.4</v>
      </c>
      <c r="BM229" s="49" t="n">
        <f aca="false">IF(ISNUMBER(BM224),N(BM224)+N(BM225)+N(BM226)+N(BM227)+N(BM228),"")</f>
        <v>14.8</v>
      </c>
      <c r="BN229" s="49" t="n">
        <f aca="false">IF(ISNUMBER(BN224),N(BN224)+N(BN225)+N(BN226)+N(BN227)+N(BN228),"")</f>
        <v>12.4</v>
      </c>
      <c r="BO229" s="33" t="n">
        <f aca="false">BO224+BO225+BO226+BO227+BO228</f>
        <v>15.55</v>
      </c>
      <c r="BP229" s="33" t="n">
        <f aca="false">BP224+BP225+BP226+BP227+BP228</f>
        <v>15.55</v>
      </c>
      <c r="BQ229" s="33" t="n">
        <f aca="false">BQ224+BQ225+BQ226+BQ227+BQ228</f>
        <v>58.3</v>
      </c>
      <c r="BR229" s="33" t="n">
        <f aca="false">BR224+BR225+BR226+BR227+BR228</f>
        <v>-543.5</v>
      </c>
      <c r="BS229" s="33" t="n">
        <f aca="false">BS224+BS225+BS226+BS227+BS228</f>
        <v>36.1875</v>
      </c>
      <c r="BT229" s="33" t="n">
        <f aca="false">BT224+BT225+BT226+BT227+BT228</f>
        <v>35.5625</v>
      </c>
      <c r="BU229" s="33" t="n">
        <f aca="false">BU224+BU225+BU226+BU227+BU228</f>
        <v>39.9375</v>
      </c>
      <c r="BV229" s="15"/>
    </row>
    <row r="230" customFormat="false" ht="15" hidden="false" customHeight="false" outlineLevel="0" collapsed="false">
      <c r="B230" s="13" t="s">
        <v>402</v>
      </c>
      <c r="C230" s="73" t="n">
        <v>0.35</v>
      </c>
      <c r="D230" s="73" t="n">
        <v>0.35</v>
      </c>
      <c r="E230" s="43" t="n">
        <f aca="false">IF(AND(ISNUMBER(E231),N(E229)&lt;&gt;0),-E231/E229,"")</f>
        <v>0.333333333333333</v>
      </c>
      <c r="F230" s="43" t="n">
        <f aca="false">IF(AND(ISNUMBER(F231),N(F229)&lt;&gt;0),-F231/F229,"")</f>
        <v>0.341269841269841</v>
      </c>
      <c r="G230" s="43" t="n">
        <f aca="false">IF(AND(ISNUMBER(G231),N(G229)&lt;&gt;0),-G231/G229,"")</f>
        <v>-1.16666666666667</v>
      </c>
      <c r="H230" s="43" t="n">
        <f aca="false">IF(AND(ISNUMBER(H231),N(H229)&lt;&gt;0),-H231/H229,"")</f>
        <v>0.354365838113448</v>
      </c>
      <c r="I230" s="43" t="n">
        <f aca="false">IF(AND(ISNUMBER(I231),N(I229)&lt;&gt;0),-I231/I229,"")</f>
        <v>0.383286908077994</v>
      </c>
      <c r="J230" s="43" t="n">
        <f aca="false">IF(AND(ISNUMBER(J231),N(J229)&lt;&gt;0),-J231/J229,"")</f>
        <v>0.352941176470588</v>
      </c>
      <c r="K230" s="43" t="n">
        <f aca="false">IF(AND(ISNUMBER(K231),N(K229)&lt;&gt;0),-K231/K229,"")</f>
        <v>0.28538283062645</v>
      </c>
      <c r="L230" s="43" t="n">
        <f aca="false">IF(AND(ISNUMBER(L231),N(L229)&lt;&gt;0),-L231/L229,"")</f>
        <v>0.333333333333333</v>
      </c>
      <c r="M230" s="43" t="n">
        <f aca="false">IF(AND(ISNUMBER(M231),N(M229)&lt;&gt;0),-M231/M229,"")</f>
        <v>0.351985559566787</v>
      </c>
      <c r="N230" s="43" t="n">
        <f aca="false">IF(AND(ISNUMBER(N231),N(N229)&lt;&gt;0),-N231/N229,"")</f>
        <v>0.148148148148148</v>
      </c>
      <c r="O230" s="43" t="n">
        <f aca="false">IF(AND(ISNUMBER(O231),N(O229)&lt;&gt;0),-O231/O229,"")</f>
        <v>1.28787878787879</v>
      </c>
      <c r="P230" s="43" t="n">
        <f aca="false">IF(AND(ISNUMBER(P231),N(P229)&lt;&gt;0),-P231/P229,"")</f>
        <v>0.343195266272189</v>
      </c>
      <c r="Q230" s="43" t="n">
        <f aca="false">IF(AND(ISNUMBER(Q231),N(Q229)&lt;&gt;0),-Q231/Q229,"")</f>
        <v>-0.333333333333333</v>
      </c>
      <c r="R230" s="43" t="n">
        <f aca="false">IF(AND(ISNUMBER(R231),N(R229)&lt;&gt;0),-R231/R229,"")</f>
        <v>0.315175097276265</v>
      </c>
      <c r="S230" s="43" t="n">
        <f aca="false">IF(AND(ISNUMBER(S231),N(S229)&lt;&gt;0),-S231/S229,"")</f>
        <v>0.717105263157895</v>
      </c>
      <c r="T230" s="43" t="n">
        <f aca="false">IF(AND(ISNUMBER(T231),N(T229)&lt;&gt;0),-T231/T229,"")</f>
        <v>0</v>
      </c>
      <c r="U230" s="43" t="n">
        <f aca="false">IF(AND(ISNUMBER(U231),N(U229)&lt;&gt;0),-U231/U229,"")</f>
        <v>0.354430379746835</v>
      </c>
      <c r="V230" s="43" t="str">
        <f aca="false">IF(AND(ISNUMBER(V231),N(V229)&lt;&gt;0),-V231/V229,"")</f>
        <v/>
      </c>
      <c r="W230" s="43" t="n">
        <f aca="false">IF(AND(ISNUMBER(W231),N(W229)&lt;&gt;0),-W231/W229,"")</f>
        <v>0.382352941176471</v>
      </c>
      <c r="X230" s="43" t="n">
        <f aca="false">IF(AND(ISNUMBER(X231),N(X229)&lt;&gt;0),-X231/X229,"")</f>
        <v>0.452830188679245</v>
      </c>
      <c r="Y230" s="43" t="n">
        <f aca="false">IF(AND(ISNUMBER(Y231),N(Y229)&lt;&gt;0),-Y231/Y229,"")</f>
        <v>0.25</v>
      </c>
      <c r="Z230" s="43" t="n">
        <f aca="false">IF(AND(ISNUMBER(Z231),N(Z229)&lt;&gt;0),-Z231/Z229,"")</f>
        <v>0.25</v>
      </c>
      <c r="AA230" s="43" t="n">
        <f aca="false">IF(AND(ISNUMBER(AA231),N(AA229)&lt;&gt;0),-AA231/AA229,"")</f>
        <v>0.231003039513678</v>
      </c>
      <c r="AB230" s="43" t="n">
        <f aca="false">IF(AND(ISNUMBER(AB231),N(AB229)&lt;&gt;0),-AB231/AB229,"")</f>
        <v>0.231563421828909</v>
      </c>
      <c r="AC230" s="43" t="n">
        <f aca="false">IF(AND(ISNUMBER(AC231),N(AC229)&lt;&gt;0),-AC231/AC229,"")</f>
        <v>0.228658536585366</v>
      </c>
      <c r="AD230" s="43" t="str">
        <f aca="false">IF(AND(ISNUMBER(AD231),N(AD229)&lt;&gt;0),-AD231/AD229,"")</f>
        <v/>
      </c>
      <c r="AE230" s="43" t="n">
        <f aca="false">IF(AND(ISNUMBER(AE231),N(AE229)&lt;&gt;0),-AE231/AE229,"")</f>
        <v>0.333333333333333</v>
      </c>
      <c r="AF230" s="43" t="n">
        <f aca="false">IF(AND(ISNUMBER(AF231),N(AF229)&lt;&gt;0),-AF231/AF229,"")</f>
        <v>0.166666666666667</v>
      </c>
      <c r="AG230" s="43" t="n">
        <f aca="false">IF(AND(ISNUMBER(AG231),N(AG229)&lt;&gt;0),-AG231/AG229,"")</f>
        <v>0.252873563218391</v>
      </c>
      <c r="AH230" s="43" t="n">
        <f aca="false">IF(AND(ISNUMBER(AH231),N(AH229)&lt;&gt;0),-AH231/AH229,"")</f>
        <v>0.25</v>
      </c>
      <c r="AI230" s="43" t="n">
        <f aca="false">IF(AND(ISNUMBER(AI231),N(AI229)&lt;&gt;0),-AI231/AI229,"")</f>
        <v>-0</v>
      </c>
      <c r="AJ230" s="43" t="n">
        <f aca="false">IF(AND(ISNUMBER(AJ231),N(AJ229)&lt;&gt;0),-AJ231/AJ229,"")</f>
        <v>0.222222222222222</v>
      </c>
      <c r="AK230" s="43" t="n">
        <f aca="false">IF(AND(ISNUMBER(AK231),N(AK229)&lt;&gt;0),-AK231/AK229,"")</f>
        <v>0.225806451612903</v>
      </c>
      <c r="AL230" s="43" t="n">
        <f aca="false">IF(AND(ISNUMBER(AL231),N(AL229)&lt;&gt;0),-AL231/AL229,"")</f>
        <v>0.242857142857143</v>
      </c>
      <c r="AM230" s="43" t="n">
        <f aca="false">IF(AND(ISNUMBER(AM231),N(AM229)&lt;&gt;0),-AM231/AM229,"")</f>
        <v>0.244897959183674</v>
      </c>
      <c r="AN230" s="43" t="str">
        <f aca="false">IF(AND(ISNUMBER(AN231),N(AN229)&lt;&gt;0),-AN231/AN229,"")</f>
        <v/>
      </c>
      <c r="AO230" s="43" t="str">
        <f aca="false">IF(AND(ISNUMBER(AO231),N(AO229)&lt;&gt;0),-AO231/AO229,"")</f>
        <v/>
      </c>
      <c r="AP230" s="43" t="n">
        <f aca="false">IF(AND(ISNUMBER(AP231),N(AP229)&lt;&gt;0),-AP231/AP229,"")</f>
        <v>0.234177215189873</v>
      </c>
      <c r="AQ230" s="43" t="n">
        <f aca="false">IF(AND(ISNUMBER(AQ231),N(AQ229)&lt;&gt;0),-AQ231/AQ229,"")</f>
        <v>0.228494623655914</v>
      </c>
      <c r="AR230" s="43" t="n">
        <f aca="false">IF(AND(ISNUMBER(AR231),N(AR229)&lt;&gt;0),-AR231/AR229,"")</f>
        <v>0.223255813953488</v>
      </c>
      <c r="AS230" s="43" t="n">
        <f aca="false">IF(AND(ISNUMBER(AS231),N(AS229)&lt;&gt;0),-AS231/AS229,"")</f>
        <v>0.226415094339623</v>
      </c>
      <c r="AT230" s="43" t="n">
        <f aca="false">IF(AND(ISNUMBER(AT231),N(AT229)&lt;&gt;0),-AT231/AT229,"")</f>
        <v>0.111111111111111</v>
      </c>
      <c r="AU230" s="43" t="n">
        <f aca="false">IF(AND(ISNUMBER(AU231),N(AU229)&lt;&gt;0),-AU231/AU229,"")</f>
        <v>0.176470588235294</v>
      </c>
      <c r="AV230" s="43" t="n">
        <f aca="false">IF(AND(ISNUMBER(AV231),N(AV229)&lt;&gt;0),-AV231/AV229,"")</f>
        <v>0.234767025089606</v>
      </c>
      <c r="AW230" s="43" t="n">
        <f aca="false">IF(AND(ISNUMBER(AW231),N(AW229)&lt;&gt;0),-AW231/AW229,"")</f>
        <v>0.232704402515723</v>
      </c>
      <c r="AX230" s="43" t="n">
        <f aca="false">IF(AND(ISNUMBER(AX231),N(AX229)&lt;&gt;0),-AX231/AX229,"")</f>
        <v>0.210526315789474</v>
      </c>
      <c r="AY230" s="43" t="n">
        <f aca="false">IF(AND(ISNUMBER(AY231),N(AY229)&lt;&gt;0),-AY231/AY229,"")</f>
        <v>0.1</v>
      </c>
      <c r="AZ230" s="43" t="n">
        <f aca="false">IF(AND(ISNUMBER(AZ231),N(AZ229)&lt;&gt;0),-AZ231/AZ229,"")</f>
        <v>0.142857142857143</v>
      </c>
      <c r="BA230" s="43" t="n">
        <f aca="false">IF(AND(ISNUMBER(BA231),N(BA229)&lt;&gt;0),-BA231/BA229,"")</f>
        <v>0.224137931034483</v>
      </c>
      <c r="BB230" s="43" t="n">
        <f aca="false">IF(AND(ISNUMBER(BB231),N(BB229)&lt;&gt;0),-BB231/BB229,"")</f>
        <v>0.218978102189781</v>
      </c>
      <c r="BC230" s="43" t="n">
        <f aca="false">IF(AND(ISNUMBER(BC231),N(BC229)&lt;&gt;0),-BC231/BC229,"")</f>
        <v>0.235294117647059</v>
      </c>
      <c r="BD230" s="43" t="n">
        <f aca="false">IF(AND(ISNUMBER(BD231),N(BD229)&lt;&gt;0),-BD231/BD229,"")</f>
        <v>0.220338983050847</v>
      </c>
      <c r="BE230" s="43" t="n">
        <f aca="false">IF(AND(ISNUMBER(BE231),N(BE229)&lt;&gt;0),-BE231/BE229,"")</f>
        <v>0.230769230769231</v>
      </c>
      <c r="BF230" s="43" t="n">
        <f aca="false">IF(AND(ISNUMBER(BF231),N(BF229)&lt;&gt;0),-BF231/BF229,"")</f>
        <v>0.479245283018868</v>
      </c>
      <c r="BG230" s="43" t="n">
        <f aca="false">IF(AND(ISNUMBER(BG231),N(BG229)&lt;&gt;0),-BG231/BG229,"")</f>
        <v>0.436194895591647</v>
      </c>
      <c r="BH230" s="43" t="n">
        <f aca="false">IF(AND(ISNUMBER(BH231),N(BH229)&lt;&gt;0),-BH231/BH229,"")</f>
        <v>0.227272727272727</v>
      </c>
      <c r="BI230" s="43" t="n">
        <f aca="false">IF(AND(ISNUMBER(BI231),N(BI229)&lt;&gt;0),-BI231/BI229,"")</f>
        <v>0.213903743315508</v>
      </c>
      <c r="BJ230" s="43" t="n">
        <f aca="false">IF(AND(ISNUMBER(BJ231),N(BJ229)&lt;&gt;0),-BJ231/BJ229,"")</f>
        <v>0.238095238095238</v>
      </c>
      <c r="BK230" s="43" t="n">
        <f aca="false">IF(AND(ISNUMBER(BK231),N(BK229)&lt;&gt;0),-BK231/BK229,"")</f>
        <v>0.732758620689655</v>
      </c>
      <c r="BL230" s="43" t="n">
        <f aca="false">IF(AND(ISNUMBER(BL231),N(BL229)&lt;&gt;0),-BL231/BL229,"")</f>
        <v>0.40519877675841</v>
      </c>
      <c r="BM230" s="43" t="n">
        <f aca="false">IF(AND(ISNUMBER(BM231),N(BM229)&lt;&gt;0),-BM231/BM229,"")</f>
        <v>0.216216216216216</v>
      </c>
      <c r="BN230" s="43" t="n">
        <f aca="false">IF(AND(ISNUMBER(BN231),N(BN229)&lt;&gt;0),-BN231/BN229,"")</f>
        <v>0.241935483870968</v>
      </c>
      <c r="BO230" s="48" t="n">
        <v>0.24</v>
      </c>
      <c r="BP230" s="48" t="n">
        <v>0.24</v>
      </c>
      <c r="BQ230" s="35" t="n">
        <f aca="false">IF(AND(ISNUMBER(BQ231),ISNUMBER(BQ229)),IFERROR(BQ231/BQ229,""),"")</f>
        <v>-0.234373927958834</v>
      </c>
      <c r="BR230" s="48" t="n">
        <v>0.24</v>
      </c>
      <c r="BS230" s="48" t="n">
        <v>0.24</v>
      </c>
      <c r="BT230" s="48" t="n">
        <v>0.24</v>
      </c>
      <c r="BU230" s="48" t="n">
        <v>0.24</v>
      </c>
      <c r="BV230" s="15" t="s">
        <v>403</v>
      </c>
    </row>
    <row r="231" customFormat="false" ht="15" hidden="false" customHeight="false" outlineLevel="0" collapsed="false">
      <c r="B231" s="13" t="s">
        <v>404</v>
      </c>
      <c r="C231" s="20" t="n">
        <f aca="false">-C229*C230</f>
        <v>-17.745</v>
      </c>
      <c r="D231" s="20" t="n">
        <f aca="false">-D229*D230</f>
        <v>31.64</v>
      </c>
      <c r="E231" s="24" t="n">
        <v>-0.4</v>
      </c>
      <c r="F231" s="24" t="n">
        <v>-8.6</v>
      </c>
      <c r="G231" s="24" t="n">
        <v>-4.2</v>
      </c>
      <c r="H231" s="24" t="n">
        <v>-55.6</v>
      </c>
      <c r="I231" s="24" t="n">
        <v>-68.8</v>
      </c>
      <c r="J231" s="24" t="n">
        <v>-0.6</v>
      </c>
      <c r="K231" s="24" t="n">
        <v>-12.3</v>
      </c>
      <c r="L231" s="24" t="n">
        <v>31.6</v>
      </c>
      <c r="M231" s="24" t="n">
        <v>-19.5</v>
      </c>
      <c r="N231" s="24" t="n">
        <v>-0.8</v>
      </c>
      <c r="O231" s="24" t="n">
        <v>-8.5</v>
      </c>
      <c r="P231" s="24" t="n">
        <v>5.8</v>
      </c>
      <c r="Q231" s="24" t="n">
        <v>-0.1</v>
      </c>
      <c r="R231" s="24" t="n">
        <v>-8.1</v>
      </c>
      <c r="S231" s="24" t="n">
        <v>-10.9</v>
      </c>
      <c r="T231" s="24" t="n">
        <v>0</v>
      </c>
      <c r="U231" s="24" t="n">
        <v>2.8</v>
      </c>
      <c r="V231" s="24" t="n">
        <v>0</v>
      </c>
      <c r="W231" s="24" t="n">
        <v>-5.2</v>
      </c>
      <c r="X231" s="24" t="n">
        <v>-2.4</v>
      </c>
      <c r="Y231" s="24" t="n">
        <v>-0.4</v>
      </c>
      <c r="Z231" s="24" t="n">
        <v>0.9</v>
      </c>
      <c r="AA231" s="24" t="n">
        <v>7.6</v>
      </c>
      <c r="AB231" s="24" t="n">
        <v>-15.7</v>
      </c>
      <c r="AC231" s="24" t="n">
        <v>-7.5</v>
      </c>
      <c r="AD231" s="24" t="n">
        <v>0</v>
      </c>
      <c r="AE231" s="24" t="n">
        <v>-0.1</v>
      </c>
      <c r="AF231" s="24" t="n">
        <v>-0.1</v>
      </c>
      <c r="AG231" s="24" t="n">
        <v>-2.2</v>
      </c>
      <c r="AH231" s="24" t="n">
        <v>-2.4</v>
      </c>
      <c r="AI231" s="24" t="n">
        <v>0</v>
      </c>
      <c r="AJ231" s="24" t="n">
        <v>-1</v>
      </c>
      <c r="AK231" s="24" t="n">
        <v>-0.7</v>
      </c>
      <c r="AL231" s="24" t="n">
        <v>-1.7</v>
      </c>
      <c r="AM231" s="24" t="n">
        <v>-3.6</v>
      </c>
      <c r="AN231" s="24" t="n">
        <v>0</v>
      </c>
      <c r="AO231" s="24" t="n">
        <v>0</v>
      </c>
      <c r="AP231" s="24" t="n">
        <v>-3.7</v>
      </c>
      <c r="AQ231" s="24" t="n">
        <v>8.5</v>
      </c>
      <c r="AR231" s="24" t="n">
        <v>4.8</v>
      </c>
      <c r="AS231" s="24" t="n">
        <v>-1.2</v>
      </c>
      <c r="AT231" s="24" t="n">
        <v>-0.1</v>
      </c>
      <c r="AU231" s="24" t="n">
        <v>-0.3</v>
      </c>
      <c r="AV231" s="24" t="n">
        <v>-13.1</v>
      </c>
      <c r="AW231" s="24" t="n">
        <v>-14.8</v>
      </c>
      <c r="AX231" s="24" t="n">
        <v>-0.8</v>
      </c>
      <c r="AY231" s="24" t="n">
        <v>-0.1</v>
      </c>
      <c r="AZ231" s="24" t="n">
        <v>-0.2</v>
      </c>
      <c r="BA231" s="24" t="n">
        <v>-7.8</v>
      </c>
      <c r="BB231" s="24" t="n">
        <v>-9</v>
      </c>
      <c r="BC231" s="24" t="n">
        <v>-0.4</v>
      </c>
      <c r="BD231" s="24" t="n">
        <v>-1.3</v>
      </c>
      <c r="BE231" s="24" t="n">
        <v>-2.1</v>
      </c>
      <c r="BF231" s="24" t="n">
        <v>-12.7</v>
      </c>
      <c r="BG231" s="24" t="n">
        <v>-18.8</v>
      </c>
      <c r="BH231" s="24" t="n">
        <v>-2.5</v>
      </c>
      <c r="BI231" s="24" t="n">
        <v>-4</v>
      </c>
      <c r="BJ231" s="24" t="n">
        <v>-3</v>
      </c>
      <c r="BK231" s="24" t="n">
        <v>-17</v>
      </c>
      <c r="BL231" s="24" t="n">
        <v>-26.5</v>
      </c>
      <c r="BM231" s="24" t="n">
        <v>-3.2</v>
      </c>
      <c r="BN231" s="24" t="n">
        <v>-3</v>
      </c>
      <c r="BO231" s="21" t="n">
        <f aca="false">-BO229*BO230</f>
        <v>-3.732</v>
      </c>
      <c r="BP231" s="21" t="n">
        <f aca="false">-BP229*BP230</f>
        <v>-3.732</v>
      </c>
      <c r="BQ231" s="21" t="n">
        <f aca="false">SUM(BM231:BP231)</f>
        <v>-13.664</v>
      </c>
      <c r="BR231" s="21" t="n">
        <f aca="false">-BR229*BR230</f>
        <v>130.44</v>
      </c>
      <c r="BS231" s="21" t="n">
        <f aca="false">-BS229*BS230</f>
        <v>-8.685</v>
      </c>
      <c r="BT231" s="21" t="n">
        <f aca="false">-BT229*BT230</f>
        <v>-8.535</v>
      </c>
      <c r="BU231" s="21" t="n">
        <f aca="false">-BU229*BU230</f>
        <v>-9.585</v>
      </c>
      <c r="BV231" s="15"/>
    </row>
    <row r="232" customFormat="false" ht="15" hidden="false" customHeight="false" outlineLevel="0" collapsed="false">
      <c r="B232" s="13" t="s">
        <v>405</v>
      </c>
      <c r="C232" s="24" t="n">
        <v>0</v>
      </c>
      <c r="D232" s="24" t="n">
        <v>0</v>
      </c>
      <c r="E232" s="24" t="n">
        <v>0</v>
      </c>
      <c r="F232" s="24" t="n">
        <v>0</v>
      </c>
      <c r="G232" s="24" t="n">
        <v>0</v>
      </c>
      <c r="H232" s="24" t="n">
        <v>0</v>
      </c>
      <c r="I232" s="24" t="n">
        <v>-5.8</v>
      </c>
      <c r="J232" s="24" t="n">
        <v>0</v>
      </c>
      <c r="K232" s="24" t="n">
        <v>3.5</v>
      </c>
      <c r="L232" s="24" t="n">
        <v>0</v>
      </c>
      <c r="M232" s="24" t="n">
        <v>4.2</v>
      </c>
      <c r="N232" s="24" t="n">
        <v>7.7</v>
      </c>
      <c r="O232" s="24" t="n">
        <v>0</v>
      </c>
      <c r="P232" s="24" t="n">
        <v>0</v>
      </c>
      <c r="Q232" s="24" t="n">
        <v>0</v>
      </c>
      <c r="R232" s="24" t="n">
        <v>-5</v>
      </c>
      <c r="S232" s="24" t="n">
        <v>-5</v>
      </c>
      <c r="T232" s="24" t="n">
        <v>0</v>
      </c>
      <c r="U232" s="24" t="n">
        <v>0</v>
      </c>
      <c r="V232" s="24" t="n">
        <v>0</v>
      </c>
      <c r="W232" s="24" t="n">
        <v>54.6</v>
      </c>
      <c r="X232" s="24" t="n">
        <v>54.6</v>
      </c>
      <c r="Y232" s="24" t="n">
        <v>0</v>
      </c>
      <c r="Z232" s="24" t="n">
        <v>0</v>
      </c>
      <c r="AA232" s="24" t="n">
        <v>-12.5</v>
      </c>
      <c r="AB232" s="24" t="n">
        <v>-1</v>
      </c>
      <c r="AC232" s="24" t="n">
        <v>-13.5</v>
      </c>
      <c r="AD232" s="24" t="n">
        <v>0</v>
      </c>
      <c r="AE232" s="24" t="n">
        <v>0</v>
      </c>
      <c r="AF232" s="24" t="n">
        <v>0</v>
      </c>
      <c r="AG232" s="24" t="n">
        <v>0</v>
      </c>
      <c r="AH232" s="24" t="n">
        <v>0</v>
      </c>
      <c r="AI232" s="24" t="n">
        <v>0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-2.2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39" t="n">
        <v>0</v>
      </c>
      <c r="BP232" s="39" t="n">
        <v>0</v>
      </c>
      <c r="BQ232" s="21" t="n">
        <f aca="false">SUM(BM232:BP232)</f>
        <v>0</v>
      </c>
      <c r="BR232" s="39" t="n">
        <v>0</v>
      </c>
      <c r="BS232" s="39" t="n">
        <v>0</v>
      </c>
      <c r="BT232" s="39" t="n">
        <v>0</v>
      </c>
      <c r="BU232" s="39" t="n">
        <v>0</v>
      </c>
      <c r="BV232" s="15"/>
    </row>
    <row r="233" customFormat="false" ht="15" hidden="false" customHeight="false" outlineLevel="0" collapsed="false">
      <c r="B233" s="13" t="s">
        <v>406</v>
      </c>
      <c r="C233" s="20" t="str">
        <f aca="false">IF(ISNUMBER(C237),C237*C235-(C223+C229+C231+C232),"")</f>
        <v/>
      </c>
      <c r="D233" s="20" t="str">
        <f aca="false">IF(ISNUMBER(D237),D237*D235-(D223+D229+D231+D232),"")</f>
        <v/>
      </c>
      <c r="E233" s="20" t="str">
        <f aca="false">IF(ISNUMBER(E237),E237*E235-(E223+E229+E231+E232),"")</f>
        <v/>
      </c>
      <c r="F233" s="20" t="n">
        <f aca="false">IF(ISNUMBER(F237),F237*F235-(F223+F229+F231+F232),"")</f>
        <v>-0.27019</v>
      </c>
      <c r="G233" s="20" t="n">
        <f aca="false">IF(ISNUMBER(G237),G237*G235-(G223+G229+G231+G232),"")</f>
        <v>-0.592709999999997</v>
      </c>
      <c r="H233" s="20" t="n">
        <f aca="false">IF(ISNUMBER(H237),H237*H235-(H223+H229+H231+H232),"")</f>
        <v>0.32206399999999</v>
      </c>
      <c r="I233" s="20" t="n">
        <f aca="false">IF(ISNUMBER(I237),I237*I235-(I223+I229+I231+I232),"")</f>
        <v>-0.0753479999999911</v>
      </c>
      <c r="J233" s="20" t="n">
        <f aca="false">IF(ISNUMBER(J237),J237*J235-(J223+J229+J231+J232),"")</f>
        <v>0.0253450000000015</v>
      </c>
      <c r="K233" s="20" t="n">
        <f aca="false">IF(ISNUMBER(K237),K237*K235-(K223+K229+K231+K232),"")</f>
        <v>0.159432000000002</v>
      </c>
      <c r="L233" s="20" t="n">
        <f aca="false">IF(ISNUMBER(L237),L237*L235-(L223+L229+L231+L232),"")</f>
        <v>0.129719999999999</v>
      </c>
      <c r="M233" s="20" t="n">
        <f aca="false">IF(ISNUMBER(M237),M237*M235-(M223+M229+M231+M232),"")</f>
        <v>0.344601999999995</v>
      </c>
      <c r="N233" s="20" t="n">
        <f aca="false">IF(ISNUMBER(N237),N237*N235-(N223+N229+N231+N232),"")</f>
        <v>-0.306139999999999</v>
      </c>
      <c r="O233" s="20" t="n">
        <f aca="false">IF(ISNUMBER(O237),O237*O235-(O223+O229+O231+O232),"")</f>
        <v>-0.355323999999996</v>
      </c>
      <c r="P233" s="20" t="n">
        <f aca="false">IF(ISNUMBER(P237),P237*P235-(P223+P229+P231+P232),"")</f>
        <v>-0.256639999999997</v>
      </c>
      <c r="Q233" s="20" t="n">
        <f aca="false">IF(ISNUMBER(Q237),Q237*Q235-(Q223+Q229+Q231+Q232),"")</f>
        <v>0.385083999999999</v>
      </c>
      <c r="R233" s="20" t="n">
        <f aca="false">IF(ISNUMBER(R237),R237*R235-(R223+R229+R231+R232),"")</f>
        <v>-0.344611999999991</v>
      </c>
      <c r="S233" s="20" t="n">
        <f aca="false">IF(ISNUMBER(S237),S237*S235-(S223+S229+S231+S232),"")</f>
        <v>0.40263200000004</v>
      </c>
      <c r="T233" s="20" t="n">
        <f aca="false">IF(ISNUMBER(T237),T237*T235-(T223+T229+T231+T232),"")</f>
        <v>0.0610500000000016</v>
      </c>
      <c r="U233" s="20" t="n">
        <f aca="false">IF(ISNUMBER(U237),U237*U235-(U223+U229+U231+U232),"")</f>
        <v>-0.0784959999999941</v>
      </c>
      <c r="V233" s="20" t="n">
        <f aca="false">IF(ISNUMBER(V237),V237*V235-(V223+V229+V231+V232),"")</f>
        <v>-0.433261999999992</v>
      </c>
      <c r="W233" s="20" t="n">
        <f aca="false">IF(ISNUMBER(W237),W237*W235-(W223+W229+W231+W232),"")</f>
        <v>-0.591892999999999</v>
      </c>
      <c r="X233" s="20" t="n">
        <f aca="false">IF(ISNUMBER(X237),X237*X235-(X223+X229+X231+X232),"")</f>
        <v>0.412859999999995</v>
      </c>
      <c r="Y233" s="20" t="n">
        <f aca="false">IF(ISNUMBER(Y237),Y237*Y235-(Y223+Y229+Y231+Y232),"")</f>
        <v>-0.297758999999985</v>
      </c>
      <c r="Z233" s="20" t="n">
        <f aca="false">IF(ISNUMBER(Z237),Z237*Z235-(Z223+Z229+Z231+Z232),"")</f>
        <v>0.368586000000008</v>
      </c>
      <c r="AA233" s="20" t="n">
        <f aca="false">IF(ISNUMBER(AA237),AA237*AA235-(AA223+AA229+AA231+AA232),"")</f>
        <v>0.0493200000000087</v>
      </c>
      <c r="AB233" s="20" t="n">
        <f aca="false">IF(ISNUMBER(AB237),AB237*AB235-(AB223+AB229+AB231+AB232),"")</f>
        <v>-0.0921639999999968</v>
      </c>
      <c r="AC233" s="20" t="n">
        <f aca="false">IF(ISNUMBER(AC237),AC237*AC235-(AC223+AC229+AC231+AC232),"")</f>
        <v>0.287649000000016</v>
      </c>
      <c r="AD233" s="20" t="n">
        <f aca="false">IF(ISNUMBER(AD237),AD237*AD235-(AD223+AD229+AD231+AD232),"")</f>
        <v>-0.109086000000005</v>
      </c>
      <c r="AE233" s="20" t="n">
        <f aca="false">IF(ISNUMBER(AE237),AE237*AE235-(AE223+AE229+AE231+AE232),"")</f>
        <v>0.241864000000007</v>
      </c>
      <c r="AF233" s="20" t="n">
        <f aca="false">IF(ISNUMBER(AF237),AF237*AF235-(AF223+AF229+AF231+AF232),"")</f>
        <v>0.380848</v>
      </c>
      <c r="AG233" s="20" t="n">
        <f aca="false">IF(ISNUMBER(AG237),AG237*AG235-(AG223+AG229+AG231+AG232),"")</f>
        <v>0.163004000000001</v>
      </c>
      <c r="AH233" s="20" t="n">
        <f aca="false">IF(ISNUMBER(AH237),AH237*AH235-(AH223+AH229+AH231+AH232),"")</f>
        <v>-0.291489999999982</v>
      </c>
      <c r="AI233" s="20" t="n">
        <f aca="false">IF(ISNUMBER(AI237),AI237*AI235-(AI223+AI229+AI231+AI232),"")</f>
        <v>-0.0514439999999894</v>
      </c>
      <c r="AJ233" s="20" t="n">
        <f aca="false">IF(ISNUMBER(AJ237),AJ237*AJ235-(AJ223+AJ229+AJ231+AJ232),"")</f>
        <v>0.141856000000004</v>
      </c>
      <c r="AK233" s="20" t="n">
        <f aca="false">IF(ISNUMBER(AK237),AK237*AK235-(AK223+AK229+AK231+AK232),"")</f>
        <v>0.0562529999999981</v>
      </c>
      <c r="AL233" s="20" t="n">
        <f aca="false">IF(ISNUMBER(AL237),AL237*AL235-(AL223+AL229+AL231+AL232),"")</f>
        <v>-0.160877999999997</v>
      </c>
      <c r="AM233" s="20" t="n">
        <f aca="false">IF(ISNUMBER(AM237),AM237*AM235-(AM223+AM229+AM231+AM232),"")</f>
        <v>0.281295</v>
      </c>
      <c r="AN233" s="20" t="n">
        <f aca="false">IF(ISNUMBER(AN237),AN237*AN235-(AN223+AN229+AN231+AN232),"")</f>
        <v>0.0089969999999937</v>
      </c>
      <c r="AO233" s="20" t="n">
        <f aca="false">IF(ISNUMBER(AO237),AO237*AO235-(AO223+AO229+AO231+AO232),"")</f>
        <v>-0.118895999999999</v>
      </c>
      <c r="AP233" s="20" t="n">
        <f aca="false">IF(ISNUMBER(AP237),AP237*AP235-(AP223+AP229+AP231+AP232),"")</f>
        <v>-0.206159999999997</v>
      </c>
      <c r="AQ233" s="20" t="n">
        <f aca="false">IF(ISNUMBER(AQ237),AQ237*AQ235-(AQ223+AQ229+AQ231+AQ232),"")</f>
        <v>-0.284385</v>
      </c>
      <c r="AR233" s="20" t="n">
        <f aca="false">IF(ISNUMBER(AR237),AR237*AR235-(AR223+AR229+AR231+AR232),"")</f>
        <v>0.0553040000000351</v>
      </c>
      <c r="AS233" s="20" t="n">
        <f aca="false">IF(ISNUMBER(AS237),AS237*AS235-(AS223+AS229+AS231+AS232),"")</f>
        <v>0.232206999999988</v>
      </c>
      <c r="AT233" s="20" t="n">
        <f aca="false">IF(ISNUMBER(AT237),AT237*AT235-(AT223+AT229+AT231+AT232),"")</f>
        <v>-0.349954000000011</v>
      </c>
      <c r="AU233" s="20" t="n">
        <f aca="false">IF(ISNUMBER(AU237),AU237*AU235-(AU223+AU229+AU231+AU232),"")</f>
        <v>0.239294999999991</v>
      </c>
      <c r="AV233" s="20" t="n">
        <f aca="false">IF(ISNUMBER(AV237),AV237*AV235-(AV223+AV229+AV231+AV232),"")</f>
        <v>-0.279561000000015</v>
      </c>
      <c r="AW233" s="20" t="n">
        <f aca="false">IF(ISNUMBER(AW237),AW237*AW235-(AW223+AW229+AW231+AW232),"")</f>
        <v>0.0365730000000326</v>
      </c>
      <c r="AX233" s="20" t="n">
        <f aca="false">IF(ISNUMBER(AX237),AX237*AX235-(AX223+AX229+AX231+AX232),"")</f>
        <v>0.167789999999997</v>
      </c>
      <c r="AY233" s="20" t="n">
        <f aca="false">IF(ISNUMBER(AY237),AY237*AY235-(AY223+AY229+AY231+AY232),"")</f>
        <v>0.176380000000002</v>
      </c>
      <c r="AZ233" s="20" t="n">
        <f aca="false">IF(ISNUMBER(AZ237),AZ237*AZ235-(AZ223+AZ229+AZ231+AZ232),"")</f>
        <v>0.0969850000000037</v>
      </c>
      <c r="BA233" s="20" t="n">
        <f aca="false">IF(ISNUMBER(BA237),BA237*BA235-(BA223+BA229+BA231+BA232),"")</f>
        <v>0.030777999999998</v>
      </c>
      <c r="BB233" s="20" t="n">
        <f aca="false">IF(ISNUMBER(BB237),BB237*BB235-(BB223+BB229+BB231+BB232),"")</f>
        <v>-0.488010000000031</v>
      </c>
      <c r="BC233" s="20" t="n">
        <f aca="false">IF(ISNUMBER(BC237),BC237*BC235-(BC223+BC229+BC231+BC232),"")</f>
        <v>0.046284</v>
      </c>
      <c r="BD233" s="20" t="n">
        <f aca="false">IF(ISNUMBER(BD237),BD237*BD235-(BD223+BD229+BD231+BD232),"")</f>
        <v>-0.0947699999999969</v>
      </c>
      <c r="BE233" s="20" t="n">
        <f aca="false">IF(ISNUMBER(BE237),BE237*BE235-(BE223+BE229+BE231+BE232),"")</f>
        <v>-0.217039</v>
      </c>
      <c r="BF233" s="20" t="n">
        <f aca="false">IF(ISNUMBER(BF237),BF237*BF235-(BF223+BF229+BF231+BF232),"")</f>
        <v>-0.279383999999993</v>
      </c>
      <c r="BG233" s="20" t="n">
        <f aca="false">IF(ISNUMBER(BG237),BG237*BG235-(BG223+BG229+BG231+BG232),"")</f>
        <v>-0.348198999999966</v>
      </c>
      <c r="BH233" s="20" t="n">
        <f aca="false">IF(ISNUMBER(BH237),BH237*BH235-(BH223+BH229+BH231+BH232),"")</f>
        <v>-0.356932999999998</v>
      </c>
      <c r="BI233" s="20" t="n">
        <f aca="false">IF(ISNUMBER(BI237),BI237*BI235-(BI223+BI229+BI231+BI232),"")</f>
        <v>0.44875399999998</v>
      </c>
      <c r="BJ233" s="20" t="n">
        <f aca="false">IF(ISNUMBER(BJ237),BJ237*BJ235-(BJ223+BJ229+BJ231+BJ232),"")</f>
        <v>0.0816000000000088</v>
      </c>
      <c r="BK233" s="20" t="n">
        <f aca="false">IF(ISNUMBER(BK237),BK237*BK235-(BK223+BK229+BK231+BK232),"")</f>
        <v>0.235799999999998</v>
      </c>
      <c r="BL233" s="20" t="n">
        <f aca="false">IF(ISNUMBER(BL237),BL237*BL235-(BL223+BL229+BL231+BL232),"")</f>
        <v>0.497559999999965</v>
      </c>
      <c r="BM233" s="20" t="n">
        <f aca="false">IF(ISNUMBER(BM237),BM237*BM235-(BM223+BM229+BM231+BM232),"")</f>
        <v>0.26963200000003</v>
      </c>
      <c r="BN233" s="20" t="n">
        <f aca="false">IF(ISNUMBER(BN237),BN237*BN235-(BN223+BN229+BN231+BN232),"")</f>
        <v>0.033811</v>
      </c>
      <c r="BO233" s="39" t="n">
        <v>0</v>
      </c>
      <c r="BP233" s="39" t="n">
        <v>0</v>
      </c>
      <c r="BQ233" s="21" t="n">
        <f aca="false">SUM(BM233:BP233)</f>
        <v>0.30344300000003</v>
      </c>
      <c r="BR233" s="39" t="n">
        <v>0</v>
      </c>
      <c r="BS233" s="39" t="n">
        <v>0</v>
      </c>
      <c r="BT233" s="39" t="n">
        <v>0</v>
      </c>
      <c r="BU233" s="39" t="n">
        <v>0</v>
      </c>
      <c r="BV233" s="15" t="s">
        <v>407</v>
      </c>
    </row>
    <row r="234" customFormat="false" ht="15" hidden="false" customHeight="false" outlineLevel="0" collapsed="false">
      <c r="B234" s="60" t="s">
        <v>408</v>
      </c>
      <c r="C234" s="62" t="n">
        <f aca="false">IF(ISNUMBER(C229),C223+C229+N(C231)+N(C232)+N(C233),"")</f>
        <v>145.537</v>
      </c>
      <c r="D234" s="62" t="n">
        <f aca="false">IF(ISNUMBER(D229),D223+D229+N(D231)+N(D232)+N(D233),"")</f>
        <v>139.73</v>
      </c>
      <c r="E234" s="62" t="n">
        <f aca="false">IF(ISNUMBER(E229),E223+E229+N(E231)+N(E232)+N(E233),"")</f>
        <v>39.95</v>
      </c>
      <c r="F234" s="62" t="n">
        <f aca="false">IF(ISNUMBER(F229),F223+F229+N(F231)+N(F232)+N(F233),"")</f>
        <v>38.54081</v>
      </c>
      <c r="G234" s="62" t="n">
        <f aca="false">IF(ISNUMBER(G229),G223+G229+N(G231)+N(G232)+N(G233),"")</f>
        <v>32.23329</v>
      </c>
      <c r="H234" s="62" t="n">
        <f aca="false">IF(ISNUMBER(H229),H223+H229+N(H231)+N(H232)+N(H233),"")</f>
        <v>38.375064</v>
      </c>
      <c r="I234" s="62" t="n">
        <f aca="false">IF(ISNUMBER(I229),I223+I229+N(I231)+N(I232)+N(I233),"")</f>
        <v>143.564652</v>
      </c>
      <c r="J234" s="62" t="n">
        <f aca="false">IF(ISNUMBER(J229),J223+J229+N(J231)+N(J232)+N(J233),"")</f>
        <v>35.358345</v>
      </c>
      <c r="K234" s="62" t="n">
        <f aca="false">IF(ISNUMBER(K229),K223+K229+N(K231)+N(K232)+N(K233),"")</f>
        <v>34.278432</v>
      </c>
      <c r="L234" s="62" t="n">
        <f aca="false">IF(ISNUMBER(L229),L223+L229+N(L231)+N(L232)+N(L233),"")</f>
        <v>43.27372</v>
      </c>
      <c r="M234" s="62" t="n">
        <f aca="false">IF(ISNUMBER(M229),M223+M229+N(M231)+N(M232)+N(M233),"")</f>
        <v>40.822602</v>
      </c>
      <c r="N234" s="62" t="n">
        <f aca="false">IF(ISNUMBER(N229),N223+N229+N(N231)+N(N232)+N(N233),"")</f>
        <v>152.76786</v>
      </c>
      <c r="O234" s="62" t="n">
        <f aca="false">IF(ISNUMBER(O229),O223+O229+N(O231)+N(O232)+N(O233),"")</f>
        <v>46.535676</v>
      </c>
      <c r="P234" s="62" t="n">
        <f aca="false">IF(ISNUMBER(P229),P223+P229+N(P231)+N(P232)+N(P233),"")</f>
        <v>46.12036</v>
      </c>
      <c r="Q234" s="62" t="n">
        <f aca="false">IF(ISNUMBER(Q229),Q223+Q229+N(Q231)+N(Q232)+N(Q233),"")</f>
        <v>40.488084</v>
      </c>
      <c r="R234" s="62" t="n">
        <f aca="false">IF(ISNUMBER(R229),R223+R229+N(R231)+N(R232)+N(R233),"")</f>
        <v>46.247388</v>
      </c>
      <c r="S234" s="62" t="n">
        <f aca="false">IF(ISNUMBER(S229),S223+S229+N(S231)+N(S232)+N(S233),"")</f>
        <v>182.759632</v>
      </c>
      <c r="T234" s="62" t="n">
        <f aca="false">IF(ISNUMBER(T229),T223+T229+N(T231)+N(T232)+N(T233),"")</f>
        <v>55.38005</v>
      </c>
      <c r="U234" s="62" t="n">
        <f aca="false">IF(ISNUMBER(U229),U223+U229+N(U231)+N(U232)+N(U233),"")</f>
        <v>56.084504</v>
      </c>
      <c r="V234" s="62" t="n">
        <f aca="false">IF(ISNUMBER(V229),V223+V229+N(V231)+N(V232)+N(V233),"")</f>
        <v>46.119738</v>
      </c>
      <c r="W234" s="62" t="n">
        <f aca="false">IF(ISNUMBER(W229),W223+W229+N(W231)+N(W232)+N(W233),"")</f>
        <v>46.717107</v>
      </c>
      <c r="X234" s="62" t="n">
        <f aca="false">IF(ISNUMBER(X229),X223+X229+N(X231)+N(X232)+N(X233),"")</f>
        <v>205.75686</v>
      </c>
      <c r="Y234" s="62" t="n">
        <f aca="false">IF(ISNUMBER(Y229),Y223+Y229+N(Y231)+N(Y232)+N(Y233),"")</f>
        <v>67.343241</v>
      </c>
      <c r="Z234" s="62" t="n">
        <f aca="false">IF(ISNUMBER(Z229),Z223+Z229+N(Z231)+N(Z232)+N(Z233),"")</f>
        <v>58.331586</v>
      </c>
      <c r="AA234" s="62" t="n">
        <f aca="false">IF(ISNUMBER(AA229),AA223+AA229+N(AA231)+N(AA232)+N(AA233),"")</f>
        <v>40.16832</v>
      </c>
      <c r="AB234" s="62" t="n">
        <f aca="false">IF(ISNUMBER(AB229),AB223+AB229+N(AB231)+N(AB232)+N(AB233),"")</f>
        <v>72.942836</v>
      </c>
      <c r="AC234" s="62" t="n">
        <f aca="false">IF(ISNUMBER(AC229),AC223+AC229+N(AC231)+N(AC232)+N(AC233),"")</f>
        <v>239.045649</v>
      </c>
      <c r="AD234" s="62" t="n">
        <f aca="false">IF(ISNUMBER(AD229),AD223+AD229+N(AD231)+N(AD232)+N(AD233),"")</f>
        <v>48.868914</v>
      </c>
      <c r="AE234" s="62" t="n">
        <f aca="false">IF(ISNUMBER(AE229),AE223+AE229+N(AE231)+N(AE232)+N(AE233),"")</f>
        <v>59.319864</v>
      </c>
      <c r="AF234" s="62" t="n">
        <f aca="false">IF(ISNUMBER(AF229),AF223+AF229+N(AF231)+N(AF232)+N(AF233),"")</f>
        <v>75.690848</v>
      </c>
      <c r="AG234" s="62" t="n">
        <f aca="false">IF(ISNUMBER(AG229),AG223+AG229+N(AG231)+N(AG232)+N(AG233),"")</f>
        <v>68.112004</v>
      </c>
      <c r="AH234" s="62" t="n">
        <f aca="false">IF(ISNUMBER(AH229),AH223+AH229+N(AH231)+N(AH232)+N(AH233),"")</f>
        <v>251.02351</v>
      </c>
      <c r="AI234" s="62" t="n">
        <f aca="false">IF(ISNUMBER(AI229),AI223+AI229+N(AI231)+N(AI232)+N(AI233),"")</f>
        <v>75.647556</v>
      </c>
      <c r="AJ234" s="62" t="n">
        <f aca="false">IF(ISNUMBER(AJ229),AJ223+AJ229+N(AJ231)+N(AJ232)+N(AJ233),"")</f>
        <v>67.899856</v>
      </c>
      <c r="AK234" s="62" t="n">
        <f aca="false">IF(ISNUMBER(AK229),AK223+AK229+N(AK231)+N(AK232)+N(AK233),"")</f>
        <v>75.627253</v>
      </c>
      <c r="AL234" s="62" t="n">
        <f aca="false">IF(ISNUMBER(AL229),AL223+AL229+N(AL231)+N(AL232)+N(AL233),"")</f>
        <v>70.881122</v>
      </c>
      <c r="AM234" s="62" t="n">
        <f aca="false">IF(ISNUMBER(AM229),AM223+AM229+N(AM231)+N(AM232)+N(AM233),"")</f>
        <v>290.051295</v>
      </c>
      <c r="AN234" s="62" t="n">
        <f aca="false">IF(ISNUMBER(AN229),AN223+AN229+N(AN231)+N(AN232)+N(AN233),"")</f>
        <v>69.757997</v>
      </c>
      <c r="AO234" s="62" t="n">
        <f aca="false">IF(ISNUMBER(AO229),AO223+AO229+N(AO231)+N(AO232)+N(AO233),"")</f>
        <v>59.228104</v>
      </c>
      <c r="AP234" s="62" t="n">
        <f aca="false">IF(ISNUMBER(AP229),AP223+AP229+N(AP231)+N(AP232)+N(AP233),"")</f>
        <v>71.80784</v>
      </c>
      <c r="AQ234" s="62" t="n">
        <f aca="false">IF(ISNUMBER(AQ229),AQ223+AQ229+N(AQ231)+N(AQ232)+N(AQ233),"")</f>
        <v>87.876615</v>
      </c>
      <c r="AR234" s="62" t="n">
        <f aca="false">IF(ISNUMBER(AR229),AR223+AR229+N(AR231)+N(AR232)+N(AR233),"")</f>
        <v>289.226304</v>
      </c>
      <c r="AS234" s="62" t="n">
        <f aca="false">IF(ISNUMBER(AS229),AS223+AS229+N(AS231)+N(AS232)+N(AS233),"")</f>
        <v>63.342207</v>
      </c>
      <c r="AT234" s="62" t="n">
        <f aca="false">IF(ISNUMBER(AT229),AT223+AT229+N(AT231)+N(AT232)+N(AT233),"")</f>
        <v>75.063046</v>
      </c>
      <c r="AU234" s="62" t="n">
        <f aca="false">IF(ISNUMBER(AU229),AU223+AU229+N(AU231)+N(AU232)+N(AU233),"")</f>
        <v>63.242295</v>
      </c>
      <c r="AV234" s="62" t="n">
        <f aca="false">IF(ISNUMBER(AV229),AV223+AV229+N(AV231)+N(AV232)+N(AV233),"")</f>
        <v>85.385439</v>
      </c>
      <c r="AW234" s="62" t="n">
        <f aca="false">IF(ISNUMBER(AW229),AW223+AW229+N(AW231)+N(AW232)+N(AW233),"")</f>
        <v>287.027573</v>
      </c>
      <c r="AX234" s="62" t="n">
        <f aca="false">IF(ISNUMBER(AX229),AX223+AX229+N(AX231)+N(AX232)+N(AX233),"")</f>
        <v>64.25979</v>
      </c>
      <c r="AY234" s="62" t="n">
        <f aca="false">IF(ISNUMBER(AY229),AY223+AY229+N(AY231)+N(AY232)+N(AY233),"")</f>
        <v>59.67338</v>
      </c>
      <c r="AZ234" s="62" t="n">
        <f aca="false">IF(ISNUMBER(AZ229),AZ223+AZ229+N(AZ231)+N(AZ232)+N(AZ233),"")</f>
        <v>61.569985</v>
      </c>
      <c r="BA234" s="62" t="n">
        <f aca="false">IF(ISNUMBER(BA229),BA223+BA229+N(BA231)+N(BA232)+N(BA233),"")</f>
        <v>92.917778</v>
      </c>
      <c r="BB234" s="62" t="n">
        <f aca="false">IF(ISNUMBER(BB229),BB223+BB229+N(BB231)+N(BB232)+N(BB233),"")</f>
        <v>277.46099</v>
      </c>
      <c r="BC234" s="62" t="n">
        <f aca="false">IF(ISNUMBER(BC229),BC223+BC229+N(BC231)+N(BC232)+N(BC233),"")</f>
        <v>69.814284</v>
      </c>
      <c r="BD234" s="62" t="n">
        <f aca="false">IF(ISNUMBER(BD229),BD223+BD229+N(BD231)+N(BD232)+N(BD233),"")</f>
        <v>75.27723</v>
      </c>
      <c r="BE234" s="62" t="n">
        <f aca="false">IF(ISNUMBER(BE229),BE223+BE229+N(BE231)+N(BE232)+N(BE233),"")</f>
        <v>76.265961</v>
      </c>
      <c r="BF234" s="62" t="n">
        <f aca="false">IF(ISNUMBER(BF229),BF223+BF229+N(BF231)+N(BF232)+N(BF233),"")</f>
        <v>84.538616</v>
      </c>
      <c r="BG234" s="62" t="n">
        <f aca="false">IF(ISNUMBER(BG229),BG223+BG229+N(BG231)+N(BG232)+N(BG233),"")</f>
        <v>305.892801</v>
      </c>
      <c r="BH234" s="62" t="n">
        <f aca="false">IF(ISNUMBER(BH229),BH223+BH229+N(BH231)+N(BH232)+N(BH233),"")</f>
        <v>83.605067</v>
      </c>
      <c r="BI234" s="62" t="n">
        <f aca="false">IF(ISNUMBER(BI229),BI223+BI229+N(BI231)+N(BI232)+N(BI233),"")</f>
        <v>93.536754</v>
      </c>
      <c r="BJ234" s="62" t="n">
        <f aca="false">IF(ISNUMBER(BJ229),BJ223+BJ229+N(BJ231)+N(BJ232)+N(BJ233),"")</f>
        <v>91.7876</v>
      </c>
      <c r="BK234" s="62" t="n">
        <f aca="false">IF(ISNUMBER(BK229),BK223+BK229+N(BK231)+N(BK232)+N(BK233),"")</f>
        <v>99.4248</v>
      </c>
      <c r="BL234" s="62" t="n">
        <f aca="false">IF(ISNUMBER(BL229),BL223+BL229+N(BL231)+N(BL232)+N(BL233),"")</f>
        <v>368.34256</v>
      </c>
      <c r="BM234" s="62" t="n">
        <f aca="false">IF(ISNUMBER(BM229),BM223+BM229+N(BM231)+N(BM232)+N(BM233),"")</f>
        <v>102.937632</v>
      </c>
      <c r="BN234" s="62" t="n">
        <f aca="false">IF(ISNUMBER(BN229),BN223+BN229+N(BN231)+N(BN232)+N(BN233),"")</f>
        <v>98.447811</v>
      </c>
      <c r="BO234" s="62" t="n">
        <f aca="false">BO223+BO229+BO231+BO232+BO233</f>
        <v>115.849750279223</v>
      </c>
      <c r="BP234" s="62" t="n">
        <f aca="false">BP223+BP229+BP231+BP232+BP233</f>
        <v>118.772652203672</v>
      </c>
      <c r="BQ234" s="62" t="n">
        <f aca="false">BQ223+BQ229+BQ231+BQ232+BQ233</f>
        <v>436.007845482896</v>
      </c>
      <c r="BR234" s="62" t="n">
        <f aca="false">BR223+BR229+BR231+BR232+BR233</f>
        <v>481.214147957043</v>
      </c>
      <c r="BS234" s="62" t="n">
        <f aca="false">BS223+BS229+BS231+BS232+BS233</f>
        <v>540.788705054995</v>
      </c>
      <c r="BT234" s="62" t="n">
        <f aca="false">BT223+BT229+BT231+BT232+BT233</f>
        <v>600.712137498531</v>
      </c>
      <c r="BU234" s="62" t="n">
        <f aca="false">BU223+BU229+BU231+BU232+BU233</f>
        <v>659.76218666781</v>
      </c>
      <c r="BV234" s="15"/>
      <c r="BX234" s="25" t="n">
        <f aca="false">IFERROR((BU234/BL234)^(1/5)-1,"n/m")</f>
        <v>0.123639774093245</v>
      </c>
      <c r="BY234" s="25" t="n">
        <f aca="false">IFERROR((BL234/AM234)^(1/5)-1,"n/m")</f>
        <v>0.0489515249467765</v>
      </c>
      <c r="BZ234" s="25" t="n">
        <f aca="false">IFERROR((BL234/N234)^(1/10)-1,"n/m")</f>
        <v>0.0919983715259625</v>
      </c>
      <c r="CA234" s="25" t="n">
        <f aca="false">IFERROR((BL234/D234)^(1/12)-1,"n/m")</f>
        <v>0.0841270657462878</v>
      </c>
    </row>
    <row r="235" customFormat="false" ht="15" hidden="false" customHeight="false" outlineLevel="0" collapsed="false">
      <c r="B235" s="13" t="s">
        <v>350</v>
      </c>
      <c r="C235" s="20" t="n">
        <f aca="false">C185</f>
        <v>119.0213</v>
      </c>
      <c r="D235" s="20" t="n">
        <f aca="false">D185</f>
        <v>112.6854</v>
      </c>
      <c r="E235" s="20" t="n">
        <f aca="false">E185</f>
        <v>110.886</v>
      </c>
      <c r="F235" s="20" t="n">
        <f aca="false">F185</f>
        <v>110.1166</v>
      </c>
      <c r="G235" s="20" t="n">
        <f aca="false">G185</f>
        <v>107.4443</v>
      </c>
      <c r="H235" s="20" t="n">
        <f aca="false">H185</f>
        <v>106.5974</v>
      </c>
      <c r="I235" s="20" t="n">
        <f aca="false">I185</f>
        <v>108.7611</v>
      </c>
      <c r="J235" s="20" t="n">
        <f aca="false">J185</f>
        <v>107.1465</v>
      </c>
      <c r="K235" s="20" t="n">
        <f aca="false">K185</f>
        <v>107.1201</v>
      </c>
      <c r="L235" s="20" t="n">
        <f aca="false">L185</f>
        <v>108.1843</v>
      </c>
      <c r="M235" s="20" t="n">
        <f aca="false">M185</f>
        <v>107.4279</v>
      </c>
      <c r="N235" s="20" t="n">
        <f aca="false">N185</f>
        <v>107.583</v>
      </c>
      <c r="O235" s="20" t="n">
        <f aca="false">O185</f>
        <v>105.7629</v>
      </c>
      <c r="P235" s="20" t="n">
        <f aca="false">P185</f>
        <v>104.819</v>
      </c>
      <c r="Q235" s="20" t="n">
        <f aca="false">Q185</f>
        <v>103.8156</v>
      </c>
      <c r="R235" s="20" t="n">
        <f aca="false">R185</f>
        <v>100.5378</v>
      </c>
      <c r="S235" s="20" t="n">
        <f aca="false">S185</f>
        <v>103.8407</v>
      </c>
      <c r="T235" s="20" t="n">
        <f aca="false">T185</f>
        <v>100.691</v>
      </c>
      <c r="U235" s="20" t="n">
        <f aca="false">U185</f>
        <v>100.1509</v>
      </c>
      <c r="V235" s="20" t="n">
        <f aca="false">V185</f>
        <v>100.2603</v>
      </c>
      <c r="W235" s="20" t="n">
        <f aca="false">W185</f>
        <v>99.3981</v>
      </c>
      <c r="X235" s="20" t="n">
        <f aca="false">X185</f>
        <v>100.3692</v>
      </c>
      <c r="Y235" s="20" t="n">
        <f aca="false">Y185</f>
        <v>100.5123</v>
      </c>
      <c r="Z235" s="20" t="n">
        <f aca="false">Z185</f>
        <v>100.5717</v>
      </c>
      <c r="AA235" s="20" t="n">
        <f aca="false">AA185</f>
        <v>100.4208</v>
      </c>
      <c r="AB235" s="20" t="n">
        <f aca="false">AB185</f>
        <v>98.5714</v>
      </c>
      <c r="AC235" s="20" t="n">
        <f aca="false">AC185</f>
        <v>100.0191</v>
      </c>
      <c r="AD235" s="20" t="n">
        <f aca="false">AD185</f>
        <v>95.8214</v>
      </c>
      <c r="AE235" s="20" t="n">
        <f aca="false">AE185</f>
        <v>95.6772</v>
      </c>
      <c r="AF235" s="20" t="n">
        <f aca="false">AF185</f>
        <v>95.8112</v>
      </c>
      <c r="AG235" s="20" t="n">
        <f aca="false">AG185</f>
        <v>95.9324</v>
      </c>
      <c r="AH235" s="20" t="n">
        <f aca="false">AH185</f>
        <v>95.8105</v>
      </c>
      <c r="AI235" s="20" t="n">
        <f aca="false">AI185</f>
        <v>95.7564</v>
      </c>
      <c r="AJ235" s="20" t="n">
        <f aca="false">AJ185</f>
        <v>95.6336</v>
      </c>
      <c r="AK235" s="20" t="n">
        <f aca="false">AK185</f>
        <v>95.7307</v>
      </c>
      <c r="AL235" s="20" t="n">
        <f aca="false">AL185</f>
        <v>95.7853</v>
      </c>
      <c r="AM235" s="20" t="n">
        <f aca="false">AM185</f>
        <v>95.7265</v>
      </c>
      <c r="AN235" s="20" t="n">
        <f aca="false">AN185</f>
        <v>95.5589</v>
      </c>
      <c r="AO235" s="20" t="n">
        <f aca="false">AO185</f>
        <v>95.5292</v>
      </c>
      <c r="AP235" s="20" t="n">
        <f aca="false">AP185</f>
        <v>94.484</v>
      </c>
      <c r="AQ235" s="20" t="n">
        <f aca="false">AQ185</f>
        <v>92.5017</v>
      </c>
      <c r="AR235" s="20" t="n">
        <f aca="false">AR185</f>
        <v>94.5184</v>
      </c>
      <c r="AS235" s="20" t="n">
        <f aca="false">AS185</f>
        <v>91.8003</v>
      </c>
      <c r="AT235" s="20" t="n">
        <f aca="false">AT185</f>
        <v>91.5403</v>
      </c>
      <c r="AU235" s="20" t="n">
        <f aca="false">AU185</f>
        <v>91.6555</v>
      </c>
      <c r="AV235" s="20" t="n">
        <f aca="false">AV185</f>
        <v>91.8123</v>
      </c>
      <c r="AW235" s="20" t="n">
        <f aca="false">AW185</f>
        <v>91.7021</v>
      </c>
      <c r="AX235" s="20" t="n">
        <f aca="false">AX185</f>
        <v>91.7997</v>
      </c>
      <c r="AY235" s="20" t="n">
        <f aca="false">AY185</f>
        <v>91.8052</v>
      </c>
      <c r="AZ235" s="20" t="n">
        <f aca="false">AZ185</f>
        <v>91.8955</v>
      </c>
      <c r="BA235" s="20" t="n">
        <f aca="false">BA185</f>
        <v>91.9978</v>
      </c>
      <c r="BB235" s="20" t="n">
        <f aca="false">BB185</f>
        <v>91.8745</v>
      </c>
      <c r="BC235" s="20" t="n">
        <f aca="false">BC185</f>
        <v>91.8609</v>
      </c>
      <c r="BD235" s="20" t="n">
        <f aca="false">BD185</f>
        <v>91.8015</v>
      </c>
      <c r="BE235" s="20" t="n">
        <f aca="false">BE185</f>
        <v>91.8867</v>
      </c>
      <c r="BF235" s="20" t="n">
        <f aca="false">BF185</f>
        <v>91.8898</v>
      </c>
      <c r="BG235" s="20" t="n">
        <f aca="false">BG185</f>
        <v>91.8597</v>
      </c>
      <c r="BH235" s="20" t="n">
        <f aca="false">BH185</f>
        <v>91.8737</v>
      </c>
      <c r="BI235" s="20" t="n">
        <f aca="false">BI185</f>
        <v>91.7027</v>
      </c>
      <c r="BJ235" s="20" t="n">
        <f aca="false">BJ185</f>
        <v>91.7876</v>
      </c>
      <c r="BK235" s="20" t="n">
        <f aca="false">BK185</f>
        <v>92.06</v>
      </c>
      <c r="BL235" s="20" t="n">
        <f aca="false">BL185</f>
        <v>91.856</v>
      </c>
      <c r="BM235" s="20" t="n">
        <f aca="false">BM185</f>
        <v>91.9086</v>
      </c>
      <c r="BN235" s="20" t="n">
        <f aca="false">BN185</f>
        <v>92.0073</v>
      </c>
      <c r="BO235" s="21" t="n">
        <f aca="false">BO185</f>
        <v>92.0323</v>
      </c>
      <c r="BP235" s="21" t="n">
        <f aca="false">BP185</f>
        <v>92.0323</v>
      </c>
      <c r="BQ235" s="21" t="n">
        <f aca="false">BQ185</f>
        <v>91.995125</v>
      </c>
      <c r="BR235" s="21" t="n">
        <f aca="false">BR185</f>
        <v>91.1776217616778</v>
      </c>
      <c r="BS235" s="21" t="n">
        <f aca="false">BS185</f>
        <v>89.6563853254866</v>
      </c>
      <c r="BT235" s="21" t="n">
        <f aca="false">BT185</f>
        <v>88.1144873291016</v>
      </c>
      <c r="BU235" s="21" t="n">
        <f aca="false">BU185</f>
        <v>86.3645434826549</v>
      </c>
      <c r="BV235" s="15"/>
    </row>
    <row r="236" customFormat="false" ht="15" hidden="false" customHeight="false" outlineLevel="0" collapsed="false">
      <c r="B236" s="60" t="s">
        <v>409</v>
      </c>
      <c r="C236" s="66" t="n">
        <f aca="false">IF(AND(ISNUMBER(C234),ISNUMBER(C235)),IFERROR(C234/C235,""),"")</f>
        <v>1.22278113245276</v>
      </c>
      <c r="D236" s="66" t="n">
        <f aca="false">IF(AND(ISNUMBER(D234),ISNUMBER(D235)),IFERROR(D234/D235,""),"")</f>
        <v>1.24000092292347</v>
      </c>
      <c r="E236" s="66" t="n">
        <f aca="false">IF(AND(ISNUMBER(E234),ISNUMBER(E235)),IFERROR(E234/E235,""),"")</f>
        <v>0.36027992713237</v>
      </c>
      <c r="F236" s="66" t="n">
        <f aca="false">IF(AND(ISNUMBER(F234),ISNUMBER(F235)),IFERROR(F234/F235,""),"")</f>
        <v>0.35</v>
      </c>
      <c r="G236" s="66" t="n">
        <f aca="false">IF(AND(ISNUMBER(G234),ISNUMBER(G235)),IFERROR(G234/G235,""),"")</f>
        <v>0.3</v>
      </c>
      <c r="H236" s="66" t="n">
        <f aca="false">IF(AND(ISNUMBER(H234),ISNUMBER(H235)),IFERROR(H234/H235,""),"")</f>
        <v>0.36</v>
      </c>
      <c r="I236" s="66" t="n">
        <f aca="false">IF(AND(ISNUMBER(I234),ISNUMBER(I235)),IFERROR(I234/I235,""),"")</f>
        <v>1.32</v>
      </c>
      <c r="J236" s="66" t="n">
        <f aca="false">IF(AND(ISNUMBER(J234),ISNUMBER(J235)),IFERROR(J234/J235,""),"")</f>
        <v>0.33</v>
      </c>
      <c r="K236" s="66" t="n">
        <f aca="false">IF(AND(ISNUMBER(K234),ISNUMBER(K235)),IFERROR(K234/K235,""),"")</f>
        <v>0.32</v>
      </c>
      <c r="L236" s="66" t="n">
        <f aca="false">IF(AND(ISNUMBER(L234),ISNUMBER(L235)),IFERROR(L234/L235,""),"")</f>
        <v>0.4</v>
      </c>
      <c r="M236" s="66" t="n">
        <f aca="false">IF(AND(ISNUMBER(M234),ISNUMBER(M235)),IFERROR(M234/M235,""),"")</f>
        <v>0.38</v>
      </c>
      <c r="N236" s="66" t="n">
        <f aca="false">IF(AND(ISNUMBER(N234),ISNUMBER(N235)),IFERROR(N234/N235,""),"")</f>
        <v>1.42</v>
      </c>
      <c r="O236" s="66" t="n">
        <f aca="false">IF(AND(ISNUMBER(O234),ISNUMBER(O235)),IFERROR(O234/O235,""),"")</f>
        <v>0.44</v>
      </c>
      <c r="P236" s="66" t="n">
        <f aca="false">IF(AND(ISNUMBER(P234),ISNUMBER(P235)),IFERROR(P234/P235,""),"")</f>
        <v>0.44</v>
      </c>
      <c r="Q236" s="66" t="n">
        <f aca="false">IF(AND(ISNUMBER(Q234),ISNUMBER(Q235)),IFERROR(Q234/Q235,""),"")</f>
        <v>0.39</v>
      </c>
      <c r="R236" s="66" t="n">
        <f aca="false">IF(AND(ISNUMBER(R234),ISNUMBER(R235)),IFERROR(R234/R235,""),"")</f>
        <v>0.46</v>
      </c>
      <c r="S236" s="66" t="n">
        <f aca="false">IF(AND(ISNUMBER(S234),ISNUMBER(S235)),IFERROR(S234/S235,""),"")</f>
        <v>1.76</v>
      </c>
      <c r="T236" s="66" t="n">
        <f aca="false">IF(AND(ISNUMBER(T234),ISNUMBER(T235)),IFERROR(T234/T235,""),"")</f>
        <v>0.55</v>
      </c>
      <c r="U236" s="66" t="n">
        <f aca="false">IF(AND(ISNUMBER(U234),ISNUMBER(U235)),IFERROR(U234/U235,""),"")</f>
        <v>0.56</v>
      </c>
      <c r="V236" s="66" t="n">
        <f aca="false">IF(AND(ISNUMBER(V234),ISNUMBER(V235)),IFERROR(V234/V235,""),"")</f>
        <v>0.46</v>
      </c>
      <c r="W236" s="66" t="n">
        <f aca="false">IF(AND(ISNUMBER(W234),ISNUMBER(W235)),IFERROR(W234/W235,""),"")</f>
        <v>0.47</v>
      </c>
      <c r="X236" s="66" t="n">
        <f aca="false">IF(AND(ISNUMBER(X234),ISNUMBER(X235)),IFERROR(X234/X235,""),"")</f>
        <v>2.05</v>
      </c>
      <c r="Y236" s="66" t="n">
        <f aca="false">IF(AND(ISNUMBER(Y234),ISNUMBER(Y235)),IFERROR(Y234/Y235,""),"")</f>
        <v>0.67</v>
      </c>
      <c r="Z236" s="66" t="n">
        <f aca="false">IF(AND(ISNUMBER(Z234),ISNUMBER(Z235)),IFERROR(Z234/Z235,""),"")</f>
        <v>0.58</v>
      </c>
      <c r="AA236" s="66" t="n">
        <f aca="false">IF(AND(ISNUMBER(AA234),ISNUMBER(AA235)),IFERROR(AA234/AA235,""),"")</f>
        <v>0.4</v>
      </c>
      <c r="AB236" s="66" t="n">
        <f aca="false">IF(AND(ISNUMBER(AB234),ISNUMBER(AB235)),IFERROR(AB234/AB235,""),"")</f>
        <v>0.74</v>
      </c>
      <c r="AC236" s="66" t="n">
        <f aca="false">IF(AND(ISNUMBER(AC234),ISNUMBER(AC235)),IFERROR(AC234/AC235,""),"")</f>
        <v>2.39</v>
      </c>
      <c r="AD236" s="66" t="n">
        <f aca="false">IF(AND(ISNUMBER(AD234),ISNUMBER(AD235)),IFERROR(AD234/AD235,""),"")</f>
        <v>0.51</v>
      </c>
      <c r="AE236" s="66" t="n">
        <f aca="false">IF(AND(ISNUMBER(AE234),ISNUMBER(AE235)),IFERROR(AE234/AE235,""),"")</f>
        <v>0.62</v>
      </c>
      <c r="AF236" s="66" t="n">
        <f aca="false">IF(AND(ISNUMBER(AF234),ISNUMBER(AF235)),IFERROR(AF234/AF235,""),"")</f>
        <v>0.79</v>
      </c>
      <c r="AG236" s="66" t="n">
        <f aca="false">IF(AND(ISNUMBER(AG234),ISNUMBER(AG235)),IFERROR(AG234/AG235,""),"")</f>
        <v>0.71</v>
      </c>
      <c r="AH236" s="66" t="n">
        <f aca="false">IF(AND(ISNUMBER(AH234),ISNUMBER(AH235)),IFERROR(AH234/AH235,""),"")</f>
        <v>2.62</v>
      </c>
      <c r="AI236" s="66" t="n">
        <f aca="false">IF(AND(ISNUMBER(AI234),ISNUMBER(AI235)),IFERROR(AI234/AI235,""),"")</f>
        <v>0.79</v>
      </c>
      <c r="AJ236" s="66" t="n">
        <f aca="false">IF(AND(ISNUMBER(AJ234),ISNUMBER(AJ235)),IFERROR(AJ234/AJ235,""),"")</f>
        <v>0.71</v>
      </c>
      <c r="AK236" s="66" t="n">
        <f aca="false">IF(AND(ISNUMBER(AK234),ISNUMBER(AK235)),IFERROR(AK234/AK235,""),"")</f>
        <v>0.79</v>
      </c>
      <c r="AL236" s="66" t="n">
        <f aca="false">IF(AND(ISNUMBER(AL234),ISNUMBER(AL235)),IFERROR(AL234/AL235,""),"")</f>
        <v>0.74</v>
      </c>
      <c r="AM236" s="66" t="n">
        <f aca="false">IF(AND(ISNUMBER(AM234),ISNUMBER(AM235)),IFERROR(AM234/AM235,""),"")</f>
        <v>3.03</v>
      </c>
      <c r="AN236" s="66" t="n">
        <f aca="false">IF(AND(ISNUMBER(AN234),ISNUMBER(AN235)),IFERROR(AN234/AN235,""),"")</f>
        <v>0.73</v>
      </c>
      <c r="AO236" s="66" t="n">
        <f aca="false">IF(AND(ISNUMBER(AO234),ISNUMBER(AO235)),IFERROR(AO234/AO235,""),"")</f>
        <v>0.62</v>
      </c>
      <c r="AP236" s="66" t="n">
        <f aca="false">IF(AND(ISNUMBER(AP234),ISNUMBER(AP235)),IFERROR(AP234/AP235,""),"")</f>
        <v>0.76</v>
      </c>
      <c r="AQ236" s="66" t="n">
        <f aca="false">IF(AND(ISNUMBER(AQ234),ISNUMBER(AQ235)),IFERROR(AQ234/AQ235,""),"")</f>
        <v>0.95</v>
      </c>
      <c r="AR236" s="66" t="n">
        <f aca="false">IF(AND(ISNUMBER(AR234),ISNUMBER(AR235)),IFERROR(AR234/AR235,""),"")</f>
        <v>3.06</v>
      </c>
      <c r="AS236" s="66" t="n">
        <f aca="false">IF(AND(ISNUMBER(AS234),ISNUMBER(AS235)),IFERROR(AS234/AS235,""),"")</f>
        <v>0.69</v>
      </c>
      <c r="AT236" s="66" t="n">
        <f aca="false">IF(AND(ISNUMBER(AT234),ISNUMBER(AT235)),IFERROR(AT234/AT235,""),"")</f>
        <v>0.82</v>
      </c>
      <c r="AU236" s="66" t="n">
        <f aca="false">IF(AND(ISNUMBER(AU234),ISNUMBER(AU235)),IFERROR(AU234/AU235,""),"")</f>
        <v>0.69</v>
      </c>
      <c r="AV236" s="66" t="n">
        <f aca="false">IF(AND(ISNUMBER(AV234),ISNUMBER(AV235)),IFERROR(AV234/AV235,""),"")</f>
        <v>0.93</v>
      </c>
      <c r="AW236" s="66" t="n">
        <f aca="false">IF(AND(ISNUMBER(AW234),ISNUMBER(AW235)),IFERROR(AW234/AW235,""),"")</f>
        <v>3.13</v>
      </c>
      <c r="AX236" s="66" t="n">
        <f aca="false">IF(AND(ISNUMBER(AX234),ISNUMBER(AX235)),IFERROR(AX234/AX235,""),"")</f>
        <v>0.7</v>
      </c>
      <c r="AY236" s="66" t="n">
        <f aca="false">IF(AND(ISNUMBER(AY234),ISNUMBER(AY235)),IFERROR(AY234/AY235,""),"")</f>
        <v>0.65</v>
      </c>
      <c r="AZ236" s="66" t="n">
        <f aca="false">IF(AND(ISNUMBER(AZ234),ISNUMBER(AZ235)),IFERROR(AZ234/AZ235,""),"")</f>
        <v>0.67</v>
      </c>
      <c r="BA236" s="66" t="n">
        <f aca="false">IF(AND(ISNUMBER(BA234),ISNUMBER(BA235)),IFERROR(BA234/BA235,""),"")</f>
        <v>1.01</v>
      </c>
      <c r="BB236" s="66" t="n">
        <f aca="false">IF(AND(ISNUMBER(BB234),ISNUMBER(BB235)),IFERROR(BB234/BB235,""),"")</f>
        <v>3.02</v>
      </c>
      <c r="BC236" s="66" t="n">
        <f aca="false">IF(AND(ISNUMBER(BC234),ISNUMBER(BC235)),IFERROR(BC234/BC235,""),"")</f>
        <v>0.76</v>
      </c>
      <c r="BD236" s="66" t="n">
        <f aca="false">IF(AND(ISNUMBER(BD234),ISNUMBER(BD235)),IFERROR(BD234/BD235,""),"")</f>
        <v>0.82</v>
      </c>
      <c r="BE236" s="66" t="n">
        <f aca="false">IF(AND(ISNUMBER(BE234),ISNUMBER(BE235)),IFERROR(BE234/BE235,""),"")</f>
        <v>0.83</v>
      </c>
      <c r="BF236" s="66" t="n">
        <f aca="false">IF(AND(ISNUMBER(BF234),ISNUMBER(BF235)),IFERROR(BF234/BF235,""),"")</f>
        <v>0.92</v>
      </c>
      <c r="BG236" s="66" t="n">
        <f aca="false">IF(AND(ISNUMBER(BG234),ISNUMBER(BG235)),IFERROR(BG234/BG235,""),"")</f>
        <v>3.33</v>
      </c>
      <c r="BH236" s="66" t="n">
        <f aca="false">IF(AND(ISNUMBER(BH234),ISNUMBER(BH235)),IFERROR(BH234/BH235,""),"")</f>
        <v>0.91</v>
      </c>
      <c r="BI236" s="66" t="n">
        <f aca="false">IF(AND(ISNUMBER(BI234),ISNUMBER(BI235)),IFERROR(BI234/BI235,""),"")</f>
        <v>1.02</v>
      </c>
      <c r="BJ236" s="66" t="n">
        <f aca="false">IF(AND(ISNUMBER(BJ234),ISNUMBER(BJ235)),IFERROR(BJ234/BJ235,""),"")</f>
        <v>1</v>
      </c>
      <c r="BK236" s="66" t="n">
        <f aca="false">IF(AND(ISNUMBER(BK234),ISNUMBER(BK235)),IFERROR(BK234/BK235,""),"")</f>
        <v>1.08</v>
      </c>
      <c r="BL236" s="66" t="n">
        <f aca="false">IF(AND(ISNUMBER(BL234),ISNUMBER(BL235)),IFERROR(BL234/BL235,""),"")</f>
        <v>4.01</v>
      </c>
      <c r="BM236" s="66" t="n">
        <f aca="false">IF(AND(ISNUMBER(BM234),ISNUMBER(BM235)),IFERROR(BM234/BM235,""),"")</f>
        <v>1.12</v>
      </c>
      <c r="BN236" s="66" t="n">
        <f aca="false">IF(AND(ISNUMBER(BN234),ISNUMBER(BN235)),IFERROR(BN234/BN235,""),"")</f>
        <v>1.07</v>
      </c>
      <c r="BO236" s="66" t="n">
        <f aca="false">IFERROR(BO234/BO235,"")</f>
        <v>1.25879446975924</v>
      </c>
      <c r="BP236" s="66" t="n">
        <f aca="false">IFERROR(BP234/BP235,"")</f>
        <v>1.2905539924969</v>
      </c>
      <c r="BQ236" s="66" t="n">
        <f aca="false">BQ234/BQ235</f>
        <v>4.73946685199782</v>
      </c>
      <c r="BR236" s="66" t="n">
        <f aca="false">IFERROR(BR234/BR235,"")</f>
        <v>5.27776595462045</v>
      </c>
      <c r="BS236" s="66" t="n">
        <f aca="false">IFERROR(BS234/BS235,"")</f>
        <v>6.03179241603068</v>
      </c>
      <c r="BT236" s="66" t="n">
        <f aca="false">IFERROR(BT234/BT235,"")</f>
        <v>6.81740489795862</v>
      </c>
      <c r="BU236" s="66" t="n">
        <f aca="false">IFERROR(BU234/BU235,"")</f>
        <v>7.63927139614087</v>
      </c>
      <c r="BV236" s="15"/>
      <c r="BX236" s="25" t="n">
        <f aca="false">IFERROR((BU236/BL236)^(1/5)-1,"n/m")</f>
        <v>0.137578861308824</v>
      </c>
      <c r="BY236" s="25" t="n">
        <f aca="false">IFERROR((BL236/AM236)^(1/5)-1,"n/m")</f>
        <v>0.057646042818831</v>
      </c>
      <c r="BZ236" s="25" t="n">
        <f aca="false">IFERROR((BL236/N236)^(1/10)-1,"n/m")</f>
        <v>0.109393463802258</v>
      </c>
      <c r="CA236" s="25" t="n">
        <f aca="false">IFERROR((BL236/D236)^(1/12)-1,"n/m")</f>
        <v>0.102749485142112</v>
      </c>
    </row>
    <row r="237" customFormat="false" ht="15" hidden="false" customHeight="false" outlineLevel="0" collapsed="false">
      <c r="B237" s="50" t="s">
        <v>410</v>
      </c>
      <c r="C237" s="19"/>
      <c r="D237" s="19"/>
      <c r="E237" s="19"/>
      <c r="F237" s="67" t="n">
        <v>0.35</v>
      </c>
      <c r="G237" s="67" t="n">
        <v>0.3</v>
      </c>
      <c r="H237" s="67" t="n">
        <v>0.36</v>
      </c>
      <c r="I237" s="67" t="n">
        <v>1.32</v>
      </c>
      <c r="J237" s="67" t="n">
        <v>0.33</v>
      </c>
      <c r="K237" s="67" t="n">
        <v>0.32</v>
      </c>
      <c r="L237" s="67" t="n">
        <v>0.4</v>
      </c>
      <c r="M237" s="67" t="n">
        <v>0.38</v>
      </c>
      <c r="N237" s="67" t="n">
        <v>1.42</v>
      </c>
      <c r="O237" s="67" t="n">
        <v>0.44</v>
      </c>
      <c r="P237" s="67" t="n">
        <v>0.44</v>
      </c>
      <c r="Q237" s="67" t="n">
        <v>0.39</v>
      </c>
      <c r="R237" s="67" t="n">
        <v>0.46</v>
      </c>
      <c r="S237" s="67" t="n">
        <v>1.76</v>
      </c>
      <c r="T237" s="67" t="n">
        <v>0.55</v>
      </c>
      <c r="U237" s="67" t="n">
        <v>0.56</v>
      </c>
      <c r="V237" s="67" t="n">
        <v>0.46</v>
      </c>
      <c r="W237" s="67" t="n">
        <v>0.47</v>
      </c>
      <c r="X237" s="67" t="n">
        <v>2.05</v>
      </c>
      <c r="Y237" s="67" t="n">
        <v>0.67</v>
      </c>
      <c r="Z237" s="67" t="n">
        <v>0.58</v>
      </c>
      <c r="AA237" s="67" t="n">
        <v>0.4</v>
      </c>
      <c r="AB237" s="67" t="n">
        <v>0.74</v>
      </c>
      <c r="AC237" s="67" t="n">
        <v>2.39</v>
      </c>
      <c r="AD237" s="67" t="n">
        <v>0.51</v>
      </c>
      <c r="AE237" s="67" t="n">
        <v>0.62</v>
      </c>
      <c r="AF237" s="67" t="n">
        <v>0.79</v>
      </c>
      <c r="AG237" s="67" t="n">
        <v>0.71</v>
      </c>
      <c r="AH237" s="67" t="n">
        <v>2.62</v>
      </c>
      <c r="AI237" s="67" t="n">
        <v>0.79</v>
      </c>
      <c r="AJ237" s="67" t="n">
        <v>0.71</v>
      </c>
      <c r="AK237" s="67" t="n">
        <v>0.79</v>
      </c>
      <c r="AL237" s="67" t="n">
        <v>0.74</v>
      </c>
      <c r="AM237" s="67" t="n">
        <v>3.03</v>
      </c>
      <c r="AN237" s="67" t="n">
        <v>0.73</v>
      </c>
      <c r="AO237" s="67" t="n">
        <v>0.62</v>
      </c>
      <c r="AP237" s="67" t="n">
        <v>0.76</v>
      </c>
      <c r="AQ237" s="67" t="n">
        <v>0.95</v>
      </c>
      <c r="AR237" s="67" t="n">
        <v>3.06</v>
      </c>
      <c r="AS237" s="67" t="n">
        <v>0.69</v>
      </c>
      <c r="AT237" s="67" t="n">
        <v>0.82</v>
      </c>
      <c r="AU237" s="67" t="n">
        <v>0.69</v>
      </c>
      <c r="AV237" s="67" t="n">
        <v>0.93</v>
      </c>
      <c r="AW237" s="67" t="n">
        <v>3.13</v>
      </c>
      <c r="AX237" s="67" t="n">
        <v>0.7</v>
      </c>
      <c r="AY237" s="67" t="n">
        <v>0.65</v>
      </c>
      <c r="AZ237" s="67" t="n">
        <v>0.67</v>
      </c>
      <c r="BA237" s="67" t="n">
        <v>1.01</v>
      </c>
      <c r="BB237" s="67" t="n">
        <v>3.02</v>
      </c>
      <c r="BC237" s="67" t="n">
        <v>0.76</v>
      </c>
      <c r="BD237" s="67" t="n">
        <v>0.82</v>
      </c>
      <c r="BE237" s="67" t="n">
        <v>0.83</v>
      </c>
      <c r="BF237" s="67" t="n">
        <v>0.92</v>
      </c>
      <c r="BG237" s="67" t="n">
        <v>3.33</v>
      </c>
      <c r="BH237" s="67" t="n">
        <v>0.91</v>
      </c>
      <c r="BI237" s="67" t="n">
        <v>1.02</v>
      </c>
      <c r="BJ237" s="67" t="n">
        <v>1</v>
      </c>
      <c r="BK237" s="67" t="n">
        <v>1.08</v>
      </c>
      <c r="BL237" s="67" t="n">
        <v>4.01</v>
      </c>
      <c r="BM237" s="67" t="n">
        <v>1.12</v>
      </c>
      <c r="BN237" s="67" t="n">
        <v>1.07</v>
      </c>
      <c r="BO237" s="36"/>
      <c r="BP237" s="36"/>
      <c r="BQ237" s="36"/>
      <c r="BR237" s="36"/>
      <c r="BS237" s="36"/>
      <c r="BT237" s="36"/>
      <c r="BU237" s="36"/>
      <c r="BV237" s="15"/>
    </row>
    <row r="238" customFormat="false" ht="15" hidden="false" customHeight="false" outlineLevel="0" collapsed="false">
      <c r="B238" s="51" t="s">
        <v>411</v>
      </c>
      <c r="C238" s="65" t="str">
        <f aca="false">IF(AND(ISNUMBER(C236),ISNUMBER(C237)),ROUND(C236-C237,2),"")</f>
        <v/>
      </c>
      <c r="D238" s="65" t="str">
        <f aca="false">IF(AND(ISNUMBER(D236),ISNUMBER(D237)),ROUND(D236-D237,2),"")</f>
        <v/>
      </c>
      <c r="E238" s="65" t="str">
        <f aca="false">IF(AND(ISNUMBER(E236),ISNUMBER(E237)),ROUND(E236-E237,2),"")</f>
        <v/>
      </c>
      <c r="F238" s="65" t="n">
        <f aca="false">IF(AND(ISNUMBER(F236),ISNUMBER(F237)),ROUND(F236-F237,2),"")</f>
        <v>0</v>
      </c>
      <c r="G238" s="65" t="n">
        <f aca="false">IF(AND(ISNUMBER(G236),ISNUMBER(G237)),ROUND(G236-G237,2),"")</f>
        <v>0</v>
      </c>
      <c r="H238" s="65" t="n">
        <f aca="false">IF(AND(ISNUMBER(H236),ISNUMBER(H237)),ROUND(H236-H237,2),"")</f>
        <v>0</v>
      </c>
      <c r="I238" s="65" t="n">
        <f aca="false">IF(AND(ISNUMBER(I236),ISNUMBER(I237)),ROUND(I236-I237,2),"")</f>
        <v>0</v>
      </c>
      <c r="J238" s="65" t="n">
        <f aca="false">IF(AND(ISNUMBER(J236),ISNUMBER(J237)),ROUND(J236-J237,2),"")</f>
        <v>0</v>
      </c>
      <c r="K238" s="65" t="n">
        <f aca="false">IF(AND(ISNUMBER(K236),ISNUMBER(K237)),ROUND(K236-K237,2),"")</f>
        <v>0</v>
      </c>
      <c r="L238" s="65" t="n">
        <f aca="false">IF(AND(ISNUMBER(L236),ISNUMBER(L237)),ROUND(L236-L237,2),"")</f>
        <v>0</v>
      </c>
      <c r="M238" s="65" t="n">
        <f aca="false">IF(AND(ISNUMBER(M236),ISNUMBER(M237)),ROUND(M236-M237,2),"")</f>
        <v>0</v>
      </c>
      <c r="N238" s="65" t="n">
        <f aca="false">IF(AND(ISNUMBER(N236),ISNUMBER(N237)),ROUND(N236-N237,2),"")</f>
        <v>0</v>
      </c>
      <c r="O238" s="65" t="n">
        <f aca="false">IF(AND(ISNUMBER(O236),ISNUMBER(O237)),ROUND(O236-O237,2),"")</f>
        <v>0</v>
      </c>
      <c r="P238" s="65" t="n">
        <f aca="false">IF(AND(ISNUMBER(P236),ISNUMBER(P237)),ROUND(P236-P237,2),"")</f>
        <v>0</v>
      </c>
      <c r="Q238" s="65" t="n">
        <f aca="false">IF(AND(ISNUMBER(Q236),ISNUMBER(Q237)),ROUND(Q236-Q237,2),"")</f>
        <v>0</v>
      </c>
      <c r="R238" s="65" t="n">
        <f aca="false">IF(AND(ISNUMBER(R236),ISNUMBER(R237)),ROUND(R236-R237,2),"")</f>
        <v>0</v>
      </c>
      <c r="S238" s="65" t="n">
        <f aca="false">IF(AND(ISNUMBER(S236),ISNUMBER(S237)),ROUND(S236-S237,2),"")</f>
        <v>0</v>
      </c>
      <c r="T238" s="65" t="n">
        <f aca="false">IF(AND(ISNUMBER(T236),ISNUMBER(T237)),ROUND(T236-T237,2),"")</f>
        <v>0</v>
      </c>
      <c r="U238" s="65" t="n">
        <f aca="false">IF(AND(ISNUMBER(U236),ISNUMBER(U237)),ROUND(U236-U237,2),"")</f>
        <v>0</v>
      </c>
      <c r="V238" s="65" t="n">
        <f aca="false">IF(AND(ISNUMBER(V236),ISNUMBER(V237)),ROUND(V236-V237,2),"")</f>
        <v>0</v>
      </c>
      <c r="W238" s="65" t="n">
        <f aca="false">IF(AND(ISNUMBER(W236),ISNUMBER(W237)),ROUND(W236-W237,2),"")</f>
        <v>0</v>
      </c>
      <c r="X238" s="65" t="n">
        <f aca="false">IF(AND(ISNUMBER(X236),ISNUMBER(X237)),ROUND(X236-X237,2),"")</f>
        <v>0</v>
      </c>
      <c r="Y238" s="65" t="n">
        <f aca="false">IF(AND(ISNUMBER(Y236),ISNUMBER(Y237)),ROUND(Y236-Y237,2),"")</f>
        <v>0</v>
      </c>
      <c r="Z238" s="65" t="n">
        <f aca="false">IF(AND(ISNUMBER(Z236),ISNUMBER(Z237)),ROUND(Z236-Z237,2),"")</f>
        <v>0</v>
      </c>
      <c r="AA238" s="65" t="n">
        <f aca="false">IF(AND(ISNUMBER(AA236),ISNUMBER(AA237)),ROUND(AA236-AA237,2),"")</f>
        <v>0</v>
      </c>
      <c r="AB238" s="65" t="n">
        <f aca="false">IF(AND(ISNUMBER(AB236),ISNUMBER(AB237)),ROUND(AB236-AB237,2),"")</f>
        <v>0</v>
      </c>
      <c r="AC238" s="65" t="n">
        <f aca="false">IF(AND(ISNUMBER(AC236),ISNUMBER(AC237)),ROUND(AC236-AC237,2),"")</f>
        <v>0</v>
      </c>
      <c r="AD238" s="65" t="n">
        <f aca="false">IF(AND(ISNUMBER(AD236),ISNUMBER(AD237)),ROUND(AD236-AD237,2),"")</f>
        <v>0</v>
      </c>
      <c r="AE238" s="65" t="n">
        <f aca="false">IF(AND(ISNUMBER(AE236),ISNUMBER(AE237)),ROUND(AE236-AE237,2),"")</f>
        <v>0</v>
      </c>
      <c r="AF238" s="65" t="n">
        <f aca="false">IF(AND(ISNUMBER(AF236),ISNUMBER(AF237)),ROUND(AF236-AF237,2),"")</f>
        <v>0</v>
      </c>
      <c r="AG238" s="65" t="n">
        <f aca="false">IF(AND(ISNUMBER(AG236),ISNUMBER(AG237)),ROUND(AG236-AG237,2),"")</f>
        <v>0</v>
      </c>
      <c r="AH238" s="65" t="n">
        <f aca="false">IF(AND(ISNUMBER(AH236),ISNUMBER(AH237)),ROUND(AH236-AH237,2),"")</f>
        <v>0</v>
      </c>
      <c r="AI238" s="65" t="n">
        <f aca="false">IF(AND(ISNUMBER(AI236),ISNUMBER(AI237)),ROUND(AI236-AI237,2),"")</f>
        <v>0</v>
      </c>
      <c r="AJ238" s="65" t="n">
        <f aca="false">IF(AND(ISNUMBER(AJ236),ISNUMBER(AJ237)),ROUND(AJ236-AJ237,2),"")</f>
        <v>0</v>
      </c>
      <c r="AK238" s="65" t="n">
        <f aca="false">IF(AND(ISNUMBER(AK236),ISNUMBER(AK237)),ROUND(AK236-AK237,2),"")</f>
        <v>0</v>
      </c>
      <c r="AL238" s="65" t="n">
        <f aca="false">IF(AND(ISNUMBER(AL236),ISNUMBER(AL237)),ROUND(AL236-AL237,2),"")</f>
        <v>0</v>
      </c>
      <c r="AM238" s="65" t="n">
        <f aca="false">IF(AND(ISNUMBER(AM236),ISNUMBER(AM237)),ROUND(AM236-AM237,2),"")</f>
        <v>0</v>
      </c>
      <c r="AN238" s="65" t="n">
        <f aca="false">IF(AND(ISNUMBER(AN236),ISNUMBER(AN237)),ROUND(AN236-AN237,2),"")</f>
        <v>0</v>
      </c>
      <c r="AO238" s="65" t="n">
        <f aca="false">IF(AND(ISNUMBER(AO236),ISNUMBER(AO237)),ROUND(AO236-AO237,2),"")</f>
        <v>0</v>
      </c>
      <c r="AP238" s="65" t="n">
        <f aca="false">IF(AND(ISNUMBER(AP236),ISNUMBER(AP237)),ROUND(AP236-AP237,2),"")</f>
        <v>0</v>
      </c>
      <c r="AQ238" s="65" t="n">
        <f aca="false">IF(AND(ISNUMBER(AQ236),ISNUMBER(AQ237)),ROUND(AQ236-AQ237,2),"")</f>
        <v>0</v>
      </c>
      <c r="AR238" s="65" t="n">
        <f aca="false">IF(AND(ISNUMBER(AR236),ISNUMBER(AR237)),ROUND(AR236-AR237,2),"")</f>
        <v>0</v>
      </c>
      <c r="AS238" s="65" t="n">
        <f aca="false">IF(AND(ISNUMBER(AS236),ISNUMBER(AS237)),ROUND(AS236-AS237,2),"")</f>
        <v>0</v>
      </c>
      <c r="AT238" s="65" t="n">
        <f aca="false">IF(AND(ISNUMBER(AT236),ISNUMBER(AT237)),ROUND(AT236-AT237,2),"")</f>
        <v>0</v>
      </c>
      <c r="AU238" s="65" t="n">
        <f aca="false">IF(AND(ISNUMBER(AU236),ISNUMBER(AU237)),ROUND(AU236-AU237,2),"")</f>
        <v>0</v>
      </c>
      <c r="AV238" s="65" t="n">
        <f aca="false">IF(AND(ISNUMBER(AV236),ISNUMBER(AV237)),ROUND(AV236-AV237,2),"")</f>
        <v>0</v>
      </c>
      <c r="AW238" s="65" t="n">
        <f aca="false">IF(AND(ISNUMBER(AW236),ISNUMBER(AW237)),ROUND(AW236-AW237,2),"")</f>
        <v>0</v>
      </c>
      <c r="AX238" s="65" t="n">
        <f aca="false">IF(AND(ISNUMBER(AX236),ISNUMBER(AX237)),ROUND(AX236-AX237,2),"")</f>
        <v>0</v>
      </c>
      <c r="AY238" s="65" t="n">
        <f aca="false">IF(AND(ISNUMBER(AY236),ISNUMBER(AY237)),ROUND(AY236-AY237,2),"")</f>
        <v>0</v>
      </c>
      <c r="AZ238" s="65" t="n">
        <f aca="false">IF(AND(ISNUMBER(AZ236),ISNUMBER(AZ237)),ROUND(AZ236-AZ237,2),"")</f>
        <v>0</v>
      </c>
      <c r="BA238" s="65" t="n">
        <f aca="false">IF(AND(ISNUMBER(BA236),ISNUMBER(BA237)),ROUND(BA236-BA237,2),"")</f>
        <v>0</v>
      </c>
      <c r="BB238" s="65" t="n">
        <f aca="false">IF(AND(ISNUMBER(BB236),ISNUMBER(BB237)),ROUND(BB236-BB237,2),"")</f>
        <v>0</v>
      </c>
      <c r="BC238" s="65" t="n">
        <f aca="false">IF(AND(ISNUMBER(BC236),ISNUMBER(BC237)),ROUND(BC236-BC237,2),"")</f>
        <v>0</v>
      </c>
      <c r="BD238" s="65" t="n">
        <f aca="false">IF(AND(ISNUMBER(BD236),ISNUMBER(BD237)),ROUND(BD236-BD237,2),"")</f>
        <v>0</v>
      </c>
      <c r="BE238" s="65" t="n">
        <f aca="false">IF(AND(ISNUMBER(BE236),ISNUMBER(BE237)),ROUND(BE236-BE237,2),"")</f>
        <v>0</v>
      </c>
      <c r="BF238" s="65" t="n">
        <f aca="false">IF(AND(ISNUMBER(BF236),ISNUMBER(BF237)),ROUND(BF236-BF237,2),"")</f>
        <v>0</v>
      </c>
      <c r="BG238" s="65" t="n">
        <f aca="false">IF(AND(ISNUMBER(BG236),ISNUMBER(BG237)),ROUND(BG236-BG237,2),"")</f>
        <v>0</v>
      </c>
      <c r="BH238" s="65" t="n">
        <f aca="false">IF(AND(ISNUMBER(BH236),ISNUMBER(BH237)),ROUND(BH236-BH237,2),"")</f>
        <v>0</v>
      </c>
      <c r="BI238" s="65" t="n">
        <f aca="false">IF(AND(ISNUMBER(BI236),ISNUMBER(BI237)),ROUND(BI236-BI237,2),"")</f>
        <v>0</v>
      </c>
      <c r="BJ238" s="65" t="n">
        <f aca="false">IF(AND(ISNUMBER(BJ236),ISNUMBER(BJ237)),ROUND(BJ236-BJ237,2),"")</f>
        <v>0</v>
      </c>
      <c r="BK238" s="65" t="n">
        <f aca="false">IF(AND(ISNUMBER(BK236),ISNUMBER(BK237)),ROUND(BK236-BK237,2),"")</f>
        <v>0</v>
      </c>
      <c r="BL238" s="65" t="n">
        <f aca="false">IF(AND(ISNUMBER(BL236),ISNUMBER(BL237)),ROUND(BL236-BL237,2),"")</f>
        <v>0</v>
      </c>
      <c r="BM238" s="65" t="n">
        <f aca="false">IF(AND(ISNUMBER(BM236),ISNUMBER(BM237)),ROUND(BM236-BM237,2),"")</f>
        <v>0</v>
      </c>
      <c r="BN238" s="65" t="n">
        <f aca="false">IF(AND(ISNUMBER(BN236),ISNUMBER(BN237)),ROUND(BN236-BN237,2),"")</f>
        <v>0</v>
      </c>
      <c r="BO238" s="36"/>
      <c r="BP238" s="36"/>
      <c r="BQ238" s="36"/>
      <c r="BR238" s="36"/>
      <c r="BS238" s="36"/>
      <c r="BT238" s="36"/>
      <c r="BU238" s="36"/>
      <c r="BV238" s="15"/>
    </row>
    <row r="239" customFormat="false" ht="15" hidden="false" customHeight="false" outlineLevel="0" collapsed="false">
      <c r="B239" s="50" t="s">
        <v>412</v>
      </c>
      <c r="C239" s="19"/>
      <c r="D239" s="19"/>
      <c r="E239" s="24" t="n">
        <v>39.9</v>
      </c>
      <c r="F239" s="24" t="n">
        <v>38.8</v>
      </c>
      <c r="G239" s="24" t="n">
        <v>32.7</v>
      </c>
      <c r="H239" s="24" t="n">
        <v>38.1</v>
      </c>
      <c r="I239" s="24" t="n">
        <v>143.7</v>
      </c>
      <c r="J239" s="24" t="n">
        <v>35.3</v>
      </c>
      <c r="K239" s="24" t="n">
        <v>34.1</v>
      </c>
      <c r="L239" s="24" t="n">
        <v>43.1</v>
      </c>
      <c r="M239" s="24" t="n">
        <v>40.5</v>
      </c>
      <c r="N239" s="24" t="n">
        <v>153.1</v>
      </c>
      <c r="O239" s="24" t="n">
        <v>47</v>
      </c>
      <c r="P239" s="24" t="n">
        <v>46.5</v>
      </c>
      <c r="Q239" s="24" t="n">
        <v>40.1</v>
      </c>
      <c r="R239" s="24" t="n">
        <v>46.5</v>
      </c>
      <c r="S239" s="24" t="n">
        <v>182.3</v>
      </c>
      <c r="T239" s="24" t="n">
        <v>55.3</v>
      </c>
      <c r="U239" s="24" t="n">
        <v>56.2</v>
      </c>
      <c r="V239" s="24" t="n">
        <v>46.553</v>
      </c>
      <c r="W239" s="24" t="n">
        <v>47.5</v>
      </c>
      <c r="X239" s="24" t="n">
        <v>205.6</v>
      </c>
      <c r="Y239" s="24" t="n">
        <v>67.6</v>
      </c>
      <c r="Z239" s="24" t="n">
        <v>58</v>
      </c>
      <c r="AA239" s="24" t="n">
        <v>40.1</v>
      </c>
      <c r="AB239" s="24" t="n">
        <v>73</v>
      </c>
      <c r="AC239" s="24" t="n">
        <v>238.8</v>
      </c>
      <c r="AD239" s="24" t="n">
        <v>48.978</v>
      </c>
      <c r="AE239" s="24" t="n">
        <v>59.1</v>
      </c>
      <c r="AF239" s="24" t="n">
        <v>75.3</v>
      </c>
      <c r="AG239" s="24" t="n">
        <v>67.9</v>
      </c>
      <c r="AH239" s="24" t="n">
        <v>251.3</v>
      </c>
      <c r="AI239" s="24" t="n">
        <v>75.6</v>
      </c>
      <c r="AJ239" s="24" t="n">
        <v>67.7</v>
      </c>
      <c r="AK239" s="24" t="n">
        <v>75.6</v>
      </c>
      <c r="AL239" s="24" t="n">
        <v>70.9</v>
      </c>
      <c r="AM239" s="24" t="n">
        <v>289.8</v>
      </c>
      <c r="AN239" s="24" t="n">
        <v>69.749</v>
      </c>
      <c r="AO239" s="24" t="n">
        <v>59.347</v>
      </c>
      <c r="AP239" s="24" t="n">
        <v>72</v>
      </c>
      <c r="AQ239" s="24" t="n">
        <v>88.2</v>
      </c>
      <c r="AR239" s="24" t="n">
        <v>289.2</v>
      </c>
      <c r="AS239" s="24" t="n">
        <v>63</v>
      </c>
      <c r="AT239" s="24" t="n">
        <v>75.4</v>
      </c>
      <c r="AU239" s="24" t="n">
        <v>63</v>
      </c>
      <c r="AV239" s="24" t="n">
        <v>85.6</v>
      </c>
      <c r="AW239" s="24" t="n">
        <v>287.1</v>
      </c>
      <c r="AX239" s="24" t="n">
        <v>64.1</v>
      </c>
      <c r="AY239" s="24" t="n">
        <v>59.4</v>
      </c>
      <c r="AZ239" s="24" t="n">
        <v>61.5</v>
      </c>
      <c r="BA239" s="24" t="n">
        <v>92.9</v>
      </c>
      <c r="BB239" s="24" t="n">
        <v>277.9</v>
      </c>
      <c r="BC239" s="24" t="n">
        <v>69.7</v>
      </c>
      <c r="BD239" s="24" t="n">
        <v>75.3</v>
      </c>
      <c r="BE239" s="24" t="n">
        <v>76.6</v>
      </c>
      <c r="BF239" s="24" t="n">
        <v>84.7</v>
      </c>
      <c r="BG239" s="24" t="n">
        <v>306.3</v>
      </c>
      <c r="BH239" s="24" t="n">
        <v>84</v>
      </c>
      <c r="BI239" s="24" t="n">
        <v>93.1</v>
      </c>
      <c r="BJ239" s="24" t="n">
        <v>91.6</v>
      </c>
      <c r="BK239" s="24" t="n">
        <v>99.3</v>
      </c>
      <c r="BL239" s="24" t="n">
        <v>368</v>
      </c>
      <c r="BM239" s="24" t="n">
        <v>102.7</v>
      </c>
      <c r="BN239" s="24" t="n">
        <v>98.5</v>
      </c>
      <c r="BO239" s="36"/>
      <c r="BP239" s="36"/>
      <c r="BQ239" s="36"/>
      <c r="BR239" s="36"/>
      <c r="BS239" s="36"/>
      <c r="BT239" s="36"/>
      <c r="BU239" s="36"/>
      <c r="BV239" s="15"/>
    </row>
    <row r="240" customFormat="false" ht="15" hidden="false" customHeight="false" outlineLevel="0" collapsed="false">
      <c r="B240" s="51" t="s">
        <v>413</v>
      </c>
      <c r="C240" s="20" t="str">
        <f aca="false">IF(AND(ISNUMBER(C234),ISNUMBER(C239)),ROUND(C234-C239,1),"")</f>
        <v/>
      </c>
      <c r="D240" s="20" t="str">
        <f aca="false">IF(AND(ISNUMBER(D234),ISNUMBER(D239)),ROUND(D234-D239,1),"")</f>
        <v/>
      </c>
      <c r="E240" s="20" t="n">
        <f aca="false">IF(AND(ISNUMBER(E234),ISNUMBER(E239)),ROUND(E234-E239,1),"")</f>
        <v>0.1</v>
      </c>
      <c r="F240" s="20" t="n">
        <f aca="false">IF(AND(ISNUMBER(F234),ISNUMBER(F239)),ROUND(F234-F239,1),"")</f>
        <v>-0.3</v>
      </c>
      <c r="G240" s="20" t="n">
        <f aca="false">IF(AND(ISNUMBER(G234),ISNUMBER(G239)),ROUND(G234-G239,1),"")</f>
        <v>-0.5</v>
      </c>
      <c r="H240" s="20" t="n">
        <f aca="false">IF(AND(ISNUMBER(H234),ISNUMBER(H239)),ROUND(H234-H239,1),"")</f>
        <v>0.3</v>
      </c>
      <c r="I240" s="20" t="n">
        <f aca="false">IF(AND(ISNUMBER(I234),ISNUMBER(I239)),ROUND(I234-I239,1),"")</f>
        <v>-0.1</v>
      </c>
      <c r="J240" s="20" t="n">
        <f aca="false">IF(AND(ISNUMBER(J234),ISNUMBER(J239)),ROUND(J234-J239,1),"")</f>
        <v>0.1</v>
      </c>
      <c r="K240" s="20" t="n">
        <f aca="false">IF(AND(ISNUMBER(K234),ISNUMBER(K239)),ROUND(K234-K239,1),"")</f>
        <v>0.2</v>
      </c>
      <c r="L240" s="20" t="n">
        <f aca="false">IF(AND(ISNUMBER(L234),ISNUMBER(L239)),ROUND(L234-L239,1),"")</f>
        <v>0.2</v>
      </c>
      <c r="M240" s="20" t="n">
        <f aca="false">IF(AND(ISNUMBER(M234),ISNUMBER(M239)),ROUND(M234-M239,1),"")</f>
        <v>0.3</v>
      </c>
      <c r="N240" s="20" t="n">
        <f aca="false">IF(AND(ISNUMBER(N234),ISNUMBER(N239)),ROUND(N234-N239,1),"")</f>
        <v>-0.3</v>
      </c>
      <c r="O240" s="20" t="n">
        <f aca="false">IF(AND(ISNUMBER(O234),ISNUMBER(O239)),ROUND(O234-O239,1),"")</f>
        <v>-0.5</v>
      </c>
      <c r="P240" s="20" t="n">
        <f aca="false">IF(AND(ISNUMBER(P234),ISNUMBER(P239)),ROUND(P234-P239,1),"")</f>
        <v>-0.4</v>
      </c>
      <c r="Q240" s="20" t="n">
        <f aca="false">IF(AND(ISNUMBER(Q234),ISNUMBER(Q239)),ROUND(Q234-Q239,1),"")</f>
        <v>0.4</v>
      </c>
      <c r="R240" s="20" t="n">
        <f aca="false">IF(AND(ISNUMBER(R234),ISNUMBER(R239)),ROUND(R234-R239,1),"")</f>
        <v>-0.3</v>
      </c>
      <c r="S240" s="20" t="n">
        <f aca="false">IF(AND(ISNUMBER(S234),ISNUMBER(S239)),ROUND(S234-S239,1),"")</f>
        <v>0.5</v>
      </c>
      <c r="T240" s="20" t="n">
        <f aca="false">IF(AND(ISNUMBER(T234),ISNUMBER(T239)),ROUND(T234-T239,1),"")</f>
        <v>0.1</v>
      </c>
      <c r="U240" s="20" t="n">
        <f aca="false">IF(AND(ISNUMBER(U234),ISNUMBER(U239)),ROUND(U234-U239,1),"")</f>
        <v>-0.1</v>
      </c>
      <c r="V240" s="20" t="n">
        <f aca="false">IF(AND(ISNUMBER(V234),ISNUMBER(V239)),ROUND(V234-V239,1),"")</f>
        <v>-0.4</v>
      </c>
      <c r="W240" s="20" t="n">
        <f aca="false">IF(AND(ISNUMBER(W234),ISNUMBER(W239)),ROUND(W234-W239,1),"")</f>
        <v>-0.8</v>
      </c>
      <c r="X240" s="20" t="n">
        <f aca="false">IF(AND(ISNUMBER(X234),ISNUMBER(X239)),ROUND(X234-X239,1),"")</f>
        <v>0.2</v>
      </c>
      <c r="Y240" s="20" t="n">
        <f aca="false">IF(AND(ISNUMBER(Y234),ISNUMBER(Y239)),ROUND(Y234-Y239,1),"")</f>
        <v>-0.3</v>
      </c>
      <c r="Z240" s="20" t="n">
        <f aca="false">IF(AND(ISNUMBER(Z234),ISNUMBER(Z239)),ROUND(Z234-Z239,1),"")</f>
        <v>0.3</v>
      </c>
      <c r="AA240" s="20" t="n">
        <f aca="false">IF(AND(ISNUMBER(AA234),ISNUMBER(AA239)),ROUND(AA234-AA239,1),"")</f>
        <v>0.1</v>
      </c>
      <c r="AB240" s="20" t="n">
        <f aca="false">IF(AND(ISNUMBER(AB234),ISNUMBER(AB239)),ROUND(AB234-AB239,1),"")</f>
        <v>-0.1</v>
      </c>
      <c r="AC240" s="20" t="n">
        <f aca="false">IF(AND(ISNUMBER(AC234),ISNUMBER(AC239)),ROUND(AC234-AC239,1),"")</f>
        <v>0.2</v>
      </c>
      <c r="AD240" s="20" t="n">
        <f aca="false">IF(AND(ISNUMBER(AD234),ISNUMBER(AD239)),ROUND(AD234-AD239,1),"")</f>
        <v>-0.1</v>
      </c>
      <c r="AE240" s="20" t="n">
        <f aca="false">IF(AND(ISNUMBER(AE234),ISNUMBER(AE239)),ROUND(AE234-AE239,1),"")</f>
        <v>0.2</v>
      </c>
      <c r="AF240" s="20" t="n">
        <f aca="false">IF(AND(ISNUMBER(AF234),ISNUMBER(AF239)),ROUND(AF234-AF239,1),"")</f>
        <v>0.4</v>
      </c>
      <c r="AG240" s="20" t="n">
        <f aca="false">IF(AND(ISNUMBER(AG234),ISNUMBER(AG239)),ROUND(AG234-AG239,1),"")</f>
        <v>0.2</v>
      </c>
      <c r="AH240" s="20" t="n">
        <f aca="false">IF(AND(ISNUMBER(AH234),ISNUMBER(AH239)),ROUND(AH234-AH239,1),"")</f>
        <v>-0.3</v>
      </c>
      <c r="AI240" s="20" t="n">
        <f aca="false">IF(AND(ISNUMBER(AI234),ISNUMBER(AI239)),ROUND(AI234-AI239,1),"")</f>
        <v>0</v>
      </c>
      <c r="AJ240" s="20" t="n">
        <f aca="false">IF(AND(ISNUMBER(AJ234),ISNUMBER(AJ239)),ROUND(AJ234-AJ239,1),"")</f>
        <v>0.2</v>
      </c>
      <c r="AK240" s="20" t="n">
        <f aca="false">IF(AND(ISNUMBER(AK234),ISNUMBER(AK239)),ROUND(AK234-AK239,1),"")</f>
        <v>0</v>
      </c>
      <c r="AL240" s="20" t="n">
        <f aca="false">IF(AND(ISNUMBER(AL234),ISNUMBER(AL239)),ROUND(AL234-AL239,1),"")</f>
        <v>-0</v>
      </c>
      <c r="AM240" s="20" t="n">
        <f aca="false">IF(AND(ISNUMBER(AM234),ISNUMBER(AM239)),ROUND(AM234-AM239,1),"")</f>
        <v>0.3</v>
      </c>
      <c r="AN240" s="20" t="n">
        <f aca="false">IF(AND(ISNUMBER(AN234),ISNUMBER(AN239)),ROUND(AN234-AN239,1),"")</f>
        <v>0</v>
      </c>
      <c r="AO240" s="20" t="n">
        <f aca="false">IF(AND(ISNUMBER(AO234),ISNUMBER(AO239)),ROUND(AO234-AO239,1),"")</f>
        <v>-0.1</v>
      </c>
      <c r="AP240" s="20" t="n">
        <f aca="false">IF(AND(ISNUMBER(AP234),ISNUMBER(AP239)),ROUND(AP234-AP239,1),"")</f>
        <v>-0.2</v>
      </c>
      <c r="AQ240" s="20" t="n">
        <f aca="false">IF(AND(ISNUMBER(AQ234),ISNUMBER(AQ239)),ROUND(AQ234-AQ239,1),"")</f>
        <v>-0.3</v>
      </c>
      <c r="AR240" s="20" t="n">
        <f aca="false">IF(AND(ISNUMBER(AR234),ISNUMBER(AR239)),ROUND(AR234-AR239,1),"")</f>
        <v>0</v>
      </c>
      <c r="AS240" s="20" t="n">
        <f aca="false">IF(AND(ISNUMBER(AS234),ISNUMBER(AS239)),ROUND(AS234-AS239,1),"")</f>
        <v>0.3</v>
      </c>
      <c r="AT240" s="20" t="n">
        <f aca="false">IF(AND(ISNUMBER(AT234),ISNUMBER(AT239)),ROUND(AT234-AT239,1),"")</f>
        <v>-0.3</v>
      </c>
      <c r="AU240" s="20" t="n">
        <f aca="false">IF(AND(ISNUMBER(AU234),ISNUMBER(AU239)),ROUND(AU234-AU239,1),"")</f>
        <v>0.2</v>
      </c>
      <c r="AV240" s="20" t="n">
        <f aca="false">IF(AND(ISNUMBER(AV234),ISNUMBER(AV239)),ROUND(AV234-AV239,1),"")</f>
        <v>-0.2</v>
      </c>
      <c r="AW240" s="20" t="n">
        <f aca="false">IF(AND(ISNUMBER(AW234),ISNUMBER(AW239)),ROUND(AW234-AW239,1),"")</f>
        <v>-0.1</v>
      </c>
      <c r="AX240" s="20" t="n">
        <f aca="false">IF(AND(ISNUMBER(AX234),ISNUMBER(AX239)),ROUND(AX234-AX239,1),"")</f>
        <v>0.2</v>
      </c>
      <c r="AY240" s="20" t="n">
        <f aca="false">IF(AND(ISNUMBER(AY234),ISNUMBER(AY239)),ROUND(AY234-AY239,1),"")</f>
        <v>0.3</v>
      </c>
      <c r="AZ240" s="20" t="n">
        <f aca="false">IF(AND(ISNUMBER(AZ234),ISNUMBER(AZ239)),ROUND(AZ234-AZ239,1),"")</f>
        <v>0.1</v>
      </c>
      <c r="BA240" s="20" t="n">
        <f aca="false">IF(AND(ISNUMBER(BA234),ISNUMBER(BA239)),ROUND(BA234-BA239,1),"")</f>
        <v>0</v>
      </c>
      <c r="BB240" s="20" t="n">
        <f aca="false">IF(AND(ISNUMBER(BB234),ISNUMBER(BB239)),ROUND(BB234-BB239,1),"")</f>
        <v>-0.4</v>
      </c>
      <c r="BC240" s="20" t="n">
        <f aca="false">IF(AND(ISNUMBER(BC234),ISNUMBER(BC239)),ROUND(BC234-BC239,1),"")</f>
        <v>0.1</v>
      </c>
      <c r="BD240" s="20" t="n">
        <f aca="false">IF(AND(ISNUMBER(BD234),ISNUMBER(BD239)),ROUND(BD234-BD239,1),"")</f>
        <v>-0</v>
      </c>
      <c r="BE240" s="20" t="n">
        <f aca="false">IF(AND(ISNUMBER(BE234),ISNUMBER(BE239)),ROUND(BE234-BE239,1),"")</f>
        <v>-0.3</v>
      </c>
      <c r="BF240" s="20" t="n">
        <f aca="false">IF(AND(ISNUMBER(BF234),ISNUMBER(BF239)),ROUND(BF234-BF239,1),"")</f>
        <v>-0.2</v>
      </c>
      <c r="BG240" s="20" t="n">
        <f aca="false">IF(AND(ISNUMBER(BG234),ISNUMBER(BG239)),ROUND(BG234-BG239,1),"")</f>
        <v>-0.4</v>
      </c>
      <c r="BH240" s="20" t="n">
        <f aca="false">IF(AND(ISNUMBER(BH234),ISNUMBER(BH239)),ROUND(BH234-BH239,1),"")</f>
        <v>-0.4</v>
      </c>
      <c r="BI240" s="20" t="n">
        <f aca="false">IF(AND(ISNUMBER(BI234),ISNUMBER(BI239)),ROUND(BI234-BI239,1),"")</f>
        <v>0.4</v>
      </c>
      <c r="BJ240" s="20" t="n">
        <f aca="false">IF(AND(ISNUMBER(BJ234),ISNUMBER(BJ239)),ROUND(BJ234-BJ239,1),"")</f>
        <v>0.2</v>
      </c>
      <c r="BK240" s="20" t="n">
        <f aca="false">IF(AND(ISNUMBER(BK234),ISNUMBER(BK239)),ROUND(BK234-BK239,1),"")</f>
        <v>0.1</v>
      </c>
      <c r="BL240" s="20" t="n">
        <f aca="false">IF(AND(ISNUMBER(BL234),ISNUMBER(BL239)),ROUND(BL234-BL239,1),"")</f>
        <v>0.3</v>
      </c>
      <c r="BM240" s="20" t="n">
        <f aca="false">IF(AND(ISNUMBER(BM234),ISNUMBER(BM239)),ROUND(BM234-BM239,1),"")</f>
        <v>0.2</v>
      </c>
      <c r="BN240" s="20" t="n">
        <f aca="false">IF(AND(ISNUMBER(BN234),ISNUMBER(BN239)),ROUND(BN234-BN239,1),"")</f>
        <v>-0.1</v>
      </c>
      <c r="BO240" s="36"/>
      <c r="BP240" s="36"/>
      <c r="BQ240" s="36"/>
      <c r="BR240" s="36"/>
      <c r="BS240" s="36"/>
      <c r="BT240" s="36"/>
      <c r="BU240" s="36"/>
      <c r="BV240" s="15"/>
    </row>
    <row r="241" customFormat="false" ht="15" hidden="false" customHeight="false" outlineLevel="0" collapsed="false">
      <c r="B241" s="13"/>
      <c r="BO241" s="14"/>
      <c r="BP241" s="14"/>
      <c r="BQ241" s="14"/>
      <c r="BR241" s="14"/>
      <c r="BS241" s="14"/>
      <c r="BT241" s="14"/>
      <c r="BU241" s="14"/>
      <c r="BV241" s="15"/>
    </row>
    <row r="242" customFormat="false" ht="15" hidden="false" customHeight="false" outlineLevel="0" collapsed="false">
      <c r="B242" s="9" t="s">
        <v>414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 t="s">
        <v>415</v>
      </c>
    </row>
    <row r="243" customFormat="false" ht="15" hidden="false" customHeight="false" outlineLevel="0" collapsed="false">
      <c r="B243" s="13" t="s">
        <v>118</v>
      </c>
      <c r="C243" s="34"/>
      <c r="D243" s="37" t="n">
        <f aca="false">IF(AND(ISNUMBER(D157),ISNUMBER(C157)),IFERROR(D157/C157-1,""),"")</f>
        <v>0.0156277907941877</v>
      </c>
      <c r="E243" s="34"/>
      <c r="F243" s="34"/>
      <c r="G243" s="34"/>
      <c r="H243" s="34"/>
      <c r="I243" s="37" t="n">
        <f aca="false">IF(AND(ISNUMBER(I157),ISNUMBER(D157)),IFERROR(I157/D157-1,""),"")</f>
        <v>-0.0621033799864612</v>
      </c>
      <c r="J243" s="37" t="n">
        <f aca="false">IF(AND(ISNUMBER(J157),ISNUMBER(E157)),IFERROR(J157/E157-1,""),"")</f>
        <v>-0.0560751344902875</v>
      </c>
      <c r="K243" s="37" t="n">
        <f aca="false">IF(AND(ISNUMBER(K157),ISNUMBER(F157)),IFERROR(K157/F157-1,""),"")</f>
        <v>-0.0147673854031031</v>
      </c>
      <c r="L243" s="37" t="n">
        <f aca="false">IF(AND(ISNUMBER(L157),ISNUMBER(G157)),IFERROR(L157/G157-1,""),"")</f>
        <v>0.0640814342289362</v>
      </c>
      <c r="M243" s="37" t="n">
        <f aca="false">IF(AND(ISNUMBER(M157),ISNUMBER(H157)),IFERROR(M157/H157-1,""),"")</f>
        <v>-0.0794629623071981</v>
      </c>
      <c r="N243" s="37" t="n">
        <f aca="false">IF(AND(ISNUMBER(N157),ISNUMBER(I157)),IFERROR(N157/I157-1,""),"")</f>
        <v>-0.024183619304982</v>
      </c>
      <c r="O243" s="37" t="n">
        <f aca="false">IF(AND(ISNUMBER(O157),ISNUMBER(J157)),IFERROR(O157/J157-1,""),"")</f>
        <v>0.0874552142265253</v>
      </c>
      <c r="P243" s="37" t="n">
        <f aca="false">IF(AND(ISNUMBER(P157),ISNUMBER(K157)),IFERROR(P157/K157-1,""),"")</f>
        <v>0.12669438727652</v>
      </c>
      <c r="Q243" s="37" t="n">
        <f aca="false">IF(AND(ISNUMBER(Q157),ISNUMBER(L157)),IFERROR(Q157/L157-1,""),"")</f>
        <v>0.0572053374933839</v>
      </c>
      <c r="R243" s="37" t="n">
        <f aca="false">IF(AND(ISNUMBER(R157),ISNUMBER(M157)),IFERROR(R157/M157-1,""),"")</f>
        <v>0.109694508405278</v>
      </c>
      <c r="S243" s="37" t="n">
        <f aca="false">IF(AND(ISNUMBER(S157),ISNUMBER(N157)),IFERROR(S157/N157-1,""),"")</f>
        <v>0.0954017897196031</v>
      </c>
      <c r="T243" s="37" t="n">
        <f aca="false">IF(AND(ISNUMBER(T157),ISNUMBER(O157)),IFERROR(T157/O157-1,""),"")</f>
        <v>0.173789697006244</v>
      </c>
      <c r="U243" s="37" t="n">
        <f aca="false">IF(AND(ISNUMBER(U157),ISNUMBER(P157)),IFERROR(U157/P157-1,""),"")</f>
        <v>0.0189595956081534</v>
      </c>
      <c r="V243" s="37" t="n">
        <f aca="false">IF(AND(ISNUMBER(V157),ISNUMBER(Q157)),IFERROR(V157/Q157-1,""),"")</f>
        <v>0.10501837920449</v>
      </c>
      <c r="W243" s="37" t="n">
        <f aca="false">IF(AND(ISNUMBER(W157),ISNUMBER(R157)),IFERROR(W157/R157-1,""),"")</f>
        <v>0.0650671024612488</v>
      </c>
      <c r="X243" s="37" t="n">
        <f aca="false">IF(AND(ISNUMBER(X157),ISNUMBER(S157)),IFERROR(X157/S157-1,""),"")</f>
        <v>0.0884608464096821</v>
      </c>
      <c r="Y243" s="37" t="n">
        <f aca="false">IF(AND(ISNUMBER(Y157),ISNUMBER(T157)),IFERROR(Y157/T157-1,""),"")</f>
        <v>0.0682672121691899</v>
      </c>
      <c r="Z243" s="37" t="n">
        <f aca="false">IF(AND(ISNUMBER(Z157),ISNUMBER(U157)),IFERROR(Z157/U157-1,""),"")</f>
        <v>0.0705103033821044</v>
      </c>
      <c r="AA243" s="37" t="n">
        <f aca="false">IF(AND(ISNUMBER(AA157),ISNUMBER(V157)),IFERROR(AA157/V157-1,""),"")</f>
        <v>0.0146580503624572</v>
      </c>
      <c r="AB243" s="37" t="n">
        <f aca="false">IF(AND(ISNUMBER(AB157),ISNUMBER(W157)),IFERROR(AB157/W157-1,""),"")</f>
        <v>0.111266616760203</v>
      </c>
      <c r="AC243" s="37" t="n">
        <f aca="false">IF(AND(ISNUMBER(AC157),ISNUMBER(X157)),IFERROR(AC157/X157-1,""),"")</f>
        <v>0.0664504798730607</v>
      </c>
      <c r="AD243" s="37" t="n">
        <f aca="false">IF(AND(ISNUMBER(AD157),ISNUMBER(Y157)),IFERROR(AD157/Y157-1,""),"")</f>
        <v>-0.0896444084002422</v>
      </c>
      <c r="AE243" s="37" t="n">
        <f aca="false">IF(AND(ISNUMBER(AE157),ISNUMBER(Z157)),IFERROR(AE157/Z157-1,""),"")</f>
        <v>0.0736123357050587</v>
      </c>
      <c r="AF243" s="37" t="n">
        <f aca="false">IF(AND(ISNUMBER(AF157),ISNUMBER(AA157)),IFERROR(AF157/AA157-1,""),"")</f>
        <v>0.189169625881595</v>
      </c>
      <c r="AG243" s="37" t="n">
        <f aca="false">IF(AND(ISNUMBER(AG157),ISNUMBER(AB157)),IFERROR(AG157/AB157-1,""),"")</f>
        <v>0.0486131741136993</v>
      </c>
      <c r="AH243" s="37" t="n">
        <f aca="false">IF(AND(ISNUMBER(AH157),ISNUMBER(AC157)),IFERROR(AH157/AC157-1,""),"")</f>
        <v>0.0527982558924469</v>
      </c>
      <c r="AI243" s="37" t="n">
        <f aca="false">IF(AND(ISNUMBER(AI157),ISNUMBER(AD157)),IFERROR(AI157/AD157-1,""),"")</f>
        <v>0.301963722283854</v>
      </c>
      <c r="AJ243" s="37" t="n">
        <f aca="false">IF(AND(ISNUMBER(AJ157),ISNUMBER(AE157)),IFERROR(AJ157/AE157-1,""),"")</f>
        <v>0.0706426359895678</v>
      </c>
      <c r="AK243" s="37" t="n">
        <f aca="false">IF(AND(ISNUMBER(AK157),ISNUMBER(AF157)),IFERROR(AK157/AF157-1,""),"")</f>
        <v>0.0274268774703559</v>
      </c>
      <c r="AL243" s="37" t="n">
        <f aca="false">IF(AND(ISNUMBER(AL157),ISNUMBER(AG157)),IFERROR(AL157/AG157-1,""),"")</f>
        <v>0.111075643161391</v>
      </c>
      <c r="AM243" s="37" t="n">
        <f aca="false">IF(AND(ISNUMBER(AM157),ISNUMBER(AH157)),IFERROR(AM157/AH157-1,""),"")</f>
        <v>0.120636227386908</v>
      </c>
      <c r="AN243" s="37" t="n">
        <f aca="false">IF(AND(ISNUMBER(AN157),ISNUMBER(AI157)),IFERROR(AN157/AI157-1,""),"")</f>
        <v>-0.0257004691926345</v>
      </c>
      <c r="AO243" s="37" t="n">
        <f aca="false">IF(AND(ISNUMBER(AO157),ISNUMBER(AJ157)),IFERROR(AO157/AJ157-1,""),"")</f>
        <v>0.00114762546578917</v>
      </c>
      <c r="AP243" s="37" t="n">
        <f aca="false">IF(AND(ISNUMBER(AP157),ISNUMBER(AK157)),IFERROR(AP157/AK157-1,""),"")</f>
        <v>-0.0406845452202249</v>
      </c>
      <c r="AQ243" s="37" t="n">
        <f aca="false">IF(AND(ISNUMBER(AQ157),ISNUMBER(AL157)),IFERROR(AQ157/AL157-1,""),"")</f>
        <v>0.0629634949991922</v>
      </c>
      <c r="AR243" s="37" t="n">
        <f aca="false">IF(AND(ISNUMBER(AR157),ISNUMBER(AM157)),IFERROR(AR157/AM157-1,""),"")</f>
        <v>0.000262771742713497</v>
      </c>
      <c r="AS243" s="37" t="n">
        <f aca="false">IF(AND(ISNUMBER(AS157),ISNUMBER(AN157)),IFERROR(AS157/AN157-1,""),"")</f>
        <v>0.00466614799544929</v>
      </c>
      <c r="AT243" s="37" t="n">
        <f aca="false">IF(AND(ISNUMBER(AT157),ISNUMBER(AO157)),IFERROR(AT157/AO157-1,""),"")</f>
        <v>0.0972264843129762</v>
      </c>
      <c r="AU243" s="37" t="n">
        <f aca="false">IF(AND(ISNUMBER(AU157),ISNUMBER(AP157)),IFERROR(AU157/AP157-1,""),"")</f>
        <v>0.0500955432531225</v>
      </c>
      <c r="AV243" s="37" t="n">
        <f aca="false">IF(AND(ISNUMBER(AV157),ISNUMBER(AQ157)),IFERROR(AV157/AQ157-1,""),"")</f>
        <v>0.0543975674648423</v>
      </c>
      <c r="AW243" s="37" t="n">
        <f aca="false">IF(AND(ISNUMBER(AW157),ISNUMBER(AR157)),IFERROR(AW157/AR157-1,""),"")</f>
        <v>0.051203489143975</v>
      </c>
      <c r="AX243" s="37" t="n">
        <f aca="false">IF(AND(ISNUMBER(AX157),ISNUMBER(AS157)),IFERROR(AX157/AS157-1,""),"")</f>
        <v>0.070886199970607</v>
      </c>
      <c r="AY243" s="37" t="n">
        <f aca="false">IF(AND(ISNUMBER(AY157),ISNUMBER(AT157)),IFERROR(AY157/AT157-1,""),"")</f>
        <v>0.105081485651597</v>
      </c>
      <c r="AZ243" s="37" t="n">
        <f aca="false">IF(AND(ISNUMBER(AZ157),ISNUMBER(AU157)),IFERROR(AZ157/AU157-1,""),"")</f>
        <v>0.126554531029518</v>
      </c>
      <c r="BA243" s="37" t="n">
        <f aca="false">IF(AND(ISNUMBER(BA157),ISNUMBER(AV157)),IFERROR(BA157/AV157-1,""),"")</f>
        <v>0.162354588522166</v>
      </c>
      <c r="BB243" s="37" t="n">
        <f aca="false">IF(AND(ISNUMBER(BB157),ISNUMBER(AW157)),IFERROR(BB157/AW157-1,""),"")</f>
        <v>0.118000263342461</v>
      </c>
      <c r="BC243" s="37" t="n">
        <f aca="false">IF(AND(ISNUMBER(BC157),ISNUMBER(AX157)),IFERROR(BC157/AX157-1,""),"")</f>
        <v>0.0626469139277923</v>
      </c>
      <c r="BD243" s="37" t="n">
        <f aca="false">IF(AND(ISNUMBER(BD157),ISNUMBER(AY157)),IFERROR(BD157/AY157-1,""),"")</f>
        <v>0.112695833911616</v>
      </c>
      <c r="BE243" s="37" t="n">
        <f aca="false">IF(AND(ISNUMBER(BE157),ISNUMBER(AZ157)),IFERROR(BE157/AZ157-1,""),"")</f>
        <v>0.138929708858979</v>
      </c>
      <c r="BF243" s="37" t="n">
        <f aca="false">IF(AND(ISNUMBER(BF157),ISNUMBER(BA157)),IFERROR(BF157/BA157-1,""),"")</f>
        <v>0.0286031301902787</v>
      </c>
      <c r="BG243" s="37" t="n">
        <f aca="false">IF(AND(ISNUMBER(BG157),ISNUMBER(BB157)),IFERROR(BG157/BB157-1,""),"")</f>
        <v>0.0830606307151878</v>
      </c>
      <c r="BH243" s="37" t="n">
        <f aca="false">IF(AND(ISNUMBER(BH157),ISNUMBER(BC157)),IFERROR(BH157/BC157-1,""),"")</f>
        <v>0.129629813598779</v>
      </c>
      <c r="BI243" s="37" t="n">
        <f aca="false">IF(AND(ISNUMBER(BI157),ISNUMBER(BD157)),IFERROR(BI157/BD157-1,""),"")</f>
        <v>0.121171300066768</v>
      </c>
      <c r="BJ243" s="37" t="n">
        <f aca="false">IF(AND(ISNUMBER(BJ157),ISNUMBER(BE157)),IFERROR(BJ157/BE157-1,""),"")</f>
        <v>0.289200483364982</v>
      </c>
      <c r="BK243" s="37" t="n">
        <f aca="false">IF(AND(ISNUMBER(BK157),ISNUMBER(BF157)),IFERROR(BK157/BF157-1,""),"")</f>
        <v>0.187030915208632</v>
      </c>
      <c r="BL243" s="37" t="n">
        <f aca="false">IF(AND(ISNUMBER(BL157),ISNUMBER(BG157)),IFERROR(BL157/BG157-1,""),"")</f>
        <v>0.183000857358227</v>
      </c>
      <c r="BM243" s="37" t="n">
        <f aca="false">IF(AND(ISNUMBER(BM157),ISNUMBER(BH157)),IFERROR(BM157/BH157-1,""),"")</f>
        <v>0.260838275256574</v>
      </c>
      <c r="BN243" s="37" t="n">
        <f aca="false">IF(AND(ISNUMBER(BN157),ISNUMBER(BI157)),IFERROR(BN157/BI157-1,""),"")</f>
        <v>0.180077195012297</v>
      </c>
      <c r="BO243" s="35" t="n">
        <f aca="false">IF(AND(ISNUMBER(BO157),ISNUMBER(BJ157)),IFERROR(BO157/BJ157-1,""),"")</f>
        <v>0.157400885707963</v>
      </c>
      <c r="BP243" s="35" t="n">
        <f aca="false">IF(AND(ISNUMBER(BP157),ISNUMBER(BK157)),IFERROR(BP157/BK157-1,""),"")</f>
        <v>0.168964461296249</v>
      </c>
      <c r="BQ243" s="35" t="n">
        <f aca="false">IF(AND(ISNUMBER(BQ157),ISNUMBER(BL157)),IFERROR(BQ157/BL157-1,""),"")</f>
        <v>0.188084760468043</v>
      </c>
      <c r="BR243" s="35" t="n">
        <f aca="false">IF(AND(ISNUMBER(BR157),ISNUMBER(BQ157)),IFERROR(BR157/BQ157-1,""),"")</f>
        <v>0.095577088620012</v>
      </c>
      <c r="BS243" s="35" t="n">
        <f aca="false">IF(AND(ISNUMBER(BS157),ISNUMBER(BR157)),IFERROR(BS157/BR157-1,""),"")</f>
        <v>0.10080878872226</v>
      </c>
      <c r="BT243" s="35" t="n">
        <f aca="false">IF(AND(ISNUMBER(BT157),ISNUMBER(BS157)),IFERROR(BT157/BS157-1,""),"")</f>
        <v>0.109256230649841</v>
      </c>
      <c r="BU243" s="35" t="n">
        <f aca="false">IF(AND(ISNUMBER(BU157),ISNUMBER(BT157)),IFERROR(BU157/BT157-1,""),"")</f>
        <v>0.104696691495974</v>
      </c>
      <c r="BV243" s="15"/>
      <c r="BX243" s="38" t="n">
        <f aca="false">IFERROR(AVERAGE(BQ243,BR243,BS243,BT243,BU243),"n/m")</f>
        <v>0.119684711991226</v>
      </c>
      <c r="BY243" s="38" t="n">
        <f aca="false">IFERROR(AVERAGE(AR243,AW243,BB243,BG243,BL243),"n/m")</f>
        <v>0.0871056024605128</v>
      </c>
      <c r="BZ243" s="38" t="n">
        <f aca="false">IFERROR(AVERAGE(S243,X243,AC243,AH243,AM243,AR243,AW243,BB243,BG243,BL243),"n/m")</f>
        <v>0.0859275611584265</v>
      </c>
      <c r="CA243" s="38" t="n">
        <f aca="false">IFERROR(AVERAGE(D243,I243,N243,S243,X243,AC243,AH243,AM243,AR243,AW243,BB243,BG243,BL243),"n/m")</f>
        <v>0.0606628002374623</v>
      </c>
    </row>
    <row r="244" customFormat="false" ht="15" hidden="false" customHeight="false" outlineLevel="0" collapsed="false">
      <c r="B244" s="13" t="s">
        <v>416</v>
      </c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7" t="n">
        <f aca="false">AS17</f>
        <v>0.0200862323548521</v>
      </c>
      <c r="AT244" s="37" t="n">
        <f aca="false">AT17</f>
        <v>0.0765480385798167</v>
      </c>
      <c r="AU244" s="37" t="n">
        <f aca="false">AU17</f>
        <v>0.0129021740954454</v>
      </c>
      <c r="AV244" s="37" t="n">
        <f aca="false">AV17</f>
        <v>0.0802652832094428</v>
      </c>
      <c r="AW244" s="37" t="n">
        <f aca="false">AW17</f>
        <v>0.048336992064794</v>
      </c>
      <c r="AX244" s="37" t="n">
        <f aca="false">AX17</f>
        <v>0.0651007348700834</v>
      </c>
      <c r="AY244" s="37" t="n">
        <f aca="false">AY17</f>
        <v>0.126976636573761</v>
      </c>
      <c r="AZ244" s="37" t="n">
        <f aca="false">AZ17</f>
        <v>0.130961538006395</v>
      </c>
      <c r="BA244" s="37" t="n">
        <f aca="false">BA17</f>
        <v>0.162235727753222</v>
      </c>
      <c r="BB244" s="37" t="n">
        <f aca="false">BB17</f>
        <v>0.123227036140235</v>
      </c>
      <c r="BC244" s="37" t="n">
        <f aca="false">BC17</f>
        <v>0.0592211982969693</v>
      </c>
      <c r="BD244" s="37" t="n">
        <f aca="false">BD17</f>
        <v>0.0993542249785047</v>
      </c>
      <c r="BE244" s="37" t="n">
        <f aca="false">BE17</f>
        <v>0.172056376934426</v>
      </c>
      <c r="BF244" s="37" t="n">
        <f aca="false">BF17</f>
        <v>-0.011018418327574</v>
      </c>
      <c r="BG244" s="37" t="n">
        <f aca="false">BG17</f>
        <v>0.074681355186264</v>
      </c>
      <c r="BH244" s="37" t="n">
        <f aca="false">BH17</f>
        <v>0.139934431075647</v>
      </c>
      <c r="BI244" s="37" t="n">
        <f aca="false">BI17</f>
        <v>0.0889587793937645</v>
      </c>
      <c r="BJ244" s="37" t="n">
        <f aca="false">BJ17</f>
        <v>0.101101106462907</v>
      </c>
      <c r="BK244" s="37" t="n">
        <f aca="false">BK17</f>
        <v>-0.00983697478991585</v>
      </c>
      <c r="BL244" s="37" t="n">
        <f aca="false">BL17</f>
        <v>0.0765217311638817</v>
      </c>
      <c r="BM244" s="37" t="n">
        <f aca="false">BM17</f>
        <v>0.040726760624255</v>
      </c>
      <c r="BN244" s="37" t="n">
        <f aca="false">BN17</f>
        <v>0.020938639192202</v>
      </c>
      <c r="BO244" s="35" t="n">
        <f aca="false">BO17</f>
        <v>0.0388719228305078</v>
      </c>
      <c r="BP244" s="35" t="n">
        <f aca="false">BP17</f>
        <v>0.0388719228305078</v>
      </c>
      <c r="BQ244" s="35" t="n">
        <f aca="false">BQ17</f>
        <v>0.0348154644773737</v>
      </c>
      <c r="BR244" s="35" t="n">
        <f aca="false">BR17</f>
        <v>0.08</v>
      </c>
      <c r="BS244" s="35" t="n">
        <f aca="false">BS17</f>
        <v>0.08</v>
      </c>
      <c r="BT244" s="35" t="n">
        <f aca="false">BT17</f>
        <v>0.07</v>
      </c>
      <c r="BU244" s="35" t="n">
        <f aca="false">BU17</f>
        <v>0.07</v>
      </c>
      <c r="BV244" s="15"/>
    </row>
    <row r="245" customFormat="false" ht="15" hidden="false" customHeight="false" outlineLevel="0" collapsed="false">
      <c r="B245" s="13" t="s">
        <v>417</v>
      </c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7" t="n">
        <f aca="false">AS41</f>
        <v>-0.0693495223374736</v>
      </c>
      <c r="AT245" s="37" t="n">
        <f aca="false">AT41</f>
        <v>0.163783115021308</v>
      </c>
      <c r="AU245" s="37" t="n">
        <f aca="false">AU41</f>
        <v>0.220815044014296</v>
      </c>
      <c r="AV245" s="37" t="n">
        <f aca="false">AV41</f>
        <v>-0.064371832954744</v>
      </c>
      <c r="AW245" s="37" t="n">
        <f aca="false">AW41</f>
        <v>0.0498081467615861</v>
      </c>
      <c r="AX245" s="37" t="n">
        <f aca="false">AX41</f>
        <v>0.0897848924462232</v>
      </c>
      <c r="AY245" s="37" t="n">
        <f aca="false">AY41</f>
        <v>0.0202325306694116</v>
      </c>
      <c r="AZ245" s="37" t="n">
        <f aca="false">AZ41</f>
        <v>0.103788042517241</v>
      </c>
      <c r="BA245" s="37" t="n">
        <f aca="false">BA41</f>
        <v>0.159199566727674</v>
      </c>
      <c r="BB245" s="37" t="n">
        <f aca="false">BB41</f>
        <v>0.091225623481952</v>
      </c>
      <c r="BC245" s="37" t="n">
        <f aca="false">BC41</f>
        <v>0.0744923065623737</v>
      </c>
      <c r="BD245" s="37" t="n">
        <f aca="false">BD41</f>
        <v>0.170120740985776</v>
      </c>
      <c r="BE245" s="37" t="n">
        <f aca="false">BE41</f>
        <v>0.00670173283849085</v>
      </c>
      <c r="BF245" s="37" t="n">
        <f aca="false">BF41</f>
        <v>0.227080497176597</v>
      </c>
      <c r="BG245" s="37" t="n">
        <f aca="false">BG41</f>
        <v>0.12357401403256</v>
      </c>
      <c r="BH245" s="37" t="n">
        <f aca="false">BH41</f>
        <v>0.0963105999760763</v>
      </c>
      <c r="BI245" s="37" t="n">
        <f aca="false">BI41</f>
        <v>0.244877766076994</v>
      </c>
      <c r="BJ245" s="37" t="n">
        <f aca="false">BJ41</f>
        <v>1.21878315298112</v>
      </c>
      <c r="BK245" s="37" t="n">
        <f aca="false">BK41</f>
        <v>0.953968660351471</v>
      </c>
      <c r="BL245" s="37" t="n">
        <f aca="false">BL41</f>
        <v>0.628083180017253</v>
      </c>
      <c r="BM245" s="37" t="n">
        <f aca="false">BM41</f>
        <v>1.21062271062271</v>
      </c>
      <c r="BN245" s="37" t="n">
        <f aca="false">BN41</f>
        <v>0.7174617773463</v>
      </c>
      <c r="BO245" s="35" t="n">
        <f aca="false">BO41</f>
        <v>0.308330386708436</v>
      </c>
      <c r="BP245" s="35" t="n">
        <f aca="false">BP41</f>
        <v>0.308330386708436</v>
      </c>
      <c r="BQ245" s="35" t="n">
        <f aca="false">BQ41</f>
        <v>0.610576535438322</v>
      </c>
      <c r="BR245" s="35" t="n">
        <f aca="false">BR41</f>
        <v>0.122742514787853</v>
      </c>
      <c r="BS245" s="35" t="n">
        <f aca="false">BS41</f>
        <v>0.11154692094297</v>
      </c>
      <c r="BT245" s="35" t="n">
        <f aca="false">BT41</f>
        <v>0.128975787490768</v>
      </c>
      <c r="BU245" s="35" t="n">
        <f aca="false">BU41</f>
        <v>0.12</v>
      </c>
      <c r="BV245" s="15"/>
    </row>
    <row r="246" customFormat="false" ht="15" hidden="false" customHeight="false" outlineLevel="0" collapsed="false">
      <c r="B246" s="13" t="s">
        <v>418</v>
      </c>
      <c r="C246" s="34"/>
      <c r="D246" s="37" t="str">
        <f aca="false">IF(AND(ISNUMBER(D110),ISNUMBER(C110)),IFERROR(D110/C110-1,""),"")</f>
        <v/>
      </c>
      <c r="E246" s="34"/>
      <c r="F246" s="34"/>
      <c r="G246" s="34"/>
      <c r="H246" s="34"/>
      <c r="I246" s="37" t="str">
        <f aca="false">IF(AND(ISNUMBER(I110),ISNUMBER(D110)),IFERROR(I110/D110-1,""),"")</f>
        <v/>
      </c>
      <c r="J246" s="37" t="str">
        <f aca="false">IF(AND(ISNUMBER(J110),ISNUMBER(E110)),IFERROR(J110/E110-1,""),"")</f>
        <v/>
      </c>
      <c r="K246" s="37" t="n">
        <f aca="false">IF(AND(ISNUMBER(K110),ISNUMBER(F110)),IFERROR(K110/F110-1,""),"")</f>
        <v>0.0744828581801651</v>
      </c>
      <c r="L246" s="37" t="n">
        <f aca="false">IF(AND(ISNUMBER(L110),ISNUMBER(G110)),IFERROR(L110/G110-1,""),"")</f>
        <v>0.0547336274944166</v>
      </c>
      <c r="M246" s="37" t="n">
        <f aca="false">IF(AND(ISNUMBER(M110),ISNUMBER(H110)),IFERROR(M110/H110-1,""),"")</f>
        <v>-0.129833740789552</v>
      </c>
      <c r="N246" s="37" t="n">
        <f aca="false">IF(AND(ISNUMBER(N110),ISNUMBER(I110)),IFERROR(N110/I110-1,""),"")</f>
        <v>-0.129833740789552</v>
      </c>
      <c r="O246" s="37" t="n">
        <f aca="false">IF(AND(ISNUMBER(O110),ISNUMBER(J110)),IFERROR(O110/J110-1,""),"")</f>
        <v>-0.206424559134422</v>
      </c>
      <c r="P246" s="37" t="n">
        <f aca="false">IF(AND(ISNUMBER(P110),ISNUMBER(K110)),IFERROR(P110/K110-1,""),"")</f>
        <v>0.227477631035409</v>
      </c>
      <c r="Q246" s="37" t="n">
        <f aca="false">IF(AND(ISNUMBER(Q110),ISNUMBER(L110)),IFERROR(Q110/L110-1,""),"")</f>
        <v>0.210109340268588</v>
      </c>
      <c r="R246" s="37" t="n">
        <f aca="false">IF(AND(ISNUMBER(R110),ISNUMBER(M110)),IFERROR(R110/M110-1,""),"")</f>
        <v>0.502772528872334</v>
      </c>
      <c r="S246" s="37" t="n">
        <f aca="false">IF(AND(ISNUMBER(S110),ISNUMBER(N110)),IFERROR(S110/N110-1,""),"")</f>
        <v>0.502772528872334</v>
      </c>
      <c r="T246" s="37" t="n">
        <f aca="false">IF(AND(ISNUMBER(T110),ISNUMBER(O110)),IFERROR(T110/O110-1,""),"")</f>
        <v>0.591266491504386</v>
      </c>
      <c r="U246" s="37" t="n">
        <f aca="false">IF(AND(ISNUMBER(U110),ISNUMBER(P110)),IFERROR(U110/P110-1,""),"")</f>
        <v>0.024765528384094</v>
      </c>
      <c r="V246" s="37" t="n">
        <f aca="false">IF(AND(ISNUMBER(V110),ISNUMBER(Q110)),IFERROR(V110/Q110-1,""),"")</f>
        <v>0.0435331375543009</v>
      </c>
      <c r="W246" s="37" t="n">
        <f aca="false">IF(AND(ISNUMBER(W110),ISNUMBER(R110)),IFERROR(W110/R110-1,""),"")</f>
        <v>-0.00301949894294951</v>
      </c>
      <c r="X246" s="37" t="n">
        <f aca="false">IF(AND(ISNUMBER(X110),ISNUMBER(S110)),IFERROR(X110/S110-1,""),"")</f>
        <v>-0.00301949894294951</v>
      </c>
      <c r="Y246" s="37" t="n">
        <f aca="false">IF(AND(ISNUMBER(Y110),ISNUMBER(T110)),IFERROR(Y110/T110-1,""),"")</f>
        <v>-0.0864081100976891</v>
      </c>
      <c r="Z246" s="37" t="n">
        <f aca="false">IF(AND(ISNUMBER(Z110),ISNUMBER(U110)),IFERROR(Z110/U110-1,""),"")</f>
        <v>-0.0401378118189019</v>
      </c>
      <c r="AA246" s="37" t="n">
        <f aca="false">IF(AND(ISNUMBER(AA110),ISNUMBER(V110)),IFERROR(AA110/V110-1,""),"")</f>
        <v>0.0844668482251658</v>
      </c>
      <c r="AB246" s="37" t="n">
        <f aca="false">IF(AND(ISNUMBER(AB110),ISNUMBER(W110)),IFERROR(AB110/W110-1,""),"")</f>
        <v>-0.123944721833687</v>
      </c>
      <c r="AC246" s="37" t="n">
        <f aca="false">IF(AND(ISNUMBER(AC110),ISNUMBER(X110)),IFERROR(AC110/X110-1,""),"")</f>
        <v>-0.123944721833687</v>
      </c>
      <c r="AD246" s="37" t="n">
        <f aca="false">IF(AND(ISNUMBER(AD110),ISNUMBER(Y110)),IFERROR(AD110/Y110-1,""),"")</f>
        <v>0.347315933914009</v>
      </c>
      <c r="AE246" s="37" t="n">
        <f aca="false">IF(AND(ISNUMBER(AE110),ISNUMBER(Z110)),IFERROR(AE110/Z110-1,""),"")</f>
        <v>0.247008193783066</v>
      </c>
      <c r="AF246" s="37" t="n">
        <f aca="false">IF(AND(ISNUMBER(AF110),ISNUMBER(AA110)),IFERROR(AF110/AA110-1,""),"")</f>
        <v>0.100745892012197</v>
      </c>
      <c r="AG246" s="37" t="n">
        <f aca="false">IF(AND(ISNUMBER(AG110),ISNUMBER(AB110)),IFERROR(AG110/AB110-1,""),"")</f>
        <v>0.520285747139654</v>
      </c>
      <c r="AH246" s="37" t="n">
        <f aca="false">IF(AND(ISNUMBER(AH110),ISNUMBER(AC110)),IFERROR(AH110/AC110-1,""),"")</f>
        <v>0.520285747139654</v>
      </c>
      <c r="AI246" s="37" t="n">
        <f aca="false">IF(AND(ISNUMBER(AI110),ISNUMBER(AD110)),IFERROR(AI110/AD110-1,""),"")</f>
        <v>0.0594898594828113</v>
      </c>
      <c r="AJ246" s="37" t="n">
        <f aca="false">IF(AND(ISNUMBER(AJ110),ISNUMBER(AE110)),IFERROR(AJ110/AE110-1,""),"")</f>
        <v>0.0495941920055725</v>
      </c>
      <c r="AK246" s="37" t="n">
        <f aca="false">IF(AND(ISNUMBER(AK110),ISNUMBER(AF110)),IFERROR(AK110/AF110-1,""),"")</f>
        <v>0.034317918688892</v>
      </c>
      <c r="AL246" s="37" t="n">
        <f aca="false">IF(AND(ISNUMBER(AL110),ISNUMBER(AG110)),IFERROR(AL110/AG110-1,""),"")</f>
        <v>-0.166898681016386</v>
      </c>
      <c r="AM246" s="37" t="n">
        <f aca="false">IF(AND(ISNUMBER(AM110),ISNUMBER(AH110)),IFERROR(AM110/AH110-1,""),"")</f>
        <v>-0.166898681016386</v>
      </c>
      <c r="AN246" s="37" t="n">
        <f aca="false">IF(AND(ISNUMBER(AN110),ISNUMBER(AI110)),IFERROR(AN110/AI110-1,""),"")</f>
        <v>0.016013486359266</v>
      </c>
      <c r="AO246" s="37" t="n">
        <f aca="false">IF(AND(ISNUMBER(AO110),ISNUMBER(AJ110)),IFERROR(AO110/AJ110-1,""),"")</f>
        <v>0.0255205637952765</v>
      </c>
      <c r="AP246" s="37" t="n">
        <f aca="false">IF(AND(ISNUMBER(AP110),ISNUMBER(AK110)),IFERROR(AP110/AK110-1,""),"")</f>
        <v>0.0311753868372473</v>
      </c>
      <c r="AQ246" s="37" t="n">
        <f aca="false">IF(AND(ISNUMBER(AQ110),ISNUMBER(AL110)),IFERROR(AQ110/AL110-1,""),"")</f>
        <v>0.174815721358164</v>
      </c>
      <c r="AR246" s="37" t="n">
        <f aca="false">IF(AND(ISNUMBER(AR110),ISNUMBER(AM110)),IFERROR(AR110/AM110-1,""),"")</f>
        <v>0.174815721358164</v>
      </c>
      <c r="AS246" s="37" t="n">
        <f aca="false">IF(AND(ISNUMBER(AS110),ISNUMBER(AN110)),IFERROR(AS110/AN110-1,""),"")</f>
        <v>-0.0551438091228871</v>
      </c>
      <c r="AT246" s="37" t="n">
        <f aca="false">IF(AND(ISNUMBER(AT110),ISNUMBER(AO110)),IFERROR(AT110/AO110-1,""),"")</f>
        <v>-0.0264657807481624</v>
      </c>
      <c r="AU246" s="37" t="n">
        <f aca="false">IF(AND(ISNUMBER(AU110),ISNUMBER(AP110)),IFERROR(AU110/AP110-1,""),"")</f>
        <v>-0.0404812606710145</v>
      </c>
      <c r="AV246" s="37" t="n">
        <f aca="false">IF(AND(ISNUMBER(AV110),ISNUMBER(AQ110)),IFERROR(AV110/AQ110-1,""),"")</f>
        <v>-0.199327438989992</v>
      </c>
      <c r="AW246" s="37" t="n">
        <f aca="false">IF(AND(ISNUMBER(AW110),ISNUMBER(AR110)),IFERROR(AW110/AR110-1,""),"")</f>
        <v>-0.199327438989992</v>
      </c>
      <c r="AX246" s="37" t="n">
        <f aca="false">IF(AND(ISNUMBER(AX110),ISNUMBER(AS110)),IFERROR(AX110/AS110-1,""),"")</f>
        <v>-0.230730208240768</v>
      </c>
      <c r="AY246" s="37" t="n">
        <f aca="false">IF(AND(ISNUMBER(AY110),ISNUMBER(AT110)),IFERROR(AY110/AT110-1,""),"")</f>
        <v>-0.128317290582792</v>
      </c>
      <c r="AZ246" s="37" t="n">
        <f aca="false">IF(AND(ISNUMBER(AZ110),ISNUMBER(AU110)),IFERROR(AZ110/AU110-1,""),"")</f>
        <v>-0.0782704332252422</v>
      </c>
      <c r="BA246" s="37" t="n">
        <f aca="false">IF(AND(ISNUMBER(BA110),ISNUMBER(AV110)),IFERROR(BA110/AV110-1,""),"")</f>
        <v>-0.0353890032357619</v>
      </c>
      <c r="BB246" s="37" t="n">
        <f aca="false">IF(AND(ISNUMBER(BB110),ISNUMBER(AW110)),IFERROR(BB110/AW110-1,""),"")</f>
        <v>-0.0353890032357619</v>
      </c>
      <c r="BC246" s="37" t="n">
        <f aca="false">IF(AND(ISNUMBER(BC110),ISNUMBER(AX110)),IFERROR(BC110/AX110-1,""),"")</f>
        <v>-0.0367912763258957</v>
      </c>
      <c r="BD246" s="37" t="n">
        <f aca="false">IF(AND(ISNUMBER(BD110),ISNUMBER(AY110)),IFERROR(BD110/AY110-1,""),"")</f>
        <v>-0.141124479643837</v>
      </c>
      <c r="BE246" s="37" t="n">
        <f aca="false">IF(AND(ISNUMBER(BE110),ISNUMBER(AZ110)),IFERROR(BE110/AZ110-1,""),"")</f>
        <v>-0.150760743199181</v>
      </c>
      <c r="BF246" s="37" t="n">
        <f aca="false">IF(AND(ISNUMBER(BF110),ISNUMBER(BA110)),IFERROR(BF110/BA110-1,""),"")</f>
        <v>0.211327563439193</v>
      </c>
      <c r="BG246" s="37" t="n">
        <f aca="false">IF(AND(ISNUMBER(BG110),ISNUMBER(BB110)),IFERROR(BG110/BB110-1,""),"")</f>
        <v>0.211327563439193</v>
      </c>
      <c r="BH246" s="37" t="n">
        <f aca="false">IF(AND(ISNUMBER(BH110),ISNUMBER(BC110)),IFERROR(BH110/BC110-1,""),"")</f>
        <v>0.341952392361015</v>
      </c>
      <c r="BI246" s="37" t="n">
        <f aca="false">IF(AND(ISNUMBER(BI110),ISNUMBER(BD110)),IFERROR(BI110/BD110-1,""),"")</f>
        <v>0.701972442786257</v>
      </c>
      <c r="BJ246" s="37" t="n">
        <f aca="false">IF(AND(ISNUMBER(BJ110),ISNUMBER(BE110)),IFERROR(BJ110/BE110-1,""),"")</f>
        <v>1.18568788788321</v>
      </c>
      <c r="BK246" s="37" t="n">
        <f aca="false">IF(AND(ISNUMBER(BK110),ISNUMBER(BF110)),IFERROR(BK110/BF110-1,""),"")</f>
        <v>0.499380893182391</v>
      </c>
      <c r="BL246" s="37" t="n">
        <f aca="false">IF(AND(ISNUMBER(BL110),ISNUMBER(BG110)),IFERROR(BL110/BG110-1,""),"")</f>
        <v>0.499380893182391</v>
      </c>
      <c r="BM246" s="37" t="n">
        <f aca="false">IF(AND(ISNUMBER(BM110),ISNUMBER(BH110)),IFERROR(BM110/BH110-1,""),"")</f>
        <v>0.773191928964392</v>
      </c>
      <c r="BN246" s="37" t="n">
        <f aca="false">IF(AND(ISNUMBER(BN110),ISNUMBER(BI110)),IFERROR(BN110/BI110-1,""),"")</f>
        <v>0.396145359307793</v>
      </c>
      <c r="BO246" s="35" t="n">
        <f aca="false">IF(AND(ISNUMBER(BO110),ISNUMBER(BJ110)),IFERROR(BO110/BJ110-1,""),"")</f>
        <v>0.136545149896517</v>
      </c>
      <c r="BP246" s="35" t="n">
        <f aca="false">IF(AND(ISNUMBER(BP110),ISNUMBER(BK110)),IFERROR(BP110/BK110-1,""),"")</f>
        <v>0.15665022011676</v>
      </c>
      <c r="BQ246" s="35" t="n">
        <f aca="false">IF(AND(ISNUMBER(BQ110),ISNUMBER(BL110)),IFERROR(BQ110/BL110-1,""),"")</f>
        <v>0.15665022011676</v>
      </c>
      <c r="BR246" s="35" t="n">
        <f aca="false">IF(AND(ISNUMBER(BR110),ISNUMBER(BQ110)),IFERROR(BR110/BQ110-1,""),"")</f>
        <v>0.0156372761402677</v>
      </c>
      <c r="BS246" s="35" t="n">
        <f aca="false">IF(AND(ISNUMBER(BS110),ISNUMBER(BR110)),IFERROR(BS110/BR110-1,""),"")</f>
        <v>0.0166282378839715</v>
      </c>
      <c r="BT246" s="35" t="n">
        <f aca="false">IF(AND(ISNUMBER(BT110),ISNUMBER(BS110)),IFERROR(BT110/BS110-1,""),"")</f>
        <v>0.0175012004121411</v>
      </c>
      <c r="BU246" s="35" t="n">
        <f aca="false">IF(AND(ISNUMBER(BU110),ISNUMBER(BT110)),IFERROR(BU110/BT110-1,""),"")</f>
        <v>0.0184041890401763</v>
      </c>
      <c r="BV246" s="15"/>
    </row>
    <row r="247" customFormat="false" ht="15" hidden="false" customHeight="false" outlineLevel="0" collapsed="false">
      <c r="B247" s="13" t="s">
        <v>419</v>
      </c>
      <c r="C247" s="34"/>
      <c r="D247" s="37" t="str">
        <f aca="false">IF(AND(ISNUMBER(D208),ISNUMBER(C208)),IFERROR(D208/C208-1,""),"")</f>
        <v/>
      </c>
      <c r="E247" s="34"/>
      <c r="F247" s="34"/>
      <c r="G247" s="34"/>
      <c r="H247" s="34"/>
      <c r="I247" s="37" t="str">
        <f aca="false">IF(AND(ISNUMBER(I208),ISNUMBER(D208)),IFERROR(I208/D208-1,""),"")</f>
        <v/>
      </c>
      <c r="J247" s="37" t="n">
        <f aca="false">IF(AND(ISNUMBER(J208),ISNUMBER(E208)),IFERROR(J208/E208-1,""),"")</f>
        <v>0.232527280663465</v>
      </c>
      <c r="K247" s="37" t="n">
        <f aca="false">IF(AND(ISNUMBER(K208),ISNUMBER(F208)),IFERROR(K208/F208-1,""),"")</f>
        <v>0.0750496482288283</v>
      </c>
      <c r="L247" s="37" t="n">
        <f aca="false">IF(AND(ISNUMBER(L208),ISNUMBER(G208)),IFERROR(L208/G208-1,""),"")</f>
        <v>0.263201054798045</v>
      </c>
      <c r="M247" s="37" t="n">
        <f aca="false">IF(AND(ISNUMBER(M208),ISNUMBER(H208)),IFERROR(M208/H208-1,""),"")</f>
        <v>-0.308751300918403</v>
      </c>
      <c r="N247" s="37" t="n">
        <f aca="false">IF(AND(ISNUMBER(N208),ISNUMBER(I208)),IFERROR(N208/I208-1,""),"")</f>
        <v>0.00320667751445192</v>
      </c>
      <c r="O247" s="37" t="n">
        <f aca="false">IF(AND(ISNUMBER(O208),ISNUMBER(J208)),IFERROR(O208/J208-1,""),"")</f>
        <v>0.197200855608914</v>
      </c>
      <c r="P247" s="37" t="n">
        <f aca="false">IF(AND(ISNUMBER(P208),ISNUMBER(K208)),IFERROR(P208/K208-1,""),"")</f>
        <v>0.218954061175392</v>
      </c>
      <c r="Q247" s="37" t="n">
        <f aca="false">IF(AND(ISNUMBER(Q208),ISNUMBER(L208)),IFERROR(Q208/L208-1,""),"")</f>
        <v>-0.0479500006364483</v>
      </c>
      <c r="R247" s="37" t="n">
        <f aca="false">IF(AND(ISNUMBER(R208),ISNUMBER(M208)),IFERROR(R208/M208-1,""),"")</f>
        <v>0.126376819250376</v>
      </c>
      <c r="S247" s="37" t="n">
        <f aca="false">IF(AND(ISNUMBER(S208),ISNUMBER(N208)),IFERROR(S208/N208-1,""),"")</f>
        <v>0.118807345675661</v>
      </c>
      <c r="T247" s="37" t="n">
        <f aca="false">IF(AND(ISNUMBER(T208),ISNUMBER(O208)),IFERROR(T208/O208-1,""),"")</f>
        <v>0.149880493172728</v>
      </c>
      <c r="U247" s="37" t="n">
        <f aca="false">IF(AND(ISNUMBER(U208),ISNUMBER(P208)),IFERROR(U208/P208-1,""),"")</f>
        <v>0.159159794177769</v>
      </c>
      <c r="V247" s="37" t="n">
        <f aca="false">IF(AND(ISNUMBER(V208),ISNUMBER(Q208)),IFERROR(V208/Q208-1,""),"")</f>
        <v>0.171444233494666</v>
      </c>
      <c r="W247" s="37" t="n">
        <f aca="false">IF(AND(ISNUMBER(W208),ISNUMBER(R208)),IFERROR(W208/R208-1,""),"")</f>
        <v>0.0279878527794379</v>
      </c>
      <c r="X247" s="37" t="n">
        <f aca="false">IF(AND(ISNUMBER(X208),ISNUMBER(S208)),IFERROR(X208/S208-1,""),"")</f>
        <v>0.125638047173788</v>
      </c>
      <c r="Y247" s="37" t="n">
        <f aca="false">IF(AND(ISNUMBER(Y208),ISNUMBER(T208)),IFERROR(Y208/T208-1,""),"")</f>
        <v>-0.0167934061184791</v>
      </c>
      <c r="Z247" s="37" t="n">
        <f aca="false">IF(AND(ISNUMBER(Z208),ISNUMBER(U208)),IFERROR(Z208/U208-1,""),"")</f>
        <v>-0.1293402249924</v>
      </c>
      <c r="AA247" s="37" t="n">
        <f aca="false">IF(AND(ISNUMBER(AA208),ISNUMBER(V208)),IFERROR(AA208/V208-1,""),"")</f>
        <v>-0.240250179759636</v>
      </c>
      <c r="AB247" s="37" t="n">
        <f aca="false">IF(AND(ISNUMBER(AB208),ISNUMBER(W208)),IFERROR(AB208/W208-1,""),"")</f>
        <v>0.363574149690901</v>
      </c>
      <c r="AC247" s="37" t="n">
        <f aca="false">IF(AND(ISNUMBER(AC208),ISNUMBER(X208)),IFERROR(AC208/X208-1,""),"")</f>
        <v>-0.00961357108599981</v>
      </c>
      <c r="AD247" s="37" t="n">
        <f aca="false">IF(AND(ISNUMBER(AD208),ISNUMBER(Y208)),IFERROR(AD208/Y208-1,""),"")</f>
        <v>-0.175648096788036</v>
      </c>
      <c r="AE247" s="37" t="n">
        <f aca="false">IF(AND(ISNUMBER(AE208),ISNUMBER(Z208)),IFERROR(AE208/Z208-1,""),"")</f>
        <v>0.123830143874843</v>
      </c>
      <c r="AF247" s="37" t="n">
        <f aca="false">IF(AND(ISNUMBER(AF208),ISNUMBER(AA208)),IFERROR(AF208/AA208-1,""),"")</f>
        <v>0.716421049468955</v>
      </c>
      <c r="AG247" s="37" t="n">
        <f aca="false">IF(AND(ISNUMBER(AG208),ISNUMBER(AB208)),IFERROR(AG208/AB208-1,""),"")</f>
        <v>-0.132806357172731</v>
      </c>
      <c r="AH247" s="37" t="n">
        <f aca="false">IF(AND(ISNUMBER(AH208),ISNUMBER(AC208)),IFERROR(AH208/AC208-1,""),"")</f>
        <v>0.0698335573245119</v>
      </c>
      <c r="AI247" s="37" t="n">
        <f aca="false">IF(AND(ISNUMBER(AI208),ISNUMBER(AD208)),IFERROR(AI208/AD208-1,""),"")</f>
        <v>0.448353350430389</v>
      </c>
      <c r="AJ247" s="37" t="n">
        <f aca="false">IF(AND(ISNUMBER(AJ208),ISNUMBER(AE208)),IFERROR(AJ208/AE208-1,""),"")</f>
        <v>0.0501211857560129</v>
      </c>
      <c r="AK247" s="37" t="n">
        <f aca="false">IF(AND(ISNUMBER(AK208),ISNUMBER(AF208)),IFERROR(AK208/AF208-1,""),"")</f>
        <v>-0.0655889792310312</v>
      </c>
      <c r="AL247" s="37" t="n">
        <f aca="false">IF(AND(ISNUMBER(AL208),ISNUMBER(AG208)),IFERROR(AL208/AG208-1,""),"")</f>
        <v>0.0118063526665571</v>
      </c>
      <c r="AM247" s="37" t="n">
        <f aca="false">IF(AND(ISNUMBER(AM208),ISNUMBER(AH208)),IFERROR(AM208/AH208-1,""),"")</f>
        <v>0.0859087129332248</v>
      </c>
      <c r="AN247" s="37" t="n">
        <f aca="false">IF(AND(ISNUMBER(AN208),ISNUMBER(AI208)),IFERROR(AN208/AI208-1,""),"")</f>
        <v>-0.13823511364732</v>
      </c>
      <c r="AO247" s="37" t="n">
        <f aca="false">IF(AND(ISNUMBER(AO208),ISNUMBER(AJ208)),IFERROR(AO208/AJ208-1,""),"")</f>
        <v>-0.103950288504217</v>
      </c>
      <c r="AP247" s="37" t="n">
        <f aca="false">IF(AND(ISNUMBER(AP208),ISNUMBER(AK208)),IFERROR(AP208/AK208-1,""),"")</f>
        <v>-0.00946957279207239</v>
      </c>
      <c r="AQ247" s="37" t="n">
        <f aca="false">IF(AND(ISNUMBER(AQ208),ISNUMBER(AL208)),IFERROR(AQ208/AL208-1,""),"")</f>
        <v>0.174666577690497</v>
      </c>
      <c r="AR247" s="37" t="n">
        <f aca="false">IF(AND(ISNUMBER(AR208),ISNUMBER(AM208)),IFERROR(AR208/AM208-1,""),"")</f>
        <v>-0.0210713165006348</v>
      </c>
      <c r="AS247" s="37" t="n">
        <f aca="false">IF(AND(ISNUMBER(AS208),ISNUMBER(AN208)),IFERROR(AS208/AN208-1,""),"")</f>
        <v>-0.0388359390098768</v>
      </c>
      <c r="AT247" s="37" t="n">
        <f aca="false">IF(AND(ISNUMBER(AT208),ISNUMBER(AO208)),IFERROR(AT208/AO208-1,""),"")</f>
        <v>0.26293947999912</v>
      </c>
      <c r="AU247" s="37" t="n">
        <f aca="false">IF(AND(ISNUMBER(AU208),ISNUMBER(AP208)),IFERROR(AU208/AP208-1,""),"")</f>
        <v>-0.0527838716998258</v>
      </c>
      <c r="AV247" s="37" t="n">
        <f aca="false">IF(AND(ISNUMBER(AV208),ISNUMBER(AQ208)),IFERROR(AV208/AQ208-1,""),"")</f>
        <v>0.0551700630584573</v>
      </c>
      <c r="AW247" s="37" t="n">
        <f aca="false">IF(AND(ISNUMBER(AW208),ISNUMBER(AR208)),IFERROR(AW208/AR208-1,""),"")</f>
        <v>0.051156860306008</v>
      </c>
      <c r="AX247" s="37" t="n">
        <f aca="false">IF(AND(ISNUMBER(AX208),ISNUMBER(AS208)),IFERROR(AX208/AS208-1,""),"")</f>
        <v>0.171113204152688</v>
      </c>
      <c r="AY247" s="37" t="n">
        <f aca="false">IF(AND(ISNUMBER(AY208),ISNUMBER(AT208)),IFERROR(AY208/AT208-1,""),"")</f>
        <v>-0.0669641689836401</v>
      </c>
      <c r="AZ247" s="37" t="n">
        <f aca="false">IF(AND(ISNUMBER(AZ208),ISNUMBER(AU208)),IFERROR(AZ208/AU208-1,""),"")</f>
        <v>0.0637815713287413</v>
      </c>
      <c r="BA247" s="37" t="n">
        <f aca="false">IF(AND(ISNUMBER(BA208),ISNUMBER(AV208)),IFERROR(BA208/AV208-1,""),"")</f>
        <v>0.134882361537337</v>
      </c>
      <c r="BB247" s="37" t="n">
        <f aca="false">IF(AND(ISNUMBER(BB208),ISNUMBER(AW208)),IFERROR(BB208/AW208-1,""),"")</f>
        <v>0.0739896179676074</v>
      </c>
      <c r="BC247" s="37" t="n">
        <f aca="false">IF(AND(ISNUMBER(BC208),ISNUMBER(AX208)),IFERROR(BC208/AX208-1,""),"")</f>
        <v>0.0411252281722723</v>
      </c>
      <c r="BD247" s="37" t="n">
        <f aca="false">IF(AND(ISNUMBER(BD208),ISNUMBER(AY208)),IFERROR(BD208/AY208-1,""),"")</f>
        <v>0.179962634283045</v>
      </c>
      <c r="BE247" s="37" t="n">
        <f aca="false">IF(AND(ISNUMBER(BE208),ISNUMBER(AZ208)),IFERROR(BE208/AZ208-1,""),"")</f>
        <v>0.191330624348952</v>
      </c>
      <c r="BF247" s="37" t="n">
        <f aca="false">IF(AND(ISNUMBER(BF208),ISNUMBER(BA208)),IFERROR(BF208/BA208-1,""),"")</f>
        <v>-0.116967347547338</v>
      </c>
      <c r="BG247" s="37" t="n">
        <f aca="false">IF(AND(ISNUMBER(BG208),ISNUMBER(BB208)),IFERROR(BG208/BB208-1,""),"")</f>
        <v>0.0566700217195522</v>
      </c>
      <c r="BH247" s="37" t="n">
        <f aca="false">IF(AND(ISNUMBER(BH208),ISNUMBER(BC208)),IFERROR(BH208/BC208-1,""),"")</f>
        <v>0.126105561004401</v>
      </c>
      <c r="BI247" s="37" t="n">
        <f aca="false">IF(AND(ISNUMBER(BI208),ISNUMBER(BD208)),IFERROR(BI208/BD208-1,""),"")</f>
        <v>0.154914301547717</v>
      </c>
      <c r="BJ247" s="37" t="n">
        <f aca="false">IF(AND(ISNUMBER(BJ208),ISNUMBER(BE208)),IFERROR(BJ208/BE208-1,""),"")</f>
        <v>0.190315643536278</v>
      </c>
      <c r="BK247" s="37" t="n">
        <f aca="false">IF(AND(ISNUMBER(BK208),ISNUMBER(BF208)),IFERROR(BK208/BF208-1,""),"")</f>
        <v>0.132138608542154</v>
      </c>
      <c r="BL247" s="37" t="n">
        <f aca="false">IF(AND(ISNUMBER(BL208),ISNUMBER(BG208)),IFERROR(BL208/BG208-1,""),"")</f>
        <v>0.151555440582833</v>
      </c>
      <c r="BM247" s="37" t="n">
        <f aca="false">IF(AND(ISNUMBER(BM208),ISNUMBER(BH208)),IFERROR(BM208/BH208-1,""),"")</f>
        <v>0.140756270136116</v>
      </c>
      <c r="BN247" s="37" t="n">
        <f aca="false">IF(AND(ISNUMBER(BN208),ISNUMBER(BI208)),IFERROR(BN208/BI208-1,""),"")</f>
        <v>0.0652235010247941</v>
      </c>
      <c r="BO247" s="35" t="n">
        <f aca="false">IF(AND(ISNUMBER(BO208),ISNUMBER(BJ208)),IFERROR(BO208/BJ208-1,""),"")</f>
        <v>0.188758588683389</v>
      </c>
      <c r="BP247" s="35" t="n">
        <f aca="false">IF(AND(ISNUMBER(BP208),ISNUMBER(BK208)),IFERROR(BP208/BK208-1,""),"")</f>
        <v>0.247140950836672</v>
      </c>
      <c r="BQ247" s="35" t="n">
        <f aca="false">IF(AND(ISNUMBER(BQ208),ISNUMBER(BL208)),IFERROR(BQ208/BL208-1,""),"")</f>
        <v>0.161525133000721</v>
      </c>
      <c r="BR247" s="35" t="n">
        <f aca="false">IF(AND(ISNUMBER(BR208),ISNUMBER(BQ208)),IFERROR(BR208/BQ208-1,""),"")</f>
        <v>0.130943459239909</v>
      </c>
      <c r="BS247" s="35" t="n">
        <f aca="false">IF(AND(ISNUMBER(BS208),ISNUMBER(BR208)),IFERROR(BS208/BR208-1,""),"")</f>
        <v>0.124456979967667</v>
      </c>
      <c r="BT247" s="35" t="n">
        <f aca="false">IF(AND(ISNUMBER(BT208),ISNUMBER(BS208)),IFERROR(BT208/BS208-1,""),"")</f>
        <v>0.128726531277901</v>
      </c>
      <c r="BU247" s="35" t="n">
        <f aca="false">IF(AND(ISNUMBER(BU208),ISNUMBER(BT208)),IFERROR(BU208/BT208-1,""),"")</f>
        <v>0.110199825279097</v>
      </c>
      <c r="BV247" s="15"/>
      <c r="BX247" s="38" t="n">
        <f aca="false">IFERROR(AVERAGE(BQ247,BR247,BS247,BT247,BU247),"n/m")</f>
        <v>0.131170385753059</v>
      </c>
      <c r="BY247" s="38" t="n">
        <f aca="false">IFERROR(AVERAGE(AR247,AW247,BB247,BG247,BL247),"n/m")</f>
        <v>0.0624601248150731</v>
      </c>
      <c r="BZ247" s="38" t="n">
        <f aca="false">IFERROR(AVERAGE(S247,X247,AC247,AH247,AM247,AR247,AW247,BB247,BG247,BL247),"n/m")</f>
        <v>0.0702874716096551</v>
      </c>
      <c r="CA247" s="38" t="n">
        <f aca="false">IFERROR(AVERAGE(D247,I247,N247,S247,X247,AC247,AH247,AM247,AR247,AW247,BB247,BG247,BL247),"n/m")</f>
        <v>0.0641892176010003</v>
      </c>
    </row>
    <row r="248" customFormat="false" ht="15" hidden="false" customHeight="false" outlineLevel="0" collapsed="false">
      <c r="B248" s="13" t="s">
        <v>420</v>
      </c>
      <c r="C248" s="34"/>
      <c r="D248" s="37" t="str">
        <f aca="false">IF(AND(ISNUMBER(D164),ISNUMBER(C164)),IFERROR(D164/C164-1,""),"")</f>
        <v/>
      </c>
      <c r="E248" s="34"/>
      <c r="F248" s="34"/>
      <c r="G248" s="34"/>
      <c r="H248" s="34"/>
      <c r="I248" s="37" t="n">
        <f aca="false">IF(AND(ISNUMBER(I164),ISNUMBER(D164)),IFERROR(I164/D164-1,""),"")</f>
        <v>-0.918135876524466</v>
      </c>
      <c r="J248" s="37" t="n">
        <f aca="false">IF(AND(ISNUMBER(J164),ISNUMBER(E164)),IFERROR(J164/E164-1,""),"")</f>
        <v>0.205113267158125</v>
      </c>
      <c r="K248" s="37" t="n">
        <f aca="false">IF(AND(ISNUMBER(K164),ISNUMBER(F164)),IFERROR(K164/F164-1,""),"")</f>
        <v>-0.578067523764432</v>
      </c>
      <c r="L248" s="37" t="n">
        <f aca="false">IF(AND(ISNUMBER(L164),ISNUMBER(G164)),IFERROR(L164/G164-1,""),"")</f>
        <v>2.77086752468976</v>
      </c>
      <c r="M248" s="37" t="n">
        <f aca="false">IF(AND(ISNUMBER(M164),ISNUMBER(H164)),IFERROR(M164/H164-1,""),"")</f>
        <v>-1.1176002546149</v>
      </c>
      <c r="N248" s="37" t="n">
        <f aca="false">IF(AND(ISNUMBER(N164),ISNUMBER(I164)),IFERROR(N164/I164-1,""),"")</f>
        <v>7.19665671641799</v>
      </c>
      <c r="O248" s="37" t="n">
        <f aca="false">IF(AND(ISNUMBER(O164),ISNUMBER(J164)),IFERROR(O164/J164-1,""),"")</f>
        <v>-0.207760816614915</v>
      </c>
      <c r="P248" s="37" t="n">
        <f aca="false">IF(AND(ISNUMBER(P164),ISNUMBER(K164)),IFERROR(P164/K164-1,""),"")</f>
        <v>6.63556322831248</v>
      </c>
      <c r="Q248" s="37" t="n">
        <f aca="false">IF(AND(ISNUMBER(Q164),ISNUMBER(L164)),IFERROR(Q164/L164-1,""),"")</f>
        <v>-0.52374662126048</v>
      </c>
      <c r="R248" s="37" t="n">
        <f aca="false">IF(AND(ISNUMBER(R164),ISNUMBER(M164)),IFERROR(R164/M164-1,""),"")</f>
        <v>3.76975122306651</v>
      </c>
      <c r="S248" s="37" t="n">
        <f aca="false">IF(AND(ISNUMBER(S164),ISNUMBER(N164)),IFERROR(S164/N164-1,""),"")</f>
        <v>0.161803623367857</v>
      </c>
      <c r="T248" s="37" t="n">
        <f aca="false">IF(AND(ISNUMBER(T164),ISNUMBER(O164)),IFERROR(T164/O164-1,""),"")</f>
        <v>0.952756459902835</v>
      </c>
      <c r="U248" s="37" t="n">
        <f aca="false">IF(AND(ISNUMBER(U164),ISNUMBER(P164)),IFERROR(U164/P164-1,""),"")</f>
        <v>0.0439643672703434</v>
      </c>
      <c r="V248" s="37" t="n">
        <f aca="false">IF(AND(ISNUMBER(V164),ISNUMBER(Q164)),IFERROR(V164/Q164-1,""),"")</f>
        <v>0.181296394273163</v>
      </c>
      <c r="W248" s="37" t="n">
        <f aca="false">IF(AND(ISNUMBER(W164),ISNUMBER(R164)),IFERROR(W164/R164-1,""),"")</f>
        <v>0.30179167666892</v>
      </c>
      <c r="X248" s="37" t="n">
        <f aca="false">IF(AND(ISNUMBER(X164),ISNUMBER(S164)),IFERROR(X164/S164-1,""),"")</f>
        <v>0.290985233822195</v>
      </c>
      <c r="Y248" s="37" t="n">
        <f aca="false">IF(AND(ISNUMBER(Y164),ISNUMBER(T164)),IFERROR(Y164/T164-1,""),"")</f>
        <v>-0.0398653927047643</v>
      </c>
      <c r="Z248" s="37" t="n">
        <f aca="false">IF(AND(ISNUMBER(Z164),ISNUMBER(U164)),IFERROR(Z164/U164-1,""),"")</f>
        <v>-0.225215762287893</v>
      </c>
      <c r="AA248" s="37" t="n">
        <f aca="false">IF(AND(ISNUMBER(AA164),ISNUMBER(V164)),IFERROR(AA164/V164-1,""),"")</f>
        <v>-0.316038055943867</v>
      </c>
      <c r="AB248" s="37" t="n">
        <f aca="false">IF(AND(ISNUMBER(AB164),ISNUMBER(W164)),IFERROR(AB164/W164-1,""),"")</f>
        <v>0.729112184000538</v>
      </c>
      <c r="AC248" s="37" t="n">
        <f aca="false">IF(AND(ISNUMBER(AC164),ISNUMBER(X164)),IFERROR(AC164/X164-1,""),"")</f>
        <v>-0.0126519578483906</v>
      </c>
      <c r="AD248" s="37" t="n">
        <f aca="false">IF(AND(ISNUMBER(AD164),ISNUMBER(Y164)),IFERROR(AD164/Y164-1,""),"")</f>
        <v>-0.203334668535951</v>
      </c>
      <c r="AE248" s="37" t="n">
        <f aca="false">IF(AND(ISNUMBER(AE164),ISNUMBER(Z164)),IFERROR(AE164/Z164-1,""),"")</f>
        <v>0.125592251464032</v>
      </c>
      <c r="AF248" s="37" t="n">
        <f aca="false">IF(AND(ISNUMBER(AF164),ISNUMBER(AA164)),IFERROR(AF164/AA164-1,""),"")</f>
        <v>0.953804940966365</v>
      </c>
      <c r="AG248" s="37" t="n">
        <f aca="false">IF(AND(ISNUMBER(AG164),ISNUMBER(AB164)),IFERROR(AG164/AB164-1,""),"")</f>
        <v>-0.196470987444859</v>
      </c>
      <c r="AH248" s="37" t="n">
        <f aca="false">IF(AND(ISNUMBER(AH164),ISNUMBER(AC164)),IFERROR(AH164/AC164-1,""),"")</f>
        <v>0.0673624568410083</v>
      </c>
      <c r="AI248" s="37" t="n">
        <f aca="false">IF(AND(ISNUMBER(AI164),ISNUMBER(AD164)),IFERROR(AI164/AD164-1,""),"")</f>
        <v>0.54401043303375</v>
      </c>
      <c r="AJ248" s="37" t="n">
        <f aca="false">IF(AND(ISNUMBER(AJ164),ISNUMBER(AE164)),IFERROR(AJ164/AE164-1,""),"")</f>
        <v>0.0235798100204883</v>
      </c>
      <c r="AK248" s="37" t="n">
        <f aca="false">IF(AND(ISNUMBER(AK164),ISNUMBER(AF164)),IFERROR(AK164/AF164-1,""),"")</f>
        <v>-0.0984339135910295</v>
      </c>
      <c r="AL248" s="37" t="n">
        <f aca="false">IF(AND(ISNUMBER(AL164),ISNUMBER(AG164)),IFERROR(AL164/AG164-1,""),"")</f>
        <v>0.0748190154440149</v>
      </c>
      <c r="AM248" s="37" t="n">
        <f aca="false">IF(AND(ISNUMBER(AM164),ISNUMBER(AH164)),IFERROR(AM164/AH164-1,""),"")</f>
        <v>0.101471180046756</v>
      </c>
      <c r="AN248" s="37" t="n">
        <f aca="false">IF(AND(ISNUMBER(AN164),ISNUMBER(AI164)),IFERROR(AN164/AI164-1,""),"")</f>
        <v>-0.161325775692755</v>
      </c>
      <c r="AO248" s="37" t="n">
        <f aca="false">IF(AND(ISNUMBER(AO164),ISNUMBER(AJ164)),IFERROR(AO164/AJ164-1,""),"")</f>
        <v>-0.105332751049324</v>
      </c>
      <c r="AP248" s="37" t="n">
        <f aca="false">IF(AND(ISNUMBER(AP164),ISNUMBER(AK164)),IFERROR(AP164/AK164-1,""),"")</f>
        <v>-0.0146671172693481</v>
      </c>
      <c r="AQ248" s="37" t="n">
        <f aca="false">IF(AND(ISNUMBER(AQ164),ISNUMBER(AL164)),IFERROR(AQ164/AL164-1,""),"")</f>
        <v>0.147438847790214</v>
      </c>
      <c r="AR248" s="37" t="n">
        <f aca="false">IF(AND(ISNUMBER(AR164),ISNUMBER(AM164)),IFERROR(AR164/AM164-1,""),"")</f>
        <v>-0.0354314018608182</v>
      </c>
      <c r="AS248" s="37" t="n">
        <f aca="false">IF(AND(ISNUMBER(AS164),ISNUMBER(AN164)),IFERROR(AS164/AN164-1,""),"")</f>
        <v>-0.131543184410416</v>
      </c>
      <c r="AT248" s="37" t="n">
        <f aca="false">IF(AND(ISNUMBER(AT164),ISNUMBER(AO164)),IFERROR(AT164/AO164-1,""),"")</f>
        <v>0.291331642960773</v>
      </c>
      <c r="AU248" s="37" t="n">
        <f aca="false">IF(AND(ISNUMBER(AU164),ISNUMBER(AP164)),IFERROR(AU164/AP164-1,""),"")</f>
        <v>-0.0867745918507337</v>
      </c>
      <c r="AV248" s="37" t="n">
        <f aca="false">IF(AND(ISNUMBER(AV164),ISNUMBER(AQ164)),IFERROR(AV164/AQ164-1,""),"")</f>
        <v>-0.00324805556914309</v>
      </c>
      <c r="AW248" s="37" t="n">
        <f aca="false">IF(AND(ISNUMBER(AW164),ISNUMBER(AR164)),IFERROR(AW164/AR164-1,""),"")</f>
        <v>0.00787340103166656</v>
      </c>
      <c r="AX248" s="37" t="n">
        <f aca="false">IF(AND(ISNUMBER(AX164),ISNUMBER(AS164)),IFERROR(AX164/AS164-1,""),"")</f>
        <v>0.227306386486523</v>
      </c>
      <c r="AY248" s="37" t="n">
        <f aca="false">IF(AND(ISNUMBER(AY164),ISNUMBER(AT164)),IFERROR(AY164/AT164-1,""),"")</f>
        <v>-0.0899965349601516</v>
      </c>
      <c r="AZ248" s="37" t="n">
        <f aca="false">IF(AND(ISNUMBER(AZ164),ISNUMBER(AU164)),IFERROR(AZ164/AU164-1,""),"")</f>
        <v>0.0686046220486243</v>
      </c>
      <c r="BA248" s="37" t="n">
        <f aca="false">IF(AND(ISNUMBER(BA164),ISNUMBER(AV164)),IFERROR(BA164/AV164-1,""),"")</f>
        <v>0.209161489159133</v>
      </c>
      <c r="BB248" s="37" t="n">
        <f aca="false">IF(AND(ISNUMBER(BB164),ISNUMBER(AW164)),IFERROR(BB164/AW164-1,""),"")</f>
        <v>0.0989411052554581</v>
      </c>
      <c r="BC248" s="37" t="n">
        <f aca="false">IF(AND(ISNUMBER(BC164),ISNUMBER(AX164)),IFERROR(BC164/AX164-1,""),"")</f>
        <v>0.0582750848113656</v>
      </c>
      <c r="BD248" s="37" t="n">
        <f aca="false">IF(AND(ISNUMBER(BD164),ISNUMBER(AY164)),IFERROR(BD164/AY164-1,""),"")</f>
        <v>0.140078000600004</v>
      </c>
      <c r="BE248" s="37" t="n">
        <f aca="false">IF(AND(ISNUMBER(BE164),ISNUMBER(AZ164)),IFERROR(BE164/AZ164-1,""),"")</f>
        <v>0.131446378781134</v>
      </c>
      <c r="BF248" s="37" t="n">
        <f aca="false">IF(AND(ISNUMBER(BF164),ISNUMBER(BA164)),IFERROR(BF164/BA164-1,""),"")</f>
        <v>-0.251077577459758</v>
      </c>
      <c r="BG248" s="37" t="n">
        <f aca="false">IF(AND(ISNUMBER(BG164),ISNUMBER(BB164)),IFERROR(BG164/BB164-1,""),"")</f>
        <v>-0.00640110270219563</v>
      </c>
      <c r="BH248" s="37" t="n">
        <f aca="false">IF(AND(ISNUMBER(BH164),ISNUMBER(BC164)),IFERROR(BH164/BC164-1,""),"")</f>
        <v>0.0394681640688033</v>
      </c>
      <c r="BI248" s="37" t="n">
        <f aca="false">IF(AND(ISNUMBER(BI164),ISNUMBER(BD164)),IFERROR(BI164/BD164-1,""),"")</f>
        <v>0.0366172094812047</v>
      </c>
      <c r="BJ248" s="37" t="n">
        <f aca="false">IF(AND(ISNUMBER(BJ164),ISNUMBER(BE164)),IFERROR(BJ164/BE164-1,""),"")</f>
        <v>0.173652384601046</v>
      </c>
      <c r="BK248" s="37" t="n">
        <f aca="false">IF(AND(ISNUMBER(BK164),ISNUMBER(BF164)),IFERROR(BK164/BF164-1,""),"")</f>
        <v>-0.00223277188875226</v>
      </c>
      <c r="BL248" s="37" t="n">
        <f aca="false">IF(AND(ISNUMBER(BL164),ISNUMBER(BG164)),IFERROR(BL164/BG164-1,""),"")</f>
        <v>0.0626683166625954</v>
      </c>
      <c r="BM248" s="37" t="n">
        <f aca="false">IF(AND(ISNUMBER(BM164),ISNUMBER(BH164)),IFERROR(BM164/BH164-1,""),"")</f>
        <v>0.104118803684156</v>
      </c>
      <c r="BN248" s="37" t="n">
        <f aca="false">IF(AND(ISNUMBER(BN164),ISNUMBER(BI164)),IFERROR(BN164/BI164-1,""),"")</f>
        <v>0.114348199640709</v>
      </c>
      <c r="BO248" s="35" t="n">
        <f aca="false">IF(AND(ISNUMBER(BO164),ISNUMBER(BJ164)),IFERROR(BO164/BJ164-1,""),"")</f>
        <v>0.174117363347881</v>
      </c>
      <c r="BP248" s="35" t="n">
        <f aca="false">IF(AND(ISNUMBER(BP164),ISNUMBER(BK164)),IFERROR(BP164/BK164-1,""),"")</f>
        <v>0.486143988008299</v>
      </c>
      <c r="BQ248" s="35" t="n">
        <f aca="false">IF(AND(ISNUMBER(BQ164),ISNUMBER(BL164)),IFERROR(BQ164/BL164-1,""),"")</f>
        <v>0.213276252916142</v>
      </c>
      <c r="BR248" s="35" t="n">
        <f aca="false">IF(AND(ISNUMBER(BR164),ISNUMBER(BQ164)),IFERROR(BR164/BQ164-1,""),"")</f>
        <v>1.349725669239</v>
      </c>
      <c r="BS248" s="35" t="n">
        <f aca="false">IF(AND(ISNUMBER(BS164),ISNUMBER(BR164)),IFERROR(BS164/BR164-1,""),"")</f>
        <v>-0.43697962049937</v>
      </c>
      <c r="BT248" s="35" t="n">
        <f aca="false">IF(AND(ISNUMBER(BT164),ISNUMBER(BS164)),IFERROR(BT164/BS164-1,""),"")</f>
        <v>0.136557845722464</v>
      </c>
      <c r="BU248" s="35" t="n">
        <f aca="false">IF(AND(ISNUMBER(BU164),ISNUMBER(BT164)),IFERROR(BU164/BT164-1,""),"")</f>
        <v>0.113119171098954</v>
      </c>
      <c r="BV248" s="15"/>
    </row>
    <row r="249" customFormat="false" ht="15" hidden="false" customHeight="false" outlineLevel="0" collapsed="false">
      <c r="B249" s="13" t="s">
        <v>421</v>
      </c>
      <c r="C249" s="34"/>
      <c r="D249" s="37" t="n">
        <f aca="false">IF(AND(ISNUMBER(D177),ISNUMBER(C177)),IFERROR(D177/C177-1,""),"")</f>
        <v>0.519919190144711</v>
      </c>
      <c r="E249" s="34"/>
      <c r="F249" s="34"/>
      <c r="G249" s="34"/>
      <c r="H249" s="34"/>
      <c r="I249" s="37" t="n">
        <f aca="false">IF(AND(ISNUMBER(I177),ISNUMBER(D177)),IFERROR(I177/D177-1,""),"")</f>
        <v>-0.915082727015298</v>
      </c>
      <c r="J249" s="37" t="n">
        <f aca="false">IF(AND(ISNUMBER(J177),ISNUMBER(E177)),IFERROR(J177/E177-1,""),"")</f>
        <v>0.00472870970606465</v>
      </c>
      <c r="K249" s="37" t="n">
        <f aca="false">IF(AND(ISNUMBER(K177),ISNUMBER(F177)),IFERROR(K177/F177-1,""),"")</f>
        <v>-1.64859855505542</v>
      </c>
      <c r="L249" s="37" t="n">
        <f aca="false">IF(AND(ISNUMBER(L177),ISNUMBER(G177)),IFERROR(L177/G177-1,""),"")</f>
        <v>0.696834057568531</v>
      </c>
      <c r="M249" s="37" t="n">
        <f aca="false">IF(AND(ISNUMBER(M177),ISNUMBER(H177)),IFERROR(M177/H177-1,""),"")</f>
        <v>-0.995014858625263</v>
      </c>
      <c r="N249" s="37" t="n">
        <f aca="false">IF(AND(ISNUMBER(N177),ISNUMBER(I177)),IFERROR(N177/I177-1,""),"")</f>
        <v>3.47342452701787</v>
      </c>
      <c r="O249" s="37" t="n">
        <f aca="false">IF(AND(ISNUMBER(O177),ISNUMBER(J177)),IFERROR(O177/J177-1,""),"")</f>
        <v>0.0780873677000253</v>
      </c>
      <c r="P249" s="37" t="n">
        <f aca="false">IF(AND(ISNUMBER(P177),ISNUMBER(K177)),IFERROR(P177/K177-1,""),"")</f>
        <v>-4.35201492972531</v>
      </c>
      <c r="Q249" s="37" t="n">
        <f aca="false">IF(AND(ISNUMBER(Q177),ISNUMBER(L177)),IFERROR(Q177/L177-1,""),"")</f>
        <v>-0.610060652739001</v>
      </c>
      <c r="R249" s="37" t="n">
        <f aca="false">IF(AND(ISNUMBER(R177),ISNUMBER(M177)),IFERROR(R177/M177-1,""),"")</f>
        <v>-67.0038834951483</v>
      </c>
      <c r="S249" s="37" t="n">
        <f aca="false">IF(AND(ISNUMBER(S177),ISNUMBER(N177)),IFERROR(S177/N177-1,""),"")</f>
        <v>0.392439052219222</v>
      </c>
      <c r="T249" s="37" t="n">
        <f aca="false">IF(AND(ISNUMBER(T177),ISNUMBER(O177)),IFERROR(T177/O177-1,""),"")</f>
        <v>0.141993400422208</v>
      </c>
      <c r="U249" s="37" t="n">
        <f aca="false">IF(AND(ISNUMBER(U177),ISNUMBER(P177)),IFERROR(U177/P177-1,""),"")</f>
        <v>0.0658698261913469</v>
      </c>
      <c r="V249" s="37" t="n">
        <f aca="false">IF(AND(ISNUMBER(V177),ISNUMBER(Q177)),IFERROR(V177/Q177-1,""),"")</f>
        <v>0.149371651482607</v>
      </c>
      <c r="W249" s="37" t="n">
        <f aca="false">IF(AND(ISNUMBER(W177),ISNUMBER(R177)),IFERROR(W177/R177-1,""),"")</f>
        <v>-1.46160861379148</v>
      </c>
      <c r="X249" s="37" t="n">
        <f aca="false">IF(AND(ISNUMBER(X177),ISNUMBER(S177)),IFERROR(X177/S177-1,""),"")</f>
        <v>-0.192360849352934</v>
      </c>
      <c r="Y249" s="37" t="n">
        <f aca="false">IF(AND(ISNUMBER(Y177),ISNUMBER(T177)),IFERROR(Y177/T177-1,""),"")</f>
        <v>0.192429871318582</v>
      </c>
      <c r="Z249" s="37" t="n">
        <f aca="false">IF(AND(ISNUMBER(Z177),ISNUMBER(U177)),IFERROR(Z177/U177-1,""),"")</f>
        <v>-0.00979383967484537</v>
      </c>
      <c r="AA249" s="37" t="n">
        <f aca="false">IF(AND(ISNUMBER(AA177),ISNUMBER(V177)),IFERROR(AA177/V177-1,""),"")</f>
        <v>0.673769681867977</v>
      </c>
      <c r="AB249" s="37" t="n">
        <f aca="false">IF(AND(ISNUMBER(AB177),ISNUMBER(W177)),IFERROR(AB177/W177-1,""),"")</f>
        <v>-2.39793512204448</v>
      </c>
      <c r="AC249" s="37" t="n">
        <f aca="false">IF(AND(ISNUMBER(AC177),ISNUMBER(X177)),IFERROR(AC177/X177-1,""),"")</f>
        <v>0.535118097454072</v>
      </c>
      <c r="AD249" s="37" t="n">
        <f aca="false">IF(AND(ISNUMBER(AD177),ISNUMBER(Y177)),IFERROR(AD177/Y177-1,""),"")</f>
        <v>-0.262834695444078</v>
      </c>
      <c r="AE249" s="37" t="n">
        <f aca="false">IF(AND(ISNUMBER(AE177),ISNUMBER(Z177)),IFERROR(AE177/Z177-1,""),"")</f>
        <v>-0.0294248553484004</v>
      </c>
      <c r="AF249" s="37" t="n">
        <f aca="false">IF(AND(ISNUMBER(AF177),ISNUMBER(AA177)),IFERROR(AF177/AA177-1,""),"")</f>
        <v>-0.0399004093995051</v>
      </c>
      <c r="AG249" s="37" t="n">
        <f aca="false">IF(AND(ISNUMBER(AG177),ISNUMBER(AB177)),IFERROR(AG177/AB177-1,""),"")</f>
        <v>1.80141326646912</v>
      </c>
      <c r="AH249" s="37" t="n">
        <f aca="false">IF(AND(ISNUMBER(AH177),ISNUMBER(AC177)),IFERROR(AH177/AC177-1,""),"")</f>
        <v>0.0755954846271123</v>
      </c>
      <c r="AI249" s="37" t="n">
        <f aca="false">IF(AND(ISNUMBER(AI177),ISNUMBER(AD177)),IFERROR(AI177/AD177-1,""),"")</f>
        <v>0.541488015027154</v>
      </c>
      <c r="AJ249" s="37" t="n">
        <f aca="false">IF(AND(ISNUMBER(AJ177),ISNUMBER(AE177)),IFERROR(AJ177/AE177-1,""),"")</f>
        <v>0.0913753863922013</v>
      </c>
      <c r="AK249" s="37" t="n">
        <f aca="false">IF(AND(ISNUMBER(AK177),ISNUMBER(AF177)),IFERROR(AK177/AF177-1,""),"")</f>
        <v>-0.0219088357171491</v>
      </c>
      <c r="AL249" s="37" t="n">
        <f aca="false">IF(AND(ISNUMBER(AL177),ISNUMBER(AG177)),IFERROR(AL177/AG177-1,""),"")</f>
        <v>0.0698628130644918</v>
      </c>
      <c r="AM249" s="37" t="n">
        <f aca="false">IF(AND(ISNUMBER(AM177),ISNUMBER(AH177)),IFERROR(AM177/AH177-1,""),"")</f>
        <v>0.141552137312333</v>
      </c>
      <c r="AN249" s="37" t="n">
        <f aca="false">IF(AND(ISNUMBER(AN177),ISNUMBER(AI177)),IFERROR(AN177/AI177-1,""),"")</f>
        <v>-0.0761599491383984</v>
      </c>
      <c r="AO249" s="37" t="n">
        <f aca="false">IF(AND(ISNUMBER(AO177),ISNUMBER(AJ177)),IFERROR(AO177/AJ177-1,""),"")</f>
        <v>-0.0764262815524917</v>
      </c>
      <c r="AP249" s="37" t="n">
        <f aca="false">IF(AND(ISNUMBER(AP177),ISNUMBER(AK177)),IFERROR(AP177/AK177-1,""),"")</f>
        <v>-0.181178335679437</v>
      </c>
      <c r="AQ249" s="37" t="n">
        <f aca="false">IF(AND(ISNUMBER(AQ177),ISNUMBER(AL177)),IFERROR(AQ177/AL177-1,""),"")</f>
        <v>0.777569894435825</v>
      </c>
      <c r="AR249" s="37" t="n">
        <f aca="false">IF(AND(ISNUMBER(AR177),ISNUMBER(AM177)),IFERROR(AR177/AM177-1,""),"")</f>
        <v>0.0976100764344925</v>
      </c>
      <c r="AS249" s="37" t="n">
        <f aca="false">IF(AND(ISNUMBER(AS177),ISNUMBER(AN177)),IFERROR(AS177/AN177-1,""),"")</f>
        <v>-0.153966365109177</v>
      </c>
      <c r="AT249" s="37" t="n">
        <f aca="false">IF(AND(ISNUMBER(AT177),ISNUMBER(AO177)),IFERROR(AT177/AO177-1,""),"")</f>
        <v>0.257232884560298</v>
      </c>
      <c r="AU249" s="37" t="n">
        <f aca="false">IF(AND(ISNUMBER(AU177),ISNUMBER(AP177)),IFERROR(AU177/AP177-1,""),"")</f>
        <v>0.0281904062489573</v>
      </c>
      <c r="AV249" s="37" t="n">
        <f aca="false">IF(AND(ISNUMBER(AV177),ISNUMBER(AQ177)),IFERROR(AV177/AQ177-1,""),"")</f>
        <v>-0.632340986299963</v>
      </c>
      <c r="AW249" s="37" t="n">
        <f aca="false">IF(AND(ISNUMBER(AW177),ISNUMBER(AR177)),IFERROR(AW177/AR177-1,""),"")</f>
        <v>-0.22126975097345</v>
      </c>
      <c r="AX249" s="37" t="n">
        <f aca="false">IF(AND(ISNUMBER(AX177),ISNUMBER(AS177)),IFERROR(AX177/AS177-1,""),"")</f>
        <v>0.0352821555668519</v>
      </c>
      <c r="AY249" s="37" t="n">
        <f aca="false">IF(AND(ISNUMBER(AY177),ISNUMBER(AT177)),IFERROR(AY177/AT177-1,""),"")</f>
        <v>-0.214654282765737</v>
      </c>
      <c r="AZ249" s="37" t="n">
        <f aca="false">IF(AND(ISNUMBER(AZ177),ISNUMBER(AU177)),IFERROR(AZ177/AU177-1,""),"")</f>
        <v>-0.0215898576368028</v>
      </c>
      <c r="BA249" s="37" t="n">
        <f aca="false">IF(AND(ISNUMBER(BA177),ISNUMBER(AV177)),IFERROR(BA177/AV177-1,""),"")</f>
        <v>0.533504014895843</v>
      </c>
      <c r="BB249" s="37" t="n">
        <f aca="false">IF(AND(ISNUMBER(BB177),ISNUMBER(AW177)),IFERROR(BB177/AW177-1,""),"")</f>
        <v>0.0321506690009286</v>
      </c>
      <c r="BC249" s="37" t="n">
        <f aca="false">IF(AND(ISNUMBER(BC177),ISNUMBER(AX177)),IFERROR(BC177/AX177-1,""),"")</f>
        <v>0.12073593923918</v>
      </c>
      <c r="BD249" s="37" t="n">
        <f aca="false">IF(AND(ISNUMBER(BD177),ISNUMBER(AY177)),IFERROR(BD177/AY177-1,""),"")</f>
        <v>0.24531972626585</v>
      </c>
      <c r="BE249" s="37" t="n">
        <f aca="false">IF(AND(ISNUMBER(BE177),ISNUMBER(AZ177)),IFERROR(BE177/AZ177-1,""),"")</f>
        <v>0.152804738440097</v>
      </c>
      <c r="BF249" s="37" t="n">
        <f aca="false">IF(AND(ISNUMBER(BF177),ISNUMBER(BA177)),IFERROR(BF177/BA177-1,""),"")</f>
        <v>0.0778757569778572</v>
      </c>
      <c r="BG249" s="37" t="n">
        <f aca="false">IF(AND(ISNUMBER(BG177),ISNUMBER(BB177)),IFERROR(BG177/BB177-1,""),"")</f>
        <v>0.146805559510104</v>
      </c>
      <c r="BH249" s="37" t="n">
        <f aca="false">IF(AND(ISNUMBER(BH177),ISNUMBER(BC177)),IFERROR(BH177/BC177-1,""),"")</f>
        <v>0.102149909446749</v>
      </c>
      <c r="BI249" s="37" t="n">
        <f aca="false">IF(AND(ISNUMBER(BI177),ISNUMBER(BD177)),IFERROR(BI177/BD177-1,""),"")</f>
        <v>0.0742202488625763</v>
      </c>
      <c r="BJ249" s="37" t="n">
        <f aca="false">IF(AND(ISNUMBER(BJ177),ISNUMBER(BE177)),IFERROR(BJ177/BE177-1,""),"")</f>
        <v>0.181670336629102</v>
      </c>
      <c r="BK249" s="37" t="n">
        <f aca="false">IF(AND(ISNUMBER(BK177),ISNUMBER(BF177)),IFERROR(BK177/BF177-1,""),"")</f>
        <v>0.309372271818411</v>
      </c>
      <c r="BL249" s="37" t="n">
        <f aca="false">IF(AND(ISNUMBER(BL177),ISNUMBER(BG177)),IFERROR(BL177/BG177-1,""),"")</f>
        <v>0.166715731305488</v>
      </c>
      <c r="BM249" s="37" t="n">
        <f aca="false">IF(AND(ISNUMBER(BM177),ISNUMBER(BH177)),IFERROR(BM177/BH177-1,""),"")</f>
        <v>0.206806074580583</v>
      </c>
      <c r="BN249" s="37" t="n">
        <f aca="false">IF(AND(ISNUMBER(BN177),ISNUMBER(BI177)),IFERROR(BN177/BI177-1,""),"")</f>
        <v>0.135556462723887</v>
      </c>
      <c r="BO249" s="35" t="n">
        <f aca="false">IF(AND(ISNUMBER(BO177),ISNUMBER(BJ177)),IFERROR(BO177/BJ177-1,""),"")</f>
        <v>0.267041997895689</v>
      </c>
      <c r="BP249" s="35" t="n">
        <f aca="false">IF(AND(ISNUMBER(BP177),ISNUMBER(BK177)),IFERROR(BP177/BK177-1,""),"")</f>
        <v>0.150186067208726</v>
      </c>
      <c r="BQ249" s="35" t="n">
        <f aca="false">IF(AND(ISNUMBER(BQ177),ISNUMBER(BL177)),IFERROR(BQ177/BL177-1,""),"")</f>
        <v>0.188856503314824</v>
      </c>
      <c r="BR249" s="35" t="n">
        <f aca="false">IF(AND(ISNUMBER(BR177),ISNUMBER(BQ177)),IFERROR(BR177/BQ177-1,""),"")</f>
        <v>1.28674610957902</v>
      </c>
      <c r="BS249" s="35" t="n">
        <f aca="false">IF(AND(ISNUMBER(BS177),ISNUMBER(BR177)),IFERROR(BS177/BR177-1,""),"")</f>
        <v>-0.42603036638419</v>
      </c>
      <c r="BT249" s="35" t="n">
        <f aca="false">IF(AND(ISNUMBER(BT177),ISNUMBER(BS177)),IFERROR(BT177/BS177-1,""),"")</f>
        <v>0.11767008707562</v>
      </c>
      <c r="BU249" s="35" t="n">
        <f aca="false">IF(AND(ISNUMBER(BU177),ISNUMBER(BT177)),IFERROR(BU177/BT177-1,""),"")</f>
        <v>0.0971353345145523</v>
      </c>
      <c r="BV249" s="15"/>
    </row>
    <row r="250" customFormat="false" ht="15" hidden="false" customHeight="false" outlineLevel="0" collapsed="false">
      <c r="B250" s="13" t="s">
        <v>422</v>
      </c>
      <c r="C250" s="34"/>
      <c r="D250" s="37" t="n">
        <f aca="false">IF(AND(ISNUMBER(D236),ISNUMBER(C236)),IFERROR(D236/C236-1,""),"")</f>
        <v>0.0140824796962342</v>
      </c>
      <c r="E250" s="34"/>
      <c r="F250" s="34"/>
      <c r="G250" s="34"/>
      <c r="H250" s="34"/>
      <c r="I250" s="37" t="n">
        <f aca="false">IF(AND(ISNUMBER(I236),ISNUMBER(D236)),IFERROR(I236/D236-1,""),"")</f>
        <v>0.0645153367208187</v>
      </c>
      <c r="J250" s="37" t="n">
        <f aca="false">IF(AND(ISNUMBER(J236),ISNUMBER(E236)),IFERROR(J236/E236-1,""),"")</f>
        <v>-0.0840455569461828</v>
      </c>
      <c r="K250" s="37" t="n">
        <f aca="false">IF(AND(ISNUMBER(K236),ISNUMBER(F236)),IFERROR(K236/F236-1,""),"")</f>
        <v>-0.0857142857142855</v>
      </c>
      <c r="L250" s="37" t="n">
        <f aca="false">IF(AND(ISNUMBER(L236),ISNUMBER(G236)),IFERROR(L236/G236-1,""),"")</f>
        <v>0.333333333333334</v>
      </c>
      <c r="M250" s="37" t="n">
        <f aca="false">IF(AND(ISNUMBER(M236),ISNUMBER(H236)),IFERROR(M236/H236-1,""),"")</f>
        <v>0.0555555555555556</v>
      </c>
      <c r="N250" s="37" t="n">
        <f aca="false">IF(AND(ISNUMBER(N236),ISNUMBER(I236)),IFERROR(N236/I236-1,""),"")</f>
        <v>0.0757575757575757</v>
      </c>
      <c r="O250" s="37" t="n">
        <f aca="false">IF(AND(ISNUMBER(O236),ISNUMBER(J236)),IFERROR(O236/J236-1,""),"")</f>
        <v>0.333333333333333</v>
      </c>
      <c r="P250" s="37" t="n">
        <f aca="false">IF(AND(ISNUMBER(P236),ISNUMBER(K236)),IFERROR(P236/K236-1,""),"")</f>
        <v>0.375</v>
      </c>
      <c r="Q250" s="37" t="n">
        <f aca="false">IF(AND(ISNUMBER(Q236),ISNUMBER(L236)),IFERROR(Q236/L236-1,""),"")</f>
        <v>-0.025</v>
      </c>
      <c r="R250" s="37" t="n">
        <f aca="false">IF(AND(ISNUMBER(R236),ISNUMBER(M236)),IFERROR(R236/M236-1,""),"")</f>
        <v>0.210526315789474</v>
      </c>
      <c r="S250" s="37" t="n">
        <f aca="false">IF(AND(ISNUMBER(S236),ISNUMBER(N236)),IFERROR(S236/N236-1,""),"")</f>
        <v>0.23943661971831</v>
      </c>
      <c r="T250" s="37" t="n">
        <f aca="false">IF(AND(ISNUMBER(T236),ISNUMBER(O236)),IFERROR(T236/O236-1,""),"")</f>
        <v>0.25</v>
      </c>
      <c r="U250" s="37" t="n">
        <f aca="false">IF(AND(ISNUMBER(U236),ISNUMBER(P236)),IFERROR(U236/P236-1,""),"")</f>
        <v>0.272727272727273</v>
      </c>
      <c r="V250" s="37" t="n">
        <f aca="false">IF(AND(ISNUMBER(V236),ISNUMBER(Q236)),IFERROR(V236/Q236-1,""),"")</f>
        <v>0.17948717948718</v>
      </c>
      <c r="W250" s="37" t="n">
        <f aca="false">IF(AND(ISNUMBER(W236),ISNUMBER(R236)),IFERROR(W236/R236-1,""),"")</f>
        <v>0.0217391304347827</v>
      </c>
      <c r="X250" s="37" t="n">
        <f aca="false">IF(AND(ISNUMBER(X236),ISNUMBER(S236)),IFERROR(X236/S236-1,""),"")</f>
        <v>0.164772727272727</v>
      </c>
      <c r="Y250" s="37" t="n">
        <f aca="false">IF(AND(ISNUMBER(Y236),ISNUMBER(T236)),IFERROR(Y236/T236-1,""),"")</f>
        <v>0.218181818181818</v>
      </c>
      <c r="Z250" s="37" t="n">
        <f aca="false">IF(AND(ISNUMBER(Z236),ISNUMBER(U236)),IFERROR(Z236/U236-1,""),"")</f>
        <v>0.0357142857142856</v>
      </c>
      <c r="AA250" s="37" t="n">
        <f aca="false">IF(AND(ISNUMBER(AA236),ISNUMBER(V236)),IFERROR(AA236/V236-1,""),"")</f>
        <v>-0.130434782608696</v>
      </c>
      <c r="AB250" s="37" t="n">
        <f aca="false">IF(AND(ISNUMBER(AB236),ISNUMBER(W236)),IFERROR(AB236/W236-1,""),"")</f>
        <v>0.574468085106383</v>
      </c>
      <c r="AC250" s="37" t="n">
        <f aca="false">IF(AND(ISNUMBER(AC236),ISNUMBER(X236)),IFERROR(AC236/X236-1,""),"")</f>
        <v>0.165853658536586</v>
      </c>
      <c r="AD250" s="37" t="n">
        <f aca="false">IF(AND(ISNUMBER(AD236),ISNUMBER(Y236)),IFERROR(AD236/Y236-1,""),"")</f>
        <v>-0.238805970149254</v>
      </c>
      <c r="AE250" s="37" t="n">
        <f aca="false">IF(AND(ISNUMBER(AE236),ISNUMBER(Z236)),IFERROR(AE236/Z236-1,""),"")</f>
        <v>0.0689655172413795</v>
      </c>
      <c r="AF250" s="37" t="n">
        <f aca="false">IF(AND(ISNUMBER(AF236),ISNUMBER(AA236)),IFERROR(AF236/AA236-1,""),"")</f>
        <v>0.975</v>
      </c>
      <c r="AG250" s="37" t="n">
        <f aca="false">IF(AND(ISNUMBER(AG236),ISNUMBER(AB236)),IFERROR(AG236/AB236-1,""),"")</f>
        <v>-0.0405405405405406</v>
      </c>
      <c r="AH250" s="37" t="n">
        <f aca="false">IF(AND(ISNUMBER(AH236),ISNUMBER(AC236)),IFERROR(AH236/AC236-1,""),"")</f>
        <v>0.0962343096234311</v>
      </c>
      <c r="AI250" s="37" t="n">
        <f aca="false">IF(AND(ISNUMBER(AI236),ISNUMBER(AD236)),IFERROR(AI236/AD236-1,""),"")</f>
        <v>0.549019607843138</v>
      </c>
      <c r="AJ250" s="37" t="n">
        <f aca="false">IF(AND(ISNUMBER(AJ236),ISNUMBER(AE236)),IFERROR(AJ236/AE236-1,""),"")</f>
        <v>0.145161290322581</v>
      </c>
      <c r="AK250" s="37" t="n">
        <f aca="false">IF(AND(ISNUMBER(AK236),ISNUMBER(AF236)),IFERROR(AK236/AF236-1,""),"")</f>
        <v>0</v>
      </c>
      <c r="AL250" s="37" t="n">
        <f aca="false">IF(AND(ISNUMBER(AL236),ISNUMBER(AG236)),IFERROR(AL236/AG236-1,""),"")</f>
        <v>0.0422535211267605</v>
      </c>
      <c r="AM250" s="37" t="n">
        <f aca="false">IF(AND(ISNUMBER(AM236),ISNUMBER(AH236)),IFERROR(AM236/AH236-1,""),"")</f>
        <v>0.156488549618321</v>
      </c>
      <c r="AN250" s="37" t="n">
        <f aca="false">IF(AND(ISNUMBER(AN236),ISNUMBER(AI236)),IFERROR(AN236/AI236-1,""),"")</f>
        <v>-0.0759493670886078</v>
      </c>
      <c r="AO250" s="37" t="n">
        <f aca="false">IF(AND(ISNUMBER(AO236),ISNUMBER(AJ236)),IFERROR(AO236/AJ236-1,""),"")</f>
        <v>-0.126760563380282</v>
      </c>
      <c r="AP250" s="37" t="n">
        <f aca="false">IF(AND(ISNUMBER(AP236),ISNUMBER(AK236)),IFERROR(AP236/AK236-1,""),"")</f>
        <v>-0.0379746835443037</v>
      </c>
      <c r="AQ250" s="37" t="n">
        <f aca="false">IF(AND(ISNUMBER(AQ236),ISNUMBER(AL236)),IFERROR(AQ236/AL236-1,""),"")</f>
        <v>0.283783783783784</v>
      </c>
      <c r="AR250" s="37" t="n">
        <f aca="false">IF(AND(ISNUMBER(AR236),ISNUMBER(AM236)),IFERROR(AR236/AM236-1,""),"")</f>
        <v>0.00990099009901013</v>
      </c>
      <c r="AS250" s="37" t="n">
        <f aca="false">IF(AND(ISNUMBER(AS236),ISNUMBER(AN236)),IFERROR(AS236/AN236-1,""),"")</f>
        <v>-0.0547945205479452</v>
      </c>
      <c r="AT250" s="37" t="n">
        <f aca="false">IF(AND(ISNUMBER(AT236),ISNUMBER(AO236)),IFERROR(AT236/AO236-1,""),"")</f>
        <v>0.32258064516129</v>
      </c>
      <c r="AU250" s="37" t="n">
        <f aca="false">IF(AND(ISNUMBER(AU236),ISNUMBER(AP236)),IFERROR(AU236/AP236-1,""),"")</f>
        <v>-0.0921052631578948</v>
      </c>
      <c r="AV250" s="37" t="n">
        <f aca="false">IF(AND(ISNUMBER(AV236),ISNUMBER(AQ236)),IFERROR(AV236/AQ236-1,""),"")</f>
        <v>-0.0210526315789473</v>
      </c>
      <c r="AW250" s="37" t="n">
        <f aca="false">IF(AND(ISNUMBER(AW236),ISNUMBER(AR236)),IFERROR(AW236/AR236-1,""),"")</f>
        <v>0.022875816993464</v>
      </c>
      <c r="AX250" s="37" t="n">
        <f aca="false">IF(AND(ISNUMBER(AX236),ISNUMBER(AS236)),IFERROR(AX236/AS236-1,""),"")</f>
        <v>0.0144927536231885</v>
      </c>
      <c r="AY250" s="37" t="n">
        <f aca="false">IF(AND(ISNUMBER(AY236),ISNUMBER(AT236)),IFERROR(AY236/AT236-1,""),"")</f>
        <v>-0.207317073170732</v>
      </c>
      <c r="AZ250" s="37" t="n">
        <f aca="false">IF(AND(ISNUMBER(AZ236),ISNUMBER(AU236)),IFERROR(AZ236/AU236-1,""),"")</f>
        <v>-0.0289855072463767</v>
      </c>
      <c r="BA250" s="37" t="n">
        <f aca="false">IF(AND(ISNUMBER(BA236),ISNUMBER(AV236)),IFERROR(BA236/AV236-1,""),"")</f>
        <v>0.086021505376344</v>
      </c>
      <c r="BB250" s="37" t="n">
        <f aca="false">IF(AND(ISNUMBER(BB236),ISNUMBER(AW236)),IFERROR(BB236/AW236-1,""),"")</f>
        <v>-0.0351437699680512</v>
      </c>
      <c r="BC250" s="37" t="n">
        <f aca="false">IF(AND(ISNUMBER(BC236),ISNUMBER(AX236)),IFERROR(BC236/AX236-1,""),"")</f>
        <v>0.0857142857142859</v>
      </c>
      <c r="BD250" s="37" t="n">
        <f aca="false">IF(AND(ISNUMBER(BD236),ISNUMBER(AY236)),IFERROR(BD236/AY236-1,""),"")</f>
        <v>0.261538461538462</v>
      </c>
      <c r="BE250" s="37" t="n">
        <f aca="false">IF(AND(ISNUMBER(BE236),ISNUMBER(AZ236)),IFERROR(BE236/AZ236-1,""),"")</f>
        <v>0.238805970149254</v>
      </c>
      <c r="BF250" s="37" t="n">
        <f aca="false">IF(AND(ISNUMBER(BF236),ISNUMBER(BA236)),IFERROR(BF236/BA236-1,""),"")</f>
        <v>-0.089108910891089</v>
      </c>
      <c r="BG250" s="37" t="n">
        <f aca="false">IF(AND(ISNUMBER(BG236),ISNUMBER(BB236)),IFERROR(BG236/BB236-1,""),"")</f>
        <v>0.102649006622517</v>
      </c>
      <c r="BH250" s="37" t="n">
        <f aca="false">IF(AND(ISNUMBER(BH236),ISNUMBER(BC236)),IFERROR(BH236/BC236-1,""),"")</f>
        <v>0.197368421052632</v>
      </c>
      <c r="BI250" s="37" t="n">
        <f aca="false">IF(AND(ISNUMBER(BI236),ISNUMBER(BD236)),IFERROR(BI236/BD236-1,""),"")</f>
        <v>0.24390243902439</v>
      </c>
      <c r="BJ250" s="37" t="n">
        <f aca="false">IF(AND(ISNUMBER(BJ236),ISNUMBER(BE236)),IFERROR(BJ236/BE236-1,""),"")</f>
        <v>0.204819277108434</v>
      </c>
      <c r="BK250" s="37" t="n">
        <f aca="false">IF(AND(ISNUMBER(BK236),ISNUMBER(BF236)),IFERROR(BK236/BF236-1,""),"")</f>
        <v>0.173913043478261</v>
      </c>
      <c r="BL250" s="37" t="n">
        <f aca="false">IF(AND(ISNUMBER(BL236),ISNUMBER(BG236)),IFERROR(BL236/BG236-1,""),"")</f>
        <v>0.204204204204204</v>
      </c>
      <c r="BM250" s="37" t="n">
        <f aca="false">IF(AND(ISNUMBER(BM236),ISNUMBER(BH236)),IFERROR(BM236/BH236-1,""),"")</f>
        <v>0.230769230769231</v>
      </c>
      <c r="BN250" s="37" t="n">
        <f aca="false">IF(AND(ISNUMBER(BN236),ISNUMBER(BI236)),IFERROR(BN236/BI236-1,""),"")</f>
        <v>0.0490196078431373</v>
      </c>
      <c r="BO250" s="35" t="n">
        <f aca="false">IF(AND(ISNUMBER(BO236),ISNUMBER(BJ236)),IFERROR(BO236/BJ236-1,""),"")</f>
        <v>0.25879446975924</v>
      </c>
      <c r="BP250" s="35" t="n">
        <f aca="false">IF(AND(ISNUMBER(BP236),ISNUMBER(BK236)),IFERROR(BP236/BK236-1,""),"")</f>
        <v>0.19495740046009</v>
      </c>
      <c r="BQ250" s="35" t="n">
        <f aca="false">IF(AND(ISNUMBER(BQ236),ISNUMBER(BL236)),IFERROR(BQ236/BL236-1,""),"")</f>
        <v>0.181911933166537</v>
      </c>
      <c r="BR250" s="35" t="n">
        <f aca="false">IF(AND(ISNUMBER(BR236),ISNUMBER(BQ236)),IFERROR(BR236/BQ236-1,""),"")</f>
        <v>0.113577986603224</v>
      </c>
      <c r="BS250" s="35" t="n">
        <f aca="false">IF(AND(ISNUMBER(BS236),ISNUMBER(BR236)),IFERROR(BS236/BR236-1,""),"")</f>
        <v>0.142868491686359</v>
      </c>
      <c r="BT250" s="35" t="n">
        <f aca="false">IF(AND(ISNUMBER(BT236),ISNUMBER(BS236)),IFERROR(BT236/BS236-1,""),"")</f>
        <v>0.130245278308985</v>
      </c>
      <c r="BU250" s="35" t="n">
        <f aca="false">IF(AND(ISNUMBER(BU236),ISNUMBER(BT236)),IFERROR(BU236/BT236-1,""),"")</f>
        <v>0.120554156674535</v>
      </c>
      <c r="BV250" s="15"/>
      <c r="BX250" s="38" t="n">
        <f aca="false">IFERROR(AVERAGE(BQ250,BR250,BS250,BT250,BU250),"n/m")</f>
        <v>0.137831569287928</v>
      </c>
      <c r="BY250" s="38" t="n">
        <f aca="false">IFERROR(AVERAGE(AR250,AW250,BB250,BG250,BL250),"n/m")</f>
        <v>0.0608972495902287</v>
      </c>
      <c r="BZ250" s="38" t="n">
        <f aca="false">IFERROR(AVERAGE(S250,X250,AC250,AH250,AM250,AR250,AW250,BB250,BG250,BL250),"n/m")</f>
        <v>0.112727211272052</v>
      </c>
      <c r="CA250" s="38" t="n">
        <f aca="false">IFERROR(AVERAGE(D250,I250,N250,S250,X250,AC250,AH250,AM250,AR250,AW250,BB250,BG250,BL250),"n/m")</f>
        <v>0.0985867311457805</v>
      </c>
    </row>
    <row r="251" customFormat="false" ht="15" hidden="false" customHeight="false" outlineLevel="0" collapsed="false">
      <c r="B251" s="13" t="s">
        <v>250</v>
      </c>
      <c r="C251" s="19"/>
      <c r="D251" s="19"/>
      <c r="E251" s="43" t="n">
        <f aca="false">E209</f>
        <v>0.161149188556508</v>
      </c>
      <c r="F251" s="43" t="n">
        <f aca="false">F209</f>
        <v>0.179197656198274</v>
      </c>
      <c r="G251" s="43" t="n">
        <f aca="false">G209</f>
        <v>0.184353434987787</v>
      </c>
      <c r="H251" s="43" t="n">
        <f aca="false">H209</f>
        <v>0.277063087764383</v>
      </c>
      <c r="I251" s="43" t="n">
        <f aca="false">I209</f>
        <v>0.20250928919558</v>
      </c>
      <c r="J251" s="43" t="n">
        <f aca="false">J209</f>
        <v>0.210420106949321</v>
      </c>
      <c r="K251" s="43" t="n">
        <f aca="false">K209</f>
        <v>0.195533901745838</v>
      </c>
      <c r="L251" s="43" t="n">
        <f aca="false">L209</f>
        <v>0.218851157478341</v>
      </c>
      <c r="M251" s="43" t="n">
        <f aca="false">M209</f>
        <v>0.208051920931587</v>
      </c>
      <c r="N251" s="43" t="n">
        <f aca="false">N209</f>
        <v>0.208193544604173</v>
      </c>
      <c r="O251" s="43" t="n">
        <f aca="false">O209</f>
        <v>0.231655638578391</v>
      </c>
      <c r="P251" s="43" t="n">
        <f aca="false">P209</f>
        <v>0.211545248047875</v>
      </c>
      <c r="Q251" s="43" t="n">
        <f aca="false">Q209</f>
        <v>0.197083042384158</v>
      </c>
      <c r="R251" s="43" t="n">
        <f aca="false">R209</f>
        <v>0.211179616698856</v>
      </c>
      <c r="S251" s="43" t="n">
        <f aca="false">S209</f>
        <v>0.212642036202101</v>
      </c>
      <c r="T251" s="43" t="n">
        <f aca="false">T209</f>
        <v>0.226936989321134</v>
      </c>
      <c r="U251" s="43" t="n">
        <f aca="false">U209</f>
        <v>0.240652080066145</v>
      </c>
      <c r="V251" s="43" t="n">
        <f aca="false">V209</f>
        <v>0.208930274704311</v>
      </c>
      <c r="W251" s="43" t="n">
        <f aca="false">W209</f>
        <v>0.203827608813915</v>
      </c>
      <c r="X251" s="43" t="n">
        <f aca="false">X209</f>
        <v>0.21990498525245</v>
      </c>
      <c r="Y251" s="43" t="n">
        <f aca="false">Y209</f>
        <v>0.208867165213362</v>
      </c>
      <c r="Z251" s="43" t="n">
        <f aca="false">Z209</f>
        <v>0.195725426671314</v>
      </c>
      <c r="AA251" s="43" t="n">
        <f aca="false">AA209</f>
        <v>0.156441609656245</v>
      </c>
      <c r="AB251" s="43" t="n">
        <f aca="false">AB209</f>
        <v>0.250105648977611</v>
      </c>
      <c r="AC251" s="43" t="n">
        <f aca="false">AC209</f>
        <v>0.204220371367345</v>
      </c>
      <c r="AD251" s="43" t="n">
        <f aca="false">AD209</f>
        <v>0.189134934470554</v>
      </c>
      <c r="AE251" s="43" t="n">
        <f aca="false">AE209</f>
        <v>0.204880408971396</v>
      </c>
      <c r="AF251" s="43" t="n">
        <f aca="false">AF209</f>
        <v>0.225804347826087</v>
      </c>
      <c r="AG251" s="43" t="n">
        <f aca="false">AG209</f>
        <v>0.206835117260367</v>
      </c>
      <c r="AH251" s="43" t="n">
        <f aca="false">AH209</f>
        <v>0.207524855930593</v>
      </c>
      <c r="AI251" s="43" t="n">
        <f aca="false">AI209</f>
        <v>0.210400805594901</v>
      </c>
      <c r="AJ251" s="43" t="n">
        <f aca="false">AJ209</f>
        <v>0.200953381431856</v>
      </c>
      <c r="AK251" s="43" t="n">
        <f aca="false">AK209</f>
        <v>0.205361642539211</v>
      </c>
      <c r="AL251" s="43" t="n">
        <f aca="false">AL209</f>
        <v>0.188355389560252</v>
      </c>
      <c r="AM251" s="43" t="n">
        <f aca="false">AM209</f>
        <v>0.201093846243683</v>
      </c>
      <c r="AN251" s="43" t="n">
        <f aca="false">AN209</f>
        <v>0.18609885419092</v>
      </c>
      <c r="AO251" s="43" t="n">
        <f aca="false">AO209</f>
        <v>0.179857810053079</v>
      </c>
      <c r="AP251" s="43" t="n">
        <f aca="false">AP209</f>
        <v>0.212043863676921</v>
      </c>
      <c r="AQ251" s="43" t="n">
        <f aca="false">AQ209</f>
        <v>0.208148992778411</v>
      </c>
      <c r="AR251" s="43" t="n">
        <f aca="false">AR209</f>
        <v>0.196804819417779</v>
      </c>
      <c r="AS251" s="43" t="n">
        <f aca="false">AS209</f>
        <v>0.178040765876949</v>
      </c>
      <c r="AT251" s="43" t="n">
        <f aca="false">AT209</f>
        <v>0.207021551475258</v>
      </c>
      <c r="AU251" s="43" t="n">
        <f aca="false">AU209</f>
        <v>0.191269612438922</v>
      </c>
      <c r="AV251" s="43" t="n">
        <f aca="false">AV209</f>
        <v>0.208301491403881</v>
      </c>
      <c r="AW251" s="43" t="n">
        <f aca="false">AW209</f>
        <v>0.196796089633175</v>
      </c>
      <c r="AX251" s="43" t="n">
        <f aca="false">AX209</f>
        <v>0.194704060806531</v>
      </c>
      <c r="AY251" s="43" t="n">
        <f aca="false">AY209</f>
        <v>0.174791205740924</v>
      </c>
      <c r="AZ251" s="43" t="n">
        <f aca="false">AZ209</f>
        <v>0.180611841915697</v>
      </c>
      <c r="BA251" s="43" t="n">
        <f aca="false">BA209</f>
        <v>0.203378289904413</v>
      </c>
      <c r="BB251" s="43" t="n">
        <f aca="false">BB209</f>
        <v>0.189049112109118</v>
      </c>
      <c r="BC251" s="43" t="n">
        <f aca="false">BC209</f>
        <v>0.190760738187249</v>
      </c>
      <c r="BD251" s="43" t="n">
        <f aca="false">BD209</f>
        <v>0.185358015452004</v>
      </c>
      <c r="BE251" s="43" t="n">
        <f aca="false">BE209</f>
        <v>0.188921596056885</v>
      </c>
      <c r="BF251" s="43" t="n">
        <f aca="false">BF209</f>
        <v>0.174595687602427</v>
      </c>
      <c r="BG251" s="43" t="n">
        <f aca="false">BG209</f>
        <v>0.184442609890171</v>
      </c>
      <c r="BH251" s="43" t="n">
        <f aca="false">BH209</f>
        <v>0.19016559717878</v>
      </c>
      <c r="BI251" s="43" t="n">
        <f aca="false">BI209</f>
        <v>0.190936588315518</v>
      </c>
      <c r="BJ251" s="43" t="n">
        <f aca="false">BJ209</f>
        <v>0.174430846163969</v>
      </c>
      <c r="BK251" s="43" t="n">
        <f aca="false">BK209</f>
        <v>0.166521795083096</v>
      </c>
      <c r="BL251" s="43" t="n">
        <f aca="false">BL209</f>
        <v>0.179539929809203</v>
      </c>
      <c r="BM251" s="43" t="n">
        <f aca="false">BM209</f>
        <v>0.172054260727235</v>
      </c>
      <c r="BN251" s="43" t="n">
        <f aca="false">BN209</f>
        <v>0.172353251074449</v>
      </c>
      <c r="BO251" s="35" t="n">
        <f aca="false">BO209</f>
        <v>0.179156737366667</v>
      </c>
      <c r="BP251" s="35" t="n">
        <f aca="false">BP209</f>
        <v>0.177658223779252</v>
      </c>
      <c r="BQ251" s="35" t="n">
        <f aca="false">BQ209</f>
        <v>0.175526315789474</v>
      </c>
      <c r="BR251" s="35" t="n">
        <f aca="false">BR209</f>
        <v>0.181192488258975</v>
      </c>
      <c r="BS251" s="35" t="n">
        <f aca="false">BS209</f>
        <v>0.185084966824261</v>
      </c>
      <c r="BT251" s="35" t="n">
        <f aca="false">BT209</f>
        <v>0.188333684159562</v>
      </c>
      <c r="BU251" s="35" t="n">
        <f aca="false">BU209</f>
        <v>0.189271883275914</v>
      </c>
      <c r="BV251" s="15"/>
      <c r="BX251" s="38" t="n">
        <f aca="false">IFERROR(AVERAGE(BQ251,BR251,BS251,BT251,BU251),"n/m")</f>
        <v>0.183881867661637</v>
      </c>
      <c r="BY251" s="38" t="n">
        <f aca="false">IFERROR(AVERAGE(AR251,AW251,BB251,BG251,BL251),"n/m")</f>
        <v>0.189326512171889</v>
      </c>
      <c r="BZ251" s="38" t="n">
        <f aca="false">IFERROR(AVERAGE(S251,X251,AC251,AH251,AM251,AR251,AW251,BB251,BG251,BL251),"n/m")</f>
        <v>0.199201865585562</v>
      </c>
      <c r="CA251" s="38" t="n">
        <f aca="false">IFERROR(AVERAGE(D251,I251,N251,S251,X251,AC251,AH251,AM251,AR251,AW251,BB251,BG251,BL251),"n/m")</f>
        <v>0.200226790804614</v>
      </c>
    </row>
    <row r="252" customFormat="false" ht="15" hidden="false" customHeight="false" outlineLevel="0" collapsed="false">
      <c r="B252" s="13" t="s">
        <v>147</v>
      </c>
      <c r="C252" s="19"/>
      <c r="D252" s="19"/>
      <c r="E252" s="43" t="n">
        <f aca="false">E218</f>
        <v>0.128944673284264</v>
      </c>
      <c r="F252" s="43" t="n">
        <f aca="false">F218</f>
        <v>0.145265498444086</v>
      </c>
      <c r="G252" s="43" t="n">
        <f aca="false">G218</f>
        <v>0.147415755649885</v>
      </c>
      <c r="H252" s="43" t="n">
        <f aca="false">H218</f>
        <v>0.178594373649944</v>
      </c>
      <c r="I252" s="43" t="n">
        <f aca="false">I218</f>
        <v>0.150712458896602</v>
      </c>
      <c r="J252" s="43" t="n">
        <f aca="false">J218</f>
        <v>0.165380969697692</v>
      </c>
      <c r="K252" s="43" t="n">
        <f aca="false">K218</f>
        <v>0.153121368670111</v>
      </c>
      <c r="L252" s="43" t="n">
        <f aca="false">L218</f>
        <v>0.181814636320584</v>
      </c>
      <c r="M252" s="43" t="n">
        <f aca="false">M218</f>
        <v>0.170652693590667</v>
      </c>
      <c r="N252" s="43" t="n">
        <f aca="false">N218</f>
        <v>0.167810761913038</v>
      </c>
      <c r="O252" s="43" t="n">
        <f aca="false">O218</f>
        <v>0.199023644148169</v>
      </c>
      <c r="P252" s="43" t="n">
        <f aca="false">P218</f>
        <v>0.179824147203404</v>
      </c>
      <c r="Q252" s="43" t="n">
        <f aca="false">Q218</f>
        <v>0.164353565829172</v>
      </c>
      <c r="R252" s="43" t="n">
        <f aca="false">R218</f>
        <v>0.17784133115436</v>
      </c>
      <c r="S252" s="43" t="n">
        <f aca="false">S218</f>
        <v>0.180038605083411</v>
      </c>
      <c r="T252" s="43" t="n">
        <f aca="false">T218</f>
        <v>0.194300245896471</v>
      </c>
      <c r="U252" s="43" t="n">
        <f aca="false">U218</f>
        <v>0.205962766852597</v>
      </c>
      <c r="V252" s="43" t="n">
        <f aca="false">V218</f>
        <v>0.175698683708508</v>
      </c>
      <c r="W252" s="43" t="n">
        <f aca="false">W218</f>
        <v>0.170298834327588</v>
      </c>
      <c r="X252" s="43" t="n">
        <f aca="false">X218</f>
        <v>0.18639445221948</v>
      </c>
      <c r="Y252" s="43" t="n">
        <f aca="false">Y218</f>
        <v>0.178130253157086</v>
      </c>
      <c r="Z252" s="43" t="n">
        <f aca="false">Z218</f>
        <v>0.163011111338943</v>
      </c>
      <c r="AA252" s="43" t="n">
        <f aca="false">AA218</f>
        <v>0.120550308220546</v>
      </c>
      <c r="AB252" s="43" t="n">
        <f aca="false">AB218</f>
        <v>0.215785421696325</v>
      </c>
      <c r="AC252" s="43" t="n">
        <f aca="false">AC218</f>
        <v>0.170831090139447</v>
      </c>
      <c r="AD252" s="43" t="n">
        <f aca="false">AD218</f>
        <v>0.152823601166035</v>
      </c>
      <c r="AE252" s="43" t="n">
        <f aca="false">AE218</f>
        <v>0.171540072703196</v>
      </c>
      <c r="AF252" s="43" t="n">
        <f aca="false">AF218</f>
        <v>0.195774703557312</v>
      </c>
      <c r="AG252" s="43" t="n">
        <f aca="false">AG218</f>
        <v>0.175526449669317</v>
      </c>
      <c r="AH252" s="43" t="n">
        <f aca="false">AH218</f>
        <v>0.174952504591223</v>
      </c>
      <c r="AI252" s="43" t="n">
        <f aca="false">AI218</f>
        <v>0.181603738786591</v>
      </c>
      <c r="AJ252" s="43" t="n">
        <f aca="false">AJ218</f>
        <v>0.171319273765163</v>
      </c>
      <c r="AK252" s="43" t="n">
        <f aca="false">AK218</f>
        <v>0.176714536872112</v>
      </c>
      <c r="AL252" s="43" t="n">
        <f aca="false">AL218</f>
        <v>0.161033201055826</v>
      </c>
      <c r="AM252" s="43" t="n">
        <f aca="false">AM218</f>
        <v>0.172521422018954</v>
      </c>
      <c r="AN252" s="43" t="n">
        <f aca="false">AN218</f>
        <v>0.156006458781728</v>
      </c>
      <c r="AO252" s="43" t="n">
        <f aca="false">AO218</f>
        <v>0.146012959835597</v>
      </c>
      <c r="AP252" s="43" t="n">
        <f aca="false">AP218</f>
        <v>0.176986607903723</v>
      </c>
      <c r="AQ252" s="43" t="n">
        <f aca="false">AQ218</f>
        <v>0.1767219899489</v>
      </c>
      <c r="AR252" s="43" t="n">
        <f aca="false">AR218</f>
        <v>0.164282412006361</v>
      </c>
      <c r="AS252" s="43" t="n">
        <f aca="false">AS218</f>
        <v>0.144841710976037</v>
      </c>
      <c r="AT252" s="43" t="n">
        <f aca="false">AT218</f>
        <v>0.173467362434321</v>
      </c>
      <c r="AU252" s="43" t="n">
        <f aca="false">AU218</f>
        <v>0.155769116936631</v>
      </c>
      <c r="AV252" s="43" t="n">
        <f aca="false">AV218</f>
        <v>0.177806936173553</v>
      </c>
      <c r="AW252" s="43" t="n">
        <f aca="false">AW218</f>
        <v>0.163725113465667</v>
      </c>
      <c r="AX252" s="43" t="n">
        <f aca="false">AX218</f>
        <v>0.161239355338166</v>
      </c>
      <c r="AY252" s="43" t="n">
        <f aca="false">AY218</f>
        <v>0.143141016744361</v>
      </c>
      <c r="AZ252" s="43" t="n">
        <f aca="false">AZ218</f>
        <v>0.147050199241003</v>
      </c>
      <c r="BA252" s="43" t="n">
        <f aca="false">BA218</f>
        <v>0.175314087234585</v>
      </c>
      <c r="BB252" s="43" t="n">
        <f aca="false">BB218</f>
        <v>0.157576245568958</v>
      </c>
      <c r="BC252" s="43" t="n">
        <f aca="false">BC218</f>
        <v>0.15673233261475</v>
      </c>
      <c r="BD252" s="43" t="n">
        <f aca="false">BD218</f>
        <v>0.153648389865951</v>
      </c>
      <c r="BE252" s="43" t="n">
        <f aca="false">BE218</f>
        <v>0.157269225961224</v>
      </c>
      <c r="BF252" s="43" t="n">
        <f aca="false">BF218</f>
        <v>0.14453540086859</v>
      </c>
      <c r="BG252" s="43" t="n">
        <f aca="false">BG218</f>
        <v>0.152684847987205</v>
      </c>
      <c r="BH252" s="43" t="n">
        <f aca="false">BH218</f>
        <v>0.15775557047334</v>
      </c>
      <c r="BI252" s="43" t="n">
        <f aca="false">BI218</f>
        <v>0.158531174455754</v>
      </c>
      <c r="BJ252" s="43" t="n">
        <f aca="false">BJ218</f>
        <v>0.145389628829278</v>
      </c>
      <c r="BK252" s="43" t="n">
        <f aca="false">BK218</f>
        <v>0.136656424057563</v>
      </c>
      <c r="BL252" s="43" t="n">
        <f aca="false">BL218</f>
        <v>0.148716633968281</v>
      </c>
      <c r="BM252" s="43" t="n">
        <f aca="false">BM218</f>
        <v>0.14123296796041</v>
      </c>
      <c r="BN252" s="43" t="n">
        <f aca="false">BN218</f>
        <v>0.140342159988909</v>
      </c>
      <c r="BO252" s="35" t="n">
        <f aca="false">BO218</f>
        <v>0.1482436385834</v>
      </c>
      <c r="BP252" s="35" t="n">
        <f aca="false">BP218</f>
        <v>0.147132640847274</v>
      </c>
      <c r="BQ252" s="35" t="n">
        <f aca="false">BQ218</f>
        <v>0.144479078941634</v>
      </c>
      <c r="BR252" s="35" t="n">
        <f aca="false">BR218</f>
        <v>0.14641611966597</v>
      </c>
      <c r="BS252" s="35" t="n">
        <f aca="false">BS218</f>
        <v>0.149552914101551</v>
      </c>
      <c r="BT252" s="35" t="n">
        <f aca="false">BT218</f>
        <v>0.152138760190666</v>
      </c>
      <c r="BU252" s="35" t="n">
        <f aca="false">BU218</f>
        <v>0.15336141912865</v>
      </c>
      <c r="BV252" s="15"/>
      <c r="BX252" s="38" t="n">
        <f aca="false">IFERROR(AVERAGE(BQ252,BR252,BS252,BT252,BU252),"n/m")</f>
        <v>0.149189658405694</v>
      </c>
      <c r="BY252" s="38" t="n">
        <f aca="false">IFERROR(AVERAGE(AR252,AW252,BB252,BG252,BL252),"n/m")</f>
        <v>0.157397050599295</v>
      </c>
      <c r="BZ252" s="38" t="n">
        <f aca="false">IFERROR(AVERAGE(S252,X252,AC252,AH252,AM252,AR252,AW252,BB252,BG252,BL252),"n/m")</f>
        <v>0.167172332704899</v>
      </c>
      <c r="CA252" s="38" t="n">
        <f aca="false">IFERROR(AVERAGE(D252,I252,N252,S252,X252,AC252,AH252,AM252,AR252,AW252,BB252,BG252,BL252),"n/m")</f>
        <v>0.165853878988219</v>
      </c>
    </row>
    <row r="253" customFormat="false" ht="15" hidden="false" customHeight="false" outlineLevel="0" collapsed="false">
      <c r="B253" s="13" t="s">
        <v>423</v>
      </c>
      <c r="C253" s="19"/>
      <c r="D253" s="43" t="str">
        <f aca="false">IF(AND(ISNUMBER(D208),ISNUMBER(C208)),IFERROR((D208-C208)/(D157-C157),""),"")</f>
        <v/>
      </c>
      <c r="E253" s="19"/>
      <c r="F253" s="19"/>
      <c r="G253" s="19"/>
      <c r="H253" s="19"/>
      <c r="I253" s="43" t="str">
        <f aca="false">IF(AND(ISNUMBER(I208),ISNUMBER(D208)),IFERROR((I208-D208)/(I157-D157),""),"")</f>
        <v/>
      </c>
      <c r="J253" s="19"/>
      <c r="K253" s="19"/>
      <c r="L253" s="19"/>
      <c r="M253" s="19"/>
      <c r="N253" s="43" t="n">
        <f aca="false">IF(AND(ISNUMBER(N208),ISNUMBER(I208)),IFERROR((N208-I208)/(N157-I157),""),"")</f>
        <v>-0.0268521421852401</v>
      </c>
      <c r="O253" s="19"/>
      <c r="P253" s="19"/>
      <c r="Q253" s="19"/>
      <c r="R253" s="19"/>
      <c r="S253" s="43" t="n">
        <f aca="false">IF(AND(ISNUMBER(S208),ISNUMBER(N208)),IFERROR((S208-N208)/(S157-N157),""),"")</f>
        <v>0.259271052397736</v>
      </c>
      <c r="T253" s="19"/>
      <c r="U253" s="19"/>
      <c r="V253" s="19"/>
      <c r="W253" s="19"/>
      <c r="X253" s="43" t="n">
        <f aca="false">IF(AND(ISNUMBER(X208),ISNUMBER(S208)),IFERROR((X208-S208)/(X157-S157),""),"")</f>
        <v>0.302008529872781</v>
      </c>
      <c r="Y253" s="19"/>
      <c r="Z253" s="19"/>
      <c r="AA253" s="19"/>
      <c r="AB253" s="19"/>
      <c r="AC253" s="43" t="n">
        <f aca="false">IF(AND(ISNUMBER(AC208),ISNUMBER(X208)),IFERROR((AC208-X208)/(AC157-X157),""),"")</f>
        <v>-0.031814250430225</v>
      </c>
      <c r="AD253" s="19"/>
      <c r="AE253" s="19"/>
      <c r="AF253" s="19"/>
      <c r="AG253" s="19"/>
      <c r="AH253" s="43" t="n">
        <f aca="false">IF(AND(ISNUMBER(AH208),ISNUMBER(AC208)),IFERROR((AH208-AC208)/(AH157-AC157),""),"")</f>
        <v>0.270111858235735</v>
      </c>
      <c r="AI253" s="19"/>
      <c r="AJ253" s="19"/>
      <c r="AK253" s="19"/>
      <c r="AL253" s="19"/>
      <c r="AM253" s="43" t="n">
        <f aca="false">IF(AND(ISNUMBER(AM208),ISNUMBER(AH208)),IFERROR((AM208-AH208)/(AM157-AH157),""),"")</f>
        <v>0.14778473814065</v>
      </c>
      <c r="AN253" s="19"/>
      <c r="AO253" s="19"/>
      <c r="AP253" s="19"/>
      <c r="AQ253" s="19"/>
      <c r="AR253" s="43" t="n">
        <f aca="false">IF(AND(ISNUMBER(AR208),ISNUMBER(AM208)),IFERROR((AR208-AM208)/(AR157-AM157),""),"")</f>
        <v>-16.1254480286741</v>
      </c>
      <c r="AS253" s="19"/>
      <c r="AT253" s="19"/>
      <c r="AU253" s="19"/>
      <c r="AV253" s="19"/>
      <c r="AW253" s="43" t="n">
        <f aca="false">IF(AND(ISNUMBER(AW208),ISNUMBER(AR208)),IFERROR((AW208-AR208)/(AW157-AR157),""),"")</f>
        <v>0.196625597646193</v>
      </c>
      <c r="AX253" s="19"/>
      <c r="AY253" s="19"/>
      <c r="AZ253" s="19"/>
      <c r="BA253" s="19"/>
      <c r="BB253" s="43" t="n">
        <f aca="false">IF(AND(ISNUMBER(BB208),ISNUMBER(AW208)),IFERROR((BB208-AW208)/(BB157-AW157),""),"")</f>
        <v>0.123396906727394</v>
      </c>
      <c r="BC253" s="19"/>
      <c r="BD253" s="19"/>
      <c r="BE253" s="19"/>
      <c r="BF253" s="19"/>
      <c r="BG253" s="43" t="n">
        <f aca="false">IF(AND(ISNUMBER(BG208),ISNUMBER(BB208)),IFERROR((BG208-BB208)/(BG157-BB157),""),"")</f>
        <v>0.128983095806505</v>
      </c>
      <c r="BH253" s="19"/>
      <c r="BI253" s="19"/>
      <c r="BJ253" s="19"/>
      <c r="BK253" s="19"/>
      <c r="BL253" s="43" t="n">
        <f aca="false">IF(AND(ISNUMBER(BL208),ISNUMBER(BG208)),IFERROR((BL208-BG208)/(BL157-BG157),""),"")</f>
        <v>0.152749453787713</v>
      </c>
      <c r="BM253" s="19"/>
      <c r="BN253" s="19"/>
      <c r="BO253" s="36"/>
      <c r="BP253" s="36"/>
      <c r="BQ253" s="35" t="n">
        <f aca="false">IFERROR((BQ208-BL208)/(BQ157-BL157),"")</f>
        <v>0.154186925985952</v>
      </c>
      <c r="BR253" s="35" t="n">
        <f aca="false">IFERROR((BR208-BQ208)/(BR157-BQ157),"")</f>
        <v>0.240476282642259</v>
      </c>
      <c r="BS253" s="35" t="n">
        <f aca="false">IFERROR((BS208-BR208)/(BS157-BR157),"")</f>
        <v>0.223697458995056</v>
      </c>
      <c r="BT253" s="35" t="n">
        <f aca="false">IFERROR((BT208-BS208)/(BT157-BS157),"")</f>
        <v>0.218068531462808</v>
      </c>
      <c r="BU253" s="35" t="n">
        <f aca="false">IFERROR((BU208-BT208)/(BU157-BT157),"")</f>
        <v>0.198232998502637</v>
      </c>
      <c r="BV253" s="15"/>
    </row>
    <row r="254" customFormat="false" ht="15" hidden="false" customHeight="false" outlineLevel="0" collapsed="false">
      <c r="B254" s="13" t="s">
        <v>134</v>
      </c>
      <c r="C254" s="43" t="str">
        <f aca="false">IF(AND(ISNUMBER(C164),ISNUMBER(C157)),IFERROR(C164/C157,""),"")</f>
        <v/>
      </c>
      <c r="D254" s="43" t="n">
        <f aca="false">IF(AND(ISNUMBER(D164),ISNUMBER(D157)),IFERROR(D164/D157,""),"")</f>
        <v>0.198434306633055</v>
      </c>
      <c r="E254" s="43" t="n">
        <f aca="false">IF(AND(ISNUMBER(E164),ISNUMBER(E157)),IFERROR(E164/E157,""),"")</f>
        <v>0.12556834807662</v>
      </c>
      <c r="F254" s="43" t="n">
        <f aca="false">IF(AND(ISNUMBER(F164),ISNUMBER(F157)),IFERROR(F164/F157,""),"")</f>
        <v>0.0757459557281896</v>
      </c>
      <c r="G254" s="43" t="n">
        <f aca="false">IF(AND(ISNUMBER(G164),ISNUMBER(G157)),IFERROR(G164/G157,""),"")</f>
        <v>0.102951812943157</v>
      </c>
      <c r="H254" s="43" t="n">
        <f aca="false">IF(AND(ISNUMBER(H164),ISNUMBER(H157)),IFERROR(H164/H157,""),"")</f>
        <v>-0.206630007537549</v>
      </c>
      <c r="I254" s="43" t="n">
        <f aca="false">IF(AND(ISNUMBER(I164),ISNUMBER(I157)),IFERROR(I164/I157,""),"")</f>
        <v>0.017320299735973</v>
      </c>
      <c r="J254" s="43" t="n">
        <f aca="false">IF(AND(ISNUMBER(J164),ISNUMBER(J157)),IFERROR(J164/J157,""),"")</f>
        <v>0.160313694163095</v>
      </c>
      <c r="K254" s="43" t="n">
        <f aca="false">IF(AND(ISNUMBER(K164),ISNUMBER(K157)),IFERROR(K164/K157,""),"")</f>
        <v>0.0324387136517003</v>
      </c>
      <c r="L254" s="43" t="n">
        <f aca="false">IF(AND(ISNUMBER(L164),ISNUMBER(L157)),IFERROR(L164/L157,""),"")</f>
        <v>0.36483828732206</v>
      </c>
      <c r="M254" s="43" t="n">
        <f aca="false">IF(AND(ISNUMBER(M164),ISNUMBER(M157)),IFERROR(M164/M157,""),"")</f>
        <v>0.0263973533953586</v>
      </c>
      <c r="N254" s="43" t="n">
        <f aca="false">IF(AND(ISNUMBER(N164),ISNUMBER(N157)),IFERROR(N164/N157,""),"")</f>
        <v>0.145486952227754</v>
      </c>
      <c r="O254" s="43" t="n">
        <f aca="false">IF(AND(ISNUMBER(O164),ISNUMBER(O157)),IFERROR(O164/O157,""),"")</f>
        <v>0.116792662803638</v>
      </c>
      <c r="P254" s="43" t="n">
        <f aca="false">IF(AND(ISNUMBER(P164),ISNUMBER(P157)),IFERROR(P164/P157,""),"")</f>
        <v>0.219835877350379</v>
      </c>
      <c r="Q254" s="43" t="n">
        <f aca="false">IF(AND(ISNUMBER(Q164),ISNUMBER(Q157)),IFERROR(Q164/Q157,""),"")</f>
        <v>0.164353565829172</v>
      </c>
      <c r="R254" s="43" t="n">
        <f aca="false">IF(AND(ISNUMBER(R164),ISNUMBER(R157)),IFERROR(R164/R157,""),"")</f>
        <v>0.113462586044669</v>
      </c>
      <c r="S254" s="43" t="n">
        <f aca="false">IF(AND(ISNUMBER(S164),ISNUMBER(S157)),IFERROR(S164/S157,""),"")</f>
        <v>0.15430618229519</v>
      </c>
      <c r="T254" s="43" t="n">
        <f aca="false">IF(AND(ISNUMBER(T164),ISNUMBER(T157)),IFERROR(T164/T157,""),"")</f>
        <v>0.194300245896471</v>
      </c>
      <c r="U254" s="43" t="n">
        <f aca="false">IF(AND(ISNUMBER(U164),ISNUMBER(U157)),IFERROR(U164/U157,""),"")</f>
        <v>0.225230542595199</v>
      </c>
      <c r="V254" s="43" t="n">
        <f aca="false">IF(AND(ISNUMBER(V164),ISNUMBER(V157)),IFERROR(V164/V157,""),"")</f>
        <v>0.175698683708508</v>
      </c>
      <c r="W254" s="43" t="n">
        <f aca="false">IF(AND(ISNUMBER(W164),ISNUMBER(W157)),IFERROR(W164/W157,""),"")</f>
        <v>0.138681074445875</v>
      </c>
      <c r="X254" s="43" t="n">
        <f aca="false">IF(AND(ISNUMBER(X164),ISNUMBER(X157)),IFERROR(X164/X157,""),"")</f>
        <v>0.183017150766292</v>
      </c>
      <c r="Y254" s="43" t="n">
        <f aca="false">IF(AND(ISNUMBER(Y164),ISNUMBER(Y157)),IFERROR(Y164/Y157,""),"")</f>
        <v>0.174632702535506</v>
      </c>
      <c r="Z254" s="43" t="n">
        <f aca="false">IF(AND(ISNUMBER(Z164),ISNUMBER(Z157)),IFERROR(Z164/Z157,""),"")</f>
        <v>0.163011111338943</v>
      </c>
      <c r="AA254" s="43" t="n">
        <f aca="false">IF(AND(ISNUMBER(AA164),ISNUMBER(AA157)),IFERROR(AA164/AA157,""),"")</f>
        <v>0.118435184380045</v>
      </c>
      <c r="AB254" s="43" t="n">
        <f aca="false">IF(AND(ISNUMBER(AB164),ISNUMBER(AB157)),IFERROR(AB164/AB157,""),"")</f>
        <v>0.215785421696325</v>
      </c>
      <c r="AC254" s="43" t="n">
        <f aca="false">IF(AND(ISNUMBER(AC164),ISNUMBER(AC157)),IFERROR(AC164/AC157,""),"")</f>
        <v>0.169442115597128</v>
      </c>
      <c r="AD254" s="43" t="n">
        <f aca="false">IF(AND(ISNUMBER(AD164),ISNUMBER(AD157)),IFERROR(AD164/AD157,""),"")</f>
        <v>0.152823601166035</v>
      </c>
      <c r="AE254" s="43" t="n">
        <f aca="false">IF(AND(ISNUMBER(AE164),ISNUMBER(AE157)),IFERROR(AE164/AE157,""),"")</f>
        <v>0.170903442260802</v>
      </c>
      <c r="AF254" s="43" t="n">
        <f aca="false">IF(AND(ISNUMBER(AF164),ISNUMBER(AF157)),IFERROR(AF164/AF157,""),"")</f>
        <v>0.194588932806324</v>
      </c>
      <c r="AG254" s="43" t="n">
        <f aca="false">IF(AND(ISNUMBER(AG164),ISNUMBER(AG157)),IFERROR(AG164/AG157,""),"")</f>
        <v>0.165351581593464</v>
      </c>
      <c r="AH254" s="43" t="n">
        <f aca="false">IF(AND(ISNUMBER(AH164),ISNUMBER(AH157)),IFERROR(AH164/AH157,""),"")</f>
        <v>0.171786144006079</v>
      </c>
      <c r="AI254" s="43" t="n">
        <f aca="false">IF(AND(ISNUMBER(AI164),ISNUMBER(AI157)),IFERROR(AI164/AI157,""),"")</f>
        <v>0.181234876652502</v>
      </c>
      <c r="AJ254" s="43" t="n">
        <f aca="false">IF(AND(ISNUMBER(AJ164),ISNUMBER(AJ157)),IFERROR(AJ164/AJ157,""),"")</f>
        <v>0.16339094584952</v>
      </c>
      <c r="AK254" s="43" t="n">
        <f aca="false">IF(AND(ISNUMBER(AK164),ISNUMBER(AK157)),IFERROR(AK164/AK157,""),"")</f>
        <v>0.170751599413709</v>
      </c>
      <c r="AL254" s="43" t="n">
        <f aca="false">IF(AND(ISNUMBER(AL164),ISNUMBER(AL157)),IFERROR(AL164/AL157,""),"")</f>
        <v>0.159955827692087</v>
      </c>
      <c r="AM254" s="43" t="n">
        <f aca="false">IF(AND(ISNUMBER(AM164),ISNUMBER(AM157)),IFERROR(AM164/AM157,""),"")</f>
        <v>0.168848268626184</v>
      </c>
      <c r="AN254" s="43" t="n">
        <f aca="false">IF(AND(ISNUMBER(AN164),ISNUMBER(AN157)),IFERROR(AN164/AN157,""),"")</f>
        <v>0.156006458781728</v>
      </c>
      <c r="AO254" s="43" t="n">
        <f aca="false">IF(AND(ISNUMBER(AO164),ISNUMBER(AO157)),IFERROR(AO164/AO157,""),"")</f>
        <v>0.146012959835597</v>
      </c>
      <c r="AP254" s="43" t="n">
        <f aca="false">IF(AND(ISNUMBER(AP164),ISNUMBER(AP157)),IFERROR(AP164/AP157,""),"")</f>
        <v>0.175382523905864</v>
      </c>
      <c r="AQ254" s="43" t="n">
        <f aca="false">IF(AND(ISNUMBER(AQ164),ISNUMBER(AQ157)),IFERROR(AQ164/AQ157,""),"")</f>
        <v>0.172667764686009</v>
      </c>
      <c r="AR254" s="43" t="n">
        <f aca="false">IF(AND(ISNUMBER(AR164),ISNUMBER(AR157)),IFERROR(AR164/AR157,""),"")</f>
        <v>0.162822952496005</v>
      </c>
      <c r="AS254" s="43" t="n">
        <f aca="false">IF(AND(ISNUMBER(AS164),ISNUMBER(AS157)),IFERROR(AS164/AS157,""),"")</f>
        <v>0.134855616142051</v>
      </c>
      <c r="AT254" s="43" t="n">
        <f aca="false">IF(AND(ISNUMBER(AT164),ISNUMBER(AT157)),IFERROR(AT164/AT157,""),"")</f>
        <v>0.171843423407818</v>
      </c>
      <c r="AU254" s="43" t="n">
        <f aca="false">IF(AND(ISNUMBER(AU164),ISNUMBER(AU157)),IFERROR(AU164/AU157,""),"")</f>
        <v>0.152523051835841</v>
      </c>
      <c r="AV254" s="43" t="n">
        <f aca="false">IF(AND(ISNUMBER(AV164),ISNUMBER(AV157)),IFERROR(AV164/AV157,""),"")</f>
        <v>0.163227738285775</v>
      </c>
      <c r="AW254" s="43" t="n">
        <f aca="false">IF(AND(ISNUMBER(AW164),ISNUMBER(AW157)),IFERROR(AW164/AW157,""),"")</f>
        <v>0.156111470893044</v>
      </c>
      <c r="AX254" s="43" t="n">
        <f aca="false">IF(AND(ISNUMBER(AX164),ISNUMBER(AX157)),IFERROR(AX164/AX157,""),"")</f>
        <v>0.154553452037441</v>
      </c>
      <c r="AY254" s="43" t="n">
        <f aca="false">IF(AND(ISNUMBER(AY164),ISNUMBER(AY157)),IFERROR(AY164/AY157,""),"")</f>
        <v>0.141508217064389</v>
      </c>
      <c r="AZ254" s="43" t="n">
        <f aca="false">IF(AND(ISNUMBER(AZ164),ISNUMBER(AZ157)),IFERROR(AZ164/AZ157,""),"")</f>
        <v>0.144677273644085</v>
      </c>
      <c r="BA254" s="43" t="n">
        <f aca="false">IF(AND(ISNUMBER(BA164),ISNUMBER(BA157)),IFERROR(BA164/BA157,""),"")</f>
        <v>0.169800762217184</v>
      </c>
      <c r="BB254" s="43" t="n">
        <f aca="false">IF(AND(ISNUMBER(BB164),ISNUMBER(BB157)),IFERROR(BB164/BB157,""),"")</f>
        <v>0.153450153807081</v>
      </c>
      <c r="BC254" s="43" t="n">
        <f aca="false">IF(AND(ISNUMBER(BC164),ISNUMBER(BC157)),IFERROR(BC164/BC157,""),"")</f>
        <v>0.153917604633373</v>
      </c>
      <c r="BD254" s="43" t="n">
        <f aca="false">IF(AND(ISNUMBER(BD164),ISNUMBER(BD157)),IFERROR(BD164/BD157,""),"")</f>
        <v>0.14499057178285</v>
      </c>
      <c r="BE254" s="43" t="n">
        <f aca="false">IF(AND(ISNUMBER(BE164),ISNUMBER(BE157)),IFERROR(BE164/BE157,""),"")</f>
        <v>0.143726672579752</v>
      </c>
      <c r="BF254" s="43" t="n">
        <f aca="false">IF(AND(ISNUMBER(BF164),ISNUMBER(BF157)),IFERROR(BF164/BF157,""),"")</f>
        <v>0.123631354461607</v>
      </c>
      <c r="BG254" s="43" t="n">
        <f aca="false">IF(AND(ISNUMBER(BG164),ISNUMBER(BG157)),IFERROR(BG164/BG157,""),"")</f>
        <v>0.14077504000142</v>
      </c>
      <c r="BH254" s="43" t="n">
        <f aca="false">IF(AND(ISNUMBER(BH164),ISNUMBER(BH157)),IFERROR(BH164/BH157,""),"")</f>
        <v>0.141632637506632</v>
      </c>
      <c r="BI254" s="43" t="n">
        <f aca="false">IF(AND(ISNUMBER(BI164),ISNUMBER(BI157)),IFERROR(BI164/BI157,""),"")</f>
        <v>0.13405598405317</v>
      </c>
      <c r="BJ254" s="43" t="n">
        <f aca="false">IF(AND(ISNUMBER(BJ164),ISNUMBER(BJ157)),IFERROR(BJ164/BJ157,""),"")</f>
        <v>0.130844778745126</v>
      </c>
      <c r="BK254" s="43" t="n">
        <f aca="false">IF(AND(ISNUMBER(BK164),ISNUMBER(BK157)),IFERROR(BK164/BK157,""),"")</f>
        <v>0.103919209068886</v>
      </c>
      <c r="BL254" s="43" t="n">
        <f aca="false">IF(AND(ISNUMBER(BL164),ISNUMBER(BL157)),IFERROR(BL164/BL157,""),"")</f>
        <v>0.126455677403722</v>
      </c>
      <c r="BM254" s="43" t="n">
        <f aca="false">IF(AND(ISNUMBER(BM164),ISNUMBER(BM157)),IFERROR(BM164/BM157,""),"")</f>
        <v>0.124028006886634</v>
      </c>
      <c r="BN254" s="43" t="n">
        <f aca="false">IF(AND(ISNUMBER(BN164),ISNUMBER(BN157)),IFERROR(BN164/BN157,""),"")</f>
        <v>0.126589213919312</v>
      </c>
      <c r="BO254" s="35" t="n">
        <f aca="false">IF(AND(ISNUMBER(BO164),ISNUMBER(BO157)),IFERROR(BO164/BO157,""),"")</f>
        <v>0.132734585332629</v>
      </c>
      <c r="BP254" s="35" t="n">
        <f aca="false">IF(AND(ISNUMBER(BP164),ISNUMBER(BP157)),IFERROR(BP164/BP157,""),"")</f>
        <v>0.132115999168227</v>
      </c>
      <c r="BQ254" s="35" t="n">
        <f aca="false">IF(AND(ISNUMBER(BQ164),ISNUMBER(BQ157)),IFERROR(BQ164/BQ157,""),"")</f>
        <v>0.129136973678476</v>
      </c>
      <c r="BR254" s="35" t="n">
        <f aca="false">IF(AND(ISNUMBER(BR164),ISNUMBER(BR157)),IFERROR(BR164/BR157,""),"")</f>
        <v>0.276964957602723</v>
      </c>
      <c r="BS254" s="35" t="n">
        <f aca="false">IF(AND(ISNUMBER(BS164),ISNUMBER(BS157)),IFERROR(BS164/BS157,""),"")</f>
        <v>0.141656677467902</v>
      </c>
      <c r="BT254" s="35" t="n">
        <f aca="false">IF(AND(ISNUMBER(BT164),ISNUMBER(BT157)),IFERROR(BT164/BT157,""),"")</f>
        <v>0.145143208328702</v>
      </c>
      <c r="BU254" s="35" t="n">
        <f aca="false">IF(AND(ISNUMBER(BU164),ISNUMBER(BU157)),IFERROR(BU164/BU157,""),"")</f>
        <v>0.146249815889918</v>
      </c>
      <c r="BV254" s="15"/>
      <c r="BX254" s="38" t="n">
        <f aca="false">IFERROR(AVERAGE(BQ254,BR254,BS254,BT254,BU254),"n/m")</f>
        <v>0.167830326593544</v>
      </c>
      <c r="BY254" s="38" t="n">
        <f aca="false">IFERROR(AVERAGE(AR254,AW254,BB254,BG254,BL254),"n/m")</f>
        <v>0.147923058920255</v>
      </c>
      <c r="BZ254" s="38" t="n">
        <f aca="false">IFERROR(AVERAGE(S254,X254,AC254,AH254,AM254,AR254,AW254,BB254,BG254,BL254),"n/m")</f>
        <v>0.158701515589215</v>
      </c>
      <c r="CA254" s="38" t="n">
        <f aca="false">IFERROR(AVERAGE(D254,I254,N254,S254,X254,AC254,AH254,AM254,AR254,AW254,BB254,BG254,BL254),"n/m")</f>
        <v>0.149865901114533</v>
      </c>
    </row>
    <row r="255" customFormat="false" ht="15" hidden="false" customHeight="false" outlineLevel="0" collapsed="false">
      <c r="B255" s="13" t="s">
        <v>424</v>
      </c>
      <c r="C255" s="43" t="n">
        <f aca="false">IF(AND(ISNUMBER(C177),ISNUMBER(C157)),IFERROR(C177/C157,""),"")</f>
        <v>0.149517619432858</v>
      </c>
      <c r="D255" s="43" t="n">
        <f aca="false">IF(AND(ISNUMBER(D177),ISNUMBER(D157)),IFERROR(D177/D157,""),"")</f>
        <v>0.223757858046646</v>
      </c>
      <c r="E255" s="43" t="n">
        <f aca="false">IF(AND(ISNUMBER(E177),ISNUMBER(E157)),IFERROR(E177/E157,""),"")</f>
        <v>0.126735993877597</v>
      </c>
      <c r="F255" s="43" t="n">
        <f aca="false">IF(AND(ISNUMBER(F177),ISNUMBER(F157)),IFERROR(F177/F157,""),"")</f>
        <v>0.0729320694754033</v>
      </c>
      <c r="G255" s="43" t="n">
        <f aca="false">IF(AND(ISNUMBER(G177),ISNUMBER(G157)),IFERROR(G177/G157,""),"")</f>
        <v>0.181454385923309</v>
      </c>
      <c r="H255" s="43" t="n">
        <f aca="false">IF(AND(ISNUMBER(H177),ISNUMBER(H157)),IFERROR(H177/H157,""),"")</f>
        <v>-0.261302528872858</v>
      </c>
      <c r="I255" s="43" t="n">
        <f aca="false">IF(AND(ISNUMBER(I177),ISNUMBER(I157)),IFERROR(I177/I157,""),"")</f>
        <v>0.0202590634284886</v>
      </c>
      <c r="J255" s="43" t="n">
        <f aca="false">IF(AND(ISNUMBER(J177),ISNUMBER(J157)),IFERROR(J177/J157,""),"")</f>
        <v>0.134899816981931</v>
      </c>
      <c r="K255" s="43" t="n">
        <f aca="false">IF(AND(ISNUMBER(K177),ISNUMBER(K157)),IFERROR(K177/K157,""),"")</f>
        <v>-0.0480126562784382</v>
      </c>
      <c r="L255" s="43" t="n">
        <f aca="false">IF(AND(ISNUMBER(L177),ISNUMBER(L157)),IFERROR(L177/L157,""),"")</f>
        <v>0.289355656461543</v>
      </c>
      <c r="M255" s="43" t="n">
        <f aca="false">IF(AND(ISNUMBER(M177),ISNUMBER(M157)),IFERROR(M177/M157,""),"")</f>
        <v>-0.00141507619429677</v>
      </c>
      <c r="N255" s="43" t="n">
        <f aca="false">IF(AND(ISNUMBER(N177),ISNUMBER(N157)),IFERROR(N177/N157,""),"")</f>
        <v>0.0928734063378427</v>
      </c>
      <c r="O255" s="43" t="n">
        <f aca="false">IF(AND(ISNUMBER(O177),ISNUMBER(O157)),IFERROR(O177/O157,""),"")</f>
        <v>0.133737727026034</v>
      </c>
      <c r="P255" s="43" t="n">
        <f aca="false">IF(AND(ISNUMBER(P177),ISNUMBER(P157)),IFERROR(P177/P157,""),"")</f>
        <v>0.1428418766247</v>
      </c>
      <c r="Q255" s="43" t="n">
        <f aca="false">IF(AND(ISNUMBER(Q177),ISNUMBER(Q157)),IFERROR(Q177/Q157,""),"")</f>
        <v>0.106725866589373</v>
      </c>
      <c r="R255" s="43" t="n">
        <f aca="false">IF(AND(ISNUMBER(R177),ISNUMBER(R157)),IFERROR(R177/R157,""),"")</f>
        <v>0.0841677809141782</v>
      </c>
      <c r="S255" s="43" t="n">
        <f aca="false">IF(AND(ISNUMBER(S177),ISNUMBER(S157)),IFERROR(S177/S157,""),"")</f>
        <v>0.118057647076274</v>
      </c>
      <c r="T255" s="43" t="n">
        <f aca="false">IF(AND(ISNUMBER(T177),ISNUMBER(T157)),IFERROR(T177/T157,""),"")</f>
        <v>0.130114961854522</v>
      </c>
      <c r="U255" s="43" t="n">
        <f aca="false">IF(AND(ISNUMBER(U177),ISNUMBER(U157)),IFERROR(U177/U157,""),"")</f>
        <v>0.149417942445447</v>
      </c>
      <c r="V255" s="43" t="n">
        <f aca="false">IF(AND(ISNUMBER(V177),ISNUMBER(V157)),IFERROR(V177/V157,""),"")</f>
        <v>0.111009633727585</v>
      </c>
      <c r="W255" s="43" t="n">
        <f aca="false">IF(AND(ISNUMBER(W177),ISNUMBER(W157)),IFERROR(W177/W157,""),"")</f>
        <v>-0.0364789904635258</v>
      </c>
      <c r="X255" s="43" t="n">
        <f aca="false">IF(AND(ISNUMBER(X177),ISNUMBER(X157)),IFERROR(X177/X157,""),"")</f>
        <v>0.0875989045693112</v>
      </c>
      <c r="Y255" s="43" t="n">
        <f aca="false">IF(AND(ISNUMBER(Y177),ISNUMBER(Y157)),IFERROR(Y177/Y157,""),"")</f>
        <v>0.145237975530262</v>
      </c>
      <c r="Z255" s="43" t="n">
        <f aca="false">IF(AND(ISNUMBER(Z177),ISNUMBER(Z157)),IFERROR(Z177/Z157,""),"")</f>
        <v>0.13820938164271</v>
      </c>
      <c r="AA255" s="43" t="n">
        <f aca="false">IF(AND(ISNUMBER(AA177),ISNUMBER(AA157)),IFERROR(AA177/AA157,""),"")</f>
        <v>0.183120371697763</v>
      </c>
      <c r="AB255" s="43" t="n">
        <f aca="false">IF(AND(ISNUMBER(AB177),ISNUMBER(AB157)),IFERROR(AB177/AB157,""),"")</f>
        <v>0.0458893133444073</v>
      </c>
      <c r="AC255" s="43" t="n">
        <f aca="false">IF(AND(ISNUMBER(AC177),ISNUMBER(AC157)),IFERROR(AC177/AC157,""),"")</f>
        <v>0.126095553670254</v>
      </c>
      <c r="AD255" s="43" t="n">
        <f aca="false">IF(AND(ISNUMBER(AD177),ISNUMBER(AD157)),IFERROR(AD177/AD157,""),"")</f>
        <v>0.117607226728522</v>
      </c>
      <c r="AE255" s="43" t="n">
        <f aca="false">IF(AND(ISNUMBER(AE177),ISNUMBER(AE157)),IFERROR(AE177/AE157,""),"")</f>
        <v>0.124945090624343</v>
      </c>
      <c r="AF255" s="43" t="n">
        <f aca="false">IF(AND(ISNUMBER(AF177),ISNUMBER(AF157)),IFERROR(AF177/AF157,""),"")</f>
        <v>0.147845849802371</v>
      </c>
      <c r="AG255" s="43" t="n">
        <f aca="false">IF(AND(ISNUMBER(AG177),ISNUMBER(AG157)),IFERROR(AG177/AG157,""),"")</f>
        <v>0.122595189880994</v>
      </c>
      <c r="AH255" s="43" t="n">
        <f aca="false">IF(AND(ISNUMBER(AH177),ISNUMBER(AH157)),IFERROR(AH177/AH157,""),"")</f>
        <v>0.128826019040382</v>
      </c>
      <c r="AI255" s="43" t="n">
        <f aca="false">IF(AND(ISNUMBER(AI177),ISNUMBER(AI157)),IFERROR(AI177/AI157,""),"")</f>
        <v>0.139243611307838</v>
      </c>
      <c r="AJ255" s="43" t="n">
        <f aca="false">IF(AND(ISNUMBER(AJ177),ISNUMBER(AJ157)),IFERROR(AJ177/AJ157,""),"")</f>
        <v>0.12736462380084</v>
      </c>
      <c r="AK255" s="43" t="n">
        <f aca="false">IF(AND(ISNUMBER(AK177),ISNUMBER(AK157)),IFERROR(AK177/AK157,""),"")</f>
        <v>0.140746482828664</v>
      </c>
      <c r="AL255" s="43" t="n">
        <f aca="false">IF(AND(ISNUMBER(AL177),ISNUMBER(AL157)),IFERROR(AL177/AL157,""),"")</f>
        <v>0.118047799464905</v>
      </c>
      <c r="AM255" s="43" t="n">
        <f aca="false">IF(AND(ISNUMBER(AM177),ISNUMBER(AM157)),IFERROR(AM177/AM157,""),"")</f>
        <v>0.13123046871321</v>
      </c>
      <c r="AN255" s="43" t="n">
        <f aca="false">IF(AND(ISNUMBER(AN177),ISNUMBER(AN157)),IFERROR(AN177/AN157,""),"")</f>
        <v>0.13203211218442</v>
      </c>
      <c r="AO255" s="43" t="n">
        <f aca="false">IF(AND(ISNUMBER(AO177),ISNUMBER(AO157)),IFERROR(AO177/AO157,""),"")</f>
        <v>0.117495778055391</v>
      </c>
      <c r="AP255" s="43" t="n">
        <f aca="false">IF(AND(ISNUMBER(AP177),ISNUMBER(AP157)),IFERROR(AP177/AP157,""),"")</f>
        <v>0.120133860809621</v>
      </c>
      <c r="AQ255" s="43" t="n">
        <f aca="false">IF(AND(ISNUMBER(AQ177),ISNUMBER(AQ157)),IFERROR(AQ177/AQ157,""),"")</f>
        <v>0.197408674352802</v>
      </c>
      <c r="AR255" s="43" t="n">
        <f aca="false">IF(AND(ISNUMBER(AR177),ISNUMBER(AR157)),IFERROR(AR177/AR157,""),"")</f>
        <v>0.144002045126488</v>
      </c>
      <c r="AS255" s="43" t="n">
        <f aca="false">IF(AND(ISNUMBER(AS177),ISNUMBER(AS157)),IFERROR(AS177/AS157,""),"")</f>
        <v>0.111184803047832</v>
      </c>
      <c r="AT255" s="43" t="n">
        <f aca="false">IF(AND(ISNUMBER(AT177),ISNUMBER(AT157)),IFERROR(AT177/AT157,""),"")</f>
        <v>0.134629958427161</v>
      </c>
      <c r="AU255" s="43" t="n">
        <f aca="false">IF(AND(ISNUMBER(AU177),ISNUMBER(AU157)),IFERROR(AU177/AU157,""),"")</f>
        <v>0.117627852002345</v>
      </c>
      <c r="AV255" s="43" t="n">
        <f aca="false">IF(AND(ISNUMBER(AV177),ISNUMBER(AV157)),IFERROR(AV177/AV157,""),"")</f>
        <v>0.0688346414558692</v>
      </c>
      <c r="AW255" s="43" t="n">
        <f aca="false">IF(AND(ISNUMBER(AW177),ISNUMBER(AW157)),IFERROR(AW177/AW157,""),"")</f>
        <v>0.106676537530331</v>
      </c>
      <c r="AX255" s="43" t="n">
        <f aca="false">IF(AND(ISNUMBER(AX177),ISNUMBER(AX157)),IFERROR(AX177/AX157,""),"")</f>
        <v>0.107488211696812</v>
      </c>
      <c r="AY255" s="43" t="n">
        <f aca="false">IF(AND(ISNUMBER(AY177),ISNUMBER(AY157)),IFERROR(AY177/AY157,""),"")</f>
        <v>0.0956771628472761</v>
      </c>
      <c r="AZ255" s="43" t="n">
        <f aca="false">IF(AND(ISNUMBER(AZ177),ISNUMBER(AZ157)),IFERROR(AZ177/AZ157,""),"")</f>
        <v>0.102159531787881</v>
      </c>
      <c r="BA255" s="43" t="n">
        <f aca="false">IF(AND(ISNUMBER(BA177),ISNUMBER(BA157)),IFERROR(BA177/BA157,""),"")</f>
        <v>0.090814111355382</v>
      </c>
      <c r="BB255" s="43" t="n">
        <f aca="false">IF(AND(ISNUMBER(BB177),ISNUMBER(BB157)),IFERROR(BB177/BB157,""),"")</f>
        <v>0.0984850032588114</v>
      </c>
      <c r="BC255" s="43" t="n">
        <f aca="false">IF(AND(ISNUMBER(BC177),ISNUMBER(BC157)),IFERROR(BC177/BC157,""),"")</f>
        <v>0.113363997311107</v>
      </c>
      <c r="BD255" s="43" t="n">
        <f aca="false">IF(AND(ISNUMBER(BD177),ISNUMBER(BD157)),IFERROR(BD177/BD157,""),"")</f>
        <v>0.107081067993221</v>
      </c>
      <c r="BE255" s="43" t="n">
        <f aca="false">IF(AND(ISNUMBER(BE177),ISNUMBER(BE157)),IFERROR(BE177/BE157,""),"")</f>
        <v>0.103404091934591</v>
      </c>
      <c r="BF255" s="43" t="n">
        <f aca="false">IF(AND(ISNUMBER(BF177),ISNUMBER(BF157)),IFERROR(BF177/BF157,""),"")</f>
        <v>0.0951643312648155</v>
      </c>
      <c r="BG255" s="43" t="n">
        <f aca="false">IF(AND(ISNUMBER(BG177),ISNUMBER(BG157)),IFERROR(BG177/BG157,""),"")</f>
        <v>0.104281465009946</v>
      </c>
      <c r="BH255" s="43" t="n">
        <f aca="false">IF(AND(ISNUMBER(BH177),ISNUMBER(BH157)),IFERROR(BH177/BH157,""),"")</f>
        <v>0.110606251593972</v>
      </c>
      <c r="BI255" s="43" t="n">
        <f aca="false">IF(AND(ISNUMBER(BI177),ISNUMBER(BI157)),IFERROR(BI177/BI157,""),"")</f>
        <v>0.102596856966725</v>
      </c>
      <c r="BJ255" s="43" t="n">
        <f aca="false">IF(AND(ISNUMBER(BJ177),ISNUMBER(BJ157)),IFERROR(BJ177/BJ157,""),"")</f>
        <v>0.0947793223023342</v>
      </c>
      <c r="BK255" s="43" t="n">
        <f aca="false">IF(AND(ISNUMBER(BK177),ISNUMBER(BK157)),IFERROR(BK177/BK157,""),"")</f>
        <v>0.104972444295935</v>
      </c>
      <c r="BL255" s="43" t="n">
        <f aca="false">IF(AND(ISNUMBER(BL177),ISNUMBER(BL157)),IFERROR(BL177/BL157,""),"")</f>
        <v>0.102845931982148</v>
      </c>
      <c r="BM255" s="43" t="n">
        <f aca="false">IF(AND(ISNUMBER(BM177),ISNUMBER(BM157)),IFERROR(BM177/BM157,""),"")</f>
        <v>0.105866310477473</v>
      </c>
      <c r="BN255" s="43" t="n">
        <f aca="false">IF(AND(ISNUMBER(BN177),ISNUMBER(BN157)),IFERROR(BN177/BN157,""),"")</f>
        <v>0.0987261888257313</v>
      </c>
      <c r="BO255" s="35" t="n">
        <f aca="false">IF(AND(ISNUMBER(BO177),ISNUMBER(BO157)),IFERROR(BO177/BO157,""),"")</f>
        <v>0.103757810601374</v>
      </c>
      <c r="BP255" s="35" t="n">
        <f aca="false">IF(AND(ISNUMBER(BP177),ISNUMBER(BP157)),IFERROR(BP177/BP157,""),"")</f>
        <v>0.10328615357232</v>
      </c>
      <c r="BQ255" s="35" t="n">
        <f aca="false">IF(AND(ISNUMBER(BQ177),ISNUMBER(BQ157)),IFERROR(BQ177/BQ157,""),"")</f>
        <v>0.102912737495499</v>
      </c>
      <c r="BR255" s="35" t="n">
        <f aca="false">IF(AND(ISNUMBER(BR177),ISNUMBER(BR157)),IFERROR(BR177/BR157,""),"")</f>
        <v>0.214804877300224</v>
      </c>
      <c r="BS255" s="35" t="n">
        <f aca="false">IF(AND(ISNUMBER(BS177),ISNUMBER(BS157)),IFERROR(BS177/BS157,""),"")</f>
        <v>0.112000810663954</v>
      </c>
      <c r="BT255" s="35" t="n">
        <f aca="false">IF(AND(ISNUMBER(BT177),ISNUMBER(BT157)),IFERROR(BT177/BT157,""),"")</f>
        <v>0.112850351747844</v>
      </c>
      <c r="BU255" s="35" t="n">
        <f aca="false">IF(AND(ISNUMBER(BU177),ISNUMBER(BU157)),IFERROR(BU177/BU157,""),"")</f>
        <v>0.112077920906317</v>
      </c>
      <c r="BV255" s="15"/>
      <c r="BX255" s="38" t="n">
        <f aca="false">IFERROR(AVERAGE(BQ255,BR255,BS255,BT255,BU255),"n/m")</f>
        <v>0.130929339622768</v>
      </c>
      <c r="BY255" s="38" t="n">
        <f aca="false">IFERROR(AVERAGE(AR255,AW255,BB255,BG255,BL255),"n/m")</f>
        <v>0.111258196581545</v>
      </c>
      <c r="BZ255" s="38" t="n">
        <f aca="false">IFERROR(AVERAGE(S255,X255,AC255,AH255,AM255,AR255,AW255,BB255,BG255,BL255),"n/m")</f>
        <v>0.114809957597716</v>
      </c>
      <c r="CA255" s="38" t="n">
        <f aca="false">IFERROR(AVERAGE(D255,I255,N255,S255,X255,AC255,AH255,AM255,AR255,AW255,BB255,BG255,BL255),"n/m")</f>
        <v>0.114229992599241</v>
      </c>
    </row>
    <row r="256" customFormat="false" ht="15" hidden="false" customHeight="false" outlineLevel="0" collapsed="false">
      <c r="B256" s="13" t="s">
        <v>293</v>
      </c>
      <c r="C256" s="43" t="str">
        <f aca="false">C144</f>
        <v/>
      </c>
      <c r="D256" s="43" t="n">
        <f aca="false">D144</f>
        <v>0.127839096170271</v>
      </c>
      <c r="E256" s="43" t="n">
        <f aca="false">E144</f>
        <v>0.140598622459315</v>
      </c>
      <c r="F256" s="43" t="n">
        <f aca="false">F144</f>
        <v>0.147226942684999</v>
      </c>
      <c r="G256" s="43" t="n">
        <f aca="false">G144</f>
        <v>0.163891128554151</v>
      </c>
      <c r="H256" s="43" t="n">
        <f aca="false">H144</f>
        <v>0.181480394785433</v>
      </c>
      <c r="I256" s="43" t="n">
        <f aca="false">I144</f>
        <v>0.158813878299474</v>
      </c>
      <c r="J256" s="43" t="n">
        <f aca="false">J144</f>
        <v>0.150307315357422</v>
      </c>
      <c r="K256" s="43" t="n">
        <f aca="false">K144</f>
        <v>0.153331373290212</v>
      </c>
      <c r="L256" s="43" t="n">
        <f aca="false">L144</f>
        <v>0.132462322756776</v>
      </c>
      <c r="M256" s="43" t="n">
        <f aca="false">M144</f>
        <v>0.151193335128511</v>
      </c>
      <c r="N256" s="43" t="n">
        <f aca="false">N144</f>
        <v>0.146772690633678</v>
      </c>
      <c r="O256" s="43" t="n">
        <f aca="false">O144</f>
        <v>0.123919347853497</v>
      </c>
      <c r="P256" s="43" t="n">
        <f aca="false">P144</f>
        <v>0.129329840798048</v>
      </c>
      <c r="Q256" s="43" t="n">
        <f aca="false">Q144</f>
        <v>0.129708435988986</v>
      </c>
      <c r="R256" s="43" t="n">
        <f aca="false">R144</f>
        <v>0.173357103946912</v>
      </c>
      <c r="S256" s="43" t="n">
        <f aca="false">S144</f>
        <v>0.13961677392809</v>
      </c>
      <c r="T256" s="43" t="n">
        <f aca="false">T144</f>
        <v>0.119445436904086</v>
      </c>
      <c r="U256" s="43" t="n">
        <f aca="false">U144</f>
        <v>0.118260241798391</v>
      </c>
      <c r="V256" s="43" t="n">
        <f aca="false">V144</f>
        <v>0.122562953071347</v>
      </c>
      <c r="W256" s="43" t="n">
        <f aca="false">W144</f>
        <v>0.147792103929437</v>
      </c>
      <c r="X256" s="43" t="n">
        <f aca="false">X144</f>
        <v>0.127156584730568</v>
      </c>
      <c r="Y256" s="43" t="n">
        <f aca="false">Y144</f>
        <v>0.117522072823376</v>
      </c>
      <c r="Z256" s="43" t="n">
        <f aca="false">Z144</f>
        <v>0.117374197178991</v>
      </c>
      <c r="AA256" s="43" t="n">
        <f aca="false">AA144</f>
        <v>0.126717069284407</v>
      </c>
      <c r="AB256" s="43" t="n">
        <f aca="false">AB144</f>
        <v>0.114839392633442</v>
      </c>
      <c r="AC256" s="43" t="n">
        <f aca="false">AC144</f>
        <v>0.118947335085664</v>
      </c>
      <c r="AD256" s="43" t="n">
        <f aca="false">AD144</f>
        <v>0.124102541937405</v>
      </c>
      <c r="AE256" s="43" t="n">
        <f aca="false">AE144</f>
        <v>0.114703828907691</v>
      </c>
      <c r="AF256" s="43" t="n">
        <f aca="false">AF144</f>
        <v>0.103875494071146</v>
      </c>
      <c r="AG256" s="43" t="n">
        <f aca="false">AG144</f>
        <v>0.116661845242252</v>
      </c>
      <c r="AH256" s="43" t="n">
        <f aca="false">AH144</f>
        <v>0.114395858400355</v>
      </c>
      <c r="AI256" s="43" t="n">
        <f aca="false">AI144</f>
        <v>0.0976710044853636</v>
      </c>
      <c r="AJ256" s="43" t="n">
        <f aca="false">AJ144</f>
        <v>0.109286054071196</v>
      </c>
      <c r="AK256" s="43" t="n">
        <f aca="false">AK144</f>
        <v>0.120485960167578</v>
      </c>
      <c r="AL256" s="43" t="n">
        <f aca="false">AL144</f>
        <v>0.108520227684904</v>
      </c>
      <c r="AM256" s="43" t="n">
        <f aca="false">AM144</f>
        <v>0.108861435468346</v>
      </c>
      <c r="AN256" s="43" t="n">
        <f aca="false">AN144</f>
        <v>0.110285780268914</v>
      </c>
      <c r="AO256" s="43" t="n">
        <f aca="false">AO144</f>
        <v>0.11743836356833</v>
      </c>
      <c r="AP256" s="43" t="n">
        <f aca="false">AP144</f>
        <v>0.117214427933519</v>
      </c>
      <c r="AQ256" s="43" t="n">
        <f aca="false">AQ144</f>
        <v>0.0918332699860636</v>
      </c>
      <c r="AR256" s="43" t="n">
        <f aca="false">AR144</f>
        <v>0.108470797156785</v>
      </c>
      <c r="AS256" s="43" t="n">
        <f aca="false">AS144</f>
        <v>0.113302608820171</v>
      </c>
      <c r="AT256" s="43" t="n">
        <f aca="false">AT144</f>
        <v>0.0986633177435187</v>
      </c>
      <c r="AU256" s="43" t="n">
        <f aca="false">AU144</f>
        <v>0.111053615448215</v>
      </c>
      <c r="AV256" s="43" t="n">
        <f aca="false">AV144</f>
        <v>0.09822213891252</v>
      </c>
      <c r="AW256" s="43" t="n">
        <f aca="false">AW144</f>
        <v>0.104925847599956</v>
      </c>
      <c r="AX256" s="43" t="n">
        <f aca="false">AX144</f>
        <v>0.107036033499894</v>
      </c>
      <c r="AY256" s="43" t="n">
        <f aca="false">AY144</f>
        <v>0.105212712978308</v>
      </c>
      <c r="AZ256" s="43" t="n">
        <f aca="false">AZ144</f>
        <v>0.135304217536259</v>
      </c>
      <c r="BA256" s="43" t="n">
        <f aca="false">BA144</f>
        <v>0.102815241587011</v>
      </c>
      <c r="BB256" s="43" t="n">
        <f aca="false">BB144</f>
        <v>0.112043020315193</v>
      </c>
      <c r="BC256" s="43" t="n">
        <f aca="false">BC144</f>
        <v>0.111531112678528</v>
      </c>
      <c r="BD256" s="43" t="n">
        <f aca="false">BD144</f>
        <v>0.117071309605042</v>
      </c>
      <c r="BE256" s="43" t="n">
        <f aca="false">BE144</f>
        <v>0.120289126073731</v>
      </c>
      <c r="BF256" s="43" t="n">
        <f aca="false">BF144</f>
        <v>0.121528889794135</v>
      </c>
      <c r="BG256" s="43" t="n">
        <f aca="false">BG144</f>
        <v>0.117863824291126</v>
      </c>
      <c r="BH256" s="43" t="n">
        <f aca="false">BH144</f>
        <v>0.128351737905602</v>
      </c>
      <c r="BI256" s="43" t="n">
        <f aca="false">BI144</f>
        <v>0.134731342248236</v>
      </c>
      <c r="BJ256" s="43" t="n">
        <f aca="false">BJ144</f>
        <v>0.107794654421288</v>
      </c>
      <c r="BK256" s="43" t="n">
        <f aca="false">BK144</f>
        <v>0.124769428408226</v>
      </c>
      <c r="BL256" s="43" t="n">
        <f aca="false">BL144</f>
        <v>0.123315694443359</v>
      </c>
      <c r="BM256" s="43" t="n">
        <f aca="false">BM144</f>
        <v>0.125569478399055</v>
      </c>
      <c r="BN256" s="43" t="n">
        <f aca="false">BN144</f>
        <v>0.120262858727298</v>
      </c>
      <c r="BO256" s="35" t="n">
        <f aca="false">BO144</f>
        <v>0.12285380868432</v>
      </c>
      <c r="BP256" s="35" t="n">
        <f aca="false">BP144</f>
        <v>0.12285380868432</v>
      </c>
      <c r="BQ256" s="35" t="n">
        <f aca="false">BQ144</f>
        <v>0.12285380868432</v>
      </c>
      <c r="BR256" s="35" t="n">
        <f aca="false">BR144</f>
        <v>0.12</v>
      </c>
      <c r="BS256" s="35" t="n">
        <f aca="false">BS144</f>
        <v>0.12</v>
      </c>
      <c r="BT256" s="35" t="n">
        <f aca="false">BT144</f>
        <v>0.12</v>
      </c>
      <c r="BU256" s="35" t="n">
        <f aca="false">BU144</f>
        <v>0.12</v>
      </c>
      <c r="BV256" s="15"/>
      <c r="BX256" s="38" t="n">
        <f aca="false">IFERROR(AVERAGE(BQ256,BR256,BS256,BT256,BU256),"n/m")</f>
        <v>0.120570761736864</v>
      </c>
      <c r="BY256" s="38" t="n">
        <f aca="false">IFERROR(AVERAGE(AR256,AW256,BB256,BG256,BL256),"n/m")</f>
        <v>0.113323836761284</v>
      </c>
      <c r="BZ256" s="38" t="n">
        <f aca="false">IFERROR(AVERAGE(S256,X256,AC256,AH256,AM256,AR256,AW256,BB256,BG256,BL256),"n/m")</f>
        <v>0.117559717141944</v>
      </c>
      <c r="CA256" s="38" t="n">
        <f aca="false">IFERROR(AVERAGE(D256,I256,N256,S256,X256,AC256,AH256,AM256,AR256,AW256,BB256,BG256,BL256),"n/m")</f>
        <v>0.123770987424836</v>
      </c>
    </row>
    <row r="257" customFormat="false" ht="15" hidden="false" customHeight="false" outlineLevel="0" collapsed="false">
      <c r="B257" s="13"/>
      <c r="BO257" s="14"/>
      <c r="BP257" s="14"/>
      <c r="BQ257" s="14"/>
      <c r="BR257" s="14"/>
      <c r="BS257" s="14"/>
      <c r="BT257" s="14"/>
      <c r="BU257" s="14"/>
      <c r="BV257" s="15"/>
    </row>
    <row r="258" customFormat="false" ht="15" hidden="false" customHeight="false" outlineLevel="0" collapsed="false">
      <c r="B258" s="9" t="s">
        <v>425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 t="s">
        <v>426</v>
      </c>
    </row>
    <row r="259" customFormat="false" ht="15" hidden="false" customHeight="false" outlineLevel="0" collapsed="false">
      <c r="B259" s="13" t="s">
        <v>427</v>
      </c>
      <c r="C259" s="19"/>
      <c r="D259" s="19"/>
      <c r="E259" s="24" t="n">
        <v>41.154</v>
      </c>
      <c r="F259" s="24" t="n">
        <v>23.492</v>
      </c>
      <c r="G259" s="24" t="n">
        <v>60.403</v>
      </c>
      <c r="H259" s="24" t="n">
        <v>-103.592</v>
      </c>
      <c r="I259" s="24" t="n">
        <v>21.457</v>
      </c>
      <c r="J259" s="24" t="n">
        <v>45.041</v>
      </c>
      <c r="K259" s="24" t="n">
        <v>-17.319</v>
      </c>
      <c r="L259" s="24" t="n">
        <v>104.034</v>
      </c>
      <c r="M259" s="24" t="n">
        <v>-0.31</v>
      </c>
      <c r="N259" s="24" t="n">
        <v>131.446</v>
      </c>
      <c r="O259" s="24" t="n">
        <v>48.894</v>
      </c>
      <c r="P259" s="24" t="n">
        <v>57.602</v>
      </c>
      <c r="Q259" s="24" t="n">
        <v>40.648</v>
      </c>
      <c r="R259" s="24" t="n">
        <v>36.468</v>
      </c>
      <c r="S259" s="24" t="n">
        <v>183.612</v>
      </c>
      <c r="T259" s="24" t="n">
        <v>55.786</v>
      </c>
      <c r="U259" s="24" t="n">
        <v>61.42</v>
      </c>
      <c r="V259" s="24" t="n">
        <v>46.692</v>
      </c>
      <c r="W259" s="24" t="n">
        <v>-15.533</v>
      </c>
      <c r="X259" s="24" t="n">
        <v>148.365</v>
      </c>
      <c r="Y259" s="24" t="n">
        <v>66.413</v>
      </c>
      <c r="Z259" s="24" t="n">
        <v>60.734</v>
      </c>
      <c r="AA259" s="24" t="n">
        <v>78.077</v>
      </c>
      <c r="AB259" s="24" t="n">
        <v>22.081</v>
      </c>
      <c r="AC259" s="24" t="n">
        <v>227.305</v>
      </c>
      <c r="AD259" s="24" t="n">
        <v>49.11</v>
      </c>
      <c r="AE259" s="24" t="n">
        <v>59</v>
      </c>
      <c r="AF259" s="24" t="n">
        <v>74.998</v>
      </c>
      <c r="AG259" s="24" t="n">
        <v>61.569</v>
      </c>
      <c r="AH259" s="24" t="n">
        <v>244.677</v>
      </c>
      <c r="AI259" s="24" t="n">
        <v>75.62</v>
      </c>
      <c r="AJ259" s="24" t="n">
        <v>64.396</v>
      </c>
      <c r="AK259" s="24" t="n">
        <v>73.195</v>
      </c>
      <c r="AL259" s="24" t="n">
        <v>65.985</v>
      </c>
      <c r="AM259" s="24" t="n">
        <v>279.196</v>
      </c>
      <c r="AN259" s="24" t="n">
        <v>69.815</v>
      </c>
      <c r="AO259" s="24" t="n">
        <v>59.409</v>
      </c>
      <c r="AP259" s="24" t="n">
        <v>60.158</v>
      </c>
      <c r="AQ259" s="24" t="n">
        <v>116.906</v>
      </c>
      <c r="AR259" s="24" t="n">
        <v>306.288</v>
      </c>
      <c r="AS259" s="24" t="n">
        <v>59.074</v>
      </c>
      <c r="AT259" s="24" t="n">
        <v>74.681</v>
      </c>
      <c r="AU259" s="24" t="n">
        <v>61.837</v>
      </c>
      <c r="AV259" s="24" t="n">
        <v>43.028</v>
      </c>
      <c r="AW259" s="24" t="n">
        <v>238.62</v>
      </c>
      <c r="AX259" s="24" t="n">
        <v>60.993</v>
      </c>
      <c r="AY259" s="24" t="n">
        <v>58.665</v>
      </c>
      <c r="AZ259" s="24" t="n">
        <v>60.352</v>
      </c>
      <c r="BA259" s="24" t="n">
        <v>66.311</v>
      </c>
      <c r="BB259" s="24" t="n">
        <v>246.321</v>
      </c>
      <c r="BC259" s="24" t="n">
        <v>68.534</v>
      </c>
      <c r="BD259" s="24" t="n">
        <v>73.045</v>
      </c>
      <c r="BE259" s="24" t="n">
        <v>69.641</v>
      </c>
      <c r="BF259" s="24" t="n">
        <v>71.078</v>
      </c>
      <c r="BG259" s="24" t="n">
        <v>282.298</v>
      </c>
      <c r="BH259" s="24" t="n">
        <v>75.526</v>
      </c>
      <c r="BI259" s="24" t="n">
        <v>78.462</v>
      </c>
      <c r="BJ259" s="24" t="n">
        <v>82.191</v>
      </c>
      <c r="BK259" s="24" t="n">
        <v>93.682</v>
      </c>
      <c r="BL259" s="24" t="n">
        <v>329.861</v>
      </c>
      <c r="BM259" s="24" t="n">
        <v>91.189</v>
      </c>
      <c r="BN259" s="24" t="n">
        <v>89.1</v>
      </c>
      <c r="BO259" s="36"/>
      <c r="BP259" s="36"/>
      <c r="BQ259" s="21" t="n">
        <f aca="false">BQ175</f>
        <v>391.441402482895</v>
      </c>
      <c r="BR259" s="21" t="n">
        <f aca="false">BR175</f>
        <v>894.674147957043</v>
      </c>
      <c r="BS259" s="21" t="n">
        <f aca="false">BS175</f>
        <v>513.686205054995</v>
      </c>
      <c r="BT259" s="21" t="n">
        <f aca="false">BT175</f>
        <v>574.084637498531</v>
      </c>
      <c r="BU259" s="21" t="n">
        <f aca="false">BU175</f>
        <v>629.80968666781</v>
      </c>
      <c r="BV259" s="15" t="s">
        <v>428</v>
      </c>
    </row>
    <row r="260" customFormat="false" ht="15" hidden="false" customHeight="false" outlineLevel="0" collapsed="false">
      <c r="B260" s="13" t="s">
        <v>429</v>
      </c>
      <c r="BO260" s="14"/>
      <c r="BP260" s="14"/>
      <c r="BQ260" s="14"/>
      <c r="BR260" s="14"/>
      <c r="BS260" s="14"/>
      <c r="BT260" s="14"/>
      <c r="BU260" s="14"/>
      <c r="BV260" s="15"/>
    </row>
    <row r="261" customFormat="false" ht="15" hidden="false" customHeight="false" outlineLevel="0" collapsed="false">
      <c r="B261" s="13" t="s">
        <v>430</v>
      </c>
      <c r="C261" s="19"/>
      <c r="D261" s="19"/>
      <c r="E261" s="24" t="n">
        <v>17.013</v>
      </c>
      <c r="F261" s="24" t="n">
        <v>18.04</v>
      </c>
      <c r="G261" s="24" t="n">
        <v>22.347</v>
      </c>
      <c r="H261" s="24" t="n">
        <v>48.398</v>
      </c>
      <c r="I261" s="24" t="n">
        <v>105.798</v>
      </c>
      <c r="J261" s="24" t="n">
        <v>26.443</v>
      </c>
      <c r="K261" s="24" t="n">
        <v>25.272</v>
      </c>
      <c r="L261" s="24" t="n">
        <v>13.295</v>
      </c>
      <c r="M261" s="24" t="n">
        <v>13.611</v>
      </c>
      <c r="N261" s="24" t="n">
        <v>78.621</v>
      </c>
      <c r="O261" s="24" t="n">
        <v>11.905</v>
      </c>
      <c r="P261" s="24" t="n">
        <v>12.764</v>
      </c>
      <c r="Q261" s="24" t="n">
        <v>12.421</v>
      </c>
      <c r="R261" s="24" t="n">
        <v>13.464</v>
      </c>
      <c r="S261" s="24" t="n">
        <v>50.554</v>
      </c>
      <c r="T261" s="24" t="n">
        <v>13.976</v>
      </c>
      <c r="U261" s="24" t="n">
        <v>14.223</v>
      </c>
      <c r="V261" s="24" t="n">
        <v>13.936</v>
      </c>
      <c r="W261" s="24" t="n">
        <v>14.422</v>
      </c>
      <c r="X261" s="24" t="n">
        <v>56.557</v>
      </c>
      <c r="Y261" s="24" t="n">
        <v>14.061</v>
      </c>
      <c r="Z261" s="24" t="n">
        <v>14.359</v>
      </c>
      <c r="AA261" s="24" t="n">
        <v>15.272</v>
      </c>
      <c r="AB261" s="24" t="n">
        <v>16.405</v>
      </c>
      <c r="AC261" s="24" t="n">
        <v>60.097</v>
      </c>
      <c r="AD261" s="24" t="n">
        <v>15.122</v>
      </c>
      <c r="AE261" s="24" t="n">
        <v>15.711</v>
      </c>
      <c r="AF261" s="24" t="n">
        <v>15.195</v>
      </c>
      <c r="AG261" s="24" t="n">
        <v>15.694</v>
      </c>
      <c r="AH261" s="24" t="n">
        <v>61.722</v>
      </c>
      <c r="AI261" s="24" t="n">
        <v>15.614</v>
      </c>
      <c r="AJ261" s="24" t="n">
        <v>14.951</v>
      </c>
      <c r="AK261" s="24" t="n">
        <v>14.893</v>
      </c>
      <c r="AL261" s="24" t="n">
        <v>15.216</v>
      </c>
      <c r="AM261" s="24" t="n">
        <v>60.674</v>
      </c>
      <c r="AN261" s="24" t="n">
        <v>15.897</v>
      </c>
      <c r="AO261" s="24" t="n">
        <v>17.095</v>
      </c>
      <c r="AP261" s="24" t="n">
        <v>17.484</v>
      </c>
      <c r="AQ261" s="24" t="n">
        <v>18.604</v>
      </c>
      <c r="AR261" s="24" t="n">
        <v>69.08</v>
      </c>
      <c r="AS261" s="24" t="n">
        <v>17.62</v>
      </c>
      <c r="AT261" s="24" t="n">
        <v>18.596</v>
      </c>
      <c r="AU261" s="24" t="n">
        <v>18.592</v>
      </c>
      <c r="AV261" s="24" t="n">
        <v>19.034</v>
      </c>
      <c r="AW261" s="24" t="n">
        <v>73.842</v>
      </c>
      <c r="AX261" s="24" t="n">
        <v>19.02</v>
      </c>
      <c r="AY261" s="24" t="n">
        <v>19.384</v>
      </c>
      <c r="AZ261" s="24" t="n">
        <v>19.801</v>
      </c>
      <c r="BA261" s="24" t="n">
        <v>20.361</v>
      </c>
      <c r="BB261" s="24" t="n">
        <v>78.566</v>
      </c>
      <c r="BC261" s="24" t="n">
        <v>20.552</v>
      </c>
      <c r="BD261" s="24" t="n">
        <v>21.608</v>
      </c>
      <c r="BE261" s="24" t="n">
        <v>21.269</v>
      </c>
      <c r="BF261" s="24" t="n">
        <v>22.433</v>
      </c>
      <c r="BG261" s="24" t="n">
        <v>85.862</v>
      </c>
      <c r="BH261" s="24" t="n">
        <v>23.912</v>
      </c>
      <c r="BI261" s="24" t="n">
        <v>27.259</v>
      </c>
      <c r="BJ261" s="24" t="n">
        <v>28.458</v>
      </c>
      <c r="BK261" s="24" t="n">
        <v>29.557</v>
      </c>
      <c r="BL261" s="24" t="n">
        <v>109.186</v>
      </c>
      <c r="BM261" s="24" t="n">
        <v>29.013</v>
      </c>
      <c r="BN261" s="24" t="n">
        <v>31.362</v>
      </c>
      <c r="BO261" s="36"/>
      <c r="BP261" s="36"/>
      <c r="BQ261" s="21" t="n">
        <f aca="false">BQ181</f>
        <v>132.479500021789</v>
      </c>
      <c r="BR261" s="21" t="n">
        <f aca="false">BR181</f>
        <v>163.780732092423</v>
      </c>
      <c r="BS261" s="21" t="n">
        <f aca="false">BS181</f>
        <v>184.026611536211</v>
      </c>
      <c r="BT261" s="21" t="n">
        <f aca="false">BT181</f>
        <v>209.562563046147</v>
      </c>
      <c r="BU261" s="21" t="n">
        <f aca="false">BU181</f>
        <v>231.604285074626</v>
      </c>
      <c r="BV261" s="15"/>
    </row>
    <row r="262" customFormat="false" ht="15" hidden="false" customHeight="false" outlineLevel="0" collapsed="false">
      <c r="B262" s="13" t="s">
        <v>431</v>
      </c>
      <c r="C262" s="19"/>
      <c r="D262" s="19"/>
      <c r="E262" s="24" t="n">
        <v>4.634</v>
      </c>
      <c r="F262" s="24" t="n">
        <v>2.777</v>
      </c>
      <c r="G262" s="24" t="n">
        <v>4.375</v>
      </c>
      <c r="H262" s="24" t="n">
        <v>11.675</v>
      </c>
      <c r="I262" s="24" t="n">
        <v>23.461</v>
      </c>
      <c r="J262" s="24" t="n">
        <v>6.981</v>
      </c>
      <c r="K262" s="24" t="n">
        <v>15.463</v>
      </c>
      <c r="L262" s="24" t="n">
        <v>2.661</v>
      </c>
      <c r="M262" s="24" t="n">
        <v>6.594</v>
      </c>
      <c r="N262" s="24" t="n">
        <v>31.699</v>
      </c>
      <c r="O262" s="24" t="n">
        <v>2.469</v>
      </c>
      <c r="P262" s="24" t="n">
        <v>3.561</v>
      </c>
      <c r="Q262" s="24" t="n">
        <v>2.343</v>
      </c>
      <c r="R262" s="24" t="n">
        <v>6.998</v>
      </c>
      <c r="S262" s="24" t="n">
        <v>15.371</v>
      </c>
      <c r="T262" s="24" t="n">
        <v>3.412</v>
      </c>
      <c r="U262" s="24" t="n">
        <v>3.686</v>
      </c>
      <c r="V262" s="24" t="n">
        <v>2.781</v>
      </c>
      <c r="W262" s="24" t="n">
        <v>5.343</v>
      </c>
      <c r="X262" s="24" t="n">
        <v>15.222</v>
      </c>
      <c r="Y262" s="24" t="n">
        <v>4.461</v>
      </c>
      <c r="Z262" s="24" t="n">
        <v>1.294</v>
      </c>
      <c r="AA262" s="24" t="n">
        <v>2.764</v>
      </c>
      <c r="AB262" s="24" t="n">
        <v>3.364</v>
      </c>
      <c r="AC262" s="24" t="n">
        <v>11.883</v>
      </c>
      <c r="AD262" s="24" t="n">
        <v>2.529</v>
      </c>
      <c r="AE262" s="24" t="n">
        <v>3.823</v>
      </c>
      <c r="AF262" s="24" t="n">
        <v>2.787</v>
      </c>
      <c r="AG262" s="24" t="n">
        <v>3.587</v>
      </c>
      <c r="AH262" s="24" t="n">
        <v>12.726</v>
      </c>
      <c r="AI262" s="24" t="n">
        <v>3.102</v>
      </c>
      <c r="AJ262" s="24" t="n">
        <v>4.375</v>
      </c>
      <c r="AK262" s="24" t="n">
        <v>4.662</v>
      </c>
      <c r="AL262" s="24" t="n">
        <v>4.705</v>
      </c>
      <c r="AM262" s="24" t="n">
        <v>16.844</v>
      </c>
      <c r="AN262" s="24" t="n">
        <v>3.981</v>
      </c>
      <c r="AO262" s="24" t="n">
        <v>5.292</v>
      </c>
      <c r="AP262" s="24" t="n">
        <v>5.588</v>
      </c>
      <c r="AQ262" s="24" t="n">
        <v>3.752</v>
      </c>
      <c r="AR262" s="24" t="n">
        <v>18.613</v>
      </c>
      <c r="AS262" s="24" t="n">
        <v>3.958</v>
      </c>
      <c r="AT262" s="24" t="n">
        <v>5.008</v>
      </c>
      <c r="AU262" s="24" t="n">
        <v>3.081</v>
      </c>
      <c r="AV262" s="24" t="n">
        <v>2.08</v>
      </c>
      <c r="AW262" s="24" t="n">
        <v>14.127</v>
      </c>
      <c r="AX262" s="24" t="n">
        <v>3.893</v>
      </c>
      <c r="AY262" s="24" t="n">
        <v>4.776</v>
      </c>
      <c r="AZ262" s="24" t="n">
        <v>3.636</v>
      </c>
      <c r="BA262" s="24" t="n">
        <v>3.591</v>
      </c>
      <c r="BB262" s="24" t="n">
        <v>15.896</v>
      </c>
      <c r="BC262" s="24" t="n">
        <v>4.297</v>
      </c>
      <c r="BD262" s="24" t="n">
        <v>5.982</v>
      </c>
      <c r="BE262" s="24" t="n">
        <v>4.573</v>
      </c>
      <c r="BF262" s="24" t="n">
        <v>6.828</v>
      </c>
      <c r="BG262" s="24" t="n">
        <v>21.68</v>
      </c>
      <c r="BH262" s="24" t="n">
        <v>5.047</v>
      </c>
      <c r="BI262" s="24" t="n">
        <v>8.688</v>
      </c>
      <c r="BJ262" s="24" t="n">
        <v>6.985</v>
      </c>
      <c r="BK262" s="24" t="n">
        <v>5.352</v>
      </c>
      <c r="BL262" s="24" t="n">
        <v>26.072</v>
      </c>
      <c r="BM262" s="24" t="n">
        <v>10.168</v>
      </c>
      <c r="BN262" s="24" t="n">
        <v>9.949</v>
      </c>
      <c r="BO262" s="36"/>
      <c r="BP262" s="36"/>
      <c r="BQ262" s="21" t="n">
        <f aca="false">BQ182</f>
        <v>43.3890212629736</v>
      </c>
      <c r="BR262" s="21" t="n">
        <f aca="false">BR182</f>
        <v>43.7135258359385</v>
      </c>
      <c r="BS262" s="21" t="n">
        <f aca="false">BS182</f>
        <v>48.1202334262387</v>
      </c>
      <c r="BT262" s="21" t="n">
        <f aca="false">BT182</f>
        <v>53.3776687483799</v>
      </c>
      <c r="BU262" s="21" t="n">
        <f aca="false">BU182</f>
        <v>58.9661340661034</v>
      </c>
      <c r="BV262" s="15"/>
    </row>
    <row r="263" customFormat="false" ht="15" hidden="false" customHeight="false" outlineLevel="0" collapsed="false">
      <c r="B263" s="13" t="s">
        <v>432</v>
      </c>
      <c r="C263" s="19"/>
      <c r="D263" s="19"/>
      <c r="E263" s="24" t="n">
        <v>-4.694</v>
      </c>
      <c r="F263" s="24" t="n">
        <v>-3.823</v>
      </c>
      <c r="G263" s="24" t="n">
        <v>25.437</v>
      </c>
      <c r="H263" s="24" t="n">
        <v>1.843</v>
      </c>
      <c r="I263" s="24" t="n">
        <v>18.763</v>
      </c>
      <c r="J263" s="24" t="n">
        <v>0.525</v>
      </c>
      <c r="K263" s="24" t="n">
        <v>0.781</v>
      </c>
      <c r="L263" s="24" t="n">
        <v>-1.527</v>
      </c>
      <c r="M263" s="24" t="n">
        <v>2.168</v>
      </c>
      <c r="N263" s="24" t="n">
        <v>1.947</v>
      </c>
      <c r="O263" s="24" t="n">
        <v>-0.413</v>
      </c>
      <c r="P263" s="24" t="n">
        <v>-3</v>
      </c>
      <c r="Q263" s="24" t="n">
        <v>-2.67</v>
      </c>
      <c r="R263" s="24" t="n">
        <v>5.066</v>
      </c>
      <c r="S263" s="24" t="n">
        <v>-1.017</v>
      </c>
      <c r="T263" s="24" t="n">
        <v>1.779</v>
      </c>
      <c r="U263" s="24" t="n">
        <v>-0.792</v>
      </c>
      <c r="V263" s="24" t="n">
        <v>-0.256</v>
      </c>
      <c r="W263" s="24" t="n">
        <v>1.789</v>
      </c>
      <c r="X263" s="24" t="n">
        <v>2.52</v>
      </c>
      <c r="Y263" s="24" t="n">
        <v>-2.299</v>
      </c>
      <c r="Z263" s="24" t="n">
        <v>-1.085</v>
      </c>
      <c r="AA263" s="24" t="n">
        <v>-5.087</v>
      </c>
      <c r="AB263" s="24" t="n">
        <v>0.365</v>
      </c>
      <c r="AC263" s="24" t="n">
        <v>-8.106</v>
      </c>
      <c r="AD263" s="24" t="n">
        <v>-2.96</v>
      </c>
      <c r="AE263" s="24" t="n">
        <v>-3.354</v>
      </c>
      <c r="AF263" s="24" t="n">
        <v>-2.328</v>
      </c>
      <c r="AG263" s="24" t="n">
        <v>0.673</v>
      </c>
      <c r="AH263" s="24" t="n">
        <v>-7.969</v>
      </c>
      <c r="AI263" s="24" t="n">
        <v>-1.929</v>
      </c>
      <c r="AJ263" s="24" t="n">
        <v>1.002</v>
      </c>
      <c r="AK263" s="24" t="n">
        <v>-3.256</v>
      </c>
      <c r="AL263" s="24" t="n">
        <v>2.036</v>
      </c>
      <c r="AM263" s="24" t="n">
        <v>-2.147</v>
      </c>
      <c r="AN263" s="24" t="n">
        <v>-2.414</v>
      </c>
      <c r="AO263" s="24" t="n">
        <v>-3.46</v>
      </c>
      <c r="AP263" s="24" t="n">
        <v>-6.501</v>
      </c>
      <c r="AQ263" s="24" t="n">
        <v>-0.648</v>
      </c>
      <c r="AR263" s="24" t="n">
        <v>-13.023</v>
      </c>
      <c r="AS263" s="24" t="n">
        <v>-2.975</v>
      </c>
      <c r="AT263" s="24" t="n">
        <v>-2.641</v>
      </c>
      <c r="AU263" s="24" t="n">
        <v>-5.117</v>
      </c>
      <c r="AV263" s="24" t="n">
        <v>7.272</v>
      </c>
      <c r="AW263" s="24" t="n">
        <v>-3.461</v>
      </c>
      <c r="AX263" s="24" t="n">
        <v>-5.855</v>
      </c>
      <c r="AY263" s="24" t="n">
        <v>1.742</v>
      </c>
      <c r="AZ263" s="24" t="n">
        <v>-0.741</v>
      </c>
      <c r="BA263" s="24" t="n">
        <v>15.984</v>
      </c>
      <c r="BB263" s="24" t="n">
        <v>11.13</v>
      </c>
      <c r="BC263" s="24" t="n">
        <v>-2.4</v>
      </c>
      <c r="BD263" s="24" t="n">
        <v>-0.901</v>
      </c>
      <c r="BE263" s="24" t="n">
        <v>-6.477</v>
      </c>
      <c r="BF263" s="24" t="n">
        <v>-0.82</v>
      </c>
      <c r="BG263" s="24" t="n">
        <v>-10.598</v>
      </c>
      <c r="BH263" s="24" t="n">
        <v>1.781</v>
      </c>
      <c r="BI263" s="24" t="n">
        <v>-4.481</v>
      </c>
      <c r="BJ263" s="24" t="n">
        <v>-3.044</v>
      </c>
      <c r="BK263" s="24" t="n">
        <v>24.883</v>
      </c>
      <c r="BL263" s="24" t="n">
        <v>19.139</v>
      </c>
      <c r="BM263" s="24" t="n">
        <v>-3.261</v>
      </c>
      <c r="BN263" s="24" t="n">
        <v>-12.664</v>
      </c>
      <c r="BO263" s="36"/>
      <c r="BP263" s="36"/>
      <c r="BQ263" s="21" t="n">
        <f aca="false">-BQ163*(1-BQ143)</f>
        <v>-4.74268874278755</v>
      </c>
      <c r="BR263" s="21" t="n">
        <f aca="false">-BR163*(1-BR143)</f>
        <v>-4.99027824252278</v>
      </c>
      <c r="BS263" s="21" t="n">
        <f aca="false">-BS163*(1-BS143)</f>
        <v>-5.3895005019246</v>
      </c>
      <c r="BT263" s="21" t="n">
        <f aca="false">-BT163*(1-BT143)</f>
        <v>-5.76676553705932</v>
      </c>
      <c r="BU263" s="21" t="n">
        <f aca="false">-BU163*(1-BU143)</f>
        <v>-6.17043912465347</v>
      </c>
      <c r="BV263" s="15"/>
    </row>
    <row r="264" customFormat="false" ht="15" hidden="false" customHeight="false" outlineLevel="0" collapsed="false">
      <c r="B264" s="13" t="s">
        <v>433</v>
      </c>
      <c r="C264" s="19"/>
      <c r="D264" s="19"/>
      <c r="E264" s="24" t="n">
        <v>0</v>
      </c>
      <c r="F264" s="24" t="n">
        <v>1.457</v>
      </c>
      <c r="G264" s="24" t="n">
        <v>2.413</v>
      </c>
      <c r="H264" s="24" t="n">
        <v>8.673</v>
      </c>
      <c r="I264" s="24" t="n">
        <v>12.543</v>
      </c>
      <c r="J264" s="24" t="n">
        <v>0.015</v>
      </c>
      <c r="K264" s="24" t="n">
        <v>26.426</v>
      </c>
      <c r="L264" s="24" t="n">
        <v>0</v>
      </c>
      <c r="M264" s="24" t="n">
        <v>0</v>
      </c>
      <c r="N264" s="24" t="n">
        <v>26.441</v>
      </c>
      <c r="O264" s="24" t="n">
        <v>0</v>
      </c>
      <c r="P264" s="24" t="n">
        <v>-0.05</v>
      </c>
      <c r="Q264" s="24" t="n">
        <v>-0.005</v>
      </c>
      <c r="R264" s="24" t="n">
        <v>0.012</v>
      </c>
      <c r="S264" s="24" t="n">
        <v>-0.043</v>
      </c>
      <c r="T264" s="24" t="n">
        <v>0</v>
      </c>
      <c r="U264" s="24" t="n">
        <v>0</v>
      </c>
      <c r="V264" s="24" t="n">
        <v>-0.002</v>
      </c>
      <c r="W264" s="24" t="n">
        <v>-0.161</v>
      </c>
      <c r="X264" s="24" t="n">
        <v>-0.194</v>
      </c>
      <c r="Y264" s="24" t="n">
        <v>-0.008</v>
      </c>
      <c r="Z264" s="24" t="n">
        <v>-0.237</v>
      </c>
      <c r="AA264" s="24" t="n">
        <v>0.243</v>
      </c>
      <c r="AB264" s="24" t="n">
        <v>0</v>
      </c>
      <c r="AC264" s="24" t="n">
        <v>0</v>
      </c>
      <c r="AD264" s="24" t="n">
        <v>0</v>
      </c>
      <c r="AE264" s="24" t="n">
        <v>0</v>
      </c>
      <c r="AF264" s="24" t="n">
        <v>0</v>
      </c>
      <c r="AG264" s="24" t="n">
        <v>0</v>
      </c>
      <c r="AH264" s="24" t="n">
        <v>0</v>
      </c>
      <c r="AI264" s="24" t="n">
        <v>0</v>
      </c>
      <c r="AJ264" s="24" t="n">
        <v>0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0</v>
      </c>
      <c r="AQ264" s="24" t="n">
        <v>0</v>
      </c>
      <c r="AR264" s="24" t="n">
        <v>0</v>
      </c>
      <c r="AS264" s="24" t="n">
        <v>0</v>
      </c>
      <c r="AT264" s="24" t="n">
        <v>0</v>
      </c>
      <c r="AU264" s="24" t="n">
        <v>0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4.39</v>
      </c>
      <c r="BH264" s="24" t="n">
        <v>-4.431</v>
      </c>
      <c r="BI264" s="24" t="n">
        <v>0.013</v>
      </c>
      <c r="BJ264" s="24" t="n">
        <v>0.001</v>
      </c>
      <c r="BK264" s="24" t="n">
        <v>-0.555</v>
      </c>
      <c r="BL264" s="24" t="n">
        <v>-4.972</v>
      </c>
      <c r="BM264" s="24" t="n">
        <v>0.125</v>
      </c>
      <c r="BN264" s="24" t="n">
        <v>-0.002</v>
      </c>
      <c r="BO264" s="36"/>
      <c r="BP264" s="36"/>
      <c r="BQ264" s="39" t="n">
        <v>0</v>
      </c>
      <c r="BR264" s="21" t="n">
        <f aca="false">BR160</f>
        <v>-587.5</v>
      </c>
      <c r="BS264" s="21" t="n">
        <f aca="false">BS160</f>
        <v>-0</v>
      </c>
      <c r="BT264" s="21" t="n">
        <f aca="false">BT160</f>
        <v>-0</v>
      </c>
      <c r="BU264" s="21" t="n">
        <f aca="false">BU160</f>
        <v>-0</v>
      </c>
      <c r="BV264" s="15" t="s">
        <v>434</v>
      </c>
    </row>
    <row r="265" customFormat="false" ht="15" hidden="false" customHeight="false" outlineLevel="0" collapsed="false">
      <c r="B265" s="13" t="s">
        <v>435</v>
      </c>
      <c r="C265" s="19"/>
      <c r="D265" s="19"/>
      <c r="E265" s="24" t="n">
        <v>0.594</v>
      </c>
      <c r="F265" s="24" t="n">
        <v>0.595</v>
      </c>
      <c r="G265" s="24" t="n">
        <v>11.763</v>
      </c>
      <c r="H265" s="24" t="n">
        <v>231.184</v>
      </c>
      <c r="I265" s="24" t="n">
        <v>244.136</v>
      </c>
      <c r="J265" s="24" t="n">
        <v>0.51</v>
      </c>
      <c r="K265" s="24" t="n">
        <v>2.669</v>
      </c>
      <c r="L265" s="24" t="n">
        <v>0.408</v>
      </c>
      <c r="M265" s="24" t="n">
        <v>50.518</v>
      </c>
      <c r="N265" s="24" t="n">
        <v>54.105</v>
      </c>
      <c r="O265" s="24" t="n">
        <v>0.406</v>
      </c>
      <c r="P265" s="24" t="n">
        <v>0.407</v>
      </c>
      <c r="Q265" s="24" t="n">
        <v>0.409</v>
      </c>
      <c r="R265" s="24" t="n">
        <v>21.718</v>
      </c>
      <c r="S265" s="24" t="n">
        <v>22.94</v>
      </c>
      <c r="T265" s="24" t="n">
        <v>0.446</v>
      </c>
      <c r="U265" s="24" t="n">
        <v>0.446</v>
      </c>
      <c r="V265" s="24" t="n">
        <v>0.428</v>
      </c>
      <c r="W265" s="24" t="n">
        <v>11.503</v>
      </c>
      <c r="X265" s="24" t="n">
        <v>12.823</v>
      </c>
      <c r="Y265" s="24" t="n">
        <v>0.505</v>
      </c>
      <c r="Z265" s="24" t="n">
        <v>0.488</v>
      </c>
      <c r="AA265" s="24" t="n">
        <v>-34.692</v>
      </c>
      <c r="AB265" s="24" t="n">
        <v>68.253</v>
      </c>
      <c r="AC265" s="24" t="n">
        <v>34.554</v>
      </c>
      <c r="AD265" s="24" t="n">
        <v>0.647</v>
      </c>
      <c r="AE265" s="24" t="n">
        <v>0.648</v>
      </c>
      <c r="AF265" s="24" t="n">
        <v>0.649</v>
      </c>
      <c r="AG265" s="24" t="n">
        <v>4.278</v>
      </c>
      <c r="AH265" s="24" t="n">
        <v>6.222</v>
      </c>
      <c r="AI265" s="24" t="n">
        <v>0.777</v>
      </c>
      <c r="AJ265" s="24" t="n">
        <v>0.776</v>
      </c>
      <c r="AK265" s="24" t="n">
        <v>0.829</v>
      </c>
      <c r="AL265" s="24" t="n">
        <v>7.166</v>
      </c>
      <c r="AM265" s="24" t="n">
        <v>9.548</v>
      </c>
      <c r="AN265" s="24" t="n">
        <v>0.737</v>
      </c>
      <c r="AO265" s="24" t="n">
        <v>0.738</v>
      </c>
      <c r="AP265" s="24" t="n">
        <v>0.714</v>
      </c>
      <c r="AQ265" s="24" t="n">
        <v>-38.836</v>
      </c>
      <c r="AR265" s="24" t="n">
        <v>-36.647</v>
      </c>
      <c r="AS265" s="24" t="n">
        <v>0.814</v>
      </c>
      <c r="AT265" s="24" t="n">
        <v>0.813</v>
      </c>
      <c r="AU265" s="24" t="n">
        <v>0.814</v>
      </c>
      <c r="AV265" s="24" t="n">
        <v>47.427</v>
      </c>
      <c r="AW265" s="24" t="n">
        <v>49.868</v>
      </c>
      <c r="AX265" s="24" t="n">
        <v>0.83</v>
      </c>
      <c r="AY265" s="24" t="n">
        <v>0.83</v>
      </c>
      <c r="AZ265" s="24" t="n">
        <v>0.83</v>
      </c>
      <c r="BA265" s="24" t="n">
        <v>31.597</v>
      </c>
      <c r="BB265" s="24" t="n">
        <v>34.087</v>
      </c>
      <c r="BC265" s="24" t="n">
        <v>0.831</v>
      </c>
      <c r="BD265" s="24" t="n">
        <v>0.832</v>
      </c>
      <c r="BE265" s="24" t="n">
        <v>0.831</v>
      </c>
      <c r="BF265" s="24" t="n">
        <v>11.653</v>
      </c>
      <c r="BG265" s="24" t="n">
        <v>14.147</v>
      </c>
      <c r="BH265" s="24" t="n">
        <v>0.797</v>
      </c>
      <c r="BI265" s="24" t="n">
        <v>0.83</v>
      </c>
      <c r="BJ265" s="24" t="n">
        <v>0.815</v>
      </c>
      <c r="BK265" s="24" t="n">
        <v>-8.375</v>
      </c>
      <c r="BL265" s="24" t="n">
        <v>-5.933</v>
      </c>
      <c r="BM265" s="24" t="n">
        <v>0.979</v>
      </c>
      <c r="BN265" s="24" t="n">
        <v>0.979</v>
      </c>
      <c r="BO265" s="36"/>
      <c r="BP265" s="36"/>
      <c r="BQ265" s="39" t="n">
        <v>0</v>
      </c>
      <c r="BR265" s="39" t="n">
        <v>0</v>
      </c>
      <c r="BS265" s="39" t="n">
        <v>0</v>
      </c>
      <c r="BT265" s="39" t="n">
        <v>0</v>
      </c>
      <c r="BU265" s="39" t="n">
        <v>0</v>
      </c>
      <c r="BV265" s="15"/>
    </row>
    <row r="266" customFormat="false" ht="15" hidden="false" customHeight="false" outlineLevel="0" collapsed="false">
      <c r="B266" s="13" t="s">
        <v>436</v>
      </c>
      <c r="C266" s="19"/>
      <c r="D266" s="19"/>
      <c r="E266" s="24" t="n">
        <v>3.413</v>
      </c>
      <c r="F266" s="24" t="n">
        <v>1.865</v>
      </c>
      <c r="G266" s="24" t="n">
        <v>-18.663</v>
      </c>
      <c r="H266" s="24" t="n">
        <v>-95.716</v>
      </c>
      <c r="I266" s="24" t="n">
        <v>-109.101</v>
      </c>
      <c r="J266" s="24" t="n">
        <v>0.044</v>
      </c>
      <c r="K266" s="24" t="n">
        <v>-0.022</v>
      </c>
      <c r="L266" s="24" t="n">
        <v>-0.403</v>
      </c>
      <c r="M266" s="24" t="n">
        <v>-36.368</v>
      </c>
      <c r="N266" s="24" t="n">
        <v>-36.749</v>
      </c>
      <c r="O266" s="24" t="n">
        <v>-14.411</v>
      </c>
      <c r="P266" s="24" t="n">
        <v>-0.895</v>
      </c>
      <c r="Q266" s="24" t="n">
        <v>-0.559</v>
      </c>
      <c r="R266" s="24" t="n">
        <v>-4.937</v>
      </c>
      <c r="S266" s="24" t="n">
        <v>-20.802</v>
      </c>
      <c r="T266" s="24" t="n">
        <v>0</v>
      </c>
      <c r="U266" s="24" t="n">
        <v>-0.031</v>
      </c>
      <c r="V266" s="24" t="n">
        <v>0</v>
      </c>
      <c r="W266" s="24" t="n">
        <v>93.461</v>
      </c>
      <c r="X266" s="24" t="n">
        <v>93.461</v>
      </c>
      <c r="Y266" s="24" t="n">
        <v>0</v>
      </c>
      <c r="Z266" s="24" t="n">
        <v>-3.556</v>
      </c>
      <c r="AA266" s="24" t="n">
        <v>39.939</v>
      </c>
      <c r="AB266" s="24" t="n">
        <v>-21.237</v>
      </c>
      <c r="AC266" s="24" t="n">
        <v>15.144</v>
      </c>
      <c r="AD266" s="24" t="n">
        <v>0</v>
      </c>
      <c r="AE266" s="24" t="n">
        <v>0</v>
      </c>
      <c r="AF266" s="24" t="n">
        <v>0</v>
      </c>
      <c r="AG266" s="24" t="n">
        <v>4.757</v>
      </c>
      <c r="AH266" s="24" t="n">
        <v>4.757</v>
      </c>
      <c r="AI266" s="24" t="n">
        <v>0.283</v>
      </c>
      <c r="AJ266" s="24" t="n">
        <v>1.742</v>
      </c>
      <c r="AK266" s="24" t="n">
        <v>-1.035</v>
      </c>
      <c r="AL266" s="24" t="n">
        <v>6.108</v>
      </c>
      <c r="AM266" s="24" t="n">
        <v>7.098</v>
      </c>
      <c r="AN266" s="24" t="n">
        <v>1.168</v>
      </c>
      <c r="AO266" s="24" t="n">
        <v>0.38</v>
      </c>
      <c r="AP266" s="24" t="n">
        <v>14.455</v>
      </c>
      <c r="AQ266" s="24" t="n">
        <v>40.453</v>
      </c>
      <c r="AR266" s="24" t="n">
        <v>56.456</v>
      </c>
      <c r="AS266" s="24" t="n">
        <v>1.413</v>
      </c>
      <c r="AT266" s="24" t="n">
        <v>1.508</v>
      </c>
      <c r="AU266" s="24" t="n">
        <v>-0.955</v>
      </c>
      <c r="AV266" s="24" t="n">
        <v>11.244</v>
      </c>
      <c r="AW266" s="24" t="n">
        <v>13.21</v>
      </c>
      <c r="AX266" s="24" t="n">
        <v>0.495</v>
      </c>
      <c r="AY266" s="24" t="n">
        <v>-0.364</v>
      </c>
      <c r="AZ266" s="24" t="n">
        <v>-0.11</v>
      </c>
      <c r="BA266" s="24" t="n">
        <v>-5.645</v>
      </c>
      <c r="BB266" s="24" t="n">
        <v>-5.624</v>
      </c>
      <c r="BC266" s="24" t="n">
        <v>0.129</v>
      </c>
      <c r="BD266" s="24" t="n">
        <v>-0.161</v>
      </c>
      <c r="BE266" s="24" t="n">
        <v>-0.601</v>
      </c>
      <c r="BF266" s="24" t="n">
        <v>24.785</v>
      </c>
      <c r="BG266" s="24" t="n">
        <v>19.762</v>
      </c>
      <c r="BH266" s="24" t="n">
        <v>-1.075</v>
      </c>
      <c r="BI266" s="24" t="n">
        <v>-8.291</v>
      </c>
      <c r="BJ266" s="24" t="n">
        <v>12.274</v>
      </c>
      <c r="BK266" s="24" t="n">
        <v>33.086</v>
      </c>
      <c r="BL266" s="24" t="n">
        <v>35.994</v>
      </c>
      <c r="BM266" s="24" t="n">
        <v>1.257</v>
      </c>
      <c r="BN266" s="24" t="n">
        <v>3.194</v>
      </c>
      <c r="BO266" s="36"/>
      <c r="BP266" s="36"/>
      <c r="BQ266" s="21" t="n">
        <f aca="false">BQ394</f>
        <v>6</v>
      </c>
      <c r="BR266" s="21" t="n">
        <f aca="false">BR394</f>
        <v>6</v>
      </c>
      <c r="BS266" s="21" t="n">
        <f aca="false">BS394</f>
        <v>6</v>
      </c>
      <c r="BT266" s="21" t="n">
        <f aca="false">BT394</f>
        <v>6</v>
      </c>
      <c r="BU266" s="21" t="n">
        <f aca="false">BU394</f>
        <v>6</v>
      </c>
      <c r="BV266" s="15" t="s">
        <v>437</v>
      </c>
    </row>
    <row r="267" customFormat="false" ht="15" hidden="false" customHeight="false" outlineLevel="0" collapsed="false">
      <c r="B267" s="13" t="s">
        <v>438</v>
      </c>
      <c r="C267" s="19"/>
      <c r="D267" s="19"/>
      <c r="E267" s="24" t="n">
        <v>-175.631</v>
      </c>
      <c r="F267" s="24" t="n">
        <v>-38.588</v>
      </c>
      <c r="G267" s="24" t="n">
        <v>-85.568</v>
      </c>
      <c r="H267" s="24" t="n">
        <v>57.655</v>
      </c>
      <c r="I267" s="24" t="n">
        <v>-242.132</v>
      </c>
      <c r="J267" s="24" t="n">
        <v>-74.515</v>
      </c>
      <c r="K267" s="24" t="n">
        <v>24.959</v>
      </c>
      <c r="L267" s="24" t="n">
        <v>37.117</v>
      </c>
      <c r="M267" s="24" t="n">
        <v>55.093</v>
      </c>
      <c r="N267" s="24" t="n">
        <v>42.654</v>
      </c>
      <c r="O267" s="24" t="n">
        <v>-67.115</v>
      </c>
      <c r="P267" s="24" t="n">
        <v>10.518</v>
      </c>
      <c r="Q267" s="24" t="n">
        <v>-34.091</v>
      </c>
      <c r="R267" s="24" t="n">
        <v>79.923</v>
      </c>
      <c r="S267" s="24" t="n">
        <v>-10.765</v>
      </c>
      <c r="T267" s="24" t="n">
        <v>-130.154</v>
      </c>
      <c r="U267" s="24" t="n">
        <v>39.826</v>
      </c>
      <c r="V267" s="24" t="n">
        <v>17.082</v>
      </c>
      <c r="W267" s="24" t="n">
        <v>-33.354</v>
      </c>
      <c r="X267" s="24" t="n">
        <v>-106.6</v>
      </c>
      <c r="Y267" s="24" t="n">
        <v>-101.738</v>
      </c>
      <c r="Z267" s="24" t="n">
        <v>-36.082</v>
      </c>
      <c r="AA267" s="24" t="n">
        <v>-122.267</v>
      </c>
      <c r="AB267" s="24" t="n">
        <v>88.5</v>
      </c>
      <c r="AC267" s="24" t="n">
        <v>-171.587</v>
      </c>
      <c r="AD267" s="24" t="n">
        <v>-82.171</v>
      </c>
      <c r="AE267" s="24" t="n">
        <v>-11.039</v>
      </c>
      <c r="AF267" s="24" t="n">
        <v>-47.366</v>
      </c>
      <c r="AG267" s="24" t="n">
        <v>97.809</v>
      </c>
      <c r="AH267" s="24" t="n">
        <v>-42.767</v>
      </c>
      <c r="AI267" s="24" t="n">
        <v>-99.914</v>
      </c>
      <c r="AJ267" s="24" t="n">
        <v>74.835</v>
      </c>
      <c r="AK267" s="24" t="n">
        <v>-96.824</v>
      </c>
      <c r="AL267" s="24" t="n">
        <v>-52.868</v>
      </c>
      <c r="AM267" s="24" t="n">
        <v>-174.771</v>
      </c>
      <c r="AN267" s="24" t="n">
        <v>9.23</v>
      </c>
      <c r="AO267" s="24" t="n">
        <v>-19.545</v>
      </c>
      <c r="AP267" s="24" t="n">
        <v>-24.643</v>
      </c>
      <c r="AQ267" s="24" t="n">
        <v>20.217</v>
      </c>
      <c r="AR267" s="24" t="n">
        <v>-14.741</v>
      </c>
      <c r="AS267" s="24" t="n">
        <v>-85.288</v>
      </c>
      <c r="AT267" s="24" t="n">
        <v>-20.543</v>
      </c>
      <c r="AU267" s="24" t="n">
        <v>-13.255</v>
      </c>
      <c r="AV267" s="24" t="n">
        <v>-22.416</v>
      </c>
      <c r="AW267" s="24" t="n">
        <v>-141.502</v>
      </c>
      <c r="AX267" s="24" t="n">
        <v>-92.4</v>
      </c>
      <c r="AY267" s="24" t="n">
        <v>-4.42</v>
      </c>
      <c r="AZ267" s="24" t="n">
        <v>-9.42</v>
      </c>
      <c r="BA267" s="24" t="n">
        <v>89.565</v>
      </c>
      <c r="BB267" s="24" t="n">
        <v>-16.675</v>
      </c>
      <c r="BC267" s="24" t="n">
        <v>-58.917</v>
      </c>
      <c r="BD267" s="24" t="n">
        <v>-34.511</v>
      </c>
      <c r="BE267" s="24" t="n">
        <v>-56.608</v>
      </c>
      <c r="BF267" s="24" t="n">
        <v>140.923</v>
      </c>
      <c r="BG267" s="24" t="n">
        <v>-9.113</v>
      </c>
      <c r="BH267" s="24" t="n">
        <v>-50.907</v>
      </c>
      <c r="BI267" s="24" t="n">
        <v>56.563</v>
      </c>
      <c r="BJ267" s="24" t="n">
        <v>15.48</v>
      </c>
      <c r="BK267" s="24" t="n">
        <v>-50.635</v>
      </c>
      <c r="BL267" s="24" t="n">
        <v>-29.499</v>
      </c>
      <c r="BM267" s="24" t="n">
        <v>-36.87</v>
      </c>
      <c r="BN267" s="24" t="n">
        <v>34.485</v>
      </c>
      <c r="BO267" s="36"/>
      <c r="BP267" s="36"/>
      <c r="BQ267" s="21" t="n">
        <f aca="false">-(BQ313-BL313+BQ314-BL314+BQ315-BL315+BQ316-BL316+BQ317-BL317)+(BQ334-BL334+BQ335-BL335+BQ336-BL336+BQ337-BL337)</f>
        <v>5.89499999999998</v>
      </c>
      <c r="BR267" s="21" t="n">
        <f aca="false">-(BR313-BQ313+BR314-BQ314+BR315-BQ315+BR316-BQ316+BR317-BQ317)+(BR334-BQ334+BR335-BQ335+BR336-BQ336+BR337-BQ337)</f>
        <v>-113.227276017495</v>
      </c>
      <c r="BS267" s="21" t="n">
        <f aca="false">-(BS313-BR313+BS314-BR314+BS315-BR315+BS316-BR316+BS317-BR317)+(BS334-BR334+BS335-BR335+BS336-BR336+BS337-BR337)</f>
        <v>-43.0178598100729</v>
      </c>
      <c r="BT267" s="21" t="n">
        <f aca="false">-(BT313-BS313+BT314-BS314+BT315-BS315+BT316-BS316+BT317-BS317)+(BT334-BS334+BT335-BS335+BT336-BS336+BT337-BS337)</f>
        <v>-51.3225829066175</v>
      </c>
      <c r="BU267" s="21" t="n">
        <f aca="false">-(BU313-BT313+BU314-BT314+BU315-BT315+BU316-BT316+BU317-BT317)+(BU334-BT334+BU335-BT335+BU336-BT336+BU337-BT337)</f>
        <v>-54.5540661968238</v>
      </c>
      <c r="BV267" s="15" t="s">
        <v>439</v>
      </c>
    </row>
    <row r="268" customFormat="false" ht="15" hidden="false" customHeight="false" outlineLevel="0" collapsed="false">
      <c r="B268" s="30" t="s">
        <v>440</v>
      </c>
      <c r="C268" s="31"/>
      <c r="D268" s="31"/>
      <c r="E268" s="32" t="n">
        <v>-113.517</v>
      </c>
      <c r="F268" s="32" t="n">
        <v>5.815</v>
      </c>
      <c r="G268" s="32" t="n">
        <v>22.507</v>
      </c>
      <c r="H268" s="32" t="n">
        <v>160.12</v>
      </c>
      <c r="I268" s="32" t="n">
        <v>74.925</v>
      </c>
      <c r="J268" s="32" t="n">
        <v>5.044</v>
      </c>
      <c r="K268" s="32" t="n">
        <v>78.229</v>
      </c>
      <c r="L268" s="32" t="n">
        <v>155.585</v>
      </c>
      <c r="M268" s="32" t="n">
        <v>91.306</v>
      </c>
      <c r="N268" s="32" t="n">
        <v>330.164</v>
      </c>
      <c r="O268" s="32" t="n">
        <v>-18.265</v>
      </c>
      <c r="P268" s="32" t="n">
        <v>80.907</v>
      </c>
      <c r="Q268" s="32" t="n">
        <v>18.496</v>
      </c>
      <c r="R268" s="32" t="n">
        <v>158.712</v>
      </c>
      <c r="S268" s="32" t="n">
        <v>239.85</v>
      </c>
      <c r="T268" s="32" t="n">
        <v>-54.755</v>
      </c>
      <c r="U268" s="32" t="n">
        <v>118.778</v>
      </c>
      <c r="V268" s="32" t="n">
        <v>80.661</v>
      </c>
      <c r="W268" s="32" t="n">
        <v>77.47</v>
      </c>
      <c r="X268" s="32" t="n">
        <v>222.154</v>
      </c>
      <c r="Y268" s="32" t="n">
        <v>-18.605</v>
      </c>
      <c r="Z268" s="32" t="n">
        <v>35.915</v>
      </c>
      <c r="AA268" s="32" t="n">
        <v>-25.751</v>
      </c>
      <c r="AB268" s="32" t="n">
        <v>177.731</v>
      </c>
      <c r="AC268" s="32" t="n">
        <v>169.29</v>
      </c>
      <c r="AD268" s="32" t="n">
        <v>-17.723</v>
      </c>
      <c r="AE268" s="32" t="n">
        <v>64.789</v>
      </c>
      <c r="AF268" s="32" t="n">
        <v>43.935</v>
      </c>
      <c r="AG268" s="32" t="n">
        <v>188.367</v>
      </c>
      <c r="AH268" s="32" t="n">
        <v>279.368</v>
      </c>
      <c r="AI268" s="32" t="n">
        <v>-6.447</v>
      </c>
      <c r="AJ268" s="32" t="n">
        <v>162.077</v>
      </c>
      <c r="AK268" s="32" t="n">
        <v>-7.536</v>
      </c>
      <c r="AL268" s="32" t="n">
        <v>48.348</v>
      </c>
      <c r="AM268" s="32" t="n">
        <v>196.442</v>
      </c>
      <c r="AN268" s="32" t="n">
        <v>98.414</v>
      </c>
      <c r="AO268" s="32" t="n">
        <v>59.909</v>
      </c>
      <c r="AP268" s="32" t="n">
        <v>67.255</v>
      </c>
      <c r="AQ268" s="32" t="n">
        <v>160.448</v>
      </c>
      <c r="AR268" s="32" t="n">
        <v>386.026</v>
      </c>
      <c r="AS268" s="32" t="n">
        <v>-5.384</v>
      </c>
      <c r="AT268" s="32" t="n">
        <v>77.422</v>
      </c>
      <c r="AU268" s="32" t="n">
        <v>64.997</v>
      </c>
      <c r="AV268" s="32" t="n">
        <v>107.669</v>
      </c>
      <c r="AW268" s="32" t="n">
        <v>244.704</v>
      </c>
      <c r="AX268" s="32" t="n">
        <v>-13.024</v>
      </c>
      <c r="AY268" s="32" t="n">
        <v>80.613</v>
      </c>
      <c r="AZ268" s="32" t="n">
        <v>74.348</v>
      </c>
      <c r="BA268" s="32" t="n">
        <v>221.764</v>
      </c>
      <c r="BB268" s="32" t="n">
        <v>363.701</v>
      </c>
      <c r="BC268" s="32" t="n">
        <v>33.026</v>
      </c>
      <c r="BD268" s="32" t="n">
        <v>65.894</v>
      </c>
      <c r="BE268" s="32" t="n">
        <v>32.628</v>
      </c>
      <c r="BF268" s="32" t="n">
        <v>276.88</v>
      </c>
      <c r="BG268" s="32" t="n">
        <v>408.428</v>
      </c>
      <c r="BH268" s="32" t="n">
        <v>50.65</v>
      </c>
      <c r="BI268" s="32" t="n">
        <v>159.043</v>
      </c>
      <c r="BJ268" s="32" t="n">
        <v>143.16</v>
      </c>
      <c r="BK268" s="32" t="n">
        <v>126.995</v>
      </c>
      <c r="BL268" s="32" t="n">
        <v>479.848</v>
      </c>
      <c r="BM268" s="32" t="n">
        <v>92.6</v>
      </c>
      <c r="BN268" s="32" t="n">
        <v>156.403</v>
      </c>
      <c r="BO268" s="57"/>
      <c r="BP268" s="57"/>
      <c r="BQ268" s="33" t="n">
        <f aca="false">SUM(BQ259,BQ261,BQ262,BQ263,BQ264,BQ265,BQ266,BQ267)</f>
        <v>574.46223502487</v>
      </c>
      <c r="BR268" s="33" t="n">
        <f aca="false">SUM(BR259,BR261,BR262,BR263,BR264,BR265,BR266,BR267)</f>
        <v>402.450851625388</v>
      </c>
      <c r="BS268" s="33" t="n">
        <f aca="false">SUM(BS259,BS261,BS262,BS263,BS264,BS265,BS266,BS267)</f>
        <v>703.425689705447</v>
      </c>
      <c r="BT268" s="33" t="n">
        <f aca="false">SUM(BT259,BT261,BT262,BT263,BT264,BT265,BT266,BT267)</f>
        <v>785.935520849381</v>
      </c>
      <c r="BU268" s="33" t="n">
        <f aca="false">SUM(BU259,BU261,BU262,BU263,BU264,BU265,BU266,BU267)</f>
        <v>865.655600487062</v>
      </c>
      <c r="BV268" s="15"/>
      <c r="BX268" s="25" t="n">
        <f aca="false">IFERROR((BU268/BL268)^(1/5)-1,"n/m")</f>
        <v>0.125248106533007</v>
      </c>
      <c r="BY268" s="25" t="n">
        <f aca="false">IFERROR((BL268/AM268)^(1/5)-1,"n/m")</f>
        <v>0.195566860245211</v>
      </c>
      <c r="BZ268" s="25" t="n">
        <f aca="false">IFERROR((BL268/N268)^(1/10)-1,"n/m")</f>
        <v>0.0380957120544028</v>
      </c>
      <c r="CA268" s="25" t="str">
        <f aca="false">IFERROR((BL268/D268)^(1/12)-1,"n/m")</f>
        <v>n/m</v>
      </c>
    </row>
    <row r="269" customFormat="false" ht="15" hidden="false" customHeight="false" outlineLevel="0" collapsed="false">
      <c r="B269" s="13" t="s">
        <v>441</v>
      </c>
      <c r="C269" s="19"/>
      <c r="D269" s="19"/>
      <c r="E269" s="24" t="n">
        <v>-21.214</v>
      </c>
      <c r="F269" s="24" t="n">
        <v>-16.608</v>
      </c>
      <c r="G269" s="24" t="n">
        <v>-18.055</v>
      </c>
      <c r="H269" s="24" t="n">
        <v>-20.152</v>
      </c>
      <c r="I269" s="24" t="n">
        <v>-76.029</v>
      </c>
      <c r="J269" s="24" t="n">
        <v>-21.349</v>
      </c>
      <c r="K269" s="24" t="n">
        <v>-19.252</v>
      </c>
      <c r="L269" s="24" t="n">
        <v>-11.592</v>
      </c>
      <c r="M269" s="24" t="n">
        <v>-16.142</v>
      </c>
      <c r="N269" s="24" t="n">
        <v>-68.335</v>
      </c>
      <c r="O269" s="24" t="n">
        <v>-10.082</v>
      </c>
      <c r="P269" s="24" t="n">
        <v>-8.397</v>
      </c>
      <c r="Q269" s="24" t="n">
        <v>-12.386</v>
      </c>
      <c r="R269" s="24" t="n">
        <v>-21.769</v>
      </c>
      <c r="S269" s="24" t="n">
        <v>-52.634</v>
      </c>
      <c r="T269" s="24" t="n">
        <v>-13.713</v>
      </c>
      <c r="U269" s="24" t="n">
        <v>-15.034</v>
      </c>
      <c r="V269" s="24" t="n">
        <v>-20.614</v>
      </c>
      <c r="W269" s="24" t="n">
        <v>-47.519</v>
      </c>
      <c r="X269" s="24" t="n">
        <v>-96.88</v>
      </c>
      <c r="Y269" s="24" t="n">
        <v>-17.634</v>
      </c>
      <c r="Z269" s="24" t="n">
        <v>-16.326</v>
      </c>
      <c r="AA269" s="24" t="n">
        <v>-26.528</v>
      </c>
      <c r="AB269" s="24" t="n">
        <v>-48.85</v>
      </c>
      <c r="AC269" s="24" t="n">
        <v>-109.338</v>
      </c>
      <c r="AD269" s="24" t="n">
        <v>-44.519</v>
      </c>
      <c r="AE269" s="24" t="n">
        <v>-31.182</v>
      </c>
      <c r="AF269" s="24" t="n">
        <v>-46.928</v>
      </c>
      <c r="AG269" s="24" t="n">
        <v>-59.495</v>
      </c>
      <c r="AH269" s="24" t="n">
        <v>-182.124</v>
      </c>
      <c r="AI269" s="24" t="n">
        <v>-64.768</v>
      </c>
      <c r="AJ269" s="24" t="n">
        <v>-50.709</v>
      </c>
      <c r="AK269" s="24" t="n">
        <v>-64.495</v>
      </c>
      <c r="AL269" s="24" t="n">
        <v>-75.055</v>
      </c>
      <c r="AM269" s="24" t="n">
        <v>-255.027</v>
      </c>
      <c r="AN269" s="24" t="n">
        <v>-101.932</v>
      </c>
      <c r="AO269" s="24" t="n">
        <v>-68.238</v>
      </c>
      <c r="AP269" s="24" t="n">
        <v>-66.486</v>
      </c>
      <c r="AQ269" s="24" t="n">
        <v>-74.396</v>
      </c>
      <c r="AR269" s="24" t="n">
        <v>-311.052</v>
      </c>
      <c r="AS269" s="24" t="n">
        <v>-52.411</v>
      </c>
      <c r="AT269" s="24" t="n">
        <v>-42.535</v>
      </c>
      <c r="AU269" s="24" t="n">
        <v>-39.645</v>
      </c>
      <c r="AV269" s="24" t="n">
        <v>-63.721</v>
      </c>
      <c r="AW269" s="24" t="n">
        <v>-198.312</v>
      </c>
      <c r="AX269" s="24" t="n">
        <v>-29.78</v>
      </c>
      <c r="AY269" s="24" t="n">
        <v>-39.802</v>
      </c>
      <c r="AZ269" s="24" t="n">
        <v>-30.916</v>
      </c>
      <c r="BA269" s="24" t="n">
        <v>-50.788</v>
      </c>
      <c r="BB269" s="24" t="n">
        <v>-151.286</v>
      </c>
      <c r="BC269" s="24" t="n">
        <v>-30.422</v>
      </c>
      <c r="BD269" s="24" t="n">
        <v>-30.405</v>
      </c>
      <c r="BE269" s="24" t="n">
        <v>-40.301</v>
      </c>
      <c r="BF269" s="24" t="n">
        <v>-52.519</v>
      </c>
      <c r="BG269" s="24" t="n">
        <v>-153.647</v>
      </c>
      <c r="BH269" s="24" t="n">
        <v>-33.369</v>
      </c>
      <c r="BI269" s="24" t="n">
        <v>-32.729</v>
      </c>
      <c r="BJ269" s="24" t="n">
        <v>-48.267</v>
      </c>
      <c r="BK269" s="24" t="n">
        <v>-70.192</v>
      </c>
      <c r="BL269" s="24" t="n">
        <v>-184.557</v>
      </c>
      <c r="BM269" s="24" t="n">
        <v>-42.506</v>
      </c>
      <c r="BN269" s="24" t="n">
        <v>-41.431</v>
      </c>
      <c r="BO269" s="36"/>
      <c r="BP269" s="36"/>
      <c r="BQ269" s="21" t="n">
        <f aca="false">SUM(BM269,BN269)-(BO157+BP157)*BQ294</f>
        <v>-206.22648</v>
      </c>
      <c r="BR269" s="21" t="n">
        <f aca="false">-BR157*BR294</f>
        <v>-249.791576205363</v>
      </c>
      <c r="BS269" s="21" t="n">
        <f aca="false">-BS157*BS294</f>
        <v>-252.058365566012</v>
      </c>
      <c r="BT269" s="21" t="n">
        <f aca="false">-BT157*BT294</f>
        <v>-254.179374992285</v>
      </c>
      <c r="BU269" s="21" t="n">
        <f aca="false">-BU157*BU294</f>
        <v>-280.791114600492</v>
      </c>
      <c r="BV269" s="15" t="s">
        <v>442</v>
      </c>
    </row>
    <row r="270" customFormat="false" ht="15" hidden="false" customHeight="false" outlineLevel="0" collapsed="false">
      <c r="B270" s="13" t="s">
        <v>443</v>
      </c>
      <c r="C270" s="19"/>
      <c r="D270" s="19"/>
      <c r="E270" s="24" t="n">
        <v>0</v>
      </c>
      <c r="F270" s="24" t="n">
        <v>0</v>
      </c>
      <c r="G270" s="24" t="n">
        <v>-0.607</v>
      </c>
      <c r="H270" s="24" t="n">
        <v>0.002</v>
      </c>
      <c r="I270" s="24" t="n">
        <v>-127.703</v>
      </c>
      <c r="J270" s="24" t="n">
        <v>0</v>
      </c>
      <c r="K270" s="24" t="n">
        <v>0</v>
      </c>
      <c r="L270" s="24" t="n">
        <v>0</v>
      </c>
      <c r="M270" s="24" t="n">
        <v>0</v>
      </c>
      <c r="N270" s="24" t="n">
        <v>0</v>
      </c>
      <c r="O270" s="24" t="n">
        <v>0</v>
      </c>
      <c r="P270" s="24" t="n">
        <v>0</v>
      </c>
      <c r="Q270" s="24" t="n">
        <v>0</v>
      </c>
      <c r="R270" s="24" t="n">
        <v>0</v>
      </c>
      <c r="S270" s="24" t="n">
        <v>-117.78</v>
      </c>
      <c r="T270" s="24" t="n">
        <v>0</v>
      </c>
      <c r="U270" s="24" t="n">
        <v>0</v>
      </c>
      <c r="V270" s="24" t="n">
        <v>0</v>
      </c>
      <c r="W270" s="24" t="n">
        <v>0</v>
      </c>
      <c r="X270" s="24" t="n">
        <v>-0.715</v>
      </c>
      <c r="Y270" s="24" t="n">
        <v>0</v>
      </c>
      <c r="Z270" s="24" t="n">
        <v>0</v>
      </c>
      <c r="AA270" s="24" t="n">
        <v>0</v>
      </c>
      <c r="AB270" s="24" t="n">
        <v>0</v>
      </c>
      <c r="AC270" s="24" t="n">
        <v>-212.993</v>
      </c>
      <c r="AD270" s="24" t="n">
        <v>0</v>
      </c>
      <c r="AE270" s="24" t="n">
        <v>0</v>
      </c>
      <c r="AF270" s="24" t="n">
        <v>0</v>
      </c>
      <c r="AG270" s="24" t="n">
        <v>0</v>
      </c>
      <c r="AH270" s="24" t="n">
        <v>0</v>
      </c>
      <c r="AI270" s="24" t="n">
        <v>-16.174</v>
      </c>
      <c r="AJ270" s="24" t="n">
        <v>0</v>
      </c>
      <c r="AK270" s="24" t="n">
        <v>0.269</v>
      </c>
      <c r="AL270" s="24" t="n">
        <v>0</v>
      </c>
      <c r="AM270" s="24" t="n">
        <v>-15.905</v>
      </c>
      <c r="AN270" s="24" t="n">
        <v>0</v>
      </c>
      <c r="AO270" s="24" t="n">
        <v>0</v>
      </c>
      <c r="AP270" s="24" t="n">
        <v>0</v>
      </c>
      <c r="AQ270" s="24" t="n">
        <v>0</v>
      </c>
      <c r="AR270" s="24" t="n">
        <v>0</v>
      </c>
      <c r="AS270" s="24" t="n">
        <v>0</v>
      </c>
      <c r="AT270" s="24" t="n">
        <v>0</v>
      </c>
      <c r="AU270" s="24" t="n">
        <v>0</v>
      </c>
      <c r="AV270" s="24" t="n">
        <v>0</v>
      </c>
      <c r="AW270" s="24" t="n">
        <v>-47.328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-103.345</v>
      </c>
      <c r="BI270" s="24" t="n">
        <v>-434.839</v>
      </c>
      <c r="BJ270" s="24" t="n">
        <v>2.184</v>
      </c>
      <c r="BK270" s="24" t="n">
        <v>0.853</v>
      </c>
      <c r="BL270" s="24" t="n">
        <v>-535.147</v>
      </c>
      <c r="BM270" s="24" t="n">
        <v>0</v>
      </c>
      <c r="BN270" s="24" t="n">
        <v>0</v>
      </c>
      <c r="BO270" s="36"/>
      <c r="BP270" s="36"/>
      <c r="BQ270" s="21" t="n">
        <f aca="false">SUM(BM270,BN270)-BQ149</f>
        <v>-300</v>
      </c>
      <c r="BR270" s="21" t="n">
        <f aca="false">-BR86</f>
        <v>-0</v>
      </c>
      <c r="BS270" s="21" t="n">
        <f aca="false">-BS86</f>
        <v>-150</v>
      </c>
      <c r="BT270" s="21" t="n">
        <f aca="false">-BT86</f>
        <v>-150</v>
      </c>
      <c r="BU270" s="21" t="n">
        <f aca="false">-BU86</f>
        <v>-150</v>
      </c>
      <c r="BV270" s="15" t="s">
        <v>444</v>
      </c>
    </row>
    <row r="271" customFormat="false" ht="15" hidden="false" customHeight="false" outlineLevel="0" collapsed="false">
      <c r="B271" s="13" t="s">
        <v>445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36"/>
      <c r="BP271" s="36"/>
      <c r="BQ271" s="39" t="n">
        <v>0</v>
      </c>
      <c r="BR271" s="21" t="n">
        <f aca="false">BR80</f>
        <v>750</v>
      </c>
      <c r="BS271" s="21" t="n">
        <f aca="false">BS80</f>
        <v>0</v>
      </c>
      <c r="BT271" s="21" t="n">
        <f aca="false">BT80</f>
        <v>0</v>
      </c>
      <c r="BU271" s="21" t="n">
        <f aca="false">BU80</f>
        <v>0</v>
      </c>
      <c r="BV271" s="15" t="s">
        <v>446</v>
      </c>
    </row>
    <row r="272" customFormat="false" ht="15" hidden="false" customHeight="false" outlineLevel="0" collapsed="false">
      <c r="B272" s="13" t="s">
        <v>447</v>
      </c>
      <c r="C272" s="19"/>
      <c r="D272" s="19"/>
      <c r="E272" s="24" t="n">
        <v>9.845</v>
      </c>
      <c r="F272" s="24" t="n">
        <v>-129.693</v>
      </c>
      <c r="G272" s="24" t="n">
        <v>1.157</v>
      </c>
      <c r="H272" s="24" t="n">
        <v>-4.481</v>
      </c>
      <c r="I272" s="24" t="n">
        <v>3.926</v>
      </c>
      <c r="J272" s="24" t="n">
        <v>-2.383</v>
      </c>
      <c r="K272" s="24" t="n">
        <v>-0.238</v>
      </c>
      <c r="L272" s="24" t="n">
        <v>-0.011</v>
      </c>
      <c r="M272" s="24" t="n">
        <v>-0.92</v>
      </c>
      <c r="N272" s="24" t="n">
        <v>-3.552</v>
      </c>
      <c r="O272" s="24" t="n">
        <v>-3.926</v>
      </c>
      <c r="P272" s="24" t="n">
        <v>-6.477</v>
      </c>
      <c r="Q272" s="24" t="n">
        <v>1.142</v>
      </c>
      <c r="R272" s="24" t="n">
        <v>-117.794</v>
      </c>
      <c r="S272" s="24" t="n">
        <v>-9.275</v>
      </c>
      <c r="T272" s="24" t="n">
        <v>-0.947</v>
      </c>
      <c r="U272" s="24" t="n">
        <v>8.252</v>
      </c>
      <c r="V272" s="24" t="n">
        <v>3.158</v>
      </c>
      <c r="W272" s="24" t="n">
        <v>-4.239</v>
      </c>
      <c r="X272" s="24" t="n">
        <v>6.939</v>
      </c>
      <c r="Y272" s="24" t="n">
        <v>1.923</v>
      </c>
      <c r="Z272" s="24" t="n">
        <v>-9.344</v>
      </c>
      <c r="AA272" s="24" t="n">
        <v>-209.1</v>
      </c>
      <c r="AB272" s="24" t="n">
        <v>-0.865</v>
      </c>
      <c r="AC272" s="24" t="n">
        <v>-4.393</v>
      </c>
      <c r="AD272" s="24" t="n">
        <v>0.014</v>
      </c>
      <c r="AE272" s="24" t="n">
        <v>0.019</v>
      </c>
      <c r="AF272" s="24" t="n">
        <v>0.195</v>
      </c>
      <c r="AG272" s="24" t="n">
        <v>1.901</v>
      </c>
      <c r="AH272" s="24" t="n">
        <v>2.129</v>
      </c>
      <c r="AI272" s="24" t="n">
        <v>2.169</v>
      </c>
      <c r="AJ272" s="24" t="n">
        <v>0.065</v>
      </c>
      <c r="AK272" s="24" t="n">
        <v>0.003</v>
      </c>
      <c r="AL272" s="24" t="n">
        <v>3.376</v>
      </c>
      <c r="AM272" s="24" t="n">
        <v>5.613</v>
      </c>
      <c r="AN272" s="24" t="n">
        <v>-0.1</v>
      </c>
      <c r="AO272" s="24" t="n">
        <v>0.668</v>
      </c>
      <c r="AP272" s="24" t="n">
        <v>2.007</v>
      </c>
      <c r="AQ272" s="24" t="n">
        <v>3.824</v>
      </c>
      <c r="AR272" s="24" t="n">
        <v>6.399</v>
      </c>
      <c r="AS272" s="24" t="n">
        <v>-13.516</v>
      </c>
      <c r="AT272" s="24" t="n">
        <v>-56.289</v>
      </c>
      <c r="AU272" s="24" t="n">
        <v>11.318</v>
      </c>
      <c r="AV272" s="24" t="n">
        <v>0.563</v>
      </c>
      <c r="AW272" s="24" t="n">
        <v>-10.596</v>
      </c>
      <c r="AX272" s="24" t="n">
        <v>0</v>
      </c>
      <c r="AY272" s="24" t="n">
        <v>3.668</v>
      </c>
      <c r="AZ272" s="24" t="n">
        <v>-8.157</v>
      </c>
      <c r="BA272" s="24" t="n">
        <v>0.133</v>
      </c>
      <c r="BB272" s="24" t="n">
        <v>-4.356</v>
      </c>
      <c r="BC272" s="24" t="n">
        <v>0.099</v>
      </c>
      <c r="BD272" s="24" t="n">
        <v>0.104</v>
      </c>
      <c r="BE272" s="24" t="n">
        <v>0</v>
      </c>
      <c r="BF272" s="24" t="n">
        <v>-1.117</v>
      </c>
      <c r="BG272" s="24" t="n">
        <v>-0.914</v>
      </c>
      <c r="BH272" s="24" t="n">
        <v>-19.636</v>
      </c>
      <c r="BI272" s="24" t="n">
        <v>-5.562</v>
      </c>
      <c r="BJ272" s="24" t="n">
        <v>1.67</v>
      </c>
      <c r="BK272" s="24" t="n">
        <v>1.123</v>
      </c>
      <c r="BL272" s="24" t="n">
        <v>-22.405</v>
      </c>
      <c r="BM272" s="24" t="n">
        <v>-4.434</v>
      </c>
      <c r="BN272" s="24" t="n">
        <v>3.932</v>
      </c>
      <c r="BO272" s="36"/>
      <c r="BP272" s="36"/>
      <c r="BQ272" s="39" t="n">
        <v>0</v>
      </c>
      <c r="BR272" s="39" t="n">
        <v>0</v>
      </c>
      <c r="BS272" s="39" t="n">
        <v>0</v>
      </c>
      <c r="BT272" s="39" t="n">
        <v>0</v>
      </c>
      <c r="BU272" s="39" t="n">
        <v>0</v>
      </c>
      <c r="BV272" s="15"/>
    </row>
    <row r="273" customFormat="false" ht="15" hidden="false" customHeight="false" outlineLevel="0" collapsed="false">
      <c r="B273" s="30" t="s">
        <v>448</v>
      </c>
      <c r="C273" s="31"/>
      <c r="D273" s="31"/>
      <c r="E273" s="32" t="n">
        <v>-11.369</v>
      </c>
      <c r="F273" s="32" t="n">
        <v>-146.301</v>
      </c>
      <c r="G273" s="32" t="n">
        <v>-17.505</v>
      </c>
      <c r="H273" s="32" t="n">
        <v>-24.631</v>
      </c>
      <c r="I273" s="32" t="n">
        <v>-199.806</v>
      </c>
      <c r="J273" s="32" t="n">
        <v>-23.732</v>
      </c>
      <c r="K273" s="32" t="n">
        <v>-19.49</v>
      </c>
      <c r="L273" s="32" t="n">
        <v>-11.603</v>
      </c>
      <c r="M273" s="32" t="n">
        <v>-17.062</v>
      </c>
      <c r="N273" s="32" t="n">
        <v>-71.887</v>
      </c>
      <c r="O273" s="32" t="n">
        <v>-14.008</v>
      </c>
      <c r="P273" s="32" t="n">
        <v>-14.874</v>
      </c>
      <c r="Q273" s="32" t="n">
        <v>-11.244</v>
      </c>
      <c r="R273" s="32" t="n">
        <v>-139.563</v>
      </c>
      <c r="S273" s="32" t="n">
        <v>-179.689</v>
      </c>
      <c r="T273" s="32" t="n">
        <v>-14.66</v>
      </c>
      <c r="U273" s="32" t="n">
        <v>-6.782</v>
      </c>
      <c r="V273" s="32" t="n">
        <v>-17.456</v>
      </c>
      <c r="W273" s="32" t="n">
        <v>-51.758</v>
      </c>
      <c r="X273" s="32" t="n">
        <v>-90.656</v>
      </c>
      <c r="Y273" s="32" t="n">
        <v>-15.711</v>
      </c>
      <c r="Z273" s="32" t="n">
        <v>-25.67</v>
      </c>
      <c r="AA273" s="32" t="n">
        <v>-235.628</v>
      </c>
      <c r="AB273" s="32" t="n">
        <v>-49.715</v>
      </c>
      <c r="AC273" s="32" t="n">
        <v>-326.724</v>
      </c>
      <c r="AD273" s="32" t="n">
        <v>-44.505</v>
      </c>
      <c r="AE273" s="32" t="n">
        <v>-31.163</v>
      </c>
      <c r="AF273" s="32" t="n">
        <v>-46.733</v>
      </c>
      <c r="AG273" s="32" t="n">
        <v>-57.594</v>
      </c>
      <c r="AH273" s="32" t="n">
        <v>-179.995</v>
      </c>
      <c r="AI273" s="32" t="n">
        <v>-78.773</v>
      </c>
      <c r="AJ273" s="32" t="n">
        <v>-50.644</v>
      </c>
      <c r="AK273" s="32" t="n">
        <v>-64.223</v>
      </c>
      <c r="AL273" s="32" t="n">
        <v>-71.679</v>
      </c>
      <c r="AM273" s="32" t="n">
        <v>-265.319</v>
      </c>
      <c r="AN273" s="32" t="n">
        <v>-102.032</v>
      </c>
      <c r="AO273" s="32" t="n">
        <v>-67.57</v>
      </c>
      <c r="AP273" s="32" t="n">
        <v>-64.479</v>
      </c>
      <c r="AQ273" s="32" t="n">
        <v>-70.572</v>
      </c>
      <c r="AR273" s="32" t="n">
        <v>-304.653</v>
      </c>
      <c r="AS273" s="32" t="n">
        <v>-65.927</v>
      </c>
      <c r="AT273" s="32" t="n">
        <v>-98.824</v>
      </c>
      <c r="AU273" s="32" t="n">
        <v>-28.327</v>
      </c>
      <c r="AV273" s="32" t="n">
        <v>-63.158</v>
      </c>
      <c r="AW273" s="32" t="n">
        <v>-256.236</v>
      </c>
      <c r="AX273" s="32" t="n">
        <v>-29.78</v>
      </c>
      <c r="AY273" s="32" t="n">
        <v>-36.134</v>
      </c>
      <c r="AZ273" s="32" t="n">
        <v>-39.073</v>
      </c>
      <c r="BA273" s="32" t="n">
        <v>-50.655</v>
      </c>
      <c r="BB273" s="32" t="n">
        <v>-155.642</v>
      </c>
      <c r="BC273" s="32" t="n">
        <v>-30.323</v>
      </c>
      <c r="BD273" s="32" t="n">
        <v>-30.301</v>
      </c>
      <c r="BE273" s="32" t="n">
        <v>-40.301</v>
      </c>
      <c r="BF273" s="32" t="n">
        <v>-53.636</v>
      </c>
      <c r="BG273" s="32" t="n">
        <v>-154.561</v>
      </c>
      <c r="BH273" s="32" t="n">
        <v>-156.35</v>
      </c>
      <c r="BI273" s="32" t="n">
        <v>-473.13</v>
      </c>
      <c r="BJ273" s="32" t="n">
        <v>-44.413</v>
      </c>
      <c r="BK273" s="32" t="n">
        <v>-68.216</v>
      </c>
      <c r="BL273" s="32" t="n">
        <v>-742.109</v>
      </c>
      <c r="BM273" s="32" t="n">
        <v>-46.94</v>
      </c>
      <c r="BN273" s="32" t="n">
        <v>-37.499</v>
      </c>
      <c r="BO273" s="57"/>
      <c r="BP273" s="57"/>
      <c r="BQ273" s="33" t="n">
        <f aca="false">BQ269+BQ270+BQ271+BQ272</f>
        <v>-506.22648</v>
      </c>
      <c r="BR273" s="33" t="n">
        <f aca="false">BR269+BR270+BR271+BR272</f>
        <v>500.208423794637</v>
      </c>
      <c r="BS273" s="33" t="n">
        <f aca="false">BS269+BS270+BS271+BS272</f>
        <v>-402.058365566012</v>
      </c>
      <c r="BT273" s="33" t="n">
        <f aca="false">BT269+BT270+BT271+BT272</f>
        <v>-404.179374992285</v>
      </c>
      <c r="BU273" s="33" t="n">
        <f aca="false">BU269+BU270+BU271+BU272</f>
        <v>-430.791114600492</v>
      </c>
      <c r="BV273" s="15"/>
    </row>
    <row r="274" customFormat="false" ht="15" hidden="false" customHeight="false" outlineLevel="0" collapsed="false">
      <c r="B274" s="13" t="s">
        <v>449</v>
      </c>
      <c r="C274" s="19"/>
      <c r="D274" s="19"/>
      <c r="E274" s="24" t="n">
        <v>15.733</v>
      </c>
      <c r="F274" s="24" t="n">
        <v>547.3</v>
      </c>
      <c r="G274" s="24" t="n">
        <v>249.122</v>
      </c>
      <c r="H274" s="24" t="n">
        <v>346.912</v>
      </c>
      <c r="I274" s="24" t="n">
        <v>1159.067</v>
      </c>
      <c r="J274" s="24" t="n">
        <v>0</v>
      </c>
      <c r="K274" s="24" t="n">
        <v>0</v>
      </c>
      <c r="L274" s="24" t="n">
        <v>143.6</v>
      </c>
      <c r="M274" s="24" t="n">
        <v>0</v>
      </c>
      <c r="N274" s="24" t="n">
        <v>177.35</v>
      </c>
      <c r="O274" s="24" t="n">
        <v>0</v>
      </c>
      <c r="P274" s="24" t="n">
        <v>0</v>
      </c>
      <c r="Q274" s="24" t="n">
        <v>241.3</v>
      </c>
      <c r="R274" s="24" t="n">
        <v>298.2</v>
      </c>
      <c r="S274" s="24" t="n">
        <v>539.5</v>
      </c>
      <c r="T274" s="24" t="n">
        <v>73.6</v>
      </c>
      <c r="U274" s="24" t="n">
        <v>0</v>
      </c>
      <c r="V274" s="24" t="n">
        <v>0</v>
      </c>
      <c r="W274" s="24" t="n">
        <v>35.8</v>
      </c>
      <c r="X274" s="24" t="n">
        <v>109.4</v>
      </c>
      <c r="Y274" s="24" t="n">
        <v>0</v>
      </c>
      <c r="Z274" s="24" t="n">
        <v>700</v>
      </c>
      <c r="AA274" s="24" t="n">
        <v>201.3</v>
      </c>
      <c r="AB274" s="24" t="n">
        <v>257.5</v>
      </c>
      <c r="AC274" s="24" t="n">
        <v>1158.8</v>
      </c>
      <c r="AD274" s="24" t="n">
        <v>212.5</v>
      </c>
      <c r="AE274" s="24" t="n">
        <v>270.9</v>
      </c>
      <c r="AF274" s="24" t="n">
        <v>104.1</v>
      </c>
      <c r="AG274" s="24" t="n">
        <v>112.1</v>
      </c>
      <c r="AH274" s="24" t="n">
        <v>699.6</v>
      </c>
      <c r="AI274" s="24" t="n">
        <v>214</v>
      </c>
      <c r="AJ274" s="24" t="n">
        <v>429</v>
      </c>
      <c r="AK274" s="24" t="n">
        <v>162.8</v>
      </c>
      <c r="AL274" s="24" t="n">
        <v>38.7</v>
      </c>
      <c r="AM274" s="24" t="n">
        <v>844.5</v>
      </c>
      <c r="AN274" s="24" t="n">
        <v>205.8</v>
      </c>
      <c r="AO274" s="24" t="n">
        <v>420</v>
      </c>
      <c r="AP274" s="24" t="n">
        <v>590</v>
      </c>
      <c r="AQ274" s="24" t="n">
        <v>19.806</v>
      </c>
      <c r="AR274" s="24" t="n">
        <v>1235.606</v>
      </c>
      <c r="AS274" s="24" t="n">
        <v>145.3</v>
      </c>
      <c r="AT274" s="24" t="n">
        <v>177.1</v>
      </c>
      <c r="AU274" s="24" t="n">
        <v>51.3</v>
      </c>
      <c r="AV274" s="24" t="n">
        <v>604.5</v>
      </c>
      <c r="AW274" s="24" t="n">
        <v>978.2</v>
      </c>
      <c r="AX274" s="24" t="n">
        <v>127</v>
      </c>
      <c r="AY274" s="24" t="n">
        <v>83.9</v>
      </c>
      <c r="AZ274" s="24" t="n">
        <v>121.1</v>
      </c>
      <c r="BA274" s="24" t="n">
        <v>21.1</v>
      </c>
      <c r="BB274" s="24" t="n">
        <v>353.1</v>
      </c>
      <c r="BC274" s="24" t="n">
        <v>120.7</v>
      </c>
      <c r="BD274" s="24" t="n">
        <v>120.7</v>
      </c>
      <c r="BE274" s="24" t="n">
        <v>155.4</v>
      </c>
      <c r="BF274" s="24" t="n">
        <v>59.2</v>
      </c>
      <c r="BG274" s="24" t="n">
        <v>456</v>
      </c>
      <c r="BH274" s="24" t="n">
        <v>204.5</v>
      </c>
      <c r="BI274" s="24" t="n">
        <v>553.9</v>
      </c>
      <c r="BJ274" s="24" t="n">
        <v>113.2</v>
      </c>
      <c r="BK274" s="24" t="n">
        <v>1408.4</v>
      </c>
      <c r="BL274" s="24" t="n">
        <v>2280</v>
      </c>
      <c r="BM274" s="24" t="n">
        <v>0</v>
      </c>
      <c r="BN274" s="24" t="n">
        <v>0</v>
      </c>
      <c r="BO274" s="36"/>
      <c r="BP274" s="36"/>
      <c r="BQ274" s="39" t="n">
        <v>0</v>
      </c>
      <c r="BR274" s="39" t="n">
        <v>0</v>
      </c>
      <c r="BS274" s="39" t="n">
        <v>0</v>
      </c>
      <c r="BT274" s="39" t="n">
        <v>0</v>
      </c>
      <c r="BU274" s="39" t="n">
        <v>0</v>
      </c>
      <c r="BV274" s="15"/>
    </row>
    <row r="275" customFormat="false" ht="15" hidden="false" customHeight="false" outlineLevel="0" collapsed="false">
      <c r="B275" s="13" t="s">
        <v>450</v>
      </c>
      <c r="C275" s="19"/>
      <c r="D275" s="19"/>
      <c r="E275" s="24" t="n">
        <v>-0.441</v>
      </c>
      <c r="F275" s="24" t="n">
        <v>-299.874</v>
      </c>
      <c r="G275" s="24" t="n">
        <v>-209.009</v>
      </c>
      <c r="H275" s="24" t="n">
        <v>-351.315</v>
      </c>
      <c r="I275" s="24" t="n">
        <v>-860.639</v>
      </c>
      <c r="J275" s="24" t="n">
        <v>-3.75</v>
      </c>
      <c r="K275" s="24" t="n">
        <v>0</v>
      </c>
      <c r="L275" s="24" t="n">
        <v>-173.6</v>
      </c>
      <c r="M275" s="24" t="n">
        <v>0</v>
      </c>
      <c r="N275" s="24" t="n">
        <v>-177.35</v>
      </c>
      <c r="O275" s="24" t="n">
        <v>-3.75</v>
      </c>
      <c r="P275" s="24" t="n">
        <v>-3.75</v>
      </c>
      <c r="Q275" s="24" t="n">
        <v>-83.65</v>
      </c>
      <c r="R275" s="24" t="n">
        <v>-214.756</v>
      </c>
      <c r="S275" s="24" t="n">
        <v>-305.906</v>
      </c>
      <c r="T275" s="24" t="n">
        <v>-30.476</v>
      </c>
      <c r="U275" s="24" t="n">
        <v>-56.868</v>
      </c>
      <c r="V275" s="24" t="n">
        <v>-6.976</v>
      </c>
      <c r="W275" s="24" t="n">
        <v>-42.733</v>
      </c>
      <c r="X275" s="24" t="n">
        <v>-137.053</v>
      </c>
      <c r="Y275" s="24" t="n">
        <v>-6.951</v>
      </c>
      <c r="Z275" s="24" t="n">
        <v>-503.017</v>
      </c>
      <c r="AA275" s="24" t="n">
        <v>-115.019</v>
      </c>
      <c r="AB275" s="24" t="n">
        <v>-251.219</v>
      </c>
      <c r="AC275" s="24" t="n">
        <v>-876.206</v>
      </c>
      <c r="AD275" s="24" t="n">
        <v>-113.457</v>
      </c>
      <c r="AE275" s="24" t="n">
        <v>-277.257</v>
      </c>
      <c r="AF275" s="24" t="n">
        <v>-107.649</v>
      </c>
      <c r="AG275" s="24" t="n">
        <v>-155.732</v>
      </c>
      <c r="AH275" s="24" t="n">
        <v>-654.095</v>
      </c>
      <c r="AI275" s="24" t="n">
        <v>-97.607</v>
      </c>
      <c r="AJ275" s="24" t="n">
        <v>-530.569</v>
      </c>
      <c r="AK275" s="24" t="n">
        <v>-87.8</v>
      </c>
      <c r="AL275" s="24" t="n">
        <v>-78.7</v>
      </c>
      <c r="AM275" s="24" t="n">
        <v>-794.676</v>
      </c>
      <c r="AN275" s="24" t="n">
        <v>-139.494</v>
      </c>
      <c r="AO275" s="24" t="n">
        <v>-250</v>
      </c>
      <c r="AP275" s="24" t="n">
        <v>-525</v>
      </c>
      <c r="AQ275" s="24" t="n">
        <v>-84.806</v>
      </c>
      <c r="AR275" s="24" t="n">
        <v>-999.3</v>
      </c>
      <c r="AS275" s="24" t="n">
        <v>-35.3</v>
      </c>
      <c r="AT275" s="24" t="n">
        <v>-97.1</v>
      </c>
      <c r="AU275" s="24" t="n">
        <v>-91.3</v>
      </c>
      <c r="AV275" s="24" t="n">
        <v>-654.5</v>
      </c>
      <c r="AW275" s="24" t="n">
        <v>-878.2</v>
      </c>
      <c r="AX275" s="24" t="n">
        <v>-48.563</v>
      </c>
      <c r="AY275" s="24" t="n">
        <v>-115.462</v>
      </c>
      <c r="AZ275" s="24" t="n">
        <v>-117.663</v>
      </c>
      <c r="BA275" s="24" t="n">
        <v>-152.662</v>
      </c>
      <c r="BB275" s="24" t="n">
        <v>-434.35</v>
      </c>
      <c r="BC275" s="24" t="n">
        <v>-102.263</v>
      </c>
      <c r="BD275" s="24" t="n">
        <v>-137.262</v>
      </c>
      <c r="BE275" s="24" t="n">
        <v>-136.963</v>
      </c>
      <c r="BF275" s="24" t="n">
        <v>-235.762</v>
      </c>
      <c r="BG275" s="24" t="n">
        <v>-612.25</v>
      </c>
      <c r="BH275" s="24" t="n">
        <v>-62.625</v>
      </c>
      <c r="BI275" s="24" t="n">
        <v>-222.025</v>
      </c>
      <c r="BJ275" s="24" t="n">
        <v>-136.325</v>
      </c>
      <c r="BK275" s="24" t="n">
        <v>-871.525</v>
      </c>
      <c r="BL275" s="24" t="n">
        <v>-1292.5</v>
      </c>
      <c r="BM275" s="24" t="n">
        <v>0</v>
      </c>
      <c r="BN275" s="24" t="n">
        <v>0</v>
      </c>
      <c r="BO275" s="36"/>
      <c r="BP275" s="36"/>
      <c r="BQ275" s="21" t="n">
        <f aca="false">BQ399</f>
        <v>0</v>
      </c>
      <c r="BR275" s="21" t="n">
        <f aca="false">BR399</f>
        <v>0</v>
      </c>
      <c r="BS275" s="21" t="n">
        <f aca="false">BS399</f>
        <v>0</v>
      </c>
      <c r="BT275" s="21" t="n">
        <f aca="false">BT399</f>
        <v>0</v>
      </c>
      <c r="BU275" s="21" t="n">
        <f aca="false">BU399</f>
        <v>0</v>
      </c>
      <c r="BV275" s="15" t="s">
        <v>451</v>
      </c>
    </row>
    <row r="276" customFormat="false" ht="15" hidden="false" customHeight="false" outlineLevel="0" collapsed="false">
      <c r="B276" s="13" t="s">
        <v>452</v>
      </c>
      <c r="C276" s="19"/>
      <c r="D276" s="19"/>
      <c r="E276" s="24" t="n">
        <v>-11.099</v>
      </c>
      <c r="F276" s="24" t="n">
        <v>-11.004</v>
      </c>
      <c r="G276" s="24" t="n">
        <v>-10.696</v>
      </c>
      <c r="H276" s="24" t="n">
        <v>-10.67</v>
      </c>
      <c r="I276" s="24" t="n">
        <v>-43.469</v>
      </c>
      <c r="J276" s="24" t="n">
        <v>-10.782</v>
      </c>
      <c r="K276" s="24" t="n">
        <v>-10.767</v>
      </c>
      <c r="L276" s="24" t="n">
        <v>-6.556</v>
      </c>
      <c r="M276" s="24" t="n">
        <v>-6.374</v>
      </c>
      <c r="N276" s="24" t="n">
        <v>-34.479</v>
      </c>
      <c r="O276" s="24" t="n">
        <v>-9.514</v>
      </c>
      <c r="P276" s="24" t="n">
        <v>-9.51</v>
      </c>
      <c r="Q276" s="24" t="n">
        <v>-9.397</v>
      </c>
      <c r="R276" s="24" t="n">
        <v>-8.949</v>
      </c>
      <c r="S276" s="24" t="n">
        <v>-37.37</v>
      </c>
      <c r="T276" s="24" t="n">
        <v>-8.985</v>
      </c>
      <c r="U276" s="24" t="n">
        <v>-11.154</v>
      </c>
      <c r="V276" s="24" t="n">
        <v>-10.933</v>
      </c>
      <c r="W276" s="24" t="n">
        <v>-10.971</v>
      </c>
      <c r="X276" s="24" t="n">
        <v>-42.043</v>
      </c>
      <c r="Y276" s="24" t="n">
        <v>-15.947</v>
      </c>
      <c r="Z276" s="24" t="n">
        <v>-16.116</v>
      </c>
      <c r="AA276" s="24" t="n">
        <v>-15.951</v>
      </c>
      <c r="AB276" s="24" t="n">
        <v>-15.807</v>
      </c>
      <c r="AC276" s="24" t="n">
        <v>-63.821</v>
      </c>
      <c r="AD276" s="24" t="n">
        <v>-16.797</v>
      </c>
      <c r="AE276" s="24" t="n">
        <v>-16.179</v>
      </c>
      <c r="AF276" s="24" t="n">
        <v>-16.191</v>
      </c>
      <c r="AG276" s="24" t="n">
        <v>-16.207</v>
      </c>
      <c r="AH276" s="24" t="n">
        <v>-65.374</v>
      </c>
      <c r="AI276" s="24" t="n">
        <v>-18.596</v>
      </c>
      <c r="AJ276" s="24" t="n">
        <v>-18.168</v>
      </c>
      <c r="AK276" s="24" t="n">
        <v>-18.144</v>
      </c>
      <c r="AL276" s="24" t="n">
        <v>-18.032</v>
      </c>
      <c r="AM276" s="24" t="n">
        <v>-72.94</v>
      </c>
      <c r="AN276" s="24" t="n">
        <v>-20.322</v>
      </c>
      <c r="AO276" s="24" t="n">
        <v>-20.004</v>
      </c>
      <c r="AP276" s="24" t="n">
        <v>-19.951</v>
      </c>
      <c r="AQ276" s="24" t="n">
        <v>-19.391</v>
      </c>
      <c r="AR276" s="24" t="n">
        <v>-79.668</v>
      </c>
      <c r="AS276" s="24" t="n">
        <v>-20.666</v>
      </c>
      <c r="AT276" s="24" t="n">
        <v>-20.092</v>
      </c>
      <c r="AU276" s="24" t="n">
        <v>-20.136</v>
      </c>
      <c r="AV276" s="24" t="n">
        <v>-20.18</v>
      </c>
      <c r="AW276" s="24" t="n">
        <v>-81.074</v>
      </c>
      <c r="AX276" s="24" t="n">
        <v>-21.667</v>
      </c>
      <c r="AY276" s="24" t="n">
        <v>-21.068</v>
      </c>
      <c r="AZ276" s="24" t="n">
        <v>-21.135</v>
      </c>
      <c r="BA276" s="24" t="n">
        <v>-21.104</v>
      </c>
      <c r="BB276" s="24" t="n">
        <v>-84.974</v>
      </c>
      <c r="BC276" s="24" t="n">
        <v>-22.396</v>
      </c>
      <c r="BD276" s="24" t="n">
        <v>-21.977</v>
      </c>
      <c r="BE276" s="24" t="n">
        <v>-21.953</v>
      </c>
      <c r="BF276" s="24" t="n">
        <v>-22.023</v>
      </c>
      <c r="BG276" s="24" t="n">
        <v>-88.349</v>
      </c>
      <c r="BH276" s="24" t="n">
        <v>-23.66</v>
      </c>
      <c r="BI276" s="24" t="n">
        <v>-23.138</v>
      </c>
      <c r="BJ276" s="24" t="n">
        <v>-22.906</v>
      </c>
      <c r="BK276" s="24" t="n">
        <v>-22.763</v>
      </c>
      <c r="BL276" s="24" t="n">
        <v>-92.467</v>
      </c>
      <c r="BM276" s="24" t="n">
        <v>-25.785</v>
      </c>
      <c r="BN276" s="24" t="n">
        <v>-24.659</v>
      </c>
      <c r="BO276" s="36"/>
      <c r="BP276" s="36"/>
      <c r="BQ276" s="21" t="n">
        <f aca="false">SUM(BM276,BN276)-(BO192+BP192)*BQ302</f>
        <v>-99.919664</v>
      </c>
      <c r="BR276" s="21" t="n">
        <f aca="false">-BR192*BR302</f>
        <v>-106.98407424</v>
      </c>
      <c r="BS276" s="21" t="n">
        <f aca="false">-BS192*BS302</f>
        <v>-113.416461150093</v>
      </c>
      <c r="BT276" s="21" t="n">
        <f aca="false">-BT192*BT302</f>
        <v>-120.64697343956</v>
      </c>
      <c r="BU276" s="21" t="n">
        <f aca="false">-BU192*BU302</f>
        <v>-127.757852250169</v>
      </c>
      <c r="BV276" s="15" t="s">
        <v>453</v>
      </c>
    </row>
    <row r="277" customFormat="false" ht="15" hidden="false" customHeight="false" outlineLevel="0" collapsed="false">
      <c r="B277" s="13" t="s">
        <v>454</v>
      </c>
      <c r="C277" s="19"/>
      <c r="D277" s="19"/>
      <c r="E277" s="24" t="n">
        <v>-15.665</v>
      </c>
      <c r="F277" s="24" t="n">
        <v>-84.077</v>
      </c>
      <c r="G277" s="24" t="n">
        <v>-50.032</v>
      </c>
      <c r="H277" s="24" t="n">
        <v>0</v>
      </c>
      <c r="I277" s="24" t="n">
        <v>-149.774</v>
      </c>
      <c r="J277" s="24" t="n">
        <v>0</v>
      </c>
      <c r="K277" s="24" t="n">
        <v>0</v>
      </c>
      <c r="L277" s="24" t="n">
        <v>-18.088</v>
      </c>
      <c r="M277" s="24" t="n">
        <v>-51.659</v>
      </c>
      <c r="N277" s="24" t="n">
        <v>-69.747</v>
      </c>
      <c r="O277" s="24" t="n">
        <v>-50.033</v>
      </c>
      <c r="P277" s="24" t="n">
        <v>-31.433</v>
      </c>
      <c r="Q277" s="24" t="n">
        <v>-211.531</v>
      </c>
      <c r="R277" s="24" t="n">
        <v>0</v>
      </c>
      <c r="S277" s="24" t="n">
        <v>-292.997</v>
      </c>
      <c r="T277" s="24" t="n">
        <v>0</v>
      </c>
      <c r="U277" s="24" t="n">
        <v>0</v>
      </c>
      <c r="V277" s="24" t="n">
        <v>0</v>
      </c>
      <c r="W277" s="24" t="n">
        <v>0</v>
      </c>
      <c r="X277" s="24" t="n">
        <v>0</v>
      </c>
      <c r="Y277" s="24" t="n">
        <v>0</v>
      </c>
      <c r="Z277" s="24" t="n">
        <v>0</v>
      </c>
      <c r="AA277" s="24" t="n">
        <v>0</v>
      </c>
      <c r="AB277" s="24" t="n">
        <v>-152.201</v>
      </c>
      <c r="AC277" s="24" t="n">
        <v>-214.759</v>
      </c>
      <c r="AD277" s="24" t="n">
        <v>-20</v>
      </c>
      <c r="AE277" s="24" t="n">
        <v>0</v>
      </c>
      <c r="AF277" s="24" t="n">
        <v>0</v>
      </c>
      <c r="AG277" s="24" t="n">
        <v>0</v>
      </c>
      <c r="AH277" s="24" t="n">
        <v>-20</v>
      </c>
      <c r="AI277" s="24" t="n">
        <v>-20</v>
      </c>
      <c r="AJ277" s="24" t="n">
        <v>0</v>
      </c>
      <c r="AK277" s="24" t="n">
        <v>-0.027</v>
      </c>
      <c r="AL277" s="24" t="n">
        <v>-1.933</v>
      </c>
      <c r="AM277" s="24" t="n">
        <v>-21.96</v>
      </c>
      <c r="AN277" s="24" t="n">
        <v>-20.007</v>
      </c>
      <c r="AO277" s="24" t="n">
        <v>0</v>
      </c>
      <c r="AP277" s="24" t="n">
        <v>-165.771</v>
      </c>
      <c r="AQ277" s="24" t="n">
        <v>-40.008</v>
      </c>
      <c r="AR277" s="24" t="n">
        <v>-225.786</v>
      </c>
      <c r="AS277" s="24" t="n">
        <v>-20</v>
      </c>
      <c r="AT277" s="24" t="n">
        <v>0</v>
      </c>
      <c r="AU277" s="24" t="n">
        <v>0</v>
      </c>
      <c r="AV277" s="24" t="n">
        <v>0</v>
      </c>
      <c r="AW277" s="24" t="n">
        <v>-20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-20</v>
      </c>
      <c r="BD277" s="24" t="n">
        <v>0</v>
      </c>
      <c r="BE277" s="24" t="n">
        <v>0</v>
      </c>
      <c r="BF277" s="24" t="n">
        <v>0</v>
      </c>
      <c r="BG277" s="24" t="n">
        <v>-20</v>
      </c>
      <c r="BH277" s="24" t="n">
        <v>-30</v>
      </c>
      <c r="BI277" s="24" t="n">
        <v>0</v>
      </c>
      <c r="BJ277" s="24" t="n">
        <v>0</v>
      </c>
      <c r="BK277" s="24" t="n">
        <v>0</v>
      </c>
      <c r="BL277" s="24" t="n">
        <v>-30</v>
      </c>
      <c r="BM277" s="24" t="n">
        <v>0</v>
      </c>
      <c r="BN277" s="24" t="n">
        <v>0</v>
      </c>
      <c r="BO277" s="36"/>
      <c r="BP277" s="36"/>
      <c r="BQ277" s="21" t="n">
        <f aca="false">SUM(BM277,BN277)-BQ299</f>
        <v>0</v>
      </c>
      <c r="BR277" s="21" t="n">
        <f aca="false">-BR299</f>
        <v>-335.189223174422</v>
      </c>
      <c r="BS277" s="21" t="n">
        <f aca="false">-BS299</f>
        <v>-302.775047344253</v>
      </c>
      <c r="BT277" s="21" t="n">
        <f aca="false">-BT299</f>
        <v>-398.892200983256</v>
      </c>
      <c r="BU277" s="21" t="n">
        <f aca="false">-BU299</f>
        <v>-439.366381773587</v>
      </c>
      <c r="BV277" s="15" t="s">
        <v>455</v>
      </c>
    </row>
    <row r="278" customFormat="false" ht="15" hidden="false" customHeight="false" outlineLevel="0" collapsed="false">
      <c r="B278" s="13" t="s">
        <v>456</v>
      </c>
      <c r="C278" s="19"/>
      <c r="D278" s="19"/>
      <c r="E278" s="24" t="n">
        <v>2.191</v>
      </c>
      <c r="F278" s="24" t="n">
        <v>1.272</v>
      </c>
      <c r="G278" s="24" t="n">
        <v>0.391</v>
      </c>
      <c r="H278" s="24" t="n">
        <v>0.75</v>
      </c>
      <c r="I278" s="24" t="n">
        <v>4.604</v>
      </c>
      <c r="J278" s="24" t="n">
        <v>1.74</v>
      </c>
      <c r="K278" s="24" t="n">
        <v>1.489</v>
      </c>
      <c r="L278" s="24" t="n">
        <v>0.417</v>
      </c>
      <c r="M278" s="24" t="n">
        <v>3.673</v>
      </c>
      <c r="N278" s="24" t="n">
        <v>7.319</v>
      </c>
      <c r="O278" s="24" t="n">
        <v>6.988</v>
      </c>
      <c r="P278" s="24" t="n">
        <v>7.969</v>
      </c>
      <c r="Q278" s="24" t="n">
        <v>3.818</v>
      </c>
      <c r="R278" s="24" t="n">
        <v>-9.706</v>
      </c>
      <c r="S278" s="24" t="n">
        <v>9.069</v>
      </c>
      <c r="T278" s="24" t="n">
        <v>4.692</v>
      </c>
      <c r="U278" s="24" t="n">
        <v>2.871</v>
      </c>
      <c r="V278" s="24" t="n">
        <v>1.067</v>
      </c>
      <c r="W278" s="24" t="n">
        <v>0.438</v>
      </c>
      <c r="X278" s="24" t="n">
        <v>9.068</v>
      </c>
      <c r="Y278" s="24" t="n">
        <v>-2.132</v>
      </c>
      <c r="Z278" s="24" t="n">
        <v>0.44</v>
      </c>
      <c r="AA278" s="24" t="n">
        <v>-0.199</v>
      </c>
      <c r="AB278" s="24" t="n">
        <v>-1.332</v>
      </c>
      <c r="AC278" s="24" t="n">
        <v>-3.223</v>
      </c>
      <c r="AD278" s="24" t="n">
        <v>-7.751</v>
      </c>
      <c r="AE278" s="24" t="n">
        <v>0.497</v>
      </c>
      <c r="AF278" s="24" t="n">
        <v>1.445</v>
      </c>
      <c r="AG278" s="24" t="n">
        <v>1.065</v>
      </c>
      <c r="AH278" s="24" t="n">
        <v>-4.744</v>
      </c>
      <c r="AI278" s="24" t="n">
        <v>-3.744</v>
      </c>
      <c r="AJ278" s="24" t="n">
        <v>0.49</v>
      </c>
      <c r="AK278" s="24" t="n">
        <v>-0.006</v>
      </c>
      <c r="AL278" s="24" t="n">
        <v>0.823</v>
      </c>
      <c r="AM278" s="24" t="n">
        <v>-2.437</v>
      </c>
      <c r="AN278" s="24" t="n">
        <v>-3.015</v>
      </c>
      <c r="AO278" s="24" t="n">
        <v>0.281</v>
      </c>
      <c r="AP278" s="24" t="n">
        <v>-0.286</v>
      </c>
      <c r="AQ278" s="24" t="n">
        <v>0.011</v>
      </c>
      <c r="AR278" s="24" t="n">
        <v>-3.009</v>
      </c>
      <c r="AS278" s="24" t="n">
        <v>-6.011</v>
      </c>
      <c r="AT278" s="24" t="n">
        <v>-0.033</v>
      </c>
      <c r="AU278" s="24" t="n">
        <v>-0.487</v>
      </c>
      <c r="AV278" s="24" t="n">
        <v>-0.057</v>
      </c>
      <c r="AW278" s="24" t="n">
        <v>-6.588</v>
      </c>
      <c r="AX278" s="24" t="n">
        <v>-6.903</v>
      </c>
      <c r="AY278" s="24" t="n">
        <v>-0.045</v>
      </c>
      <c r="AZ278" s="24" t="n">
        <v>-0.557</v>
      </c>
      <c r="BA278" s="24" t="n">
        <v>-0.087</v>
      </c>
      <c r="BB278" s="24" t="n">
        <v>-7.592</v>
      </c>
      <c r="BC278" s="24" t="n">
        <v>-6.907</v>
      </c>
      <c r="BD278" s="24" t="n">
        <v>-0.034</v>
      </c>
      <c r="BE278" s="24" t="n">
        <v>-0.303</v>
      </c>
      <c r="BF278" s="24" t="n">
        <v>-0.326</v>
      </c>
      <c r="BG278" s="24" t="n">
        <v>-7.57</v>
      </c>
      <c r="BH278" s="24" t="n">
        <v>-12.883</v>
      </c>
      <c r="BI278" s="24" t="n">
        <v>0</v>
      </c>
      <c r="BJ278" s="24" t="n">
        <v>-0.517</v>
      </c>
      <c r="BK278" s="24" t="n">
        <v>-0.224</v>
      </c>
      <c r="BL278" s="24" t="n">
        <v>-13.624</v>
      </c>
      <c r="BM278" s="24" t="n">
        <v>-19.292</v>
      </c>
      <c r="BN278" s="24" t="n">
        <v>-0.24</v>
      </c>
      <c r="BO278" s="36"/>
      <c r="BP278" s="36"/>
      <c r="BQ278" s="21" t="n">
        <f aca="false">SUM(BM278,BN278)</f>
        <v>-19.532</v>
      </c>
      <c r="BR278" s="39" t="n">
        <v>-20</v>
      </c>
      <c r="BS278" s="39" t="n">
        <v>-20</v>
      </c>
      <c r="BT278" s="39" t="n">
        <v>-20</v>
      </c>
      <c r="BU278" s="39" t="n">
        <v>-20</v>
      </c>
      <c r="BV278" s="15"/>
    </row>
    <row r="279" customFormat="false" ht="15" hidden="false" customHeight="false" outlineLevel="0" collapsed="false">
      <c r="B279" s="13" t="s">
        <v>457</v>
      </c>
      <c r="C279" s="19"/>
      <c r="D279" s="19"/>
      <c r="E279" s="24" t="n">
        <v>0.648</v>
      </c>
      <c r="F279" s="24" t="n">
        <v>-5.434</v>
      </c>
      <c r="G279" s="24" t="n">
        <v>-0.238</v>
      </c>
      <c r="H279" s="24" t="n">
        <v>-0.166</v>
      </c>
      <c r="I279" s="24" t="n">
        <v>-5.19</v>
      </c>
      <c r="J279" s="24" t="n">
        <v>-0.145</v>
      </c>
      <c r="K279" s="24" t="n">
        <v>-278.944</v>
      </c>
      <c r="L279" s="24" t="n">
        <v>0.397</v>
      </c>
      <c r="M279" s="24" t="n">
        <v>-0.081</v>
      </c>
      <c r="N279" s="24" t="n">
        <v>-312.523</v>
      </c>
      <c r="O279" s="24" t="n">
        <v>0.697</v>
      </c>
      <c r="P279" s="24" t="n">
        <v>0.781</v>
      </c>
      <c r="Q279" s="24" t="n">
        <v>-0.229</v>
      </c>
      <c r="R279" s="24" t="n">
        <v>-2.442</v>
      </c>
      <c r="S279" s="24" t="n">
        <v>-1.193</v>
      </c>
      <c r="T279" s="24" t="n">
        <v>-0.146</v>
      </c>
      <c r="U279" s="24" t="n">
        <v>-0.12</v>
      </c>
      <c r="V279" s="24" t="n">
        <v>-0.149</v>
      </c>
      <c r="W279" s="24" t="n">
        <v>-0.135</v>
      </c>
      <c r="X279" s="24" t="n">
        <v>-0.55</v>
      </c>
      <c r="Y279" s="24" t="n">
        <v>-0.226</v>
      </c>
      <c r="Z279" s="24" t="n">
        <v>-8.323</v>
      </c>
      <c r="AA279" s="24" t="n">
        <v>-63.967</v>
      </c>
      <c r="AB279" s="24" t="n">
        <v>-0.156</v>
      </c>
      <c r="AC279" s="24" t="n">
        <v>-10.114</v>
      </c>
      <c r="AD279" s="24" t="n">
        <v>0.943</v>
      </c>
      <c r="AE279" s="24" t="n">
        <v>-0.128</v>
      </c>
      <c r="AF279" s="24" t="n">
        <v>0.032</v>
      </c>
      <c r="AG279" s="24" t="n">
        <v>0.053</v>
      </c>
      <c r="AH279" s="24" t="n">
        <v>0.9</v>
      </c>
      <c r="AI279" s="24" t="n">
        <v>3.728</v>
      </c>
      <c r="AJ279" s="24" t="n">
        <v>-8.901</v>
      </c>
      <c r="AK279" s="24" t="n">
        <v>-1.378</v>
      </c>
      <c r="AL279" s="24" t="n">
        <v>79.11</v>
      </c>
      <c r="AM279" s="24" t="n">
        <v>72.559</v>
      </c>
      <c r="AN279" s="24" t="n">
        <v>-3.68</v>
      </c>
      <c r="AO279" s="24" t="n">
        <v>-10.137</v>
      </c>
      <c r="AP279" s="24" t="n">
        <v>-3.055</v>
      </c>
      <c r="AQ279" s="24" t="n">
        <v>-1.107</v>
      </c>
      <c r="AR279" s="24" t="n">
        <v>-17.979</v>
      </c>
      <c r="AS279" s="24" t="n">
        <v>-2.749</v>
      </c>
      <c r="AT279" s="24" t="n">
        <v>4.597</v>
      </c>
      <c r="AU279" s="24" t="n">
        <v>11.865</v>
      </c>
      <c r="AV279" s="24" t="n">
        <v>7.901</v>
      </c>
      <c r="AW279" s="24" t="n">
        <v>21.614</v>
      </c>
      <c r="AX279" s="24" t="n">
        <v>-0.531</v>
      </c>
      <c r="AY279" s="24" t="n">
        <v>0.057</v>
      </c>
      <c r="AZ279" s="24" t="n">
        <v>-0.654</v>
      </c>
      <c r="BA279" s="24" t="n">
        <v>5.573</v>
      </c>
      <c r="BB279" s="24" t="n">
        <v>4.445</v>
      </c>
      <c r="BC279" s="24" t="n">
        <v>-1.29</v>
      </c>
      <c r="BD279" s="24" t="n">
        <v>5.725</v>
      </c>
      <c r="BE279" s="24" t="n">
        <v>-1.072</v>
      </c>
      <c r="BF279" s="24" t="n">
        <v>16.021</v>
      </c>
      <c r="BG279" s="24" t="n">
        <v>19.384</v>
      </c>
      <c r="BH279" s="24" t="n">
        <v>9.459</v>
      </c>
      <c r="BI279" s="24" t="n">
        <v>-7.702</v>
      </c>
      <c r="BJ279" s="24" t="n">
        <v>0.33</v>
      </c>
      <c r="BK279" s="24" t="n">
        <v>-159.856</v>
      </c>
      <c r="BL279" s="24" t="n">
        <v>-157.769</v>
      </c>
      <c r="BM279" s="24" t="n">
        <v>10.872</v>
      </c>
      <c r="BN279" s="24" t="n">
        <v>2.106</v>
      </c>
      <c r="BO279" s="36"/>
      <c r="BP279" s="36"/>
      <c r="BQ279" s="39" t="n">
        <v>0</v>
      </c>
      <c r="BR279" s="39" t="n">
        <v>0</v>
      </c>
      <c r="BS279" s="39" t="n">
        <v>0</v>
      </c>
      <c r="BT279" s="39" t="n">
        <v>0</v>
      </c>
      <c r="BU279" s="39" t="n">
        <v>0</v>
      </c>
      <c r="BV279" s="15"/>
    </row>
    <row r="280" customFormat="false" ht="15" hidden="false" customHeight="false" outlineLevel="0" collapsed="false">
      <c r="B280" s="30" t="s">
        <v>458</v>
      </c>
      <c r="C280" s="31"/>
      <c r="D280" s="31"/>
      <c r="E280" s="32" t="n">
        <v>-8.633</v>
      </c>
      <c r="F280" s="32" t="n">
        <v>148.183</v>
      </c>
      <c r="G280" s="32" t="n">
        <v>-20.462</v>
      </c>
      <c r="H280" s="32" t="n">
        <v>-14.489</v>
      </c>
      <c r="I280" s="32" t="n">
        <v>104.599</v>
      </c>
      <c r="J280" s="32" t="n">
        <v>-12.937</v>
      </c>
      <c r="K280" s="32" t="n">
        <v>-288.222</v>
      </c>
      <c r="L280" s="32" t="n">
        <v>-53.83</v>
      </c>
      <c r="M280" s="32" t="n">
        <v>-54.441</v>
      </c>
      <c r="N280" s="32" t="n">
        <v>-409.43</v>
      </c>
      <c r="O280" s="32" t="n">
        <v>-55.612</v>
      </c>
      <c r="P280" s="32" t="n">
        <v>-35.943</v>
      </c>
      <c r="Q280" s="32" t="n">
        <v>-59.689</v>
      </c>
      <c r="R280" s="32" t="n">
        <v>62.347</v>
      </c>
      <c r="S280" s="32" t="n">
        <v>-88.897</v>
      </c>
      <c r="T280" s="32" t="n">
        <v>38.685</v>
      </c>
      <c r="U280" s="32" t="n">
        <v>-65.271</v>
      </c>
      <c r="V280" s="32" t="n">
        <v>-16.991</v>
      </c>
      <c r="W280" s="32" t="n">
        <v>-17.601</v>
      </c>
      <c r="X280" s="32" t="n">
        <v>-61.178</v>
      </c>
      <c r="Y280" s="32" t="n">
        <v>-25.256</v>
      </c>
      <c r="Z280" s="32" t="n">
        <v>172.984</v>
      </c>
      <c r="AA280" s="32" t="n">
        <v>6.164</v>
      </c>
      <c r="AB280" s="32" t="n">
        <v>-163.215</v>
      </c>
      <c r="AC280" s="32" t="n">
        <v>-9.323</v>
      </c>
      <c r="AD280" s="32" t="n">
        <v>55.438</v>
      </c>
      <c r="AE280" s="32" t="n">
        <v>-22.167</v>
      </c>
      <c r="AF280" s="32" t="n">
        <v>-18.263</v>
      </c>
      <c r="AG280" s="32" t="n">
        <v>-58.721</v>
      </c>
      <c r="AH280" s="32" t="n">
        <v>-43.713</v>
      </c>
      <c r="AI280" s="32" t="n">
        <v>77.781</v>
      </c>
      <c r="AJ280" s="32" t="n">
        <v>-128.148</v>
      </c>
      <c r="AK280" s="32" t="n">
        <v>55.445</v>
      </c>
      <c r="AL280" s="32" t="n">
        <v>19.968</v>
      </c>
      <c r="AM280" s="32" t="n">
        <v>25.046</v>
      </c>
      <c r="AN280" s="32" t="n">
        <v>19.282</v>
      </c>
      <c r="AO280" s="32" t="n">
        <v>140.14</v>
      </c>
      <c r="AP280" s="32" t="n">
        <v>-124.063</v>
      </c>
      <c r="AQ280" s="32" t="n">
        <v>-125.495</v>
      </c>
      <c r="AR280" s="32" t="n">
        <v>-90.136</v>
      </c>
      <c r="AS280" s="32" t="n">
        <v>60.574</v>
      </c>
      <c r="AT280" s="32" t="n">
        <v>64.472</v>
      </c>
      <c r="AU280" s="32" t="n">
        <v>-48.758</v>
      </c>
      <c r="AV280" s="32" t="n">
        <v>-62.336</v>
      </c>
      <c r="AW280" s="32" t="n">
        <v>13.952</v>
      </c>
      <c r="AX280" s="32" t="n">
        <v>49.336</v>
      </c>
      <c r="AY280" s="32" t="n">
        <v>-52.618</v>
      </c>
      <c r="AZ280" s="32" t="n">
        <v>-18.909</v>
      </c>
      <c r="BA280" s="32" t="n">
        <v>-147.18</v>
      </c>
      <c r="BB280" s="32" t="n">
        <v>-169.371</v>
      </c>
      <c r="BC280" s="32" t="n">
        <v>-32.156</v>
      </c>
      <c r="BD280" s="32" t="n">
        <v>-32.848</v>
      </c>
      <c r="BE280" s="32" t="n">
        <v>-4.891</v>
      </c>
      <c r="BF280" s="32" t="n">
        <v>-182.89</v>
      </c>
      <c r="BG280" s="32" t="n">
        <v>-252.785</v>
      </c>
      <c r="BH280" s="32" t="n">
        <v>84.791</v>
      </c>
      <c r="BI280" s="32" t="n">
        <v>301.035</v>
      </c>
      <c r="BJ280" s="32" t="n">
        <v>-46.218</v>
      </c>
      <c r="BK280" s="32" t="n">
        <v>354.032</v>
      </c>
      <c r="BL280" s="32" t="n">
        <v>693.64</v>
      </c>
      <c r="BM280" s="32" t="n">
        <v>-34.205</v>
      </c>
      <c r="BN280" s="32" t="n">
        <v>-22.793</v>
      </c>
      <c r="BO280" s="57"/>
      <c r="BP280" s="57"/>
      <c r="BQ280" s="33" t="n">
        <f aca="false">BQ274+BQ275+BQ276+BQ277+BQ278+BQ279</f>
        <v>-119.451664</v>
      </c>
      <c r="BR280" s="33" t="n">
        <f aca="false">BR274+BR275+BR276+BR277+BR278+BR279</f>
        <v>-462.173297414422</v>
      </c>
      <c r="BS280" s="33" t="n">
        <f aca="false">BS274+BS275+BS276+BS277+BS278+BS279</f>
        <v>-436.191508494346</v>
      </c>
      <c r="BT280" s="33" t="n">
        <f aca="false">BT274+BT275+BT276+BT277+BT278+BT279</f>
        <v>-539.539174422816</v>
      </c>
      <c r="BU280" s="33" t="n">
        <f aca="false">BU274+BU275+BU276+BU277+BU278+BU279</f>
        <v>-587.124234023756</v>
      </c>
      <c r="BV280" s="15"/>
    </row>
    <row r="281" customFormat="false" ht="15" hidden="false" customHeight="false" outlineLevel="0" collapsed="false">
      <c r="B281" s="13" t="s">
        <v>459</v>
      </c>
      <c r="C281" s="19"/>
      <c r="D281" s="19"/>
      <c r="E281" s="24" t="n">
        <v>-4.542</v>
      </c>
      <c r="F281" s="24" t="n">
        <v>0.166</v>
      </c>
      <c r="G281" s="24" t="n">
        <v>-3.537</v>
      </c>
      <c r="H281" s="24" t="n">
        <v>-4.952</v>
      </c>
      <c r="I281" s="24" t="n">
        <v>-12.865</v>
      </c>
      <c r="J281" s="24" t="n">
        <v>-6.95</v>
      </c>
      <c r="K281" s="24" t="n">
        <v>1.999</v>
      </c>
      <c r="L281" s="24" t="n">
        <v>-1.141</v>
      </c>
      <c r="M281" s="24" t="n">
        <v>-0.995</v>
      </c>
      <c r="N281" s="24" t="n">
        <v>-7.087</v>
      </c>
      <c r="O281" s="24" t="n">
        <v>0.847</v>
      </c>
      <c r="P281" s="24" t="n">
        <v>0.021</v>
      </c>
      <c r="Q281" s="24" t="n">
        <v>-0.139</v>
      </c>
      <c r="R281" s="24" t="n">
        <v>-1.081</v>
      </c>
      <c r="S281" s="24" t="n">
        <v>-0.352</v>
      </c>
      <c r="T281" s="24" t="n">
        <v>1.013</v>
      </c>
      <c r="U281" s="24" t="n">
        <v>5.281</v>
      </c>
      <c r="V281" s="24" t="n">
        <v>8.996</v>
      </c>
      <c r="W281" s="24" t="n">
        <v>-7.847</v>
      </c>
      <c r="X281" s="24" t="n">
        <v>7.443</v>
      </c>
      <c r="Y281" s="24" t="n">
        <v>-2.236</v>
      </c>
      <c r="Z281" s="24" t="n">
        <v>-8.424</v>
      </c>
      <c r="AA281" s="24" t="n">
        <v>2.196</v>
      </c>
      <c r="AB281" s="24" t="n">
        <v>-1.515</v>
      </c>
      <c r="AC281" s="24" t="n">
        <v>-9.979</v>
      </c>
      <c r="AD281" s="24" t="n">
        <v>0.104</v>
      </c>
      <c r="AE281" s="24" t="n">
        <v>0.343</v>
      </c>
      <c r="AF281" s="24" t="n">
        <v>-0.454</v>
      </c>
      <c r="AG281" s="24" t="n">
        <v>0.339</v>
      </c>
      <c r="AH281" s="24" t="n">
        <v>0.332</v>
      </c>
      <c r="AI281" s="24" t="n">
        <v>-1.419</v>
      </c>
      <c r="AJ281" s="24" t="n">
        <v>0.729</v>
      </c>
      <c r="AK281" s="24" t="n">
        <v>-0.609</v>
      </c>
      <c r="AL281" s="24" t="n">
        <v>1.028</v>
      </c>
      <c r="AM281" s="24" t="n">
        <v>-0.271</v>
      </c>
      <c r="AN281" s="24" t="n">
        <v>-0.542</v>
      </c>
      <c r="AO281" s="24" t="n">
        <v>0.606</v>
      </c>
      <c r="AP281" s="24" t="n">
        <v>0.091</v>
      </c>
      <c r="AQ281" s="24" t="n">
        <v>0.085</v>
      </c>
      <c r="AR281" s="24" t="n">
        <v>0.24</v>
      </c>
      <c r="AS281" s="24" t="n">
        <v>0.277</v>
      </c>
      <c r="AT281" s="24" t="n">
        <v>0.7</v>
      </c>
      <c r="AU281" s="24" t="n">
        <v>-4.07</v>
      </c>
      <c r="AV281" s="24" t="n">
        <v>1.888</v>
      </c>
      <c r="AW281" s="24" t="n">
        <v>-1.205</v>
      </c>
      <c r="AX281" s="24" t="n">
        <v>0.007</v>
      </c>
      <c r="AY281" s="24" t="n">
        <v>0.189</v>
      </c>
      <c r="AZ281" s="24" t="n">
        <v>0.218</v>
      </c>
      <c r="BA281" s="24" t="n">
        <v>1.523</v>
      </c>
      <c r="BB281" s="24" t="n">
        <v>1.937</v>
      </c>
      <c r="BC281" s="24" t="n">
        <v>-0.171</v>
      </c>
      <c r="BD281" s="24" t="n">
        <v>-0.137</v>
      </c>
      <c r="BE281" s="24" t="n">
        <v>-0.071</v>
      </c>
      <c r="BF281" s="24" t="n">
        <v>-1.747</v>
      </c>
      <c r="BG281" s="24" t="n">
        <v>-2.126</v>
      </c>
      <c r="BH281" s="24" t="n">
        <v>2.294</v>
      </c>
      <c r="BI281" s="24" t="n">
        <v>-4.769</v>
      </c>
      <c r="BJ281" s="24" t="n">
        <v>-9.711</v>
      </c>
      <c r="BK281" s="24" t="n">
        <v>7.44</v>
      </c>
      <c r="BL281" s="24" t="n">
        <v>-4.746</v>
      </c>
      <c r="BM281" s="24" t="n">
        <v>1.668</v>
      </c>
      <c r="BN281" s="24" t="n">
        <v>-0.165</v>
      </c>
      <c r="BO281" s="36"/>
      <c r="BP281" s="36"/>
      <c r="BQ281" s="39" t="n">
        <v>0</v>
      </c>
      <c r="BR281" s="39" t="n">
        <v>0</v>
      </c>
      <c r="BS281" s="39" t="n">
        <v>0</v>
      </c>
      <c r="BT281" s="39" t="n">
        <v>0</v>
      </c>
      <c r="BU281" s="39" t="n">
        <v>0</v>
      </c>
      <c r="BV281" s="15"/>
    </row>
    <row r="282" customFormat="false" ht="15" hidden="false" customHeight="false" outlineLevel="0" collapsed="false">
      <c r="B282" s="13" t="s">
        <v>460</v>
      </c>
      <c r="C282" s="19"/>
      <c r="D282" s="19"/>
      <c r="E282" s="20" t="n">
        <f aca="false">IF(ISNUMBER(E268),E268+E273+E280+E281,"")</f>
        <v>-138.061</v>
      </c>
      <c r="F282" s="20" t="n">
        <f aca="false">IF(ISNUMBER(F268),F268+F273+F280+F281,"")</f>
        <v>7.863</v>
      </c>
      <c r="G282" s="20" t="n">
        <f aca="false">IF(ISNUMBER(G268),G268+G273+G280+G281,"")</f>
        <v>-18.997</v>
      </c>
      <c r="H282" s="20" t="n">
        <f aca="false">IF(ISNUMBER(H268),H268+H273+H280+H281,"")</f>
        <v>116.048</v>
      </c>
      <c r="I282" s="20" t="n">
        <f aca="false">IF(ISNUMBER(I268),I268+I273+I280+I281,"")</f>
        <v>-33.147</v>
      </c>
      <c r="J282" s="20" t="n">
        <f aca="false">IF(ISNUMBER(J268),J268+J273+J280+J281,"")</f>
        <v>-38.575</v>
      </c>
      <c r="K282" s="20" t="n">
        <f aca="false">IF(ISNUMBER(K268),K268+K273+K280+K281,"")</f>
        <v>-227.484</v>
      </c>
      <c r="L282" s="20" t="n">
        <f aca="false">IF(ISNUMBER(L268),L268+L273+L280+L281,"")</f>
        <v>89.011</v>
      </c>
      <c r="M282" s="20" t="n">
        <f aca="false">IF(ISNUMBER(M268),M268+M273+M280+M281,"")</f>
        <v>18.808</v>
      </c>
      <c r="N282" s="20" t="n">
        <f aca="false">IF(ISNUMBER(N268),N268+N273+N280+N281,"")</f>
        <v>-158.24</v>
      </c>
      <c r="O282" s="20" t="n">
        <f aca="false">IF(ISNUMBER(O268),O268+O273+O280+O281,"")</f>
        <v>-87.038</v>
      </c>
      <c r="P282" s="20" t="n">
        <f aca="false">IF(ISNUMBER(P268),P268+P273+P280+P281,"")</f>
        <v>30.111</v>
      </c>
      <c r="Q282" s="20" t="n">
        <f aca="false">IF(ISNUMBER(Q268),Q268+Q273+Q280+Q281,"")</f>
        <v>-52.576</v>
      </c>
      <c r="R282" s="20" t="n">
        <f aca="false">IF(ISNUMBER(R268),R268+R273+R280+R281,"")</f>
        <v>80.415</v>
      </c>
      <c r="S282" s="20" t="n">
        <f aca="false">IF(ISNUMBER(S268),S268+S273+S280+S281,"")</f>
        <v>-29.088</v>
      </c>
      <c r="T282" s="20" t="n">
        <f aca="false">IF(ISNUMBER(T268),T268+T273+T280+T281,"")</f>
        <v>-29.717</v>
      </c>
      <c r="U282" s="20" t="n">
        <f aca="false">IF(ISNUMBER(U268),U268+U273+U280+U281,"")</f>
        <v>52.006</v>
      </c>
      <c r="V282" s="20" t="n">
        <f aca="false">IF(ISNUMBER(V268),V268+V273+V280+V281,"")</f>
        <v>55.21</v>
      </c>
      <c r="W282" s="20" t="n">
        <f aca="false">IF(ISNUMBER(W268),W268+W273+W280+W281,"")</f>
        <v>0.263999999999997</v>
      </c>
      <c r="X282" s="20" t="n">
        <f aca="false">IF(ISNUMBER(X268),X268+X273+X280+X281,"")</f>
        <v>77.763</v>
      </c>
      <c r="Y282" s="20" t="n">
        <f aca="false">IF(ISNUMBER(Y268),Y268+Y273+Y280+Y281,"")</f>
        <v>-61.808</v>
      </c>
      <c r="Z282" s="20" t="n">
        <f aca="false">IF(ISNUMBER(Z268),Z268+Z273+Z280+Z281,"")</f>
        <v>174.805</v>
      </c>
      <c r="AA282" s="20" t="n">
        <f aca="false">IF(ISNUMBER(AA268),AA268+AA273+AA280+AA281,"")</f>
        <v>-253.019</v>
      </c>
      <c r="AB282" s="20" t="n">
        <f aca="false">IF(ISNUMBER(AB268),AB268+AB273+AB280+AB281,"")</f>
        <v>-36.714</v>
      </c>
      <c r="AC282" s="20" t="n">
        <f aca="false">IF(ISNUMBER(AC268),AC268+AC273+AC280+AC281,"")</f>
        <v>-176.736</v>
      </c>
      <c r="AD282" s="20" t="n">
        <f aca="false">IF(ISNUMBER(AD268),AD268+AD273+AD280+AD281,"")</f>
        <v>-6.686</v>
      </c>
      <c r="AE282" s="20" t="n">
        <f aca="false">IF(ISNUMBER(AE268),AE268+AE273+AE280+AE281,"")</f>
        <v>11.802</v>
      </c>
      <c r="AF282" s="20" t="n">
        <f aca="false">IF(ISNUMBER(AF268),AF268+AF273+AF280+AF281,"")</f>
        <v>-21.515</v>
      </c>
      <c r="AG282" s="20" t="n">
        <f aca="false">IF(ISNUMBER(AG268),AG268+AG273+AG280+AG281,"")</f>
        <v>72.391</v>
      </c>
      <c r="AH282" s="20" t="n">
        <f aca="false">IF(ISNUMBER(AH268),AH268+AH273+AH280+AH281,"")</f>
        <v>55.992</v>
      </c>
      <c r="AI282" s="20" t="n">
        <f aca="false">IF(ISNUMBER(AI268),AI268+AI273+AI280+AI281,"")</f>
        <v>-8.85799999999999</v>
      </c>
      <c r="AJ282" s="20" t="n">
        <f aca="false">IF(ISNUMBER(AJ268),AJ268+AJ273+AJ280+AJ281,"")</f>
        <v>-15.986</v>
      </c>
      <c r="AK282" s="20" t="n">
        <f aca="false">IF(ISNUMBER(AK268),AK268+AK273+AK280+AK281,"")</f>
        <v>-16.923</v>
      </c>
      <c r="AL282" s="20" t="n">
        <f aca="false">IF(ISNUMBER(AL268),AL268+AL273+AL280+AL281,"")</f>
        <v>-2.335</v>
      </c>
      <c r="AM282" s="20" t="n">
        <f aca="false">IF(ISNUMBER(AM268),AM268+AM273+AM280+AM281,"")</f>
        <v>-44.102</v>
      </c>
      <c r="AN282" s="20" t="n">
        <f aca="false">IF(ISNUMBER(AN268),AN268+AN273+AN280+AN281,"")</f>
        <v>15.122</v>
      </c>
      <c r="AO282" s="20" t="n">
        <f aca="false">IF(ISNUMBER(AO268),AO268+AO273+AO280+AO281,"")</f>
        <v>133.085</v>
      </c>
      <c r="AP282" s="20" t="n">
        <f aca="false">IF(ISNUMBER(AP268),AP268+AP273+AP280+AP281,"")</f>
        <v>-121.196</v>
      </c>
      <c r="AQ282" s="20" t="n">
        <f aca="false">IF(ISNUMBER(AQ268),AQ268+AQ273+AQ280+AQ281,"")</f>
        <v>-35.534</v>
      </c>
      <c r="AR282" s="20" t="n">
        <f aca="false">IF(ISNUMBER(AR268),AR268+AR273+AR280+AR281,"")</f>
        <v>-8.52300000000001</v>
      </c>
      <c r="AS282" s="20" t="n">
        <f aca="false">IF(ISNUMBER(AS268),AS268+AS273+AS280+AS281,"")</f>
        <v>-10.46</v>
      </c>
      <c r="AT282" s="20" t="n">
        <f aca="false">IF(ISNUMBER(AT268),AT268+AT273+AT280+AT281,"")</f>
        <v>43.77</v>
      </c>
      <c r="AU282" s="20" t="n">
        <f aca="false">IF(ISNUMBER(AU268),AU268+AU273+AU280+AU281,"")</f>
        <v>-16.158</v>
      </c>
      <c r="AV282" s="20" t="n">
        <f aca="false">IF(ISNUMBER(AV268),AV268+AV273+AV280+AV281,"")</f>
        <v>-15.937</v>
      </c>
      <c r="AW282" s="20" t="n">
        <f aca="false">IF(ISNUMBER(AW268),AW268+AW273+AW280+AW281,"")</f>
        <v>1.21500000000002</v>
      </c>
      <c r="AX282" s="20" t="n">
        <f aca="false">IF(ISNUMBER(AX268),AX268+AX273+AX280+AX281,"")</f>
        <v>6.539</v>
      </c>
      <c r="AY282" s="20" t="n">
        <f aca="false">IF(ISNUMBER(AY268),AY268+AY273+AY280+AY281,"")</f>
        <v>-7.95</v>
      </c>
      <c r="AZ282" s="20" t="n">
        <f aca="false">IF(ISNUMBER(AZ268),AZ268+AZ273+AZ280+AZ281,"")</f>
        <v>16.584</v>
      </c>
      <c r="BA282" s="20" t="n">
        <f aca="false">IF(ISNUMBER(BA268),BA268+BA273+BA280+BA281,"")</f>
        <v>25.452</v>
      </c>
      <c r="BB282" s="20" t="n">
        <f aca="false">IF(ISNUMBER(BB268),BB268+BB273+BB280+BB281,"")</f>
        <v>40.625</v>
      </c>
      <c r="BC282" s="20" t="n">
        <f aca="false">IF(ISNUMBER(BC268),BC268+BC273+BC280+BC281,"")</f>
        <v>-29.624</v>
      </c>
      <c r="BD282" s="20" t="n">
        <f aca="false">IF(ISNUMBER(BD268),BD268+BD273+BD280+BD281,"")</f>
        <v>2.608</v>
      </c>
      <c r="BE282" s="20" t="n">
        <f aca="false">IF(ISNUMBER(BE268),BE268+BE273+BE280+BE281,"")</f>
        <v>-12.635</v>
      </c>
      <c r="BF282" s="20" t="n">
        <f aca="false">IF(ISNUMBER(BF268),BF268+BF273+BF280+BF281,"")</f>
        <v>38.607</v>
      </c>
      <c r="BG282" s="20" t="n">
        <f aca="false">IF(ISNUMBER(BG268),BG268+BG273+BG280+BG281,"")</f>
        <v>-1.04400000000001</v>
      </c>
      <c r="BH282" s="20" t="n">
        <f aca="false">IF(ISNUMBER(BH268),BH268+BH273+BH280+BH281,"")</f>
        <v>-18.615</v>
      </c>
      <c r="BI282" s="20" t="n">
        <f aca="false">IF(ISNUMBER(BI268),BI268+BI273+BI280+BI281,"")</f>
        <v>-17.821</v>
      </c>
      <c r="BJ282" s="20" t="n">
        <f aca="false">IF(ISNUMBER(BJ268),BJ268+BJ273+BJ280+BJ281,"")</f>
        <v>42.818</v>
      </c>
      <c r="BK282" s="20" t="n">
        <f aca="false">IF(ISNUMBER(BK268),BK268+BK273+BK280+BK281,"")</f>
        <v>420.251</v>
      </c>
      <c r="BL282" s="20" t="n">
        <f aca="false">IF(ISNUMBER(BL268),BL268+BL273+BL280+BL281,"")</f>
        <v>426.633</v>
      </c>
      <c r="BM282" s="20" t="n">
        <f aca="false">IF(ISNUMBER(BM268),BM268+BM273+BM280+BM281,"")</f>
        <v>13.123</v>
      </c>
      <c r="BN282" s="20" t="n">
        <f aca="false">IF(ISNUMBER(BN268),BN268+BN273+BN280+BN281,"")</f>
        <v>95.946</v>
      </c>
      <c r="BO282" s="36"/>
      <c r="BP282" s="36"/>
      <c r="BQ282" s="21" t="n">
        <f aca="false">BQ268+BQ273+BQ280+BQ281</f>
        <v>-51.2159089751298</v>
      </c>
      <c r="BR282" s="21" t="n">
        <f aca="false">BR268+BR273+BR280+BR281</f>
        <v>440.485978005603</v>
      </c>
      <c r="BS282" s="21" t="n">
        <f aca="false">BS268+BS273+BS280+BS281</f>
        <v>-134.824184354911</v>
      </c>
      <c r="BT282" s="21" t="n">
        <f aca="false">BT268+BT273+BT280+BT281</f>
        <v>-157.783028565721</v>
      </c>
      <c r="BU282" s="21" t="n">
        <f aca="false">BU268+BU273+BU280+BU281</f>
        <v>-152.259748137186</v>
      </c>
      <c r="BV282" s="15"/>
    </row>
    <row r="283" customFormat="false" ht="15" hidden="false" customHeight="false" outlineLevel="0" collapsed="false">
      <c r="B283" s="13" t="s">
        <v>461</v>
      </c>
      <c r="C283" s="19"/>
      <c r="D283" s="19"/>
      <c r="E283" s="24" t="n">
        <v>346.116</v>
      </c>
      <c r="F283" s="24" t="n">
        <v>208.055</v>
      </c>
      <c r="G283" s="24" t="n">
        <v>215.918</v>
      </c>
      <c r="H283" s="24" t="n">
        <v>196.921</v>
      </c>
      <c r="I283" s="24" t="n">
        <v>346.116</v>
      </c>
      <c r="J283" s="24" t="n">
        <v>312.969</v>
      </c>
      <c r="K283" s="24" t="n">
        <v>274.394</v>
      </c>
      <c r="L283" s="24" t="n">
        <v>46.91</v>
      </c>
      <c r="M283" s="24" t="n">
        <v>135.921</v>
      </c>
      <c r="N283" s="24" t="n">
        <v>312.969</v>
      </c>
      <c r="O283" s="24" t="n">
        <v>154.729</v>
      </c>
      <c r="P283" s="24" t="n">
        <v>67.691</v>
      </c>
      <c r="Q283" s="24" t="n">
        <v>97.802</v>
      </c>
      <c r="R283" s="24" t="n">
        <v>45.226</v>
      </c>
      <c r="S283" s="24" t="n">
        <v>154.729</v>
      </c>
      <c r="T283" s="24" t="n">
        <v>125.641</v>
      </c>
      <c r="U283" s="24" t="n">
        <v>95.924</v>
      </c>
      <c r="V283" s="24" t="n">
        <v>147.93</v>
      </c>
      <c r="W283" s="24" t="n">
        <v>203.14</v>
      </c>
      <c r="X283" s="24" t="n">
        <v>125.641</v>
      </c>
      <c r="Y283" s="24" t="n">
        <v>213.144</v>
      </c>
      <c r="Z283" s="24" t="n">
        <v>151.336</v>
      </c>
      <c r="AA283" s="24" t="n">
        <v>326.141</v>
      </c>
      <c r="AB283" s="24" t="n">
        <v>73.122</v>
      </c>
      <c r="AC283" s="24" t="n">
        <v>213.144</v>
      </c>
      <c r="AD283" s="24" t="n">
        <v>36.408</v>
      </c>
      <c r="AE283" s="24" t="n">
        <v>29.722</v>
      </c>
      <c r="AF283" s="24" t="n">
        <v>41.524</v>
      </c>
      <c r="AG283" s="24" t="n">
        <v>20.009</v>
      </c>
      <c r="AH283" s="24" t="n">
        <v>36.408</v>
      </c>
      <c r="AI283" s="24" t="n">
        <v>92.4</v>
      </c>
      <c r="AJ283" s="24" t="n">
        <v>83.542</v>
      </c>
      <c r="AK283" s="24" t="n">
        <v>67.556</v>
      </c>
      <c r="AL283" s="24" t="n">
        <v>50.633</v>
      </c>
      <c r="AM283" s="24" t="n">
        <v>92.4</v>
      </c>
      <c r="AN283" s="24" t="n">
        <v>48.298</v>
      </c>
      <c r="AO283" s="24" t="n">
        <v>63.42</v>
      </c>
      <c r="AP283" s="24" t="n">
        <v>196.505</v>
      </c>
      <c r="AQ283" s="24" t="n">
        <v>75.309</v>
      </c>
      <c r="AR283" s="24" t="n">
        <v>48.298</v>
      </c>
      <c r="AS283" s="24" t="n">
        <v>39.775</v>
      </c>
      <c r="AT283" s="24" t="n">
        <v>29.315</v>
      </c>
      <c r="AU283" s="24" t="n">
        <v>73.085</v>
      </c>
      <c r="AV283" s="24" t="n">
        <v>56.927</v>
      </c>
      <c r="AW283" s="24" t="n">
        <v>39.775</v>
      </c>
      <c r="AX283" s="24" t="n">
        <v>40.99</v>
      </c>
      <c r="AY283" s="24" t="n">
        <v>47.529</v>
      </c>
      <c r="AZ283" s="24" t="n">
        <v>39.579</v>
      </c>
      <c r="BA283" s="24" t="n">
        <v>56.163</v>
      </c>
      <c r="BB283" s="24" t="n">
        <v>40.99</v>
      </c>
      <c r="BC283" s="24" t="n">
        <v>81.615</v>
      </c>
      <c r="BD283" s="24" t="n">
        <v>51.991</v>
      </c>
      <c r="BE283" s="24" t="n">
        <v>54.599</v>
      </c>
      <c r="BF283" s="24" t="n">
        <v>41.964</v>
      </c>
      <c r="BG283" s="24" t="n">
        <v>81.615</v>
      </c>
      <c r="BH283" s="24" t="n">
        <v>80.571</v>
      </c>
      <c r="BI283" s="24" t="n">
        <v>61.956</v>
      </c>
      <c r="BJ283" s="24" t="n">
        <v>44.135</v>
      </c>
      <c r="BK283" s="24" t="n">
        <v>86.953</v>
      </c>
      <c r="BL283" s="24" t="n">
        <v>80.571</v>
      </c>
      <c r="BM283" s="24" t="n">
        <v>507.204</v>
      </c>
      <c r="BN283" s="24" t="n">
        <v>520.327</v>
      </c>
      <c r="BO283" s="36"/>
      <c r="BP283" s="36"/>
      <c r="BQ283" s="21" t="n">
        <f aca="false">BL284</f>
        <v>507.204</v>
      </c>
      <c r="BR283" s="21" t="n">
        <f aca="false">BQ284</f>
        <v>455.98809102487</v>
      </c>
      <c r="BS283" s="21" t="n">
        <f aca="false">BR284</f>
        <v>896.474069030473</v>
      </c>
      <c r="BT283" s="21" t="n">
        <f aca="false">BS284</f>
        <v>761.649884675562</v>
      </c>
      <c r="BU283" s="21" t="n">
        <f aca="false">BT284</f>
        <v>603.866856109841</v>
      </c>
      <c r="BV283" s="15"/>
    </row>
    <row r="284" customFormat="false" ht="15" hidden="false" customHeight="false" outlineLevel="0" collapsed="false">
      <c r="B284" s="30" t="s">
        <v>462</v>
      </c>
      <c r="C284" s="31"/>
      <c r="D284" s="31"/>
      <c r="E284" s="32" t="n">
        <v>208.055</v>
      </c>
      <c r="F284" s="32" t="n">
        <v>215.918</v>
      </c>
      <c r="G284" s="32" t="n">
        <v>196.921</v>
      </c>
      <c r="H284" s="32" t="n">
        <v>312.969</v>
      </c>
      <c r="I284" s="32" t="n">
        <v>312.969</v>
      </c>
      <c r="J284" s="32" t="n">
        <v>274.394</v>
      </c>
      <c r="K284" s="32" t="n">
        <v>46.91</v>
      </c>
      <c r="L284" s="32" t="n">
        <v>135.921</v>
      </c>
      <c r="M284" s="32" t="n">
        <v>154.729</v>
      </c>
      <c r="N284" s="32" t="n">
        <v>154.729</v>
      </c>
      <c r="O284" s="32" t="n">
        <v>67.691</v>
      </c>
      <c r="P284" s="32" t="n">
        <v>97.802</v>
      </c>
      <c r="Q284" s="32" t="n">
        <v>45.226</v>
      </c>
      <c r="R284" s="32" t="n">
        <v>125.641</v>
      </c>
      <c r="S284" s="32" t="n">
        <v>125.641</v>
      </c>
      <c r="T284" s="32" t="n">
        <v>95.924</v>
      </c>
      <c r="U284" s="32" t="n">
        <v>147.93</v>
      </c>
      <c r="V284" s="32" t="n">
        <v>203.14</v>
      </c>
      <c r="W284" s="32" t="n">
        <v>203.404</v>
      </c>
      <c r="X284" s="32" t="n">
        <v>203.404</v>
      </c>
      <c r="Y284" s="32" t="n">
        <v>151.336</v>
      </c>
      <c r="Z284" s="32" t="n">
        <v>326.141</v>
      </c>
      <c r="AA284" s="32" t="n">
        <v>73.122</v>
      </c>
      <c r="AB284" s="32" t="n">
        <v>36.408</v>
      </c>
      <c r="AC284" s="32" t="n">
        <v>36.408</v>
      </c>
      <c r="AD284" s="32" t="n">
        <v>29.722</v>
      </c>
      <c r="AE284" s="32" t="n">
        <v>41.524</v>
      </c>
      <c r="AF284" s="32" t="n">
        <v>20.009</v>
      </c>
      <c r="AG284" s="32" t="n">
        <v>92.4</v>
      </c>
      <c r="AH284" s="32" t="n">
        <v>92.4</v>
      </c>
      <c r="AI284" s="32" t="n">
        <v>83.542</v>
      </c>
      <c r="AJ284" s="32" t="n">
        <v>67.556</v>
      </c>
      <c r="AK284" s="32" t="n">
        <v>50.633</v>
      </c>
      <c r="AL284" s="32" t="n">
        <v>48.298</v>
      </c>
      <c r="AM284" s="32" t="n">
        <v>48.298</v>
      </c>
      <c r="AN284" s="32" t="n">
        <v>63.42</v>
      </c>
      <c r="AO284" s="32" t="n">
        <v>196.505</v>
      </c>
      <c r="AP284" s="32" t="n">
        <v>75.309</v>
      </c>
      <c r="AQ284" s="32" t="n">
        <v>39.775</v>
      </c>
      <c r="AR284" s="32" t="n">
        <v>39.775</v>
      </c>
      <c r="AS284" s="32" t="n">
        <v>29.315</v>
      </c>
      <c r="AT284" s="32" t="n">
        <v>73.085</v>
      </c>
      <c r="AU284" s="32" t="n">
        <v>56.927</v>
      </c>
      <c r="AV284" s="32" t="n">
        <v>40.99</v>
      </c>
      <c r="AW284" s="32" t="n">
        <v>40.99</v>
      </c>
      <c r="AX284" s="32" t="n">
        <v>47.529</v>
      </c>
      <c r="AY284" s="32" t="n">
        <v>39.579</v>
      </c>
      <c r="AZ284" s="32" t="n">
        <v>56.163</v>
      </c>
      <c r="BA284" s="32" t="n">
        <v>81.615</v>
      </c>
      <c r="BB284" s="32" t="n">
        <v>81.615</v>
      </c>
      <c r="BC284" s="32" t="n">
        <v>51.991</v>
      </c>
      <c r="BD284" s="32" t="n">
        <v>54.599</v>
      </c>
      <c r="BE284" s="32" t="n">
        <v>41.964</v>
      </c>
      <c r="BF284" s="32" t="n">
        <v>80.571</v>
      </c>
      <c r="BG284" s="32" t="n">
        <v>80.571</v>
      </c>
      <c r="BH284" s="32" t="n">
        <v>61.956</v>
      </c>
      <c r="BI284" s="32" t="n">
        <v>44.135</v>
      </c>
      <c r="BJ284" s="32" t="n">
        <v>86.953</v>
      </c>
      <c r="BK284" s="32" t="n">
        <v>507.204</v>
      </c>
      <c r="BL284" s="32" t="n">
        <v>507.204</v>
      </c>
      <c r="BM284" s="32" t="n">
        <v>520.327</v>
      </c>
      <c r="BN284" s="32" t="n">
        <v>616.273</v>
      </c>
      <c r="BO284" s="57"/>
      <c r="BP284" s="57"/>
      <c r="BQ284" s="33" t="n">
        <f aca="false">BQ283+BQ282</f>
        <v>455.98809102487</v>
      </c>
      <c r="BR284" s="33" t="n">
        <f aca="false">BR283+BR282</f>
        <v>896.474069030473</v>
      </c>
      <c r="BS284" s="33" t="n">
        <f aca="false">BS283+BS282</f>
        <v>761.649884675562</v>
      </c>
      <c r="BT284" s="33" t="n">
        <f aca="false">BT283+BT282</f>
        <v>603.866856109841</v>
      </c>
      <c r="BU284" s="33" t="n">
        <f aca="false">BU283+BU282</f>
        <v>451.607107972655</v>
      </c>
      <c r="BV284" s="15"/>
    </row>
    <row r="285" customFormat="false" ht="15" hidden="false" customHeight="false" outlineLevel="0" collapsed="false">
      <c r="B285" s="51" t="s">
        <v>463</v>
      </c>
      <c r="C285" s="19"/>
      <c r="D285" s="19"/>
      <c r="E285" s="20" t="n">
        <f aca="false">IF(ISNUMBER(E268),ROUND(E282-(E284-E283),1),"")</f>
        <v>0</v>
      </c>
      <c r="F285" s="20" t="n">
        <f aca="false">IF(ISNUMBER(F268),ROUND(F282-(F284-F283),1),"")</f>
        <v>0</v>
      </c>
      <c r="G285" s="20" t="n">
        <f aca="false">IF(ISNUMBER(G268),ROUND(G282-(G284-G283),1),"")</f>
        <v>0</v>
      </c>
      <c r="H285" s="20" t="n">
        <f aca="false">IF(ISNUMBER(H268),ROUND(H282-(H284-H283),1),"")</f>
        <v>0</v>
      </c>
      <c r="I285" s="20" t="n">
        <f aca="false">IF(ISNUMBER(I268),ROUND(I282-(I284-I283),1),"")</f>
        <v>0</v>
      </c>
      <c r="J285" s="20" t="n">
        <f aca="false">IF(ISNUMBER(J268),ROUND(J282-(J284-J283),1),"")</f>
        <v>0</v>
      </c>
      <c r="K285" s="20" t="n">
        <f aca="false">IF(ISNUMBER(K268),ROUND(K282-(K284-K283),1),"")</f>
        <v>0</v>
      </c>
      <c r="L285" s="20" t="n">
        <f aca="false">IF(ISNUMBER(L268),ROUND(L282-(L284-L283),1),"")</f>
        <v>0</v>
      </c>
      <c r="M285" s="20" t="n">
        <f aca="false">IF(ISNUMBER(M268),ROUND(M282-(M284-M283),1),"")</f>
        <v>0</v>
      </c>
      <c r="N285" s="20" t="n">
        <f aca="false">IF(ISNUMBER(N268),ROUND(N282-(N284-N283),1),"")</f>
        <v>0</v>
      </c>
      <c r="O285" s="20" t="n">
        <f aca="false">IF(ISNUMBER(O268),ROUND(O282-(O284-O283),1),"")</f>
        <v>0</v>
      </c>
      <c r="P285" s="20" t="n">
        <f aca="false">IF(ISNUMBER(P268),ROUND(P282-(P284-P283),1),"")</f>
        <v>0</v>
      </c>
      <c r="Q285" s="20" t="n">
        <f aca="false">IF(ISNUMBER(Q268),ROUND(Q282-(Q284-Q283),1),"")</f>
        <v>0</v>
      </c>
      <c r="R285" s="20" t="n">
        <f aca="false">IF(ISNUMBER(R268),ROUND(R282-(R284-R283),1),"")</f>
        <v>0</v>
      </c>
      <c r="S285" s="20" t="n">
        <f aca="false">IF(ISNUMBER(S268),ROUND(S282-(S284-S283),1),"")</f>
        <v>0</v>
      </c>
      <c r="T285" s="20" t="n">
        <f aca="false">IF(ISNUMBER(T268),ROUND(T282-(T284-T283),1),"")</f>
        <v>0</v>
      </c>
      <c r="U285" s="20" t="n">
        <f aca="false">IF(ISNUMBER(U268),ROUND(U282-(U284-U283),1),"")</f>
        <v>0</v>
      </c>
      <c r="V285" s="20" t="n">
        <f aca="false">IF(ISNUMBER(V268),ROUND(V282-(V284-V283),1),"")</f>
        <v>0</v>
      </c>
      <c r="W285" s="20" t="n">
        <f aca="false">IF(ISNUMBER(W268),ROUND(W282-(W284-W283),1),"")</f>
        <v>-0</v>
      </c>
      <c r="X285" s="20" t="n">
        <f aca="false">IF(ISNUMBER(X268),ROUND(X282-(X284-X283),1),"")</f>
        <v>0</v>
      </c>
      <c r="Y285" s="20" t="n">
        <f aca="false">IF(ISNUMBER(Y268),ROUND(Y282-(Y284-Y283),1),"")</f>
        <v>0</v>
      </c>
      <c r="Z285" s="20" t="n">
        <f aca="false">IF(ISNUMBER(Z268),ROUND(Z282-(Z284-Z283),1),"")</f>
        <v>0</v>
      </c>
      <c r="AA285" s="20" t="n">
        <f aca="false">IF(ISNUMBER(AA268),ROUND(AA282-(AA284-AA283),1),"")</f>
        <v>0</v>
      </c>
      <c r="AB285" s="20" t="n">
        <f aca="false">IF(ISNUMBER(AB268),ROUND(AB282-(AB284-AB283),1),"")</f>
        <v>0</v>
      </c>
      <c r="AC285" s="20" t="n">
        <f aca="false">IF(ISNUMBER(AC268),ROUND(AC282-(AC284-AC283),1),"")</f>
        <v>0</v>
      </c>
      <c r="AD285" s="20" t="n">
        <f aca="false">IF(ISNUMBER(AD268),ROUND(AD282-(AD284-AD283),1),"")</f>
        <v>0</v>
      </c>
      <c r="AE285" s="20" t="n">
        <f aca="false">IF(ISNUMBER(AE268),ROUND(AE282-(AE284-AE283),1),"")</f>
        <v>0</v>
      </c>
      <c r="AF285" s="20" t="n">
        <f aca="false">IF(ISNUMBER(AF268),ROUND(AF282-(AF284-AF283),1),"")</f>
        <v>0</v>
      </c>
      <c r="AG285" s="20" t="n">
        <f aca="false">IF(ISNUMBER(AG268),ROUND(AG282-(AG284-AG283),1),"")</f>
        <v>0</v>
      </c>
      <c r="AH285" s="20" t="n">
        <f aca="false">IF(ISNUMBER(AH268),ROUND(AH282-(AH284-AH283),1),"")</f>
        <v>0</v>
      </c>
      <c r="AI285" s="20" t="n">
        <f aca="false">IF(ISNUMBER(AI268),ROUND(AI282-(AI284-AI283),1),"")</f>
        <v>0</v>
      </c>
      <c r="AJ285" s="20" t="n">
        <f aca="false">IF(ISNUMBER(AJ268),ROUND(AJ282-(AJ284-AJ283),1),"")</f>
        <v>0</v>
      </c>
      <c r="AK285" s="20" t="n">
        <f aca="false">IF(ISNUMBER(AK268),ROUND(AK282-(AK284-AK283),1),"")</f>
        <v>0</v>
      </c>
      <c r="AL285" s="20" t="n">
        <f aca="false">IF(ISNUMBER(AL268),ROUND(AL282-(AL284-AL283),1),"")</f>
        <v>0</v>
      </c>
      <c r="AM285" s="20" t="n">
        <f aca="false">IF(ISNUMBER(AM268),ROUND(AM282-(AM284-AM283),1),"")</f>
        <v>0</v>
      </c>
      <c r="AN285" s="20" t="n">
        <f aca="false">IF(ISNUMBER(AN268),ROUND(AN282-(AN284-AN283),1),"")</f>
        <v>0</v>
      </c>
      <c r="AO285" s="20" t="n">
        <f aca="false">IF(ISNUMBER(AO268),ROUND(AO282-(AO284-AO283),1),"")</f>
        <v>0</v>
      </c>
      <c r="AP285" s="20" t="n">
        <f aca="false">IF(ISNUMBER(AP268),ROUND(AP282-(AP284-AP283),1),"")</f>
        <v>0</v>
      </c>
      <c r="AQ285" s="20" t="n">
        <f aca="false">IF(ISNUMBER(AQ268),ROUND(AQ282-(AQ284-AQ283),1),"")</f>
        <v>0</v>
      </c>
      <c r="AR285" s="20" t="n">
        <f aca="false">IF(ISNUMBER(AR268),ROUND(AR282-(AR284-AR283),1),"")</f>
        <v>0</v>
      </c>
      <c r="AS285" s="20" t="n">
        <f aca="false">IF(ISNUMBER(AS268),ROUND(AS282-(AS284-AS283),1),"")</f>
        <v>0</v>
      </c>
      <c r="AT285" s="20" t="n">
        <f aca="false">IF(ISNUMBER(AT268),ROUND(AT282-(AT284-AT283),1),"")</f>
        <v>0</v>
      </c>
      <c r="AU285" s="20" t="n">
        <f aca="false">IF(ISNUMBER(AU268),ROUND(AU282-(AU284-AU283),1),"")</f>
        <v>0</v>
      </c>
      <c r="AV285" s="20" t="n">
        <f aca="false">IF(ISNUMBER(AV268),ROUND(AV282-(AV284-AV283),1),"")</f>
        <v>0</v>
      </c>
      <c r="AW285" s="20" t="n">
        <f aca="false">IF(ISNUMBER(AW268),ROUND(AW282-(AW284-AW283),1),"")</f>
        <v>0</v>
      </c>
      <c r="AX285" s="20" t="n">
        <f aca="false">IF(ISNUMBER(AX268),ROUND(AX282-(AX284-AX283),1),"")</f>
        <v>0</v>
      </c>
      <c r="AY285" s="20" t="n">
        <f aca="false">IF(ISNUMBER(AY268),ROUND(AY282-(AY284-AY283),1),"")</f>
        <v>0</v>
      </c>
      <c r="AZ285" s="20" t="n">
        <f aca="false">IF(ISNUMBER(AZ268),ROUND(AZ282-(AZ284-AZ283),1),"")</f>
        <v>0</v>
      </c>
      <c r="BA285" s="20" t="n">
        <f aca="false">IF(ISNUMBER(BA268),ROUND(BA282-(BA284-BA283),1),"")</f>
        <v>0</v>
      </c>
      <c r="BB285" s="20" t="n">
        <f aca="false">IF(ISNUMBER(BB268),ROUND(BB282-(BB284-BB283),1),"")</f>
        <v>0</v>
      </c>
      <c r="BC285" s="20" t="n">
        <f aca="false">IF(ISNUMBER(BC268),ROUND(BC282-(BC284-BC283),1),"")</f>
        <v>0</v>
      </c>
      <c r="BD285" s="20" t="n">
        <f aca="false">IF(ISNUMBER(BD268),ROUND(BD282-(BD284-BD283),1),"")</f>
        <v>0</v>
      </c>
      <c r="BE285" s="20" t="n">
        <f aca="false">IF(ISNUMBER(BE268),ROUND(BE282-(BE284-BE283),1),"")</f>
        <v>0</v>
      </c>
      <c r="BF285" s="20" t="n">
        <f aca="false">IF(ISNUMBER(BF268),ROUND(BF282-(BF284-BF283),1),"")</f>
        <v>0</v>
      </c>
      <c r="BG285" s="20" t="n">
        <f aca="false">IF(ISNUMBER(BG268),ROUND(BG282-(BG284-BG283),1),"")</f>
        <v>-0</v>
      </c>
      <c r="BH285" s="20" t="n">
        <f aca="false">IF(ISNUMBER(BH268),ROUND(BH282-(BH284-BH283),1),"")</f>
        <v>0</v>
      </c>
      <c r="BI285" s="20" t="n">
        <f aca="false">IF(ISNUMBER(BI268),ROUND(BI282-(BI284-BI283),1),"")</f>
        <v>0</v>
      </c>
      <c r="BJ285" s="20" t="n">
        <f aca="false">IF(ISNUMBER(BJ268),ROUND(BJ282-(BJ284-BJ283),1),"")</f>
        <v>0</v>
      </c>
      <c r="BK285" s="20" t="n">
        <f aca="false">IF(ISNUMBER(BK268),ROUND(BK282-(BK284-BK283),1),"")</f>
        <v>0</v>
      </c>
      <c r="BL285" s="20" t="n">
        <f aca="false">IF(ISNUMBER(BL268),ROUND(BL282-(BL284-BL283),1),"")</f>
        <v>0</v>
      </c>
      <c r="BM285" s="20" t="n">
        <f aca="false">IF(ISNUMBER(BM268),ROUND(BM282-(BM284-BM283),1),"")</f>
        <v>0</v>
      </c>
      <c r="BN285" s="20" t="n">
        <f aca="false">IF(ISNUMBER(BN268),ROUND(BN282-(BN284-BN283),1),"")</f>
        <v>0</v>
      </c>
      <c r="BO285" s="36"/>
      <c r="BP285" s="36"/>
      <c r="BQ285" s="21" t="n">
        <f aca="false">ROUND(BQ282-(BQ284-BQ283),1)</f>
        <v>0</v>
      </c>
      <c r="BR285" s="21" t="n">
        <f aca="false">ROUND(BR282-(BR284-BR283),1)</f>
        <v>0</v>
      </c>
      <c r="BS285" s="21" t="n">
        <f aca="false">ROUND(BS282-(BS284-BS283),1)</f>
        <v>0</v>
      </c>
      <c r="BT285" s="21" t="n">
        <f aca="false">ROUND(BT282-(BT284-BT283),1)</f>
        <v>0</v>
      </c>
      <c r="BU285" s="21" t="n">
        <f aca="false">ROUND(BU282-(BU284-BU283),1)</f>
        <v>0</v>
      </c>
      <c r="BV285" s="15"/>
    </row>
    <row r="286" customFormat="false" ht="15" hidden="false" customHeight="false" outlineLevel="0" collapsed="false">
      <c r="B286" s="51" t="s">
        <v>464</v>
      </c>
      <c r="C286" s="19"/>
      <c r="D286" s="19"/>
      <c r="E286" s="20" t="n">
        <f aca="false">IF(ISNUMBER(E268),ROUND(SUM(E259,E261,E262,E263,E264,E265,E266,E267)-E268,1),"")</f>
        <v>0</v>
      </c>
      <c r="F286" s="20" t="n">
        <f aca="false">IF(ISNUMBER(F268),ROUND(SUM(F259,F261,F262,F263,F264,F265,F266,F267)-F268,1),"")</f>
        <v>0</v>
      </c>
      <c r="G286" s="20" t="n">
        <f aca="false">IF(ISNUMBER(G268),ROUND(SUM(G259,G261,G262,G263,G264,G265,G266,G267)-G268,1),"")</f>
        <v>0</v>
      </c>
      <c r="H286" s="20" t="n">
        <f aca="false">IF(ISNUMBER(H268),ROUND(SUM(H259,H261,H262,H263,H264,H265,H266,H267)-H268,1),"")</f>
        <v>0</v>
      </c>
      <c r="I286" s="20" t="n">
        <f aca="false">IF(ISNUMBER(I268),ROUND(SUM(I259,I261,I262,I263,I264,I265,I266,I267)-I268,1),"")</f>
        <v>0</v>
      </c>
      <c r="J286" s="20" t="n">
        <f aca="false">IF(ISNUMBER(J268),ROUND(SUM(J259,J261,J262,J263,J264,J265,J266,J267)-J268,1),"")</f>
        <v>0</v>
      </c>
      <c r="K286" s="20" t="n">
        <f aca="false">IF(ISNUMBER(K268),ROUND(SUM(K259,K261,K262,K263,K264,K265,K266,K267)-K268,1),"")</f>
        <v>0</v>
      </c>
      <c r="L286" s="20" t="n">
        <f aca="false">IF(ISNUMBER(L268),ROUND(SUM(L259,L261,L262,L263,L264,L265,L266,L267)-L268,1),"")</f>
        <v>0</v>
      </c>
      <c r="M286" s="20" t="n">
        <f aca="false">IF(ISNUMBER(M268),ROUND(SUM(M259,M261,M262,M263,M264,M265,M266,M267)-M268,1),"")</f>
        <v>0</v>
      </c>
      <c r="N286" s="20" t="n">
        <f aca="false">IF(ISNUMBER(N268),ROUND(SUM(N259,N261,N262,N263,N264,N265,N266,N267)-N268,1),"")</f>
        <v>0</v>
      </c>
      <c r="O286" s="20" t="n">
        <f aca="false">IF(ISNUMBER(O268),ROUND(SUM(O259,O261,O262,O263,O264,O265,O266,O267)-O268,1),"")</f>
        <v>0</v>
      </c>
      <c r="P286" s="20" t="n">
        <f aca="false">IF(ISNUMBER(P268),ROUND(SUM(P259,P261,P262,P263,P264,P265,P266,P267)-P268,1),"")</f>
        <v>0</v>
      </c>
      <c r="Q286" s="20" t="n">
        <f aca="false">IF(ISNUMBER(Q268),ROUND(SUM(Q259,Q261,Q262,Q263,Q264,Q265,Q266,Q267)-Q268,1),"")</f>
        <v>0</v>
      </c>
      <c r="R286" s="20" t="n">
        <f aca="false">IF(ISNUMBER(R268),ROUND(SUM(R259,R261,R262,R263,R264,R265,R266,R267)-R268,1),"")</f>
        <v>0</v>
      </c>
      <c r="S286" s="20" t="n">
        <f aca="false">IF(ISNUMBER(S268),ROUND(SUM(S259,S261,S262,S263,S264,S265,S266,S267)-S268,1),"")</f>
        <v>0</v>
      </c>
      <c r="T286" s="20" t="n">
        <f aca="false">IF(ISNUMBER(T268),ROUND(SUM(T259,T261,T262,T263,T264,T265,T266,T267)-T268,1),"")</f>
        <v>0</v>
      </c>
      <c r="U286" s="20" t="n">
        <f aca="false">IF(ISNUMBER(U268),ROUND(SUM(U259,U261,U262,U263,U264,U265,U266,U267)-U268,1),"")</f>
        <v>0</v>
      </c>
      <c r="V286" s="20" t="n">
        <f aca="false">IF(ISNUMBER(V268),ROUND(SUM(V259,V261,V262,V263,V264,V265,V266,V267)-V268,1),"")</f>
        <v>0</v>
      </c>
      <c r="W286" s="20" t="n">
        <f aca="false">IF(ISNUMBER(W268),ROUND(SUM(W259,W261,W262,W263,W264,W265,W266,W267)-W268,1),"")</f>
        <v>0</v>
      </c>
      <c r="X286" s="20" t="n">
        <f aca="false">IF(ISNUMBER(X268),ROUND(SUM(X259,X261,X262,X263,X264,X265,X266,X267)-X268,1),"")</f>
        <v>0</v>
      </c>
      <c r="Y286" s="20" t="n">
        <f aca="false">IF(ISNUMBER(Y268),ROUND(SUM(Y259,Y261,Y262,Y263,Y264,Y265,Y266,Y267)-Y268,1),"")</f>
        <v>0</v>
      </c>
      <c r="Z286" s="20" t="n">
        <f aca="false">IF(ISNUMBER(Z268),ROUND(SUM(Z259,Z261,Z262,Z263,Z264,Z265,Z266,Z267)-Z268,1),"")</f>
        <v>0</v>
      </c>
      <c r="AA286" s="20" t="n">
        <f aca="false">IF(ISNUMBER(AA268),ROUND(SUM(AA259,AA261,AA262,AA263,AA264,AA265,AA266,AA267)-AA268,1),"")</f>
        <v>0</v>
      </c>
      <c r="AB286" s="20" t="n">
        <f aca="false">IF(ISNUMBER(AB268),ROUND(SUM(AB259,AB261,AB262,AB263,AB264,AB265,AB266,AB267)-AB268,1),"")</f>
        <v>0</v>
      </c>
      <c r="AC286" s="20" t="n">
        <f aca="false">IF(ISNUMBER(AC268),ROUND(SUM(AC259,AC261,AC262,AC263,AC264,AC265,AC266,AC267)-AC268,1),"")</f>
        <v>0</v>
      </c>
      <c r="AD286" s="20" t="n">
        <f aca="false">IF(ISNUMBER(AD268),ROUND(SUM(AD259,AD261,AD262,AD263,AD264,AD265,AD266,AD267)-AD268,1),"")</f>
        <v>0</v>
      </c>
      <c r="AE286" s="20" t="n">
        <f aca="false">IF(ISNUMBER(AE268),ROUND(SUM(AE259,AE261,AE262,AE263,AE264,AE265,AE266,AE267)-AE268,1),"")</f>
        <v>0</v>
      </c>
      <c r="AF286" s="20" t="n">
        <f aca="false">IF(ISNUMBER(AF268),ROUND(SUM(AF259,AF261,AF262,AF263,AF264,AF265,AF266,AF267)-AF268,1),"")</f>
        <v>0</v>
      </c>
      <c r="AG286" s="20" t="n">
        <f aca="false">IF(ISNUMBER(AG268),ROUND(SUM(AG259,AG261,AG262,AG263,AG264,AG265,AG266,AG267)-AG268,1),"")</f>
        <v>0</v>
      </c>
      <c r="AH286" s="20" t="n">
        <f aca="false">IF(ISNUMBER(AH268),ROUND(SUM(AH259,AH261,AH262,AH263,AH264,AH265,AH266,AH267)-AH268,1),"")</f>
        <v>0</v>
      </c>
      <c r="AI286" s="20" t="n">
        <f aca="false">IF(ISNUMBER(AI268),ROUND(SUM(AI259,AI261,AI262,AI263,AI264,AI265,AI266,AI267)-AI268,1),"")</f>
        <v>0</v>
      </c>
      <c r="AJ286" s="20" t="n">
        <f aca="false">IF(ISNUMBER(AJ268),ROUND(SUM(AJ259,AJ261,AJ262,AJ263,AJ264,AJ265,AJ266,AJ267)-AJ268,1),"")</f>
        <v>0</v>
      </c>
      <c r="AK286" s="20" t="n">
        <f aca="false">IF(ISNUMBER(AK268),ROUND(SUM(AK259,AK261,AK262,AK263,AK264,AK265,AK266,AK267)-AK268,1),"")</f>
        <v>0</v>
      </c>
      <c r="AL286" s="20" t="n">
        <f aca="false">IF(ISNUMBER(AL268),ROUND(SUM(AL259,AL261,AL262,AL263,AL264,AL265,AL266,AL267)-AL268,1),"")</f>
        <v>0</v>
      </c>
      <c r="AM286" s="20" t="n">
        <f aca="false">IF(ISNUMBER(AM268),ROUND(SUM(AM259,AM261,AM262,AM263,AM264,AM265,AM266,AM267)-AM268,1),"")</f>
        <v>0</v>
      </c>
      <c r="AN286" s="20" t="n">
        <f aca="false">IF(ISNUMBER(AN268),ROUND(SUM(AN259,AN261,AN262,AN263,AN264,AN265,AN266,AN267)-AN268,1),"")</f>
        <v>0</v>
      </c>
      <c r="AO286" s="20" t="n">
        <f aca="false">IF(ISNUMBER(AO268),ROUND(SUM(AO259,AO261,AO262,AO263,AO264,AO265,AO266,AO267)-AO268,1),"")</f>
        <v>0</v>
      </c>
      <c r="AP286" s="20" t="n">
        <f aca="false">IF(ISNUMBER(AP268),ROUND(SUM(AP259,AP261,AP262,AP263,AP264,AP265,AP266,AP267)-AP268,1),"")</f>
        <v>0</v>
      </c>
      <c r="AQ286" s="20" t="n">
        <f aca="false">IF(ISNUMBER(AQ268),ROUND(SUM(AQ259,AQ261,AQ262,AQ263,AQ264,AQ265,AQ266,AQ267)-AQ268,1),"")</f>
        <v>0</v>
      </c>
      <c r="AR286" s="20" t="n">
        <f aca="false">IF(ISNUMBER(AR268),ROUND(SUM(AR259,AR261,AR262,AR263,AR264,AR265,AR266,AR267)-AR268,1),"")</f>
        <v>0</v>
      </c>
      <c r="AS286" s="20" t="n">
        <f aca="false">IF(ISNUMBER(AS268),ROUND(SUM(AS259,AS261,AS262,AS263,AS264,AS265,AS266,AS267)-AS268,1),"")</f>
        <v>0</v>
      </c>
      <c r="AT286" s="20" t="n">
        <f aca="false">IF(ISNUMBER(AT268),ROUND(SUM(AT259,AT261,AT262,AT263,AT264,AT265,AT266,AT267)-AT268,1),"")</f>
        <v>0</v>
      </c>
      <c r="AU286" s="20" t="n">
        <f aca="false">IF(ISNUMBER(AU268),ROUND(SUM(AU259,AU261,AU262,AU263,AU264,AU265,AU266,AU267)-AU268,1),"")</f>
        <v>0</v>
      </c>
      <c r="AV286" s="20" t="n">
        <f aca="false">IF(ISNUMBER(AV268),ROUND(SUM(AV259,AV261,AV262,AV263,AV264,AV265,AV266,AV267)-AV268,1),"")</f>
        <v>0</v>
      </c>
      <c r="AW286" s="20" t="n">
        <f aca="false">IF(ISNUMBER(AW268),ROUND(SUM(AW259,AW261,AW262,AW263,AW264,AW265,AW266,AW267)-AW268,1),"")</f>
        <v>0</v>
      </c>
      <c r="AX286" s="20" t="n">
        <f aca="false">IF(ISNUMBER(AX268),ROUND(SUM(AX259,AX261,AX262,AX263,AX264,AX265,AX266,AX267)-AX268,1),"")</f>
        <v>0</v>
      </c>
      <c r="AY286" s="20" t="n">
        <f aca="false">IF(ISNUMBER(AY268),ROUND(SUM(AY259,AY261,AY262,AY263,AY264,AY265,AY266,AY267)-AY268,1),"")</f>
        <v>0</v>
      </c>
      <c r="AZ286" s="20" t="n">
        <f aca="false">IF(ISNUMBER(AZ268),ROUND(SUM(AZ259,AZ261,AZ262,AZ263,AZ264,AZ265,AZ266,AZ267)-AZ268,1),"")</f>
        <v>0</v>
      </c>
      <c r="BA286" s="20" t="n">
        <f aca="false">IF(ISNUMBER(BA268),ROUND(SUM(BA259,BA261,BA262,BA263,BA264,BA265,BA266,BA267)-BA268,1),"")</f>
        <v>0</v>
      </c>
      <c r="BB286" s="20" t="n">
        <f aca="false">IF(ISNUMBER(BB268),ROUND(SUM(BB259,BB261,BB262,BB263,BB264,BB265,BB266,BB267)-BB268,1),"")</f>
        <v>0</v>
      </c>
      <c r="BC286" s="20" t="n">
        <f aca="false">IF(ISNUMBER(BC268),ROUND(SUM(BC259,BC261,BC262,BC263,BC264,BC265,BC266,BC267)-BC268,1),"")</f>
        <v>0</v>
      </c>
      <c r="BD286" s="20" t="n">
        <f aca="false">IF(ISNUMBER(BD268),ROUND(SUM(BD259,BD261,BD262,BD263,BD264,BD265,BD266,BD267)-BD268,1),"")</f>
        <v>0</v>
      </c>
      <c r="BE286" s="20" t="n">
        <f aca="false">IF(ISNUMBER(BE268),ROUND(SUM(BE259,BE261,BE262,BE263,BE264,BE265,BE266,BE267)-BE268,1),"")</f>
        <v>0</v>
      </c>
      <c r="BF286" s="20" t="n">
        <f aca="false">IF(ISNUMBER(BF268),ROUND(SUM(BF259,BF261,BF262,BF263,BF264,BF265,BF266,BF267)-BF268,1),"")</f>
        <v>0</v>
      </c>
      <c r="BG286" s="20" t="n">
        <f aca="false">IF(ISNUMBER(BG268),ROUND(SUM(BG259,BG261,BG262,BG263,BG264,BG265,BG266,BG267)-BG268,1),"")</f>
        <v>0</v>
      </c>
      <c r="BH286" s="20" t="n">
        <f aca="false">IF(ISNUMBER(BH268),ROUND(SUM(BH259,BH261,BH262,BH263,BH264,BH265,BH266,BH267)-BH268,1),"")</f>
        <v>0</v>
      </c>
      <c r="BI286" s="20" t="n">
        <f aca="false">IF(ISNUMBER(BI268),ROUND(SUM(BI259,BI261,BI262,BI263,BI264,BI265,BI266,BI267)-BI268,1),"")</f>
        <v>0</v>
      </c>
      <c r="BJ286" s="20" t="n">
        <f aca="false">IF(ISNUMBER(BJ268),ROUND(SUM(BJ259,BJ261,BJ262,BJ263,BJ264,BJ265,BJ266,BJ267)-BJ268,1),"")</f>
        <v>0</v>
      </c>
      <c r="BK286" s="20" t="n">
        <f aca="false">IF(ISNUMBER(BK268),ROUND(SUM(BK259,BK261,BK262,BK263,BK264,BK265,BK266,BK267)-BK268,1),"")</f>
        <v>0</v>
      </c>
      <c r="BL286" s="20" t="n">
        <f aca="false">IF(ISNUMBER(BL268),ROUND(SUM(BL259,BL261,BL262,BL263,BL264,BL265,BL266,BL267)-BL268,1),"")</f>
        <v>0</v>
      </c>
      <c r="BM286" s="20" t="n">
        <f aca="false">IF(ISNUMBER(BM268),ROUND(SUM(BM259,BM261,BM262,BM263,BM264,BM265,BM266,BM267)-BM268,1),"")</f>
        <v>0</v>
      </c>
      <c r="BN286" s="20" t="n">
        <f aca="false">IF(ISNUMBER(BN268),ROUND(SUM(BN259,BN261,BN262,BN263,BN264,BN265,BN266,BN267)-BN268,1),"")</f>
        <v>0</v>
      </c>
      <c r="BO286" s="36"/>
      <c r="BP286" s="36"/>
      <c r="BQ286" s="36"/>
      <c r="BR286" s="36"/>
      <c r="BS286" s="36"/>
      <c r="BT286" s="36"/>
      <c r="BU286" s="36"/>
      <c r="BV286" s="15"/>
    </row>
    <row r="287" customFormat="false" ht="15" hidden="false" customHeight="false" outlineLevel="0" collapsed="false">
      <c r="B287" s="13" t="s">
        <v>465</v>
      </c>
      <c r="BO287" s="14"/>
      <c r="BP287" s="14"/>
      <c r="BQ287" s="14"/>
      <c r="BR287" s="14"/>
      <c r="BS287" s="14"/>
      <c r="BT287" s="14"/>
      <c r="BU287" s="14"/>
      <c r="BV287" s="15"/>
    </row>
    <row r="288" customFormat="false" ht="15" hidden="false" customHeight="false" outlineLevel="0" collapsed="false">
      <c r="B288" s="60" t="s">
        <v>466</v>
      </c>
      <c r="C288" s="61"/>
      <c r="D288" s="61"/>
      <c r="E288" s="62" t="n">
        <f aca="false">IF(ISNUMBER(E268),E268+E269,"")</f>
        <v>-134.731</v>
      </c>
      <c r="F288" s="62" t="n">
        <f aca="false">IF(ISNUMBER(F268),F268+F269,"")</f>
        <v>-10.793</v>
      </c>
      <c r="G288" s="62" t="n">
        <f aca="false">IF(ISNUMBER(G268),G268+G269,"")</f>
        <v>4.452</v>
      </c>
      <c r="H288" s="62" t="n">
        <f aca="false">IF(ISNUMBER(H268),H268+H269,"")</f>
        <v>139.968</v>
      </c>
      <c r="I288" s="62" t="n">
        <f aca="false">IF(ISNUMBER(I268),I268+I269,"")</f>
        <v>-1.104</v>
      </c>
      <c r="J288" s="62" t="n">
        <f aca="false">IF(ISNUMBER(J268),J268+J269,"")</f>
        <v>-16.305</v>
      </c>
      <c r="K288" s="62" t="n">
        <f aca="false">IF(ISNUMBER(K268),K268+K269,"")</f>
        <v>58.977</v>
      </c>
      <c r="L288" s="62" t="n">
        <f aca="false">IF(ISNUMBER(L268),L268+L269,"")</f>
        <v>143.993</v>
      </c>
      <c r="M288" s="62" t="n">
        <f aca="false">IF(ISNUMBER(M268),M268+M269,"")</f>
        <v>75.164</v>
      </c>
      <c r="N288" s="62" t="n">
        <f aca="false">IF(ISNUMBER(N268),N268+N269,"")</f>
        <v>261.829</v>
      </c>
      <c r="O288" s="62" t="n">
        <f aca="false">IF(ISNUMBER(O268),O268+O269,"")</f>
        <v>-28.347</v>
      </c>
      <c r="P288" s="62" t="n">
        <f aca="false">IF(ISNUMBER(P268),P268+P269,"")</f>
        <v>72.51</v>
      </c>
      <c r="Q288" s="62" t="n">
        <f aca="false">IF(ISNUMBER(Q268),Q268+Q269,"")</f>
        <v>6.11</v>
      </c>
      <c r="R288" s="62" t="n">
        <f aca="false">IF(ISNUMBER(R268),R268+R269,"")</f>
        <v>136.943</v>
      </c>
      <c r="S288" s="62" t="n">
        <f aca="false">IF(ISNUMBER(S268),S268+S269,"")</f>
        <v>187.216</v>
      </c>
      <c r="T288" s="62" t="n">
        <f aca="false">IF(ISNUMBER(T268),T268+T269,"")</f>
        <v>-68.468</v>
      </c>
      <c r="U288" s="62" t="n">
        <f aca="false">IF(ISNUMBER(U268),U268+U269,"")</f>
        <v>103.744</v>
      </c>
      <c r="V288" s="62" t="n">
        <f aca="false">IF(ISNUMBER(V268),V268+V269,"")</f>
        <v>60.047</v>
      </c>
      <c r="W288" s="62" t="n">
        <f aca="false">IF(ISNUMBER(W268),W268+W269,"")</f>
        <v>29.951</v>
      </c>
      <c r="X288" s="62" t="n">
        <f aca="false">IF(ISNUMBER(X268),X268+X269,"")</f>
        <v>125.274</v>
      </c>
      <c r="Y288" s="62" t="n">
        <f aca="false">IF(ISNUMBER(Y268),Y268+Y269,"")</f>
        <v>-36.239</v>
      </c>
      <c r="Z288" s="62" t="n">
        <f aca="false">IF(ISNUMBER(Z268),Z268+Z269,"")</f>
        <v>19.589</v>
      </c>
      <c r="AA288" s="62" t="n">
        <f aca="false">IF(ISNUMBER(AA268),AA268+AA269,"")</f>
        <v>-52.279</v>
      </c>
      <c r="AB288" s="62" t="n">
        <f aca="false">IF(ISNUMBER(AB268),AB268+AB269,"")</f>
        <v>128.881</v>
      </c>
      <c r="AC288" s="62" t="n">
        <f aca="false">IF(ISNUMBER(AC268),AC268+AC269,"")</f>
        <v>59.952</v>
      </c>
      <c r="AD288" s="62" t="n">
        <f aca="false">IF(ISNUMBER(AD268),AD268+AD269,"")</f>
        <v>-62.242</v>
      </c>
      <c r="AE288" s="62" t="n">
        <f aca="false">IF(ISNUMBER(AE268),AE268+AE269,"")</f>
        <v>33.607</v>
      </c>
      <c r="AF288" s="62" t="n">
        <f aca="false">IF(ISNUMBER(AF268),AF268+AF269,"")</f>
        <v>-2.993</v>
      </c>
      <c r="AG288" s="62" t="n">
        <f aca="false">IF(ISNUMBER(AG268),AG268+AG269,"")</f>
        <v>128.872</v>
      </c>
      <c r="AH288" s="62" t="n">
        <f aca="false">IF(ISNUMBER(AH268),AH268+AH269,"")</f>
        <v>97.244</v>
      </c>
      <c r="AI288" s="62" t="n">
        <f aca="false">IF(ISNUMBER(AI268),AI268+AI269,"")</f>
        <v>-71.215</v>
      </c>
      <c r="AJ288" s="62" t="n">
        <f aca="false">IF(ISNUMBER(AJ268),AJ268+AJ269,"")</f>
        <v>111.368</v>
      </c>
      <c r="AK288" s="62" t="n">
        <f aca="false">IF(ISNUMBER(AK268),AK268+AK269,"")</f>
        <v>-72.031</v>
      </c>
      <c r="AL288" s="62" t="n">
        <f aca="false">IF(ISNUMBER(AL268),AL268+AL269,"")</f>
        <v>-26.707</v>
      </c>
      <c r="AM288" s="62" t="n">
        <f aca="false">IF(ISNUMBER(AM268),AM268+AM269,"")</f>
        <v>-58.585</v>
      </c>
      <c r="AN288" s="62" t="n">
        <f aca="false">IF(ISNUMBER(AN268),AN268+AN269,"")</f>
        <v>-3.518</v>
      </c>
      <c r="AO288" s="62" t="n">
        <f aca="false">IF(ISNUMBER(AO268),AO268+AO269,"")</f>
        <v>-8.329</v>
      </c>
      <c r="AP288" s="62" t="n">
        <f aca="false">IF(ISNUMBER(AP268),AP268+AP269,"")</f>
        <v>0.768999999999991</v>
      </c>
      <c r="AQ288" s="62" t="n">
        <f aca="false">IF(ISNUMBER(AQ268),AQ268+AQ269,"")</f>
        <v>86.052</v>
      </c>
      <c r="AR288" s="62" t="n">
        <f aca="false">IF(ISNUMBER(AR268),AR268+AR269,"")</f>
        <v>74.974</v>
      </c>
      <c r="AS288" s="62" t="n">
        <f aca="false">IF(ISNUMBER(AS268),AS268+AS269,"")</f>
        <v>-57.795</v>
      </c>
      <c r="AT288" s="62" t="n">
        <f aca="false">IF(ISNUMBER(AT268),AT268+AT269,"")</f>
        <v>34.887</v>
      </c>
      <c r="AU288" s="62" t="n">
        <f aca="false">IF(ISNUMBER(AU268),AU268+AU269,"")</f>
        <v>25.352</v>
      </c>
      <c r="AV288" s="62" t="n">
        <f aca="false">IF(ISNUMBER(AV268),AV268+AV269,"")</f>
        <v>43.948</v>
      </c>
      <c r="AW288" s="62" t="n">
        <f aca="false">IF(ISNUMBER(AW268),AW268+AW269,"")</f>
        <v>46.392</v>
      </c>
      <c r="AX288" s="62" t="n">
        <f aca="false">IF(ISNUMBER(AX268),AX268+AX269,"")</f>
        <v>-42.804</v>
      </c>
      <c r="AY288" s="62" t="n">
        <f aca="false">IF(ISNUMBER(AY268),AY268+AY269,"")</f>
        <v>40.811</v>
      </c>
      <c r="AZ288" s="62" t="n">
        <f aca="false">IF(ISNUMBER(AZ268),AZ268+AZ269,"")</f>
        <v>43.432</v>
      </c>
      <c r="BA288" s="62" t="n">
        <f aca="false">IF(ISNUMBER(BA268),BA268+BA269,"")</f>
        <v>170.976</v>
      </c>
      <c r="BB288" s="62" t="n">
        <f aca="false">IF(ISNUMBER(BB268),BB268+BB269,"")</f>
        <v>212.415</v>
      </c>
      <c r="BC288" s="62" t="n">
        <f aca="false">IF(ISNUMBER(BC268),BC268+BC269,"")</f>
        <v>2.604</v>
      </c>
      <c r="BD288" s="62" t="n">
        <f aca="false">IF(ISNUMBER(BD268),BD268+BD269,"")</f>
        <v>35.489</v>
      </c>
      <c r="BE288" s="62" t="n">
        <f aca="false">IF(ISNUMBER(BE268),BE268+BE269,"")</f>
        <v>-7.673</v>
      </c>
      <c r="BF288" s="62" t="n">
        <f aca="false">IF(ISNUMBER(BF268),BF268+BF269,"")</f>
        <v>224.361</v>
      </c>
      <c r="BG288" s="62" t="n">
        <f aca="false">IF(ISNUMBER(BG268),BG268+BG269,"")</f>
        <v>254.781</v>
      </c>
      <c r="BH288" s="62" t="n">
        <f aca="false">IF(ISNUMBER(BH268),BH268+BH269,"")</f>
        <v>17.281</v>
      </c>
      <c r="BI288" s="62" t="n">
        <f aca="false">IF(ISNUMBER(BI268),BI268+BI269,"")</f>
        <v>126.314</v>
      </c>
      <c r="BJ288" s="62" t="n">
        <f aca="false">IF(ISNUMBER(BJ268),BJ268+BJ269,"")</f>
        <v>94.893</v>
      </c>
      <c r="BK288" s="62" t="n">
        <f aca="false">IF(ISNUMBER(BK268),BK268+BK269,"")</f>
        <v>56.803</v>
      </c>
      <c r="BL288" s="62" t="n">
        <f aca="false">IF(ISNUMBER(BL268),BL268+BL269,"")</f>
        <v>295.291</v>
      </c>
      <c r="BM288" s="62" t="n">
        <f aca="false">IF(ISNUMBER(BM268),BM268+BM269,"")</f>
        <v>50.094</v>
      </c>
      <c r="BN288" s="62" t="n">
        <f aca="false">IF(ISNUMBER(BN268),BN268+BN269,"")</f>
        <v>114.972</v>
      </c>
      <c r="BO288" s="61"/>
      <c r="BP288" s="61"/>
      <c r="BQ288" s="62" t="n">
        <f aca="false">BQ268+BQ269</f>
        <v>368.23575502487</v>
      </c>
      <c r="BR288" s="62" t="n">
        <f aca="false">BR268+BR269</f>
        <v>152.659275420025</v>
      </c>
      <c r="BS288" s="62" t="n">
        <f aca="false">BS268+BS269</f>
        <v>451.367324139435</v>
      </c>
      <c r="BT288" s="62" t="n">
        <f aca="false">BT268+BT269</f>
        <v>531.756145857095</v>
      </c>
      <c r="BU288" s="62" t="n">
        <f aca="false">BU268+BU269</f>
        <v>584.86448588657</v>
      </c>
      <c r="BV288" s="15" t="s">
        <v>467</v>
      </c>
      <c r="BX288" s="25" t="n">
        <f aca="false">IFERROR((BU288/BL288)^(1/5)-1,"n/m")</f>
        <v>0.146465547036119</v>
      </c>
      <c r="BY288" s="25" t="n">
        <f aca="false">IFERROR((BL288/AM288)^(1/5)-1,"n/m")</f>
        <v>-2.38195135250966</v>
      </c>
      <c r="BZ288" s="25" t="n">
        <f aca="false">IFERROR((BL288/N288)^(1/10)-1,"n/m")</f>
        <v>0.0120995840022169</v>
      </c>
      <c r="CA288" s="25" t="str">
        <f aca="false">IFERROR((BL288/D288)^(1/12)-1,"n/m")</f>
        <v>n/m</v>
      </c>
    </row>
    <row r="289" customFormat="false" ht="15" hidden="false" customHeight="false" outlineLevel="0" collapsed="false">
      <c r="B289" s="13" t="s">
        <v>468</v>
      </c>
      <c r="C289" s="34"/>
      <c r="D289" s="37" t="str">
        <f aca="false">IF(AND(ISNUMBER(D288),ISNUMBER(C288)),IFERROR(D288/C288-1,""),"")</f>
        <v/>
      </c>
      <c r="E289" s="34"/>
      <c r="F289" s="34"/>
      <c r="G289" s="34"/>
      <c r="H289" s="34"/>
      <c r="I289" s="37" t="str">
        <f aca="false">IF(AND(ISNUMBER(I288),ISNUMBER(D288)),IFERROR(I288/D288-1,""),"")</f>
        <v/>
      </c>
      <c r="J289" s="34"/>
      <c r="K289" s="34"/>
      <c r="L289" s="34"/>
      <c r="M289" s="34"/>
      <c r="N289" s="37" t="n">
        <f aca="false">IF(AND(ISNUMBER(N288),ISNUMBER(I288)),IFERROR(N288/I288-1,""),"")</f>
        <v>-238.163949275362</v>
      </c>
      <c r="O289" s="34"/>
      <c r="P289" s="34"/>
      <c r="Q289" s="34"/>
      <c r="R289" s="34"/>
      <c r="S289" s="37" t="n">
        <f aca="false">IF(AND(ISNUMBER(S288),ISNUMBER(N288)),IFERROR(S288/N288-1,""),"")</f>
        <v>-0.284968433595973</v>
      </c>
      <c r="T289" s="34"/>
      <c r="U289" s="34"/>
      <c r="V289" s="34"/>
      <c r="W289" s="34"/>
      <c r="X289" s="37" t="n">
        <f aca="false">IF(AND(ISNUMBER(X288),ISNUMBER(S288)),IFERROR(X288/S288-1,""),"")</f>
        <v>-0.330858473634732</v>
      </c>
      <c r="Y289" s="34"/>
      <c r="Z289" s="34"/>
      <c r="AA289" s="34"/>
      <c r="AB289" s="34"/>
      <c r="AC289" s="37" t="n">
        <f aca="false">IF(AND(ISNUMBER(AC288),ISNUMBER(X288)),IFERROR(AC288/X288-1,""),"")</f>
        <v>-0.521433018822741</v>
      </c>
      <c r="AD289" s="34"/>
      <c r="AE289" s="34"/>
      <c r="AF289" s="34"/>
      <c r="AG289" s="34"/>
      <c r="AH289" s="37" t="n">
        <f aca="false">IF(AND(ISNUMBER(AH288),ISNUMBER(AC288)),IFERROR(AH288/AC288-1,""),"")</f>
        <v>0.622030958099813</v>
      </c>
      <c r="AI289" s="34"/>
      <c r="AJ289" s="34"/>
      <c r="AK289" s="34"/>
      <c r="AL289" s="34"/>
      <c r="AM289" s="37" t="n">
        <f aca="false">IF(AND(ISNUMBER(AM288),ISNUMBER(AH288)),IFERROR(AM288/AH288-1,""),"")</f>
        <v>-1.60245362181728</v>
      </c>
      <c r="AN289" s="34"/>
      <c r="AO289" s="34"/>
      <c r="AP289" s="34"/>
      <c r="AQ289" s="34"/>
      <c r="AR289" s="37" t="n">
        <f aca="false">IF(AND(ISNUMBER(AR288),ISNUMBER(AM288)),IFERROR(AR288/AM288-1,""),"")</f>
        <v>-2.27974737560809</v>
      </c>
      <c r="AS289" s="34"/>
      <c r="AT289" s="34"/>
      <c r="AU289" s="34"/>
      <c r="AV289" s="34"/>
      <c r="AW289" s="37" t="n">
        <f aca="false">IF(AND(ISNUMBER(AW288),ISNUMBER(AR288)),IFERROR(AW288/AR288-1,""),"")</f>
        <v>-0.381225491503721</v>
      </c>
      <c r="AX289" s="34"/>
      <c r="AY289" s="34"/>
      <c r="AZ289" s="34"/>
      <c r="BA289" s="34"/>
      <c r="BB289" s="37" t="n">
        <f aca="false">IF(AND(ISNUMBER(BB288),ISNUMBER(AW288)),IFERROR(BB288/AW288-1,""),"")</f>
        <v>3.57869891360579</v>
      </c>
      <c r="BC289" s="34"/>
      <c r="BD289" s="34"/>
      <c r="BE289" s="34"/>
      <c r="BF289" s="34"/>
      <c r="BG289" s="37" t="n">
        <f aca="false">IF(AND(ISNUMBER(BG288),ISNUMBER(BB288)),IFERROR(BG288/BB288-1,""),"")</f>
        <v>0.199449191441282</v>
      </c>
      <c r="BH289" s="34"/>
      <c r="BI289" s="34"/>
      <c r="BJ289" s="34"/>
      <c r="BK289" s="34"/>
      <c r="BL289" s="37" t="n">
        <f aca="false">IF(AND(ISNUMBER(BL288),ISNUMBER(BG288)),IFERROR(BL288/BG288-1,""),"")</f>
        <v>0.158999297435837</v>
      </c>
      <c r="BM289" s="34"/>
      <c r="BN289" s="34"/>
      <c r="BO289" s="36"/>
      <c r="BP289" s="36"/>
      <c r="BQ289" s="35" t="n">
        <f aca="false">IF(AND(ISNUMBER(BQ288),ISNUMBER(BL288)),IFERROR(BQ288/BL288-1,""),"")</f>
        <v>0.247026678851946</v>
      </c>
      <c r="BR289" s="35" t="n">
        <f aca="false">IF(AND(ISNUMBER(BR288),ISNUMBER(BQ288)),IFERROR(BR288/BQ288-1,""),"")</f>
        <v>-0.585430601627171</v>
      </c>
      <c r="BS289" s="35" t="n">
        <f aca="false">IF(AND(ISNUMBER(BS288),ISNUMBER(BR288)),IFERROR(BS288/BR288-1,""),"")</f>
        <v>1.9566976713177</v>
      </c>
      <c r="BT289" s="35" t="n">
        <f aca="false">IF(AND(ISNUMBER(BT288),ISNUMBER(BS288)),IFERROR(BT288/BS288-1,""),"")</f>
        <v>0.178100667501635</v>
      </c>
      <c r="BU289" s="35" t="n">
        <f aca="false">IF(AND(ISNUMBER(BU288),ISNUMBER(BT288)),IFERROR(BU288/BT288-1,""),"")</f>
        <v>0.0998734860767299</v>
      </c>
      <c r="BV289" s="15"/>
    </row>
    <row r="290" customFormat="false" ht="15" hidden="false" customHeight="false" outlineLevel="0" collapsed="false">
      <c r="B290" s="13" t="s">
        <v>469</v>
      </c>
      <c r="C290" s="19"/>
      <c r="D290" s="19"/>
      <c r="E290" s="43" t="n">
        <f aca="false">IF(AND(ISNUMBER(E288),ISNUMBER(E157)),IFERROR(E288/E157,""),"")</f>
        <v>-0.37907972629257</v>
      </c>
      <c r="F290" s="43" t="n">
        <f aca="false">IF(AND(ISNUMBER(F288),ISNUMBER(F157)),IFERROR(F288/F157,""),"")</f>
        <v>-0.0297747787512966</v>
      </c>
      <c r="G290" s="43" t="n">
        <f aca="false">IF(AND(ISNUMBER(G288),ISNUMBER(G157)),IFERROR(G288/G157,""),"")</f>
        <v>0.0131968981953568</v>
      </c>
      <c r="H290" s="43" t="n">
        <f aca="false">IF(AND(ISNUMBER(H288),ISNUMBER(H157)),IFERROR(H288/H157,""),"")</f>
        <v>0.354032082639862</v>
      </c>
      <c r="I290" s="43" t="n">
        <f aca="false">IF(AND(ISNUMBER(I288),ISNUMBER(I157)),IFERROR(I288/I157,""),"")</f>
        <v>-0.000761059140637387</v>
      </c>
      <c r="J290" s="43" t="n">
        <f aca="false">IF(AND(ISNUMBER(J288),ISNUMBER(J157)),IFERROR(J288/J157,""),"")</f>
        <v>-0.0486011338774196</v>
      </c>
      <c r="K290" s="43" t="n">
        <f aca="false">IF(AND(ISNUMBER(K288),ISNUMBER(K157)),IFERROR(K288/K157,""),"")</f>
        <v>0.165139233063127</v>
      </c>
      <c r="L290" s="43" t="n">
        <f aca="false">IF(AND(ISNUMBER(L288),ISNUMBER(L157)),IFERROR(L288/L157,""),"")</f>
        <v>0.401128227985626</v>
      </c>
      <c r="M290" s="43" t="n">
        <f aca="false">IF(AND(ISNUMBER(M288),ISNUMBER(M157)),IFERROR(M288/M157,""),"")</f>
        <v>0.206529683627431</v>
      </c>
      <c r="N290" s="43" t="n">
        <f aca="false">IF(AND(ISNUMBER(N288),ISNUMBER(N157)),IFERROR(N288/N157,""),"")</f>
        <v>0.184969011585068</v>
      </c>
      <c r="O290" s="43" t="n">
        <f aca="false">IF(AND(ISNUMBER(O288),ISNUMBER(O157)),IFERROR(O288/O157,""),"")</f>
        <v>-0.0777000542724477</v>
      </c>
      <c r="P290" s="43" t="n">
        <f aca="false">IF(AND(ISNUMBER(P288),ISNUMBER(P157)),IFERROR(P288/P157,""),"")</f>
        <v>0.180201897699201</v>
      </c>
      <c r="Q290" s="43" t="n">
        <f aca="false">IF(AND(ISNUMBER(Q288),ISNUMBER(Q157)),IFERROR(Q288/Q157,""),"")</f>
        <v>0.0160999196321524</v>
      </c>
      <c r="R290" s="43" t="n">
        <f aca="false">IF(AND(ISNUMBER(R288),ISNUMBER(R157)),IFERROR(R288/R157,""),"")</f>
        <v>0.339085326598326</v>
      </c>
      <c r="S290" s="43" t="n">
        <f aca="false">IF(AND(ISNUMBER(S288),ISNUMBER(S157)),IFERROR(S288/S157,""),"")</f>
        <v>0.120739881321292</v>
      </c>
      <c r="T290" s="43" t="n">
        <f aca="false">IF(AND(ISNUMBER(T288),ISNUMBER(T157)),IFERROR(T288/T157,""),"")</f>
        <v>-0.159886415912981</v>
      </c>
      <c r="U290" s="43" t="n">
        <f aca="false">IF(AND(ISNUMBER(U288),ISNUMBER(U157)),IFERROR(U288/U157,""),"")</f>
        <v>0.253027357802596</v>
      </c>
      <c r="V290" s="43" t="n">
        <f aca="false">IF(AND(ISNUMBER(V288),ISNUMBER(V157)),IFERROR(V288/V157,""),"")</f>
        <v>0.143187237695536</v>
      </c>
      <c r="W290" s="43" t="n">
        <f aca="false">IF(AND(ISNUMBER(W288),ISNUMBER(W157)),IFERROR(W288/W157,""),"")</f>
        <v>0.0696311416336153</v>
      </c>
      <c r="X290" s="43" t="n">
        <f aca="false">IF(AND(ISNUMBER(X288),ISNUMBER(X157)),IFERROR(X288/X157,""),"")</f>
        <v>0.0742259758327418</v>
      </c>
      <c r="Y290" s="43" t="n">
        <f aca="false">IF(AND(ISNUMBER(Y288),ISNUMBER(Y157)),IFERROR(Y288/Y157,""),"")</f>
        <v>-0.0792173356096559</v>
      </c>
      <c r="Z290" s="43" t="n">
        <f aca="false">IF(AND(ISNUMBER(Z288),ISNUMBER(Z157)),IFERROR(Z288/Z157,""),"")</f>
        <v>0.0446298992301576</v>
      </c>
      <c r="AA290" s="43" t="n">
        <f aca="false">IF(AND(ISNUMBER(AA288),ISNUMBER(AA157)),IFERROR(AA288/AA157,""),"")</f>
        <v>-0.122862843619494</v>
      </c>
      <c r="AB290" s="43" t="n">
        <f aca="false">IF(AND(ISNUMBER(AB288),ISNUMBER(AB157)),IFERROR(AB288/AB157,""),"")</f>
        <v>0.269626651157536</v>
      </c>
      <c r="AC290" s="43" t="n">
        <f aca="false">IF(AND(ISNUMBER(AC288),ISNUMBER(AC157)),IFERROR(AC288/AC157,""),"")</f>
        <v>0.0333087207044434</v>
      </c>
      <c r="AD290" s="43" t="n">
        <f aca="false">IF(AND(ISNUMBER(AD288),ISNUMBER(AD157)),IFERROR(AD288/AD157,""),"")</f>
        <v>-0.14945708289511</v>
      </c>
      <c r="AE290" s="43" t="n">
        <f aca="false">IF(AND(ISNUMBER(AE288),ISNUMBER(AE157)),IFERROR(AE288/AE157,""),"")</f>
        <v>0.0713174642585059</v>
      </c>
      <c r="AF290" s="43" t="n">
        <f aca="false">IF(AND(ISNUMBER(AF288),ISNUMBER(AF157)),IFERROR(AF288/AF157,""),"")</f>
        <v>-0.00591501976284584</v>
      </c>
      <c r="AG290" s="43" t="n">
        <f aca="false">IF(AND(ISNUMBER(AG288),ISNUMBER(AG157)),IFERROR(AG288/AG157,""),"")</f>
        <v>0.257108940915938</v>
      </c>
      <c r="AH290" s="43" t="n">
        <f aca="false">IF(AND(ISNUMBER(AH288),ISNUMBER(AH157)),IFERROR(AH288/AH157,""),"")</f>
        <v>0.051318261456948</v>
      </c>
      <c r="AI290" s="43" t="n">
        <f aca="false">IF(AND(ISNUMBER(AI288),ISNUMBER(AI157)),IFERROR(AI288/AI157,""),"")</f>
        <v>-0.131342584395656</v>
      </c>
      <c r="AJ290" s="43" t="n">
        <f aca="false">IF(AND(ISNUMBER(AJ288),ISNUMBER(AJ157)),IFERROR(AJ288/AJ157,""),"")</f>
        <v>0.220740505827321</v>
      </c>
      <c r="AK290" s="43" t="n">
        <f aca="false">IF(AND(ISNUMBER(AK288),ISNUMBER(AK157)),IFERROR(AK288/AK157,""),"")</f>
        <v>-0.138553660666541</v>
      </c>
      <c r="AL290" s="43" t="n">
        <f aca="false">IF(AND(ISNUMBER(AL288),ISNUMBER(AL157)),IFERROR(AL288/AL157,""),"")</f>
        <v>-0.0479556840423049</v>
      </c>
      <c r="AM290" s="43" t="n">
        <f aca="false">IF(AND(ISNUMBER(AM288),ISNUMBER(AM157)),IFERROR(AM288/AM157,""),"")</f>
        <v>-0.0275886783994093</v>
      </c>
      <c r="AN290" s="43" t="n">
        <f aca="false">IF(AND(ISNUMBER(AN288),ISNUMBER(AN157)),IFERROR(AN288/AN157,""),"")</f>
        <v>-0.00665943555699421</v>
      </c>
      <c r="AO290" s="43" t="n">
        <f aca="false">IF(AND(ISNUMBER(AO288),ISNUMBER(AO157)),IFERROR(AO288/AO157,""),"")</f>
        <v>-0.0164898366458853</v>
      </c>
      <c r="AP290" s="43" t="n">
        <f aca="false">IF(AND(ISNUMBER(AP288),ISNUMBER(AP157)),IFERROR(AP288/AP157,""),"")</f>
        <v>0.00154192574294151</v>
      </c>
      <c r="AQ290" s="43" t="n">
        <f aca="false">IF(AND(ISNUMBER(AQ288),ISNUMBER(AQ157)),IFERROR(AQ288/AQ157,""),"")</f>
        <v>0.145364246800963</v>
      </c>
      <c r="AR290" s="43" t="n">
        <f aca="false">IF(AND(ISNUMBER(AR288),ISNUMBER(AR157)),IFERROR(AR288/AR157,""),"")</f>
        <v>0.0352972636546561</v>
      </c>
      <c r="AS290" s="43" t="n">
        <f aca="false">IF(AND(ISNUMBER(AS288),ISNUMBER(AS157)),IFERROR(AS288/AS157,""),"")</f>
        <v>-0.108895537911361</v>
      </c>
      <c r="AT290" s="43" t="n">
        <f aca="false">IF(AND(ISNUMBER(AT288),ISNUMBER(AT157)),IFERROR(AT288/AT157,""),"")</f>
        <v>0.0629492897973324</v>
      </c>
      <c r="AU290" s="43" t="n">
        <f aca="false">IF(AND(ISNUMBER(AU288),ISNUMBER(AU157)),IFERROR(AU288/AU157,""),"")</f>
        <v>0.0484083779030801</v>
      </c>
      <c r="AV290" s="43" t="n">
        <f aca="false">IF(AND(ISNUMBER(AV288),ISNUMBER(AV157)),IFERROR(AV288/AV157,""),"")</f>
        <v>0.0704095152496808</v>
      </c>
      <c r="AW290" s="43" t="n">
        <f aca="false">IF(AND(ISNUMBER(AW288),ISNUMBER(AW157)),IFERROR(AW288/AW157,""),"")</f>
        <v>0.0207771827193602</v>
      </c>
      <c r="AX290" s="43" t="n">
        <f aca="false">IF(AND(ISNUMBER(AX288),ISNUMBER(AX157)),IFERROR(AX288/AX157,""),"")</f>
        <v>-0.0753114223379548</v>
      </c>
      <c r="AY290" s="43" t="n">
        <f aca="false">IF(AND(ISNUMBER(AY288),ISNUMBER(AY157)),IFERROR(AY288/AY157,""),"")</f>
        <v>0.0666361877393072</v>
      </c>
      <c r="AZ290" s="43" t="n">
        <f aca="false">IF(AND(ISNUMBER(AZ288),ISNUMBER(AZ157)),IFERROR(AZ288/AZ157,""),"")</f>
        <v>0.0736149318038133</v>
      </c>
      <c r="BA290" s="43" t="n">
        <f aca="false">IF(AND(ISNUMBER(BA288),ISNUMBER(BA157)),IFERROR(BA288/BA157,""),"")</f>
        <v>0.235661564543807</v>
      </c>
      <c r="BB290" s="43" t="n">
        <f aca="false">IF(AND(ISNUMBER(BB288),ISNUMBER(BB157)),IFERROR(BB288/BB157,""),"")</f>
        <v>0.0850916292814712</v>
      </c>
      <c r="BC290" s="43" t="n">
        <f aca="false">IF(AND(ISNUMBER(BC288),ISNUMBER(BC157)),IFERROR(BC288/BC157,""),"")</f>
        <v>0.00431150097853191</v>
      </c>
      <c r="BD290" s="43" t="n">
        <f aca="false">IF(AND(ISNUMBER(BD288),ISNUMBER(BD157)),IFERROR(BD288/BD157,""),"")</f>
        <v>0.0520775094832457</v>
      </c>
      <c r="BE290" s="43" t="n">
        <f aca="false">IF(AND(ISNUMBER(BE288),ISNUMBER(BE157)),IFERROR(BE288/BE157,""),"")</f>
        <v>-0.0114189024281352</v>
      </c>
      <c r="BF290" s="43" t="n">
        <f aca="false">IF(AND(ISNUMBER(BF288),ISNUMBER(BF157)),IFERROR(BF288/BF157,""),"")</f>
        <v>0.300644407430584</v>
      </c>
      <c r="BG290" s="43" t="n">
        <f aca="false">IF(AND(ISNUMBER(BG288),ISNUMBER(BG157)),IFERROR(BG288/BG157,""),"")</f>
        <v>0.0942358008828053</v>
      </c>
      <c r="BH290" s="43" t="n">
        <f aca="false">IF(AND(ISNUMBER(BH288),ISNUMBER(BH157)),IFERROR(BH288/BH157,""),"")</f>
        <v>0.0253291276906977</v>
      </c>
      <c r="BI290" s="43" t="n">
        <f aca="false">IF(AND(ISNUMBER(BI288),ISNUMBER(BI157)),IFERROR(BI288/BI157,""),"")</f>
        <v>0.165324021417755</v>
      </c>
      <c r="BJ290" s="43" t="n">
        <f aca="false">IF(AND(ISNUMBER(BJ288),ISNUMBER(BJ157)),IFERROR(BJ288/BJ157,""),"")</f>
        <v>0.109540036431386</v>
      </c>
      <c r="BK290" s="43" t="n">
        <f aca="false">IF(AND(ISNUMBER(BK288),ISNUMBER(BK157)),IFERROR(BK288/BK157,""),"")</f>
        <v>0.0641231732069602</v>
      </c>
      <c r="BL290" s="43" t="n">
        <f aca="false">IF(AND(ISNUMBER(BL288),ISNUMBER(BL157)),IFERROR(BL288/BL157,""),"")</f>
        <v>0.0923238781587813</v>
      </c>
      <c r="BM290" s="43" t="n">
        <f aca="false">IF(AND(ISNUMBER(BM288),ISNUMBER(BM157)),IFERROR(BM288/BM157,""),"")</f>
        <v>0.0582341432452509</v>
      </c>
      <c r="BN290" s="43" t="n">
        <f aca="false">IF(AND(ISNUMBER(BN288),ISNUMBER(BN157)),IFERROR(BN288/BN157,""),"")</f>
        <v>0.127516428670456</v>
      </c>
      <c r="BO290" s="36"/>
      <c r="BP290" s="36"/>
      <c r="BQ290" s="35" t="n">
        <f aca="false">IF(AND(ISNUMBER(BQ288),ISNUMBER(BQ157)),IFERROR(BQ288/BQ157,""),"")</f>
        <v>0.0969041460591764</v>
      </c>
      <c r="BR290" s="35" t="n">
        <f aca="false">IF(AND(ISNUMBER(BR288),ISNUMBER(BR157)),IFERROR(BR288/BR157,""),"")</f>
        <v>0.0366687966998178</v>
      </c>
      <c r="BS290" s="35" t="n">
        <f aca="false">IF(AND(ISNUMBER(BS288),ISNUMBER(BS157)),IFERROR(BS288/BS157,""),"")</f>
        <v>0.0984898984484109</v>
      </c>
      <c r="BT290" s="35" t="n">
        <f aca="false">IF(AND(ISNUMBER(BT288),ISNUMBER(BT157)),IFERROR(BT288/BT157,""),"")</f>
        <v>0.104602536274478</v>
      </c>
      <c r="BU290" s="35" t="n">
        <f aca="false">IF(AND(ISNUMBER(BU288),ISNUMBER(BU157)),IFERROR(BU288/BU157,""),"")</f>
        <v>0.104145832164011</v>
      </c>
      <c r="BV290" s="15"/>
      <c r="BX290" s="38" t="n">
        <f aca="false">IFERROR(AVERAGE(BQ290,BR290,BS290,BT290,BU290),"n/m")</f>
        <v>0.0881622419291789</v>
      </c>
      <c r="BY290" s="38" t="n">
        <f aca="false">IFERROR(AVERAGE(AR290,AW290,BB290,BG290,BL290),"n/m")</f>
        <v>0.0655451509394148</v>
      </c>
      <c r="BZ290" s="38" t="n">
        <f aca="false">IFERROR(AVERAGE(S290,X290,AC290,AH290,AM290,AR290,AW290,BB290,BG290,BL290),"n/m")</f>
        <v>0.057972991561309</v>
      </c>
      <c r="CA290" s="38" t="n">
        <f aca="false">IFERROR(AVERAGE(D290,I290,N290,S290,X290,AC290,AH290,AM290,AR290,AW290,BB290,BG290,BL290),"n/m")</f>
        <v>0.0636614890047934</v>
      </c>
    </row>
    <row r="291" customFormat="false" ht="15" hidden="false" customHeight="false" outlineLevel="0" collapsed="false">
      <c r="B291" s="13" t="s">
        <v>470</v>
      </c>
      <c r="C291" s="43" t="str">
        <f aca="false">IF(AND(ISNUMBER(C288),ISNUMBER(C234)),IFERROR(C288/C234,""),"")</f>
        <v/>
      </c>
      <c r="D291" s="43" t="str">
        <f aca="false">IF(AND(ISNUMBER(D288),ISNUMBER(D234)),IFERROR(D288/D234,""),"")</f>
        <v/>
      </c>
      <c r="E291" s="19"/>
      <c r="F291" s="19"/>
      <c r="G291" s="19"/>
      <c r="H291" s="19"/>
      <c r="I291" s="43" t="n">
        <f aca="false">IF(AND(ISNUMBER(I288),ISNUMBER(I234)),IFERROR(I288/I234,""),"")</f>
        <v>-0.00768991520280354</v>
      </c>
      <c r="J291" s="19"/>
      <c r="K291" s="19"/>
      <c r="L291" s="19"/>
      <c r="M291" s="19"/>
      <c r="N291" s="43" t="n">
        <f aca="false">IF(AND(ISNUMBER(N288),ISNUMBER(N234)),IFERROR(N288/N234,""),"")</f>
        <v>1.71390107840746</v>
      </c>
      <c r="O291" s="19"/>
      <c r="P291" s="19"/>
      <c r="Q291" s="19"/>
      <c r="R291" s="19"/>
      <c r="S291" s="43" t="n">
        <f aca="false">IF(AND(ISNUMBER(S288),ISNUMBER(S234)),IFERROR(S288/S234,""),"")</f>
        <v>1.02438376544772</v>
      </c>
      <c r="T291" s="19"/>
      <c r="U291" s="19"/>
      <c r="V291" s="19"/>
      <c r="W291" s="19"/>
      <c r="X291" s="43" t="n">
        <f aca="false">IF(AND(ISNUMBER(X288),ISNUMBER(X234)),IFERROR(X288/X234,""),"")</f>
        <v>0.608844827822509</v>
      </c>
      <c r="Y291" s="19"/>
      <c r="Z291" s="19"/>
      <c r="AA291" s="19"/>
      <c r="AB291" s="19"/>
      <c r="AC291" s="43" t="n">
        <f aca="false">IF(AND(ISNUMBER(AC288),ISNUMBER(AC234)),IFERROR(AC288/AC234,""),"")</f>
        <v>0.250797286002892</v>
      </c>
      <c r="AD291" s="19"/>
      <c r="AE291" s="19"/>
      <c r="AF291" s="19"/>
      <c r="AG291" s="19"/>
      <c r="AH291" s="43" t="n">
        <f aca="false">IF(AND(ISNUMBER(AH288),ISNUMBER(AH234)),IFERROR(AH288/AH234,""),"")</f>
        <v>0.387390009804261</v>
      </c>
      <c r="AI291" s="19"/>
      <c r="AJ291" s="19"/>
      <c r="AK291" s="19"/>
      <c r="AL291" s="19"/>
      <c r="AM291" s="43" t="n">
        <f aca="false">IF(AND(ISNUMBER(AM288),ISNUMBER(AM234)),IFERROR(AM288/AM234,""),"")</f>
        <v>-0.20198151502823</v>
      </c>
      <c r="AN291" s="19"/>
      <c r="AO291" s="19"/>
      <c r="AP291" s="19"/>
      <c r="AQ291" s="19"/>
      <c r="AR291" s="43" t="n">
        <f aca="false">IF(AND(ISNUMBER(AR288),ISNUMBER(AR234)),IFERROR(AR288/AR234,""),"")</f>
        <v>0.259222618977284</v>
      </c>
      <c r="AS291" s="19"/>
      <c r="AT291" s="19"/>
      <c r="AU291" s="19"/>
      <c r="AV291" s="19"/>
      <c r="AW291" s="43" t="n">
        <f aca="false">IF(AND(ISNUMBER(AW288),ISNUMBER(AW234)),IFERROR(AW288/AW234,""),"")</f>
        <v>0.161629071085794</v>
      </c>
      <c r="AX291" s="19"/>
      <c r="AY291" s="19"/>
      <c r="AZ291" s="19"/>
      <c r="BA291" s="19"/>
      <c r="BB291" s="43" t="n">
        <f aca="false">IF(AND(ISNUMBER(BB288),ISNUMBER(BB234)),IFERROR(BB288/BB234,""),"")</f>
        <v>0.765567080258742</v>
      </c>
      <c r="BC291" s="19"/>
      <c r="BD291" s="19"/>
      <c r="BE291" s="19"/>
      <c r="BF291" s="19"/>
      <c r="BG291" s="43" t="n">
        <f aca="false">IF(AND(ISNUMBER(BG288),ISNUMBER(BG234)),IFERROR(BG288/BG234,""),"")</f>
        <v>0.832909434831714</v>
      </c>
      <c r="BH291" s="19"/>
      <c r="BI291" s="19"/>
      <c r="BJ291" s="19"/>
      <c r="BK291" s="19"/>
      <c r="BL291" s="43" t="n">
        <f aca="false">IF(AND(ISNUMBER(BL288),ISNUMBER(BL234)),IFERROR(BL288/BL234,""),"")</f>
        <v>0.801674940848541</v>
      </c>
      <c r="BM291" s="19"/>
      <c r="BN291" s="19"/>
      <c r="BO291" s="36"/>
      <c r="BP291" s="36"/>
      <c r="BQ291" s="35" t="n">
        <f aca="false">IF(AND(ISNUMBER(BQ288),ISNUMBER(BQ234)),IFERROR(BQ288/BQ234,""),"")</f>
        <v>0.844562222537613</v>
      </c>
      <c r="BR291" s="35" t="n">
        <f aca="false">IF(AND(ISNUMBER(BR288),ISNUMBER(BR234)),IFERROR(BR288/BR234,""),"")</f>
        <v>0.317237712291144</v>
      </c>
      <c r="BS291" s="35" t="n">
        <f aca="false">IF(AND(ISNUMBER(BS288),ISNUMBER(BS234)),IFERROR(BS288/BS234,""),"")</f>
        <v>0.834646359881969</v>
      </c>
      <c r="BT291" s="35" t="n">
        <f aca="false">IF(AND(ISNUMBER(BT288),ISNUMBER(BT234)),IFERROR(BT288/BT234,""),"")</f>
        <v>0.885209591521523</v>
      </c>
      <c r="BU291" s="35" t="n">
        <f aca="false">IF(AND(ISNUMBER(BU288),ISNUMBER(BU234)),IFERROR(BU288/BU234,""),"")</f>
        <v>0.886477730469037</v>
      </c>
      <c r="BV291" s="15"/>
      <c r="BX291" s="38" t="n">
        <f aca="false">IFERROR(AVERAGE(BQ291,BR291,BS291,BT291,BU291),"n/m")</f>
        <v>0.753626723340257</v>
      </c>
      <c r="BY291" s="38" t="n">
        <f aca="false">IFERROR(AVERAGE(AR291,AW291,BB291,BG291,BL291),"n/m")</f>
        <v>0.564200629200415</v>
      </c>
      <c r="BZ291" s="38" t="n">
        <f aca="false">IFERROR(AVERAGE(S291,X291,AC291,AH291,AM291,AR291,AW291,BB291,BG291,BL291),"n/m")</f>
        <v>0.489043752005123</v>
      </c>
      <c r="CA291" s="38" t="n">
        <f aca="false">IFERROR(AVERAGE(D291,I291,N291,S291,X291,AC291,AH291,AM291,AR291,AW291,BB291,BG291,BL291),"n/m")</f>
        <v>0.549720723604657</v>
      </c>
    </row>
    <row r="292" customFormat="false" ht="15" hidden="false" customHeight="false" outlineLevel="0" collapsed="false">
      <c r="B292" s="13" t="s">
        <v>471</v>
      </c>
      <c r="C292" s="65" t="str">
        <f aca="false">IF(AND(ISNUMBER(C288),ISNUMBER(C185)),IFERROR(C288/C185,""),"")</f>
        <v/>
      </c>
      <c r="D292" s="65" t="str">
        <f aca="false">IF(AND(ISNUMBER(D288),ISNUMBER(D185)),IFERROR(D288/D185,""),"")</f>
        <v/>
      </c>
      <c r="E292" s="19"/>
      <c r="F292" s="19"/>
      <c r="G292" s="19"/>
      <c r="H292" s="19"/>
      <c r="I292" s="65" t="n">
        <f aca="false">IF(AND(ISNUMBER(I288),ISNUMBER(I185)),IFERROR(I288/I185,""),"")</f>
        <v>-0.0101506880677007</v>
      </c>
      <c r="J292" s="19"/>
      <c r="K292" s="19"/>
      <c r="L292" s="19"/>
      <c r="M292" s="19"/>
      <c r="N292" s="65" t="n">
        <f aca="false">IF(AND(ISNUMBER(N288),ISNUMBER(N185)),IFERROR(N288/N185,""),"")</f>
        <v>2.43373953133859</v>
      </c>
      <c r="O292" s="19"/>
      <c r="P292" s="19"/>
      <c r="Q292" s="19"/>
      <c r="R292" s="19"/>
      <c r="S292" s="65" t="n">
        <f aca="false">IF(AND(ISNUMBER(S288),ISNUMBER(S185)),IFERROR(S288/S185,""),"")</f>
        <v>1.80291542718799</v>
      </c>
      <c r="T292" s="19"/>
      <c r="U292" s="19"/>
      <c r="V292" s="19"/>
      <c r="W292" s="19"/>
      <c r="X292" s="65" t="n">
        <f aca="false">IF(AND(ISNUMBER(X288),ISNUMBER(X185)),IFERROR(X288/X185,""),"")</f>
        <v>1.24813189703614</v>
      </c>
      <c r="Y292" s="19"/>
      <c r="Z292" s="19"/>
      <c r="AA292" s="19"/>
      <c r="AB292" s="19"/>
      <c r="AC292" s="65" t="n">
        <f aca="false">IF(AND(ISNUMBER(AC288),ISNUMBER(AC185)),IFERROR(AC288/AC185,""),"")</f>
        <v>0.599405513546913</v>
      </c>
      <c r="AD292" s="19"/>
      <c r="AE292" s="19"/>
      <c r="AF292" s="19"/>
      <c r="AG292" s="19"/>
      <c r="AH292" s="65" t="n">
        <f aca="false">IF(AND(ISNUMBER(AH288),ISNUMBER(AH185)),IFERROR(AH288/AH185,""),"")</f>
        <v>1.01496182568716</v>
      </c>
      <c r="AI292" s="19"/>
      <c r="AJ292" s="19"/>
      <c r="AK292" s="19"/>
      <c r="AL292" s="19"/>
      <c r="AM292" s="65" t="n">
        <f aca="false">IF(AND(ISNUMBER(AM288),ISNUMBER(AM185)),IFERROR(AM288/AM185,""),"")</f>
        <v>-0.612003990535536</v>
      </c>
      <c r="AN292" s="19"/>
      <c r="AO292" s="19"/>
      <c r="AP292" s="19"/>
      <c r="AQ292" s="19"/>
      <c r="AR292" s="65" t="n">
        <f aca="false">IF(AND(ISNUMBER(AR288),ISNUMBER(AR185)),IFERROR(AR288/AR185,""),"")</f>
        <v>0.793221214070488</v>
      </c>
      <c r="AS292" s="19"/>
      <c r="AT292" s="19"/>
      <c r="AU292" s="19"/>
      <c r="AV292" s="19"/>
      <c r="AW292" s="65" t="n">
        <f aca="false">IF(AND(ISNUMBER(AW288),ISNUMBER(AW185)),IFERROR(AW288/AW185,""),"")</f>
        <v>0.505898992498536</v>
      </c>
      <c r="AX292" s="19"/>
      <c r="AY292" s="19"/>
      <c r="AZ292" s="19"/>
      <c r="BA292" s="19"/>
      <c r="BB292" s="65" t="n">
        <f aca="false">IF(AND(ISNUMBER(BB288),ISNUMBER(BB185)),IFERROR(BB288/BB185,""),"")</f>
        <v>2.3120125823814</v>
      </c>
      <c r="BC292" s="19"/>
      <c r="BD292" s="19"/>
      <c r="BE292" s="19"/>
      <c r="BF292" s="19"/>
      <c r="BG292" s="65" t="n">
        <f aca="false">IF(AND(ISNUMBER(BG288),ISNUMBER(BG185)),IFERROR(BG288/BG185,""),"")</f>
        <v>2.77358841798961</v>
      </c>
      <c r="BH292" s="19"/>
      <c r="BI292" s="19"/>
      <c r="BJ292" s="19"/>
      <c r="BK292" s="19"/>
      <c r="BL292" s="65" t="n">
        <f aca="false">IF(AND(ISNUMBER(BL288),ISNUMBER(BL185)),IFERROR(BL288/BL185,""),"")</f>
        <v>3.21471651280265</v>
      </c>
      <c r="BM292" s="19"/>
      <c r="BN292" s="19"/>
      <c r="BO292" s="36"/>
      <c r="BP292" s="36"/>
      <c r="BQ292" s="63" t="n">
        <f aca="false">IF(AND(ISNUMBER(BQ288),ISNUMBER(BQ185)),IFERROR(BQ288/BQ185,""),"")</f>
        <v>4.00277465816662</v>
      </c>
      <c r="BR292" s="63" t="n">
        <f aca="false">IF(AND(ISNUMBER(BR288),ISNUMBER(BR185)),IFERROR(BR288/BR185,""),"")</f>
        <v>1.67430639745188</v>
      </c>
      <c r="BS292" s="63" t="n">
        <f aca="false">IF(AND(ISNUMBER(BS288),ISNUMBER(BS185)),IFERROR(BS288/BS185,""),"")</f>
        <v>5.03441358360368</v>
      </c>
      <c r="BT292" s="63" t="n">
        <f aca="false">IF(AND(ISNUMBER(BT288),ISNUMBER(BT185)),IFERROR(BT288/BT185,""),"")</f>
        <v>6.03483220495879</v>
      </c>
      <c r="BU292" s="63" t="n">
        <f aca="false">IF(AND(ISNUMBER(BU288),ISNUMBER(BU185)),IFERROR(BU288/BU185,""),"")</f>
        <v>6.772043969688</v>
      </c>
      <c r="BV292" s="15"/>
      <c r="BX292" s="25" t="n">
        <f aca="false">IFERROR((BU292/BL292)^(1/5)-1,"n/m")</f>
        <v>0.160687794786907</v>
      </c>
      <c r="BY292" s="25" t="n">
        <f aca="false">IFERROR((BL292/AM292)^(1/5)-1,"n/m")</f>
        <v>-2.39340602934357</v>
      </c>
      <c r="BZ292" s="25" t="n">
        <f aca="false">IFERROR((BL292/N292)^(1/10)-1,"n/m")</f>
        <v>0.0282219209173509</v>
      </c>
      <c r="CA292" s="25" t="str">
        <f aca="false">IFERROR((BL292/D292)^(1/12)-1,"n/m")</f>
        <v>n/m</v>
      </c>
    </row>
    <row r="293" customFormat="false" ht="15" hidden="false" customHeight="false" outlineLevel="0" collapsed="false">
      <c r="B293" s="13" t="s">
        <v>472</v>
      </c>
      <c r="BO293" s="14"/>
      <c r="BP293" s="14"/>
      <c r="BQ293" s="14"/>
      <c r="BR293" s="14"/>
      <c r="BS293" s="14"/>
      <c r="BT293" s="14"/>
      <c r="BU293" s="14"/>
      <c r="BV293" s="15"/>
    </row>
    <row r="294" customFormat="false" ht="15" hidden="false" customHeight="false" outlineLevel="0" collapsed="false">
      <c r="B294" s="13" t="s">
        <v>473</v>
      </c>
      <c r="C294" s="19"/>
      <c r="D294" s="19"/>
      <c r="E294" s="43" t="n">
        <f aca="false">IF(ISNUMBER(E269),-E269/E157,"")</f>
        <v>0.0596878024624665</v>
      </c>
      <c r="F294" s="43" t="n">
        <f aca="false">IF(ISNUMBER(F269),-F269/F157,"")</f>
        <v>0.045816689104191</v>
      </c>
      <c r="G294" s="43" t="n">
        <f aca="false">IF(ISNUMBER(G269),-G269/G157,"")</f>
        <v>0.0535197657046646</v>
      </c>
      <c r="H294" s="43" t="n">
        <f aca="false">IF(ISNUMBER(H269),-H269/H157,"")</f>
        <v>0.0509720402474744</v>
      </c>
      <c r="I294" s="43" t="n">
        <f aca="false">IF(ISNUMBER(I269),-I269/I157,"")</f>
        <v>0.0524117440249274</v>
      </c>
      <c r="J294" s="43" t="n">
        <f aca="false">IF(ISNUMBER(J269),-J269/J157,"")</f>
        <v>0.0636360384636021</v>
      </c>
      <c r="K294" s="43" t="n">
        <f aca="false">IF(ISNUMBER(K269),-K269/K157,"")</f>
        <v>0.0539067859492909</v>
      </c>
      <c r="L294" s="43" t="n">
        <f aca="false">IF(ISNUMBER(L269),-L269/L157,"")</f>
        <v>0.0322923921219043</v>
      </c>
      <c r="M294" s="43" t="n">
        <f aca="false">IF(ISNUMBER(M269),-M269/M157,"")</f>
        <v>0.0443537085987174</v>
      </c>
      <c r="N294" s="43" t="n">
        <f aca="false">IF(ISNUMBER(N269),-N269/N157,"")</f>
        <v>0.0482752384444261</v>
      </c>
      <c r="O294" s="43" t="n">
        <f aca="false">IF(ISNUMBER(O269),-O269/O157,"")</f>
        <v>0.0276350917971855</v>
      </c>
      <c r="P294" s="43" t="n">
        <f aca="false">IF(ISNUMBER(P269),-P269/P157,"")</f>
        <v>0.0208682296921831</v>
      </c>
      <c r="Q294" s="43" t="n">
        <f aca="false">IF(ISNUMBER(Q269),-Q269/Q157,"")</f>
        <v>0.0326372511561113</v>
      </c>
      <c r="R294" s="43" t="n">
        <f aca="false">IF(ISNUMBER(R269),-R269/R157,"")</f>
        <v>0.0539023423958798</v>
      </c>
      <c r="S294" s="43" t="n">
        <f aca="false">IF(ISNUMBER(S269),-S269/S157,"")</f>
        <v>0.033944870702637</v>
      </c>
      <c r="T294" s="43" t="n">
        <f aca="false">IF(ISNUMBER(T269),-T269/T157,"")</f>
        <v>0.032022586046251</v>
      </c>
      <c r="U294" s="43" t="n">
        <f aca="false">IF(ISNUMBER(U269),-U269/U157,"")</f>
        <v>0.0366673089258581</v>
      </c>
      <c r="V294" s="43" t="n">
        <f aca="false">IF(ISNUMBER(V269),-V269/V157,"")</f>
        <v>0.0491558565433041</v>
      </c>
      <c r="W294" s="43" t="n">
        <f aca="false">IF(ISNUMBER(W269),-W269/W157,"")</f>
        <v>0.110473847927874</v>
      </c>
      <c r="X294" s="43" t="n">
        <f aca="false">IF(ISNUMBER(X269),-X269/X157,"")</f>
        <v>0.0574022745236524</v>
      </c>
      <c r="Y294" s="43" t="n">
        <f aca="false">IF(ISNUMBER(Y269),-Y269/Y157,"")</f>
        <v>0.0385473797880922</v>
      </c>
      <c r="Z294" s="43" t="n">
        <f aca="false">IF(ISNUMBER(Z269),-Z269/Z157,"")</f>
        <v>0.0371957596013861</v>
      </c>
      <c r="AA294" s="43" t="n">
        <f aca="false">IF(ISNUMBER(AA269),-AA269/AA157,"")</f>
        <v>0.0623444502675632</v>
      </c>
      <c r="AB294" s="43" t="n">
        <f aca="false">IF(ISNUMBER(AB269),-AB269/AB157,"")</f>
        <v>0.102197080322512</v>
      </c>
      <c r="AC294" s="43" t="n">
        <f aca="false">IF(ISNUMBER(AC269),-AC269/AC157,"")</f>
        <v>0.0607470794032299</v>
      </c>
      <c r="AD294" s="43" t="n">
        <f aca="false">IF(ISNUMBER(AD269),-AD269/AD157,"")</f>
        <v>0.106900161842604</v>
      </c>
      <c r="AE294" s="43" t="n">
        <f aca="false">IF(ISNUMBER(AE269),-AE269/AE157,"")</f>
        <v>0.0661713681824837</v>
      </c>
      <c r="AF294" s="43" t="n">
        <f aca="false">IF(ISNUMBER(AF269),-AF269/AF157,"")</f>
        <v>0.0927430830039526</v>
      </c>
      <c r="AG294" s="43" t="n">
        <f aca="false">IF(ISNUMBER(AG269),-AG269/AG157,"")</f>
        <v>0.118696818857422</v>
      </c>
      <c r="AH294" s="43" t="n">
        <f aca="false">IF(ISNUMBER(AH269),-AH269/AH157,"")</f>
        <v>0.0961117092014439</v>
      </c>
      <c r="AI294" s="43" t="n">
        <f aca="false">IF(ISNUMBER(AI269),-AI269/AI157,"")</f>
        <v>0.119452313503305</v>
      </c>
      <c r="AJ294" s="43" t="n">
        <f aca="false">IF(ISNUMBER(AJ269),-AJ269/AJ157,"")</f>
        <v>0.10050939506858</v>
      </c>
      <c r="AK294" s="43" t="n">
        <f aca="false">IF(ISNUMBER(AK269),-AK269/AK157,"")</f>
        <v>0.124057952057983</v>
      </c>
      <c r="AL294" s="43" t="n">
        <f aca="false">IF(ISNUMBER(AL269),-AL269/AL157,"")</f>
        <v>0.13477042969241</v>
      </c>
      <c r="AM294" s="43" t="n">
        <f aca="false">IF(ISNUMBER(AM269),-AM269/AM157,"")</f>
        <v>0.120096575679204</v>
      </c>
      <c r="AN294" s="43" t="n">
        <f aca="false">IF(ISNUMBER(AN269),-AN269/AN157,"")</f>
        <v>0.19295326469458</v>
      </c>
      <c r="AO294" s="43" t="n">
        <f aca="false">IF(ISNUMBER(AO269),-AO269/AO157,"")</f>
        <v>0.13509826786432</v>
      </c>
      <c r="AP294" s="43" t="n">
        <f aca="false">IF(ISNUMBER(AP269),-AP269/AP157,"")</f>
        <v>0.133311410852029</v>
      </c>
      <c r="AQ294" s="43" t="n">
        <f aca="false">IF(ISNUMBER(AQ269),-AQ269/AQ157,"")</f>
        <v>0.125674226107521</v>
      </c>
      <c r="AR294" s="43" t="n">
        <f aca="false">IF(ISNUMBER(AR269),-AR269/AR157,"")</f>
        <v>0.146441225682344</v>
      </c>
      <c r="AS294" s="43" t="n">
        <f aca="false">IF(ISNUMBER(AS269),-AS269/AS157,"")</f>
        <v>0.0987511728951008</v>
      </c>
      <c r="AT294" s="43" t="n">
        <f aca="false">IF(ISNUMBER(AT269),-AT269/AT157,"")</f>
        <v>0.076749162769213</v>
      </c>
      <c r="AU294" s="43" t="n">
        <f aca="false">IF(ISNUMBER(AU269),-AU269/AU157,"")</f>
        <v>0.0757001476004896</v>
      </c>
      <c r="AV294" s="43" t="n">
        <f aca="false">IF(ISNUMBER(AV269),-AV269/AV157,"")</f>
        <v>0.102088029517268</v>
      </c>
      <c r="AW294" s="43" t="n">
        <f aca="false">IF(ISNUMBER(AW269),-AW269/AW157,"")</f>
        <v>0.0888162756389414</v>
      </c>
      <c r="AX294" s="43" t="n">
        <f aca="false">IF(ISNUMBER(AX269),-AX269/AX157,"")</f>
        <v>0.0523963684988388</v>
      </c>
      <c r="AY294" s="43" t="n">
        <f aca="false">IF(ISNUMBER(AY269),-AY269/AY157,"")</f>
        <v>0.0649886928622162</v>
      </c>
      <c r="AZ294" s="43" t="n">
        <f aca="false">IF(ISNUMBER(AZ269),-AZ269/AZ157,"")</f>
        <v>0.0524009769673672</v>
      </c>
      <c r="BA294" s="43" t="n">
        <f aca="false">IF(ISNUMBER(BA269),-BA269/BA157,"")</f>
        <v>0.070002687745946</v>
      </c>
      <c r="BB294" s="43" t="n">
        <f aca="false">IF(ISNUMBER(BB269),-BB269/BB157,"")</f>
        <v>0.0606038755618796</v>
      </c>
      <c r="BC294" s="43" t="n">
        <f aca="false">IF(ISNUMBER(BC269),-BC269/BC157,"")</f>
        <v>0.0503703850879023</v>
      </c>
      <c r="BD294" s="43" t="n">
        <f aca="false">IF(ISNUMBER(BD269),-BD269/BD157,"")</f>
        <v>0.0446171116638419</v>
      </c>
      <c r="BE294" s="43" t="n">
        <f aca="false">IF(ISNUMBER(BE269),-BE269/BE157,"")</f>
        <v>0.0599756531677669</v>
      </c>
      <c r="BF294" s="43" t="n">
        <f aca="false">IF(ISNUMBER(BF269),-BF269/BF157,"")</f>
        <v>0.070375616233868</v>
      </c>
      <c r="BG294" s="43" t="n">
        <f aca="false">IF(ISNUMBER(BG269),-BG269/BG157,"")</f>
        <v>0.0568293871922961</v>
      </c>
      <c r="BH294" s="43" t="n">
        <f aca="false">IF(ISNUMBER(BH269),-BH269/BH157,"")</f>
        <v>0.0489096500150969</v>
      </c>
      <c r="BI294" s="43" t="n">
        <f aca="false">IF(ISNUMBER(BI269),-BI269/BI157,"")</f>
        <v>0.0428368185393678</v>
      </c>
      <c r="BJ294" s="43" t="n">
        <f aca="false">IF(ISNUMBER(BJ269),-BJ269/BJ157,"")</f>
        <v>0.055717165000935</v>
      </c>
      <c r="BK294" s="43" t="n">
        <f aca="false">IF(ISNUMBER(BK269),-BK269/BK157,"")</f>
        <v>0.0792376067063878</v>
      </c>
      <c r="BL294" s="43" t="n">
        <f aca="false">IF(ISNUMBER(BL269),-BL269/BL157,"")</f>
        <v>0.0577024629309738</v>
      </c>
      <c r="BM294" s="43" t="n">
        <f aca="false">IF(ISNUMBER(BM269),-BM269/BM157,"")</f>
        <v>0.0494131132028314</v>
      </c>
      <c r="BN294" s="43" t="n">
        <f aca="false">IF(ISNUMBER(BN269),-BN269/BN157,"")</f>
        <v>0.0459514765007625</v>
      </c>
      <c r="BO294" s="36"/>
      <c r="BP294" s="36"/>
      <c r="BQ294" s="48" t="n">
        <v>0.06</v>
      </c>
      <c r="BR294" s="48" t="n">
        <v>0.06</v>
      </c>
      <c r="BS294" s="48" t="n">
        <v>0.055</v>
      </c>
      <c r="BT294" s="48" t="n">
        <v>0.05</v>
      </c>
      <c r="BU294" s="48" t="n">
        <v>0.05</v>
      </c>
      <c r="BV294" s="15" t="s">
        <v>474</v>
      </c>
      <c r="BX294" s="38" t="n">
        <f aca="false">IFERROR(AVERAGE(BQ294,BR294,BS294,BT294,BU294),"n/m")</f>
        <v>0.055</v>
      </c>
      <c r="BY294" s="38" t="n">
        <f aca="false">IFERROR(AVERAGE(AR294,AW294,BB294,BG294,BL294),"n/m")</f>
        <v>0.082078645401287</v>
      </c>
      <c r="BZ294" s="38" t="n">
        <f aca="false">IFERROR(AVERAGE(S294,X294,AC294,AH294,AM294,AR294,AW294,BB294,BG294,BL294),"n/m")</f>
        <v>0.0778695736516602</v>
      </c>
      <c r="CA294" s="38" t="n">
        <f aca="false">IFERROR(AVERAGE(D294,I294,N294,S294,X294,AC294,AH294,AM294,AR294,AW294,BB294,BG294,BL294),"n/m")</f>
        <v>0.0732818932488296</v>
      </c>
    </row>
    <row r="295" customFormat="false" ht="15" hidden="false" customHeight="false" outlineLevel="0" collapsed="false">
      <c r="B295" s="13" t="s">
        <v>475</v>
      </c>
      <c r="C295" s="19"/>
      <c r="D295" s="19"/>
      <c r="E295" s="26" t="n">
        <f aca="false">IF(AND(ISNUMBER(E269),ISNUMBER(E261)),IFERROR(-E269/E261,""),"")</f>
        <v>1.24692881913831</v>
      </c>
      <c r="F295" s="26" t="n">
        <f aca="false">IF(AND(ISNUMBER(F269),ISNUMBER(F261)),IFERROR(-F269/F261,""),"")</f>
        <v>0.920620842572062</v>
      </c>
      <c r="G295" s="26" t="n">
        <f aca="false">IF(AND(ISNUMBER(G269),ISNUMBER(G261)),IFERROR(-G269/G261,""),"")</f>
        <v>0.807938425739473</v>
      </c>
      <c r="H295" s="26" t="n">
        <f aca="false">IF(AND(ISNUMBER(H269),ISNUMBER(H261)),IFERROR(-H269/H261,""),"")</f>
        <v>0.416380842183561</v>
      </c>
      <c r="I295" s="26" t="n">
        <f aca="false">IF(AND(ISNUMBER(I269),ISNUMBER(I261)),IFERROR(-I269/I261,""),"")</f>
        <v>0.718624170589236</v>
      </c>
      <c r="J295" s="26" t="n">
        <f aca="false">IF(AND(ISNUMBER(J269),ISNUMBER(J261)),IFERROR(-J269/J261,""),"")</f>
        <v>0.807359225503914</v>
      </c>
      <c r="K295" s="26" t="n">
        <f aca="false">IF(AND(ISNUMBER(K269),ISNUMBER(K261)),IFERROR(-K269/K261,""),"")</f>
        <v>0.761791706236151</v>
      </c>
      <c r="L295" s="26" t="n">
        <f aca="false">IF(AND(ISNUMBER(L269),ISNUMBER(L261)),IFERROR(-L269/L261,""),"")</f>
        <v>0.871906731854081</v>
      </c>
      <c r="M295" s="26" t="n">
        <f aca="false">IF(AND(ISNUMBER(M269),ISNUMBER(M261)),IFERROR(-M269/M261,""),"")</f>
        <v>1.18595253838807</v>
      </c>
      <c r="N295" s="26" t="n">
        <f aca="false">IF(AND(ISNUMBER(N269),ISNUMBER(N261)),IFERROR(-N269/N261,""),"")</f>
        <v>0.869169814680556</v>
      </c>
      <c r="O295" s="26" t="n">
        <f aca="false">IF(AND(ISNUMBER(O269),ISNUMBER(O261)),IFERROR(-O269/O261,""),"")</f>
        <v>0.846871062578749</v>
      </c>
      <c r="P295" s="26" t="n">
        <f aca="false">IF(AND(ISNUMBER(P269),ISNUMBER(P261)),IFERROR(-P269/P261,""),"")</f>
        <v>0.657865872767158</v>
      </c>
      <c r="Q295" s="26" t="n">
        <f aca="false">IF(AND(ISNUMBER(Q269),ISNUMBER(Q261)),IFERROR(-Q269/Q261,""),"")</f>
        <v>0.997182191449964</v>
      </c>
      <c r="R295" s="26" t="n">
        <f aca="false">IF(AND(ISNUMBER(R269),ISNUMBER(R261)),IFERROR(-R269/R261,""),"")</f>
        <v>1.61683006535948</v>
      </c>
      <c r="S295" s="26" t="n">
        <f aca="false">IF(AND(ISNUMBER(S269),ISNUMBER(S261)),IFERROR(-S269/S261,""),"")</f>
        <v>1.04114412311588</v>
      </c>
      <c r="T295" s="26" t="n">
        <f aca="false">IF(AND(ISNUMBER(T269),ISNUMBER(T261)),IFERROR(-T269/T261,""),"")</f>
        <v>0.981182026330853</v>
      </c>
      <c r="U295" s="26" t="n">
        <f aca="false">IF(AND(ISNUMBER(U269),ISNUMBER(U261)),IFERROR(-U269/U261,""),"")</f>
        <v>1.05702031920129</v>
      </c>
      <c r="V295" s="26" t="n">
        <f aca="false">IF(AND(ISNUMBER(V269),ISNUMBER(V261)),IFERROR(-V269/V261,""),"")</f>
        <v>1.47919058553387</v>
      </c>
      <c r="W295" s="26" t="n">
        <f aca="false">IF(AND(ISNUMBER(W269),ISNUMBER(W261)),IFERROR(-W269/W261,""),"")</f>
        <v>3.29489668561919</v>
      </c>
      <c r="X295" s="26" t="n">
        <f aca="false">IF(AND(ISNUMBER(X269),ISNUMBER(X261)),IFERROR(-X269/X261,""),"")</f>
        <v>1.71296214438531</v>
      </c>
      <c r="Y295" s="26" t="n">
        <f aca="false">IF(AND(ISNUMBER(Y269),ISNUMBER(Y261)),IFERROR(-Y269/Y261,""),"")</f>
        <v>1.25410710475784</v>
      </c>
      <c r="Z295" s="26" t="n">
        <f aca="false">IF(AND(ISNUMBER(Z269),ISNUMBER(Z261)),IFERROR(-Z269/Z261,""),"")</f>
        <v>1.1369872553799</v>
      </c>
      <c r="AA295" s="26" t="n">
        <f aca="false">IF(AND(ISNUMBER(AA269),ISNUMBER(AA261)),IFERROR(-AA269/AA261,""),"")</f>
        <v>1.73703509690938</v>
      </c>
      <c r="AB295" s="26" t="n">
        <f aca="false">IF(AND(ISNUMBER(AB269),ISNUMBER(AB261)),IFERROR(-AB269/AB261,""),"")</f>
        <v>2.97775068576653</v>
      </c>
      <c r="AC295" s="26" t="n">
        <f aca="false">IF(AND(ISNUMBER(AC269),ISNUMBER(AC261)),IFERROR(-AC269/AC261,""),"")</f>
        <v>1.81935870342946</v>
      </c>
      <c r="AD295" s="26" t="n">
        <f aca="false">IF(AND(ISNUMBER(AD269),ISNUMBER(AD261)),IFERROR(-AD269/AD261,""),"")</f>
        <v>2.94398889035842</v>
      </c>
      <c r="AE295" s="26" t="n">
        <f aca="false">IF(AND(ISNUMBER(AE269),ISNUMBER(AE261)),IFERROR(-AE269/AE261,""),"")</f>
        <v>1.98472407867099</v>
      </c>
      <c r="AF295" s="26" t="n">
        <f aca="false">IF(AND(ISNUMBER(AF269),ISNUMBER(AF261)),IFERROR(-AF269/AF261,""),"")</f>
        <v>3.08838433695294</v>
      </c>
      <c r="AG295" s="26" t="n">
        <f aca="false">IF(AND(ISNUMBER(AG269),ISNUMBER(AG261)),IFERROR(-AG269/AG261,""),"")</f>
        <v>3.79093921243787</v>
      </c>
      <c r="AH295" s="26" t="n">
        <f aca="false">IF(AND(ISNUMBER(AH269),ISNUMBER(AH261)),IFERROR(-AH269/AH261,""),"")</f>
        <v>2.95071449402158</v>
      </c>
      <c r="AI295" s="26" t="n">
        <f aca="false">IF(AND(ISNUMBER(AI269),ISNUMBER(AI261)),IFERROR(-AI269/AI261,""),"")</f>
        <v>4.14807224285897</v>
      </c>
      <c r="AJ295" s="26" t="n">
        <f aca="false">IF(AND(ISNUMBER(AJ269),ISNUMBER(AJ261)),IFERROR(-AJ269/AJ261,""),"")</f>
        <v>3.39167948632199</v>
      </c>
      <c r="AK295" s="26" t="n">
        <f aca="false">IF(AND(ISNUMBER(AK269),ISNUMBER(AK261)),IFERROR(-AK269/AK261,""),"")</f>
        <v>4.33055798025918</v>
      </c>
      <c r="AL295" s="26" t="n">
        <f aca="false">IF(AND(ISNUMBER(AL269),ISNUMBER(AL261)),IFERROR(-AL269/AL261,""),"")</f>
        <v>4.93263669821241</v>
      </c>
      <c r="AM295" s="26" t="n">
        <f aca="false">IF(AND(ISNUMBER(AM269),ISNUMBER(AM261)),IFERROR(-AM269/AM261,""),"")</f>
        <v>4.20323367505027</v>
      </c>
      <c r="AN295" s="26" t="n">
        <f aca="false">IF(AND(ISNUMBER(AN269),ISNUMBER(AN261)),IFERROR(-AN269/AN261,""),"")</f>
        <v>6.41202742655847</v>
      </c>
      <c r="AO295" s="26" t="n">
        <f aca="false">IF(AND(ISNUMBER(AO269),ISNUMBER(AO261)),IFERROR(-AO269/AO261,""),"")</f>
        <v>3.99169347762504</v>
      </c>
      <c r="AP295" s="26" t="n">
        <f aca="false">IF(AND(ISNUMBER(AP269),ISNUMBER(AP261)),IFERROR(-AP269/AP261,""),"")</f>
        <v>3.80267673301304</v>
      </c>
      <c r="AQ295" s="26" t="n">
        <f aca="false">IF(AND(ISNUMBER(AQ269),ISNUMBER(AQ261)),IFERROR(-AQ269/AQ261,""),"")</f>
        <v>3.99892496237368</v>
      </c>
      <c r="AR295" s="26" t="n">
        <f aca="false">IF(AND(ISNUMBER(AR269),ISNUMBER(AR261)),IFERROR(-AR269/AR261,""),"")</f>
        <v>4.50277938621888</v>
      </c>
      <c r="AS295" s="26" t="n">
        <f aca="false">IF(AND(ISNUMBER(AS269),ISNUMBER(AS261)),IFERROR(-AS269/AS261,""),"")</f>
        <v>2.97451759364359</v>
      </c>
      <c r="AT295" s="26" t="n">
        <f aca="false">IF(AND(ISNUMBER(AT269),ISNUMBER(AT261)),IFERROR(-AT269/AT261,""),"")</f>
        <v>2.28731985373199</v>
      </c>
      <c r="AU295" s="26" t="n">
        <f aca="false">IF(AND(ISNUMBER(AU269),ISNUMBER(AU261)),IFERROR(-AU269/AU261,""),"")</f>
        <v>2.13236876075732</v>
      </c>
      <c r="AV295" s="26" t="n">
        <f aca="false">IF(AND(ISNUMBER(AV269),ISNUMBER(AV261)),IFERROR(-AV269/AV261,""),"")</f>
        <v>3.34774613848902</v>
      </c>
      <c r="AW295" s="26" t="n">
        <f aca="false">IF(AND(ISNUMBER(AW269),ISNUMBER(AW261)),IFERROR(-AW269/AW261,""),"")</f>
        <v>2.68562606646624</v>
      </c>
      <c r="AX295" s="26" t="n">
        <f aca="false">IF(AND(ISNUMBER(AX269),ISNUMBER(AX261)),IFERROR(-AX269/AX261,""),"")</f>
        <v>1.56572029442692</v>
      </c>
      <c r="AY295" s="26" t="n">
        <f aca="false">IF(AND(ISNUMBER(AY269),ISNUMBER(AY261)),IFERROR(-AY269/AY261,""),"")</f>
        <v>2.05334296326868</v>
      </c>
      <c r="AZ295" s="26" t="n">
        <f aca="false">IF(AND(ISNUMBER(AZ269),ISNUMBER(AZ261)),IFERROR(-AZ269/AZ261,""),"")</f>
        <v>1.56133528609666</v>
      </c>
      <c r="BA295" s="26" t="n">
        <f aca="false">IF(AND(ISNUMBER(BA269),ISNUMBER(BA261)),IFERROR(-BA269/BA261,""),"")</f>
        <v>2.49437650410098</v>
      </c>
      <c r="BB295" s="26" t="n">
        <f aca="false">IF(AND(ISNUMBER(BB269),ISNUMBER(BB261)),IFERROR(-BB269/BB261,""),"")</f>
        <v>1.92559122266629</v>
      </c>
      <c r="BC295" s="26" t="n">
        <f aca="false">IF(AND(ISNUMBER(BC269),ISNUMBER(BC261)),IFERROR(-BC269/BC261,""),"")</f>
        <v>1.48024523160763</v>
      </c>
      <c r="BD295" s="26" t="n">
        <f aca="false">IF(AND(ISNUMBER(BD269),ISNUMBER(BD261)),IFERROR(-BD269/BD261,""),"")</f>
        <v>1.40711773417253</v>
      </c>
      <c r="BE295" s="26" t="n">
        <f aca="false">IF(AND(ISNUMBER(BE269),ISNUMBER(BE261)),IFERROR(-BE269/BE261,""),"")</f>
        <v>1.89482345197235</v>
      </c>
      <c r="BF295" s="26" t="n">
        <f aca="false">IF(AND(ISNUMBER(BF269),ISNUMBER(BF261)),IFERROR(-BF269/BF261,""),"")</f>
        <v>2.34114919983952</v>
      </c>
      <c r="BG295" s="26" t="n">
        <f aca="false">IF(AND(ISNUMBER(BG269),ISNUMBER(BG261)),IFERROR(-BG269/BG261,""),"")</f>
        <v>1.78946448952971</v>
      </c>
      <c r="BH295" s="26" t="n">
        <f aca="false">IF(AND(ISNUMBER(BH269),ISNUMBER(BH261)),IFERROR(-BH269/BH261,""),"")</f>
        <v>1.39549180327869</v>
      </c>
      <c r="BI295" s="26" t="n">
        <f aca="false">IF(AND(ISNUMBER(BI269),ISNUMBER(BI261)),IFERROR(-BI269/BI261,""),"")</f>
        <v>1.20066766939359</v>
      </c>
      <c r="BJ295" s="26" t="n">
        <f aca="false">IF(AND(ISNUMBER(BJ269),ISNUMBER(BJ261)),IFERROR(-BJ269/BJ261,""),"")</f>
        <v>1.69607843137255</v>
      </c>
      <c r="BK295" s="26" t="n">
        <f aca="false">IF(AND(ISNUMBER(BK269),ISNUMBER(BK261)),IFERROR(-BK269/BK261,""),"")</f>
        <v>2.37480123151876</v>
      </c>
      <c r="BL295" s="26" t="n">
        <f aca="false">IF(AND(ISNUMBER(BL269),ISNUMBER(BL261)),IFERROR(-BL269/BL261,""),"")</f>
        <v>1.69029912259814</v>
      </c>
      <c r="BM295" s="26" t="n">
        <f aca="false">IF(AND(ISNUMBER(BM269),ISNUMBER(BM261)),IFERROR(-BM269/BM261,""),"")</f>
        <v>1.46506738358667</v>
      </c>
      <c r="BN295" s="26" t="n">
        <f aca="false">IF(AND(ISNUMBER(BN269),ISNUMBER(BN261)),IFERROR(-BN269/BN261,""),"")</f>
        <v>1.32105733052739</v>
      </c>
      <c r="BO295" s="36"/>
      <c r="BP295" s="36"/>
      <c r="BQ295" s="28" t="n">
        <f aca="false">-BQ269/BQ261</f>
        <v>1.55666710673034</v>
      </c>
      <c r="BR295" s="28" t="n">
        <f aca="false">-BR269/BR261</f>
        <v>1.52515850316509</v>
      </c>
      <c r="BS295" s="28" t="n">
        <f aca="false">-BS269/BS261</f>
        <v>1.3696843269671</v>
      </c>
      <c r="BT295" s="28" t="n">
        <f aca="false">-BT269/BT261</f>
        <v>1.21290449638332</v>
      </c>
      <c r="BU295" s="28" t="n">
        <f aca="false">-BU269/BU261</f>
        <v>1.21237443646614</v>
      </c>
      <c r="BV295" s="15"/>
    </row>
    <row r="296" customFormat="false" ht="15" hidden="false" customHeight="false" outlineLevel="0" collapsed="false">
      <c r="B296" s="13"/>
      <c r="BO296" s="14"/>
      <c r="BP296" s="14"/>
      <c r="BQ296" s="14"/>
      <c r="BR296" s="14"/>
      <c r="BS296" s="14"/>
      <c r="BT296" s="14"/>
      <c r="BU296" s="14"/>
      <c r="BV296" s="15"/>
    </row>
    <row r="297" customFormat="false" ht="15" hidden="false" customHeight="false" outlineLevel="0" collapsed="false">
      <c r="B297" s="9" t="s">
        <v>476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 t="s">
        <v>477</v>
      </c>
    </row>
    <row r="298" customFormat="false" ht="15" hidden="false" customHeight="false" outlineLevel="0" collapsed="false">
      <c r="B298" s="13" t="s">
        <v>478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36"/>
      <c r="BP298" s="36"/>
      <c r="BQ298" s="74" t="n">
        <f aca="false">BQ448</f>
        <v>152.29</v>
      </c>
      <c r="BR298" s="74" t="n">
        <f aca="false">BQ298*(1+BR449)</f>
        <v>164.4732</v>
      </c>
      <c r="BS298" s="74" t="n">
        <f aca="false">BR298*(1+BS449)</f>
        <v>177.631056</v>
      </c>
      <c r="BT298" s="74" t="n">
        <f aca="false">BS298*(1+BT449)</f>
        <v>191.84154048</v>
      </c>
      <c r="BU298" s="74" t="n">
        <f aca="false">BT298*(1+BU449)</f>
        <v>207.1888637184</v>
      </c>
      <c r="BV298" s="15" t="s">
        <v>479</v>
      </c>
    </row>
    <row r="299" customFormat="false" ht="15" hidden="false" customHeight="false" outlineLevel="0" collapsed="false">
      <c r="B299" s="13" t="s">
        <v>480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36"/>
      <c r="BP299" s="36"/>
      <c r="BQ299" s="21" t="n">
        <f aca="false">CHOOSE(MATCH($BV$2,{"Bull","Base","Bear"},0),$CE$18,$CF$18,$CG$18)</f>
        <v>0</v>
      </c>
      <c r="BR299" s="21" t="n">
        <f aca="false">BR414</f>
        <v>335.189223174422</v>
      </c>
      <c r="BS299" s="21" t="n">
        <f aca="false">BS414</f>
        <v>302.775047344253</v>
      </c>
      <c r="BT299" s="21" t="n">
        <f aca="false">BT414</f>
        <v>398.892200983256</v>
      </c>
      <c r="BU299" s="21" t="n">
        <f aca="false">BU414</f>
        <v>439.366381773587</v>
      </c>
      <c r="BV299" s="15" t="s">
        <v>481</v>
      </c>
    </row>
    <row r="300" customFormat="false" ht="15" hidden="false" customHeight="false" outlineLevel="0" collapsed="false">
      <c r="B300" s="13" t="s">
        <v>482</v>
      </c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36"/>
      <c r="BP300" s="36"/>
      <c r="BQ300" s="21" t="n">
        <f aca="false">IFERROR(BQ299/BQ298,0)</f>
        <v>0</v>
      </c>
      <c r="BR300" s="21" t="n">
        <f aca="false">IFERROR(BR299/BR298,0)</f>
        <v>2.03795647664436</v>
      </c>
      <c r="BS300" s="21" t="n">
        <f aca="false">IFERROR(BS299/BS298,0)</f>
        <v>1.70451639573799</v>
      </c>
      <c r="BT300" s="21" t="n">
        <f aca="false">IFERROR(BT299/BT298,0)</f>
        <v>2.07927959703202</v>
      </c>
      <c r="BU300" s="21" t="n">
        <f aca="false">IFERROR(BU299/BU298,0)</f>
        <v>2.12060809586151</v>
      </c>
      <c r="BV300" s="15"/>
    </row>
    <row r="301" customFormat="false" ht="15" hidden="false" customHeight="false" outlineLevel="0" collapsed="false">
      <c r="B301" s="13" t="s">
        <v>483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36"/>
      <c r="BP301" s="36"/>
      <c r="BQ301" s="39" t="n">
        <v>0.1</v>
      </c>
      <c r="BR301" s="39" t="n">
        <v>0.35</v>
      </c>
      <c r="BS301" s="39" t="n">
        <v>0.35</v>
      </c>
      <c r="BT301" s="39" t="n">
        <v>0.35</v>
      </c>
      <c r="BU301" s="39" t="n">
        <v>0.35</v>
      </c>
      <c r="BV301" s="15" t="s">
        <v>484</v>
      </c>
    </row>
    <row r="302" customFormat="false" ht="15" hidden="false" customHeight="false" outlineLevel="0" collapsed="false">
      <c r="B302" s="13" t="s">
        <v>485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36"/>
      <c r="BP302" s="36"/>
      <c r="BQ302" s="21" t="n">
        <f aca="false">BN362</f>
        <v>91.6216</v>
      </c>
      <c r="BR302" s="21" t="n">
        <f aca="false">BQ303</f>
        <v>91.7216</v>
      </c>
      <c r="BS302" s="21" t="n">
        <f aca="false">BR303</f>
        <v>90.0336435233556</v>
      </c>
      <c r="BT302" s="21" t="n">
        <f aca="false">BS303</f>
        <v>88.6791271276177</v>
      </c>
      <c r="BU302" s="21" t="n">
        <f aca="false">BT303</f>
        <v>86.9498475305856</v>
      </c>
      <c r="BV302" s="15" t="s">
        <v>486</v>
      </c>
    </row>
    <row r="303" customFormat="false" ht="15" hidden="false" customHeight="false" outlineLevel="0" collapsed="false">
      <c r="B303" s="30" t="s">
        <v>487</v>
      </c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57"/>
      <c r="BP303" s="57"/>
      <c r="BQ303" s="33" t="n">
        <f aca="false">BQ302-BQ300+BQ301</f>
        <v>91.7216</v>
      </c>
      <c r="BR303" s="33" t="n">
        <f aca="false">BR302-BR300+BR301</f>
        <v>90.0336435233556</v>
      </c>
      <c r="BS303" s="33" t="n">
        <f aca="false">BS302-BS300+BS301</f>
        <v>88.6791271276177</v>
      </c>
      <c r="BT303" s="33" t="n">
        <f aca="false">BT302-BT300+BT301</f>
        <v>86.9498475305856</v>
      </c>
      <c r="BU303" s="33" t="n">
        <f aca="false">BU302-BU300+BU301</f>
        <v>85.1792394347241</v>
      </c>
      <c r="BV303" s="15"/>
    </row>
    <row r="304" customFormat="false" ht="15" hidden="false" customHeight="false" outlineLevel="0" collapsed="false">
      <c r="B304" s="13" t="s">
        <v>488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36"/>
      <c r="BP304" s="36"/>
      <c r="BQ304" s="35" t="n">
        <f aca="false">IFERROR(BQ300/BQ302,0)</f>
        <v>0</v>
      </c>
      <c r="BR304" s="35" t="n">
        <f aca="false">IFERROR(BR300/BR302,0)</f>
        <v>0.0222189372693494</v>
      </c>
      <c r="BS304" s="35" t="n">
        <f aca="false">IFERROR(BS300/BS302,0)</f>
        <v>0.0189319939639655</v>
      </c>
      <c r="BT304" s="35" t="n">
        <f aca="false">IFERROR(BT300/BT302,0)</f>
        <v>0.0234472266967596</v>
      </c>
      <c r="BU304" s="35" t="n">
        <f aca="false">IFERROR(BU300/BU302,0)</f>
        <v>0.0243888650306784</v>
      </c>
      <c r="BV304" s="15"/>
    </row>
    <row r="305" customFormat="false" ht="15" hidden="false" customHeight="false" outlineLevel="0" collapsed="false">
      <c r="B305" s="13" t="s">
        <v>489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36"/>
      <c r="BP305" s="36"/>
      <c r="BQ305" s="36"/>
      <c r="BR305" s="39" t="n">
        <v>0.3</v>
      </c>
      <c r="BS305" s="39" t="n">
        <v>0.3</v>
      </c>
      <c r="BT305" s="39" t="n">
        <v>0.3</v>
      </c>
      <c r="BU305" s="39" t="n">
        <v>0.3</v>
      </c>
      <c r="BV305" s="15" t="s">
        <v>490</v>
      </c>
    </row>
    <row r="306" customFormat="false" ht="15" hidden="false" customHeight="false" outlineLevel="0" collapsed="false">
      <c r="B306" s="13" t="s">
        <v>491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21" t="n">
        <f aca="false">MAX(0,$BQ$448-$BQ$408)/$BQ$448*$BQ$409</f>
        <v>0</v>
      </c>
      <c r="BP306" s="21" t="n">
        <f aca="false">MAX(0,$BQ$448-$BQ$408)/$BQ$448*$BQ$409</f>
        <v>0</v>
      </c>
      <c r="BQ306" s="21" t="n">
        <f aca="false">MAX(0,BQ298-$BQ$408)/BQ298*$BQ$409</f>
        <v>0</v>
      </c>
      <c r="BR306" s="21" t="n">
        <f aca="false">IF(BR390&gt;0,MAX(0,BR298-$BQ$408)/BR298*$BQ$409,0)</f>
        <v>0</v>
      </c>
      <c r="BS306" s="21" t="n">
        <f aca="false">IF(BS390&gt;0,MAX(0,BS298-$BQ$408)/BS298*$BQ$409,0)</f>
        <v>0</v>
      </c>
      <c r="BT306" s="21" t="n">
        <f aca="false">IF(BT390&gt;0,MAX(0,BT298-$BQ$408)/BT298*$BQ$409,0)</f>
        <v>0</v>
      </c>
      <c r="BU306" s="21" t="n">
        <f aca="false">IF(BU390&gt;0,MAX(0,BU298-$BQ$408)/BU298*$BQ$409,0)</f>
        <v>0</v>
      </c>
      <c r="BV306" s="15" t="s">
        <v>492</v>
      </c>
    </row>
    <row r="307" customFormat="false" ht="15" hidden="false" customHeight="false" outlineLevel="0" collapsed="false">
      <c r="B307" s="13"/>
      <c r="BO307" s="14"/>
      <c r="BP307" s="14"/>
      <c r="BQ307" s="14"/>
      <c r="BR307" s="14"/>
      <c r="BS307" s="14"/>
      <c r="BT307" s="14"/>
      <c r="BU307" s="14"/>
      <c r="BV307" s="15"/>
    </row>
    <row r="308" customFormat="false" ht="15" hidden="false" customHeight="false" outlineLevel="0" collapsed="false">
      <c r="B308" s="9" t="s">
        <v>493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 t="s">
        <v>494</v>
      </c>
    </row>
    <row r="309" customFormat="false" ht="15" hidden="false" customHeight="false" outlineLevel="0" collapsed="false">
      <c r="B309" s="13" t="s">
        <v>495</v>
      </c>
      <c r="BO309" s="14"/>
      <c r="BP309" s="14"/>
      <c r="BQ309" s="14"/>
      <c r="BR309" s="14"/>
      <c r="BS309" s="14"/>
      <c r="BT309" s="14"/>
      <c r="BU309" s="14"/>
      <c r="BV309" s="15"/>
    </row>
    <row r="310" customFormat="false" ht="15" hidden="false" customHeight="false" outlineLevel="0" collapsed="false">
      <c r="B310" s="13" t="s">
        <v>496</v>
      </c>
      <c r="C310" s="19"/>
      <c r="D310" s="19"/>
      <c r="E310" s="19"/>
      <c r="F310" s="19"/>
      <c r="G310" s="19"/>
      <c r="H310" s="24" t="n">
        <v>123.624</v>
      </c>
      <c r="I310" s="24" t="n">
        <v>123.624</v>
      </c>
      <c r="J310" s="19"/>
      <c r="K310" s="24" t="n">
        <v>46.91</v>
      </c>
      <c r="L310" s="24" t="n">
        <v>135.921</v>
      </c>
      <c r="M310" s="24" t="n">
        <v>154.729</v>
      </c>
      <c r="N310" s="24" t="n">
        <v>154.729</v>
      </c>
      <c r="O310" s="24" t="n">
        <v>67.691</v>
      </c>
      <c r="P310" s="24" t="n">
        <v>97.802</v>
      </c>
      <c r="Q310" s="24" t="n">
        <v>45.226</v>
      </c>
      <c r="R310" s="24" t="n">
        <v>125.641</v>
      </c>
      <c r="S310" s="24" t="n">
        <v>125.641</v>
      </c>
      <c r="T310" s="24" t="n">
        <v>95.924</v>
      </c>
      <c r="U310" s="24" t="n">
        <v>147.93</v>
      </c>
      <c r="V310" s="24" t="n">
        <v>203.14</v>
      </c>
      <c r="W310" s="24" t="n">
        <v>203.404</v>
      </c>
      <c r="X310" s="24" t="n">
        <v>203.404</v>
      </c>
      <c r="Y310" s="24" t="n">
        <v>143.335</v>
      </c>
      <c r="Z310" s="24" t="n">
        <v>317.624</v>
      </c>
      <c r="AA310" s="24" t="n">
        <v>66.125</v>
      </c>
      <c r="AB310" s="24" t="n">
        <v>29.871</v>
      </c>
      <c r="AC310" s="24" t="n">
        <v>29.871</v>
      </c>
      <c r="AD310" s="24" t="n">
        <v>22.976</v>
      </c>
      <c r="AE310" s="24" t="n">
        <v>34.444</v>
      </c>
      <c r="AF310" s="24" t="n">
        <v>13.641</v>
      </c>
      <c r="AG310" s="24" t="n">
        <v>86.54</v>
      </c>
      <c r="AH310" s="24" t="n">
        <v>86.54</v>
      </c>
      <c r="AI310" s="24" t="n">
        <v>77.627</v>
      </c>
      <c r="AJ310" s="24" t="n">
        <v>61.584</v>
      </c>
      <c r="AK310" s="24" t="n">
        <v>44.662</v>
      </c>
      <c r="AL310" s="24" t="n">
        <v>42.61</v>
      </c>
      <c r="AM310" s="24" t="n">
        <v>42.61</v>
      </c>
      <c r="AN310" s="24" t="n">
        <v>57.677</v>
      </c>
      <c r="AO310" s="24" t="n">
        <v>190.752</v>
      </c>
      <c r="AP310" s="24" t="n">
        <v>69.381</v>
      </c>
      <c r="AQ310" s="24" t="n">
        <v>33.891</v>
      </c>
      <c r="AR310" s="24" t="n">
        <v>33.891</v>
      </c>
      <c r="AS310" s="24" t="n">
        <v>23.635</v>
      </c>
      <c r="AT310" s="24" t="n">
        <v>67.404</v>
      </c>
      <c r="AU310" s="24" t="n">
        <v>51.4</v>
      </c>
      <c r="AV310" s="24" t="n">
        <v>35.244</v>
      </c>
      <c r="AW310" s="24" t="n">
        <v>35.244</v>
      </c>
      <c r="AX310" s="24" t="n">
        <v>42.051</v>
      </c>
      <c r="AY310" s="24" t="n">
        <v>33.861</v>
      </c>
      <c r="AZ310" s="24" t="n">
        <v>50.201</v>
      </c>
      <c r="BA310" s="24" t="n">
        <v>75.766</v>
      </c>
      <c r="BB310" s="24" t="n">
        <v>75.766</v>
      </c>
      <c r="BC310" s="24" t="n">
        <v>45.895</v>
      </c>
      <c r="BD310" s="24" t="n">
        <v>48.341</v>
      </c>
      <c r="BE310" s="24" t="n">
        <v>35.522</v>
      </c>
      <c r="BF310" s="24" t="n">
        <v>74.109</v>
      </c>
      <c r="BG310" s="24" t="n">
        <v>74.109</v>
      </c>
      <c r="BH310" s="24" t="n">
        <v>55.435</v>
      </c>
      <c r="BI310" s="24" t="n">
        <v>36.984</v>
      </c>
      <c r="BJ310" s="24" t="n">
        <v>79.592</v>
      </c>
      <c r="BK310" s="24" t="n">
        <v>499.779</v>
      </c>
      <c r="BL310" s="24" t="n">
        <v>499.779</v>
      </c>
      <c r="BM310" s="24" t="n">
        <v>512.357</v>
      </c>
      <c r="BN310" s="24" t="n">
        <v>608.203</v>
      </c>
      <c r="BO310" s="36"/>
      <c r="BP310" s="36"/>
      <c r="BQ310" s="21" t="n">
        <f aca="false">BQ284-BQ311-BQ360</f>
        <v>448.56309102487</v>
      </c>
      <c r="BR310" s="21" t="n">
        <f aca="false">BR284-BR311-BR360</f>
        <v>889.049069030473</v>
      </c>
      <c r="BS310" s="21" t="n">
        <f aca="false">BS284-BS311-BS360</f>
        <v>754.224884675562</v>
      </c>
      <c r="BT310" s="21" t="n">
        <f aca="false">BT284-BT311-BT360</f>
        <v>596.441856109841</v>
      </c>
      <c r="BU310" s="21" t="n">
        <f aca="false">BU284-BU311-BU360</f>
        <v>444.182107972655</v>
      </c>
      <c r="BV310" s="15" t="s">
        <v>497</v>
      </c>
    </row>
    <row r="311" customFormat="false" ht="15" hidden="false" customHeight="false" outlineLevel="0" collapsed="false">
      <c r="B311" s="13" t="s">
        <v>498</v>
      </c>
      <c r="C311" s="19"/>
      <c r="D311" s="19"/>
      <c r="E311" s="19"/>
      <c r="F311" s="19"/>
      <c r="G311" s="19"/>
      <c r="H311" s="24" t="n">
        <v>50.835</v>
      </c>
      <c r="I311" s="24" t="n">
        <v>50.835</v>
      </c>
      <c r="J311" s="19"/>
      <c r="K311" s="24" t="n">
        <v>15.459</v>
      </c>
      <c r="L311" s="24" t="n">
        <v>17.381</v>
      </c>
      <c r="M311" s="24" t="n">
        <v>15.364</v>
      </c>
      <c r="N311" s="24" t="n">
        <v>15.364</v>
      </c>
      <c r="O311" s="24" t="n">
        <v>15.257</v>
      </c>
      <c r="P311" s="24" t="n">
        <v>5.162</v>
      </c>
      <c r="Q311" s="24" t="n">
        <v>5.811</v>
      </c>
      <c r="R311" s="24" t="n">
        <v>6.13</v>
      </c>
      <c r="S311" s="24" t="n">
        <v>6.13</v>
      </c>
      <c r="T311" s="24" t="n">
        <v>5.881</v>
      </c>
      <c r="U311" s="24" t="n">
        <v>7.089</v>
      </c>
      <c r="V311" s="24" t="n">
        <v>7.096</v>
      </c>
      <c r="W311" s="24" t="n">
        <v>7.105</v>
      </c>
      <c r="X311" s="24" t="n">
        <v>7.105</v>
      </c>
      <c r="Y311" s="24" t="n">
        <v>5.362</v>
      </c>
      <c r="Z311" s="24" t="n">
        <v>5.87</v>
      </c>
      <c r="AA311" s="24" t="n">
        <v>4.359</v>
      </c>
      <c r="AB311" s="24" t="n">
        <v>3.834</v>
      </c>
      <c r="AC311" s="24" t="n">
        <v>3.834</v>
      </c>
      <c r="AD311" s="24" t="n">
        <v>4.024</v>
      </c>
      <c r="AE311" s="24" t="n">
        <v>4.345</v>
      </c>
      <c r="AF311" s="24" t="n">
        <v>3.524</v>
      </c>
      <c r="AG311" s="24" t="n">
        <v>3.056</v>
      </c>
      <c r="AH311" s="24" t="n">
        <v>3.056</v>
      </c>
      <c r="AI311" s="24" t="n">
        <v>3.066</v>
      </c>
      <c r="AJ311" s="24" t="n">
        <v>3.069</v>
      </c>
      <c r="AK311" s="24" t="n">
        <v>3.07</v>
      </c>
      <c r="AL311" s="24" t="n">
        <v>3.07</v>
      </c>
      <c r="AM311" s="24" t="n">
        <v>3.07</v>
      </c>
      <c r="AN311" s="24" t="n">
        <v>3.071</v>
      </c>
      <c r="AO311" s="24" t="n">
        <v>3.071</v>
      </c>
      <c r="AP311" s="24" t="n">
        <v>3.071</v>
      </c>
      <c r="AQ311" s="24" t="n">
        <v>2.896</v>
      </c>
      <c r="AR311" s="24" t="n">
        <v>2.896</v>
      </c>
      <c r="AS311" s="24" t="n">
        <v>2.896</v>
      </c>
      <c r="AT311" s="24" t="n">
        <v>2.898</v>
      </c>
      <c r="AU311" s="24" t="n">
        <v>2.908</v>
      </c>
      <c r="AV311" s="24" t="n">
        <v>2.928</v>
      </c>
      <c r="AW311" s="24" t="n">
        <v>2.928</v>
      </c>
      <c r="AX311" s="24" t="n">
        <v>2.955</v>
      </c>
      <c r="AY311" s="24" t="n">
        <v>2.987</v>
      </c>
      <c r="AZ311" s="24" t="n">
        <v>3.022</v>
      </c>
      <c r="BA311" s="24" t="n">
        <v>2.858</v>
      </c>
      <c r="BB311" s="24" t="n">
        <v>2.858</v>
      </c>
      <c r="BC311" s="24" t="n">
        <v>2.892</v>
      </c>
      <c r="BD311" s="24" t="n">
        <v>2.927</v>
      </c>
      <c r="BE311" s="24" t="n">
        <v>2.962</v>
      </c>
      <c r="BF311" s="24" t="n">
        <v>2.785</v>
      </c>
      <c r="BG311" s="24" t="n">
        <v>2.785</v>
      </c>
      <c r="BH311" s="24" t="n">
        <v>2.813</v>
      </c>
      <c r="BI311" s="24" t="n">
        <v>3.049</v>
      </c>
      <c r="BJ311" s="24" t="n">
        <v>3.058</v>
      </c>
      <c r="BK311" s="24" t="n">
        <v>3.085</v>
      </c>
      <c r="BL311" s="24" t="n">
        <v>3.085</v>
      </c>
      <c r="BM311" s="24" t="n">
        <v>3.203</v>
      </c>
      <c r="BN311" s="24" t="n">
        <v>3.12</v>
      </c>
      <c r="BO311" s="36"/>
      <c r="BP311" s="36"/>
      <c r="BQ311" s="21" t="n">
        <f aca="false">BL311</f>
        <v>3.085</v>
      </c>
      <c r="BR311" s="21" t="n">
        <f aca="false">BQ311</f>
        <v>3.085</v>
      </c>
      <c r="BS311" s="21" t="n">
        <f aca="false">BR311</f>
        <v>3.085</v>
      </c>
      <c r="BT311" s="21" t="n">
        <f aca="false">BS311</f>
        <v>3.085</v>
      </c>
      <c r="BU311" s="21" t="n">
        <f aca="false">BT311</f>
        <v>3.085</v>
      </c>
      <c r="BV311" s="15"/>
    </row>
    <row r="312" customFormat="false" ht="15" hidden="false" customHeight="false" outlineLevel="0" collapsed="false">
      <c r="B312" s="13" t="s">
        <v>499</v>
      </c>
      <c r="C312" s="19"/>
      <c r="D312" s="19"/>
      <c r="E312" s="19"/>
      <c r="F312" s="19"/>
      <c r="G312" s="19"/>
      <c r="H312" s="24" t="n">
        <v>4.837</v>
      </c>
      <c r="I312" s="24" t="n">
        <v>4.837</v>
      </c>
      <c r="J312" s="19"/>
      <c r="K312" s="24" t="n">
        <v>4.505</v>
      </c>
      <c r="L312" s="24" t="n">
        <v>2.251</v>
      </c>
      <c r="M312" s="24" t="n">
        <v>3.476</v>
      </c>
      <c r="N312" s="24" t="n">
        <v>3.476</v>
      </c>
      <c r="O312" s="24" t="n">
        <v>4.156</v>
      </c>
      <c r="P312" s="24" t="n">
        <v>14.881</v>
      </c>
      <c r="Q312" s="24" t="n">
        <v>14.7</v>
      </c>
      <c r="R312" s="24" t="n">
        <v>14.517</v>
      </c>
      <c r="S312" s="24" t="n">
        <v>14.517</v>
      </c>
      <c r="T312" s="24" t="n">
        <v>12.411</v>
      </c>
      <c r="U312" s="24" t="n">
        <v>4.446</v>
      </c>
      <c r="V312" s="24" t="n">
        <v>3.234</v>
      </c>
      <c r="W312" s="24" t="n">
        <v>2.934</v>
      </c>
      <c r="X312" s="24" t="n">
        <v>2.934</v>
      </c>
      <c r="Y312" s="24" t="n">
        <v>1.034</v>
      </c>
      <c r="Z312" s="24" t="n">
        <v>1.824</v>
      </c>
      <c r="AA312" s="24" t="n">
        <v>2.732</v>
      </c>
      <c r="AB312" s="24" t="n">
        <v>3.597</v>
      </c>
      <c r="AC312" s="24" t="n">
        <v>3.597</v>
      </c>
      <c r="AD312" s="24" t="n">
        <v>3.601</v>
      </c>
      <c r="AE312" s="24" t="n">
        <v>3.614</v>
      </c>
      <c r="AF312" s="24" t="n">
        <v>3.618</v>
      </c>
      <c r="AG312" s="24" t="n">
        <v>5.843</v>
      </c>
      <c r="AH312" s="24" t="n">
        <v>5.843</v>
      </c>
      <c r="AI312" s="24" t="n">
        <v>3.694</v>
      </c>
      <c r="AJ312" s="24" t="n">
        <v>3.71</v>
      </c>
      <c r="AK312" s="24" t="n">
        <v>3.699</v>
      </c>
      <c r="AL312" s="24" t="n">
        <v>3.707</v>
      </c>
      <c r="AM312" s="24" t="n">
        <v>3.707</v>
      </c>
      <c r="AN312" s="24" t="n">
        <v>3.827</v>
      </c>
      <c r="AO312" s="24" t="n">
        <v>3.3</v>
      </c>
      <c r="AP312" s="24" t="n">
        <v>3.82</v>
      </c>
      <c r="AQ312" s="24" t="n">
        <v>3.811</v>
      </c>
      <c r="AR312" s="24" t="n">
        <v>3.811</v>
      </c>
      <c r="AS312" s="24" t="n">
        <v>3.789</v>
      </c>
      <c r="AT312" s="24" t="n">
        <v>3.777</v>
      </c>
      <c r="AU312" s="24" t="n">
        <v>3.82</v>
      </c>
      <c r="AV312" s="24" t="n">
        <v>3.804</v>
      </c>
      <c r="AW312" s="24" t="n">
        <v>3.804</v>
      </c>
      <c r="AX312" s="24" t="n">
        <v>3.847</v>
      </c>
      <c r="AY312" s="24" t="n">
        <v>0</v>
      </c>
      <c r="AZ312" s="24" t="n">
        <v>0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0</v>
      </c>
      <c r="BG312" s="24" t="n">
        <v>0</v>
      </c>
      <c r="BH312" s="24" t="n">
        <v>0</v>
      </c>
      <c r="BI312" s="24" t="n">
        <v>0</v>
      </c>
      <c r="BJ312" s="24" t="n">
        <v>0</v>
      </c>
      <c r="BK312" s="24" t="n">
        <v>0</v>
      </c>
      <c r="BL312" s="24" t="n">
        <v>0</v>
      </c>
      <c r="BM312" s="24" t="n">
        <v>0</v>
      </c>
      <c r="BN312" s="24" t="n">
        <v>0</v>
      </c>
      <c r="BO312" s="36"/>
      <c r="BP312" s="36"/>
      <c r="BQ312" s="21" t="n">
        <f aca="false">BL312</f>
        <v>0</v>
      </c>
      <c r="BR312" s="21" t="n">
        <f aca="false">BQ312</f>
        <v>0</v>
      </c>
      <c r="BS312" s="21" t="n">
        <f aca="false">BR312</f>
        <v>0</v>
      </c>
      <c r="BT312" s="21" t="n">
        <f aca="false">BS312</f>
        <v>0</v>
      </c>
      <c r="BU312" s="21" t="n">
        <f aca="false">BT312</f>
        <v>0</v>
      </c>
      <c r="BV312" s="15"/>
    </row>
    <row r="313" customFormat="false" ht="15" hidden="false" customHeight="false" outlineLevel="0" collapsed="false">
      <c r="B313" s="13" t="s">
        <v>500</v>
      </c>
      <c r="C313" s="19"/>
      <c r="D313" s="19"/>
      <c r="E313" s="19"/>
      <c r="F313" s="19"/>
      <c r="G313" s="19"/>
      <c r="H313" s="24" t="n">
        <v>165.144</v>
      </c>
      <c r="I313" s="24" t="n">
        <v>165.144</v>
      </c>
      <c r="J313" s="19"/>
      <c r="K313" s="24" t="n">
        <v>146.847</v>
      </c>
      <c r="L313" s="24" t="n">
        <v>180.108</v>
      </c>
      <c r="M313" s="24" t="n">
        <v>153.326</v>
      </c>
      <c r="N313" s="24" t="n">
        <v>153.326</v>
      </c>
      <c r="O313" s="24" t="n">
        <v>157.284</v>
      </c>
      <c r="P313" s="24" t="n">
        <v>133.434</v>
      </c>
      <c r="Q313" s="24" t="n">
        <v>157.188</v>
      </c>
      <c r="R313" s="24" t="n">
        <v>135.95</v>
      </c>
      <c r="S313" s="24" t="n">
        <v>135.95</v>
      </c>
      <c r="T313" s="24" t="n">
        <v>187.98</v>
      </c>
      <c r="U313" s="24" t="n">
        <v>145.98</v>
      </c>
      <c r="V313" s="24" t="n">
        <v>160.74</v>
      </c>
      <c r="W313" s="24" t="n">
        <v>189.217</v>
      </c>
      <c r="X313" s="24" t="n">
        <v>189.217</v>
      </c>
      <c r="Y313" s="24" t="n">
        <v>174.15</v>
      </c>
      <c r="Z313" s="24" t="n">
        <v>200.889</v>
      </c>
      <c r="AA313" s="24" t="n">
        <v>194.575</v>
      </c>
      <c r="AB313" s="24" t="n">
        <v>129.459</v>
      </c>
      <c r="AC313" s="24" t="n">
        <v>129.459</v>
      </c>
      <c r="AD313" s="24" t="n">
        <v>65.255</v>
      </c>
      <c r="AE313" s="24" t="n">
        <v>68.122</v>
      </c>
      <c r="AF313" s="24" t="n">
        <v>71.484</v>
      </c>
      <c r="AG313" s="24" t="n">
        <v>56.721</v>
      </c>
      <c r="AH313" s="24" t="n">
        <v>56.721</v>
      </c>
      <c r="AI313" s="24" t="n">
        <v>63.051</v>
      </c>
      <c r="AJ313" s="24" t="n">
        <v>64.846</v>
      </c>
      <c r="AK313" s="24" t="n">
        <v>85.332</v>
      </c>
      <c r="AL313" s="24" t="n">
        <v>153.368</v>
      </c>
      <c r="AM313" s="24" t="n">
        <v>153.368</v>
      </c>
      <c r="AN313" s="24" t="n">
        <v>57.999</v>
      </c>
      <c r="AO313" s="24" t="n">
        <v>61.107</v>
      </c>
      <c r="AP313" s="24" t="n">
        <v>57.136</v>
      </c>
      <c r="AQ313" s="24" t="n">
        <v>70.663</v>
      </c>
      <c r="AR313" s="24" t="n">
        <v>70.663</v>
      </c>
      <c r="AS313" s="24" t="n">
        <v>58.886</v>
      </c>
      <c r="AT313" s="24" t="n">
        <v>85.926</v>
      </c>
      <c r="AU313" s="24" t="n">
        <v>72.404</v>
      </c>
      <c r="AV313" s="24" t="n">
        <v>60.782</v>
      </c>
      <c r="AW313" s="24" t="n">
        <v>60.782</v>
      </c>
      <c r="AX313" s="24" t="n">
        <v>71.76</v>
      </c>
      <c r="AY313" s="24" t="n">
        <v>64.299</v>
      </c>
      <c r="AZ313" s="24" t="n">
        <v>100.57</v>
      </c>
      <c r="BA313" s="24" t="n">
        <v>70.18</v>
      </c>
      <c r="BB313" s="24" t="n">
        <v>70.18</v>
      </c>
      <c r="BC313" s="24" t="n">
        <v>85.024</v>
      </c>
      <c r="BD313" s="24" t="n">
        <v>89.374</v>
      </c>
      <c r="BE313" s="24" t="n">
        <v>90.227</v>
      </c>
      <c r="BF313" s="24" t="n">
        <v>99.112</v>
      </c>
      <c r="BG313" s="24" t="n">
        <v>99.112</v>
      </c>
      <c r="BH313" s="24" t="n">
        <v>89.142</v>
      </c>
      <c r="BI313" s="24" t="n">
        <v>148.756</v>
      </c>
      <c r="BJ313" s="24" t="n">
        <v>181.174</v>
      </c>
      <c r="BK313" s="24" t="n">
        <v>220.391</v>
      </c>
      <c r="BL313" s="24" t="n">
        <v>220.391</v>
      </c>
      <c r="BM313" s="24" t="n">
        <v>185.223</v>
      </c>
      <c r="BN313" s="24" t="n">
        <v>198.251</v>
      </c>
      <c r="BO313" s="36"/>
      <c r="BP313" s="36"/>
      <c r="BQ313" s="21" t="n">
        <f aca="false">BQ157*BQ365</f>
        <v>262.2</v>
      </c>
      <c r="BR313" s="21" t="n">
        <f aca="false">BR157*BR365</f>
        <v>287.260312636167</v>
      </c>
      <c r="BS313" s="21" t="n">
        <f aca="false">BS157*BS365</f>
        <v>316.218676800997</v>
      </c>
      <c r="BT313" s="21" t="n">
        <f aca="false">BT157*BT365</f>
        <v>350.767537489354</v>
      </c>
      <c r="BU313" s="21" t="n">
        <f aca="false">BU157*BU365</f>
        <v>387.491738148679</v>
      </c>
      <c r="BV313" s="15"/>
    </row>
    <row r="314" customFormat="false" ht="15" hidden="false" customHeight="false" outlineLevel="0" collapsed="false">
      <c r="B314" s="13" t="s">
        <v>501</v>
      </c>
      <c r="C314" s="19"/>
      <c r="D314" s="19"/>
      <c r="E314" s="19"/>
      <c r="F314" s="19"/>
      <c r="G314" s="19"/>
      <c r="H314" s="24" t="n">
        <v>6.094</v>
      </c>
      <c r="I314" s="24" t="n">
        <v>6.094</v>
      </c>
      <c r="J314" s="19"/>
      <c r="K314" s="24" t="n">
        <v>11.938</v>
      </c>
      <c r="L314" s="24" t="n">
        <v>27.206</v>
      </c>
      <c r="M314" s="24" t="n">
        <v>22.444</v>
      </c>
      <c r="N314" s="24" t="n">
        <v>22.444</v>
      </c>
      <c r="O314" s="24" t="n">
        <v>32.339</v>
      </c>
      <c r="P314" s="24" t="n">
        <v>22.897</v>
      </c>
      <c r="Q314" s="24" t="n">
        <v>23.868</v>
      </c>
      <c r="R314" s="24" t="n">
        <v>25.221</v>
      </c>
      <c r="S314" s="24" t="n">
        <v>25.221</v>
      </c>
      <c r="T314" s="24" t="n">
        <v>29.019</v>
      </c>
      <c r="U314" s="24" t="n">
        <v>10.51</v>
      </c>
      <c r="V314" s="24" t="n">
        <v>14.105</v>
      </c>
      <c r="W314" s="24" t="n">
        <v>19.365</v>
      </c>
      <c r="X314" s="24" t="n">
        <v>19.365</v>
      </c>
      <c r="Y314" s="24" t="n">
        <v>8.058</v>
      </c>
      <c r="Z314" s="24" t="n">
        <v>14.742</v>
      </c>
      <c r="AA314" s="24" t="n">
        <v>46.183</v>
      </c>
      <c r="AB314" s="24" t="n">
        <v>13.374</v>
      </c>
      <c r="AC314" s="24" t="n">
        <v>13.374</v>
      </c>
      <c r="AD314" s="24" t="n">
        <v>12.038</v>
      </c>
      <c r="AE314" s="24" t="n">
        <v>17.685</v>
      </c>
      <c r="AF314" s="24" t="n">
        <v>18.872</v>
      </c>
      <c r="AG314" s="24" t="n">
        <v>13.426</v>
      </c>
      <c r="AH314" s="24" t="n">
        <v>13.426</v>
      </c>
      <c r="AI314" s="24" t="n">
        <v>11.292</v>
      </c>
      <c r="AJ314" s="24" t="n">
        <v>9.48</v>
      </c>
      <c r="AK314" s="24" t="n">
        <v>29.566</v>
      </c>
      <c r="AL314" s="24" t="n">
        <v>22.239</v>
      </c>
      <c r="AM314" s="24" t="n">
        <v>22.239</v>
      </c>
      <c r="AN314" s="24" t="n">
        <v>17.572</v>
      </c>
      <c r="AO314" s="24" t="n">
        <v>37.741</v>
      </c>
      <c r="AP314" s="24" t="n">
        <v>24.471</v>
      </c>
      <c r="AQ314" s="24" t="n">
        <v>16.651</v>
      </c>
      <c r="AR314" s="24" t="n">
        <v>16.651</v>
      </c>
      <c r="AS314" s="24" t="n">
        <v>14.501</v>
      </c>
      <c r="AT314" s="24" t="n">
        <v>18.975</v>
      </c>
      <c r="AU314" s="24" t="n">
        <v>34.145</v>
      </c>
      <c r="AV314" s="24" t="n">
        <v>26.894</v>
      </c>
      <c r="AW314" s="24" t="n">
        <v>26.894</v>
      </c>
      <c r="AX314" s="24" t="n">
        <v>17.699</v>
      </c>
      <c r="AY314" s="24" t="n">
        <v>30.522</v>
      </c>
      <c r="AZ314" s="24" t="n">
        <v>21.447</v>
      </c>
      <c r="BA314" s="24" t="n">
        <v>16.339</v>
      </c>
      <c r="BB314" s="24" t="n">
        <v>16.339</v>
      </c>
      <c r="BC314" s="24" t="n">
        <v>12.842</v>
      </c>
      <c r="BD314" s="24" t="n">
        <v>17.448</v>
      </c>
      <c r="BE314" s="24" t="n">
        <v>15.934</v>
      </c>
      <c r="BF314" s="24" t="n">
        <v>53.199</v>
      </c>
      <c r="BG314" s="24" t="n">
        <v>53.199</v>
      </c>
      <c r="BH314" s="24" t="n">
        <v>43.256</v>
      </c>
      <c r="BI314" s="24" t="n">
        <v>24.508</v>
      </c>
      <c r="BJ314" s="24" t="n">
        <v>29.715</v>
      </c>
      <c r="BK314" s="24" t="n">
        <v>67.858</v>
      </c>
      <c r="BL314" s="24" t="n">
        <v>67.858</v>
      </c>
      <c r="BM314" s="24" t="n">
        <v>67.194</v>
      </c>
      <c r="BN314" s="24" t="n">
        <v>88.979</v>
      </c>
      <c r="BO314" s="36"/>
      <c r="BP314" s="36"/>
      <c r="BQ314" s="21" t="n">
        <f aca="false">BQ157*BQ366</f>
        <v>79.8</v>
      </c>
      <c r="BR314" s="21" t="n">
        <f aca="false">BR157*BR366</f>
        <v>87.427051671877</v>
      </c>
      <c r="BS314" s="21" t="n">
        <f aca="false">BS157*BS366</f>
        <v>96.2404668524773</v>
      </c>
      <c r="BT314" s="21" t="n">
        <f aca="false">BT157*BT366</f>
        <v>106.75533749676</v>
      </c>
      <c r="BU314" s="21" t="n">
        <f aca="false">BU157*BU366</f>
        <v>117.932268132207</v>
      </c>
      <c r="BV314" s="15"/>
    </row>
    <row r="315" customFormat="false" ht="15" hidden="false" customHeight="false" outlineLevel="0" collapsed="false">
      <c r="B315" s="13" t="s">
        <v>502</v>
      </c>
      <c r="C315" s="19"/>
      <c r="D315" s="19"/>
      <c r="E315" s="19"/>
      <c r="F315" s="19"/>
      <c r="G315" s="19"/>
      <c r="H315" s="24" t="n">
        <v>0</v>
      </c>
      <c r="I315" s="24" t="n">
        <v>0</v>
      </c>
      <c r="J315" s="19"/>
      <c r="K315" s="24" t="n">
        <v>0</v>
      </c>
      <c r="L315" s="24" t="n">
        <v>0</v>
      </c>
      <c r="M315" s="24" t="n">
        <v>0</v>
      </c>
      <c r="N315" s="24" t="n">
        <v>0</v>
      </c>
      <c r="O315" s="24" t="n">
        <v>0</v>
      </c>
      <c r="P315" s="24" t="n">
        <v>0</v>
      </c>
      <c r="Q315" s="24" t="n">
        <v>0</v>
      </c>
      <c r="R315" s="24" t="n">
        <v>0</v>
      </c>
      <c r="S315" s="24" t="n">
        <v>0</v>
      </c>
      <c r="T315" s="24" t="n">
        <v>0</v>
      </c>
      <c r="U315" s="24" t="n">
        <v>0</v>
      </c>
      <c r="V315" s="24" t="n">
        <v>0</v>
      </c>
      <c r="W315" s="24" t="n">
        <v>0</v>
      </c>
      <c r="X315" s="24" t="n">
        <v>0</v>
      </c>
      <c r="Y315" s="24" t="n">
        <v>0</v>
      </c>
      <c r="Z315" s="24" t="n">
        <v>0</v>
      </c>
      <c r="AA315" s="24" t="n">
        <v>0</v>
      </c>
      <c r="AB315" s="24" t="n">
        <v>0</v>
      </c>
      <c r="AC315" s="24" t="n">
        <v>0</v>
      </c>
      <c r="AD315" s="24" t="n">
        <v>72</v>
      </c>
      <c r="AE315" s="24" t="n">
        <v>60.664</v>
      </c>
      <c r="AF315" s="24" t="n">
        <v>70.294</v>
      </c>
      <c r="AG315" s="24" t="n">
        <v>46.67</v>
      </c>
      <c r="AH315" s="24" t="n">
        <v>46.67</v>
      </c>
      <c r="AI315" s="24" t="n">
        <v>62.385</v>
      </c>
      <c r="AJ315" s="24" t="n">
        <v>46.767</v>
      </c>
      <c r="AK315" s="24" t="n">
        <v>72.13</v>
      </c>
      <c r="AL315" s="24" t="n">
        <v>55.172</v>
      </c>
      <c r="AM315" s="24" t="n">
        <v>55.172</v>
      </c>
      <c r="AN315" s="24" t="n">
        <v>81.82</v>
      </c>
      <c r="AO315" s="24" t="n">
        <v>50.982</v>
      </c>
      <c r="AP315" s="24" t="n">
        <v>70.176</v>
      </c>
      <c r="AQ315" s="24" t="n">
        <v>51.507</v>
      </c>
      <c r="AR315" s="24" t="n">
        <v>51.507</v>
      </c>
      <c r="AS315" s="24" t="n">
        <v>77.804</v>
      </c>
      <c r="AT315" s="24" t="n">
        <v>51.78</v>
      </c>
      <c r="AU315" s="24" t="n">
        <v>76.193</v>
      </c>
      <c r="AV315" s="24" t="n">
        <v>48.566</v>
      </c>
      <c r="AW315" s="24" t="n">
        <v>48.566</v>
      </c>
      <c r="AX315" s="24" t="n">
        <v>81.842</v>
      </c>
      <c r="AY315" s="24" t="n">
        <v>54.374</v>
      </c>
      <c r="AZ315" s="24" t="n">
        <v>77.823</v>
      </c>
      <c r="BA315" s="24" t="n">
        <v>55.181</v>
      </c>
      <c r="BB315" s="24" t="n">
        <v>55.181</v>
      </c>
      <c r="BC315" s="24" t="n">
        <v>81.506</v>
      </c>
      <c r="BD315" s="24" t="n">
        <v>54.594</v>
      </c>
      <c r="BE315" s="24" t="n">
        <v>92.295</v>
      </c>
      <c r="BF315" s="24" t="n">
        <v>33.667</v>
      </c>
      <c r="BG315" s="24" t="n">
        <v>33.667</v>
      </c>
      <c r="BH315" s="24" t="n">
        <v>45.41</v>
      </c>
      <c r="BI315" s="24" t="n">
        <v>40.712</v>
      </c>
      <c r="BJ315" s="24" t="n">
        <v>67.951</v>
      </c>
      <c r="BK315" s="24" t="n">
        <v>46.311</v>
      </c>
      <c r="BL315" s="24" t="n">
        <v>46.311</v>
      </c>
      <c r="BM315" s="24" t="n">
        <v>77.542</v>
      </c>
      <c r="BN315" s="24" t="n">
        <v>62.303</v>
      </c>
      <c r="BO315" s="36"/>
      <c r="BP315" s="36"/>
      <c r="BQ315" s="21" t="n">
        <f aca="false">BQ157*BQ367</f>
        <v>57</v>
      </c>
      <c r="BR315" s="21" t="n">
        <f aca="false">BR157*BR367</f>
        <v>62.4478940513407</v>
      </c>
      <c r="BS315" s="21" t="n">
        <f aca="false">BS157*BS367</f>
        <v>68.7431906089123</v>
      </c>
      <c r="BT315" s="21" t="n">
        <f aca="false">BT157*BT367</f>
        <v>76.2538124976856</v>
      </c>
      <c r="BU315" s="21" t="n">
        <f aca="false">BU157*BU367</f>
        <v>84.2373343801476</v>
      </c>
      <c r="BV315" s="15"/>
    </row>
    <row r="316" customFormat="false" ht="15" hidden="false" customHeight="false" outlineLevel="0" collapsed="false">
      <c r="B316" s="13" t="s">
        <v>503</v>
      </c>
      <c r="C316" s="19"/>
      <c r="D316" s="19"/>
      <c r="E316" s="19"/>
      <c r="F316" s="19"/>
      <c r="G316" s="19"/>
      <c r="H316" s="24" t="n">
        <v>290.622</v>
      </c>
      <c r="I316" s="24" t="n">
        <v>290.622</v>
      </c>
      <c r="J316" s="19"/>
      <c r="K316" s="24" t="n">
        <v>314.982</v>
      </c>
      <c r="L316" s="24" t="n">
        <v>266.826</v>
      </c>
      <c r="M316" s="24" t="n">
        <v>265.77</v>
      </c>
      <c r="N316" s="24" t="n">
        <v>265.77</v>
      </c>
      <c r="O316" s="24" t="n">
        <v>323.706</v>
      </c>
      <c r="P316" s="24" t="n">
        <v>358.172</v>
      </c>
      <c r="Q316" s="24" t="n">
        <v>345.966</v>
      </c>
      <c r="R316" s="24" t="n">
        <v>356.793</v>
      </c>
      <c r="S316" s="24" t="n">
        <v>356.793</v>
      </c>
      <c r="T316" s="24" t="n">
        <v>382.243</v>
      </c>
      <c r="U316" s="24" t="n">
        <v>400.455</v>
      </c>
      <c r="V316" s="24" t="n">
        <v>413.604</v>
      </c>
      <c r="W316" s="24" t="n">
        <v>420.628</v>
      </c>
      <c r="X316" s="24" t="n">
        <v>420.628</v>
      </c>
      <c r="Y316" s="24" t="n">
        <v>337.375</v>
      </c>
      <c r="Z316" s="24" t="n">
        <v>317.405</v>
      </c>
      <c r="AA316" s="24" t="n">
        <v>326.355</v>
      </c>
      <c r="AB316" s="24" t="n">
        <v>318.454</v>
      </c>
      <c r="AC316" s="24" t="n">
        <v>318.454</v>
      </c>
      <c r="AD316" s="24" t="n">
        <v>351.953</v>
      </c>
      <c r="AE316" s="24" t="n">
        <v>358.474</v>
      </c>
      <c r="AF316" s="24" t="n">
        <v>399.002</v>
      </c>
      <c r="AG316" s="24" t="n">
        <v>376.037</v>
      </c>
      <c r="AH316" s="24" t="n">
        <v>376.037</v>
      </c>
      <c r="AI316" s="24" t="n">
        <v>407.854</v>
      </c>
      <c r="AJ316" s="24" t="n">
        <v>395.847</v>
      </c>
      <c r="AK316" s="24" t="n">
        <v>430.47</v>
      </c>
      <c r="AL316" s="24" t="n">
        <v>449.176</v>
      </c>
      <c r="AM316" s="24" t="n">
        <v>449.176</v>
      </c>
      <c r="AN316" s="24" t="n">
        <v>497.827</v>
      </c>
      <c r="AO316" s="24" t="n">
        <v>530.904</v>
      </c>
      <c r="AP316" s="24" t="n">
        <v>540.504</v>
      </c>
      <c r="AQ316" s="24" t="n">
        <v>546.595</v>
      </c>
      <c r="AR316" s="24" t="n">
        <v>546.595</v>
      </c>
      <c r="AS316" s="24" t="n">
        <v>561.407</v>
      </c>
      <c r="AT316" s="24" t="n">
        <v>564.326</v>
      </c>
      <c r="AU316" s="24" t="n">
        <v>545.517</v>
      </c>
      <c r="AV316" s="24" t="n">
        <v>538.365</v>
      </c>
      <c r="AW316" s="24" t="n">
        <v>538.365</v>
      </c>
      <c r="AX316" s="24" t="n">
        <v>567.069</v>
      </c>
      <c r="AY316" s="24" t="n">
        <v>590.369</v>
      </c>
      <c r="AZ316" s="24" t="n">
        <v>558.979</v>
      </c>
      <c r="BA316" s="24" t="n">
        <v>533.155</v>
      </c>
      <c r="BB316" s="24" t="n">
        <v>533.155</v>
      </c>
      <c r="BC316" s="24" t="n">
        <v>550.089</v>
      </c>
      <c r="BD316" s="24" t="n">
        <v>622.062</v>
      </c>
      <c r="BE316" s="24" t="n">
        <v>661.248</v>
      </c>
      <c r="BF316" s="24" t="n">
        <v>577.745</v>
      </c>
      <c r="BG316" s="24" t="n">
        <v>577.745</v>
      </c>
      <c r="BH316" s="24" t="n">
        <v>639.654</v>
      </c>
      <c r="BI316" s="24" t="n">
        <v>639.601</v>
      </c>
      <c r="BJ316" s="24" t="n">
        <v>636.711</v>
      </c>
      <c r="BK316" s="24" t="n">
        <v>610.315</v>
      </c>
      <c r="BL316" s="24" t="n">
        <v>610.315</v>
      </c>
      <c r="BM316" s="24" t="n">
        <v>668.611</v>
      </c>
      <c r="BN316" s="24" t="n">
        <v>652.011</v>
      </c>
      <c r="BO316" s="36"/>
      <c r="BP316" s="36"/>
      <c r="BQ316" s="21" t="n">
        <f aca="false">BQ157*BQ368</f>
        <v>684</v>
      </c>
      <c r="BR316" s="21" t="n">
        <f aca="false">BR157*BR368</f>
        <v>791.006657983649</v>
      </c>
      <c r="BS316" s="21" t="n">
        <f aca="false">BS157*BS368</f>
        <v>870.747081046223</v>
      </c>
      <c r="BT316" s="21" t="n">
        <f aca="false">BT157*BT368</f>
        <v>965.881624970685</v>
      </c>
      <c r="BU316" s="21" t="n">
        <f aca="false">BU157*BU368</f>
        <v>1067.00623548187</v>
      </c>
      <c r="BV316" s="15"/>
    </row>
    <row r="317" customFormat="false" ht="15" hidden="false" customHeight="false" outlineLevel="0" collapsed="false">
      <c r="B317" s="13" t="s">
        <v>504</v>
      </c>
      <c r="C317" s="19"/>
      <c r="D317" s="19"/>
      <c r="E317" s="19"/>
      <c r="F317" s="19"/>
      <c r="G317" s="19"/>
      <c r="H317" s="24" t="n">
        <v>9.926</v>
      </c>
      <c r="I317" s="24" t="n">
        <v>9.926</v>
      </c>
      <c r="J317" s="19"/>
      <c r="K317" s="24" t="n">
        <v>11.384</v>
      </c>
      <c r="L317" s="24" t="n">
        <v>10.97</v>
      </c>
      <c r="M317" s="24" t="n">
        <v>7.311</v>
      </c>
      <c r="N317" s="24" t="n">
        <v>7.311</v>
      </c>
      <c r="O317" s="24" t="n">
        <v>0</v>
      </c>
      <c r="P317" s="24" t="n">
        <v>0</v>
      </c>
      <c r="Q317" s="24" t="n">
        <v>0</v>
      </c>
      <c r="R317" s="24" t="n">
        <v>0</v>
      </c>
      <c r="S317" s="24" t="n">
        <v>0</v>
      </c>
      <c r="T317" s="24" t="n">
        <v>0</v>
      </c>
      <c r="U317" s="24" t="n">
        <v>0</v>
      </c>
      <c r="V317" s="24" t="n">
        <v>0</v>
      </c>
      <c r="W317" s="24" t="n">
        <v>0</v>
      </c>
      <c r="X317" s="24" t="n">
        <v>0</v>
      </c>
      <c r="Y317" s="24" t="n">
        <v>0</v>
      </c>
      <c r="Z317" s="24" t="n">
        <v>0</v>
      </c>
      <c r="AA317" s="24" t="n">
        <v>0</v>
      </c>
      <c r="AB317" s="24" t="n">
        <v>0</v>
      </c>
      <c r="AC317" s="24" t="n">
        <v>0</v>
      </c>
      <c r="AD317" s="24" t="n">
        <v>0</v>
      </c>
      <c r="AE317" s="24" t="n">
        <v>0</v>
      </c>
      <c r="AF317" s="24" t="n">
        <v>0</v>
      </c>
      <c r="AG317" s="24" t="n">
        <v>0</v>
      </c>
      <c r="AH317" s="24" t="n">
        <v>0</v>
      </c>
      <c r="AI317" s="24" t="n">
        <v>0</v>
      </c>
      <c r="AJ317" s="24" t="n">
        <v>0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0</v>
      </c>
      <c r="AU317" s="24" t="n">
        <v>0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49.648</v>
      </c>
      <c r="BI317" s="24" t="n">
        <v>51.56</v>
      </c>
      <c r="BJ317" s="24" t="n">
        <v>57.799</v>
      </c>
      <c r="BK317" s="24" t="n">
        <v>46.537</v>
      </c>
      <c r="BL317" s="24" t="n">
        <v>46.537</v>
      </c>
      <c r="BM317" s="24" t="n">
        <v>45.598</v>
      </c>
      <c r="BN317" s="24" t="n">
        <v>46.293</v>
      </c>
      <c r="BO317" s="36"/>
      <c r="BP317" s="36"/>
      <c r="BQ317" s="21" t="n">
        <f aca="false">BQ157*BQ369</f>
        <v>55.1</v>
      </c>
      <c r="BR317" s="21" t="n">
        <f aca="false">BR157*BR369</f>
        <v>60.3662975829627</v>
      </c>
      <c r="BS317" s="21" t="n">
        <f aca="false">BS157*BS369</f>
        <v>66.4517509219486</v>
      </c>
      <c r="BT317" s="21" t="n">
        <f aca="false">BT157*BT369</f>
        <v>73.7120187477628</v>
      </c>
      <c r="BU317" s="21" t="n">
        <f aca="false">BU157*BU369</f>
        <v>81.4294232341427</v>
      </c>
      <c r="BV317" s="15"/>
    </row>
    <row r="318" customFormat="false" ht="15" hidden="false" customHeight="false" outlineLevel="0" collapsed="false">
      <c r="B318" s="13" t="s">
        <v>505</v>
      </c>
      <c r="C318" s="19"/>
      <c r="D318" s="19"/>
      <c r="E318" s="19"/>
      <c r="F318" s="19"/>
      <c r="G318" s="19"/>
      <c r="H318" s="24" t="n">
        <v>38.32</v>
      </c>
      <c r="I318" s="24" t="n">
        <v>38.32</v>
      </c>
      <c r="J318" s="19"/>
      <c r="K318" s="24" t="n">
        <v>33.56</v>
      </c>
      <c r="L318" s="24" t="n">
        <v>42.832</v>
      </c>
      <c r="M318" s="24" t="n">
        <v>0</v>
      </c>
      <c r="N318" s="24" t="n">
        <v>0</v>
      </c>
      <c r="O318" s="24" t="n">
        <v>0</v>
      </c>
      <c r="P318" s="24" t="n">
        <v>0</v>
      </c>
      <c r="Q318" s="24" t="n">
        <v>0</v>
      </c>
      <c r="R318" s="24" t="n">
        <v>0</v>
      </c>
      <c r="S318" s="24" t="n">
        <v>0</v>
      </c>
      <c r="T318" s="24" t="n">
        <v>0</v>
      </c>
      <c r="U318" s="24" t="n">
        <v>0</v>
      </c>
      <c r="V318" s="24" t="n">
        <v>0</v>
      </c>
      <c r="W318" s="24" t="n">
        <v>0</v>
      </c>
      <c r="X318" s="24" t="n">
        <v>0</v>
      </c>
      <c r="Y318" s="24" t="n">
        <v>0</v>
      </c>
      <c r="Z318" s="24" t="n">
        <v>0</v>
      </c>
      <c r="AA318" s="24" t="n">
        <v>0</v>
      </c>
      <c r="AB318" s="24" t="n">
        <v>0</v>
      </c>
      <c r="AC318" s="24" t="n">
        <v>0</v>
      </c>
      <c r="AD318" s="24" t="n">
        <v>0</v>
      </c>
      <c r="AE318" s="24" t="n">
        <v>0</v>
      </c>
      <c r="AF318" s="24" t="n">
        <v>0</v>
      </c>
      <c r="AG318" s="24" t="n">
        <v>0</v>
      </c>
      <c r="AH318" s="24" t="n">
        <v>0</v>
      </c>
      <c r="AI318" s="24" t="n">
        <v>0</v>
      </c>
      <c r="AJ318" s="24" t="n">
        <v>0</v>
      </c>
      <c r="AK318" s="24" t="n">
        <v>0</v>
      </c>
      <c r="AL318" s="24" t="n">
        <v>0</v>
      </c>
      <c r="AM318" s="24" t="n">
        <v>0</v>
      </c>
      <c r="AN318" s="24" t="n">
        <v>0</v>
      </c>
      <c r="AO318" s="24" t="n">
        <v>0</v>
      </c>
      <c r="AP318" s="24" t="n">
        <v>0</v>
      </c>
      <c r="AQ318" s="24" t="n">
        <v>0</v>
      </c>
      <c r="AR318" s="24" t="n">
        <v>0</v>
      </c>
      <c r="AS318" s="24" t="n">
        <v>0</v>
      </c>
      <c r="AT318" s="24" t="n">
        <v>0</v>
      </c>
      <c r="AU318" s="24" t="n">
        <v>0</v>
      </c>
      <c r="AV318" s="24" t="n">
        <v>0</v>
      </c>
      <c r="AW318" s="24" t="n">
        <v>0</v>
      </c>
      <c r="AX318" s="24" t="n">
        <v>0</v>
      </c>
      <c r="AY318" s="24" t="n">
        <v>0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0</v>
      </c>
      <c r="BH318" s="24" t="n">
        <v>0</v>
      </c>
      <c r="BI318" s="24" t="n">
        <v>0</v>
      </c>
      <c r="BJ318" s="24" t="n">
        <v>0</v>
      </c>
      <c r="BK318" s="24" t="n">
        <v>0</v>
      </c>
      <c r="BL318" s="24" t="n">
        <v>0</v>
      </c>
      <c r="BM318" s="24" t="n">
        <v>0</v>
      </c>
      <c r="BN318" s="24" t="n">
        <v>0</v>
      </c>
      <c r="BO318" s="36"/>
      <c r="BP318" s="36"/>
      <c r="BQ318" s="21" t="n">
        <f aca="false">BL318</f>
        <v>0</v>
      </c>
      <c r="BR318" s="21" t="n">
        <f aca="false">BQ318</f>
        <v>0</v>
      </c>
      <c r="BS318" s="21" t="n">
        <f aca="false">BR318</f>
        <v>0</v>
      </c>
      <c r="BT318" s="21" t="n">
        <f aca="false">BS318</f>
        <v>0</v>
      </c>
      <c r="BU318" s="21" t="n">
        <f aca="false">BT318</f>
        <v>0</v>
      </c>
      <c r="BV318" s="15"/>
    </row>
    <row r="319" customFormat="false" ht="15" hidden="false" customHeight="false" outlineLevel="0" collapsed="false">
      <c r="B319" s="13" t="s">
        <v>506</v>
      </c>
      <c r="C319" s="19"/>
      <c r="D319" s="19"/>
      <c r="E319" s="19"/>
      <c r="F319" s="19"/>
      <c r="G319" s="19"/>
      <c r="H319" s="24" t="n">
        <v>32.127</v>
      </c>
      <c r="I319" s="24" t="n">
        <v>32.127</v>
      </c>
      <c r="J319" s="19"/>
      <c r="K319" s="24" t="n">
        <v>42.141</v>
      </c>
      <c r="L319" s="24" t="n">
        <v>21.735</v>
      </c>
      <c r="M319" s="24" t="n">
        <v>24.874</v>
      </c>
      <c r="N319" s="24" t="n">
        <v>24.874</v>
      </c>
      <c r="O319" s="24" t="n">
        <v>33.806</v>
      </c>
      <c r="P319" s="24" t="n">
        <v>32.423</v>
      </c>
      <c r="Q319" s="24" t="n">
        <v>24.591</v>
      </c>
      <c r="R319" s="24" t="n">
        <v>29.319</v>
      </c>
      <c r="S319" s="24" t="n">
        <v>29.319</v>
      </c>
      <c r="T319" s="24" t="n">
        <v>30.051</v>
      </c>
      <c r="U319" s="24" t="n">
        <v>29.134</v>
      </c>
      <c r="V319" s="24" t="n">
        <v>28.957</v>
      </c>
      <c r="W319" s="24" t="n">
        <v>30.437</v>
      </c>
      <c r="X319" s="24" t="n">
        <v>30.437</v>
      </c>
      <c r="Y319" s="24" t="n">
        <v>33.536</v>
      </c>
      <c r="Z319" s="24" t="n">
        <v>32.343</v>
      </c>
      <c r="AA319" s="24" t="n">
        <v>44.528</v>
      </c>
      <c r="AB319" s="24" t="n">
        <v>43.859</v>
      </c>
      <c r="AC319" s="24" t="n">
        <v>43.859</v>
      </c>
      <c r="AD319" s="24" t="n">
        <v>45.717</v>
      </c>
      <c r="AE319" s="24" t="n">
        <v>40.032</v>
      </c>
      <c r="AF319" s="24" t="n">
        <v>41.015</v>
      </c>
      <c r="AG319" s="24" t="n">
        <v>41.462</v>
      </c>
      <c r="AH319" s="24" t="n">
        <v>41.462</v>
      </c>
      <c r="AI319" s="24" t="n">
        <v>37.226</v>
      </c>
      <c r="AJ319" s="24" t="n">
        <v>38.67</v>
      </c>
      <c r="AK319" s="24" t="n">
        <v>40.671</v>
      </c>
      <c r="AL319" s="24" t="n">
        <v>44.256</v>
      </c>
      <c r="AM319" s="24" t="n">
        <v>44.256</v>
      </c>
      <c r="AN319" s="24" t="n">
        <v>39.446</v>
      </c>
      <c r="AO319" s="24" t="n">
        <v>44.795</v>
      </c>
      <c r="AP319" s="24" t="n">
        <v>45.264</v>
      </c>
      <c r="AQ319" s="24" t="n">
        <v>47.718</v>
      </c>
      <c r="AR319" s="24" t="n">
        <v>47.718</v>
      </c>
      <c r="AS319" s="24" t="n">
        <v>49.487</v>
      </c>
      <c r="AT319" s="24" t="n">
        <v>57.574</v>
      </c>
      <c r="AU319" s="24" t="n">
        <v>63.317</v>
      </c>
      <c r="AV319" s="24" t="n">
        <v>55.036</v>
      </c>
      <c r="AW319" s="24" t="n">
        <v>55.036</v>
      </c>
      <c r="AX319" s="24" t="n">
        <v>64.506</v>
      </c>
      <c r="AY319" s="24" t="n">
        <v>62.789</v>
      </c>
      <c r="AZ319" s="24" t="n">
        <v>65.839</v>
      </c>
      <c r="BA319" s="24" t="n">
        <v>64.322</v>
      </c>
      <c r="BB319" s="24" t="n">
        <v>64.322</v>
      </c>
      <c r="BC319" s="24" t="n">
        <v>86.415</v>
      </c>
      <c r="BD319" s="24" t="n">
        <v>75.097</v>
      </c>
      <c r="BE319" s="24" t="n">
        <v>84.761</v>
      </c>
      <c r="BF319" s="24" t="n">
        <v>89.38</v>
      </c>
      <c r="BG319" s="24" t="n">
        <v>89.38</v>
      </c>
      <c r="BH319" s="24" t="n">
        <v>50.427</v>
      </c>
      <c r="BI319" s="24" t="n">
        <v>51.715</v>
      </c>
      <c r="BJ319" s="24" t="n">
        <v>48.023</v>
      </c>
      <c r="BK319" s="24" t="n">
        <v>66.078</v>
      </c>
      <c r="BL319" s="24" t="n">
        <v>66.078</v>
      </c>
      <c r="BM319" s="24" t="n">
        <v>56.648</v>
      </c>
      <c r="BN319" s="24" t="n">
        <v>50.877</v>
      </c>
      <c r="BO319" s="36"/>
      <c r="BP319" s="36"/>
      <c r="BQ319" s="21" t="n">
        <f aca="false">BL319</f>
        <v>66.078</v>
      </c>
      <c r="BR319" s="21" t="n">
        <f aca="false">BQ319</f>
        <v>66.078</v>
      </c>
      <c r="BS319" s="21" t="n">
        <f aca="false">BR319</f>
        <v>66.078</v>
      </c>
      <c r="BT319" s="21" t="n">
        <f aca="false">BS319</f>
        <v>66.078</v>
      </c>
      <c r="BU319" s="21" t="n">
        <f aca="false">BT319</f>
        <v>66.078</v>
      </c>
      <c r="BV319" s="15"/>
    </row>
    <row r="320" customFormat="false" ht="15" hidden="false" customHeight="false" outlineLevel="0" collapsed="false">
      <c r="B320" s="13" t="s">
        <v>507</v>
      </c>
      <c r="C320" s="19"/>
      <c r="D320" s="19"/>
      <c r="E320" s="19"/>
      <c r="F320" s="19"/>
      <c r="G320" s="19"/>
      <c r="H320" s="24" t="n">
        <v>752.273</v>
      </c>
      <c r="I320" s="24" t="n">
        <v>752.273</v>
      </c>
      <c r="J320" s="19"/>
      <c r="K320" s="24" t="n">
        <v>0</v>
      </c>
      <c r="L320" s="24" t="n">
        <v>0</v>
      </c>
      <c r="M320" s="24" t="n">
        <v>0</v>
      </c>
      <c r="N320" s="24" t="n">
        <v>0</v>
      </c>
      <c r="O320" s="24" t="n">
        <v>0</v>
      </c>
      <c r="P320" s="24" t="n">
        <v>0</v>
      </c>
      <c r="Q320" s="24" t="n">
        <v>0</v>
      </c>
      <c r="R320" s="24" t="n">
        <v>0</v>
      </c>
      <c r="S320" s="24" t="n">
        <v>0</v>
      </c>
      <c r="T320" s="24" t="n">
        <v>0</v>
      </c>
      <c r="U320" s="24" t="n">
        <v>0</v>
      </c>
      <c r="V320" s="24" t="n">
        <v>0</v>
      </c>
      <c r="W320" s="24" t="n">
        <v>0</v>
      </c>
      <c r="X320" s="24" t="n">
        <v>0</v>
      </c>
      <c r="Y320" s="24" t="n">
        <v>0</v>
      </c>
      <c r="Z320" s="24" t="n">
        <v>0</v>
      </c>
      <c r="AA320" s="24" t="n">
        <v>0</v>
      </c>
      <c r="AB320" s="24" t="n">
        <v>0</v>
      </c>
      <c r="AC320" s="24" t="n">
        <v>0</v>
      </c>
      <c r="AD320" s="24" t="n">
        <v>0</v>
      </c>
      <c r="AE320" s="24" t="n">
        <v>0</v>
      </c>
      <c r="AF320" s="24" t="n">
        <v>0</v>
      </c>
      <c r="AG320" s="24" t="n">
        <v>0</v>
      </c>
      <c r="AH320" s="24" t="n">
        <v>0</v>
      </c>
      <c r="AI320" s="24" t="n">
        <v>20.845</v>
      </c>
      <c r="AJ320" s="24" t="n">
        <v>0</v>
      </c>
      <c r="AK320" s="24" t="n">
        <v>0</v>
      </c>
      <c r="AL320" s="24" t="n">
        <v>0</v>
      </c>
      <c r="AM320" s="24" t="n">
        <v>0</v>
      </c>
      <c r="AN320" s="24" t="n">
        <v>0</v>
      </c>
      <c r="AO320" s="24" t="n">
        <v>0</v>
      </c>
      <c r="AP320" s="24" t="n">
        <v>0</v>
      </c>
      <c r="AQ320" s="24" t="n">
        <v>0</v>
      </c>
      <c r="AR320" s="24" t="n">
        <v>0</v>
      </c>
      <c r="AS320" s="24" t="n">
        <v>0</v>
      </c>
      <c r="AT320" s="24" t="n">
        <v>0</v>
      </c>
      <c r="AU320" s="24" t="n">
        <v>0</v>
      </c>
      <c r="AV320" s="24" t="n">
        <v>0</v>
      </c>
      <c r="AW320" s="24" t="n">
        <v>0</v>
      </c>
      <c r="AX320" s="24" t="n">
        <v>0</v>
      </c>
      <c r="AY320" s="24" t="n">
        <v>0</v>
      </c>
      <c r="AZ320" s="24" t="n">
        <v>0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0</v>
      </c>
      <c r="BG320" s="24" t="n">
        <v>0</v>
      </c>
      <c r="BH320" s="24" t="n">
        <v>0</v>
      </c>
      <c r="BI320" s="24" t="n">
        <v>0</v>
      </c>
      <c r="BJ320" s="24" t="n">
        <v>0</v>
      </c>
      <c r="BK320" s="24" t="n">
        <v>0</v>
      </c>
      <c r="BL320" s="24" t="n">
        <v>0</v>
      </c>
      <c r="BM320" s="24" t="n">
        <v>0</v>
      </c>
      <c r="BN320" s="24" t="n">
        <v>0</v>
      </c>
      <c r="BO320" s="36"/>
      <c r="BP320" s="36"/>
      <c r="BQ320" s="21" t="n">
        <f aca="false">BL320</f>
        <v>0</v>
      </c>
      <c r="BR320" s="21" t="n">
        <f aca="false">BQ320</f>
        <v>0</v>
      </c>
      <c r="BS320" s="21" t="n">
        <f aca="false">BR320</f>
        <v>0</v>
      </c>
      <c r="BT320" s="21" t="n">
        <f aca="false">BS320</f>
        <v>0</v>
      </c>
      <c r="BU320" s="21" t="n">
        <f aca="false">BT320</f>
        <v>0</v>
      </c>
      <c r="BV320" s="15"/>
    </row>
    <row r="321" customFormat="false" ht="15" hidden="false" customHeight="false" outlineLevel="0" collapsed="false">
      <c r="B321" s="30" t="s">
        <v>508</v>
      </c>
      <c r="C321" s="31"/>
      <c r="D321" s="31"/>
      <c r="E321" s="31"/>
      <c r="F321" s="31"/>
      <c r="G321" s="31"/>
      <c r="H321" s="49" t="n">
        <f aca="false">IF(ISNUMBER(H310),SUM(H310,H311,H312,H313,H314,H315,H316,H317,H318,H319,H320),"")</f>
        <v>1473.802</v>
      </c>
      <c r="I321" s="49" t="n">
        <f aca="false">IF(ISNUMBER(I310),SUM(I310,I311,I312,I313,I314,I315,I316,I317,I318,I319,I320),"")</f>
        <v>1473.802</v>
      </c>
      <c r="J321" s="31"/>
      <c r="K321" s="49" t="n">
        <f aca="false">IF(ISNUMBER(K310),SUM(K310,K311,K312,K313,K314,K315,K316,K317,K318,K319,K320),"")</f>
        <v>627.726</v>
      </c>
      <c r="L321" s="49" t="n">
        <f aca="false">IF(ISNUMBER(L310),SUM(L310,L311,L312,L313,L314,L315,L316,L317,L318,L319,L320),"")</f>
        <v>705.23</v>
      </c>
      <c r="M321" s="49" t="n">
        <f aca="false">IF(ISNUMBER(M310),SUM(M310,M311,M312,M313,M314,M315,M316,M317,M318,M319,M320),"")</f>
        <v>647.294</v>
      </c>
      <c r="N321" s="49" t="n">
        <f aca="false">IF(ISNUMBER(N310),SUM(N310,N311,N312,N313,N314,N315,N316,N317,N318,N319,N320),"")</f>
        <v>647.294</v>
      </c>
      <c r="O321" s="49" t="n">
        <f aca="false">IF(ISNUMBER(O310),SUM(O310,O311,O312,O313,O314,O315,O316,O317,O318,O319,O320),"")</f>
        <v>634.239</v>
      </c>
      <c r="P321" s="49" t="n">
        <f aca="false">IF(ISNUMBER(P310),SUM(P310,P311,P312,P313,P314,P315,P316,P317,P318,P319,P320),"")</f>
        <v>664.771</v>
      </c>
      <c r="Q321" s="49" t="n">
        <f aca="false">IF(ISNUMBER(Q310),SUM(Q310,Q311,Q312,Q313,Q314,Q315,Q316,Q317,Q318,Q319,Q320),"")</f>
        <v>617.35</v>
      </c>
      <c r="R321" s="49" t="n">
        <f aca="false">IF(ISNUMBER(R310),SUM(R310,R311,R312,R313,R314,R315,R316,R317,R318,R319,R320),"")</f>
        <v>693.571</v>
      </c>
      <c r="S321" s="49" t="n">
        <f aca="false">IF(ISNUMBER(S310),SUM(S310,S311,S312,S313,S314,S315,S316,S317,S318,S319,S320),"")</f>
        <v>693.571</v>
      </c>
      <c r="T321" s="49" t="n">
        <f aca="false">IF(ISNUMBER(T310),SUM(T310,T311,T312,T313,T314,T315,T316,T317,T318,T319,T320),"")</f>
        <v>743.509</v>
      </c>
      <c r="U321" s="49" t="n">
        <f aca="false">IF(ISNUMBER(U310),SUM(U310,U311,U312,U313,U314,U315,U316,U317,U318,U319,U320),"")</f>
        <v>745.544</v>
      </c>
      <c r="V321" s="49" t="n">
        <f aca="false">IF(ISNUMBER(V310),SUM(V310,V311,V312,V313,V314,V315,V316,V317,V318,V319,V320),"")</f>
        <v>830.876</v>
      </c>
      <c r="W321" s="49" t="n">
        <f aca="false">IF(ISNUMBER(W310),SUM(W310,W311,W312,W313,W314,W315,W316,W317,W318,W319,W320),"")</f>
        <v>873.09</v>
      </c>
      <c r="X321" s="49" t="n">
        <f aca="false">IF(ISNUMBER(X310),SUM(X310,X311,X312,X313,X314,X315,X316,X317,X318,X319,X320),"")</f>
        <v>873.09</v>
      </c>
      <c r="Y321" s="49" t="n">
        <f aca="false">IF(ISNUMBER(Y310),SUM(Y310,Y311,Y312,Y313,Y314,Y315,Y316,Y317,Y318,Y319,Y320),"")</f>
        <v>702.85</v>
      </c>
      <c r="Z321" s="49" t="n">
        <f aca="false">IF(ISNUMBER(Z310),SUM(Z310,Z311,Z312,Z313,Z314,Z315,Z316,Z317,Z318,Z319,Z320),"")</f>
        <v>890.697</v>
      </c>
      <c r="AA321" s="49" t="n">
        <f aca="false">IF(ISNUMBER(AA310),SUM(AA310,AA311,AA312,AA313,AA314,AA315,AA316,AA317,AA318,AA319,AA320),"")</f>
        <v>684.857</v>
      </c>
      <c r="AB321" s="49" t="n">
        <f aca="false">IF(ISNUMBER(AB310),SUM(AB310,AB311,AB312,AB313,AB314,AB315,AB316,AB317,AB318,AB319,AB320),"")</f>
        <v>542.448</v>
      </c>
      <c r="AC321" s="49" t="n">
        <f aca="false">IF(ISNUMBER(AC310),SUM(AC310,AC311,AC312,AC313,AC314,AC315,AC316,AC317,AC318,AC319,AC320),"")</f>
        <v>542.448</v>
      </c>
      <c r="AD321" s="49" t="n">
        <f aca="false">IF(ISNUMBER(AD310),SUM(AD310,AD311,AD312,AD313,AD314,AD315,AD316,AD317,AD318,AD319,AD320),"")</f>
        <v>577.564</v>
      </c>
      <c r="AE321" s="49" t="n">
        <f aca="false">IF(ISNUMBER(AE310),SUM(AE310,AE311,AE312,AE313,AE314,AE315,AE316,AE317,AE318,AE319,AE320),"")</f>
        <v>587.38</v>
      </c>
      <c r="AF321" s="49" t="n">
        <f aca="false">IF(ISNUMBER(AF310),SUM(AF310,AF311,AF312,AF313,AF314,AF315,AF316,AF317,AF318,AF319,AF320),"")</f>
        <v>621.45</v>
      </c>
      <c r="AG321" s="49" t="n">
        <f aca="false">IF(ISNUMBER(AG310),SUM(AG310,AG311,AG312,AG313,AG314,AG315,AG316,AG317,AG318,AG319,AG320),"")</f>
        <v>629.755</v>
      </c>
      <c r="AH321" s="49" t="n">
        <f aca="false">IF(ISNUMBER(AH310),SUM(AH310,AH311,AH312,AH313,AH314,AH315,AH316,AH317,AH318,AH319,AH320),"")</f>
        <v>629.755</v>
      </c>
      <c r="AI321" s="49" t="n">
        <f aca="false">IF(ISNUMBER(AI310),SUM(AI310,AI311,AI312,AI313,AI314,AI315,AI316,AI317,AI318,AI319,AI320),"")</f>
        <v>687.04</v>
      </c>
      <c r="AJ321" s="49" t="n">
        <f aca="false">IF(ISNUMBER(AJ310),SUM(AJ310,AJ311,AJ312,AJ313,AJ314,AJ315,AJ316,AJ317,AJ318,AJ319,AJ320),"")</f>
        <v>623.973</v>
      </c>
      <c r="AK321" s="49" t="n">
        <f aca="false">IF(ISNUMBER(AK310),SUM(AK310,AK311,AK312,AK313,AK314,AK315,AK316,AK317,AK318,AK319,AK320),"")</f>
        <v>709.6</v>
      </c>
      <c r="AL321" s="49" t="n">
        <f aca="false">IF(ISNUMBER(AL310),SUM(AL310,AL311,AL312,AL313,AL314,AL315,AL316,AL317,AL318,AL319,AL320),"")</f>
        <v>773.598</v>
      </c>
      <c r="AM321" s="49" t="n">
        <f aca="false">IF(ISNUMBER(AM310),SUM(AM310,AM311,AM312,AM313,AM314,AM315,AM316,AM317,AM318,AM319,AM320),"")</f>
        <v>773.598</v>
      </c>
      <c r="AN321" s="49" t="n">
        <f aca="false">IF(ISNUMBER(AN310),SUM(AN310,AN311,AN312,AN313,AN314,AN315,AN316,AN317,AN318,AN319,AN320),"")</f>
        <v>759.239</v>
      </c>
      <c r="AO321" s="49" t="n">
        <f aca="false">IF(ISNUMBER(AO310),SUM(AO310,AO311,AO312,AO313,AO314,AO315,AO316,AO317,AO318,AO319,AO320),"")</f>
        <v>922.652</v>
      </c>
      <c r="AP321" s="49" t="n">
        <f aca="false">IF(ISNUMBER(AP310),SUM(AP310,AP311,AP312,AP313,AP314,AP315,AP316,AP317,AP318,AP319,AP320),"")</f>
        <v>813.823</v>
      </c>
      <c r="AQ321" s="49" t="n">
        <f aca="false">IF(ISNUMBER(AQ310),SUM(AQ310,AQ311,AQ312,AQ313,AQ314,AQ315,AQ316,AQ317,AQ318,AQ319,AQ320),"")</f>
        <v>773.732</v>
      </c>
      <c r="AR321" s="49" t="n">
        <f aca="false">IF(ISNUMBER(AR310),SUM(AR310,AR311,AR312,AR313,AR314,AR315,AR316,AR317,AR318,AR319,AR320),"")</f>
        <v>773.732</v>
      </c>
      <c r="AS321" s="49" t="n">
        <f aca="false">IF(ISNUMBER(AS310),SUM(AS310,AS311,AS312,AS313,AS314,AS315,AS316,AS317,AS318,AS319,AS320),"")</f>
        <v>792.405</v>
      </c>
      <c r="AT321" s="49" t="n">
        <f aca="false">IF(ISNUMBER(AT310),SUM(AT310,AT311,AT312,AT313,AT314,AT315,AT316,AT317,AT318,AT319,AT320),"")</f>
        <v>852.66</v>
      </c>
      <c r="AU321" s="49" t="n">
        <f aca="false">IF(ISNUMBER(AU310),SUM(AU310,AU311,AU312,AU313,AU314,AU315,AU316,AU317,AU318,AU319,AU320),"")</f>
        <v>849.704</v>
      </c>
      <c r="AV321" s="49" t="n">
        <f aca="false">IF(ISNUMBER(AV310),SUM(AV310,AV311,AV312,AV313,AV314,AV315,AV316,AV317,AV318,AV319,AV320),"")</f>
        <v>771.619</v>
      </c>
      <c r="AW321" s="49" t="n">
        <f aca="false">IF(ISNUMBER(AW310),SUM(AW310,AW311,AW312,AW313,AW314,AW315,AW316,AW317,AW318,AW319,AW320),"")</f>
        <v>771.619</v>
      </c>
      <c r="AX321" s="49" t="n">
        <f aca="false">IF(ISNUMBER(AX310),SUM(AX310,AX311,AX312,AX313,AX314,AX315,AX316,AX317,AX318,AX319,AX320),"")</f>
        <v>851.729</v>
      </c>
      <c r="AY321" s="49" t="n">
        <f aca="false">IF(ISNUMBER(AY310),SUM(AY310,AY311,AY312,AY313,AY314,AY315,AY316,AY317,AY318,AY319,AY320),"")</f>
        <v>839.201</v>
      </c>
      <c r="AZ321" s="49" t="n">
        <f aca="false">IF(ISNUMBER(AZ310),SUM(AZ310,AZ311,AZ312,AZ313,AZ314,AZ315,AZ316,AZ317,AZ318,AZ319,AZ320),"")</f>
        <v>877.881</v>
      </c>
      <c r="BA321" s="49" t="n">
        <f aca="false">IF(ISNUMBER(BA310),SUM(BA310,BA311,BA312,BA313,BA314,BA315,BA316,BA317,BA318,BA319,BA320),"")</f>
        <v>817.801</v>
      </c>
      <c r="BB321" s="49" t="n">
        <f aca="false">IF(ISNUMBER(BB310),SUM(BB310,BB311,BB312,BB313,BB314,BB315,BB316,BB317,BB318,BB319,BB320),"")</f>
        <v>817.801</v>
      </c>
      <c r="BC321" s="49" t="n">
        <f aca="false">IF(ISNUMBER(BC310),SUM(BC310,BC311,BC312,BC313,BC314,BC315,BC316,BC317,BC318,BC319,BC320),"")</f>
        <v>864.663</v>
      </c>
      <c r="BD321" s="49" t="n">
        <f aca="false">IF(ISNUMBER(BD310),SUM(BD310,BD311,BD312,BD313,BD314,BD315,BD316,BD317,BD318,BD319,BD320),"")</f>
        <v>909.843</v>
      </c>
      <c r="BE321" s="49" t="n">
        <f aca="false">IF(ISNUMBER(BE310),SUM(BE310,BE311,BE312,BE313,BE314,BE315,BE316,BE317,BE318,BE319,BE320),"")</f>
        <v>982.949</v>
      </c>
      <c r="BF321" s="49" t="n">
        <f aca="false">IF(ISNUMBER(BF310),SUM(BF310,BF311,BF312,BF313,BF314,BF315,BF316,BF317,BF318,BF319,BF320),"")</f>
        <v>929.997</v>
      </c>
      <c r="BG321" s="49" t="n">
        <f aca="false">IF(ISNUMBER(BG310),SUM(BG310,BG311,BG312,BG313,BG314,BG315,BG316,BG317,BG318,BG319,BG320),"")</f>
        <v>929.997</v>
      </c>
      <c r="BH321" s="49" t="n">
        <f aca="false">IF(ISNUMBER(BH310),SUM(BH310,BH311,BH312,BH313,BH314,BH315,BH316,BH317,BH318,BH319,BH320),"")</f>
        <v>975.785</v>
      </c>
      <c r="BI321" s="49" t="n">
        <f aca="false">IF(ISNUMBER(BI310),SUM(BI310,BI311,BI312,BI313,BI314,BI315,BI316,BI317,BI318,BI319,BI320),"")</f>
        <v>996.885</v>
      </c>
      <c r="BJ321" s="49" t="n">
        <f aca="false">IF(ISNUMBER(BJ310),SUM(BJ310,BJ311,BJ312,BJ313,BJ314,BJ315,BJ316,BJ317,BJ318,BJ319,BJ320),"")</f>
        <v>1104.023</v>
      </c>
      <c r="BK321" s="49" t="n">
        <f aca="false">IF(ISNUMBER(BK310),SUM(BK310,BK311,BK312,BK313,BK314,BK315,BK316,BK317,BK318,BK319,BK320),"")</f>
        <v>1560.354</v>
      </c>
      <c r="BL321" s="49" t="n">
        <f aca="false">IF(ISNUMBER(BL310),SUM(BL310,BL311,BL312,BL313,BL314,BL315,BL316,BL317,BL318,BL319,BL320),"")</f>
        <v>1560.354</v>
      </c>
      <c r="BM321" s="49" t="n">
        <f aca="false">IF(ISNUMBER(BM310),SUM(BM310,BM311,BM312,BM313,BM314,BM315,BM316,BM317,BM318,BM319,BM320),"")</f>
        <v>1616.376</v>
      </c>
      <c r="BN321" s="49" t="n">
        <f aca="false">IF(ISNUMBER(BN310),SUM(BN310,BN311,BN312,BN313,BN314,BN315,BN316,BN317,BN318,BN319,BN320),"")</f>
        <v>1710.037</v>
      </c>
      <c r="BO321" s="57"/>
      <c r="BP321" s="57"/>
      <c r="BQ321" s="33" t="n">
        <f aca="false">SUM(BQ310,BQ311,BQ312,BQ313,BQ314,BQ315,BQ316,BQ317,BQ318,BQ319,BQ320)</f>
        <v>1655.82609102487</v>
      </c>
      <c r="BR321" s="33" t="n">
        <f aca="false">SUM(BR310,BR311,BR312,BR313,BR314,BR315,BR316,BR317,BR318,BR319,BR320)</f>
        <v>2246.72028295647</v>
      </c>
      <c r="BS321" s="33" t="n">
        <f aca="false">SUM(BS310,BS311,BS312,BS313,BS314,BS315,BS316,BS317,BS318,BS319,BS320)</f>
        <v>2241.78905090612</v>
      </c>
      <c r="BT321" s="33" t="n">
        <f aca="false">SUM(BT310,BT311,BT312,BT313,BT314,BT315,BT316,BT317,BT318,BT319,BT320)</f>
        <v>2238.97518731209</v>
      </c>
      <c r="BU321" s="33" t="n">
        <f aca="false">SUM(BU310,BU311,BU312,BU313,BU314,BU315,BU316,BU317,BU318,BU319,BU320)</f>
        <v>2251.4421073497</v>
      </c>
      <c r="BV321" s="15"/>
    </row>
    <row r="322" customFormat="false" ht="15" hidden="false" customHeight="false" outlineLevel="0" collapsed="false">
      <c r="B322" s="13" t="s">
        <v>509</v>
      </c>
      <c r="C322" s="19"/>
      <c r="D322" s="19"/>
      <c r="E322" s="19"/>
      <c r="F322" s="19"/>
      <c r="G322" s="19"/>
      <c r="H322" s="24" t="n">
        <v>307.8</v>
      </c>
      <c r="I322" s="24" t="n">
        <v>307.8</v>
      </c>
      <c r="J322" s="19"/>
      <c r="K322" s="24" t="n">
        <v>265.422</v>
      </c>
      <c r="L322" s="24" t="n">
        <v>262.27</v>
      </c>
      <c r="M322" s="24" t="n">
        <v>268.844</v>
      </c>
      <c r="N322" s="24" t="n">
        <v>268.844</v>
      </c>
      <c r="O322" s="24" t="n">
        <v>264.585</v>
      </c>
      <c r="P322" s="24" t="n">
        <v>262.992</v>
      </c>
      <c r="Q322" s="24" t="n">
        <v>263.992</v>
      </c>
      <c r="R322" s="24" t="n">
        <v>299.686</v>
      </c>
      <c r="S322" s="24" t="n">
        <v>299.686</v>
      </c>
      <c r="T322" s="24" t="n">
        <v>296.548</v>
      </c>
      <c r="U322" s="24" t="n">
        <v>298.214</v>
      </c>
      <c r="V322" s="24" t="n">
        <v>312.959</v>
      </c>
      <c r="W322" s="24" t="n">
        <v>348.629</v>
      </c>
      <c r="X322" s="24" t="n">
        <v>348.629</v>
      </c>
      <c r="Y322" s="24" t="n">
        <v>349.902</v>
      </c>
      <c r="Z322" s="24" t="n">
        <v>357.202</v>
      </c>
      <c r="AA322" s="24" t="n">
        <v>389.363</v>
      </c>
      <c r="AB322" s="24" t="n">
        <v>439.239</v>
      </c>
      <c r="AC322" s="24" t="n">
        <v>439.239</v>
      </c>
      <c r="AD322" s="24" t="n">
        <v>454.015</v>
      </c>
      <c r="AE322" s="24" t="n">
        <v>473.814</v>
      </c>
      <c r="AF322" s="24" t="n">
        <v>514</v>
      </c>
      <c r="AG322" s="24" t="n">
        <v>580.241</v>
      </c>
      <c r="AH322" s="24" t="n">
        <v>580.241</v>
      </c>
      <c r="AI322" s="24" t="n">
        <v>594.157</v>
      </c>
      <c r="AJ322" s="24" t="n">
        <v>656.205</v>
      </c>
      <c r="AK322" s="24" t="n">
        <v>715.098</v>
      </c>
      <c r="AL322" s="24" t="n">
        <v>816.471</v>
      </c>
      <c r="AM322" s="24" t="n">
        <v>816.471</v>
      </c>
      <c r="AN322" s="24" t="n">
        <v>884</v>
      </c>
      <c r="AO322" s="24" t="n">
        <v>942.128</v>
      </c>
      <c r="AP322" s="24" t="n">
        <v>983.974</v>
      </c>
      <c r="AQ322" s="24" t="n">
        <v>1045.64</v>
      </c>
      <c r="AR322" s="24" t="n">
        <v>1045.64</v>
      </c>
      <c r="AS322" s="24" t="n">
        <v>1071.365</v>
      </c>
      <c r="AT322" s="24" t="n">
        <v>1088.847</v>
      </c>
      <c r="AU322" s="24" t="n">
        <v>1083.436</v>
      </c>
      <c r="AV322" s="24" t="n">
        <v>1134.897</v>
      </c>
      <c r="AW322" s="24" t="n">
        <v>1134.897</v>
      </c>
      <c r="AX322" s="24" t="n">
        <v>1152.092</v>
      </c>
      <c r="AY322" s="24" t="n">
        <v>1183.403</v>
      </c>
      <c r="AZ322" s="24" t="n">
        <v>1186.065</v>
      </c>
      <c r="BA322" s="24" t="n">
        <v>1228.52</v>
      </c>
      <c r="BB322" s="24" t="n">
        <v>1228.52</v>
      </c>
      <c r="BC322" s="24" t="n">
        <v>1231.473</v>
      </c>
      <c r="BD322" s="24" t="n">
        <v>1241.538</v>
      </c>
      <c r="BE322" s="24" t="n">
        <v>1275.053</v>
      </c>
      <c r="BF322" s="24" t="n">
        <v>1278.161</v>
      </c>
      <c r="BG322" s="24" t="n">
        <v>1278.161</v>
      </c>
      <c r="BH322" s="24" t="n">
        <v>1298.059</v>
      </c>
      <c r="BI322" s="24" t="n">
        <v>1537.771</v>
      </c>
      <c r="BJ322" s="24" t="n">
        <v>1536.351</v>
      </c>
      <c r="BK322" s="24" t="n">
        <v>1585.136</v>
      </c>
      <c r="BL322" s="24" t="n">
        <v>1585.136</v>
      </c>
      <c r="BM322" s="24" t="n">
        <v>1596.11</v>
      </c>
      <c r="BN322" s="24" t="n">
        <v>1603.188</v>
      </c>
      <c r="BO322" s="36"/>
      <c r="BP322" s="36"/>
      <c r="BQ322" s="21" t="n">
        <f aca="false">BL322-BQ269-(BQ181-BQ154)+BQ380-BQ383</f>
        <v>1733.38297997821</v>
      </c>
      <c r="BR322" s="21" t="n">
        <f aca="false">BQ322-BR269-(BR181-BR154)+BR380-BR383</f>
        <v>1628.39382409115</v>
      </c>
      <c r="BS322" s="21" t="n">
        <f aca="false">BR322-BS269-(BS181-BS154)+BS380-BS383</f>
        <v>1755.11307812095</v>
      </c>
      <c r="BT322" s="21" t="n">
        <f aca="false">BS322-BT269-(BT181-BT154)+BT380-BT383</f>
        <v>1862.79239006709</v>
      </c>
      <c r="BU322" s="21" t="n">
        <f aca="false">BT322-BU269-(BU181-BU154)+BU380-BU383</f>
        <v>1979.41671959296</v>
      </c>
      <c r="BV322" s="15" t="s">
        <v>510</v>
      </c>
    </row>
    <row r="323" customFormat="false" ht="15" hidden="false" customHeight="false" outlineLevel="0" collapsed="false">
      <c r="B323" s="13" t="s">
        <v>511</v>
      </c>
      <c r="C323" s="19"/>
      <c r="D323" s="19"/>
      <c r="E323" s="19"/>
      <c r="F323" s="19"/>
      <c r="G323" s="19"/>
      <c r="H323" s="24" t="n">
        <v>7.606</v>
      </c>
      <c r="I323" s="24" t="n">
        <v>7.606</v>
      </c>
      <c r="J323" s="19"/>
      <c r="K323" s="24" t="n">
        <v>7.307</v>
      </c>
      <c r="L323" s="24" t="n">
        <v>6.3</v>
      </c>
      <c r="M323" s="24" t="n">
        <v>6.07</v>
      </c>
      <c r="N323" s="24" t="n">
        <v>6.07</v>
      </c>
      <c r="O323" s="24" t="n">
        <v>8.296</v>
      </c>
      <c r="P323" s="24" t="n">
        <v>6.745</v>
      </c>
      <c r="Q323" s="24" t="n">
        <v>7.334</v>
      </c>
      <c r="R323" s="24" t="n">
        <v>9.013</v>
      </c>
      <c r="S323" s="24" t="n">
        <v>9.013</v>
      </c>
      <c r="T323" s="24" t="n">
        <v>10.436</v>
      </c>
      <c r="U323" s="24" t="n">
        <v>9.133</v>
      </c>
      <c r="V323" s="24" t="n">
        <v>8.917</v>
      </c>
      <c r="W323" s="24" t="n">
        <v>9.301</v>
      </c>
      <c r="X323" s="24" t="n">
        <v>9.301</v>
      </c>
      <c r="Y323" s="24" t="n">
        <v>8.909</v>
      </c>
      <c r="Z323" s="24" t="n">
        <v>8.932</v>
      </c>
      <c r="AA323" s="24" t="n">
        <v>8.604</v>
      </c>
      <c r="AB323" s="24" t="n">
        <v>7.382</v>
      </c>
      <c r="AC323" s="24" t="n">
        <v>7.382</v>
      </c>
      <c r="AD323" s="24" t="n">
        <v>8.598</v>
      </c>
      <c r="AE323" s="24" t="n">
        <v>9.089</v>
      </c>
      <c r="AF323" s="24" t="n">
        <v>9.333</v>
      </c>
      <c r="AG323" s="24" t="n">
        <v>7.62</v>
      </c>
      <c r="AH323" s="24" t="n">
        <v>7.62</v>
      </c>
      <c r="AI323" s="24" t="n">
        <v>6.291</v>
      </c>
      <c r="AJ323" s="24" t="n">
        <v>7.236</v>
      </c>
      <c r="AK323" s="24" t="n">
        <v>7.531</v>
      </c>
      <c r="AL323" s="24" t="n">
        <v>9.356</v>
      </c>
      <c r="AM323" s="24" t="n">
        <v>9.356</v>
      </c>
      <c r="AN323" s="24" t="n">
        <v>9.612</v>
      </c>
      <c r="AO323" s="24" t="n">
        <v>10.064</v>
      </c>
      <c r="AP323" s="24" t="n">
        <v>10.031</v>
      </c>
      <c r="AQ323" s="24" t="n">
        <v>9.558</v>
      </c>
      <c r="AR323" s="24" t="n">
        <v>9.558</v>
      </c>
      <c r="AS323" s="24" t="n">
        <v>8.997</v>
      </c>
      <c r="AT323" s="24" t="n">
        <v>8.053</v>
      </c>
      <c r="AU323" s="24" t="n">
        <v>7.769</v>
      </c>
      <c r="AV323" s="24" t="n">
        <v>8.097</v>
      </c>
      <c r="AW323" s="24" t="n">
        <v>8.097</v>
      </c>
      <c r="AX323" s="24" t="n">
        <v>8.386</v>
      </c>
      <c r="AY323" s="24" t="n">
        <v>9</v>
      </c>
      <c r="AZ323" s="24" t="n">
        <v>8.806</v>
      </c>
      <c r="BA323" s="24" t="n">
        <v>9.496</v>
      </c>
      <c r="BB323" s="24" t="n">
        <v>9.496</v>
      </c>
      <c r="BC323" s="24" t="n">
        <v>10.034</v>
      </c>
      <c r="BD323" s="24" t="n">
        <v>10.237</v>
      </c>
      <c r="BE323" s="24" t="n">
        <v>10.659</v>
      </c>
      <c r="BF323" s="24" t="n">
        <v>10.609</v>
      </c>
      <c r="BG323" s="24" t="n">
        <v>10.609</v>
      </c>
      <c r="BH323" s="24" t="n">
        <v>8.509</v>
      </c>
      <c r="BI323" s="24" t="n">
        <v>7.572</v>
      </c>
      <c r="BJ323" s="24" t="n">
        <v>8.008</v>
      </c>
      <c r="BK323" s="24" t="n">
        <v>8.243</v>
      </c>
      <c r="BL323" s="24" t="n">
        <v>8.243</v>
      </c>
      <c r="BM323" s="24" t="n">
        <v>7.947</v>
      </c>
      <c r="BN323" s="24" t="n">
        <v>8.828</v>
      </c>
      <c r="BO323" s="36"/>
      <c r="BP323" s="36"/>
      <c r="BQ323" s="21" t="n">
        <f aca="false">BL323</f>
        <v>8.243</v>
      </c>
      <c r="BR323" s="21" t="n">
        <f aca="false">BQ323</f>
        <v>8.243</v>
      </c>
      <c r="BS323" s="21" t="n">
        <f aca="false">BR323</f>
        <v>8.243</v>
      </c>
      <c r="BT323" s="21" t="n">
        <f aca="false">BS323</f>
        <v>8.243</v>
      </c>
      <c r="BU323" s="21" t="n">
        <f aca="false">BT323</f>
        <v>8.243</v>
      </c>
      <c r="BV323" s="15"/>
    </row>
    <row r="324" customFormat="false" ht="15" hidden="false" customHeight="false" outlineLevel="0" collapsed="false">
      <c r="B324" s="13" t="s">
        <v>512</v>
      </c>
      <c r="C324" s="19"/>
      <c r="D324" s="19"/>
      <c r="E324" s="19"/>
      <c r="F324" s="19"/>
      <c r="G324" s="19"/>
      <c r="H324" s="24" t="n">
        <v>169.914</v>
      </c>
      <c r="I324" s="24" t="n">
        <v>169.914</v>
      </c>
      <c r="J324" s="19"/>
      <c r="K324" s="24" t="n">
        <v>169</v>
      </c>
      <c r="L324" s="24" t="n">
        <v>168.585</v>
      </c>
      <c r="M324" s="24" t="n">
        <v>168.434</v>
      </c>
      <c r="N324" s="24" t="n">
        <v>168.434</v>
      </c>
      <c r="O324" s="24" t="n">
        <v>168.703</v>
      </c>
      <c r="P324" s="24" t="n">
        <v>168.722</v>
      </c>
      <c r="Q324" s="24" t="n">
        <v>168.7</v>
      </c>
      <c r="R324" s="24" t="n">
        <v>210.788</v>
      </c>
      <c r="S324" s="24" t="n">
        <v>210.788</v>
      </c>
      <c r="T324" s="24" t="n">
        <v>211.405</v>
      </c>
      <c r="U324" s="24" t="n">
        <v>214.933</v>
      </c>
      <c r="V324" s="24" t="n">
        <v>217.453</v>
      </c>
      <c r="W324" s="24" t="n">
        <v>218.331</v>
      </c>
      <c r="X324" s="24" t="n">
        <v>218.331</v>
      </c>
      <c r="Y324" s="24" t="n">
        <v>216.999</v>
      </c>
      <c r="Z324" s="24" t="n">
        <v>215.547</v>
      </c>
      <c r="AA324" s="24" t="n">
        <v>278.939</v>
      </c>
      <c r="AB324" s="24" t="n">
        <v>274.082</v>
      </c>
      <c r="AC324" s="24" t="n">
        <v>274.082</v>
      </c>
      <c r="AD324" s="24" t="n">
        <v>275.604</v>
      </c>
      <c r="AE324" s="24" t="n">
        <v>278.626</v>
      </c>
      <c r="AF324" s="24" t="n">
        <v>277.078</v>
      </c>
      <c r="AG324" s="24" t="n">
        <v>275.502</v>
      </c>
      <c r="AH324" s="24" t="n">
        <v>275.502</v>
      </c>
      <c r="AI324" s="24" t="n">
        <v>271.593</v>
      </c>
      <c r="AJ324" s="24" t="n">
        <v>274.345</v>
      </c>
      <c r="AK324" s="24" t="n">
        <v>275.966</v>
      </c>
      <c r="AL324" s="24" t="n">
        <v>283.708</v>
      </c>
      <c r="AM324" s="24" t="n">
        <v>283.708</v>
      </c>
      <c r="AN324" s="24" t="n">
        <v>285.992</v>
      </c>
      <c r="AO324" s="24" t="n">
        <v>287.935</v>
      </c>
      <c r="AP324" s="24" t="n">
        <v>285.066</v>
      </c>
      <c r="AQ324" s="24" t="n">
        <v>285.502</v>
      </c>
      <c r="AR324" s="24" t="n">
        <v>285.502</v>
      </c>
      <c r="AS324" s="24" t="n">
        <v>286.859</v>
      </c>
      <c r="AT324" s="24" t="n">
        <v>296.905</v>
      </c>
      <c r="AU324" s="24" t="n">
        <v>289.962</v>
      </c>
      <c r="AV324" s="24" t="n">
        <v>293.165</v>
      </c>
      <c r="AW324" s="24" t="n">
        <v>293.165</v>
      </c>
      <c r="AX324" s="24" t="n">
        <v>293.676</v>
      </c>
      <c r="AY324" s="24" t="n">
        <v>297.079</v>
      </c>
      <c r="AZ324" s="24" t="n">
        <v>293.603</v>
      </c>
      <c r="BA324" s="24" t="n">
        <v>297.02</v>
      </c>
      <c r="BB324" s="24" t="n">
        <v>297.02</v>
      </c>
      <c r="BC324" s="24" t="n">
        <v>294.339</v>
      </c>
      <c r="BD324" s="24" t="n">
        <v>293.156</v>
      </c>
      <c r="BE324" s="24" t="n">
        <v>295.134</v>
      </c>
      <c r="BF324" s="24" t="n">
        <v>287.362</v>
      </c>
      <c r="BG324" s="24" t="n">
        <v>287.362</v>
      </c>
      <c r="BH324" s="24" t="n">
        <v>349.329</v>
      </c>
      <c r="BI324" s="24" t="n">
        <v>512.602</v>
      </c>
      <c r="BJ324" s="24" t="n">
        <v>501.575</v>
      </c>
      <c r="BK324" s="24" t="n">
        <v>500.86</v>
      </c>
      <c r="BL324" s="24" t="n">
        <v>500.86</v>
      </c>
      <c r="BM324" s="24" t="n">
        <v>496.263</v>
      </c>
      <c r="BN324" s="24" t="n">
        <v>494.922</v>
      </c>
      <c r="BO324" s="36"/>
      <c r="BP324" s="36"/>
      <c r="BQ324" s="21" t="n">
        <f aca="false">BL324+BQ382-BQ384</f>
        <v>650.86</v>
      </c>
      <c r="BR324" s="21" t="n">
        <f aca="false">BQ324+BR382-BR384</f>
        <v>563.36</v>
      </c>
      <c r="BS324" s="21" t="n">
        <f aca="false">BR324+BS382-BS384</f>
        <v>623.36</v>
      </c>
      <c r="BT324" s="21" t="n">
        <f aca="false">BS324+BT382-BT384</f>
        <v>683.36</v>
      </c>
      <c r="BU324" s="21" t="n">
        <f aca="false">BT324+BU382-BU384</f>
        <v>743.36</v>
      </c>
      <c r="BV324" s="15"/>
    </row>
    <row r="325" customFormat="false" ht="15" hidden="false" customHeight="false" outlineLevel="0" collapsed="false">
      <c r="B325" s="13" t="s">
        <v>513</v>
      </c>
      <c r="C325" s="19"/>
      <c r="D325" s="19"/>
      <c r="E325" s="19"/>
      <c r="F325" s="19"/>
      <c r="G325" s="19"/>
      <c r="H325" s="24" t="n">
        <v>132.778</v>
      </c>
      <c r="I325" s="24" t="n">
        <v>132.778</v>
      </c>
      <c r="J325" s="19"/>
      <c r="K325" s="24" t="n">
        <v>126.833</v>
      </c>
      <c r="L325" s="24" t="n">
        <v>132.067</v>
      </c>
      <c r="M325" s="24" t="n">
        <v>181.359</v>
      </c>
      <c r="N325" s="24" t="n">
        <v>181.359</v>
      </c>
      <c r="O325" s="24" t="n">
        <v>178.648</v>
      </c>
      <c r="P325" s="24" t="n">
        <v>176.328</v>
      </c>
      <c r="Q325" s="24" t="n">
        <v>175.872</v>
      </c>
      <c r="R325" s="24" t="n">
        <v>194.464</v>
      </c>
      <c r="S325" s="24" t="n">
        <v>194.464</v>
      </c>
      <c r="T325" s="24" t="n">
        <v>182.551</v>
      </c>
      <c r="U325" s="24" t="n">
        <v>182.836</v>
      </c>
      <c r="V325" s="24" t="n">
        <v>176.299</v>
      </c>
      <c r="W325" s="24" t="n">
        <v>86.74</v>
      </c>
      <c r="X325" s="24" t="n">
        <v>86.74</v>
      </c>
      <c r="Y325" s="24" t="n">
        <v>84.727</v>
      </c>
      <c r="Z325" s="24" t="n">
        <v>84.868</v>
      </c>
      <c r="AA325" s="24" t="n">
        <v>45.105</v>
      </c>
      <c r="AB325" s="24" t="n">
        <v>63.908</v>
      </c>
      <c r="AC325" s="24" t="n">
        <v>63.908</v>
      </c>
      <c r="AD325" s="24" t="n">
        <v>61.154</v>
      </c>
      <c r="AE325" s="24" t="n">
        <v>61.443</v>
      </c>
      <c r="AF325" s="24" t="n">
        <v>60.901</v>
      </c>
      <c r="AG325" s="24" t="n">
        <v>58.689</v>
      </c>
      <c r="AH325" s="24" t="n">
        <v>58.689</v>
      </c>
      <c r="AI325" s="24" t="n">
        <v>55.129</v>
      </c>
      <c r="AJ325" s="24" t="n">
        <v>55.747</v>
      </c>
      <c r="AK325" s="24" t="n">
        <v>55.115</v>
      </c>
      <c r="AL325" s="24" t="n">
        <v>49.415</v>
      </c>
      <c r="AM325" s="24" t="n">
        <v>49.415</v>
      </c>
      <c r="AN325" s="24" t="n">
        <v>47.861</v>
      </c>
      <c r="AO325" s="24" t="n">
        <v>31.71</v>
      </c>
      <c r="AP325" s="24" t="n">
        <v>25.431</v>
      </c>
      <c r="AQ325" s="24" t="n">
        <v>21.394</v>
      </c>
      <c r="AR325" s="24" t="n">
        <v>21.394</v>
      </c>
      <c r="AS325" s="24" t="n">
        <v>21.36</v>
      </c>
      <c r="AT325" s="24" t="n">
        <v>21.556</v>
      </c>
      <c r="AU325" s="24" t="n">
        <v>20.458</v>
      </c>
      <c r="AV325" s="24" t="n">
        <v>20.585</v>
      </c>
      <c r="AW325" s="24" t="n">
        <v>20.585</v>
      </c>
      <c r="AX325" s="24" t="n">
        <v>21.349</v>
      </c>
      <c r="AY325" s="24" t="n">
        <v>20.175</v>
      </c>
      <c r="AZ325" s="24" t="n">
        <v>18.216</v>
      </c>
      <c r="BA325" s="24" t="n">
        <v>16.332</v>
      </c>
      <c r="BB325" s="24" t="n">
        <v>16.332</v>
      </c>
      <c r="BC325" s="24" t="n">
        <v>14.828</v>
      </c>
      <c r="BD325" s="24" t="n">
        <v>13.115</v>
      </c>
      <c r="BE325" s="24" t="n">
        <v>12.118</v>
      </c>
      <c r="BF325" s="24" t="n">
        <v>6.569</v>
      </c>
      <c r="BG325" s="24" t="n">
        <v>6.569</v>
      </c>
      <c r="BH325" s="24" t="n">
        <v>4.73</v>
      </c>
      <c r="BI325" s="24" t="n">
        <v>4.727</v>
      </c>
      <c r="BJ325" s="24" t="n">
        <v>3.377</v>
      </c>
      <c r="BK325" s="24" t="n">
        <v>12.275</v>
      </c>
      <c r="BL325" s="24" t="n">
        <v>12.275</v>
      </c>
      <c r="BM325" s="24" t="n">
        <v>3.379</v>
      </c>
      <c r="BN325" s="24" t="n">
        <v>5.882</v>
      </c>
      <c r="BO325" s="36"/>
      <c r="BP325" s="36"/>
      <c r="BQ325" s="21" t="n">
        <f aca="false">BL325</f>
        <v>12.275</v>
      </c>
      <c r="BR325" s="21" t="n">
        <f aca="false">BQ325</f>
        <v>12.275</v>
      </c>
      <c r="BS325" s="21" t="n">
        <f aca="false">BR325</f>
        <v>12.275</v>
      </c>
      <c r="BT325" s="21" t="n">
        <f aca="false">BS325</f>
        <v>12.275</v>
      </c>
      <c r="BU325" s="21" t="n">
        <f aca="false">BT325</f>
        <v>12.275</v>
      </c>
      <c r="BV325" s="15"/>
    </row>
    <row r="326" customFormat="false" ht="15" hidden="false" customHeight="false" outlineLevel="0" collapsed="false">
      <c r="B326" s="13" t="s">
        <v>514</v>
      </c>
      <c r="C326" s="19"/>
      <c r="D326" s="19"/>
      <c r="E326" s="19"/>
      <c r="F326" s="19"/>
      <c r="G326" s="19"/>
      <c r="H326" s="24" t="n">
        <v>31.256</v>
      </c>
      <c r="I326" s="24" t="n">
        <v>31.256</v>
      </c>
      <c r="J326" s="19"/>
      <c r="K326" s="24" t="n">
        <v>31.852</v>
      </c>
      <c r="L326" s="24" t="n">
        <v>33.812</v>
      </c>
      <c r="M326" s="24" t="n">
        <v>32.088</v>
      </c>
      <c r="N326" s="24" t="n">
        <v>32.088</v>
      </c>
      <c r="O326" s="24" t="n">
        <v>36.257</v>
      </c>
      <c r="P326" s="24" t="n">
        <v>45.882</v>
      </c>
      <c r="Q326" s="24" t="n">
        <v>47.87</v>
      </c>
      <c r="R326" s="24" t="n">
        <v>42.854</v>
      </c>
      <c r="S326" s="24" t="n">
        <v>42.854</v>
      </c>
      <c r="T326" s="24" t="n">
        <v>42.503</v>
      </c>
      <c r="U326" s="24" t="n">
        <v>41.225</v>
      </c>
      <c r="V326" s="24" t="n">
        <v>39.98</v>
      </c>
      <c r="W326" s="24" t="n">
        <v>43.266</v>
      </c>
      <c r="X326" s="24" t="n">
        <v>43.266</v>
      </c>
      <c r="Y326" s="24" t="n">
        <v>47.043</v>
      </c>
      <c r="Z326" s="24" t="n">
        <v>57.854</v>
      </c>
      <c r="AA326" s="24" t="n">
        <v>62.16</v>
      </c>
      <c r="AB326" s="24" t="n">
        <v>63.746</v>
      </c>
      <c r="AC326" s="24" t="n">
        <v>63.746</v>
      </c>
      <c r="AD326" s="24" t="n">
        <v>65.32</v>
      </c>
      <c r="AE326" s="24" t="n">
        <v>68.576</v>
      </c>
      <c r="AF326" s="24" t="n">
        <v>70.963</v>
      </c>
      <c r="AG326" s="24" t="n">
        <v>70.116</v>
      </c>
      <c r="AH326" s="24" t="n">
        <v>70.116</v>
      </c>
      <c r="AI326" s="24" t="n">
        <v>71.754</v>
      </c>
      <c r="AJ326" s="24" t="n">
        <v>70.564</v>
      </c>
      <c r="AK326" s="24" t="n">
        <v>73.638</v>
      </c>
      <c r="AL326" s="24" t="n">
        <v>71.806</v>
      </c>
      <c r="AM326" s="24" t="n">
        <v>71.806</v>
      </c>
      <c r="AN326" s="24" t="n">
        <v>74.216</v>
      </c>
      <c r="AO326" s="24" t="n">
        <v>78.135</v>
      </c>
      <c r="AP326" s="24" t="n">
        <v>84.636</v>
      </c>
      <c r="AQ326" s="24" t="n">
        <v>85.284</v>
      </c>
      <c r="AR326" s="24" t="n">
        <v>85.284</v>
      </c>
      <c r="AS326" s="24" t="n">
        <v>101.857</v>
      </c>
      <c r="AT326" s="24" t="n">
        <v>113.4</v>
      </c>
      <c r="AU326" s="24" t="n">
        <v>107.43</v>
      </c>
      <c r="AV326" s="24" t="n">
        <v>100.198</v>
      </c>
      <c r="AW326" s="24" t="n">
        <v>100.198</v>
      </c>
      <c r="AX326" s="24" t="n">
        <v>106.052</v>
      </c>
      <c r="AY326" s="24" t="n">
        <v>104.311</v>
      </c>
      <c r="AZ326" s="24" t="n">
        <v>105.05</v>
      </c>
      <c r="BA326" s="24" t="n">
        <v>88.608</v>
      </c>
      <c r="BB326" s="24" t="n">
        <v>88.608</v>
      </c>
      <c r="BC326" s="24" t="n">
        <v>91.008</v>
      </c>
      <c r="BD326" s="24" t="n">
        <v>91.909</v>
      </c>
      <c r="BE326" s="24" t="n">
        <v>98.386</v>
      </c>
      <c r="BF326" s="24" t="n">
        <v>99.403</v>
      </c>
      <c r="BG326" s="24" t="n">
        <v>99.403</v>
      </c>
      <c r="BH326" s="24" t="n">
        <v>124.022</v>
      </c>
      <c r="BI326" s="24" t="n">
        <v>175.635</v>
      </c>
      <c r="BJ326" s="24" t="n">
        <v>175.739</v>
      </c>
      <c r="BK326" s="24" t="n">
        <v>150.143</v>
      </c>
      <c r="BL326" s="24" t="n">
        <v>150.143</v>
      </c>
      <c r="BM326" s="24" t="n">
        <v>157.628</v>
      </c>
      <c r="BN326" s="24" t="n">
        <v>164.708</v>
      </c>
      <c r="BO326" s="36"/>
      <c r="BP326" s="36"/>
      <c r="BQ326" s="21" t="n">
        <f aca="false">BL326-BQ263+N(BQ82)</f>
        <v>154.885688742788</v>
      </c>
      <c r="BR326" s="21" t="n">
        <f aca="false">BQ326-BR263+N(BR82)</f>
        <v>347.37596698531</v>
      </c>
      <c r="BS326" s="21" t="n">
        <f aca="false">BR326-BS263+N(BS82)</f>
        <v>352.765467487235</v>
      </c>
      <c r="BT326" s="21" t="n">
        <f aca="false">BS326-BT263+N(BT82)</f>
        <v>358.532233024294</v>
      </c>
      <c r="BU326" s="21" t="n">
        <f aca="false">BT326-BU263+N(BU82)</f>
        <v>364.702672148948</v>
      </c>
      <c r="BV326" s="15" t="s">
        <v>515</v>
      </c>
    </row>
    <row r="327" customFormat="false" ht="15" hidden="false" customHeight="false" outlineLevel="0" collapsed="false">
      <c r="B327" s="13" t="s">
        <v>516</v>
      </c>
      <c r="C327" s="19"/>
      <c r="D327" s="19"/>
      <c r="E327" s="19"/>
      <c r="F327" s="19"/>
      <c r="G327" s="19"/>
      <c r="H327" s="24" t="n">
        <v>60.227</v>
      </c>
      <c r="I327" s="24" t="n">
        <v>60.227</v>
      </c>
      <c r="J327" s="19"/>
      <c r="K327" s="24" t="n">
        <v>59.343</v>
      </c>
      <c r="L327" s="24" t="n">
        <v>58.863</v>
      </c>
      <c r="M327" s="24" t="n">
        <v>58.328</v>
      </c>
      <c r="N327" s="24" t="n">
        <v>58.328</v>
      </c>
      <c r="O327" s="24" t="n">
        <v>57.853</v>
      </c>
      <c r="P327" s="24" t="n">
        <v>57.378</v>
      </c>
      <c r="Q327" s="24" t="n">
        <v>56.903</v>
      </c>
      <c r="R327" s="24" t="n">
        <v>114.748</v>
      </c>
      <c r="S327" s="24" t="n">
        <v>114.748</v>
      </c>
      <c r="T327" s="24" t="n">
        <v>113.311</v>
      </c>
      <c r="U327" s="24" t="n">
        <v>113.001</v>
      </c>
      <c r="V327" s="24" t="n">
        <v>113.437</v>
      </c>
      <c r="W327" s="24" t="n">
        <v>110.405</v>
      </c>
      <c r="X327" s="24" t="n">
        <v>110.405</v>
      </c>
      <c r="Y327" s="24" t="n">
        <v>106.718</v>
      </c>
      <c r="Z327" s="24" t="n">
        <v>103.008</v>
      </c>
      <c r="AA327" s="24" t="n">
        <v>240.081</v>
      </c>
      <c r="AB327" s="24" t="n">
        <v>228.676</v>
      </c>
      <c r="AC327" s="24" t="n">
        <v>228.676</v>
      </c>
      <c r="AD327" s="24" t="n">
        <v>194.116</v>
      </c>
      <c r="AE327" s="24" t="n">
        <v>195.125</v>
      </c>
      <c r="AF327" s="24" t="n">
        <v>191.318</v>
      </c>
      <c r="AG327" s="24" t="n">
        <v>191.392</v>
      </c>
      <c r="AH327" s="24" t="n">
        <v>191.392</v>
      </c>
      <c r="AI327" s="24" t="n">
        <v>185.678</v>
      </c>
      <c r="AJ327" s="24" t="n">
        <v>186.442</v>
      </c>
      <c r="AK327" s="24" t="n">
        <v>189.028</v>
      </c>
      <c r="AL327" s="24" t="n">
        <v>192.751</v>
      </c>
      <c r="AM327" s="24" t="n">
        <v>192.751</v>
      </c>
      <c r="AN327" s="24" t="n">
        <v>193.015</v>
      </c>
      <c r="AO327" s="24" t="n">
        <v>192.902</v>
      </c>
      <c r="AP327" s="24" t="n">
        <v>187.384</v>
      </c>
      <c r="AQ327" s="24" t="n">
        <v>185.551</v>
      </c>
      <c r="AR327" s="24" t="n">
        <v>185.551</v>
      </c>
      <c r="AS327" s="24" t="n">
        <v>184.688</v>
      </c>
      <c r="AT327" s="24" t="n">
        <v>208.941</v>
      </c>
      <c r="AU327" s="24" t="n">
        <v>192.898</v>
      </c>
      <c r="AV327" s="24" t="n">
        <v>193.612</v>
      </c>
      <c r="AW327" s="24" t="n">
        <v>193.612</v>
      </c>
      <c r="AX327" s="24" t="n">
        <v>191.344</v>
      </c>
      <c r="AY327" s="24" t="n">
        <v>191.353</v>
      </c>
      <c r="AZ327" s="24" t="n">
        <v>184.99</v>
      </c>
      <c r="BA327" s="24" t="n">
        <v>185.51</v>
      </c>
      <c r="BB327" s="24" t="n">
        <v>185.51</v>
      </c>
      <c r="BC327" s="24" t="n">
        <v>180.084</v>
      </c>
      <c r="BD327" s="24" t="n">
        <v>176.147</v>
      </c>
      <c r="BE327" s="24" t="n">
        <v>175.2</v>
      </c>
      <c r="BF327" s="24" t="n">
        <v>165.325</v>
      </c>
      <c r="BG327" s="24" t="n">
        <v>165.325</v>
      </c>
      <c r="BH327" s="24" t="n">
        <v>187.52</v>
      </c>
      <c r="BI327" s="24" t="n">
        <v>324.533</v>
      </c>
      <c r="BJ327" s="24" t="n">
        <v>330.29</v>
      </c>
      <c r="BK327" s="24" t="n">
        <v>329.859</v>
      </c>
      <c r="BL327" s="24" t="n">
        <v>329.859</v>
      </c>
      <c r="BM327" s="24" t="n">
        <v>321.438</v>
      </c>
      <c r="BN327" s="24" t="n">
        <v>311.773</v>
      </c>
      <c r="BO327" s="36"/>
      <c r="BP327" s="36"/>
      <c r="BQ327" s="21" t="n">
        <f aca="false">BL327-BQ154+BQ381-BQ385</f>
        <v>405.359</v>
      </c>
      <c r="BR327" s="21" t="n">
        <f aca="false">BQ327-BR154+BR381-BR385</f>
        <v>333.859</v>
      </c>
      <c r="BS327" s="21" t="n">
        <f aca="false">BR327-BS154+BS381-BS385</f>
        <v>365.1715</v>
      </c>
      <c r="BT327" s="21" t="n">
        <f aca="false">BS327-BT154+BT381-BT385</f>
        <v>392.109</v>
      </c>
      <c r="BU327" s="21" t="n">
        <f aca="false">BT327-BU154+BU381-BU385</f>
        <v>414.6715</v>
      </c>
      <c r="BV327" s="15"/>
    </row>
    <row r="328" customFormat="false" ht="15" hidden="false" customHeight="false" outlineLevel="0" collapsed="false">
      <c r="B328" s="13" t="s">
        <v>517</v>
      </c>
      <c r="C328" s="19"/>
      <c r="D328" s="19"/>
      <c r="E328" s="19"/>
      <c r="F328" s="19"/>
      <c r="G328" s="19"/>
      <c r="H328" s="24" t="n">
        <v>50.133</v>
      </c>
      <c r="I328" s="24" t="n">
        <v>50.133</v>
      </c>
      <c r="J328" s="19"/>
      <c r="K328" s="24" t="n">
        <v>49.742</v>
      </c>
      <c r="L328" s="24" t="n">
        <v>43.595</v>
      </c>
      <c r="M328" s="24" t="n">
        <v>19.722</v>
      </c>
      <c r="N328" s="24" t="n">
        <v>19.722</v>
      </c>
      <c r="O328" s="24" t="n">
        <v>17.131</v>
      </c>
      <c r="P328" s="24" t="n">
        <v>18.525</v>
      </c>
      <c r="Q328" s="24" t="n">
        <v>27.123</v>
      </c>
      <c r="R328" s="24" t="n">
        <v>14.691</v>
      </c>
      <c r="S328" s="24" t="n">
        <v>14.691</v>
      </c>
      <c r="T328" s="24" t="n">
        <v>17.663</v>
      </c>
      <c r="U328" s="24" t="n">
        <v>19.852</v>
      </c>
      <c r="V328" s="24" t="n">
        <v>23.591</v>
      </c>
      <c r="W328" s="24" t="n">
        <v>22.577</v>
      </c>
      <c r="X328" s="24" t="n">
        <v>22.577</v>
      </c>
      <c r="Y328" s="24" t="n">
        <v>22.391</v>
      </c>
      <c r="Z328" s="24" t="n">
        <v>24.357</v>
      </c>
      <c r="AA328" s="24" t="n">
        <v>26.595</v>
      </c>
      <c r="AB328" s="24" t="n">
        <v>35.615</v>
      </c>
      <c r="AC328" s="24" t="n">
        <v>35.615</v>
      </c>
      <c r="AD328" s="24" t="n">
        <v>80.415</v>
      </c>
      <c r="AE328" s="24" t="n">
        <v>82.427</v>
      </c>
      <c r="AF328" s="24" t="n">
        <v>81.377</v>
      </c>
      <c r="AG328" s="24" t="n">
        <v>95.598</v>
      </c>
      <c r="AH328" s="24" t="n">
        <v>95.598</v>
      </c>
      <c r="AI328" s="24" t="n">
        <v>94.961</v>
      </c>
      <c r="AJ328" s="24" t="n">
        <v>96.851</v>
      </c>
      <c r="AK328" s="24" t="n">
        <v>98.338</v>
      </c>
      <c r="AL328" s="24" t="n">
        <v>96.398</v>
      </c>
      <c r="AM328" s="24" t="n">
        <v>96.398</v>
      </c>
      <c r="AN328" s="24" t="n">
        <v>97.979</v>
      </c>
      <c r="AO328" s="24" t="n">
        <v>100.876</v>
      </c>
      <c r="AP328" s="24" t="n">
        <v>99.368</v>
      </c>
      <c r="AQ328" s="24" t="n">
        <v>94.719</v>
      </c>
      <c r="AR328" s="24" t="n">
        <v>94.719</v>
      </c>
      <c r="AS328" s="24" t="n">
        <v>101.576</v>
      </c>
      <c r="AT328" s="24" t="n">
        <v>115.161</v>
      </c>
      <c r="AU328" s="24" t="n">
        <v>120.401</v>
      </c>
      <c r="AV328" s="24" t="n">
        <v>96.766</v>
      </c>
      <c r="AW328" s="24" t="n">
        <v>96.766</v>
      </c>
      <c r="AX328" s="24" t="n">
        <v>94.28</v>
      </c>
      <c r="AY328" s="24" t="n">
        <v>96.052</v>
      </c>
      <c r="AZ328" s="24" t="n">
        <v>102.228</v>
      </c>
      <c r="BA328" s="24" t="n">
        <v>103.778</v>
      </c>
      <c r="BB328" s="24" t="n">
        <v>103.778</v>
      </c>
      <c r="BC328" s="24" t="n">
        <v>101.581</v>
      </c>
      <c r="BD328" s="24" t="n">
        <v>104.688</v>
      </c>
      <c r="BE328" s="24" t="n">
        <v>97.961</v>
      </c>
      <c r="BF328" s="24" t="n">
        <v>92.498</v>
      </c>
      <c r="BG328" s="24" t="n">
        <v>92.498</v>
      </c>
      <c r="BH328" s="24" t="n">
        <v>106.054</v>
      </c>
      <c r="BI328" s="24" t="n">
        <v>139.347</v>
      </c>
      <c r="BJ328" s="24" t="n">
        <v>122.174</v>
      </c>
      <c r="BK328" s="24" t="n">
        <v>124.625</v>
      </c>
      <c r="BL328" s="24" t="n">
        <v>124.625</v>
      </c>
      <c r="BM328" s="24" t="n">
        <v>125.769</v>
      </c>
      <c r="BN328" s="24" t="n">
        <v>123.792</v>
      </c>
      <c r="BO328" s="36"/>
      <c r="BP328" s="36"/>
      <c r="BQ328" s="21" t="n">
        <f aca="false">BL328</f>
        <v>124.625</v>
      </c>
      <c r="BR328" s="21" t="n">
        <f aca="false">BQ328</f>
        <v>124.625</v>
      </c>
      <c r="BS328" s="21" t="n">
        <f aca="false">BR328</f>
        <v>124.625</v>
      </c>
      <c r="BT328" s="21" t="n">
        <f aca="false">BS328</f>
        <v>124.625</v>
      </c>
      <c r="BU328" s="21" t="n">
        <f aca="false">BT328</f>
        <v>124.625</v>
      </c>
      <c r="BV328" s="15"/>
    </row>
    <row r="329" customFormat="false" ht="15" hidden="false" customHeight="false" outlineLevel="0" collapsed="false">
      <c r="B329" s="13" t="s">
        <v>518</v>
      </c>
      <c r="C329" s="19"/>
      <c r="D329" s="19"/>
      <c r="E329" s="19"/>
      <c r="F329" s="19"/>
      <c r="G329" s="19"/>
      <c r="H329" s="24" t="n">
        <v>623.42</v>
      </c>
      <c r="I329" s="24" t="n">
        <v>623.42</v>
      </c>
      <c r="J329" s="19"/>
      <c r="K329" s="24" t="n">
        <v>0</v>
      </c>
      <c r="L329" s="24" t="n">
        <v>0</v>
      </c>
      <c r="M329" s="24" t="n">
        <v>0</v>
      </c>
      <c r="N329" s="24" t="n">
        <v>0</v>
      </c>
      <c r="O329" s="24" t="n">
        <v>0</v>
      </c>
      <c r="P329" s="24" t="n">
        <v>0</v>
      </c>
      <c r="Q329" s="24" t="n">
        <v>0</v>
      </c>
      <c r="R329" s="24" t="n">
        <v>0</v>
      </c>
      <c r="S329" s="24" t="n">
        <v>0</v>
      </c>
      <c r="T329" s="24" t="n">
        <v>0</v>
      </c>
      <c r="U329" s="24" t="n">
        <v>0</v>
      </c>
      <c r="V329" s="24" t="n">
        <v>0</v>
      </c>
      <c r="W329" s="24" t="n">
        <v>0</v>
      </c>
      <c r="X329" s="24" t="n">
        <v>0</v>
      </c>
      <c r="Y329" s="24" t="n">
        <v>0</v>
      </c>
      <c r="Z329" s="24" t="n">
        <v>0</v>
      </c>
      <c r="AA329" s="24" t="n">
        <v>0</v>
      </c>
      <c r="AB329" s="24" t="n">
        <v>0</v>
      </c>
      <c r="AC329" s="24" t="n">
        <v>0</v>
      </c>
      <c r="AD329" s="24" t="n">
        <v>0</v>
      </c>
      <c r="AE329" s="24" t="n">
        <v>0</v>
      </c>
      <c r="AF329" s="24" t="n">
        <v>0</v>
      </c>
      <c r="AG329" s="24" t="n">
        <v>0</v>
      </c>
      <c r="AH329" s="24" t="n">
        <v>0</v>
      </c>
      <c r="AI329" s="24" t="n">
        <v>0</v>
      </c>
      <c r="AJ329" s="24" t="n">
        <v>0</v>
      </c>
      <c r="AK329" s="24" t="n">
        <v>0</v>
      </c>
      <c r="AL329" s="24" t="n">
        <v>0</v>
      </c>
      <c r="AM329" s="24" t="n">
        <v>0</v>
      </c>
      <c r="AN329" s="24" t="n">
        <v>0</v>
      </c>
      <c r="AO329" s="24" t="n">
        <v>0</v>
      </c>
      <c r="AP329" s="24" t="n">
        <v>0</v>
      </c>
      <c r="AQ329" s="24" t="n">
        <v>0</v>
      </c>
      <c r="AR329" s="24" t="n">
        <v>0</v>
      </c>
      <c r="AS329" s="24" t="n">
        <v>0</v>
      </c>
      <c r="AT329" s="24" t="n">
        <v>0</v>
      </c>
      <c r="AU329" s="24" t="n">
        <v>0</v>
      </c>
      <c r="AV329" s="24" t="n">
        <v>0</v>
      </c>
      <c r="AW329" s="24" t="n">
        <v>0</v>
      </c>
      <c r="AX329" s="24" t="n">
        <v>0</v>
      </c>
      <c r="AY329" s="24" t="n">
        <v>0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0</v>
      </c>
      <c r="BF329" s="24" t="n">
        <v>0</v>
      </c>
      <c r="BG329" s="24" t="n">
        <v>0</v>
      </c>
      <c r="BH329" s="24" t="n">
        <v>0</v>
      </c>
      <c r="BI329" s="24" t="n">
        <v>0</v>
      </c>
      <c r="BJ329" s="24" t="n">
        <v>0</v>
      </c>
      <c r="BK329" s="24" t="n">
        <v>0</v>
      </c>
      <c r="BL329" s="24" t="n">
        <v>0</v>
      </c>
      <c r="BM329" s="24" t="n">
        <v>0</v>
      </c>
      <c r="BN329" s="24" t="n">
        <v>0</v>
      </c>
      <c r="BO329" s="36"/>
      <c r="BP329" s="36"/>
      <c r="BQ329" s="21" t="n">
        <f aca="false">BL329</f>
        <v>0</v>
      </c>
      <c r="BR329" s="21" t="n">
        <f aca="false">BQ329</f>
        <v>0</v>
      </c>
      <c r="BS329" s="21" t="n">
        <f aca="false">BR329</f>
        <v>0</v>
      </c>
      <c r="BT329" s="21" t="n">
        <f aca="false">BS329</f>
        <v>0</v>
      </c>
      <c r="BU329" s="21" t="n">
        <f aca="false">BT329</f>
        <v>0</v>
      </c>
      <c r="BV329" s="15"/>
    </row>
    <row r="330" customFormat="false" ht="15" hidden="false" customHeight="false" outlineLevel="0" collapsed="false">
      <c r="B330" s="60" t="s">
        <v>519</v>
      </c>
      <c r="C330" s="61"/>
      <c r="D330" s="61"/>
      <c r="E330" s="61"/>
      <c r="F330" s="61"/>
      <c r="G330" s="61"/>
      <c r="H330" s="62" t="n">
        <f aca="false">IF(ISNUMBER(H310),H321+H322+H323+H324+H325+H326+H327+H328+H329,"")</f>
        <v>2856.936</v>
      </c>
      <c r="I330" s="62" t="n">
        <f aca="false">IF(ISNUMBER(I310),I321+I322+I323+I324+I325+I326+I327+I328+I329,"")</f>
        <v>2856.936</v>
      </c>
      <c r="J330" s="61"/>
      <c r="K330" s="62" t="n">
        <f aca="false">IF(ISNUMBER(K310),K321+K322+K323+K324+K325+K326+K327+K328+K329,"")</f>
        <v>1337.225</v>
      </c>
      <c r="L330" s="62" t="n">
        <f aca="false">IF(ISNUMBER(L310),L321+L322+L323+L324+L325+L326+L327+L328+L329,"")</f>
        <v>1410.722</v>
      </c>
      <c r="M330" s="62" t="n">
        <f aca="false">IF(ISNUMBER(M310),M321+M322+M323+M324+M325+M326+M327+M328+M329,"")</f>
        <v>1382.139</v>
      </c>
      <c r="N330" s="62" t="n">
        <f aca="false">IF(ISNUMBER(N310),N321+N322+N323+N324+N325+N326+N327+N328+N329,"")</f>
        <v>1382.139</v>
      </c>
      <c r="O330" s="62" t="n">
        <f aca="false">IF(ISNUMBER(O310),O321+O322+O323+O324+O325+O326+O327+O328+O329,"")</f>
        <v>1365.712</v>
      </c>
      <c r="P330" s="62" t="n">
        <f aca="false">IF(ISNUMBER(P310),P321+P322+P323+P324+P325+P326+P327+P328+P329,"")</f>
        <v>1401.343</v>
      </c>
      <c r="Q330" s="62" t="n">
        <f aca="false">IF(ISNUMBER(Q310),Q321+Q322+Q323+Q324+Q325+Q326+Q327+Q328+Q329,"")</f>
        <v>1365.144</v>
      </c>
      <c r="R330" s="62" t="n">
        <f aca="false">IF(ISNUMBER(R310),R321+R322+R323+R324+R325+R326+R327+R328+R329,"")</f>
        <v>1579.815</v>
      </c>
      <c r="S330" s="62" t="n">
        <f aca="false">IF(ISNUMBER(S310),S321+S322+S323+S324+S325+S326+S327+S328+S329,"")</f>
        <v>1579.815</v>
      </c>
      <c r="T330" s="62" t="n">
        <f aca="false">IF(ISNUMBER(T310),T321+T322+T323+T324+T325+T326+T327+T328+T329,"")</f>
        <v>1617.926</v>
      </c>
      <c r="U330" s="62" t="n">
        <f aca="false">IF(ISNUMBER(U310),U321+U322+U323+U324+U325+U326+U327+U328+U329,"")</f>
        <v>1624.738</v>
      </c>
      <c r="V330" s="62" t="n">
        <f aca="false">IF(ISNUMBER(V310),V321+V322+V323+V324+V325+V326+V327+V328+V329,"")</f>
        <v>1723.512</v>
      </c>
      <c r="W330" s="62" t="n">
        <f aca="false">IF(ISNUMBER(W310),W321+W322+W323+W324+W325+W326+W327+W328+W329,"")</f>
        <v>1712.339</v>
      </c>
      <c r="X330" s="62" t="n">
        <f aca="false">IF(ISNUMBER(X310),X321+X322+X323+X324+X325+X326+X327+X328+X329,"")</f>
        <v>1712.339</v>
      </c>
      <c r="Y330" s="62" t="n">
        <f aca="false">IF(ISNUMBER(Y310),Y321+Y322+Y323+Y324+Y325+Y326+Y327+Y328+Y329,"")</f>
        <v>1539.539</v>
      </c>
      <c r="Z330" s="62" t="n">
        <f aca="false">IF(ISNUMBER(Z310),Z321+Z322+Z323+Z324+Z325+Z326+Z327+Z328+Z329,"")</f>
        <v>1742.465</v>
      </c>
      <c r="AA330" s="62" t="n">
        <f aca="false">IF(ISNUMBER(AA310),AA321+AA322+AA323+AA324+AA325+AA326+AA327+AA328+AA329,"")</f>
        <v>1735.704</v>
      </c>
      <c r="AB330" s="62" t="n">
        <f aca="false">IF(ISNUMBER(AB310),AB321+AB322+AB323+AB324+AB325+AB326+AB327+AB328+AB329,"")</f>
        <v>1655.096</v>
      </c>
      <c r="AC330" s="62" t="n">
        <f aca="false">IF(ISNUMBER(AC310),AC321+AC322+AC323+AC324+AC325+AC326+AC327+AC328+AC329,"")</f>
        <v>1655.096</v>
      </c>
      <c r="AD330" s="62" t="n">
        <f aca="false">IF(ISNUMBER(AD310),AD321+AD322+AD323+AD324+AD325+AD326+AD327+AD328+AD329,"")</f>
        <v>1716.786</v>
      </c>
      <c r="AE330" s="62" t="n">
        <f aca="false">IF(ISNUMBER(AE310),AE321+AE322+AE323+AE324+AE325+AE326+AE327+AE328+AE329,"")</f>
        <v>1756.48</v>
      </c>
      <c r="AF330" s="62" t="n">
        <f aca="false">IF(ISNUMBER(AF310),AF321+AF322+AF323+AF324+AF325+AF326+AF327+AF328+AF329,"")</f>
        <v>1826.42</v>
      </c>
      <c r="AG330" s="62" t="n">
        <f aca="false">IF(ISNUMBER(AG310),AG321+AG322+AG323+AG324+AG325+AG326+AG327+AG328+AG329,"")</f>
        <v>1908.913</v>
      </c>
      <c r="AH330" s="62" t="n">
        <f aca="false">IF(ISNUMBER(AH310),AH321+AH322+AH323+AH324+AH325+AH326+AH327+AH328+AH329,"")</f>
        <v>1908.913</v>
      </c>
      <c r="AI330" s="62" t="n">
        <f aca="false">IF(ISNUMBER(AI310),AI321+AI322+AI323+AI324+AI325+AI326+AI327+AI328+AI329,"")</f>
        <v>1966.603</v>
      </c>
      <c r="AJ330" s="62" t="n">
        <f aca="false">IF(ISNUMBER(AJ310),AJ321+AJ322+AJ323+AJ324+AJ325+AJ326+AJ327+AJ328+AJ329,"")</f>
        <v>1971.363</v>
      </c>
      <c r="AK330" s="62" t="n">
        <f aca="false">IF(ISNUMBER(AK310),AK321+AK322+AK323+AK324+AK325+AK326+AK327+AK328+AK329,"")</f>
        <v>2124.314</v>
      </c>
      <c r="AL330" s="62" t="n">
        <f aca="false">IF(ISNUMBER(AL310),AL321+AL322+AL323+AL324+AL325+AL326+AL327+AL328+AL329,"")</f>
        <v>2293.503</v>
      </c>
      <c r="AM330" s="62" t="n">
        <f aca="false">IF(ISNUMBER(AM310),AM321+AM322+AM323+AM324+AM325+AM326+AM327+AM328+AM329,"")</f>
        <v>2293.503</v>
      </c>
      <c r="AN330" s="62" t="n">
        <f aca="false">IF(ISNUMBER(AN310),AN321+AN322+AN323+AN324+AN325+AN326+AN327+AN328+AN329,"")</f>
        <v>2351.914</v>
      </c>
      <c r="AO330" s="62" t="n">
        <f aca="false">IF(ISNUMBER(AO310),AO321+AO322+AO323+AO324+AO325+AO326+AO327+AO328+AO329,"")</f>
        <v>2566.402</v>
      </c>
      <c r="AP330" s="62" t="n">
        <f aca="false">IF(ISNUMBER(AP310),AP321+AP322+AP323+AP324+AP325+AP326+AP327+AP328+AP329,"")</f>
        <v>2489.713</v>
      </c>
      <c r="AQ330" s="62" t="n">
        <f aca="false">IF(ISNUMBER(AQ310),AQ321+AQ322+AQ323+AQ324+AQ325+AQ326+AQ327+AQ328+AQ329,"")</f>
        <v>2501.38</v>
      </c>
      <c r="AR330" s="62" t="n">
        <f aca="false">IF(ISNUMBER(AR310),AR321+AR322+AR323+AR324+AR325+AR326+AR327+AR328+AR329,"")</f>
        <v>2501.38</v>
      </c>
      <c r="AS330" s="62" t="n">
        <f aca="false">IF(ISNUMBER(AS310),AS321+AS322+AS323+AS324+AS325+AS326+AS327+AS328+AS329,"")</f>
        <v>2569.107</v>
      </c>
      <c r="AT330" s="62" t="n">
        <f aca="false">IF(ISNUMBER(AT310),AT321+AT322+AT323+AT324+AT325+AT326+AT327+AT328+AT329,"")</f>
        <v>2705.523</v>
      </c>
      <c r="AU330" s="62" t="n">
        <f aca="false">IF(ISNUMBER(AU310),AU321+AU322+AU323+AU324+AU325+AU326+AU327+AU328+AU329,"")</f>
        <v>2672.058</v>
      </c>
      <c r="AV330" s="62" t="n">
        <f aca="false">IF(ISNUMBER(AV310),AV321+AV322+AV323+AV324+AV325+AV326+AV327+AV328+AV329,"")</f>
        <v>2618.939</v>
      </c>
      <c r="AW330" s="62" t="n">
        <f aca="false">IF(ISNUMBER(AW310),AW321+AW322+AW323+AW324+AW325+AW326+AW327+AW328+AW329,"")</f>
        <v>2618.939</v>
      </c>
      <c r="AX330" s="62" t="n">
        <f aca="false">IF(ISNUMBER(AX310),AX321+AX322+AX323+AX324+AX325+AX326+AX327+AX328+AX329,"")</f>
        <v>2718.908</v>
      </c>
      <c r="AY330" s="62" t="n">
        <f aca="false">IF(ISNUMBER(AY310),AY321+AY322+AY323+AY324+AY325+AY326+AY327+AY328+AY329,"")</f>
        <v>2740.574</v>
      </c>
      <c r="AZ330" s="62" t="n">
        <f aca="false">IF(ISNUMBER(AZ310),AZ321+AZ322+AZ323+AZ324+AZ325+AZ326+AZ327+AZ328+AZ329,"")</f>
        <v>2776.839</v>
      </c>
      <c r="BA330" s="62" t="n">
        <f aca="false">IF(ISNUMBER(BA310),BA321+BA322+BA323+BA324+BA325+BA326+BA327+BA328+BA329,"")</f>
        <v>2747.065</v>
      </c>
      <c r="BB330" s="62" t="n">
        <f aca="false">IF(ISNUMBER(BB310),BB321+BB322+BB323+BB324+BB325+BB326+BB327+BB328+BB329,"")</f>
        <v>2747.065</v>
      </c>
      <c r="BC330" s="62" t="n">
        <f aca="false">IF(ISNUMBER(BC310),BC321+BC322+BC323+BC324+BC325+BC326+BC327+BC328+BC329,"")</f>
        <v>2788.01</v>
      </c>
      <c r="BD330" s="62" t="n">
        <f aca="false">IF(ISNUMBER(BD310),BD321+BD322+BD323+BD324+BD325+BD326+BD327+BD328+BD329,"")</f>
        <v>2840.633</v>
      </c>
      <c r="BE330" s="62" t="n">
        <f aca="false">IF(ISNUMBER(BE310),BE321+BE322+BE323+BE324+BE325+BE326+BE327+BE328+BE329,"")</f>
        <v>2947.46</v>
      </c>
      <c r="BF330" s="62" t="n">
        <f aca="false">IF(ISNUMBER(BF310),BF321+BF322+BF323+BF324+BF325+BF326+BF327+BF328+BF329,"")</f>
        <v>2869.924</v>
      </c>
      <c r="BG330" s="62" t="n">
        <f aca="false">IF(ISNUMBER(BG310),BG321+BG322+BG323+BG324+BG325+BG326+BG327+BG328+BG329,"")</f>
        <v>2869.924</v>
      </c>
      <c r="BH330" s="62" t="n">
        <f aca="false">IF(ISNUMBER(BH310),BH321+BH322+BH323+BH324+BH325+BH326+BH327+BH328+BH329,"")</f>
        <v>3054.008</v>
      </c>
      <c r="BI330" s="62" t="n">
        <f aca="false">IF(ISNUMBER(BI310),BI321+BI322+BI323+BI324+BI325+BI326+BI327+BI328+BI329,"")</f>
        <v>3699.072</v>
      </c>
      <c r="BJ330" s="62" t="n">
        <f aca="false">IF(ISNUMBER(BJ310),BJ321+BJ322+BJ323+BJ324+BJ325+BJ326+BJ327+BJ328+BJ329,"")</f>
        <v>3781.537</v>
      </c>
      <c r="BK330" s="62" t="n">
        <f aca="false">IF(ISNUMBER(BK310),BK321+BK322+BK323+BK324+BK325+BK326+BK327+BK328+BK329,"")</f>
        <v>4271.495</v>
      </c>
      <c r="BL330" s="62" t="n">
        <f aca="false">IF(ISNUMBER(BL310),BL321+BL322+BL323+BL324+BL325+BL326+BL327+BL328+BL329,"")</f>
        <v>4271.495</v>
      </c>
      <c r="BM330" s="62" t="n">
        <f aca="false">IF(ISNUMBER(BM310),BM321+BM322+BM323+BM324+BM325+BM326+BM327+BM328+BM329,"")</f>
        <v>4324.91</v>
      </c>
      <c r="BN330" s="62" t="n">
        <f aca="false">IF(ISNUMBER(BN310),BN321+BN322+BN323+BN324+BN325+BN326+BN327+BN328+BN329,"")</f>
        <v>4423.13</v>
      </c>
      <c r="BO330" s="61"/>
      <c r="BP330" s="61"/>
      <c r="BQ330" s="62" t="n">
        <f aca="false">BQ321+BQ322+BQ323+BQ324+BQ325+BQ326+BQ327+BQ328+BQ329</f>
        <v>4745.45675974587</v>
      </c>
      <c r="BR330" s="62" t="n">
        <f aca="false">BR321+BR322+BR323+BR324+BR325+BR326+BR327+BR328+BR329</f>
        <v>5264.85207403293</v>
      </c>
      <c r="BS330" s="62" t="n">
        <f aca="false">BS321+BS322+BS323+BS324+BS325+BS326+BS327+BS328+BS329</f>
        <v>5483.34209651431</v>
      </c>
      <c r="BT330" s="62" t="n">
        <f aca="false">BT321+BT322+BT323+BT324+BT325+BT326+BT327+BT328+BT329</f>
        <v>5680.91181040347</v>
      </c>
      <c r="BU330" s="62" t="n">
        <f aca="false">BU321+BU322+BU323+BU324+BU325+BU326+BU327+BU328+BU329</f>
        <v>5898.73599909161</v>
      </c>
      <c r="BV330" s="15"/>
      <c r="BX330" s="25" t="n">
        <f aca="false">IFERROR((BU330/BL330)^(1/5)-1,"n/m")</f>
        <v>0.0666840751862663</v>
      </c>
      <c r="BY330" s="25" t="n">
        <f aca="false">IFERROR((BL330/AM330)^(1/5)-1,"n/m")</f>
        <v>0.13244239075677</v>
      </c>
      <c r="BZ330" s="25" t="n">
        <f aca="false">IFERROR((BL330/N330)^(1/10)-1,"n/m")</f>
        <v>0.119445147336626</v>
      </c>
      <c r="CA330" s="25" t="str">
        <f aca="false">IFERROR((BL330/D330)^(1/12)-1,"n/m")</f>
        <v>n/m</v>
      </c>
    </row>
    <row r="331" customFormat="false" ht="15" hidden="false" customHeight="false" outlineLevel="0" collapsed="false">
      <c r="B331" s="13" t="s">
        <v>520</v>
      </c>
      <c r="BO331" s="14"/>
      <c r="BP331" s="14"/>
      <c r="BQ331" s="14"/>
      <c r="BR331" s="14"/>
      <c r="BS331" s="14"/>
      <c r="BT331" s="14"/>
      <c r="BU331" s="14"/>
      <c r="BV331" s="15"/>
    </row>
    <row r="332" customFormat="false" ht="15" hidden="false" customHeight="false" outlineLevel="0" collapsed="false">
      <c r="B332" s="13" t="s">
        <v>521</v>
      </c>
      <c r="C332" s="19"/>
      <c r="D332" s="19"/>
      <c r="E332" s="19"/>
      <c r="F332" s="19"/>
      <c r="G332" s="19"/>
      <c r="H332" s="24" t="n">
        <v>15</v>
      </c>
      <c r="I332" s="24" t="n">
        <v>15</v>
      </c>
      <c r="J332" s="19"/>
      <c r="K332" s="24" t="n">
        <v>15</v>
      </c>
      <c r="L332" s="24" t="n">
        <v>11.25</v>
      </c>
      <c r="M332" s="24" t="n">
        <v>15</v>
      </c>
      <c r="N332" s="24" t="n">
        <v>15</v>
      </c>
      <c r="O332" s="24" t="n">
        <v>15</v>
      </c>
      <c r="P332" s="24" t="n">
        <v>15</v>
      </c>
      <c r="Q332" s="24" t="n">
        <v>20.625</v>
      </c>
      <c r="R332" s="24" t="n">
        <v>27.37</v>
      </c>
      <c r="S332" s="24" t="n">
        <v>27.37</v>
      </c>
      <c r="T332" s="24" t="n">
        <v>27.458</v>
      </c>
      <c r="U332" s="24" t="n">
        <v>27.609</v>
      </c>
      <c r="V332" s="24" t="n">
        <v>27.954</v>
      </c>
      <c r="W332" s="24" t="n">
        <v>27.87</v>
      </c>
      <c r="X332" s="24" t="n">
        <v>27.87</v>
      </c>
      <c r="Y332" s="24" t="n">
        <v>27.693</v>
      </c>
      <c r="Z332" s="24" t="n">
        <v>14.556</v>
      </c>
      <c r="AA332" s="24" t="n">
        <v>14.745</v>
      </c>
      <c r="AB332" s="24" t="n">
        <v>14.227</v>
      </c>
      <c r="AC332" s="24" t="n">
        <v>14.227</v>
      </c>
      <c r="AD332" s="24" t="n">
        <v>14.383</v>
      </c>
      <c r="AE332" s="24" t="n">
        <v>14.694</v>
      </c>
      <c r="AF332" s="24" t="n">
        <v>14.535</v>
      </c>
      <c r="AG332" s="24" t="n">
        <v>14.711</v>
      </c>
      <c r="AH332" s="24" t="n">
        <v>14.711</v>
      </c>
      <c r="AI332" s="24" t="n">
        <v>13.924</v>
      </c>
      <c r="AJ332" s="24" t="n">
        <v>0</v>
      </c>
      <c r="AK332" s="24" t="n">
        <v>0</v>
      </c>
      <c r="AL332" s="24" t="n">
        <v>0</v>
      </c>
      <c r="AM332" s="24" t="n">
        <v>0</v>
      </c>
      <c r="AN332" s="24" t="n">
        <v>0</v>
      </c>
      <c r="AO332" s="24" t="n">
        <v>400</v>
      </c>
      <c r="AP332" s="24" t="n">
        <v>0</v>
      </c>
      <c r="AQ332" s="24" t="n">
        <v>0</v>
      </c>
      <c r="AR332" s="24" t="n">
        <v>0</v>
      </c>
      <c r="AS332" s="24" t="n">
        <v>0</v>
      </c>
      <c r="AT332" s="24" t="n">
        <v>0</v>
      </c>
      <c r="AU332" s="24" t="n">
        <v>0</v>
      </c>
      <c r="AV332" s="24" t="n">
        <v>6.25</v>
      </c>
      <c r="AW332" s="24" t="n">
        <v>6.25</v>
      </c>
      <c r="AX332" s="24" t="n">
        <v>6.25</v>
      </c>
      <c r="AY332" s="24" t="n">
        <v>6.25</v>
      </c>
      <c r="AZ332" s="24" t="n">
        <v>6.25</v>
      </c>
      <c r="BA332" s="24" t="n">
        <v>6.25</v>
      </c>
      <c r="BB332" s="24" t="n">
        <v>6.25</v>
      </c>
      <c r="BC332" s="24" t="n">
        <v>7.813</v>
      </c>
      <c r="BD332" s="24" t="n">
        <v>9.375</v>
      </c>
      <c r="BE332" s="24" t="n">
        <v>10.938</v>
      </c>
      <c r="BF332" s="24" t="n">
        <v>12.5</v>
      </c>
      <c r="BG332" s="24" t="n">
        <v>12.5</v>
      </c>
      <c r="BH332" s="24" t="n">
        <v>12.5</v>
      </c>
      <c r="BI332" s="24" t="n">
        <v>12.5</v>
      </c>
      <c r="BJ332" s="24" t="n">
        <v>12.5</v>
      </c>
      <c r="BK332" s="24" t="n">
        <v>0</v>
      </c>
      <c r="BL332" s="24" t="n">
        <v>0</v>
      </c>
      <c r="BM332" s="24" t="n">
        <v>0</v>
      </c>
      <c r="BN332" s="24" t="n">
        <v>0</v>
      </c>
      <c r="BO332" s="36"/>
      <c r="BP332" s="36"/>
      <c r="BQ332" s="21" t="n">
        <f aca="false">BQ400</f>
        <v>0</v>
      </c>
      <c r="BR332" s="21" t="n">
        <f aca="false">BR400</f>
        <v>400</v>
      </c>
      <c r="BS332" s="21" t="n">
        <f aca="false">BS400</f>
        <v>400</v>
      </c>
      <c r="BT332" s="21" t="n">
        <f aca="false">BT400</f>
        <v>1250</v>
      </c>
      <c r="BU332" s="21" t="n">
        <f aca="false">BU400</f>
        <v>0</v>
      </c>
      <c r="BV332" s="15"/>
    </row>
    <row r="333" customFormat="false" ht="15" hidden="false" customHeight="false" outlineLevel="0" collapsed="false">
      <c r="B333" s="13" t="s">
        <v>522</v>
      </c>
      <c r="C333" s="19"/>
      <c r="D333" s="19"/>
      <c r="E333" s="19"/>
      <c r="F333" s="19"/>
      <c r="G333" s="19"/>
      <c r="H333" s="24" t="n">
        <v>0</v>
      </c>
      <c r="I333" s="24" t="n">
        <v>0</v>
      </c>
      <c r="J333" s="19"/>
      <c r="K333" s="24" t="n">
        <v>0</v>
      </c>
      <c r="L333" s="24" t="n">
        <v>0</v>
      </c>
      <c r="M333" s="24" t="n">
        <v>0</v>
      </c>
      <c r="N333" s="24" t="n">
        <v>0</v>
      </c>
      <c r="O333" s="24" t="n">
        <v>0</v>
      </c>
      <c r="P333" s="24" t="n">
        <v>0</v>
      </c>
      <c r="Q333" s="24" t="n">
        <v>0</v>
      </c>
      <c r="R333" s="24" t="n">
        <v>0</v>
      </c>
      <c r="S333" s="24" t="n">
        <v>0</v>
      </c>
      <c r="T333" s="24" t="n">
        <v>0</v>
      </c>
      <c r="U333" s="24" t="n">
        <v>0</v>
      </c>
      <c r="V333" s="24" t="n">
        <v>0</v>
      </c>
      <c r="W333" s="24" t="n">
        <v>0</v>
      </c>
      <c r="X333" s="24" t="n">
        <v>0</v>
      </c>
      <c r="Y333" s="24" t="n">
        <v>0</v>
      </c>
      <c r="Z333" s="24" t="n">
        <v>0</v>
      </c>
      <c r="AA333" s="24" t="n">
        <v>0</v>
      </c>
      <c r="AB333" s="24" t="n">
        <v>0</v>
      </c>
      <c r="AC333" s="24" t="n">
        <v>0</v>
      </c>
      <c r="AD333" s="24" t="n">
        <v>0</v>
      </c>
      <c r="AE333" s="24" t="n">
        <v>0</v>
      </c>
      <c r="AF333" s="24" t="n">
        <v>0</v>
      </c>
      <c r="AG333" s="24" t="n">
        <v>0</v>
      </c>
      <c r="AH333" s="24" t="n">
        <v>0</v>
      </c>
      <c r="AI333" s="24" t="n">
        <v>0</v>
      </c>
      <c r="AJ333" s="24" t="n">
        <v>0</v>
      </c>
      <c r="AK333" s="24" t="n">
        <v>0</v>
      </c>
      <c r="AL333" s="24" t="n">
        <v>88.694</v>
      </c>
      <c r="AM333" s="24" t="n">
        <v>88.694</v>
      </c>
      <c r="AN333" s="24" t="n">
        <v>0</v>
      </c>
      <c r="AO333" s="24" t="n">
        <v>0</v>
      </c>
      <c r="AP333" s="24" t="n">
        <v>0</v>
      </c>
      <c r="AQ333" s="24" t="n">
        <v>0</v>
      </c>
      <c r="AR333" s="24" t="n">
        <v>0</v>
      </c>
      <c r="AS333" s="24" t="n">
        <v>0</v>
      </c>
      <c r="AT333" s="24" t="n">
        <v>0</v>
      </c>
      <c r="AU333" s="24" t="n">
        <v>0</v>
      </c>
      <c r="AV333" s="24" t="n">
        <v>0</v>
      </c>
      <c r="AW333" s="24" t="n">
        <v>0</v>
      </c>
      <c r="AX333" s="24" t="n">
        <v>0</v>
      </c>
      <c r="AY333" s="24" t="n">
        <v>0</v>
      </c>
      <c r="AZ333" s="24" t="n">
        <v>0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0</v>
      </c>
      <c r="BG333" s="24" t="n">
        <v>0</v>
      </c>
      <c r="BH333" s="24" t="n">
        <v>0</v>
      </c>
      <c r="BI333" s="24" t="n">
        <v>0</v>
      </c>
      <c r="BJ333" s="24" t="n">
        <v>0</v>
      </c>
      <c r="BK333" s="24" t="n">
        <v>0</v>
      </c>
      <c r="BL333" s="24" t="n">
        <v>0</v>
      </c>
      <c r="BM333" s="24" t="n">
        <v>0</v>
      </c>
      <c r="BN333" s="24" t="n">
        <v>0</v>
      </c>
      <c r="BO333" s="36"/>
      <c r="BP333" s="36"/>
      <c r="BQ333" s="39" t="n">
        <v>0</v>
      </c>
      <c r="BR333" s="39" t="n">
        <v>0</v>
      </c>
      <c r="BS333" s="39" t="n">
        <v>0</v>
      </c>
      <c r="BT333" s="39" t="n">
        <v>0</v>
      </c>
      <c r="BU333" s="39" t="n">
        <v>0</v>
      </c>
      <c r="BV333" s="15"/>
    </row>
    <row r="334" customFormat="false" ht="15" hidden="false" customHeight="false" outlineLevel="0" collapsed="false">
      <c r="B334" s="13" t="s">
        <v>523</v>
      </c>
      <c r="C334" s="19"/>
      <c r="D334" s="19"/>
      <c r="E334" s="19"/>
      <c r="F334" s="19"/>
      <c r="G334" s="19"/>
      <c r="H334" s="24" t="n">
        <v>88.985</v>
      </c>
      <c r="I334" s="24" t="n">
        <v>88.985</v>
      </c>
      <c r="J334" s="19"/>
      <c r="K334" s="24" t="n">
        <v>77.438</v>
      </c>
      <c r="L334" s="24" t="n">
        <v>60.184</v>
      </c>
      <c r="M334" s="24" t="n">
        <v>74.13</v>
      </c>
      <c r="N334" s="24" t="n">
        <v>74.13</v>
      </c>
      <c r="O334" s="24" t="n">
        <v>72.288</v>
      </c>
      <c r="P334" s="24" t="n">
        <v>83.561</v>
      </c>
      <c r="Q334" s="24" t="n">
        <v>76.5</v>
      </c>
      <c r="R334" s="24" t="n">
        <v>99.983</v>
      </c>
      <c r="S334" s="24" t="n">
        <v>99.983</v>
      </c>
      <c r="T334" s="24" t="n">
        <v>80.39</v>
      </c>
      <c r="U334" s="24" t="n">
        <v>68.537</v>
      </c>
      <c r="V334" s="24" t="n">
        <v>89.057</v>
      </c>
      <c r="W334" s="24" t="n">
        <v>93.421</v>
      </c>
      <c r="X334" s="24" t="n">
        <v>93.421</v>
      </c>
      <c r="Y334" s="24" t="n">
        <v>99.224</v>
      </c>
      <c r="Z334" s="24" t="n">
        <v>88.421</v>
      </c>
      <c r="AA334" s="24" t="n">
        <v>100.004</v>
      </c>
      <c r="AB334" s="24" t="n">
        <v>114.751</v>
      </c>
      <c r="AC334" s="24" t="n">
        <v>114.751</v>
      </c>
      <c r="AD334" s="24" t="n">
        <v>98.455</v>
      </c>
      <c r="AE334" s="24" t="n">
        <v>108.7</v>
      </c>
      <c r="AF334" s="24" t="n">
        <v>122.277</v>
      </c>
      <c r="AG334" s="24" t="n">
        <v>170.678</v>
      </c>
      <c r="AH334" s="24" t="n">
        <v>170.678</v>
      </c>
      <c r="AI334" s="24" t="n">
        <v>123.975</v>
      </c>
      <c r="AJ334" s="24" t="n">
        <v>141.459</v>
      </c>
      <c r="AK334" s="24" t="n">
        <v>162.482</v>
      </c>
      <c r="AL334" s="24" t="n">
        <v>184.392</v>
      </c>
      <c r="AM334" s="24" t="n">
        <v>184.392</v>
      </c>
      <c r="AN334" s="24" t="n">
        <v>146.958</v>
      </c>
      <c r="AO334" s="24" t="n">
        <v>143.878</v>
      </c>
      <c r="AP334" s="24" t="n">
        <v>137.936</v>
      </c>
      <c r="AQ334" s="24" t="n">
        <v>189.842</v>
      </c>
      <c r="AR334" s="24" t="n">
        <v>189.842</v>
      </c>
      <c r="AS334" s="24" t="n">
        <v>141.131</v>
      </c>
      <c r="AT334" s="24" t="n">
        <v>150.167</v>
      </c>
      <c r="AU334" s="24" t="n">
        <v>146.543</v>
      </c>
      <c r="AV334" s="24" t="n">
        <v>127.112</v>
      </c>
      <c r="AW334" s="24" t="n">
        <v>127.112</v>
      </c>
      <c r="AX334" s="24" t="n">
        <v>137.583</v>
      </c>
      <c r="AY334" s="24" t="n">
        <v>144.437</v>
      </c>
      <c r="AZ334" s="24" t="n">
        <v>151.433</v>
      </c>
      <c r="BA334" s="24" t="n">
        <v>126.651</v>
      </c>
      <c r="BB334" s="24" t="n">
        <v>126.651</v>
      </c>
      <c r="BC334" s="24" t="n">
        <v>147.841</v>
      </c>
      <c r="BD334" s="24" t="n">
        <v>164.306</v>
      </c>
      <c r="BE334" s="24" t="n">
        <v>172.206</v>
      </c>
      <c r="BF334" s="24" t="n">
        <v>158.077</v>
      </c>
      <c r="BG334" s="24" t="n">
        <v>158.077</v>
      </c>
      <c r="BH334" s="24" t="n">
        <v>161.625</v>
      </c>
      <c r="BI334" s="24" t="n">
        <v>191.5</v>
      </c>
      <c r="BJ334" s="24" t="n">
        <v>211.695</v>
      </c>
      <c r="BK334" s="24" t="n">
        <v>141.289</v>
      </c>
      <c r="BL334" s="24" t="n">
        <v>141.289</v>
      </c>
      <c r="BM334" s="24" t="n">
        <v>216.22</v>
      </c>
      <c r="BN334" s="24" t="n">
        <v>212.881</v>
      </c>
      <c r="BO334" s="36"/>
      <c r="BP334" s="36"/>
      <c r="BQ334" s="21" t="n">
        <f aca="false">BQ157*BQ370</f>
        <v>190</v>
      </c>
      <c r="BR334" s="21" t="n">
        <f aca="false">BR157*BR370</f>
        <v>208.159646837802</v>
      </c>
      <c r="BS334" s="21" t="n">
        <f aca="false">BS157*BS370</f>
        <v>229.143968696375</v>
      </c>
      <c r="BT334" s="21" t="n">
        <f aca="false">BT157*BT370</f>
        <v>254.179374992285</v>
      </c>
      <c r="BU334" s="21" t="n">
        <f aca="false">BU157*BU370</f>
        <v>280.791114600492</v>
      </c>
      <c r="BV334" s="15"/>
    </row>
    <row r="335" customFormat="false" ht="15" hidden="false" customHeight="false" outlineLevel="0" collapsed="false">
      <c r="B335" s="13" t="s">
        <v>524</v>
      </c>
      <c r="C335" s="19"/>
      <c r="D335" s="19"/>
      <c r="E335" s="19"/>
      <c r="F335" s="19"/>
      <c r="G335" s="19"/>
      <c r="H335" s="24" t="n">
        <v>85.433</v>
      </c>
      <c r="I335" s="24" t="n">
        <v>85.433</v>
      </c>
      <c r="J335" s="19"/>
      <c r="K335" s="24" t="n">
        <v>53.158</v>
      </c>
      <c r="L335" s="24" t="n">
        <v>60.863</v>
      </c>
      <c r="M335" s="24" t="n">
        <v>67.603</v>
      </c>
      <c r="N335" s="24" t="n">
        <v>67.603</v>
      </c>
      <c r="O335" s="24" t="n">
        <v>48.826</v>
      </c>
      <c r="P335" s="24" t="n">
        <v>54.288</v>
      </c>
      <c r="Q335" s="24" t="n">
        <v>56.743</v>
      </c>
      <c r="R335" s="24" t="n">
        <v>81.793</v>
      </c>
      <c r="S335" s="24" t="n">
        <v>81.793</v>
      </c>
      <c r="T335" s="24" t="n">
        <v>52.697</v>
      </c>
      <c r="U335" s="24" t="n">
        <v>60.372</v>
      </c>
      <c r="V335" s="24" t="n">
        <v>76.126</v>
      </c>
      <c r="W335" s="24" t="n">
        <v>82.477</v>
      </c>
      <c r="X335" s="24" t="n">
        <v>82.477</v>
      </c>
      <c r="Y335" s="24" t="n">
        <v>57.637</v>
      </c>
      <c r="Z335" s="24" t="n">
        <v>67.417</v>
      </c>
      <c r="AA335" s="24" t="n">
        <v>74.398</v>
      </c>
      <c r="AB335" s="24" t="n">
        <v>77.386</v>
      </c>
      <c r="AC335" s="24" t="n">
        <v>77.386</v>
      </c>
      <c r="AD335" s="24" t="n">
        <v>56.342</v>
      </c>
      <c r="AE335" s="24" t="n">
        <v>63.867</v>
      </c>
      <c r="AF335" s="24" t="n">
        <v>70.45</v>
      </c>
      <c r="AG335" s="24" t="n">
        <v>82.64</v>
      </c>
      <c r="AH335" s="24" t="n">
        <v>82.64</v>
      </c>
      <c r="AI335" s="24" t="n">
        <v>54.19</v>
      </c>
      <c r="AJ335" s="24" t="n">
        <v>66.489</v>
      </c>
      <c r="AK335" s="24" t="n">
        <v>79.071</v>
      </c>
      <c r="AL335" s="24" t="n">
        <v>89.74</v>
      </c>
      <c r="AM335" s="24" t="n">
        <v>89.74</v>
      </c>
      <c r="AN335" s="24" t="n">
        <v>59.843</v>
      </c>
      <c r="AO335" s="24" t="n">
        <v>70.322</v>
      </c>
      <c r="AP335" s="24" t="n">
        <v>74.102</v>
      </c>
      <c r="AQ335" s="24" t="n">
        <v>71.835</v>
      </c>
      <c r="AR335" s="24" t="n">
        <v>71.835</v>
      </c>
      <c r="AS335" s="24" t="n">
        <v>60.071</v>
      </c>
      <c r="AT335" s="24" t="n">
        <v>69.028</v>
      </c>
      <c r="AU335" s="24" t="n">
        <v>75.114</v>
      </c>
      <c r="AV335" s="24" t="n">
        <v>61.079</v>
      </c>
      <c r="AW335" s="24" t="n">
        <v>61.079</v>
      </c>
      <c r="AX335" s="24" t="n">
        <v>40.87</v>
      </c>
      <c r="AY335" s="24" t="n">
        <v>49.025</v>
      </c>
      <c r="AZ335" s="24" t="n">
        <v>58.421</v>
      </c>
      <c r="BA335" s="24" t="n">
        <v>64.544</v>
      </c>
      <c r="BB335" s="24" t="n">
        <v>64.544</v>
      </c>
      <c r="BC335" s="24" t="n">
        <v>40.093</v>
      </c>
      <c r="BD335" s="24" t="n">
        <v>47.056</v>
      </c>
      <c r="BE335" s="24" t="n">
        <v>53.438</v>
      </c>
      <c r="BF335" s="24" t="n">
        <v>77.234</v>
      </c>
      <c r="BG335" s="24" t="n">
        <v>77.234</v>
      </c>
      <c r="BH335" s="24" t="n">
        <v>43.473</v>
      </c>
      <c r="BI335" s="24" t="n">
        <v>83.274</v>
      </c>
      <c r="BJ335" s="24" t="n">
        <v>90.559</v>
      </c>
      <c r="BK335" s="24" t="n">
        <v>117.641</v>
      </c>
      <c r="BL335" s="24" t="n">
        <v>117.641</v>
      </c>
      <c r="BM335" s="24" t="n">
        <v>72.506</v>
      </c>
      <c r="BN335" s="24" t="n">
        <v>86.29</v>
      </c>
      <c r="BO335" s="36"/>
      <c r="BP335" s="36"/>
      <c r="BQ335" s="21" t="n">
        <f aca="false">BQ157*BQ371</f>
        <v>133</v>
      </c>
      <c r="BR335" s="21" t="n">
        <f aca="false">BR157*BR371</f>
        <v>145.711752786462</v>
      </c>
      <c r="BS335" s="21" t="n">
        <f aca="false">BS157*BS371</f>
        <v>160.400778087462</v>
      </c>
      <c r="BT335" s="21" t="n">
        <f aca="false">BT157*BT371</f>
        <v>177.9255624946</v>
      </c>
      <c r="BU335" s="21" t="n">
        <f aca="false">BU157*BU371</f>
        <v>196.553780220345</v>
      </c>
      <c r="BV335" s="15"/>
    </row>
    <row r="336" customFormat="false" ht="15" hidden="false" customHeight="false" outlineLevel="0" collapsed="false">
      <c r="B336" s="13" t="s">
        <v>525</v>
      </c>
      <c r="C336" s="19"/>
      <c r="D336" s="19"/>
      <c r="E336" s="19"/>
      <c r="F336" s="19"/>
      <c r="G336" s="19"/>
      <c r="H336" s="24" t="n">
        <v>60.01</v>
      </c>
      <c r="I336" s="24" t="n">
        <v>60.01</v>
      </c>
      <c r="J336" s="19"/>
      <c r="K336" s="24" t="n">
        <v>59.496</v>
      </c>
      <c r="L336" s="24" t="n">
        <v>54.135</v>
      </c>
      <c r="M336" s="24" t="n">
        <v>44.947</v>
      </c>
      <c r="N336" s="24" t="n">
        <v>44.947</v>
      </c>
      <c r="O336" s="24" t="n">
        <v>77.357</v>
      </c>
      <c r="P336" s="24" t="n">
        <v>68.609</v>
      </c>
      <c r="Q336" s="24" t="n">
        <v>70.383</v>
      </c>
      <c r="R336" s="24" t="n">
        <v>72.105</v>
      </c>
      <c r="S336" s="24" t="n">
        <v>72.105</v>
      </c>
      <c r="T336" s="24" t="n">
        <v>42.612</v>
      </c>
      <c r="U336" s="24" t="n">
        <v>38.274</v>
      </c>
      <c r="V336" s="24" t="n">
        <v>55.841</v>
      </c>
      <c r="W336" s="24" t="n">
        <v>64.738</v>
      </c>
      <c r="X336" s="24" t="n">
        <v>64.738</v>
      </c>
      <c r="Y336" s="24" t="n">
        <v>51.662</v>
      </c>
      <c r="Z336" s="24" t="n">
        <v>48.377</v>
      </c>
      <c r="AA336" s="24" t="n">
        <v>53.508</v>
      </c>
      <c r="AB336" s="24" t="n">
        <v>62.163</v>
      </c>
      <c r="AC336" s="24" t="n">
        <v>62.163</v>
      </c>
      <c r="AD336" s="24" t="n">
        <v>58.032</v>
      </c>
      <c r="AE336" s="24" t="n">
        <v>51.493</v>
      </c>
      <c r="AF336" s="24" t="n">
        <v>48.892</v>
      </c>
      <c r="AG336" s="24" t="n">
        <v>52.213</v>
      </c>
      <c r="AH336" s="24" t="n">
        <v>52.213</v>
      </c>
      <c r="AI336" s="24" t="n">
        <v>44.825</v>
      </c>
      <c r="AJ336" s="24" t="n">
        <v>60.467</v>
      </c>
      <c r="AK336" s="24" t="n">
        <v>69.023</v>
      </c>
      <c r="AL336" s="24" t="n">
        <v>78.028</v>
      </c>
      <c r="AM336" s="24" t="n">
        <v>78.028</v>
      </c>
      <c r="AN336" s="24" t="n">
        <v>91.1</v>
      </c>
      <c r="AO336" s="24" t="n">
        <v>76.564</v>
      </c>
      <c r="AP336" s="24" t="n">
        <v>77.872</v>
      </c>
      <c r="AQ336" s="24" t="n">
        <v>80.998</v>
      </c>
      <c r="AR336" s="24" t="n">
        <v>80.998</v>
      </c>
      <c r="AS336" s="24" t="n">
        <v>95.282</v>
      </c>
      <c r="AT336" s="24" t="n">
        <v>78.977</v>
      </c>
      <c r="AU336" s="24" t="n">
        <v>80.749</v>
      </c>
      <c r="AV336" s="24" t="n">
        <v>84.693</v>
      </c>
      <c r="AW336" s="24" t="n">
        <v>84.693</v>
      </c>
      <c r="AX336" s="24" t="n">
        <v>74.601</v>
      </c>
      <c r="AY336" s="24" t="n">
        <v>60.577</v>
      </c>
      <c r="AZ336" s="24" t="n">
        <v>63.075</v>
      </c>
      <c r="BA336" s="24" t="n">
        <v>70.21</v>
      </c>
      <c r="BB336" s="24" t="n">
        <v>70.21</v>
      </c>
      <c r="BC336" s="24" t="n">
        <v>78.717</v>
      </c>
      <c r="BD336" s="24" t="n">
        <v>62.644</v>
      </c>
      <c r="BE336" s="24" t="n">
        <v>81.321</v>
      </c>
      <c r="BF336" s="24" t="n">
        <v>65.1</v>
      </c>
      <c r="BG336" s="24" t="n">
        <v>65.1</v>
      </c>
      <c r="BH336" s="24" t="n">
        <v>72.252</v>
      </c>
      <c r="BI336" s="24" t="n">
        <v>104.576</v>
      </c>
      <c r="BJ336" s="24" t="n">
        <v>120.41</v>
      </c>
      <c r="BK336" s="24" t="n">
        <v>107.802</v>
      </c>
      <c r="BL336" s="24" t="n">
        <v>107.802</v>
      </c>
      <c r="BM336" s="24" t="n">
        <v>113.908</v>
      </c>
      <c r="BN336" s="24" t="n">
        <v>100.844</v>
      </c>
      <c r="BO336" s="36"/>
      <c r="BP336" s="36"/>
      <c r="BQ336" s="21" t="n">
        <f aca="false">BQ157*BQ372</f>
        <v>121.6</v>
      </c>
      <c r="BR336" s="21" t="n">
        <f aca="false">BR157*BR372</f>
        <v>133.222173976194</v>
      </c>
      <c r="BS336" s="21" t="n">
        <f aca="false">BS157*BS372</f>
        <v>146.65213996568</v>
      </c>
      <c r="BT336" s="21" t="n">
        <f aca="false">BT157*BT372</f>
        <v>162.674799995063</v>
      </c>
      <c r="BU336" s="21" t="n">
        <f aca="false">BU157*BU372</f>
        <v>179.706313344315</v>
      </c>
      <c r="BV336" s="15"/>
    </row>
    <row r="337" customFormat="false" ht="15" hidden="false" customHeight="false" outlineLevel="0" collapsed="false">
      <c r="B337" s="13" t="s">
        <v>526</v>
      </c>
      <c r="C337" s="19"/>
      <c r="D337" s="19"/>
      <c r="E337" s="19"/>
      <c r="F337" s="19"/>
      <c r="G337" s="19"/>
      <c r="H337" s="24" t="n">
        <v>107.437</v>
      </c>
      <c r="I337" s="24" t="n">
        <v>107.437</v>
      </c>
      <c r="J337" s="19"/>
      <c r="K337" s="24" t="n">
        <v>123.261</v>
      </c>
      <c r="L337" s="24" t="n">
        <v>140.925</v>
      </c>
      <c r="M337" s="24" t="n">
        <v>138.558</v>
      </c>
      <c r="N337" s="24" t="n">
        <v>138.558</v>
      </c>
      <c r="O337" s="24" t="n">
        <v>145.967</v>
      </c>
      <c r="P337" s="24" t="n">
        <v>153.126</v>
      </c>
      <c r="Q337" s="24" t="n">
        <v>144.233</v>
      </c>
      <c r="R337" s="24" t="n">
        <v>147.148</v>
      </c>
      <c r="S337" s="24" t="n">
        <v>147.148</v>
      </c>
      <c r="T337" s="24" t="n">
        <v>167.372</v>
      </c>
      <c r="U337" s="24" t="n">
        <v>185.765</v>
      </c>
      <c r="V337" s="24" t="n">
        <v>198.176</v>
      </c>
      <c r="W337" s="24" t="n">
        <v>246.192</v>
      </c>
      <c r="X337" s="24" t="n">
        <v>246.192</v>
      </c>
      <c r="Y337" s="24" t="n">
        <v>77.14</v>
      </c>
      <c r="Z337" s="24" t="n">
        <v>77.775</v>
      </c>
      <c r="AA337" s="24" t="n">
        <v>104.646</v>
      </c>
      <c r="AB337" s="24" t="n">
        <v>98.477</v>
      </c>
      <c r="AC337" s="24" t="n">
        <v>98.477</v>
      </c>
      <c r="AD337" s="24" t="n">
        <v>88.117</v>
      </c>
      <c r="AE337" s="24" t="n">
        <v>67.413</v>
      </c>
      <c r="AF337" s="24" t="n">
        <v>66.526</v>
      </c>
      <c r="AG337" s="24" t="n">
        <v>75.425</v>
      </c>
      <c r="AH337" s="24" t="n">
        <v>75.425</v>
      </c>
      <c r="AI337" s="24" t="n">
        <v>80.065</v>
      </c>
      <c r="AJ337" s="24" t="n">
        <v>64.815</v>
      </c>
      <c r="AK337" s="24" t="n">
        <v>67.066</v>
      </c>
      <c r="AL337" s="24" t="n">
        <v>83.581</v>
      </c>
      <c r="AM337" s="24" t="n">
        <v>83.581</v>
      </c>
      <c r="AN337" s="24" t="n">
        <v>99.218</v>
      </c>
      <c r="AO337" s="24" t="n">
        <v>105.242</v>
      </c>
      <c r="AP337" s="24" t="n">
        <v>102.37</v>
      </c>
      <c r="AQ337" s="24" t="n">
        <v>111.619</v>
      </c>
      <c r="AR337" s="24" t="n">
        <v>111.619</v>
      </c>
      <c r="AS337" s="24" t="n">
        <v>105.687</v>
      </c>
      <c r="AT337" s="24" t="n">
        <v>104.847</v>
      </c>
      <c r="AU337" s="24" t="n">
        <v>98.545</v>
      </c>
      <c r="AV337" s="24" t="n">
        <v>88.726</v>
      </c>
      <c r="AW337" s="24" t="n">
        <v>88.726</v>
      </c>
      <c r="AX337" s="24" t="n">
        <v>89.553</v>
      </c>
      <c r="AY337" s="24" t="n">
        <v>87.772</v>
      </c>
      <c r="AZ337" s="24" t="n">
        <v>71.99</v>
      </c>
      <c r="BA337" s="24" t="n">
        <v>107.391</v>
      </c>
      <c r="BB337" s="24" t="n">
        <v>107.391</v>
      </c>
      <c r="BC337" s="24" t="n">
        <v>112.361</v>
      </c>
      <c r="BD337" s="24" t="n">
        <v>125.199</v>
      </c>
      <c r="BE337" s="24" t="n">
        <v>119.563</v>
      </c>
      <c r="BF337" s="24" t="n">
        <v>161.29</v>
      </c>
      <c r="BG337" s="24" t="n">
        <v>161.29</v>
      </c>
      <c r="BH337" s="24" t="n">
        <v>194.095</v>
      </c>
      <c r="BI337" s="24" t="n">
        <v>198.336</v>
      </c>
      <c r="BJ337" s="24" t="n">
        <v>211.399</v>
      </c>
      <c r="BK337" s="24" t="n">
        <v>305.285</v>
      </c>
      <c r="BL337" s="24" t="n">
        <v>305.285</v>
      </c>
      <c r="BM337" s="24" t="n">
        <v>271.587</v>
      </c>
      <c r="BN337" s="24" t="n">
        <v>313.256</v>
      </c>
      <c r="BO337" s="36"/>
      <c r="BP337" s="36"/>
      <c r="BQ337" s="21" t="n">
        <f aca="false">BQ157*BQ373</f>
        <v>380</v>
      </c>
      <c r="BR337" s="21" t="n">
        <f aca="false">BR157*BR373</f>
        <v>374.687364308044</v>
      </c>
      <c r="BS337" s="21" t="n">
        <f aca="false">BS157*BS373</f>
        <v>412.459143653474</v>
      </c>
      <c r="BT337" s="21" t="n">
        <f aca="false">BT157*BT373</f>
        <v>457.522874986114</v>
      </c>
      <c r="BU337" s="21" t="n">
        <f aca="false">BU157*BU373</f>
        <v>505.424006280886</v>
      </c>
      <c r="BV337" s="15"/>
    </row>
    <row r="338" customFormat="false" ht="15" hidden="false" customHeight="false" outlineLevel="0" collapsed="false">
      <c r="B338" s="13" t="s">
        <v>527</v>
      </c>
      <c r="C338" s="19"/>
      <c r="D338" s="19"/>
      <c r="E338" s="19"/>
      <c r="F338" s="19"/>
      <c r="G338" s="19"/>
      <c r="H338" s="24" t="n">
        <v>15.889</v>
      </c>
      <c r="I338" s="24" t="n">
        <v>15.889</v>
      </c>
      <c r="J338" s="19"/>
      <c r="K338" s="24" t="n">
        <v>16.097</v>
      </c>
      <c r="L338" s="24" t="n">
        <v>15.985</v>
      </c>
      <c r="M338" s="24" t="n">
        <v>13.542</v>
      </c>
      <c r="N338" s="24" t="n">
        <v>13.542</v>
      </c>
      <c r="O338" s="24" t="n">
        <v>13.354</v>
      </c>
      <c r="P338" s="24" t="n">
        <v>12.919</v>
      </c>
      <c r="Q338" s="24" t="n">
        <v>12.865</v>
      </c>
      <c r="R338" s="24" t="n">
        <v>11.477</v>
      </c>
      <c r="S338" s="24" t="n">
        <v>11.477</v>
      </c>
      <c r="T338" s="24" t="n">
        <v>11.908</v>
      </c>
      <c r="U338" s="24" t="n">
        <v>12.217</v>
      </c>
      <c r="V338" s="24" t="n">
        <v>12.713</v>
      </c>
      <c r="W338" s="24" t="n">
        <v>13.428</v>
      </c>
      <c r="X338" s="24" t="n">
        <v>13.428</v>
      </c>
      <c r="Y338" s="24" t="n">
        <v>13.699</v>
      </c>
      <c r="Z338" s="24" t="n">
        <v>12.822</v>
      </c>
      <c r="AA338" s="24" t="n">
        <v>12.426</v>
      </c>
      <c r="AB338" s="24" t="n">
        <v>10.344</v>
      </c>
      <c r="AC338" s="24" t="n">
        <v>10.344</v>
      </c>
      <c r="AD338" s="24" t="n">
        <v>10.431</v>
      </c>
      <c r="AE338" s="24" t="n">
        <v>9.225</v>
      </c>
      <c r="AF338" s="24" t="n">
        <v>11.06</v>
      </c>
      <c r="AG338" s="24" t="n">
        <v>9.042</v>
      </c>
      <c r="AH338" s="24" t="n">
        <v>9.042</v>
      </c>
      <c r="AI338" s="24" t="n">
        <v>4.873</v>
      </c>
      <c r="AJ338" s="24" t="n">
        <v>5.131</v>
      </c>
      <c r="AK338" s="24" t="n">
        <v>4.909</v>
      </c>
      <c r="AL338" s="24" t="n">
        <v>5.292</v>
      </c>
      <c r="AM338" s="24" t="n">
        <v>5.292</v>
      </c>
      <c r="AN338" s="24" t="n">
        <v>6.858</v>
      </c>
      <c r="AO338" s="24" t="n">
        <v>5.637</v>
      </c>
      <c r="AP338" s="24" t="n">
        <v>5.513</v>
      </c>
      <c r="AQ338" s="24" t="n">
        <v>5.321</v>
      </c>
      <c r="AR338" s="24" t="n">
        <v>5.321</v>
      </c>
      <c r="AS338" s="24" t="n">
        <v>6.473</v>
      </c>
      <c r="AT338" s="24" t="n">
        <v>6.348</v>
      </c>
      <c r="AU338" s="24" t="n">
        <v>5.846</v>
      </c>
      <c r="AV338" s="24" t="n">
        <v>0</v>
      </c>
      <c r="AW338" s="24" t="n">
        <v>0</v>
      </c>
      <c r="AX338" s="24" t="n">
        <v>0</v>
      </c>
      <c r="AY338" s="24" t="n">
        <v>0</v>
      </c>
      <c r="AZ338" s="24" t="n">
        <v>0</v>
      </c>
      <c r="BA338" s="24" t="n">
        <v>0</v>
      </c>
      <c r="BB338" s="24" t="n">
        <v>0</v>
      </c>
      <c r="BC338" s="24" t="n">
        <v>0</v>
      </c>
      <c r="BD338" s="24" t="n">
        <v>0</v>
      </c>
      <c r="BE338" s="24" t="n">
        <v>0</v>
      </c>
      <c r="BF338" s="24" t="n">
        <v>0</v>
      </c>
      <c r="BG338" s="24" t="n">
        <v>0</v>
      </c>
      <c r="BH338" s="24" t="n">
        <v>0</v>
      </c>
      <c r="BI338" s="24" t="n">
        <v>0</v>
      </c>
      <c r="BJ338" s="24" t="n">
        <v>0</v>
      </c>
      <c r="BK338" s="24" t="n">
        <v>0</v>
      </c>
      <c r="BL338" s="24" t="n">
        <v>0</v>
      </c>
      <c r="BM338" s="24" t="n">
        <v>0</v>
      </c>
      <c r="BN338" s="24" t="n">
        <v>0</v>
      </c>
      <c r="BO338" s="36"/>
      <c r="BP338" s="36"/>
      <c r="BQ338" s="21" t="n">
        <f aca="false">BL338</f>
        <v>0</v>
      </c>
      <c r="BR338" s="21" t="n">
        <f aca="false">BQ338</f>
        <v>0</v>
      </c>
      <c r="BS338" s="21" t="n">
        <f aca="false">BR338</f>
        <v>0</v>
      </c>
      <c r="BT338" s="21" t="n">
        <f aca="false">BS338</f>
        <v>0</v>
      </c>
      <c r="BU338" s="21" t="n">
        <f aca="false">BT338</f>
        <v>0</v>
      </c>
      <c r="BV338" s="15"/>
    </row>
    <row r="339" customFormat="false" ht="15" hidden="false" customHeight="false" outlineLevel="0" collapsed="false">
      <c r="B339" s="13" t="s">
        <v>528</v>
      </c>
      <c r="C339" s="19"/>
      <c r="D339" s="19"/>
      <c r="E339" s="19"/>
      <c r="F339" s="19"/>
      <c r="G339" s="19"/>
      <c r="H339" s="24" t="n">
        <v>0</v>
      </c>
      <c r="I339" s="24" t="n">
        <v>0</v>
      </c>
      <c r="J339" s="19"/>
      <c r="K339" s="24" t="n">
        <v>0</v>
      </c>
      <c r="L339" s="24" t="n">
        <v>34.627</v>
      </c>
      <c r="M339" s="24" t="n">
        <v>0</v>
      </c>
      <c r="N339" s="24" t="n">
        <v>0</v>
      </c>
      <c r="O339" s="24" t="n">
        <v>0</v>
      </c>
      <c r="P339" s="24" t="n">
        <v>0</v>
      </c>
      <c r="Q339" s="24" t="n">
        <v>0</v>
      </c>
      <c r="R339" s="24" t="n">
        <v>0</v>
      </c>
      <c r="S339" s="24" t="n">
        <v>0</v>
      </c>
      <c r="T339" s="24" t="n">
        <v>0</v>
      </c>
      <c r="U339" s="24" t="n">
        <v>0</v>
      </c>
      <c r="V339" s="24" t="n">
        <v>0</v>
      </c>
      <c r="W339" s="24" t="n">
        <v>0</v>
      </c>
      <c r="X339" s="24" t="n">
        <v>0</v>
      </c>
      <c r="Y339" s="24" t="n">
        <v>0</v>
      </c>
      <c r="Z339" s="24" t="n">
        <v>0</v>
      </c>
      <c r="AA339" s="24" t="n">
        <v>0</v>
      </c>
      <c r="AB339" s="24" t="n">
        <v>0</v>
      </c>
      <c r="AC339" s="24" t="n">
        <v>0</v>
      </c>
      <c r="AD339" s="24" t="n">
        <v>0</v>
      </c>
      <c r="AE339" s="24" t="n">
        <v>0</v>
      </c>
      <c r="AF339" s="24" t="n">
        <v>0</v>
      </c>
      <c r="AG339" s="24" t="n">
        <v>0</v>
      </c>
      <c r="AH339" s="24" t="n">
        <v>0</v>
      </c>
      <c r="AI339" s="24" t="n">
        <v>18.721</v>
      </c>
      <c r="AJ339" s="24" t="n">
        <v>36.974</v>
      </c>
      <c r="AK339" s="24" t="n">
        <v>0</v>
      </c>
      <c r="AL339" s="24" t="n">
        <v>0</v>
      </c>
      <c r="AM339" s="24" t="n">
        <v>0</v>
      </c>
      <c r="AN339" s="24" t="n">
        <v>0</v>
      </c>
      <c r="AO339" s="24" t="n">
        <v>0</v>
      </c>
      <c r="AP339" s="24" t="n">
        <v>0</v>
      </c>
      <c r="AQ339" s="24" t="n">
        <v>0</v>
      </c>
      <c r="AR339" s="24" t="n">
        <v>0</v>
      </c>
      <c r="AS339" s="24" t="n">
        <v>0</v>
      </c>
      <c r="AT339" s="24" t="n">
        <v>0</v>
      </c>
      <c r="AU339" s="24" t="n">
        <v>0</v>
      </c>
      <c r="AV339" s="24" t="n">
        <v>0</v>
      </c>
      <c r="AW339" s="24" t="n">
        <v>0</v>
      </c>
      <c r="AX339" s="24" t="n">
        <v>0</v>
      </c>
      <c r="AY339" s="24" t="n">
        <v>0</v>
      </c>
      <c r="AZ339" s="24" t="n">
        <v>0</v>
      </c>
      <c r="BA339" s="24" t="n">
        <v>0</v>
      </c>
      <c r="BB339" s="24" t="n">
        <v>0</v>
      </c>
      <c r="BC339" s="24" t="n">
        <v>0</v>
      </c>
      <c r="BD339" s="24" t="n">
        <v>0</v>
      </c>
      <c r="BE339" s="24" t="n">
        <v>0</v>
      </c>
      <c r="BF339" s="24" t="n">
        <v>0</v>
      </c>
      <c r="BG339" s="24" t="n">
        <v>0</v>
      </c>
      <c r="BH339" s="24" t="n">
        <v>0</v>
      </c>
      <c r="BI339" s="24" t="n">
        <v>0</v>
      </c>
      <c r="BJ339" s="24" t="n">
        <v>0</v>
      </c>
      <c r="BK339" s="24" t="n">
        <v>0</v>
      </c>
      <c r="BL339" s="24" t="n">
        <v>0</v>
      </c>
      <c r="BM339" s="24" t="n">
        <v>0</v>
      </c>
      <c r="BN339" s="24" t="n">
        <v>0</v>
      </c>
      <c r="BO339" s="36"/>
      <c r="BP339" s="36"/>
      <c r="BQ339" s="21" t="n">
        <f aca="false">BL339</f>
        <v>0</v>
      </c>
      <c r="BR339" s="21" t="n">
        <f aca="false">BQ339</f>
        <v>0</v>
      </c>
      <c r="BS339" s="21" t="n">
        <f aca="false">BR339</f>
        <v>0</v>
      </c>
      <c r="BT339" s="21" t="n">
        <f aca="false">BS339</f>
        <v>0</v>
      </c>
      <c r="BU339" s="21" t="n">
        <f aca="false">BT339</f>
        <v>0</v>
      </c>
      <c r="BV339" s="15"/>
    </row>
    <row r="340" customFormat="false" ht="15" hidden="false" customHeight="false" outlineLevel="0" collapsed="false">
      <c r="B340" s="13" t="s">
        <v>529</v>
      </c>
      <c r="C340" s="19"/>
      <c r="D340" s="19"/>
      <c r="E340" s="19"/>
      <c r="F340" s="19"/>
      <c r="G340" s="19"/>
      <c r="H340" s="24" t="n">
        <v>446.881</v>
      </c>
      <c r="I340" s="24" t="n">
        <v>446.881</v>
      </c>
      <c r="J340" s="19"/>
      <c r="K340" s="24" t="n">
        <v>0</v>
      </c>
      <c r="L340" s="24" t="n">
        <v>0</v>
      </c>
      <c r="M340" s="24" t="n">
        <v>0</v>
      </c>
      <c r="N340" s="24" t="n">
        <v>0</v>
      </c>
      <c r="O340" s="24" t="n">
        <v>0</v>
      </c>
      <c r="P340" s="24" t="n">
        <v>0</v>
      </c>
      <c r="Q340" s="24" t="n">
        <v>0</v>
      </c>
      <c r="R340" s="24" t="n">
        <v>0</v>
      </c>
      <c r="S340" s="24" t="n">
        <v>0</v>
      </c>
      <c r="T340" s="24" t="n">
        <v>0</v>
      </c>
      <c r="U340" s="24" t="n">
        <v>0</v>
      </c>
      <c r="V340" s="24" t="n">
        <v>0</v>
      </c>
      <c r="W340" s="24" t="n">
        <v>0</v>
      </c>
      <c r="X340" s="24" t="n">
        <v>0</v>
      </c>
      <c r="Y340" s="24" t="n">
        <v>0</v>
      </c>
      <c r="Z340" s="24" t="n">
        <v>0</v>
      </c>
      <c r="AA340" s="24" t="n">
        <v>0</v>
      </c>
      <c r="AB340" s="24" t="n">
        <v>0</v>
      </c>
      <c r="AC340" s="24" t="n">
        <v>0</v>
      </c>
      <c r="AD340" s="24" t="n">
        <v>0</v>
      </c>
      <c r="AE340" s="24" t="n">
        <v>0</v>
      </c>
      <c r="AF340" s="24" t="n">
        <v>0</v>
      </c>
      <c r="AG340" s="24" t="n">
        <v>0</v>
      </c>
      <c r="AH340" s="24" t="n">
        <v>0</v>
      </c>
      <c r="AI340" s="24" t="n">
        <v>2.585</v>
      </c>
      <c r="AJ340" s="24" t="n">
        <v>0</v>
      </c>
      <c r="AK340" s="24" t="n">
        <v>0</v>
      </c>
      <c r="AL340" s="24" t="n">
        <v>0</v>
      </c>
      <c r="AM340" s="24" t="n">
        <v>0</v>
      </c>
      <c r="AN340" s="24" t="n">
        <v>0</v>
      </c>
      <c r="AO340" s="24" t="n">
        <v>0</v>
      </c>
      <c r="AP340" s="24" t="n">
        <v>0</v>
      </c>
      <c r="AQ340" s="24" t="n">
        <v>0</v>
      </c>
      <c r="AR340" s="24" t="n">
        <v>0</v>
      </c>
      <c r="AS340" s="24" t="n">
        <v>0</v>
      </c>
      <c r="AT340" s="24" t="n">
        <v>0</v>
      </c>
      <c r="AU340" s="24" t="n">
        <v>0</v>
      </c>
      <c r="AV340" s="24" t="n">
        <v>0</v>
      </c>
      <c r="AW340" s="24" t="n">
        <v>0</v>
      </c>
      <c r="AX340" s="24" t="n">
        <v>0</v>
      </c>
      <c r="AY340" s="24" t="n">
        <v>0</v>
      </c>
      <c r="AZ340" s="24" t="n">
        <v>0</v>
      </c>
      <c r="BA340" s="24" t="n">
        <v>0</v>
      </c>
      <c r="BB340" s="24" t="n">
        <v>0</v>
      </c>
      <c r="BC340" s="24" t="n">
        <v>0</v>
      </c>
      <c r="BD340" s="24" t="n">
        <v>0</v>
      </c>
      <c r="BE340" s="24" t="n">
        <v>0</v>
      </c>
      <c r="BF340" s="24" t="n">
        <v>0</v>
      </c>
      <c r="BG340" s="24" t="n">
        <v>0</v>
      </c>
      <c r="BH340" s="24" t="n">
        <v>0</v>
      </c>
      <c r="BI340" s="24" t="n">
        <v>0</v>
      </c>
      <c r="BJ340" s="24" t="n">
        <v>0</v>
      </c>
      <c r="BK340" s="24" t="n">
        <v>0</v>
      </c>
      <c r="BL340" s="24" t="n">
        <v>0</v>
      </c>
      <c r="BM340" s="24" t="n">
        <v>0</v>
      </c>
      <c r="BN340" s="24" t="n">
        <v>0</v>
      </c>
      <c r="BO340" s="36"/>
      <c r="BP340" s="36"/>
      <c r="BQ340" s="21" t="n">
        <f aca="false">BL340</f>
        <v>0</v>
      </c>
      <c r="BR340" s="21" t="n">
        <f aca="false">BQ340</f>
        <v>0</v>
      </c>
      <c r="BS340" s="21" t="n">
        <f aca="false">BR340</f>
        <v>0</v>
      </c>
      <c r="BT340" s="21" t="n">
        <f aca="false">BS340</f>
        <v>0</v>
      </c>
      <c r="BU340" s="21" t="n">
        <f aca="false">BT340</f>
        <v>0</v>
      </c>
      <c r="BV340" s="15"/>
    </row>
    <row r="341" customFormat="false" ht="15" hidden="false" customHeight="false" outlineLevel="0" collapsed="false">
      <c r="B341" s="30" t="s">
        <v>530</v>
      </c>
      <c r="C341" s="31"/>
      <c r="D341" s="31"/>
      <c r="E341" s="31"/>
      <c r="F341" s="31"/>
      <c r="G341" s="31"/>
      <c r="H341" s="49" t="n">
        <f aca="false">IF(ISNUMBER(H334),SUM(H332,H333,H334,H335,H336,H337,H338,H339,H340),"")</f>
        <v>819.635</v>
      </c>
      <c r="I341" s="49" t="n">
        <f aca="false">IF(ISNUMBER(I334),SUM(I332,I333,I334,I335,I336,I337,I338,I339,I340),"")</f>
        <v>819.635</v>
      </c>
      <c r="J341" s="31"/>
      <c r="K341" s="49" t="n">
        <f aca="false">IF(ISNUMBER(K334),SUM(K332,K333,K334,K335,K336,K337,K338,K339,K340),"")</f>
        <v>344.45</v>
      </c>
      <c r="L341" s="49" t="n">
        <f aca="false">IF(ISNUMBER(L334),SUM(L332,L333,L334,L335,L336,L337,L338,L339,L340),"")</f>
        <v>377.969</v>
      </c>
      <c r="M341" s="49" t="n">
        <f aca="false">IF(ISNUMBER(M334),SUM(M332,M333,M334,M335,M336,M337,M338,M339,M340),"")</f>
        <v>353.78</v>
      </c>
      <c r="N341" s="49" t="n">
        <f aca="false">IF(ISNUMBER(N334),SUM(N332,N333,N334,N335,N336,N337,N338,N339,N340),"")</f>
        <v>353.78</v>
      </c>
      <c r="O341" s="49" t="n">
        <f aca="false">IF(ISNUMBER(O334),SUM(O332,O333,O334,O335,O336,O337,O338,O339,O340),"")</f>
        <v>372.792</v>
      </c>
      <c r="P341" s="49" t="n">
        <f aca="false">IF(ISNUMBER(P334),SUM(P332,P333,P334,P335,P336,P337,P338,P339,P340),"")</f>
        <v>387.503</v>
      </c>
      <c r="Q341" s="49" t="n">
        <f aca="false">IF(ISNUMBER(Q334),SUM(Q332,Q333,Q334,Q335,Q336,Q337,Q338,Q339,Q340),"")</f>
        <v>381.349</v>
      </c>
      <c r="R341" s="49" t="n">
        <f aca="false">IF(ISNUMBER(R334),SUM(R332,R333,R334,R335,R336,R337,R338,R339,R340),"")</f>
        <v>439.876</v>
      </c>
      <c r="S341" s="49" t="n">
        <f aca="false">IF(ISNUMBER(S334),SUM(S332,S333,S334,S335,S336,S337,S338,S339,S340),"")</f>
        <v>439.876</v>
      </c>
      <c r="T341" s="49" t="n">
        <f aca="false">IF(ISNUMBER(T334),SUM(T332,T333,T334,T335,T336,T337,T338,T339,T340),"")</f>
        <v>382.437</v>
      </c>
      <c r="U341" s="49" t="n">
        <f aca="false">IF(ISNUMBER(U334),SUM(U332,U333,U334,U335,U336,U337,U338,U339,U340),"")</f>
        <v>392.774</v>
      </c>
      <c r="V341" s="49" t="n">
        <f aca="false">IF(ISNUMBER(V334),SUM(V332,V333,V334,V335,V336,V337,V338,V339,V340),"")</f>
        <v>459.867</v>
      </c>
      <c r="W341" s="49" t="n">
        <f aca="false">IF(ISNUMBER(W334),SUM(W332,W333,W334,W335,W336,W337,W338,W339,W340),"")</f>
        <v>528.126</v>
      </c>
      <c r="X341" s="49" t="n">
        <f aca="false">IF(ISNUMBER(X334),SUM(X332,X333,X334,X335,X336,X337,X338,X339,X340),"")</f>
        <v>528.126</v>
      </c>
      <c r="Y341" s="49" t="n">
        <f aca="false">IF(ISNUMBER(Y334),SUM(Y332,Y333,Y334,Y335,Y336,Y337,Y338,Y339,Y340),"")</f>
        <v>327.055</v>
      </c>
      <c r="Z341" s="49" t="n">
        <f aca="false">IF(ISNUMBER(Z334),SUM(Z332,Z333,Z334,Z335,Z336,Z337,Z338,Z339,Z340),"")</f>
        <v>309.368</v>
      </c>
      <c r="AA341" s="49" t="n">
        <f aca="false">IF(ISNUMBER(AA334),SUM(AA332,AA333,AA334,AA335,AA336,AA337,AA338,AA339,AA340),"")</f>
        <v>359.727</v>
      </c>
      <c r="AB341" s="49" t="n">
        <f aca="false">IF(ISNUMBER(AB334),SUM(AB332,AB333,AB334,AB335,AB336,AB337,AB338,AB339,AB340),"")</f>
        <v>377.348</v>
      </c>
      <c r="AC341" s="49" t="n">
        <f aca="false">IF(ISNUMBER(AC334),SUM(AC332,AC333,AC334,AC335,AC336,AC337,AC338,AC339,AC340),"")</f>
        <v>377.348</v>
      </c>
      <c r="AD341" s="49" t="n">
        <f aca="false">IF(ISNUMBER(AD334),SUM(AD332,AD333,AD334,AD335,AD336,AD337,AD338,AD339,AD340),"")</f>
        <v>325.76</v>
      </c>
      <c r="AE341" s="49" t="n">
        <f aca="false">IF(ISNUMBER(AE334),SUM(AE332,AE333,AE334,AE335,AE336,AE337,AE338,AE339,AE340),"")</f>
        <v>315.392</v>
      </c>
      <c r="AF341" s="49" t="n">
        <f aca="false">IF(ISNUMBER(AF334),SUM(AF332,AF333,AF334,AF335,AF336,AF337,AF338,AF339,AF340),"")</f>
        <v>333.74</v>
      </c>
      <c r="AG341" s="49" t="n">
        <f aca="false">IF(ISNUMBER(AG334),SUM(AG332,AG333,AG334,AG335,AG336,AG337,AG338,AG339,AG340),"")</f>
        <v>404.709</v>
      </c>
      <c r="AH341" s="49" t="n">
        <f aca="false">IF(ISNUMBER(AH334),SUM(AH332,AH333,AH334,AH335,AH336,AH337,AH338,AH339,AH340),"")</f>
        <v>404.709</v>
      </c>
      <c r="AI341" s="49" t="n">
        <f aca="false">IF(ISNUMBER(AI334),SUM(AI332,AI333,AI334,AI335,AI336,AI337,AI338,AI339,AI340),"")</f>
        <v>343.158</v>
      </c>
      <c r="AJ341" s="49" t="n">
        <f aca="false">IF(ISNUMBER(AJ334),SUM(AJ332,AJ333,AJ334,AJ335,AJ336,AJ337,AJ338,AJ339,AJ340),"")</f>
        <v>375.335</v>
      </c>
      <c r="AK341" s="49" t="n">
        <f aca="false">IF(ISNUMBER(AK334),SUM(AK332,AK333,AK334,AK335,AK336,AK337,AK338,AK339,AK340),"")</f>
        <v>382.551</v>
      </c>
      <c r="AL341" s="49" t="n">
        <f aca="false">IF(ISNUMBER(AL334),SUM(AL332,AL333,AL334,AL335,AL336,AL337,AL338,AL339,AL340),"")</f>
        <v>529.727</v>
      </c>
      <c r="AM341" s="49" t="n">
        <f aca="false">IF(ISNUMBER(AM334),SUM(AM332,AM333,AM334,AM335,AM336,AM337,AM338,AM339,AM340),"")</f>
        <v>529.727</v>
      </c>
      <c r="AN341" s="49" t="n">
        <f aca="false">IF(ISNUMBER(AN334),SUM(AN332,AN333,AN334,AN335,AN336,AN337,AN338,AN339,AN340),"")</f>
        <v>403.977</v>
      </c>
      <c r="AO341" s="49" t="n">
        <f aca="false">IF(ISNUMBER(AO334),SUM(AO332,AO333,AO334,AO335,AO336,AO337,AO338,AO339,AO340),"")</f>
        <v>801.643</v>
      </c>
      <c r="AP341" s="49" t="n">
        <f aca="false">IF(ISNUMBER(AP334),SUM(AP332,AP333,AP334,AP335,AP336,AP337,AP338,AP339,AP340),"")</f>
        <v>397.793</v>
      </c>
      <c r="AQ341" s="49" t="n">
        <f aca="false">IF(ISNUMBER(AQ334),SUM(AQ332,AQ333,AQ334,AQ335,AQ336,AQ337,AQ338,AQ339,AQ340),"")</f>
        <v>459.615</v>
      </c>
      <c r="AR341" s="49" t="n">
        <f aca="false">IF(ISNUMBER(AR334),SUM(AR332,AR333,AR334,AR335,AR336,AR337,AR338,AR339,AR340),"")</f>
        <v>459.615</v>
      </c>
      <c r="AS341" s="49" t="n">
        <f aca="false">IF(ISNUMBER(AS334),SUM(AS332,AS333,AS334,AS335,AS336,AS337,AS338,AS339,AS340),"")</f>
        <v>408.644</v>
      </c>
      <c r="AT341" s="49" t="n">
        <f aca="false">IF(ISNUMBER(AT334),SUM(AT332,AT333,AT334,AT335,AT336,AT337,AT338,AT339,AT340),"")</f>
        <v>409.367</v>
      </c>
      <c r="AU341" s="49" t="n">
        <f aca="false">IF(ISNUMBER(AU334),SUM(AU332,AU333,AU334,AU335,AU336,AU337,AU338,AU339,AU340),"")</f>
        <v>406.797</v>
      </c>
      <c r="AV341" s="49" t="n">
        <f aca="false">IF(ISNUMBER(AV334),SUM(AV332,AV333,AV334,AV335,AV336,AV337,AV338,AV339,AV340),"")</f>
        <v>367.86</v>
      </c>
      <c r="AW341" s="49" t="n">
        <f aca="false">IF(ISNUMBER(AW334),SUM(AW332,AW333,AW334,AW335,AW336,AW337,AW338,AW339,AW340),"")</f>
        <v>367.86</v>
      </c>
      <c r="AX341" s="49" t="n">
        <f aca="false">IF(ISNUMBER(AX334),SUM(AX332,AX333,AX334,AX335,AX336,AX337,AX338,AX339,AX340),"")</f>
        <v>348.857</v>
      </c>
      <c r="AY341" s="49" t="n">
        <f aca="false">IF(ISNUMBER(AY334),SUM(AY332,AY333,AY334,AY335,AY336,AY337,AY338,AY339,AY340),"")</f>
        <v>348.061</v>
      </c>
      <c r="AZ341" s="49" t="n">
        <f aca="false">IF(ISNUMBER(AZ334),SUM(AZ332,AZ333,AZ334,AZ335,AZ336,AZ337,AZ338,AZ339,AZ340),"")</f>
        <v>351.169</v>
      </c>
      <c r="BA341" s="49" t="n">
        <f aca="false">IF(ISNUMBER(BA334),SUM(BA332,BA333,BA334,BA335,BA336,BA337,BA338,BA339,BA340),"")</f>
        <v>375.046</v>
      </c>
      <c r="BB341" s="49" t="n">
        <f aca="false">IF(ISNUMBER(BB334),SUM(BB332,BB333,BB334,BB335,BB336,BB337,BB338,BB339,BB340),"")</f>
        <v>375.046</v>
      </c>
      <c r="BC341" s="49" t="n">
        <f aca="false">IF(ISNUMBER(BC334),SUM(BC332,BC333,BC334,BC335,BC336,BC337,BC338,BC339,BC340),"")</f>
        <v>386.825</v>
      </c>
      <c r="BD341" s="49" t="n">
        <f aca="false">IF(ISNUMBER(BD334),SUM(BD332,BD333,BD334,BD335,BD336,BD337,BD338,BD339,BD340),"")</f>
        <v>408.58</v>
      </c>
      <c r="BE341" s="49" t="n">
        <f aca="false">IF(ISNUMBER(BE334),SUM(BE332,BE333,BE334,BE335,BE336,BE337,BE338,BE339,BE340),"")</f>
        <v>437.466</v>
      </c>
      <c r="BF341" s="49" t="n">
        <f aca="false">IF(ISNUMBER(BF334),SUM(BF332,BF333,BF334,BF335,BF336,BF337,BF338,BF339,BF340),"")</f>
        <v>474.201</v>
      </c>
      <c r="BG341" s="49" t="n">
        <f aca="false">IF(ISNUMBER(BG334),SUM(BG332,BG333,BG334,BG335,BG336,BG337,BG338,BG339,BG340),"")</f>
        <v>474.201</v>
      </c>
      <c r="BH341" s="49" t="n">
        <f aca="false">IF(ISNUMBER(BH334),SUM(BH332,BH333,BH334,BH335,BH336,BH337,BH338,BH339,BH340),"")</f>
        <v>483.945</v>
      </c>
      <c r="BI341" s="49" t="n">
        <f aca="false">IF(ISNUMBER(BI334),SUM(BI332,BI333,BI334,BI335,BI336,BI337,BI338,BI339,BI340),"")</f>
        <v>590.186</v>
      </c>
      <c r="BJ341" s="49" t="n">
        <f aca="false">IF(ISNUMBER(BJ334),SUM(BJ332,BJ333,BJ334,BJ335,BJ336,BJ337,BJ338,BJ339,BJ340),"")</f>
        <v>646.563</v>
      </c>
      <c r="BK341" s="49" t="n">
        <f aca="false">IF(ISNUMBER(BK334),SUM(BK332,BK333,BK334,BK335,BK336,BK337,BK338,BK339,BK340),"")</f>
        <v>672.017</v>
      </c>
      <c r="BL341" s="49" t="n">
        <f aca="false">IF(ISNUMBER(BL334),SUM(BL332,BL333,BL334,BL335,BL336,BL337,BL338,BL339,BL340),"")</f>
        <v>672.017</v>
      </c>
      <c r="BM341" s="49" t="n">
        <f aca="false">IF(ISNUMBER(BM334),SUM(BM332,BM333,BM334,BM335,BM336,BM337,BM338,BM339,BM340),"")</f>
        <v>674.221</v>
      </c>
      <c r="BN341" s="49" t="n">
        <f aca="false">IF(ISNUMBER(BN334),SUM(BN332,BN333,BN334,BN335,BN336,BN337,BN338,BN339,BN340),"")</f>
        <v>713.271</v>
      </c>
      <c r="BO341" s="57"/>
      <c r="BP341" s="57"/>
      <c r="BQ341" s="33" t="n">
        <f aca="false">SUM(BQ332,BQ333,BQ334,BQ335,BQ336,BQ337,BQ338,BQ339,BQ340)</f>
        <v>824.6</v>
      </c>
      <c r="BR341" s="33" t="n">
        <f aca="false">SUM(BR332,BR333,BR334,BR335,BR336,BR337,BR338,BR339,BR340)</f>
        <v>1261.7809379085</v>
      </c>
      <c r="BS341" s="33" t="n">
        <f aca="false">SUM(BS332,BS333,BS334,BS335,BS336,BS337,BS338,BS339,BS340)</f>
        <v>1348.65603040299</v>
      </c>
      <c r="BT341" s="33" t="n">
        <f aca="false">SUM(BT332,BT333,BT334,BT335,BT336,BT337,BT338,BT339,BT340)</f>
        <v>2302.30261246806</v>
      </c>
      <c r="BU341" s="33" t="n">
        <f aca="false">SUM(BU332,BU333,BU334,BU335,BU336,BU337,BU338,BU339,BU340)</f>
        <v>1162.47521444604</v>
      </c>
      <c r="BV341" s="15"/>
    </row>
    <row r="342" customFormat="false" ht="15" hidden="false" customHeight="false" outlineLevel="0" collapsed="false">
      <c r="B342" s="13" t="s">
        <v>531</v>
      </c>
      <c r="C342" s="19"/>
      <c r="D342" s="19"/>
      <c r="E342" s="19"/>
      <c r="F342" s="19"/>
      <c r="G342" s="19"/>
      <c r="H342" s="24" t="n">
        <v>285</v>
      </c>
      <c r="I342" s="24" t="n">
        <v>285</v>
      </c>
      <c r="J342" s="19"/>
      <c r="K342" s="24" t="n">
        <v>315</v>
      </c>
      <c r="L342" s="24" t="n">
        <v>288.75</v>
      </c>
      <c r="M342" s="24" t="n">
        <v>285</v>
      </c>
      <c r="N342" s="24" t="n">
        <v>285</v>
      </c>
      <c r="O342" s="24" t="n">
        <v>274.884</v>
      </c>
      <c r="P342" s="24" t="n">
        <v>271.509</v>
      </c>
      <c r="Q342" s="24" t="n">
        <v>423.211</v>
      </c>
      <c r="R342" s="24" t="n">
        <v>497.724</v>
      </c>
      <c r="S342" s="24" t="n">
        <v>497.724</v>
      </c>
      <c r="T342" s="24" t="n">
        <v>542.997</v>
      </c>
      <c r="U342" s="24" t="n">
        <v>489.322</v>
      </c>
      <c r="V342" s="24" t="n">
        <v>489.128</v>
      </c>
      <c r="W342" s="24" t="n">
        <v>481.059</v>
      </c>
      <c r="X342" s="24" t="n">
        <v>481.059</v>
      </c>
      <c r="Y342" s="24" t="n">
        <v>471.367</v>
      </c>
      <c r="Z342" s="24" t="n">
        <v>666.2</v>
      </c>
      <c r="AA342" s="24" t="n">
        <v>756.492</v>
      </c>
      <c r="AB342" s="24" t="n">
        <v>753.617</v>
      </c>
      <c r="AC342" s="24" t="n">
        <v>753.617</v>
      </c>
      <c r="AD342" s="24" t="n">
        <v>856.005</v>
      </c>
      <c r="AE342" s="24" t="n">
        <v>855.69</v>
      </c>
      <c r="AF342" s="24" t="n">
        <v>849.589</v>
      </c>
      <c r="AG342" s="24" t="n">
        <v>809.442</v>
      </c>
      <c r="AH342" s="24" t="n">
        <v>809.442</v>
      </c>
      <c r="AI342" s="24" t="n">
        <v>911.312</v>
      </c>
      <c r="AJ342" s="24" t="n">
        <v>826.831</v>
      </c>
      <c r="AK342" s="24" t="n">
        <v>902.197</v>
      </c>
      <c r="AL342" s="24" t="n">
        <v>862.731</v>
      </c>
      <c r="AM342" s="24" t="n">
        <v>862.731</v>
      </c>
      <c r="AN342" s="24" t="n">
        <v>1018.265</v>
      </c>
      <c r="AO342" s="24" t="n">
        <v>784.111</v>
      </c>
      <c r="AP342" s="24" t="n">
        <v>1253.832</v>
      </c>
      <c r="AQ342" s="24" t="n">
        <v>1189.304</v>
      </c>
      <c r="AR342" s="24" t="n">
        <v>1189.304</v>
      </c>
      <c r="AS342" s="24" t="n">
        <v>1299.777</v>
      </c>
      <c r="AT342" s="24" t="n">
        <v>1380.249</v>
      </c>
      <c r="AU342" s="24" t="n">
        <v>1340.722</v>
      </c>
      <c r="AV342" s="24" t="n">
        <v>1282.624</v>
      </c>
      <c r="AW342" s="24" t="n">
        <v>1282.624</v>
      </c>
      <c r="AX342" s="24" t="n">
        <v>1361.574</v>
      </c>
      <c r="AY342" s="24" t="n">
        <v>1330.523</v>
      </c>
      <c r="AZ342" s="24" t="n">
        <v>1334.473</v>
      </c>
      <c r="BA342" s="24" t="n">
        <v>1203.422</v>
      </c>
      <c r="BB342" s="24" t="n">
        <v>1203.422</v>
      </c>
      <c r="BC342" s="24" t="n">
        <v>1220.809</v>
      </c>
      <c r="BD342" s="24" t="n">
        <v>1203.196</v>
      </c>
      <c r="BE342" s="24" t="n">
        <v>1220.583</v>
      </c>
      <c r="BF342" s="24" t="n">
        <v>1042.97</v>
      </c>
      <c r="BG342" s="24" t="n">
        <v>1042.97</v>
      </c>
      <c r="BH342" s="24" t="n">
        <v>1185.356</v>
      </c>
      <c r="BI342" s="24" t="n">
        <v>1519.728</v>
      </c>
      <c r="BJ342" s="24" t="n">
        <v>1497.07</v>
      </c>
      <c r="BK342" s="24" t="n">
        <v>2015.983</v>
      </c>
      <c r="BL342" s="24" t="n">
        <v>2015.983</v>
      </c>
      <c r="BM342" s="24" t="n">
        <v>2017.946</v>
      </c>
      <c r="BN342" s="24" t="n">
        <v>2019.897</v>
      </c>
      <c r="BO342" s="36"/>
      <c r="BP342" s="36"/>
      <c r="BQ342" s="21" t="n">
        <f aca="false">BQ387-BQ332</f>
        <v>2021.983</v>
      </c>
      <c r="BR342" s="21" t="n">
        <f aca="false">BR387-BR332</f>
        <v>1627.983</v>
      </c>
      <c r="BS342" s="21" t="n">
        <f aca="false">BS387-BS332</f>
        <v>1633.983</v>
      </c>
      <c r="BT342" s="21" t="n">
        <f aca="false">BT387-BT332</f>
        <v>789.983</v>
      </c>
      <c r="BU342" s="21" t="n">
        <f aca="false">BU387-BU332</f>
        <v>2045.983</v>
      </c>
      <c r="BV342" s="15"/>
    </row>
    <row r="343" customFormat="false" ht="15" hidden="false" customHeight="false" outlineLevel="0" collapsed="false">
      <c r="B343" s="13" t="s">
        <v>532</v>
      </c>
      <c r="C343" s="19"/>
      <c r="D343" s="19"/>
      <c r="E343" s="19"/>
      <c r="F343" s="19"/>
      <c r="G343" s="19"/>
      <c r="H343" s="24" t="n">
        <v>29.956</v>
      </c>
      <c r="I343" s="24" t="n">
        <v>29.956</v>
      </c>
      <c r="J343" s="19"/>
      <c r="K343" s="24" t="n">
        <v>27.699</v>
      </c>
      <c r="L343" s="24" t="n">
        <v>26.89</v>
      </c>
      <c r="M343" s="24" t="n">
        <v>20.418</v>
      </c>
      <c r="N343" s="24" t="n">
        <v>20.418</v>
      </c>
      <c r="O343" s="24" t="n">
        <v>20.96</v>
      </c>
      <c r="P343" s="24" t="n">
        <v>20.872</v>
      </c>
      <c r="Q343" s="24" t="n">
        <v>19.871</v>
      </c>
      <c r="R343" s="24" t="n">
        <v>19.059</v>
      </c>
      <c r="S343" s="24" t="n">
        <v>19.059</v>
      </c>
      <c r="T343" s="24" t="n">
        <v>18.953</v>
      </c>
      <c r="U343" s="24" t="n">
        <v>18.994</v>
      </c>
      <c r="V343" s="24" t="n">
        <v>19.284</v>
      </c>
      <c r="W343" s="24" t="n">
        <v>21.368</v>
      </c>
      <c r="X343" s="24" t="n">
        <v>21.368</v>
      </c>
      <c r="Y343" s="24" t="n">
        <v>20.959</v>
      </c>
      <c r="Z343" s="24" t="n">
        <v>20.065</v>
      </c>
      <c r="AA343" s="24" t="n">
        <v>20.111</v>
      </c>
      <c r="AB343" s="24" t="n">
        <v>19.236</v>
      </c>
      <c r="AC343" s="24" t="n">
        <v>19.236</v>
      </c>
      <c r="AD343" s="24" t="n">
        <v>19.223</v>
      </c>
      <c r="AE343" s="24" t="n">
        <v>19.316</v>
      </c>
      <c r="AF343" s="24" t="n">
        <v>19.082</v>
      </c>
      <c r="AG343" s="24" t="n">
        <v>23.259</v>
      </c>
      <c r="AH343" s="24" t="n">
        <v>23.259</v>
      </c>
      <c r="AI343" s="24" t="n">
        <v>22.066</v>
      </c>
      <c r="AJ343" s="24" t="n">
        <v>22.021</v>
      </c>
      <c r="AK343" s="24" t="n">
        <v>21.942</v>
      </c>
      <c r="AL343" s="24" t="n">
        <v>25.689</v>
      </c>
      <c r="AM343" s="24" t="n">
        <v>25.689</v>
      </c>
      <c r="AN343" s="24" t="n">
        <v>25.506</v>
      </c>
      <c r="AO343" s="24" t="n">
        <v>25.245</v>
      </c>
      <c r="AP343" s="24" t="n">
        <v>24.389</v>
      </c>
      <c r="AQ343" s="24" t="n">
        <v>24.333</v>
      </c>
      <c r="AR343" s="24" t="n">
        <v>24.333</v>
      </c>
      <c r="AS343" s="24" t="n">
        <v>23.993</v>
      </c>
      <c r="AT343" s="24" t="n">
        <v>23.063</v>
      </c>
      <c r="AU343" s="24" t="n">
        <v>21.553</v>
      </c>
      <c r="AV343" s="24" t="n">
        <v>18.157</v>
      </c>
      <c r="AW343" s="24" t="n">
        <v>18.157</v>
      </c>
      <c r="AX343" s="24" t="n">
        <v>17.91</v>
      </c>
      <c r="AY343" s="24" t="n">
        <v>17.927</v>
      </c>
      <c r="AZ343" s="24" t="n">
        <v>17.437</v>
      </c>
      <c r="BA343" s="24" t="n">
        <v>18.466</v>
      </c>
      <c r="BB343" s="24" t="n">
        <v>18.466</v>
      </c>
      <c r="BC343" s="24" t="n">
        <v>18.022</v>
      </c>
      <c r="BD343" s="24" t="n">
        <v>17.809</v>
      </c>
      <c r="BE343" s="24" t="n">
        <v>17.797</v>
      </c>
      <c r="BF343" s="24" t="n">
        <v>16.515</v>
      </c>
      <c r="BG343" s="24" t="n">
        <v>16.515</v>
      </c>
      <c r="BH343" s="24" t="n">
        <v>16.432</v>
      </c>
      <c r="BI343" s="24" t="n">
        <v>77.49</v>
      </c>
      <c r="BJ343" s="24" t="n">
        <v>85.867</v>
      </c>
      <c r="BK343" s="24" t="n">
        <v>78.46</v>
      </c>
      <c r="BL343" s="24" t="n">
        <v>78.46</v>
      </c>
      <c r="BM343" s="24" t="n">
        <v>78.429</v>
      </c>
      <c r="BN343" s="24" t="n">
        <v>77.902</v>
      </c>
      <c r="BO343" s="36"/>
      <c r="BP343" s="36"/>
      <c r="BQ343" s="21" t="n">
        <f aca="false">BL343</f>
        <v>78.46</v>
      </c>
      <c r="BR343" s="21" t="n">
        <f aca="false">BQ343</f>
        <v>78.46</v>
      </c>
      <c r="BS343" s="21" t="n">
        <f aca="false">BR343</f>
        <v>78.46</v>
      </c>
      <c r="BT343" s="21" t="n">
        <f aca="false">BS343</f>
        <v>78.46</v>
      </c>
      <c r="BU343" s="21" t="n">
        <f aca="false">BT343</f>
        <v>78.46</v>
      </c>
      <c r="BV343" s="15"/>
    </row>
    <row r="344" customFormat="false" ht="15" hidden="false" customHeight="false" outlineLevel="0" collapsed="false">
      <c r="B344" s="13" t="s">
        <v>533</v>
      </c>
      <c r="C344" s="19"/>
      <c r="D344" s="19"/>
      <c r="E344" s="19"/>
      <c r="F344" s="19"/>
      <c r="G344" s="19"/>
      <c r="H344" s="24" t="n">
        <v>56.259</v>
      </c>
      <c r="I344" s="24" t="n">
        <v>56.259</v>
      </c>
      <c r="J344" s="19"/>
      <c r="K344" s="24" t="n">
        <v>58.293</v>
      </c>
      <c r="L344" s="24" t="n">
        <v>59.117</v>
      </c>
      <c r="M344" s="24" t="n">
        <v>60.239</v>
      </c>
      <c r="N344" s="24" t="n">
        <v>60.239</v>
      </c>
      <c r="O344" s="24" t="n">
        <v>60.917</v>
      </c>
      <c r="P344" s="24" t="n">
        <v>61.66</v>
      </c>
      <c r="Q344" s="24" t="n">
        <v>62.548</v>
      </c>
      <c r="R344" s="24" t="n">
        <v>81.711</v>
      </c>
      <c r="S344" s="24" t="n">
        <v>81.711</v>
      </c>
      <c r="T344" s="24" t="n">
        <v>83.232</v>
      </c>
      <c r="U344" s="24" t="n">
        <v>84.775</v>
      </c>
      <c r="V344" s="24" t="n">
        <v>86.958</v>
      </c>
      <c r="W344" s="24" t="n">
        <v>79.786</v>
      </c>
      <c r="X344" s="24" t="n">
        <v>79.786</v>
      </c>
      <c r="Y344" s="24" t="n">
        <v>80.682</v>
      </c>
      <c r="Z344" s="24" t="n">
        <v>80.708</v>
      </c>
      <c r="AA344" s="24" t="n">
        <v>89.429</v>
      </c>
      <c r="AB344" s="24" t="n">
        <v>86.372</v>
      </c>
      <c r="AC344" s="24" t="n">
        <v>86.372</v>
      </c>
      <c r="AD344" s="24" t="n">
        <v>87.972</v>
      </c>
      <c r="AE344" s="24" t="n">
        <v>89.949</v>
      </c>
      <c r="AF344" s="24" t="n">
        <v>90.421</v>
      </c>
      <c r="AG344" s="24" t="n">
        <v>80.368</v>
      </c>
      <c r="AH344" s="24" t="n">
        <v>80.368</v>
      </c>
      <c r="AI344" s="24" t="n">
        <v>80.634</v>
      </c>
      <c r="AJ344" s="24" t="n">
        <v>83.845</v>
      </c>
      <c r="AK344" s="24" t="n">
        <v>85.391</v>
      </c>
      <c r="AL344" s="24" t="n">
        <v>84.153</v>
      </c>
      <c r="AM344" s="24" t="n">
        <v>84.153</v>
      </c>
      <c r="AN344" s="24" t="n">
        <v>85.889</v>
      </c>
      <c r="AO344" s="24" t="n">
        <v>92.032</v>
      </c>
      <c r="AP344" s="24" t="n">
        <v>93.051</v>
      </c>
      <c r="AQ344" s="24" t="n">
        <v>92.642</v>
      </c>
      <c r="AR344" s="24" t="n">
        <v>92.642</v>
      </c>
      <c r="AS344" s="24" t="n">
        <v>92.966</v>
      </c>
      <c r="AT344" s="24" t="n">
        <v>94.102</v>
      </c>
      <c r="AU344" s="24" t="n">
        <v>94.414</v>
      </c>
      <c r="AV344" s="24" t="n">
        <v>90.989</v>
      </c>
      <c r="AW344" s="24" t="n">
        <v>90.989</v>
      </c>
      <c r="AX344" s="24" t="n">
        <v>92.797</v>
      </c>
      <c r="AY344" s="24" t="n">
        <v>94.866</v>
      </c>
      <c r="AZ344" s="24" t="n">
        <v>96.257</v>
      </c>
      <c r="BA344" s="24" t="n">
        <v>90.575</v>
      </c>
      <c r="BB344" s="24" t="n">
        <v>90.575</v>
      </c>
      <c r="BC344" s="24" t="n">
        <v>92.221</v>
      </c>
      <c r="BD344" s="24" t="n">
        <v>90.884</v>
      </c>
      <c r="BE344" s="24" t="n">
        <v>92.721</v>
      </c>
      <c r="BF344" s="24" t="n">
        <v>94.225</v>
      </c>
      <c r="BG344" s="24" t="n">
        <v>94.225</v>
      </c>
      <c r="BH344" s="24" t="n">
        <v>96.124</v>
      </c>
      <c r="BI344" s="24" t="n">
        <v>96.62</v>
      </c>
      <c r="BJ344" s="24" t="n">
        <v>98.29</v>
      </c>
      <c r="BK344" s="24" t="n">
        <v>100.278</v>
      </c>
      <c r="BL344" s="24" t="n">
        <v>100.278</v>
      </c>
      <c r="BM344" s="24" t="n">
        <v>102.098</v>
      </c>
      <c r="BN344" s="24" t="n">
        <v>103.88</v>
      </c>
      <c r="BO344" s="36"/>
      <c r="BP344" s="36"/>
      <c r="BQ344" s="21" t="n">
        <f aca="false">BL344</f>
        <v>100.278</v>
      </c>
      <c r="BR344" s="21" t="n">
        <f aca="false">BQ344</f>
        <v>100.278</v>
      </c>
      <c r="BS344" s="21" t="n">
        <f aca="false">BR344</f>
        <v>100.278</v>
      </c>
      <c r="BT344" s="21" t="n">
        <f aca="false">BS344</f>
        <v>100.278</v>
      </c>
      <c r="BU344" s="21" t="n">
        <f aca="false">BT344</f>
        <v>100.278</v>
      </c>
      <c r="BV344" s="15"/>
    </row>
    <row r="345" customFormat="false" ht="15" hidden="false" customHeight="false" outlineLevel="0" collapsed="false">
      <c r="B345" s="13" t="s">
        <v>534</v>
      </c>
      <c r="C345" s="19"/>
      <c r="D345" s="19"/>
      <c r="E345" s="19"/>
      <c r="F345" s="19"/>
      <c r="G345" s="19"/>
      <c r="H345" s="24" t="n">
        <v>308.927</v>
      </c>
      <c r="I345" s="24" t="n">
        <v>308.927</v>
      </c>
      <c r="J345" s="19"/>
      <c r="K345" s="24" t="n">
        <v>305.81</v>
      </c>
      <c r="L345" s="24" t="n">
        <v>303.54</v>
      </c>
      <c r="M345" s="24" t="n">
        <v>358.512</v>
      </c>
      <c r="N345" s="24" t="n">
        <v>358.512</v>
      </c>
      <c r="O345" s="24" t="n">
        <v>353.218</v>
      </c>
      <c r="P345" s="24" t="n">
        <v>347.5</v>
      </c>
      <c r="Q345" s="24" t="n">
        <v>339.986</v>
      </c>
      <c r="R345" s="24" t="n">
        <v>357.049</v>
      </c>
      <c r="S345" s="24" t="n">
        <v>357.049</v>
      </c>
      <c r="T345" s="24" t="n">
        <v>350.27</v>
      </c>
      <c r="U345" s="24" t="n">
        <v>340.772</v>
      </c>
      <c r="V345" s="24" t="n">
        <v>325.666</v>
      </c>
      <c r="W345" s="24" t="n">
        <v>296.444</v>
      </c>
      <c r="X345" s="24" t="n">
        <v>296.444</v>
      </c>
      <c r="Y345" s="24" t="n">
        <v>274.801</v>
      </c>
      <c r="Z345" s="24" t="n">
        <v>259.231</v>
      </c>
      <c r="AA345" s="24" t="n">
        <v>102.093</v>
      </c>
      <c r="AB345" s="24" t="n">
        <v>173.469</v>
      </c>
      <c r="AC345" s="24" t="n">
        <v>173.469</v>
      </c>
      <c r="AD345" s="24" t="n">
        <v>169.939</v>
      </c>
      <c r="AE345" s="24" t="n">
        <v>166.825</v>
      </c>
      <c r="AF345" s="24" t="n">
        <v>162.403</v>
      </c>
      <c r="AG345" s="24" t="n">
        <v>172.508</v>
      </c>
      <c r="AH345" s="24" t="n">
        <v>172.508</v>
      </c>
      <c r="AI345" s="24" t="n">
        <v>164.031</v>
      </c>
      <c r="AJ345" s="24" t="n">
        <v>157.229</v>
      </c>
      <c r="AK345" s="24" t="n">
        <v>150.03</v>
      </c>
      <c r="AL345" s="24" t="n">
        <v>144.859</v>
      </c>
      <c r="AM345" s="24" t="n">
        <v>144.859</v>
      </c>
      <c r="AN345" s="24" t="n">
        <v>133.423</v>
      </c>
      <c r="AO345" s="24" t="n">
        <v>122.084</v>
      </c>
      <c r="AP345" s="24" t="n">
        <v>109.829</v>
      </c>
      <c r="AQ345" s="24" t="n">
        <v>59.388</v>
      </c>
      <c r="AR345" s="24" t="n">
        <v>59.388</v>
      </c>
      <c r="AS345" s="24" t="n">
        <v>52.886</v>
      </c>
      <c r="AT345" s="24" t="n">
        <v>50.904</v>
      </c>
      <c r="AU345" s="24" t="n">
        <v>48.018</v>
      </c>
      <c r="AV345" s="24" t="n">
        <v>57.832</v>
      </c>
      <c r="AW345" s="24" t="n">
        <v>57.832</v>
      </c>
      <c r="AX345" s="24" t="n">
        <v>55.602</v>
      </c>
      <c r="AY345" s="24" t="n">
        <v>53.766</v>
      </c>
      <c r="AZ345" s="24" t="n">
        <v>51.159</v>
      </c>
      <c r="BA345" s="24" t="n">
        <v>82.786</v>
      </c>
      <c r="BB345" s="24" t="n">
        <v>82.786</v>
      </c>
      <c r="BC345" s="24" t="n">
        <v>79.557</v>
      </c>
      <c r="BD345" s="24" t="n">
        <v>76.784</v>
      </c>
      <c r="BE345" s="24" t="n">
        <v>74.347</v>
      </c>
      <c r="BF345" s="24" t="n">
        <v>82.602</v>
      </c>
      <c r="BG345" s="24" t="n">
        <v>82.602</v>
      </c>
      <c r="BH345" s="24" t="n">
        <v>78.666</v>
      </c>
      <c r="BI345" s="24" t="n">
        <v>108.215</v>
      </c>
      <c r="BJ345" s="24" t="n">
        <v>91.052</v>
      </c>
      <c r="BK345" s="24" t="n">
        <v>78.167</v>
      </c>
      <c r="BL345" s="24" t="n">
        <v>78.167</v>
      </c>
      <c r="BM345" s="24" t="n">
        <v>74.403</v>
      </c>
      <c r="BN345" s="24" t="n">
        <v>69.344</v>
      </c>
      <c r="BO345" s="36"/>
      <c r="BP345" s="36"/>
      <c r="BQ345" s="21" t="n">
        <f aca="false">BL345</f>
        <v>78.167</v>
      </c>
      <c r="BR345" s="21" t="n">
        <f aca="false">BQ345</f>
        <v>78.167</v>
      </c>
      <c r="BS345" s="21" t="n">
        <f aca="false">BR345</f>
        <v>78.167</v>
      </c>
      <c r="BT345" s="21" t="n">
        <f aca="false">BS345</f>
        <v>78.167</v>
      </c>
      <c r="BU345" s="21" t="n">
        <f aca="false">BT345</f>
        <v>78.167</v>
      </c>
      <c r="BV345" s="15"/>
    </row>
    <row r="346" customFormat="false" ht="15" hidden="false" customHeight="false" outlineLevel="0" collapsed="false">
      <c r="B346" s="13" t="s">
        <v>535</v>
      </c>
      <c r="C346" s="19"/>
      <c r="D346" s="19"/>
      <c r="E346" s="19"/>
      <c r="F346" s="19"/>
      <c r="G346" s="19"/>
      <c r="H346" s="24" t="n">
        <v>43.126</v>
      </c>
      <c r="I346" s="24" t="n">
        <v>43.126</v>
      </c>
      <c r="J346" s="19"/>
      <c r="K346" s="24" t="n">
        <v>29.44</v>
      </c>
      <c r="L346" s="24" t="n">
        <v>22.972</v>
      </c>
      <c r="M346" s="24" t="n">
        <v>24.555</v>
      </c>
      <c r="N346" s="24" t="n">
        <v>24.555</v>
      </c>
      <c r="O346" s="24" t="n">
        <v>15.047</v>
      </c>
      <c r="P346" s="24" t="n">
        <v>19.853</v>
      </c>
      <c r="Q346" s="24" t="n">
        <v>19.54</v>
      </c>
      <c r="R346" s="24" t="n">
        <v>33.986</v>
      </c>
      <c r="S346" s="24" t="n">
        <v>33.986</v>
      </c>
      <c r="T346" s="24" t="n">
        <v>33.818</v>
      </c>
      <c r="U346" s="24" t="n">
        <v>33.8</v>
      </c>
      <c r="V346" s="24" t="n">
        <v>34.368</v>
      </c>
      <c r="W346" s="24" t="n">
        <v>19.799</v>
      </c>
      <c r="X346" s="24" t="n">
        <v>19.799</v>
      </c>
      <c r="Y346" s="24" t="n">
        <v>19.425</v>
      </c>
      <c r="Z346" s="24" t="n">
        <v>18.576</v>
      </c>
      <c r="AA346" s="24" t="n">
        <v>15.351</v>
      </c>
      <c r="AB346" s="24" t="n">
        <v>9.353</v>
      </c>
      <c r="AC346" s="24" t="n">
        <v>9.353</v>
      </c>
      <c r="AD346" s="24" t="n">
        <v>15.013</v>
      </c>
      <c r="AE346" s="24" t="n">
        <v>15.159</v>
      </c>
      <c r="AF346" s="24" t="n">
        <v>16.652</v>
      </c>
      <c r="AG346" s="24" t="n">
        <v>14.515</v>
      </c>
      <c r="AH346" s="24" t="n">
        <v>14.515</v>
      </c>
      <c r="AI346" s="24" t="n">
        <v>15.89</v>
      </c>
      <c r="AJ346" s="24" t="n">
        <v>24.57</v>
      </c>
      <c r="AK346" s="24" t="n">
        <v>32.123</v>
      </c>
      <c r="AL346" s="24" t="n">
        <v>28.576</v>
      </c>
      <c r="AM346" s="24" t="n">
        <v>28.576</v>
      </c>
      <c r="AN346" s="24" t="n">
        <v>28.548</v>
      </c>
      <c r="AO346" s="24" t="n">
        <v>32.2</v>
      </c>
      <c r="AP346" s="24" t="n">
        <v>32.245</v>
      </c>
      <c r="AQ346" s="24" t="n">
        <v>38.863</v>
      </c>
      <c r="AR346" s="24" t="n">
        <v>38.863</v>
      </c>
      <c r="AS346" s="24" t="n">
        <v>30.887</v>
      </c>
      <c r="AT346" s="24" t="n">
        <v>43.488</v>
      </c>
      <c r="AU346" s="24" t="n">
        <v>47.618</v>
      </c>
      <c r="AV346" s="24" t="n">
        <v>53.122</v>
      </c>
      <c r="AW346" s="24" t="n">
        <v>53.122</v>
      </c>
      <c r="AX346" s="24" t="n">
        <v>54.16</v>
      </c>
      <c r="AY346" s="24" t="n">
        <v>53.903</v>
      </c>
      <c r="AZ346" s="24" t="n">
        <v>54.433</v>
      </c>
      <c r="BA346" s="24" t="n">
        <v>43.469</v>
      </c>
      <c r="BB346" s="24" t="n">
        <v>43.469</v>
      </c>
      <c r="BC346" s="24" t="n">
        <v>44.51</v>
      </c>
      <c r="BD346" s="24" t="n">
        <v>45.129</v>
      </c>
      <c r="BE346" s="24" t="n">
        <v>45.875</v>
      </c>
      <c r="BF346" s="24" t="n">
        <v>79.007</v>
      </c>
      <c r="BG346" s="24" t="n">
        <v>79.007</v>
      </c>
      <c r="BH346" s="24" t="n">
        <v>93.45</v>
      </c>
      <c r="BI346" s="24" t="n">
        <v>122.927</v>
      </c>
      <c r="BJ346" s="24" t="n">
        <v>121.21</v>
      </c>
      <c r="BK346" s="24" t="n">
        <v>93.578</v>
      </c>
      <c r="BL346" s="24" t="n">
        <v>93.578</v>
      </c>
      <c r="BM346" s="24" t="n">
        <v>97.581</v>
      </c>
      <c r="BN346" s="24" t="n">
        <v>104.687</v>
      </c>
      <c r="BO346" s="36"/>
      <c r="BP346" s="36"/>
      <c r="BQ346" s="21" t="n">
        <f aca="false">BL346</f>
        <v>93.578</v>
      </c>
      <c r="BR346" s="21" t="n">
        <f aca="false">BQ346</f>
        <v>93.578</v>
      </c>
      <c r="BS346" s="21" t="n">
        <f aca="false">BR346</f>
        <v>93.578</v>
      </c>
      <c r="BT346" s="21" t="n">
        <f aca="false">BS346</f>
        <v>93.578</v>
      </c>
      <c r="BU346" s="21" t="n">
        <f aca="false">BT346</f>
        <v>93.578</v>
      </c>
      <c r="BV346" s="15"/>
    </row>
    <row r="347" customFormat="false" ht="15" hidden="false" customHeight="false" outlineLevel="0" collapsed="false">
      <c r="B347" s="13" t="s">
        <v>536</v>
      </c>
      <c r="C347" s="19"/>
      <c r="D347" s="19"/>
      <c r="E347" s="19"/>
      <c r="F347" s="19"/>
      <c r="G347" s="19"/>
      <c r="H347" s="24" t="n">
        <v>299.832</v>
      </c>
      <c r="I347" s="24" t="n">
        <v>299.832</v>
      </c>
      <c r="J347" s="19"/>
      <c r="K347" s="24" t="n">
        <v>0</v>
      </c>
      <c r="L347" s="24" t="n">
        <v>0</v>
      </c>
      <c r="M347" s="24" t="n">
        <v>0</v>
      </c>
      <c r="N347" s="24" t="n">
        <v>0</v>
      </c>
      <c r="O347" s="24" t="n">
        <v>0</v>
      </c>
      <c r="P347" s="24" t="n">
        <v>0</v>
      </c>
      <c r="Q347" s="24" t="n">
        <v>0</v>
      </c>
      <c r="R347" s="24" t="n">
        <v>0</v>
      </c>
      <c r="S347" s="24" t="n">
        <v>0</v>
      </c>
      <c r="T347" s="24" t="n">
        <v>0</v>
      </c>
      <c r="U347" s="24" t="n">
        <v>0</v>
      </c>
      <c r="V347" s="24" t="n">
        <v>0</v>
      </c>
      <c r="W347" s="24" t="n">
        <v>0</v>
      </c>
      <c r="X347" s="24" t="n">
        <v>0</v>
      </c>
      <c r="Y347" s="24" t="n">
        <v>0</v>
      </c>
      <c r="Z347" s="24" t="n">
        <v>0</v>
      </c>
      <c r="AA347" s="24" t="n">
        <v>0</v>
      </c>
      <c r="AB347" s="24" t="n">
        <v>0</v>
      </c>
      <c r="AC347" s="24" t="n">
        <v>0</v>
      </c>
      <c r="AD347" s="24" t="n">
        <v>0</v>
      </c>
      <c r="AE347" s="24" t="n">
        <v>0</v>
      </c>
      <c r="AF347" s="24" t="n">
        <v>0</v>
      </c>
      <c r="AG347" s="24" t="n">
        <v>0</v>
      </c>
      <c r="AH347" s="24" t="n">
        <v>0</v>
      </c>
      <c r="AI347" s="24" t="n">
        <v>0</v>
      </c>
      <c r="AJ347" s="24" t="n">
        <v>0</v>
      </c>
      <c r="AK347" s="24" t="n">
        <v>0</v>
      </c>
      <c r="AL347" s="24" t="n">
        <v>0</v>
      </c>
      <c r="AM347" s="24" t="n">
        <v>0</v>
      </c>
      <c r="AN347" s="24" t="n">
        <v>0</v>
      </c>
      <c r="AO347" s="24" t="n">
        <v>0</v>
      </c>
      <c r="AP347" s="24" t="n">
        <v>0</v>
      </c>
      <c r="AQ347" s="24" t="n">
        <v>0</v>
      </c>
      <c r="AR347" s="24" t="n">
        <v>0</v>
      </c>
      <c r="AS347" s="24" t="n">
        <v>0</v>
      </c>
      <c r="AT347" s="24" t="n">
        <v>0</v>
      </c>
      <c r="AU347" s="24" t="n">
        <v>0</v>
      </c>
      <c r="AV347" s="24" t="n">
        <v>0</v>
      </c>
      <c r="AW347" s="24" t="n">
        <v>0</v>
      </c>
      <c r="AX347" s="24" t="n">
        <v>0</v>
      </c>
      <c r="AY347" s="24" t="n">
        <v>0</v>
      </c>
      <c r="AZ347" s="24" t="n">
        <v>0</v>
      </c>
      <c r="BA347" s="24" t="n">
        <v>0</v>
      </c>
      <c r="BB347" s="24" t="n">
        <v>0</v>
      </c>
      <c r="BC347" s="24" t="n">
        <v>0</v>
      </c>
      <c r="BD347" s="24" t="n">
        <v>0</v>
      </c>
      <c r="BE347" s="24" t="n">
        <v>0</v>
      </c>
      <c r="BF347" s="24" t="n">
        <v>0</v>
      </c>
      <c r="BG347" s="24" t="n">
        <v>0</v>
      </c>
      <c r="BH347" s="24" t="n">
        <v>0</v>
      </c>
      <c r="BI347" s="24" t="n">
        <v>0</v>
      </c>
      <c r="BJ347" s="24" t="n">
        <v>0</v>
      </c>
      <c r="BK347" s="24" t="n">
        <v>0</v>
      </c>
      <c r="BL347" s="24" t="n">
        <v>0</v>
      </c>
      <c r="BM347" s="24" t="n">
        <v>0</v>
      </c>
      <c r="BN347" s="24" t="n">
        <v>0</v>
      </c>
      <c r="BO347" s="36"/>
      <c r="BP347" s="36"/>
      <c r="BQ347" s="21" t="n">
        <f aca="false">BL347</f>
        <v>0</v>
      </c>
      <c r="BR347" s="21" t="n">
        <f aca="false">BQ347</f>
        <v>0</v>
      </c>
      <c r="BS347" s="21" t="n">
        <f aca="false">BR347</f>
        <v>0</v>
      </c>
      <c r="BT347" s="21" t="n">
        <f aca="false">BS347</f>
        <v>0</v>
      </c>
      <c r="BU347" s="21" t="n">
        <f aca="false">BT347</f>
        <v>0</v>
      </c>
      <c r="BV347" s="15"/>
    </row>
    <row r="348" customFormat="false" ht="15" hidden="false" customHeight="false" outlineLevel="0" collapsed="false">
      <c r="B348" s="30" t="s">
        <v>537</v>
      </c>
      <c r="C348" s="31"/>
      <c r="D348" s="31"/>
      <c r="E348" s="31"/>
      <c r="F348" s="31"/>
      <c r="G348" s="31"/>
      <c r="H348" s="49" t="n">
        <f aca="false">IF(ISNUMBER(H341),H341+H342+H343+H344+H345+H346+H347,"")</f>
        <v>1842.735</v>
      </c>
      <c r="I348" s="49" t="n">
        <f aca="false">IF(ISNUMBER(I341),I341+I342+I343+I344+I345+I346+I347,"")</f>
        <v>1842.735</v>
      </c>
      <c r="J348" s="31"/>
      <c r="K348" s="49" t="n">
        <f aca="false">IF(ISNUMBER(K341),K341+K342+K343+K344+K345+K346+K347,"")</f>
        <v>1080.692</v>
      </c>
      <c r="L348" s="49" t="n">
        <f aca="false">IF(ISNUMBER(L341),L341+L342+L343+L344+L345+L346+L347,"")</f>
        <v>1079.238</v>
      </c>
      <c r="M348" s="49" t="n">
        <f aca="false">IF(ISNUMBER(M341),M341+M342+M343+M344+M345+M346+M347,"")</f>
        <v>1102.504</v>
      </c>
      <c r="N348" s="49" t="n">
        <f aca="false">IF(ISNUMBER(N341),N341+N342+N343+N344+N345+N346+N347,"")</f>
        <v>1102.504</v>
      </c>
      <c r="O348" s="49" t="n">
        <f aca="false">IF(ISNUMBER(O341),O341+O342+O343+O344+O345+O346+O347,"")</f>
        <v>1097.818</v>
      </c>
      <c r="P348" s="49" t="n">
        <f aca="false">IF(ISNUMBER(P341),P341+P342+P343+P344+P345+P346+P347,"")</f>
        <v>1108.897</v>
      </c>
      <c r="Q348" s="49" t="n">
        <f aca="false">IF(ISNUMBER(Q341),Q341+Q342+Q343+Q344+Q345+Q346+Q347,"")</f>
        <v>1246.505</v>
      </c>
      <c r="R348" s="49" t="n">
        <f aca="false">IF(ISNUMBER(R341),R341+R342+R343+R344+R345+R346+R347,"")</f>
        <v>1429.405</v>
      </c>
      <c r="S348" s="49" t="n">
        <f aca="false">IF(ISNUMBER(S341),S341+S342+S343+S344+S345+S346+S347,"")</f>
        <v>1429.405</v>
      </c>
      <c r="T348" s="49" t="n">
        <f aca="false">IF(ISNUMBER(T341),T341+T342+T343+T344+T345+T346+T347,"")</f>
        <v>1411.707</v>
      </c>
      <c r="U348" s="49" t="n">
        <f aca="false">IF(ISNUMBER(U341),U341+U342+U343+U344+U345+U346+U347,"")</f>
        <v>1360.437</v>
      </c>
      <c r="V348" s="49" t="n">
        <f aca="false">IF(ISNUMBER(V341),V341+V342+V343+V344+V345+V346+V347,"")</f>
        <v>1415.271</v>
      </c>
      <c r="W348" s="49" t="n">
        <f aca="false">IF(ISNUMBER(W341),W341+W342+W343+W344+W345+W346+W347,"")</f>
        <v>1426.582</v>
      </c>
      <c r="X348" s="49" t="n">
        <f aca="false">IF(ISNUMBER(X341),X341+X342+X343+X344+X345+X346+X347,"")</f>
        <v>1426.582</v>
      </c>
      <c r="Y348" s="49" t="n">
        <f aca="false">IF(ISNUMBER(Y341),Y341+Y342+Y343+Y344+Y345+Y346+Y347,"")</f>
        <v>1194.289</v>
      </c>
      <c r="Z348" s="49" t="n">
        <f aca="false">IF(ISNUMBER(Z341),Z341+Z342+Z343+Z344+Z345+Z346+Z347,"")</f>
        <v>1354.148</v>
      </c>
      <c r="AA348" s="49" t="n">
        <f aca="false">IF(ISNUMBER(AA341),AA341+AA342+AA343+AA344+AA345+AA346+AA347,"")</f>
        <v>1343.203</v>
      </c>
      <c r="AB348" s="49" t="n">
        <f aca="false">IF(ISNUMBER(AB341),AB341+AB342+AB343+AB344+AB345+AB346+AB347,"")</f>
        <v>1419.395</v>
      </c>
      <c r="AC348" s="49" t="n">
        <f aca="false">IF(ISNUMBER(AC341),AC341+AC342+AC343+AC344+AC345+AC346+AC347,"")</f>
        <v>1419.395</v>
      </c>
      <c r="AD348" s="49" t="n">
        <f aca="false">IF(ISNUMBER(AD341),AD341+AD342+AD343+AD344+AD345+AD346+AD347,"")</f>
        <v>1473.912</v>
      </c>
      <c r="AE348" s="49" t="n">
        <f aca="false">IF(ISNUMBER(AE341),AE341+AE342+AE343+AE344+AE345+AE346+AE347,"")</f>
        <v>1462.331</v>
      </c>
      <c r="AF348" s="49" t="n">
        <f aca="false">IF(ISNUMBER(AF341),AF341+AF342+AF343+AF344+AF345+AF346+AF347,"")</f>
        <v>1471.887</v>
      </c>
      <c r="AG348" s="49" t="n">
        <f aca="false">IF(ISNUMBER(AG341),AG341+AG342+AG343+AG344+AG345+AG346+AG347,"")</f>
        <v>1504.801</v>
      </c>
      <c r="AH348" s="49" t="n">
        <f aca="false">IF(ISNUMBER(AH341),AH341+AH342+AH343+AH344+AH345+AH346+AH347,"")</f>
        <v>1504.801</v>
      </c>
      <c r="AI348" s="49" t="n">
        <f aca="false">IF(ISNUMBER(AI341),AI341+AI342+AI343+AI344+AI345+AI346+AI347,"")</f>
        <v>1537.091</v>
      </c>
      <c r="AJ348" s="49" t="n">
        <f aca="false">IF(ISNUMBER(AJ341),AJ341+AJ342+AJ343+AJ344+AJ345+AJ346+AJ347,"")</f>
        <v>1489.831</v>
      </c>
      <c r="AK348" s="49" t="n">
        <f aca="false">IF(ISNUMBER(AK341),AK341+AK342+AK343+AK344+AK345+AK346+AK347,"")</f>
        <v>1574.234</v>
      </c>
      <c r="AL348" s="49" t="n">
        <f aca="false">IF(ISNUMBER(AL341),AL341+AL342+AL343+AL344+AL345+AL346+AL347,"")</f>
        <v>1675.735</v>
      </c>
      <c r="AM348" s="49" t="n">
        <f aca="false">IF(ISNUMBER(AM341),AM341+AM342+AM343+AM344+AM345+AM346+AM347,"")</f>
        <v>1675.735</v>
      </c>
      <c r="AN348" s="49" t="n">
        <f aca="false">IF(ISNUMBER(AN341),AN341+AN342+AN343+AN344+AN345+AN346+AN347,"")</f>
        <v>1695.608</v>
      </c>
      <c r="AO348" s="49" t="n">
        <f aca="false">IF(ISNUMBER(AO341),AO341+AO342+AO343+AO344+AO345+AO346+AO347,"")</f>
        <v>1857.315</v>
      </c>
      <c r="AP348" s="49" t="n">
        <f aca="false">IF(ISNUMBER(AP341),AP341+AP342+AP343+AP344+AP345+AP346+AP347,"")</f>
        <v>1911.139</v>
      </c>
      <c r="AQ348" s="49" t="n">
        <f aca="false">IF(ISNUMBER(AQ341),AQ341+AQ342+AQ343+AQ344+AQ345+AQ346+AQ347,"")</f>
        <v>1864.145</v>
      </c>
      <c r="AR348" s="49" t="n">
        <f aca="false">IF(ISNUMBER(AR341),AR341+AR342+AR343+AR344+AR345+AR346+AR347,"")</f>
        <v>1864.145</v>
      </c>
      <c r="AS348" s="49" t="n">
        <f aca="false">IF(ISNUMBER(AS341),AS341+AS342+AS343+AS344+AS345+AS346+AS347,"")</f>
        <v>1909.153</v>
      </c>
      <c r="AT348" s="49" t="n">
        <f aca="false">IF(ISNUMBER(AT341),AT341+AT342+AT343+AT344+AT345+AT346+AT347,"")</f>
        <v>2001.173</v>
      </c>
      <c r="AU348" s="49" t="n">
        <f aca="false">IF(ISNUMBER(AU341),AU341+AU342+AU343+AU344+AU345+AU346+AU347,"")</f>
        <v>1959.122</v>
      </c>
      <c r="AV348" s="49" t="n">
        <f aca="false">IF(ISNUMBER(AV341),AV341+AV342+AV343+AV344+AV345+AV346+AV347,"")</f>
        <v>1870.584</v>
      </c>
      <c r="AW348" s="49" t="n">
        <f aca="false">IF(ISNUMBER(AW341),AW341+AW342+AW343+AW344+AW345+AW346+AW347,"")</f>
        <v>1870.584</v>
      </c>
      <c r="AX348" s="49" t="n">
        <f aca="false">IF(ISNUMBER(AX341),AX341+AX342+AX343+AX344+AX345+AX346+AX347,"")</f>
        <v>1930.9</v>
      </c>
      <c r="AY348" s="49" t="n">
        <f aca="false">IF(ISNUMBER(AY341),AY341+AY342+AY343+AY344+AY345+AY346+AY347,"")</f>
        <v>1899.046</v>
      </c>
      <c r="AZ348" s="49" t="n">
        <f aca="false">IF(ISNUMBER(AZ341),AZ341+AZ342+AZ343+AZ344+AZ345+AZ346+AZ347,"")</f>
        <v>1904.928</v>
      </c>
      <c r="BA348" s="49" t="n">
        <f aca="false">IF(ISNUMBER(BA341),BA341+BA342+BA343+BA344+BA345+BA346+BA347,"")</f>
        <v>1813.764</v>
      </c>
      <c r="BB348" s="49" t="n">
        <f aca="false">IF(ISNUMBER(BB341),BB341+BB342+BB343+BB344+BB345+BB346+BB347,"")</f>
        <v>1813.764</v>
      </c>
      <c r="BC348" s="49" t="n">
        <f aca="false">IF(ISNUMBER(BC341),BC341+BC342+BC343+BC344+BC345+BC346+BC347,"")</f>
        <v>1841.944</v>
      </c>
      <c r="BD348" s="49" t="n">
        <f aca="false">IF(ISNUMBER(BD341),BD341+BD342+BD343+BD344+BD345+BD346+BD347,"")</f>
        <v>1842.382</v>
      </c>
      <c r="BE348" s="49" t="n">
        <f aca="false">IF(ISNUMBER(BE341),BE341+BE342+BE343+BE344+BE345+BE346+BE347,"")</f>
        <v>1888.789</v>
      </c>
      <c r="BF348" s="49" t="n">
        <f aca="false">IF(ISNUMBER(BF341),BF341+BF342+BF343+BF344+BF345+BF346+BF347,"")</f>
        <v>1789.52</v>
      </c>
      <c r="BG348" s="49" t="n">
        <f aca="false">IF(ISNUMBER(BG341),BG341+BG342+BG343+BG344+BG345+BG346+BG347,"")</f>
        <v>1789.52</v>
      </c>
      <c r="BH348" s="49" t="n">
        <f aca="false">IF(ISNUMBER(BH341),BH341+BH342+BH343+BH344+BH345+BH346+BH347,"")</f>
        <v>1953.973</v>
      </c>
      <c r="BI348" s="49" t="n">
        <f aca="false">IF(ISNUMBER(BI341),BI341+BI342+BI343+BI344+BI345+BI346+BI347,"")</f>
        <v>2515.166</v>
      </c>
      <c r="BJ348" s="49" t="n">
        <f aca="false">IF(ISNUMBER(BJ341),BJ341+BJ342+BJ343+BJ344+BJ345+BJ346+BJ347,"")</f>
        <v>2540.052</v>
      </c>
      <c r="BK348" s="49" t="n">
        <f aca="false">IF(ISNUMBER(BK341),BK341+BK342+BK343+BK344+BK345+BK346+BK347,"")</f>
        <v>3038.483</v>
      </c>
      <c r="BL348" s="49" t="n">
        <f aca="false">IF(ISNUMBER(BL341),BL341+BL342+BL343+BL344+BL345+BL346+BL347,"")</f>
        <v>3038.483</v>
      </c>
      <c r="BM348" s="49" t="n">
        <f aca="false">IF(ISNUMBER(BM341),BM341+BM342+BM343+BM344+BM345+BM346+BM347,"")</f>
        <v>3044.678</v>
      </c>
      <c r="BN348" s="49" t="n">
        <f aca="false">IF(ISNUMBER(BN341),BN341+BN342+BN343+BN344+BN345+BN346+BN347,"")</f>
        <v>3088.981</v>
      </c>
      <c r="BO348" s="57"/>
      <c r="BP348" s="57"/>
      <c r="BQ348" s="33" t="n">
        <f aca="false">BQ341+BQ342+BQ343+BQ344+BQ345+BQ346+BQ347</f>
        <v>3197.066</v>
      </c>
      <c r="BR348" s="33" t="n">
        <f aca="false">BR341+BR342+BR343+BR344+BR345+BR346+BR347</f>
        <v>3240.2469379085</v>
      </c>
      <c r="BS348" s="33" t="n">
        <f aca="false">BS341+BS342+BS343+BS344+BS345+BS346+BS347</f>
        <v>3333.12203040299</v>
      </c>
      <c r="BT348" s="33" t="n">
        <f aca="false">BT341+BT342+BT343+BT344+BT345+BT346+BT347</f>
        <v>3442.76861246806</v>
      </c>
      <c r="BU348" s="33" t="n">
        <f aca="false">BU341+BU342+BU343+BU344+BU345+BU346+BU347</f>
        <v>3558.94121444604</v>
      </c>
      <c r="BV348" s="15"/>
    </row>
    <row r="349" customFormat="false" ht="15" hidden="false" customHeight="false" outlineLevel="0" collapsed="false">
      <c r="B349" s="13" t="s">
        <v>538</v>
      </c>
      <c r="BO349" s="14"/>
      <c r="BP349" s="14"/>
      <c r="BQ349" s="14"/>
      <c r="BR349" s="14"/>
      <c r="BS349" s="14"/>
      <c r="BT349" s="14"/>
      <c r="BU349" s="14"/>
      <c r="BV349" s="15"/>
    </row>
    <row r="350" customFormat="false" ht="15" hidden="false" customHeight="false" outlineLevel="0" collapsed="false">
      <c r="B350" s="13" t="s">
        <v>539</v>
      </c>
      <c r="C350" s="19"/>
      <c r="D350" s="19"/>
      <c r="E350" s="19"/>
      <c r="F350" s="19"/>
      <c r="G350" s="19"/>
      <c r="H350" s="24" t="n">
        <v>352.619</v>
      </c>
      <c r="I350" s="24" t="n">
        <v>352.619</v>
      </c>
      <c r="J350" s="19"/>
      <c r="K350" s="24" t="n">
        <v>-411.249</v>
      </c>
      <c r="L350" s="24" t="n">
        <v>-429.372</v>
      </c>
      <c r="M350" s="24" t="n">
        <v>-474.386</v>
      </c>
      <c r="N350" s="24" t="n">
        <v>-474.386</v>
      </c>
      <c r="O350" s="24" t="n">
        <v>-515.795</v>
      </c>
      <c r="P350" s="24" t="n">
        <v>-539.148</v>
      </c>
      <c r="Q350" s="24" t="n">
        <v>-744.544</v>
      </c>
      <c r="R350" s="24" t="n">
        <v>-738.91</v>
      </c>
      <c r="S350" s="24" t="n">
        <v>-738.91</v>
      </c>
      <c r="T350" s="24" t="n">
        <v>-730.898</v>
      </c>
      <c r="U350" s="24" t="n">
        <v>-724.341</v>
      </c>
      <c r="V350" s="24" t="n">
        <v>-720.493</v>
      </c>
      <c r="W350" s="24" t="n">
        <v>-714.712</v>
      </c>
      <c r="X350" s="24" t="n">
        <v>-714.712</v>
      </c>
      <c r="Y350" s="24" t="n">
        <v>-712.384</v>
      </c>
      <c r="Z350" s="24" t="n">
        <v>-710.65</v>
      </c>
      <c r="AA350" s="24" t="n">
        <v>-770.642</v>
      </c>
      <c r="AB350" s="24" t="n">
        <v>-920.811</v>
      </c>
      <c r="AC350" s="24" t="n">
        <v>-920.811</v>
      </c>
      <c r="AD350" s="24" t="n">
        <v>-946.033</v>
      </c>
      <c r="AE350" s="24" t="n">
        <v>-941.713</v>
      </c>
      <c r="AF350" s="24" t="n">
        <v>-937.481</v>
      </c>
      <c r="AG350" s="24" t="n">
        <v>-932.829</v>
      </c>
      <c r="AH350" s="24" t="n">
        <v>-932.829</v>
      </c>
      <c r="AI350" s="24" t="n">
        <v>-953.471</v>
      </c>
      <c r="AJ350" s="24" t="n">
        <v>-948.606</v>
      </c>
      <c r="AK350" s="24" t="n">
        <v>-943.977</v>
      </c>
      <c r="AL350" s="24" t="n">
        <v>-940.382</v>
      </c>
      <c r="AM350" s="24" t="n">
        <v>-940.382</v>
      </c>
      <c r="AN350" s="24" t="n">
        <v>-959.578</v>
      </c>
      <c r="AO350" s="24" t="n">
        <v>-954.005</v>
      </c>
      <c r="AP350" s="24" t="n">
        <v>-1114.474</v>
      </c>
      <c r="AQ350" s="24" t="n">
        <v>-1150.719</v>
      </c>
      <c r="AR350" s="24" t="n">
        <v>-1150.719</v>
      </c>
      <c r="AS350" s="24" t="n">
        <v>-1172.772</v>
      </c>
      <c r="AT350" s="24" t="n">
        <v>-1167.797</v>
      </c>
      <c r="AU350" s="24" t="n">
        <v>-1165.203</v>
      </c>
      <c r="AV350" s="24" t="n">
        <v>-1162.73</v>
      </c>
      <c r="AW350" s="24" t="n">
        <v>-1162.73</v>
      </c>
      <c r="AX350" s="24" t="n">
        <v>-1165.668</v>
      </c>
      <c r="AY350" s="24" t="n">
        <v>-1160.833</v>
      </c>
      <c r="AZ350" s="24" t="n">
        <v>-1156.823</v>
      </c>
      <c r="BA350" s="24" t="n">
        <v>-1153.103</v>
      </c>
      <c r="BB350" s="24" t="n">
        <v>-1153.103</v>
      </c>
      <c r="BC350" s="24" t="n">
        <v>-1175.494</v>
      </c>
      <c r="BD350" s="24" t="n">
        <v>-1169.547</v>
      </c>
      <c r="BE350" s="24" t="n">
        <v>-1164.761</v>
      </c>
      <c r="BF350" s="24" t="n">
        <v>-1158.26</v>
      </c>
      <c r="BG350" s="24" t="n">
        <v>-1158.26</v>
      </c>
      <c r="BH350" s="24" t="n">
        <v>-1195.925</v>
      </c>
      <c r="BI350" s="24" t="n">
        <v>-1187.188</v>
      </c>
      <c r="BJ350" s="24" t="n">
        <v>-1179.429</v>
      </c>
      <c r="BK350" s="24" t="n">
        <v>-1271.771</v>
      </c>
      <c r="BL350" s="24" t="n">
        <v>-1271.771</v>
      </c>
      <c r="BM350" s="24" t="n">
        <v>-1277.99</v>
      </c>
      <c r="BN350" s="24" t="n">
        <v>-1267.925</v>
      </c>
      <c r="BO350" s="36"/>
      <c r="BP350" s="36"/>
      <c r="BQ350" s="21" t="n">
        <f aca="false">BL350+BQ262+BQ277+BQ278</f>
        <v>-1247.91397873703</v>
      </c>
      <c r="BR350" s="21" t="n">
        <f aca="false">BQ350+BR262+BR277+BR278</f>
        <v>-1559.38967607551</v>
      </c>
      <c r="BS350" s="21" t="n">
        <f aca="false">BR350+BS262+BS277+BS278</f>
        <v>-1834.04448999352</v>
      </c>
      <c r="BT350" s="21" t="n">
        <f aca="false">BS350+BT262+BT277+BT278</f>
        <v>-2199.5590222284</v>
      </c>
      <c r="BU350" s="21" t="n">
        <f aca="false">BT350+BU262+BU277+BU278</f>
        <v>-2599.95926993588</v>
      </c>
      <c r="BV350" s="15" t="s">
        <v>540</v>
      </c>
    </row>
    <row r="351" customFormat="false" ht="15" hidden="false" customHeight="false" outlineLevel="0" collapsed="false">
      <c r="B351" s="13" t="s">
        <v>541</v>
      </c>
      <c r="C351" s="19"/>
      <c r="D351" s="19"/>
      <c r="E351" s="19"/>
      <c r="F351" s="19"/>
      <c r="G351" s="19"/>
      <c r="H351" s="24" t="n">
        <v>642.489</v>
      </c>
      <c r="I351" s="24" t="n">
        <v>642.489</v>
      </c>
      <c r="J351" s="19"/>
      <c r="K351" s="24" t="n">
        <v>648.923</v>
      </c>
      <c r="L351" s="24" t="n">
        <v>746.278</v>
      </c>
      <c r="M351" s="24" t="n">
        <v>739.35</v>
      </c>
      <c r="N351" s="24" t="n">
        <v>739.35</v>
      </c>
      <c r="O351" s="24" t="n">
        <v>778.689</v>
      </c>
      <c r="P351" s="24" t="n">
        <v>826.737</v>
      </c>
      <c r="Q351" s="24" t="n">
        <v>857.841</v>
      </c>
      <c r="R351" s="24" t="n">
        <v>885.117</v>
      </c>
      <c r="S351" s="24" t="n">
        <v>885.117</v>
      </c>
      <c r="T351" s="24" t="n">
        <v>931.778</v>
      </c>
      <c r="U351" s="24" t="n">
        <v>982.024</v>
      </c>
      <c r="V351" s="24" t="n">
        <v>1017.544</v>
      </c>
      <c r="W351" s="24" t="n">
        <v>990.652</v>
      </c>
      <c r="X351" s="24" t="n">
        <v>990.652</v>
      </c>
      <c r="Y351" s="24" t="n">
        <v>1053.09</v>
      </c>
      <c r="Z351" s="24" t="n">
        <v>1097.665</v>
      </c>
      <c r="AA351" s="24" t="n">
        <v>1159.552</v>
      </c>
      <c r="AB351" s="24" t="n">
        <v>1166.762</v>
      </c>
      <c r="AC351" s="24" t="n">
        <v>1166.762</v>
      </c>
      <c r="AD351" s="24" t="n">
        <v>1198.198</v>
      </c>
      <c r="AE351" s="24" t="n">
        <v>1240.775</v>
      </c>
      <c r="AF351" s="24" t="n">
        <v>1299.279</v>
      </c>
      <c r="AG351" s="24" t="n">
        <v>1344.383</v>
      </c>
      <c r="AH351" s="24" t="n">
        <v>1344.383</v>
      </c>
      <c r="AI351" s="24" t="n">
        <v>1401.628</v>
      </c>
      <c r="AJ351" s="24" t="n">
        <v>1447.642</v>
      </c>
      <c r="AK351" s="24" t="n">
        <v>1502.571</v>
      </c>
      <c r="AL351" s="24" t="n">
        <v>1549.95</v>
      </c>
      <c r="AM351" s="24" t="n">
        <v>1549.95</v>
      </c>
      <c r="AN351" s="24" t="n">
        <v>1599.526</v>
      </c>
      <c r="AO351" s="24" t="n">
        <v>1638.709</v>
      </c>
      <c r="AP351" s="24" t="n">
        <v>1678.478</v>
      </c>
      <c r="AQ351" s="24" t="n">
        <v>1775.751</v>
      </c>
      <c r="AR351" s="24" t="n">
        <v>1775.751</v>
      </c>
      <c r="AS351" s="24" t="n">
        <v>1814.482</v>
      </c>
      <c r="AT351" s="24" t="n">
        <v>1868.822</v>
      </c>
      <c r="AU351" s="24" t="n">
        <v>1910.197</v>
      </c>
      <c r="AV351" s="24" t="n">
        <v>1932.97</v>
      </c>
      <c r="AW351" s="24" t="n">
        <v>1932.97</v>
      </c>
      <c r="AX351" s="24" t="n">
        <v>1972.831</v>
      </c>
      <c r="AY351" s="24" t="n">
        <v>2010.212</v>
      </c>
      <c r="AZ351" s="24" t="n">
        <v>2049.254</v>
      </c>
      <c r="BA351" s="24" t="n">
        <v>2093.917</v>
      </c>
      <c r="BB351" s="24" t="n">
        <v>2093.917</v>
      </c>
      <c r="BC351" s="24" t="n">
        <v>2140.235</v>
      </c>
      <c r="BD351" s="24" t="n">
        <v>2191.079</v>
      </c>
      <c r="BE351" s="24" t="n">
        <v>2238.437</v>
      </c>
      <c r="BF351" s="24" t="n">
        <v>2287.151</v>
      </c>
      <c r="BG351" s="24" t="n">
        <v>2287.151</v>
      </c>
      <c r="BH351" s="24" t="n">
        <v>2339.531</v>
      </c>
      <c r="BI351" s="24" t="n">
        <v>2394.737</v>
      </c>
      <c r="BJ351" s="24" t="n">
        <v>2453.696</v>
      </c>
      <c r="BK351" s="24" t="n">
        <v>2523.631</v>
      </c>
      <c r="BL351" s="24" t="n">
        <v>2523.631</v>
      </c>
      <c r="BM351" s="24" t="n">
        <v>2589.824</v>
      </c>
      <c r="BN351" s="24" t="n">
        <v>2653.709</v>
      </c>
      <c r="BO351" s="36"/>
      <c r="BP351" s="36"/>
      <c r="BQ351" s="21" t="n">
        <f aca="false">BL351+BQ177+BQ276</f>
        <v>2814.7797384829</v>
      </c>
      <c r="BR351" s="21" t="n">
        <f aca="false">BQ351+BR177+BR276</f>
        <v>3602.06981219994</v>
      </c>
      <c r="BS351" s="21" t="n">
        <f aca="false">BR351+BS177+BS276</f>
        <v>4001.93955610484</v>
      </c>
      <c r="BT351" s="21" t="n">
        <f aca="false">BS351+BT177+BT276</f>
        <v>4454.97722016381</v>
      </c>
      <c r="BU351" s="21" t="n">
        <f aca="false">BT351+BU177+BU276</f>
        <v>4956.62905458145</v>
      </c>
      <c r="BV351" s="15" t="s">
        <v>542</v>
      </c>
    </row>
    <row r="352" customFormat="false" ht="15" hidden="false" customHeight="false" outlineLevel="0" collapsed="false">
      <c r="B352" s="13" t="s">
        <v>543</v>
      </c>
      <c r="C352" s="19"/>
      <c r="D352" s="19"/>
      <c r="E352" s="19"/>
      <c r="F352" s="19"/>
      <c r="G352" s="19"/>
      <c r="H352" s="24" t="n">
        <v>3.596</v>
      </c>
      <c r="I352" s="24" t="n">
        <v>3.596</v>
      </c>
      <c r="J352" s="19"/>
      <c r="K352" s="24" t="n">
        <v>5.077</v>
      </c>
      <c r="L352" s="24" t="n">
        <v>0.732</v>
      </c>
      <c r="M352" s="24" t="n">
        <v>0.752</v>
      </c>
      <c r="N352" s="24" t="n">
        <v>0.752</v>
      </c>
      <c r="O352" s="24" t="n">
        <v>4.692</v>
      </c>
      <c r="P352" s="24" t="n">
        <v>4.538</v>
      </c>
      <c r="Q352" s="24" t="n">
        <v>5.003</v>
      </c>
      <c r="R352" s="24" t="n">
        <v>3.811</v>
      </c>
      <c r="S352" s="24" t="n">
        <v>3.811</v>
      </c>
      <c r="T352" s="24" t="n">
        <v>5.026</v>
      </c>
      <c r="U352" s="24" t="n">
        <v>6.268</v>
      </c>
      <c r="V352" s="24" t="n">
        <v>10.849</v>
      </c>
      <c r="W352" s="24" t="n">
        <v>9.454</v>
      </c>
      <c r="X352" s="24" t="n">
        <v>9.454</v>
      </c>
      <c r="Y352" s="24" t="n">
        <v>4.435</v>
      </c>
      <c r="Z352" s="24" t="n">
        <v>1.248</v>
      </c>
      <c r="AA352" s="24" t="n">
        <v>3.542</v>
      </c>
      <c r="AB352" s="24" t="n">
        <v>-10.289</v>
      </c>
      <c r="AC352" s="24" t="n">
        <v>-10.289</v>
      </c>
      <c r="AD352" s="24" t="n">
        <v>-9.316</v>
      </c>
      <c r="AE352" s="24" t="n">
        <v>-4.932</v>
      </c>
      <c r="AF352" s="24" t="n">
        <v>-7.322</v>
      </c>
      <c r="AG352" s="24" t="n">
        <v>-7.448</v>
      </c>
      <c r="AH352" s="24" t="n">
        <v>-7.448</v>
      </c>
      <c r="AI352" s="24" t="n">
        <v>-18.645</v>
      </c>
      <c r="AJ352" s="24" t="n">
        <v>-17.519</v>
      </c>
      <c r="AK352" s="24" t="n">
        <v>-8.408</v>
      </c>
      <c r="AL352" s="24" t="n">
        <v>8.198</v>
      </c>
      <c r="AM352" s="24" t="n">
        <v>8.198</v>
      </c>
      <c r="AN352" s="24" t="n">
        <v>16.29</v>
      </c>
      <c r="AO352" s="24" t="n">
        <v>24.293</v>
      </c>
      <c r="AP352" s="24" t="n">
        <v>14.311</v>
      </c>
      <c r="AQ352" s="24" t="n">
        <v>12.143</v>
      </c>
      <c r="AR352" s="24" t="n">
        <v>12.143</v>
      </c>
      <c r="AS352" s="24" t="n">
        <v>18.179</v>
      </c>
      <c r="AT352" s="24" t="n">
        <v>3.261</v>
      </c>
      <c r="AU352" s="24" t="n">
        <v>-32.28</v>
      </c>
      <c r="AV352" s="24" t="n">
        <v>-21.93</v>
      </c>
      <c r="AW352" s="24" t="n">
        <v>-21.93</v>
      </c>
      <c r="AX352" s="24" t="n">
        <v>-19.034</v>
      </c>
      <c r="AY352" s="24" t="n">
        <v>-7.72</v>
      </c>
      <c r="AZ352" s="24" t="n">
        <v>-20.395</v>
      </c>
      <c r="BA352" s="24" t="n">
        <v>-7.463</v>
      </c>
      <c r="BB352" s="24" t="n">
        <v>-7.463</v>
      </c>
      <c r="BC352" s="24" t="n">
        <v>-18.519</v>
      </c>
      <c r="BD352" s="24" t="n">
        <v>-23.044</v>
      </c>
      <c r="BE352" s="24" t="n">
        <v>-14.927</v>
      </c>
      <c r="BF352" s="24" t="n">
        <v>-48.211</v>
      </c>
      <c r="BG352" s="24" t="n">
        <v>-48.211</v>
      </c>
      <c r="BH352" s="24" t="n">
        <v>-43.314</v>
      </c>
      <c r="BI352" s="24" t="n">
        <v>-23.385</v>
      </c>
      <c r="BJ352" s="24" t="n">
        <v>-32.523</v>
      </c>
      <c r="BK352" s="24" t="n">
        <v>-19.373</v>
      </c>
      <c r="BL352" s="24" t="n">
        <v>-19.373</v>
      </c>
      <c r="BM352" s="24" t="n">
        <v>-31.411</v>
      </c>
      <c r="BN352" s="24" t="n">
        <v>-51.334</v>
      </c>
      <c r="BO352" s="36"/>
      <c r="BP352" s="36"/>
      <c r="BQ352" s="21" t="n">
        <f aca="false">BL352</f>
        <v>-19.373</v>
      </c>
      <c r="BR352" s="21" t="n">
        <f aca="false">BQ352</f>
        <v>-19.373</v>
      </c>
      <c r="BS352" s="21" t="n">
        <f aca="false">BR352</f>
        <v>-19.373</v>
      </c>
      <c r="BT352" s="21" t="n">
        <f aca="false">BS352</f>
        <v>-19.373</v>
      </c>
      <c r="BU352" s="21" t="n">
        <f aca="false">BT352</f>
        <v>-19.373</v>
      </c>
      <c r="BV352" s="15"/>
    </row>
    <row r="353" customFormat="false" ht="15" hidden="false" customHeight="false" outlineLevel="0" collapsed="false">
      <c r="B353" s="30" t="s">
        <v>544</v>
      </c>
      <c r="C353" s="31"/>
      <c r="D353" s="31"/>
      <c r="E353" s="31"/>
      <c r="F353" s="31"/>
      <c r="G353" s="31"/>
      <c r="H353" s="49" t="n">
        <f aca="false">IF(ISNUMBER(H351),H350+H351+H352,"")</f>
        <v>998.704</v>
      </c>
      <c r="I353" s="49" t="n">
        <f aca="false">IF(ISNUMBER(I351),I350+I351+I352,"")</f>
        <v>998.704</v>
      </c>
      <c r="J353" s="31"/>
      <c r="K353" s="49" t="n">
        <f aca="false">IF(ISNUMBER(K351),K350+K351+K352,"")</f>
        <v>242.751</v>
      </c>
      <c r="L353" s="49" t="n">
        <f aca="false">IF(ISNUMBER(L351),L350+L351+L352,"")</f>
        <v>317.638</v>
      </c>
      <c r="M353" s="49" t="n">
        <f aca="false">IF(ISNUMBER(M351),M350+M351+M352,"")</f>
        <v>265.716</v>
      </c>
      <c r="N353" s="49" t="n">
        <f aca="false">IF(ISNUMBER(N351),N350+N351+N352,"")</f>
        <v>265.716</v>
      </c>
      <c r="O353" s="49" t="n">
        <f aca="false">IF(ISNUMBER(O351),O350+O351+O352,"")</f>
        <v>267.586</v>
      </c>
      <c r="P353" s="49" t="n">
        <f aca="false">IF(ISNUMBER(P351),P350+P351+P352,"")</f>
        <v>292.127</v>
      </c>
      <c r="Q353" s="49" t="n">
        <f aca="false">IF(ISNUMBER(Q351),Q350+Q351+Q352,"")</f>
        <v>118.3</v>
      </c>
      <c r="R353" s="49" t="n">
        <f aca="false">IF(ISNUMBER(R351),R350+R351+R352,"")</f>
        <v>150.018</v>
      </c>
      <c r="S353" s="49" t="n">
        <f aca="false">IF(ISNUMBER(S351),S350+S351+S352,"")</f>
        <v>150.018</v>
      </c>
      <c r="T353" s="49" t="n">
        <f aca="false">IF(ISNUMBER(T351),T350+T351+T352,"")</f>
        <v>205.906</v>
      </c>
      <c r="U353" s="49" t="n">
        <f aca="false">IF(ISNUMBER(U351),U350+U351+U352,"")</f>
        <v>263.951</v>
      </c>
      <c r="V353" s="49" t="n">
        <f aca="false">IF(ISNUMBER(V351),V350+V351+V352,"")</f>
        <v>307.9</v>
      </c>
      <c r="W353" s="49" t="n">
        <f aca="false">IF(ISNUMBER(W351),W350+W351+W352,"")</f>
        <v>285.394</v>
      </c>
      <c r="X353" s="49" t="n">
        <f aca="false">IF(ISNUMBER(X351),X350+X351+X352,"")</f>
        <v>285.394</v>
      </c>
      <c r="Y353" s="49" t="n">
        <f aca="false">IF(ISNUMBER(Y351),Y350+Y351+Y352,"")</f>
        <v>345.141</v>
      </c>
      <c r="Z353" s="49" t="n">
        <f aca="false">IF(ISNUMBER(Z351),Z350+Z351+Z352,"")</f>
        <v>388.263</v>
      </c>
      <c r="AA353" s="49" t="n">
        <f aca="false">IF(ISNUMBER(AA351),AA350+AA351+AA352,"")</f>
        <v>392.452</v>
      </c>
      <c r="AB353" s="49" t="n">
        <f aca="false">IF(ISNUMBER(AB351),AB350+AB351+AB352,"")</f>
        <v>235.662</v>
      </c>
      <c r="AC353" s="49" t="n">
        <f aca="false">IF(ISNUMBER(AC351),AC350+AC351+AC352,"")</f>
        <v>235.662</v>
      </c>
      <c r="AD353" s="49" t="n">
        <f aca="false">IF(ISNUMBER(AD351),AD350+AD351+AD352,"")</f>
        <v>242.849</v>
      </c>
      <c r="AE353" s="49" t="n">
        <f aca="false">IF(ISNUMBER(AE351),AE350+AE351+AE352,"")</f>
        <v>294.13</v>
      </c>
      <c r="AF353" s="49" t="n">
        <f aca="false">IF(ISNUMBER(AF351),AF350+AF351+AF352,"")</f>
        <v>354.476</v>
      </c>
      <c r="AG353" s="49" t="n">
        <f aca="false">IF(ISNUMBER(AG351),AG350+AG351+AG352,"")</f>
        <v>404.106</v>
      </c>
      <c r="AH353" s="49" t="n">
        <f aca="false">IF(ISNUMBER(AH351),AH350+AH351+AH352,"")</f>
        <v>404.106</v>
      </c>
      <c r="AI353" s="49" t="n">
        <f aca="false">IF(ISNUMBER(AI351),AI350+AI351+AI352,"")</f>
        <v>429.512</v>
      </c>
      <c r="AJ353" s="49" t="n">
        <f aca="false">IF(ISNUMBER(AJ351),AJ350+AJ351+AJ352,"")</f>
        <v>481.517</v>
      </c>
      <c r="AK353" s="49" t="n">
        <f aca="false">IF(ISNUMBER(AK351),AK350+AK351+AK352,"")</f>
        <v>550.186</v>
      </c>
      <c r="AL353" s="49" t="n">
        <f aca="false">IF(ISNUMBER(AL351),AL350+AL351+AL352,"")</f>
        <v>617.766</v>
      </c>
      <c r="AM353" s="49" t="n">
        <f aca="false">IF(ISNUMBER(AM351),AM350+AM351+AM352,"")</f>
        <v>617.766</v>
      </c>
      <c r="AN353" s="49" t="n">
        <f aca="false">IF(ISNUMBER(AN351),AN350+AN351+AN352,"")</f>
        <v>656.238</v>
      </c>
      <c r="AO353" s="49" t="n">
        <f aca="false">IF(ISNUMBER(AO351),AO350+AO351+AO352,"")</f>
        <v>708.997</v>
      </c>
      <c r="AP353" s="49" t="n">
        <f aca="false">IF(ISNUMBER(AP351),AP350+AP351+AP352,"")</f>
        <v>578.315</v>
      </c>
      <c r="AQ353" s="49" t="n">
        <f aca="false">IF(ISNUMBER(AQ351),AQ350+AQ351+AQ352,"")</f>
        <v>637.175</v>
      </c>
      <c r="AR353" s="49" t="n">
        <f aca="false">IF(ISNUMBER(AR351),AR350+AR351+AR352,"")</f>
        <v>637.175</v>
      </c>
      <c r="AS353" s="49" t="n">
        <f aca="false">IF(ISNUMBER(AS351),AS350+AS351+AS352,"")</f>
        <v>659.889</v>
      </c>
      <c r="AT353" s="49" t="n">
        <f aca="false">IF(ISNUMBER(AT351),AT350+AT351+AT352,"")</f>
        <v>704.286</v>
      </c>
      <c r="AU353" s="49" t="n">
        <f aca="false">IF(ISNUMBER(AU351),AU350+AU351+AU352,"")</f>
        <v>712.714</v>
      </c>
      <c r="AV353" s="49" t="n">
        <f aca="false">IF(ISNUMBER(AV351),AV350+AV351+AV352,"")</f>
        <v>748.31</v>
      </c>
      <c r="AW353" s="49" t="n">
        <f aca="false">IF(ISNUMBER(AW351),AW350+AW351+AW352,"")</f>
        <v>748.31</v>
      </c>
      <c r="AX353" s="49" t="n">
        <f aca="false">IF(ISNUMBER(AX351),AX350+AX351+AX352,"")</f>
        <v>788.129</v>
      </c>
      <c r="AY353" s="49" t="n">
        <f aca="false">IF(ISNUMBER(AY351),AY350+AY351+AY352,"")</f>
        <v>841.659</v>
      </c>
      <c r="AZ353" s="49" t="n">
        <f aca="false">IF(ISNUMBER(AZ351),AZ350+AZ351+AZ352,"")</f>
        <v>872.036</v>
      </c>
      <c r="BA353" s="49" t="n">
        <f aca="false">IF(ISNUMBER(BA351),BA350+BA351+BA352,"")</f>
        <v>933.351</v>
      </c>
      <c r="BB353" s="49" t="n">
        <f aca="false">IF(ISNUMBER(BB351),BB350+BB351+BB352,"")</f>
        <v>933.351</v>
      </c>
      <c r="BC353" s="49" t="n">
        <f aca="false">IF(ISNUMBER(BC351),BC350+BC351+BC352,"")</f>
        <v>946.222</v>
      </c>
      <c r="BD353" s="49" t="n">
        <f aca="false">IF(ISNUMBER(BD351),BD350+BD351+BD352,"")</f>
        <v>998.488</v>
      </c>
      <c r="BE353" s="49" t="n">
        <f aca="false">IF(ISNUMBER(BE351),BE350+BE351+BE352,"")</f>
        <v>1058.749</v>
      </c>
      <c r="BF353" s="49" t="n">
        <f aca="false">IF(ISNUMBER(BF351),BF350+BF351+BF352,"")</f>
        <v>1080.68</v>
      </c>
      <c r="BG353" s="49" t="n">
        <f aca="false">IF(ISNUMBER(BG351),BG350+BG351+BG352,"")</f>
        <v>1080.68</v>
      </c>
      <c r="BH353" s="49" t="n">
        <f aca="false">IF(ISNUMBER(BH351),BH350+BH351+BH352,"")</f>
        <v>1100.292</v>
      </c>
      <c r="BI353" s="49" t="n">
        <f aca="false">IF(ISNUMBER(BI351),BI350+BI351+BI352,"")</f>
        <v>1184.164</v>
      </c>
      <c r="BJ353" s="49" t="n">
        <f aca="false">IF(ISNUMBER(BJ351),BJ350+BJ351+BJ352,"")</f>
        <v>1241.744</v>
      </c>
      <c r="BK353" s="49" t="n">
        <f aca="false">IF(ISNUMBER(BK351),BK350+BK351+BK352,"")</f>
        <v>1232.487</v>
      </c>
      <c r="BL353" s="49" t="n">
        <f aca="false">IF(ISNUMBER(BL351),BL350+BL351+BL352,"")</f>
        <v>1232.487</v>
      </c>
      <c r="BM353" s="49" t="n">
        <f aca="false">IF(ISNUMBER(BM351),BM350+BM351+BM352,"")</f>
        <v>1280.423</v>
      </c>
      <c r="BN353" s="49" t="n">
        <f aca="false">IF(ISNUMBER(BN351),BN350+BN351+BN352,"")</f>
        <v>1334.45</v>
      </c>
      <c r="BO353" s="57"/>
      <c r="BP353" s="57"/>
      <c r="BQ353" s="33" t="n">
        <f aca="false">BQ350+BQ351+BQ352</f>
        <v>1547.49275974587</v>
      </c>
      <c r="BR353" s="33" t="n">
        <f aca="false">BR350+BR351+BR352</f>
        <v>2023.30713612443</v>
      </c>
      <c r="BS353" s="33" t="n">
        <f aca="false">BS350+BS351+BS352</f>
        <v>2148.52206611132</v>
      </c>
      <c r="BT353" s="33" t="n">
        <f aca="false">BT350+BT351+BT352</f>
        <v>2236.04519793541</v>
      </c>
      <c r="BU353" s="33" t="n">
        <f aca="false">BU350+BU351+BU352</f>
        <v>2337.29678464557</v>
      </c>
      <c r="BV353" s="15"/>
    </row>
    <row r="354" customFormat="false" ht="15" hidden="false" customHeight="false" outlineLevel="0" collapsed="false">
      <c r="B354" s="13" t="s">
        <v>545</v>
      </c>
      <c r="C354" s="19"/>
      <c r="D354" s="19"/>
      <c r="E354" s="19"/>
      <c r="F354" s="19"/>
      <c r="G354" s="19"/>
      <c r="H354" s="24" t="n">
        <v>15.497</v>
      </c>
      <c r="I354" s="24" t="n">
        <v>15.497</v>
      </c>
      <c r="J354" s="19"/>
      <c r="K354" s="24" t="n">
        <v>13.782</v>
      </c>
      <c r="L354" s="24" t="n">
        <v>13.846</v>
      </c>
      <c r="M354" s="24" t="n">
        <v>13.919</v>
      </c>
      <c r="N354" s="24" t="n">
        <v>13.919</v>
      </c>
      <c r="O354" s="24" t="n">
        <v>0.308</v>
      </c>
      <c r="P354" s="24" t="n">
        <v>0.319</v>
      </c>
      <c r="Q354" s="24" t="n">
        <v>0.339</v>
      </c>
      <c r="R354" s="24" t="n">
        <v>0.392</v>
      </c>
      <c r="S354" s="24" t="n">
        <v>0.392</v>
      </c>
      <c r="T354" s="24" t="n">
        <v>0.313</v>
      </c>
      <c r="U354" s="24" t="n">
        <v>0.35</v>
      </c>
      <c r="V354" s="24" t="n">
        <v>0.341</v>
      </c>
      <c r="W354" s="24" t="n">
        <v>0.363</v>
      </c>
      <c r="X354" s="24" t="n">
        <v>0.363</v>
      </c>
      <c r="Y354" s="24" t="n">
        <v>0.109</v>
      </c>
      <c r="Z354" s="24" t="n">
        <v>0.054</v>
      </c>
      <c r="AA354" s="24" t="n">
        <v>0.049</v>
      </c>
      <c r="AB354" s="24" t="n">
        <v>0.039</v>
      </c>
      <c r="AC354" s="24" t="n">
        <v>0.039</v>
      </c>
      <c r="AD354" s="24" t="n">
        <v>0.025</v>
      </c>
      <c r="AE354" s="24" t="n">
        <v>0.019</v>
      </c>
      <c r="AF354" s="24" t="n">
        <v>0.057</v>
      </c>
      <c r="AG354" s="24" t="n">
        <v>0.006</v>
      </c>
      <c r="AH354" s="24" t="n">
        <v>0.006</v>
      </c>
      <c r="AI354" s="24" t="n">
        <v>0</v>
      </c>
      <c r="AJ354" s="24" t="n">
        <v>0.015</v>
      </c>
      <c r="AK354" s="24" t="n">
        <v>-0.106</v>
      </c>
      <c r="AL354" s="24" t="n">
        <v>0.002</v>
      </c>
      <c r="AM354" s="24" t="n">
        <v>0.002</v>
      </c>
      <c r="AN354" s="24" t="n">
        <v>0.068</v>
      </c>
      <c r="AO354" s="24" t="n">
        <v>0.09</v>
      </c>
      <c r="AP354" s="24" t="n">
        <v>0.259</v>
      </c>
      <c r="AQ354" s="24" t="n">
        <v>0.06</v>
      </c>
      <c r="AR354" s="24" t="n">
        <v>0.06</v>
      </c>
      <c r="AS354" s="24" t="n">
        <v>0.065</v>
      </c>
      <c r="AT354" s="24" t="n">
        <v>0.064</v>
      </c>
      <c r="AU354" s="24" t="n">
        <v>0.222</v>
      </c>
      <c r="AV354" s="24" t="n">
        <v>0.045</v>
      </c>
      <c r="AW354" s="24" t="n">
        <v>0.045</v>
      </c>
      <c r="AX354" s="24" t="n">
        <v>-0.121</v>
      </c>
      <c r="AY354" s="24" t="n">
        <v>-0.131</v>
      </c>
      <c r="AZ354" s="24" t="n">
        <v>-0.125</v>
      </c>
      <c r="BA354" s="24" t="n">
        <v>-0.05</v>
      </c>
      <c r="BB354" s="24" t="n">
        <v>-0.05</v>
      </c>
      <c r="BC354" s="24" t="n">
        <v>-0.156</v>
      </c>
      <c r="BD354" s="24" t="n">
        <v>-0.237</v>
      </c>
      <c r="BE354" s="24" t="n">
        <v>-0.078</v>
      </c>
      <c r="BF354" s="24" t="n">
        <v>-0.276</v>
      </c>
      <c r="BG354" s="24" t="n">
        <v>-0.276</v>
      </c>
      <c r="BH354" s="24" t="n">
        <v>-0.257</v>
      </c>
      <c r="BI354" s="24" t="n">
        <v>-0.258</v>
      </c>
      <c r="BJ354" s="24" t="n">
        <v>-0.259</v>
      </c>
      <c r="BK354" s="24" t="n">
        <v>0.525</v>
      </c>
      <c r="BL354" s="24" t="n">
        <v>0.525</v>
      </c>
      <c r="BM354" s="24" t="n">
        <v>-0.191</v>
      </c>
      <c r="BN354" s="24" t="n">
        <v>-0.301</v>
      </c>
      <c r="BO354" s="36"/>
      <c r="BP354" s="36"/>
      <c r="BQ354" s="21" t="n">
        <f aca="false">BL354+BQ176</f>
        <v>0.898</v>
      </c>
      <c r="BR354" s="21" t="n">
        <f aca="false">BQ354+BR176</f>
        <v>1.298</v>
      </c>
      <c r="BS354" s="21" t="n">
        <f aca="false">BR354+BS176</f>
        <v>1.698</v>
      </c>
      <c r="BT354" s="21" t="n">
        <f aca="false">BS354+BT176</f>
        <v>2.098</v>
      </c>
      <c r="BU354" s="21" t="n">
        <f aca="false">BT354+BU176</f>
        <v>2.498</v>
      </c>
      <c r="BV354" s="15"/>
    </row>
    <row r="355" customFormat="false" ht="15" hidden="false" customHeight="false" outlineLevel="0" collapsed="false">
      <c r="B355" s="30" t="s">
        <v>546</v>
      </c>
      <c r="C355" s="31"/>
      <c r="D355" s="31"/>
      <c r="E355" s="31"/>
      <c r="F355" s="31"/>
      <c r="G355" s="31"/>
      <c r="H355" s="49" t="n">
        <f aca="false">IF(ISNUMBER(H353),H353+H354,"")</f>
        <v>1014.201</v>
      </c>
      <c r="I355" s="49" t="n">
        <f aca="false">IF(ISNUMBER(I353),I353+I354,"")</f>
        <v>1014.201</v>
      </c>
      <c r="J355" s="31"/>
      <c r="K355" s="49" t="n">
        <f aca="false">IF(ISNUMBER(K353),K353+K354,"")</f>
        <v>256.533</v>
      </c>
      <c r="L355" s="49" t="n">
        <f aca="false">IF(ISNUMBER(L353),L353+L354,"")</f>
        <v>331.484</v>
      </c>
      <c r="M355" s="49" t="n">
        <f aca="false">IF(ISNUMBER(M353),M353+M354,"")</f>
        <v>279.635</v>
      </c>
      <c r="N355" s="49" t="n">
        <f aca="false">IF(ISNUMBER(N353),N353+N354,"")</f>
        <v>279.635</v>
      </c>
      <c r="O355" s="49" t="n">
        <f aca="false">IF(ISNUMBER(O353),O353+O354,"")</f>
        <v>267.894</v>
      </c>
      <c r="P355" s="49" t="n">
        <f aca="false">IF(ISNUMBER(P353),P353+P354,"")</f>
        <v>292.446</v>
      </c>
      <c r="Q355" s="49" t="n">
        <f aca="false">IF(ISNUMBER(Q353),Q353+Q354,"")</f>
        <v>118.639</v>
      </c>
      <c r="R355" s="49" t="n">
        <f aca="false">IF(ISNUMBER(R353),R353+R354,"")</f>
        <v>150.41</v>
      </c>
      <c r="S355" s="49" t="n">
        <f aca="false">IF(ISNUMBER(S353),S353+S354,"")</f>
        <v>150.41</v>
      </c>
      <c r="T355" s="49" t="n">
        <f aca="false">IF(ISNUMBER(T353),T353+T354,"")</f>
        <v>206.219</v>
      </c>
      <c r="U355" s="49" t="n">
        <f aca="false">IF(ISNUMBER(U353),U353+U354,"")</f>
        <v>264.301</v>
      </c>
      <c r="V355" s="49" t="n">
        <f aca="false">IF(ISNUMBER(V353),V353+V354,"")</f>
        <v>308.241</v>
      </c>
      <c r="W355" s="49" t="n">
        <f aca="false">IF(ISNUMBER(W353),W353+W354,"")</f>
        <v>285.757</v>
      </c>
      <c r="X355" s="49" t="n">
        <f aca="false">IF(ISNUMBER(X353),X353+X354,"")</f>
        <v>285.757</v>
      </c>
      <c r="Y355" s="49" t="n">
        <f aca="false">IF(ISNUMBER(Y353),Y353+Y354,"")</f>
        <v>345.25</v>
      </c>
      <c r="Z355" s="49" t="n">
        <f aca="false">IF(ISNUMBER(Z353),Z353+Z354,"")</f>
        <v>388.317</v>
      </c>
      <c r="AA355" s="49" t="n">
        <f aca="false">IF(ISNUMBER(AA353),AA353+AA354,"")</f>
        <v>392.501</v>
      </c>
      <c r="AB355" s="49" t="n">
        <f aca="false">IF(ISNUMBER(AB353),AB353+AB354,"")</f>
        <v>235.701</v>
      </c>
      <c r="AC355" s="49" t="n">
        <f aca="false">IF(ISNUMBER(AC353),AC353+AC354,"")</f>
        <v>235.701</v>
      </c>
      <c r="AD355" s="49" t="n">
        <f aca="false">IF(ISNUMBER(AD353),AD353+AD354,"")</f>
        <v>242.874</v>
      </c>
      <c r="AE355" s="49" t="n">
        <f aca="false">IF(ISNUMBER(AE353),AE353+AE354,"")</f>
        <v>294.149</v>
      </c>
      <c r="AF355" s="49" t="n">
        <f aca="false">IF(ISNUMBER(AF353),AF353+AF354,"")</f>
        <v>354.533</v>
      </c>
      <c r="AG355" s="49" t="n">
        <f aca="false">IF(ISNUMBER(AG353),AG353+AG354,"")</f>
        <v>404.112</v>
      </c>
      <c r="AH355" s="49" t="n">
        <f aca="false">IF(ISNUMBER(AH353),AH353+AH354,"")</f>
        <v>404.112</v>
      </c>
      <c r="AI355" s="49" t="n">
        <f aca="false">IF(ISNUMBER(AI353),AI353+AI354,"")</f>
        <v>429.512</v>
      </c>
      <c r="AJ355" s="49" t="n">
        <f aca="false">IF(ISNUMBER(AJ353),AJ353+AJ354,"")</f>
        <v>481.532</v>
      </c>
      <c r="AK355" s="49" t="n">
        <f aca="false">IF(ISNUMBER(AK353),AK353+AK354,"")</f>
        <v>550.08</v>
      </c>
      <c r="AL355" s="49" t="n">
        <f aca="false">IF(ISNUMBER(AL353),AL353+AL354,"")</f>
        <v>617.768</v>
      </c>
      <c r="AM355" s="49" t="n">
        <f aca="false">IF(ISNUMBER(AM353),AM353+AM354,"")</f>
        <v>617.768</v>
      </c>
      <c r="AN355" s="49" t="n">
        <f aca="false">IF(ISNUMBER(AN353),AN353+AN354,"")</f>
        <v>656.306</v>
      </c>
      <c r="AO355" s="49" t="n">
        <f aca="false">IF(ISNUMBER(AO353),AO353+AO354,"")</f>
        <v>709.087</v>
      </c>
      <c r="AP355" s="49" t="n">
        <f aca="false">IF(ISNUMBER(AP353),AP353+AP354,"")</f>
        <v>578.574</v>
      </c>
      <c r="AQ355" s="49" t="n">
        <f aca="false">IF(ISNUMBER(AQ353),AQ353+AQ354,"")</f>
        <v>637.235</v>
      </c>
      <c r="AR355" s="49" t="n">
        <f aca="false">IF(ISNUMBER(AR353),AR353+AR354,"")</f>
        <v>637.235</v>
      </c>
      <c r="AS355" s="49" t="n">
        <f aca="false">IF(ISNUMBER(AS353),AS353+AS354,"")</f>
        <v>659.954</v>
      </c>
      <c r="AT355" s="49" t="n">
        <f aca="false">IF(ISNUMBER(AT353),AT353+AT354,"")</f>
        <v>704.35</v>
      </c>
      <c r="AU355" s="49" t="n">
        <f aca="false">IF(ISNUMBER(AU353),AU353+AU354,"")</f>
        <v>712.936</v>
      </c>
      <c r="AV355" s="49" t="n">
        <f aca="false">IF(ISNUMBER(AV353),AV353+AV354,"")</f>
        <v>748.355</v>
      </c>
      <c r="AW355" s="49" t="n">
        <f aca="false">IF(ISNUMBER(AW353),AW353+AW354,"")</f>
        <v>748.355</v>
      </c>
      <c r="AX355" s="49" t="n">
        <f aca="false">IF(ISNUMBER(AX353),AX353+AX354,"")</f>
        <v>788.008</v>
      </c>
      <c r="AY355" s="49" t="n">
        <f aca="false">IF(ISNUMBER(AY353),AY353+AY354,"")</f>
        <v>841.528</v>
      </c>
      <c r="AZ355" s="49" t="n">
        <f aca="false">IF(ISNUMBER(AZ353),AZ353+AZ354,"")</f>
        <v>871.911</v>
      </c>
      <c r="BA355" s="49" t="n">
        <f aca="false">IF(ISNUMBER(BA353),BA353+BA354,"")</f>
        <v>933.301</v>
      </c>
      <c r="BB355" s="49" t="n">
        <f aca="false">IF(ISNUMBER(BB353),BB353+BB354,"")</f>
        <v>933.301</v>
      </c>
      <c r="BC355" s="49" t="n">
        <f aca="false">IF(ISNUMBER(BC353),BC353+BC354,"")</f>
        <v>946.066</v>
      </c>
      <c r="BD355" s="49" t="n">
        <f aca="false">IF(ISNUMBER(BD353),BD353+BD354,"")</f>
        <v>998.251</v>
      </c>
      <c r="BE355" s="49" t="n">
        <f aca="false">IF(ISNUMBER(BE353),BE353+BE354,"")</f>
        <v>1058.671</v>
      </c>
      <c r="BF355" s="49" t="n">
        <f aca="false">IF(ISNUMBER(BF353),BF353+BF354,"")</f>
        <v>1080.404</v>
      </c>
      <c r="BG355" s="49" t="n">
        <f aca="false">IF(ISNUMBER(BG353),BG353+BG354,"")</f>
        <v>1080.404</v>
      </c>
      <c r="BH355" s="49" t="n">
        <f aca="false">IF(ISNUMBER(BH353),BH353+BH354,"")</f>
        <v>1100.035</v>
      </c>
      <c r="BI355" s="49" t="n">
        <f aca="false">IF(ISNUMBER(BI353),BI353+BI354,"")</f>
        <v>1183.906</v>
      </c>
      <c r="BJ355" s="49" t="n">
        <f aca="false">IF(ISNUMBER(BJ353),BJ353+BJ354,"")</f>
        <v>1241.485</v>
      </c>
      <c r="BK355" s="49" t="n">
        <f aca="false">IF(ISNUMBER(BK353),BK353+BK354,"")</f>
        <v>1233.012</v>
      </c>
      <c r="BL355" s="49" t="n">
        <f aca="false">IF(ISNUMBER(BL353),BL353+BL354,"")</f>
        <v>1233.012</v>
      </c>
      <c r="BM355" s="49" t="n">
        <f aca="false">IF(ISNUMBER(BM353),BM353+BM354,"")</f>
        <v>1280.232</v>
      </c>
      <c r="BN355" s="49" t="n">
        <f aca="false">IF(ISNUMBER(BN353),BN353+BN354,"")</f>
        <v>1334.149</v>
      </c>
      <c r="BO355" s="57"/>
      <c r="BP355" s="57"/>
      <c r="BQ355" s="33" t="n">
        <f aca="false">BQ353+BQ354</f>
        <v>1548.39075974587</v>
      </c>
      <c r="BR355" s="33" t="n">
        <f aca="false">BR353+BR354</f>
        <v>2024.60513612443</v>
      </c>
      <c r="BS355" s="33" t="n">
        <f aca="false">BS353+BS354</f>
        <v>2150.22006611132</v>
      </c>
      <c r="BT355" s="33" t="n">
        <f aca="false">BT353+BT354</f>
        <v>2238.14319793541</v>
      </c>
      <c r="BU355" s="33" t="n">
        <f aca="false">BU353+BU354</f>
        <v>2339.79478464557</v>
      </c>
      <c r="BV355" s="15"/>
    </row>
    <row r="356" customFormat="false" ht="15" hidden="false" customHeight="false" outlineLevel="0" collapsed="false">
      <c r="B356" s="60" t="s">
        <v>547</v>
      </c>
      <c r="C356" s="61"/>
      <c r="D356" s="61"/>
      <c r="E356" s="61"/>
      <c r="F356" s="61"/>
      <c r="G356" s="61"/>
      <c r="H356" s="62" t="n">
        <f aca="false">IF(ISNUMBER(H348),H348+H355,"")</f>
        <v>2856.936</v>
      </c>
      <c r="I356" s="62" t="n">
        <f aca="false">IF(ISNUMBER(I348),I348+I355,"")</f>
        <v>2856.936</v>
      </c>
      <c r="J356" s="61"/>
      <c r="K356" s="62" t="n">
        <f aca="false">IF(ISNUMBER(K348),K348+K355,"")</f>
        <v>1337.225</v>
      </c>
      <c r="L356" s="62" t="n">
        <f aca="false">IF(ISNUMBER(L348),L348+L355,"")</f>
        <v>1410.722</v>
      </c>
      <c r="M356" s="62" t="n">
        <f aca="false">IF(ISNUMBER(M348),M348+M355,"")</f>
        <v>1382.139</v>
      </c>
      <c r="N356" s="62" t="n">
        <f aca="false">IF(ISNUMBER(N348),N348+N355,"")</f>
        <v>1382.139</v>
      </c>
      <c r="O356" s="62" t="n">
        <f aca="false">IF(ISNUMBER(O348),O348+O355,"")</f>
        <v>1365.712</v>
      </c>
      <c r="P356" s="62" t="n">
        <f aca="false">IF(ISNUMBER(P348),P348+P355,"")</f>
        <v>1401.343</v>
      </c>
      <c r="Q356" s="62" t="n">
        <f aca="false">IF(ISNUMBER(Q348),Q348+Q355,"")</f>
        <v>1365.144</v>
      </c>
      <c r="R356" s="62" t="n">
        <f aca="false">IF(ISNUMBER(R348),R348+R355,"")</f>
        <v>1579.815</v>
      </c>
      <c r="S356" s="62" t="n">
        <f aca="false">IF(ISNUMBER(S348),S348+S355,"")</f>
        <v>1579.815</v>
      </c>
      <c r="T356" s="62" t="n">
        <f aca="false">IF(ISNUMBER(T348),T348+T355,"")</f>
        <v>1617.926</v>
      </c>
      <c r="U356" s="62" t="n">
        <f aca="false">IF(ISNUMBER(U348),U348+U355,"")</f>
        <v>1624.738</v>
      </c>
      <c r="V356" s="62" t="n">
        <f aca="false">IF(ISNUMBER(V348),V348+V355,"")</f>
        <v>1723.512</v>
      </c>
      <c r="W356" s="62" t="n">
        <f aca="false">IF(ISNUMBER(W348),W348+W355,"")</f>
        <v>1712.339</v>
      </c>
      <c r="X356" s="62" t="n">
        <f aca="false">IF(ISNUMBER(X348),X348+X355,"")</f>
        <v>1712.339</v>
      </c>
      <c r="Y356" s="62" t="n">
        <f aca="false">IF(ISNUMBER(Y348),Y348+Y355,"")</f>
        <v>1539.539</v>
      </c>
      <c r="Z356" s="62" t="n">
        <f aca="false">IF(ISNUMBER(Z348),Z348+Z355,"")</f>
        <v>1742.465</v>
      </c>
      <c r="AA356" s="62" t="n">
        <f aca="false">IF(ISNUMBER(AA348),AA348+AA355,"")</f>
        <v>1735.704</v>
      </c>
      <c r="AB356" s="62" t="n">
        <f aca="false">IF(ISNUMBER(AB348),AB348+AB355,"")</f>
        <v>1655.096</v>
      </c>
      <c r="AC356" s="62" t="n">
        <f aca="false">IF(ISNUMBER(AC348),AC348+AC355,"")</f>
        <v>1655.096</v>
      </c>
      <c r="AD356" s="62" t="n">
        <f aca="false">IF(ISNUMBER(AD348),AD348+AD355,"")</f>
        <v>1716.786</v>
      </c>
      <c r="AE356" s="62" t="n">
        <f aca="false">IF(ISNUMBER(AE348),AE348+AE355,"")</f>
        <v>1756.48</v>
      </c>
      <c r="AF356" s="62" t="n">
        <f aca="false">IF(ISNUMBER(AF348),AF348+AF355,"")</f>
        <v>1826.42</v>
      </c>
      <c r="AG356" s="62" t="n">
        <f aca="false">IF(ISNUMBER(AG348),AG348+AG355,"")</f>
        <v>1908.913</v>
      </c>
      <c r="AH356" s="62" t="n">
        <f aca="false">IF(ISNUMBER(AH348),AH348+AH355,"")</f>
        <v>1908.913</v>
      </c>
      <c r="AI356" s="62" t="n">
        <f aca="false">IF(ISNUMBER(AI348),AI348+AI355,"")</f>
        <v>1966.603</v>
      </c>
      <c r="AJ356" s="62" t="n">
        <f aca="false">IF(ISNUMBER(AJ348),AJ348+AJ355,"")</f>
        <v>1971.363</v>
      </c>
      <c r="AK356" s="62" t="n">
        <f aca="false">IF(ISNUMBER(AK348),AK348+AK355,"")</f>
        <v>2124.314</v>
      </c>
      <c r="AL356" s="62" t="n">
        <f aca="false">IF(ISNUMBER(AL348),AL348+AL355,"")</f>
        <v>2293.503</v>
      </c>
      <c r="AM356" s="62" t="n">
        <f aca="false">IF(ISNUMBER(AM348),AM348+AM355,"")</f>
        <v>2293.503</v>
      </c>
      <c r="AN356" s="62" t="n">
        <f aca="false">IF(ISNUMBER(AN348),AN348+AN355,"")</f>
        <v>2351.914</v>
      </c>
      <c r="AO356" s="62" t="n">
        <f aca="false">IF(ISNUMBER(AO348),AO348+AO355,"")</f>
        <v>2566.402</v>
      </c>
      <c r="AP356" s="62" t="n">
        <f aca="false">IF(ISNUMBER(AP348),AP348+AP355,"")</f>
        <v>2489.713</v>
      </c>
      <c r="AQ356" s="62" t="n">
        <f aca="false">IF(ISNUMBER(AQ348),AQ348+AQ355,"")</f>
        <v>2501.38</v>
      </c>
      <c r="AR356" s="62" t="n">
        <f aca="false">IF(ISNUMBER(AR348),AR348+AR355,"")</f>
        <v>2501.38</v>
      </c>
      <c r="AS356" s="62" t="n">
        <f aca="false">IF(ISNUMBER(AS348),AS348+AS355,"")</f>
        <v>2569.107</v>
      </c>
      <c r="AT356" s="62" t="n">
        <f aca="false">IF(ISNUMBER(AT348),AT348+AT355,"")</f>
        <v>2705.523</v>
      </c>
      <c r="AU356" s="62" t="n">
        <f aca="false">IF(ISNUMBER(AU348),AU348+AU355,"")</f>
        <v>2672.058</v>
      </c>
      <c r="AV356" s="62" t="n">
        <f aca="false">IF(ISNUMBER(AV348),AV348+AV355,"")</f>
        <v>2618.939</v>
      </c>
      <c r="AW356" s="62" t="n">
        <f aca="false">IF(ISNUMBER(AW348),AW348+AW355,"")</f>
        <v>2618.939</v>
      </c>
      <c r="AX356" s="62" t="n">
        <f aca="false">IF(ISNUMBER(AX348),AX348+AX355,"")</f>
        <v>2718.908</v>
      </c>
      <c r="AY356" s="62" t="n">
        <f aca="false">IF(ISNUMBER(AY348),AY348+AY355,"")</f>
        <v>2740.574</v>
      </c>
      <c r="AZ356" s="62" t="n">
        <f aca="false">IF(ISNUMBER(AZ348),AZ348+AZ355,"")</f>
        <v>2776.839</v>
      </c>
      <c r="BA356" s="62" t="n">
        <f aca="false">IF(ISNUMBER(BA348),BA348+BA355,"")</f>
        <v>2747.065</v>
      </c>
      <c r="BB356" s="62" t="n">
        <f aca="false">IF(ISNUMBER(BB348),BB348+BB355,"")</f>
        <v>2747.065</v>
      </c>
      <c r="BC356" s="62" t="n">
        <f aca="false">IF(ISNUMBER(BC348),BC348+BC355,"")</f>
        <v>2788.01</v>
      </c>
      <c r="BD356" s="62" t="n">
        <f aca="false">IF(ISNUMBER(BD348),BD348+BD355,"")</f>
        <v>2840.633</v>
      </c>
      <c r="BE356" s="62" t="n">
        <f aca="false">IF(ISNUMBER(BE348),BE348+BE355,"")</f>
        <v>2947.46</v>
      </c>
      <c r="BF356" s="62" t="n">
        <f aca="false">IF(ISNUMBER(BF348),BF348+BF355,"")</f>
        <v>2869.924</v>
      </c>
      <c r="BG356" s="62" t="n">
        <f aca="false">IF(ISNUMBER(BG348),BG348+BG355,"")</f>
        <v>2869.924</v>
      </c>
      <c r="BH356" s="62" t="n">
        <f aca="false">IF(ISNUMBER(BH348),BH348+BH355,"")</f>
        <v>3054.008</v>
      </c>
      <c r="BI356" s="62" t="n">
        <f aca="false">IF(ISNUMBER(BI348),BI348+BI355,"")</f>
        <v>3699.072</v>
      </c>
      <c r="BJ356" s="62" t="n">
        <f aca="false">IF(ISNUMBER(BJ348),BJ348+BJ355,"")</f>
        <v>3781.537</v>
      </c>
      <c r="BK356" s="62" t="n">
        <f aca="false">IF(ISNUMBER(BK348),BK348+BK355,"")</f>
        <v>4271.495</v>
      </c>
      <c r="BL356" s="62" t="n">
        <f aca="false">IF(ISNUMBER(BL348),BL348+BL355,"")</f>
        <v>4271.495</v>
      </c>
      <c r="BM356" s="62" t="n">
        <f aca="false">IF(ISNUMBER(BM348),BM348+BM355,"")</f>
        <v>4324.91</v>
      </c>
      <c r="BN356" s="62" t="n">
        <f aca="false">IF(ISNUMBER(BN348),BN348+BN355,"")</f>
        <v>4423.13</v>
      </c>
      <c r="BO356" s="61"/>
      <c r="BP356" s="61"/>
      <c r="BQ356" s="62" t="n">
        <f aca="false">BQ348+BQ355</f>
        <v>4745.45675974587</v>
      </c>
      <c r="BR356" s="62" t="n">
        <f aca="false">BR348+BR355</f>
        <v>5264.85207403293</v>
      </c>
      <c r="BS356" s="62" t="n">
        <f aca="false">BS348+BS355</f>
        <v>5483.34209651431</v>
      </c>
      <c r="BT356" s="62" t="n">
        <f aca="false">BT348+BT355</f>
        <v>5680.91181040347</v>
      </c>
      <c r="BU356" s="62" t="n">
        <f aca="false">BU348+BU355</f>
        <v>5898.73599909161</v>
      </c>
      <c r="BV356" s="15"/>
    </row>
    <row r="357" customFormat="false" ht="15" hidden="false" customHeight="false" outlineLevel="0" collapsed="false">
      <c r="B357" s="51" t="s">
        <v>548</v>
      </c>
      <c r="C357" s="19"/>
      <c r="D357" s="19"/>
      <c r="E357" s="19"/>
      <c r="F357" s="19"/>
      <c r="G357" s="19"/>
      <c r="H357" s="20" t="n">
        <f aca="false">IF(ISNUMBER(H330),ROUND(H330-H356,1),"")</f>
        <v>0</v>
      </c>
      <c r="I357" s="20" t="n">
        <f aca="false">IF(ISNUMBER(I330),ROUND(I330-I356,1),"")</f>
        <v>0</v>
      </c>
      <c r="J357" s="19"/>
      <c r="K357" s="20" t="n">
        <f aca="false">IF(ISNUMBER(K330),ROUND(K330-K356,1),"")</f>
        <v>0</v>
      </c>
      <c r="L357" s="20" t="n">
        <f aca="false">IF(ISNUMBER(L330),ROUND(L330-L356,1),"")</f>
        <v>0</v>
      </c>
      <c r="M357" s="20" t="n">
        <f aca="false">IF(ISNUMBER(M330),ROUND(M330-M356,1),"")</f>
        <v>0</v>
      </c>
      <c r="N357" s="20" t="n">
        <f aca="false">IF(ISNUMBER(N330),ROUND(N330-N356,1),"")</f>
        <v>0</v>
      </c>
      <c r="O357" s="20" t="n">
        <f aca="false">IF(ISNUMBER(O330),ROUND(O330-O356,1),"")</f>
        <v>0</v>
      </c>
      <c r="P357" s="20" t="n">
        <f aca="false">IF(ISNUMBER(P330),ROUND(P330-P356,1),"")</f>
        <v>0</v>
      </c>
      <c r="Q357" s="20" t="n">
        <f aca="false">IF(ISNUMBER(Q330),ROUND(Q330-Q356,1),"")</f>
        <v>0</v>
      </c>
      <c r="R357" s="20" t="n">
        <f aca="false">IF(ISNUMBER(R330),ROUND(R330-R356,1),"")</f>
        <v>0</v>
      </c>
      <c r="S357" s="20" t="n">
        <f aca="false">IF(ISNUMBER(S330),ROUND(S330-S356,1),"")</f>
        <v>0</v>
      </c>
      <c r="T357" s="20" t="n">
        <f aca="false">IF(ISNUMBER(T330),ROUND(T330-T356,1),"")</f>
        <v>0</v>
      </c>
      <c r="U357" s="20" t="n">
        <f aca="false">IF(ISNUMBER(U330),ROUND(U330-U356,1),"")</f>
        <v>0</v>
      </c>
      <c r="V357" s="20" t="n">
        <f aca="false">IF(ISNUMBER(V330),ROUND(V330-V356,1),"")</f>
        <v>0</v>
      </c>
      <c r="W357" s="20" t="n">
        <f aca="false">IF(ISNUMBER(W330),ROUND(W330-W356,1),"")</f>
        <v>0</v>
      </c>
      <c r="X357" s="20" t="n">
        <f aca="false">IF(ISNUMBER(X330),ROUND(X330-X356,1),"")</f>
        <v>0</v>
      </c>
      <c r="Y357" s="20" t="n">
        <f aca="false">IF(ISNUMBER(Y330),ROUND(Y330-Y356,1),"")</f>
        <v>0</v>
      </c>
      <c r="Z357" s="20" t="n">
        <f aca="false">IF(ISNUMBER(Z330),ROUND(Z330-Z356,1),"")</f>
        <v>0</v>
      </c>
      <c r="AA357" s="20" t="n">
        <f aca="false">IF(ISNUMBER(AA330),ROUND(AA330-AA356,1),"")</f>
        <v>0</v>
      </c>
      <c r="AB357" s="20" t="n">
        <f aca="false">IF(ISNUMBER(AB330),ROUND(AB330-AB356,1),"")</f>
        <v>0</v>
      </c>
      <c r="AC357" s="20" t="n">
        <f aca="false">IF(ISNUMBER(AC330),ROUND(AC330-AC356,1),"")</f>
        <v>0</v>
      </c>
      <c r="AD357" s="20" t="n">
        <f aca="false">IF(ISNUMBER(AD330),ROUND(AD330-AD356,1),"")</f>
        <v>0</v>
      </c>
      <c r="AE357" s="20" t="n">
        <f aca="false">IF(ISNUMBER(AE330),ROUND(AE330-AE356,1),"")</f>
        <v>0</v>
      </c>
      <c r="AF357" s="20" t="n">
        <f aca="false">IF(ISNUMBER(AF330),ROUND(AF330-AF356,1),"")</f>
        <v>0</v>
      </c>
      <c r="AG357" s="20" t="n">
        <f aca="false">IF(ISNUMBER(AG330),ROUND(AG330-AG356,1),"")</f>
        <v>0</v>
      </c>
      <c r="AH357" s="20" t="n">
        <f aca="false">IF(ISNUMBER(AH330),ROUND(AH330-AH356,1),"")</f>
        <v>0</v>
      </c>
      <c r="AI357" s="20" t="n">
        <f aca="false">IF(ISNUMBER(AI330),ROUND(AI330-AI356,1),"")</f>
        <v>0</v>
      </c>
      <c r="AJ357" s="20" t="n">
        <f aca="false">IF(ISNUMBER(AJ330),ROUND(AJ330-AJ356,1),"")</f>
        <v>0</v>
      </c>
      <c r="AK357" s="20" t="n">
        <f aca="false">IF(ISNUMBER(AK330),ROUND(AK330-AK356,1),"")</f>
        <v>0</v>
      </c>
      <c r="AL357" s="20" t="n">
        <f aca="false">IF(ISNUMBER(AL330),ROUND(AL330-AL356,1),"")</f>
        <v>0</v>
      </c>
      <c r="AM357" s="20" t="n">
        <f aca="false">IF(ISNUMBER(AM330),ROUND(AM330-AM356,1),"")</f>
        <v>0</v>
      </c>
      <c r="AN357" s="20" t="n">
        <f aca="false">IF(ISNUMBER(AN330),ROUND(AN330-AN356,1),"")</f>
        <v>0</v>
      </c>
      <c r="AO357" s="20" t="n">
        <f aca="false">IF(ISNUMBER(AO330),ROUND(AO330-AO356,1),"")</f>
        <v>0</v>
      </c>
      <c r="AP357" s="20" t="n">
        <f aca="false">IF(ISNUMBER(AP330),ROUND(AP330-AP356,1),"")</f>
        <v>0</v>
      </c>
      <c r="AQ357" s="20" t="n">
        <f aca="false">IF(ISNUMBER(AQ330),ROUND(AQ330-AQ356,1),"")</f>
        <v>0</v>
      </c>
      <c r="AR357" s="20" t="n">
        <f aca="false">IF(ISNUMBER(AR330),ROUND(AR330-AR356,1),"")</f>
        <v>0</v>
      </c>
      <c r="AS357" s="20" t="n">
        <f aca="false">IF(ISNUMBER(AS330),ROUND(AS330-AS356,1),"")</f>
        <v>0</v>
      </c>
      <c r="AT357" s="20" t="n">
        <f aca="false">IF(ISNUMBER(AT330),ROUND(AT330-AT356,1),"")</f>
        <v>0</v>
      </c>
      <c r="AU357" s="20" t="n">
        <f aca="false">IF(ISNUMBER(AU330),ROUND(AU330-AU356,1),"")</f>
        <v>0</v>
      </c>
      <c r="AV357" s="20" t="n">
        <f aca="false">IF(ISNUMBER(AV330),ROUND(AV330-AV356,1),"")</f>
        <v>0</v>
      </c>
      <c r="AW357" s="20" t="n">
        <f aca="false">IF(ISNUMBER(AW330),ROUND(AW330-AW356,1),"")</f>
        <v>0</v>
      </c>
      <c r="AX357" s="20" t="n">
        <f aca="false">IF(ISNUMBER(AX330),ROUND(AX330-AX356,1),"")</f>
        <v>0</v>
      </c>
      <c r="AY357" s="20" t="n">
        <f aca="false">IF(ISNUMBER(AY330),ROUND(AY330-AY356,1),"")</f>
        <v>0</v>
      </c>
      <c r="AZ357" s="20" t="n">
        <f aca="false">IF(ISNUMBER(AZ330),ROUND(AZ330-AZ356,1),"")</f>
        <v>0</v>
      </c>
      <c r="BA357" s="20" t="n">
        <f aca="false">IF(ISNUMBER(BA330),ROUND(BA330-BA356,1),"")</f>
        <v>0</v>
      </c>
      <c r="BB357" s="20" t="n">
        <f aca="false">IF(ISNUMBER(BB330),ROUND(BB330-BB356,1),"")</f>
        <v>0</v>
      </c>
      <c r="BC357" s="20" t="n">
        <f aca="false">IF(ISNUMBER(BC330),ROUND(BC330-BC356,1),"")</f>
        <v>0</v>
      </c>
      <c r="BD357" s="20" t="n">
        <f aca="false">IF(ISNUMBER(BD330),ROUND(BD330-BD356,1),"")</f>
        <v>0</v>
      </c>
      <c r="BE357" s="20" t="n">
        <f aca="false">IF(ISNUMBER(BE330),ROUND(BE330-BE356,1),"")</f>
        <v>0</v>
      </c>
      <c r="BF357" s="20" t="n">
        <f aca="false">IF(ISNUMBER(BF330),ROUND(BF330-BF356,1),"")</f>
        <v>0</v>
      </c>
      <c r="BG357" s="20" t="n">
        <f aca="false">IF(ISNUMBER(BG330),ROUND(BG330-BG356,1),"")</f>
        <v>0</v>
      </c>
      <c r="BH357" s="20" t="n">
        <f aca="false">IF(ISNUMBER(BH330),ROUND(BH330-BH356,1),"")</f>
        <v>0</v>
      </c>
      <c r="BI357" s="20" t="n">
        <f aca="false">IF(ISNUMBER(BI330),ROUND(BI330-BI356,1),"")</f>
        <v>0</v>
      </c>
      <c r="BJ357" s="20" t="n">
        <f aca="false">IF(ISNUMBER(BJ330),ROUND(BJ330-BJ356,1),"")</f>
        <v>0</v>
      </c>
      <c r="BK357" s="20" t="n">
        <f aca="false">IF(ISNUMBER(BK330),ROUND(BK330-BK356,1),"")</f>
        <v>0</v>
      </c>
      <c r="BL357" s="20" t="n">
        <f aca="false">IF(ISNUMBER(BL330),ROUND(BL330-BL356,1),"")</f>
        <v>0</v>
      </c>
      <c r="BM357" s="20" t="n">
        <f aca="false">IF(ISNUMBER(BM330),ROUND(BM330-BM356,1),"")</f>
        <v>0</v>
      </c>
      <c r="BN357" s="20" t="n">
        <f aca="false">IF(ISNUMBER(BN330),ROUND(BN330-BN356,1),"")</f>
        <v>0</v>
      </c>
      <c r="BO357" s="36"/>
      <c r="BP357" s="36"/>
      <c r="BQ357" s="21" t="n">
        <f aca="false">ROUND(BQ330-BQ356,1)</f>
        <v>0</v>
      </c>
      <c r="BR357" s="21" t="n">
        <f aca="false">ROUND(BR330-BR356,1)</f>
        <v>0</v>
      </c>
      <c r="BS357" s="21" t="n">
        <f aca="false">ROUND(BS330-BS356,1)</f>
        <v>0</v>
      </c>
      <c r="BT357" s="21" t="n">
        <f aca="false">ROUND(BT330-BT356,1)</f>
        <v>0</v>
      </c>
      <c r="BU357" s="21" t="n">
        <f aca="false">ROUND(BU330-BU356,1)</f>
        <v>0</v>
      </c>
      <c r="BV357" s="15"/>
    </row>
    <row r="358" customFormat="false" ht="15" hidden="false" customHeight="false" outlineLevel="0" collapsed="false">
      <c r="B358" s="51" t="s">
        <v>549</v>
      </c>
      <c r="C358" s="19"/>
      <c r="D358" s="19"/>
      <c r="E358" s="19"/>
      <c r="F358" s="19"/>
      <c r="G358" s="19"/>
      <c r="H358" s="20" t="n">
        <f aca="false">IF(AND(ISNUMBER(H330),ISNUMBER(H359)),ROUND(H330-H359,1),"")</f>
        <v>0</v>
      </c>
      <c r="I358" s="20" t="n">
        <f aca="false">IF(AND(ISNUMBER(I330),ISNUMBER(I359)),ROUND(I330-I359,1),"")</f>
        <v>0</v>
      </c>
      <c r="J358" s="19"/>
      <c r="K358" s="20" t="n">
        <f aca="false">IF(AND(ISNUMBER(K330),ISNUMBER(K359)),ROUND(K330-K359,1),"")</f>
        <v>0</v>
      </c>
      <c r="L358" s="20" t="n">
        <f aca="false">IF(AND(ISNUMBER(L330),ISNUMBER(L359)),ROUND(L330-L359,1),"")</f>
        <v>0</v>
      </c>
      <c r="M358" s="20" t="n">
        <f aca="false">IF(AND(ISNUMBER(M330),ISNUMBER(M359)),ROUND(M330-M359,1),"")</f>
        <v>0</v>
      </c>
      <c r="N358" s="20" t="n">
        <f aca="false">IF(AND(ISNUMBER(N330),ISNUMBER(N359)),ROUND(N330-N359,1),"")</f>
        <v>0</v>
      </c>
      <c r="O358" s="20" t="n">
        <f aca="false">IF(AND(ISNUMBER(O330),ISNUMBER(O359)),ROUND(O330-O359,1),"")</f>
        <v>0</v>
      </c>
      <c r="P358" s="20" t="n">
        <f aca="false">IF(AND(ISNUMBER(P330),ISNUMBER(P359)),ROUND(P330-P359,1),"")</f>
        <v>0</v>
      </c>
      <c r="Q358" s="20" t="n">
        <f aca="false">IF(AND(ISNUMBER(Q330),ISNUMBER(Q359)),ROUND(Q330-Q359,1),"")</f>
        <v>0</v>
      </c>
      <c r="R358" s="20" t="n">
        <f aca="false">IF(AND(ISNUMBER(R330),ISNUMBER(R359)),ROUND(R330-R359,1),"")</f>
        <v>0</v>
      </c>
      <c r="S358" s="20" t="n">
        <f aca="false">IF(AND(ISNUMBER(S330),ISNUMBER(S359)),ROUND(S330-S359,1),"")</f>
        <v>0</v>
      </c>
      <c r="T358" s="20" t="n">
        <f aca="false">IF(AND(ISNUMBER(T330),ISNUMBER(T359)),ROUND(T330-T359,1),"")</f>
        <v>0</v>
      </c>
      <c r="U358" s="20" t="n">
        <f aca="false">IF(AND(ISNUMBER(U330),ISNUMBER(U359)),ROUND(U330-U359,1),"")</f>
        <v>0</v>
      </c>
      <c r="V358" s="20" t="n">
        <f aca="false">IF(AND(ISNUMBER(V330),ISNUMBER(V359)),ROUND(V330-V359,1),"")</f>
        <v>0</v>
      </c>
      <c r="W358" s="20" t="n">
        <f aca="false">IF(AND(ISNUMBER(W330),ISNUMBER(W359)),ROUND(W330-W359,1),"")</f>
        <v>0</v>
      </c>
      <c r="X358" s="20" t="n">
        <f aca="false">IF(AND(ISNUMBER(X330),ISNUMBER(X359)),ROUND(X330-X359,1),"")</f>
        <v>0</v>
      </c>
      <c r="Y358" s="20" t="n">
        <f aca="false">IF(AND(ISNUMBER(Y330),ISNUMBER(Y359)),ROUND(Y330-Y359,1),"")</f>
        <v>0</v>
      </c>
      <c r="Z358" s="20" t="n">
        <f aca="false">IF(AND(ISNUMBER(Z330),ISNUMBER(Z359)),ROUND(Z330-Z359,1),"")</f>
        <v>0</v>
      </c>
      <c r="AA358" s="20" t="n">
        <f aca="false">IF(AND(ISNUMBER(AA330),ISNUMBER(AA359)),ROUND(AA330-AA359,1),"")</f>
        <v>0</v>
      </c>
      <c r="AB358" s="20" t="n">
        <f aca="false">IF(AND(ISNUMBER(AB330),ISNUMBER(AB359)),ROUND(AB330-AB359,1),"")</f>
        <v>0</v>
      </c>
      <c r="AC358" s="20" t="n">
        <f aca="false">IF(AND(ISNUMBER(AC330),ISNUMBER(AC359)),ROUND(AC330-AC359,1),"")</f>
        <v>0</v>
      </c>
      <c r="AD358" s="20" t="n">
        <f aca="false">IF(AND(ISNUMBER(AD330),ISNUMBER(AD359)),ROUND(AD330-AD359,1),"")</f>
        <v>0</v>
      </c>
      <c r="AE358" s="20" t="n">
        <f aca="false">IF(AND(ISNUMBER(AE330),ISNUMBER(AE359)),ROUND(AE330-AE359,1),"")</f>
        <v>0</v>
      </c>
      <c r="AF358" s="20" t="n">
        <f aca="false">IF(AND(ISNUMBER(AF330),ISNUMBER(AF359)),ROUND(AF330-AF359,1),"")</f>
        <v>0</v>
      </c>
      <c r="AG358" s="20" t="n">
        <f aca="false">IF(AND(ISNUMBER(AG330),ISNUMBER(AG359)),ROUND(AG330-AG359,1),"")</f>
        <v>0</v>
      </c>
      <c r="AH358" s="20" t="n">
        <f aca="false">IF(AND(ISNUMBER(AH330),ISNUMBER(AH359)),ROUND(AH330-AH359,1),"")</f>
        <v>0</v>
      </c>
      <c r="AI358" s="20" t="n">
        <f aca="false">IF(AND(ISNUMBER(AI330),ISNUMBER(AI359)),ROUND(AI330-AI359,1),"")</f>
        <v>0</v>
      </c>
      <c r="AJ358" s="20" t="n">
        <f aca="false">IF(AND(ISNUMBER(AJ330),ISNUMBER(AJ359)),ROUND(AJ330-AJ359,1),"")</f>
        <v>0</v>
      </c>
      <c r="AK358" s="20" t="n">
        <f aca="false">IF(AND(ISNUMBER(AK330),ISNUMBER(AK359)),ROUND(AK330-AK359,1),"")</f>
        <v>0</v>
      </c>
      <c r="AL358" s="20" t="n">
        <f aca="false">IF(AND(ISNUMBER(AL330),ISNUMBER(AL359)),ROUND(AL330-AL359,1),"")</f>
        <v>0</v>
      </c>
      <c r="AM358" s="20" t="n">
        <f aca="false">IF(AND(ISNUMBER(AM330),ISNUMBER(AM359)),ROUND(AM330-AM359,1),"")</f>
        <v>0</v>
      </c>
      <c r="AN358" s="20" t="n">
        <f aca="false">IF(AND(ISNUMBER(AN330),ISNUMBER(AN359)),ROUND(AN330-AN359,1),"")</f>
        <v>0</v>
      </c>
      <c r="AO358" s="20" t="n">
        <f aca="false">IF(AND(ISNUMBER(AO330),ISNUMBER(AO359)),ROUND(AO330-AO359,1),"")</f>
        <v>0</v>
      </c>
      <c r="AP358" s="20" t="n">
        <f aca="false">IF(AND(ISNUMBER(AP330),ISNUMBER(AP359)),ROUND(AP330-AP359,1),"")</f>
        <v>0</v>
      </c>
      <c r="AQ358" s="20" t="n">
        <f aca="false">IF(AND(ISNUMBER(AQ330),ISNUMBER(AQ359)),ROUND(AQ330-AQ359,1),"")</f>
        <v>0</v>
      </c>
      <c r="AR358" s="20" t="n">
        <f aca="false">IF(AND(ISNUMBER(AR330),ISNUMBER(AR359)),ROUND(AR330-AR359,1),"")</f>
        <v>0</v>
      </c>
      <c r="AS358" s="20" t="n">
        <f aca="false">IF(AND(ISNUMBER(AS330),ISNUMBER(AS359)),ROUND(AS330-AS359,1),"")</f>
        <v>0</v>
      </c>
      <c r="AT358" s="20" t="n">
        <f aca="false">IF(AND(ISNUMBER(AT330),ISNUMBER(AT359)),ROUND(AT330-AT359,1),"")</f>
        <v>0</v>
      </c>
      <c r="AU358" s="20" t="n">
        <f aca="false">IF(AND(ISNUMBER(AU330),ISNUMBER(AU359)),ROUND(AU330-AU359,1),"")</f>
        <v>0</v>
      </c>
      <c r="AV358" s="20" t="n">
        <f aca="false">IF(AND(ISNUMBER(AV330),ISNUMBER(AV359)),ROUND(AV330-AV359,1),"")</f>
        <v>0</v>
      </c>
      <c r="AW358" s="20" t="n">
        <f aca="false">IF(AND(ISNUMBER(AW330),ISNUMBER(AW359)),ROUND(AW330-AW359,1),"")</f>
        <v>0</v>
      </c>
      <c r="AX358" s="20" t="n">
        <f aca="false">IF(AND(ISNUMBER(AX330),ISNUMBER(AX359)),ROUND(AX330-AX359,1),"")</f>
        <v>0</v>
      </c>
      <c r="AY358" s="20" t="n">
        <f aca="false">IF(AND(ISNUMBER(AY330),ISNUMBER(AY359)),ROUND(AY330-AY359,1),"")</f>
        <v>0</v>
      </c>
      <c r="AZ358" s="20" t="n">
        <f aca="false">IF(AND(ISNUMBER(AZ330),ISNUMBER(AZ359)),ROUND(AZ330-AZ359,1),"")</f>
        <v>0</v>
      </c>
      <c r="BA358" s="20" t="n">
        <f aca="false">IF(AND(ISNUMBER(BA330),ISNUMBER(BA359)),ROUND(BA330-BA359,1),"")</f>
        <v>0</v>
      </c>
      <c r="BB358" s="20" t="n">
        <f aca="false">IF(AND(ISNUMBER(BB330),ISNUMBER(BB359)),ROUND(BB330-BB359,1),"")</f>
        <v>0</v>
      </c>
      <c r="BC358" s="20" t="n">
        <f aca="false">IF(AND(ISNUMBER(BC330),ISNUMBER(BC359)),ROUND(BC330-BC359,1),"")</f>
        <v>0</v>
      </c>
      <c r="BD358" s="20" t="n">
        <f aca="false">IF(AND(ISNUMBER(BD330),ISNUMBER(BD359)),ROUND(BD330-BD359,1),"")</f>
        <v>0</v>
      </c>
      <c r="BE358" s="20" t="n">
        <f aca="false">IF(AND(ISNUMBER(BE330),ISNUMBER(BE359)),ROUND(BE330-BE359,1),"")</f>
        <v>0</v>
      </c>
      <c r="BF358" s="20" t="n">
        <f aca="false">IF(AND(ISNUMBER(BF330),ISNUMBER(BF359)),ROUND(BF330-BF359,1),"")</f>
        <v>0</v>
      </c>
      <c r="BG358" s="20" t="n">
        <f aca="false">IF(AND(ISNUMBER(BG330),ISNUMBER(BG359)),ROUND(BG330-BG359,1),"")</f>
        <v>0</v>
      </c>
      <c r="BH358" s="20" t="n">
        <f aca="false">IF(AND(ISNUMBER(BH330),ISNUMBER(BH359)),ROUND(BH330-BH359,1),"")</f>
        <v>0</v>
      </c>
      <c r="BI358" s="20" t="n">
        <f aca="false">IF(AND(ISNUMBER(BI330),ISNUMBER(BI359)),ROUND(BI330-BI359,1),"")</f>
        <v>0</v>
      </c>
      <c r="BJ358" s="20" t="n">
        <f aca="false">IF(AND(ISNUMBER(BJ330),ISNUMBER(BJ359)),ROUND(BJ330-BJ359,1),"")</f>
        <v>0</v>
      </c>
      <c r="BK358" s="20" t="n">
        <f aca="false">IF(AND(ISNUMBER(BK330),ISNUMBER(BK359)),ROUND(BK330-BK359,1),"")</f>
        <v>0</v>
      </c>
      <c r="BL358" s="20" t="n">
        <f aca="false">IF(AND(ISNUMBER(BL330),ISNUMBER(BL359)),ROUND(BL330-BL359,1),"")</f>
        <v>0</v>
      </c>
      <c r="BM358" s="20" t="n">
        <f aca="false">IF(AND(ISNUMBER(BM330),ISNUMBER(BM359)),ROUND(BM330-BM359,1),"")</f>
        <v>0</v>
      </c>
      <c r="BN358" s="20" t="n">
        <f aca="false">IF(AND(ISNUMBER(BN330),ISNUMBER(BN359)),ROUND(BN330-BN359,1),"")</f>
        <v>0</v>
      </c>
      <c r="BO358" s="36"/>
      <c r="BP358" s="36"/>
      <c r="BQ358" s="36"/>
      <c r="BR358" s="36"/>
      <c r="BS358" s="36"/>
      <c r="BT358" s="36"/>
      <c r="BU358" s="36"/>
      <c r="BV358" s="15"/>
    </row>
    <row r="359" customFormat="false" ht="15" hidden="false" customHeight="false" outlineLevel="0" collapsed="false">
      <c r="B359" s="50" t="s">
        <v>550</v>
      </c>
      <c r="C359" s="19"/>
      <c r="D359" s="19"/>
      <c r="E359" s="19"/>
      <c r="F359" s="19"/>
      <c r="G359" s="19"/>
      <c r="H359" s="24" t="n">
        <v>2856.936</v>
      </c>
      <c r="I359" s="24" t="n">
        <v>2856.936</v>
      </c>
      <c r="J359" s="19"/>
      <c r="K359" s="24" t="n">
        <v>1337.225</v>
      </c>
      <c r="L359" s="24" t="n">
        <v>1410.722</v>
      </c>
      <c r="M359" s="24" t="n">
        <v>1382.139</v>
      </c>
      <c r="N359" s="24" t="n">
        <v>1382.139</v>
      </c>
      <c r="O359" s="24" t="n">
        <v>1365.712</v>
      </c>
      <c r="P359" s="24" t="n">
        <v>1401.343</v>
      </c>
      <c r="Q359" s="24" t="n">
        <v>1365.144</v>
      </c>
      <c r="R359" s="24" t="n">
        <v>1579.815</v>
      </c>
      <c r="S359" s="24" t="n">
        <v>1579.815</v>
      </c>
      <c r="T359" s="24" t="n">
        <v>1617.926</v>
      </c>
      <c r="U359" s="24" t="n">
        <v>1624.738</v>
      </c>
      <c r="V359" s="24" t="n">
        <v>1723.512</v>
      </c>
      <c r="W359" s="24" t="n">
        <v>1712.339</v>
      </c>
      <c r="X359" s="24" t="n">
        <v>1712.339</v>
      </c>
      <c r="Y359" s="24" t="n">
        <v>1539.539</v>
      </c>
      <c r="Z359" s="24" t="n">
        <v>1742.465</v>
      </c>
      <c r="AA359" s="24" t="n">
        <v>1735.704</v>
      </c>
      <c r="AB359" s="24" t="n">
        <v>1655.096</v>
      </c>
      <c r="AC359" s="24" t="n">
        <v>1655.096</v>
      </c>
      <c r="AD359" s="24" t="n">
        <v>1716.786</v>
      </c>
      <c r="AE359" s="24" t="n">
        <v>1756.48</v>
      </c>
      <c r="AF359" s="24" t="n">
        <v>1826.42</v>
      </c>
      <c r="AG359" s="24" t="n">
        <v>1908.913</v>
      </c>
      <c r="AH359" s="24" t="n">
        <v>1908.913</v>
      </c>
      <c r="AI359" s="24" t="n">
        <v>1966.603</v>
      </c>
      <c r="AJ359" s="24" t="n">
        <v>1971.363</v>
      </c>
      <c r="AK359" s="24" t="n">
        <v>2124.314</v>
      </c>
      <c r="AL359" s="24" t="n">
        <v>2293.503</v>
      </c>
      <c r="AM359" s="24" t="n">
        <v>2293.503</v>
      </c>
      <c r="AN359" s="24" t="n">
        <v>2351.914</v>
      </c>
      <c r="AO359" s="24" t="n">
        <v>2566.402</v>
      </c>
      <c r="AP359" s="24" t="n">
        <v>2489.713</v>
      </c>
      <c r="AQ359" s="24" t="n">
        <v>2501.38</v>
      </c>
      <c r="AR359" s="24" t="n">
        <v>2501.38</v>
      </c>
      <c r="AS359" s="24" t="n">
        <v>2569.107</v>
      </c>
      <c r="AT359" s="24" t="n">
        <v>2705.523</v>
      </c>
      <c r="AU359" s="24" t="n">
        <v>2672.058</v>
      </c>
      <c r="AV359" s="24" t="n">
        <v>2618.939</v>
      </c>
      <c r="AW359" s="24" t="n">
        <v>2618.939</v>
      </c>
      <c r="AX359" s="24" t="n">
        <v>2718.908</v>
      </c>
      <c r="AY359" s="24" t="n">
        <v>2740.574</v>
      </c>
      <c r="AZ359" s="24" t="n">
        <v>2776.839</v>
      </c>
      <c r="BA359" s="24" t="n">
        <v>2747.065</v>
      </c>
      <c r="BB359" s="24" t="n">
        <v>2747.065</v>
      </c>
      <c r="BC359" s="24" t="n">
        <v>2788.01</v>
      </c>
      <c r="BD359" s="24" t="n">
        <v>2840.633</v>
      </c>
      <c r="BE359" s="24" t="n">
        <v>2947.46</v>
      </c>
      <c r="BF359" s="24" t="n">
        <v>2869.924</v>
      </c>
      <c r="BG359" s="24" t="n">
        <v>2869.924</v>
      </c>
      <c r="BH359" s="24" t="n">
        <v>3054.008</v>
      </c>
      <c r="BI359" s="24" t="n">
        <v>3699.072</v>
      </c>
      <c r="BJ359" s="24" t="n">
        <v>3781.537</v>
      </c>
      <c r="BK359" s="24" t="n">
        <v>4271.495</v>
      </c>
      <c r="BL359" s="24" t="n">
        <v>4271.495</v>
      </c>
      <c r="BM359" s="24" t="n">
        <v>4324.91</v>
      </c>
      <c r="BN359" s="24" t="n">
        <v>4423.13</v>
      </c>
      <c r="BO359" s="36"/>
      <c r="BP359" s="36"/>
      <c r="BQ359" s="36"/>
      <c r="BR359" s="36"/>
      <c r="BS359" s="36"/>
      <c r="BT359" s="36"/>
      <c r="BU359" s="36"/>
      <c r="BV359" s="15"/>
    </row>
    <row r="360" customFormat="false" ht="15" hidden="false" customHeight="false" outlineLevel="0" collapsed="false">
      <c r="B360" s="50" t="s">
        <v>551</v>
      </c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24" t="n">
        <v>2.635</v>
      </c>
      <c r="X360" s="24" t="n">
        <v>2.635</v>
      </c>
      <c r="Y360" s="24" t="n">
        <v>2.639</v>
      </c>
      <c r="Z360" s="24" t="n">
        <v>2.647</v>
      </c>
      <c r="AA360" s="24" t="n">
        <v>2.638</v>
      </c>
      <c r="AB360" s="24" t="n">
        <v>2.703</v>
      </c>
      <c r="AC360" s="24" t="n">
        <v>2.703</v>
      </c>
      <c r="AD360" s="24" t="n">
        <v>2.722</v>
      </c>
      <c r="AE360" s="24" t="n">
        <v>2.735</v>
      </c>
      <c r="AF360" s="24" t="n">
        <v>2.844</v>
      </c>
      <c r="AG360" s="24" t="n">
        <v>2.804</v>
      </c>
      <c r="AH360" s="24" t="n">
        <v>2.804</v>
      </c>
      <c r="AI360" s="24" t="n">
        <v>2.849</v>
      </c>
      <c r="AJ360" s="24" t="n">
        <v>2.903</v>
      </c>
      <c r="AK360" s="24" t="n">
        <v>2.901</v>
      </c>
      <c r="AL360" s="24" t="n">
        <v>2.618</v>
      </c>
      <c r="AM360" s="24" t="n">
        <v>2.618</v>
      </c>
      <c r="AN360" s="24" t="n">
        <v>2.672</v>
      </c>
      <c r="AO360" s="24" t="n">
        <v>2.682</v>
      </c>
      <c r="AP360" s="24" t="n">
        <v>2.857</v>
      </c>
      <c r="AQ360" s="24" t="n">
        <v>2.988</v>
      </c>
      <c r="AR360" s="24" t="n">
        <v>2.988</v>
      </c>
      <c r="AS360" s="24" t="n">
        <v>2.784</v>
      </c>
      <c r="AT360" s="24" t="n">
        <v>2.783</v>
      </c>
      <c r="AU360" s="24" t="n">
        <v>2.619</v>
      </c>
      <c r="AV360" s="24" t="n">
        <v>2.818</v>
      </c>
      <c r="AW360" s="24" t="n">
        <v>2.818</v>
      </c>
      <c r="AX360" s="24" t="n">
        <v>2.523</v>
      </c>
      <c r="AY360" s="24" t="n">
        <v>2.731</v>
      </c>
      <c r="AZ360" s="24" t="n">
        <v>2.94</v>
      </c>
      <c r="BA360" s="24" t="n">
        <v>2.991</v>
      </c>
      <c r="BB360" s="24" t="n">
        <v>2.991</v>
      </c>
      <c r="BC360" s="24" t="n">
        <v>3.204</v>
      </c>
      <c r="BD360" s="24" t="n">
        <v>3.331</v>
      </c>
      <c r="BE360" s="24" t="n">
        <v>3.48</v>
      </c>
      <c r="BF360" s="24" t="n">
        <v>3.677</v>
      </c>
      <c r="BG360" s="24" t="n">
        <v>3.677</v>
      </c>
      <c r="BH360" s="24" t="n">
        <v>3.708</v>
      </c>
      <c r="BI360" s="24" t="n">
        <v>4.102</v>
      </c>
      <c r="BJ360" s="24" t="n">
        <v>4.303</v>
      </c>
      <c r="BK360" s="24" t="n">
        <v>4.34</v>
      </c>
      <c r="BL360" s="24" t="n">
        <v>4.34</v>
      </c>
      <c r="BM360" s="24" t="n">
        <v>4.767</v>
      </c>
      <c r="BN360" s="24" t="n">
        <v>4.95</v>
      </c>
      <c r="BO360" s="36"/>
      <c r="BP360" s="36"/>
      <c r="BQ360" s="21" t="n">
        <f aca="false">BL360</f>
        <v>4.34</v>
      </c>
      <c r="BR360" s="21" t="n">
        <f aca="false">BQ360</f>
        <v>4.34</v>
      </c>
      <c r="BS360" s="21" t="n">
        <f aca="false">BR360</f>
        <v>4.34</v>
      </c>
      <c r="BT360" s="21" t="n">
        <f aca="false">BS360</f>
        <v>4.34</v>
      </c>
      <c r="BU360" s="21" t="n">
        <f aca="false">BT360</f>
        <v>4.34</v>
      </c>
      <c r="BV360" s="15"/>
    </row>
    <row r="361" customFormat="false" ht="15" hidden="false" customHeight="false" outlineLevel="0" collapsed="false">
      <c r="B361" s="51" t="s">
        <v>552</v>
      </c>
      <c r="C361" s="19"/>
      <c r="D361" s="19"/>
      <c r="E361" s="19"/>
      <c r="F361" s="19"/>
      <c r="G361" s="19"/>
      <c r="H361" s="19"/>
      <c r="I361" s="19"/>
      <c r="J361" s="19"/>
      <c r="K361" s="20" t="n">
        <f aca="false">IF(ISNUMBER(K284),ROUND(K310-K284,1),"")</f>
        <v>0</v>
      </c>
      <c r="L361" s="20" t="n">
        <f aca="false">IF(ISNUMBER(L284),ROUND(L310-L284,1),"")</f>
        <v>0</v>
      </c>
      <c r="M361" s="20" t="n">
        <f aca="false">IF(ISNUMBER(M284),ROUND(M310-M284,1),"")</f>
        <v>0</v>
      </c>
      <c r="N361" s="20" t="n">
        <f aca="false">IF(ISNUMBER(N284),ROUND(N310-N284,1),"")</f>
        <v>0</v>
      </c>
      <c r="O361" s="20" t="n">
        <f aca="false">IF(ISNUMBER(O284),ROUND(O310-O284,1),"")</f>
        <v>0</v>
      </c>
      <c r="P361" s="20" t="n">
        <f aca="false">IF(ISNUMBER(P284),ROUND(P310-P284,1),"")</f>
        <v>0</v>
      </c>
      <c r="Q361" s="20" t="n">
        <f aca="false">IF(ISNUMBER(Q284),ROUND(Q310-Q284,1),"")</f>
        <v>0</v>
      </c>
      <c r="R361" s="20" t="n">
        <f aca="false">IF(ISNUMBER(R284),ROUND(R310-R284,1),"")</f>
        <v>0</v>
      </c>
      <c r="S361" s="20" t="n">
        <f aca="false">IF(ISNUMBER(S284),ROUND(S310-S284,1),"")</f>
        <v>0</v>
      </c>
      <c r="T361" s="20" t="n">
        <f aca="false">IF(ISNUMBER(T284),ROUND(T310-T284,1),"")</f>
        <v>0</v>
      </c>
      <c r="U361" s="20" t="n">
        <f aca="false">IF(ISNUMBER(U284),ROUND(U310-U284,1),"")</f>
        <v>0</v>
      </c>
      <c r="V361" s="20" t="n">
        <f aca="false">IF(ISNUMBER(V284),ROUND(V310-V284,1),"")</f>
        <v>0</v>
      </c>
      <c r="W361" s="20" t="n">
        <f aca="false">IF(ISNUMBER(W284),ROUND(W310-W284,1),"")</f>
        <v>0</v>
      </c>
      <c r="X361" s="20" t="n">
        <f aca="false">IF(ISNUMBER(X284),ROUND(X310-X284,1),"")</f>
        <v>0</v>
      </c>
      <c r="Y361" s="20" t="n">
        <f aca="false">IF(ISNUMBER(Y284),ROUND(Y310+Y311+N(Y360)-Y284,1),"")</f>
        <v>0</v>
      </c>
      <c r="Z361" s="20" t="n">
        <f aca="false">IF(ISNUMBER(Z284),ROUND(Z310+Z311+N(Z360)-Z284,1),"")</f>
        <v>0</v>
      </c>
      <c r="AA361" s="20" t="n">
        <f aca="false">IF(ISNUMBER(AA284),ROUND(AA310+AA311+N(AA360)-AA284,1),"")</f>
        <v>0</v>
      </c>
      <c r="AB361" s="20" t="n">
        <f aca="false">IF(ISNUMBER(AB284),ROUND(AB310+AB311+N(AB360)-AB284,1),"")</f>
        <v>0</v>
      </c>
      <c r="AC361" s="20" t="n">
        <f aca="false">IF(ISNUMBER(AC284),ROUND(AC310+AC311+N(AC360)-AC284,1),"")</f>
        <v>0</v>
      </c>
      <c r="AD361" s="20" t="n">
        <f aca="false">IF(ISNUMBER(AD284),ROUND(AD310+AD311+N(AD360)-AD284,1),"")</f>
        <v>0</v>
      </c>
      <c r="AE361" s="20" t="n">
        <f aca="false">IF(ISNUMBER(AE284),ROUND(AE310+AE311+N(AE360)-AE284,1),"")</f>
        <v>0</v>
      </c>
      <c r="AF361" s="20" t="n">
        <f aca="false">IF(ISNUMBER(AF284),ROUND(AF310+AF311+N(AF360)-AF284,1),"")</f>
        <v>0</v>
      </c>
      <c r="AG361" s="20" t="n">
        <f aca="false">IF(ISNUMBER(AG284),ROUND(AG310+AG311+N(AG360)-AG284,1),"")</f>
        <v>0</v>
      </c>
      <c r="AH361" s="20" t="n">
        <f aca="false">IF(ISNUMBER(AH284),ROUND(AH310+AH311+N(AH360)-AH284,1),"")</f>
        <v>0</v>
      </c>
      <c r="AI361" s="20" t="n">
        <f aca="false">IF(ISNUMBER(AI284),ROUND(AI310+AI311+N(AI360)-AI284,1),"")</f>
        <v>0</v>
      </c>
      <c r="AJ361" s="20" t="n">
        <f aca="false">IF(ISNUMBER(AJ284),ROUND(AJ310+AJ311+N(AJ360)-AJ284,1),"")</f>
        <v>0</v>
      </c>
      <c r="AK361" s="20" t="n">
        <f aca="false">IF(ISNUMBER(AK284),ROUND(AK310+AK311+N(AK360)-AK284,1),"")</f>
        <v>0</v>
      </c>
      <c r="AL361" s="20" t="n">
        <f aca="false">IF(ISNUMBER(AL284),ROUND(AL310+AL311+N(AL360)-AL284,1),"")</f>
        <v>0</v>
      </c>
      <c r="AM361" s="20" t="n">
        <f aca="false">IF(ISNUMBER(AM284),ROUND(AM310+AM311+N(AM360)-AM284,1),"")</f>
        <v>0</v>
      </c>
      <c r="AN361" s="20" t="n">
        <f aca="false">IF(ISNUMBER(AN284),ROUND(AN310+AN311+N(AN360)-AN284,1),"")</f>
        <v>0</v>
      </c>
      <c r="AO361" s="20" t="n">
        <f aca="false">IF(ISNUMBER(AO284),ROUND(AO310+AO311+N(AO360)-AO284,1),"")</f>
        <v>0</v>
      </c>
      <c r="AP361" s="20" t="n">
        <f aca="false">IF(ISNUMBER(AP284),ROUND(AP310+AP311+N(AP360)-AP284,1),"")</f>
        <v>0</v>
      </c>
      <c r="AQ361" s="20" t="n">
        <f aca="false">IF(ISNUMBER(AQ284),ROUND(AQ310+AQ311+N(AQ360)-AQ284,1),"")</f>
        <v>0</v>
      </c>
      <c r="AR361" s="20" t="n">
        <f aca="false">IF(ISNUMBER(AR284),ROUND(AR310+AR311+N(AR360)-AR284,1),"")</f>
        <v>0</v>
      </c>
      <c r="AS361" s="20" t="n">
        <f aca="false">IF(ISNUMBER(AS284),ROUND(AS310+AS311+N(AS360)-AS284,1),"")</f>
        <v>0</v>
      </c>
      <c r="AT361" s="20" t="n">
        <f aca="false">IF(ISNUMBER(AT284),ROUND(AT310+AT311+N(AT360)-AT284,1),"")</f>
        <v>0</v>
      </c>
      <c r="AU361" s="20" t="n">
        <f aca="false">IF(ISNUMBER(AU284),ROUND(AU310+AU311+N(AU360)-AU284,1),"")</f>
        <v>0</v>
      </c>
      <c r="AV361" s="20" t="n">
        <f aca="false">IF(ISNUMBER(AV284),ROUND(AV310+AV311+N(AV360)-AV284,1),"")</f>
        <v>0</v>
      </c>
      <c r="AW361" s="20" t="n">
        <f aca="false">IF(ISNUMBER(AW284),ROUND(AW310+AW311+N(AW360)-AW284,1),"")</f>
        <v>0</v>
      </c>
      <c r="AX361" s="20" t="n">
        <f aca="false">IF(ISNUMBER(AX284),ROUND(AX310+AX311+N(AX360)-AX284,1),"")</f>
        <v>0</v>
      </c>
      <c r="AY361" s="20" t="n">
        <f aca="false">IF(ISNUMBER(AY284),ROUND(AY310+AY311+N(AY360)-AY284,1),"")</f>
        <v>0</v>
      </c>
      <c r="AZ361" s="20" t="n">
        <f aca="false">IF(ISNUMBER(AZ284),ROUND(AZ310+AZ311+N(AZ360)-AZ284,1),"")</f>
        <v>0</v>
      </c>
      <c r="BA361" s="20" t="n">
        <f aca="false">IF(ISNUMBER(BA284),ROUND(BA310+BA311+N(BA360)-BA284,1),"")</f>
        <v>0</v>
      </c>
      <c r="BB361" s="20" t="n">
        <f aca="false">IF(ISNUMBER(BB284),ROUND(BB310+BB311+N(BB360)-BB284,1),"")</f>
        <v>0</v>
      </c>
      <c r="BC361" s="20" t="n">
        <f aca="false">IF(ISNUMBER(BC284),ROUND(BC310+BC311+N(BC360)-BC284,1),"")</f>
        <v>0</v>
      </c>
      <c r="BD361" s="20" t="n">
        <f aca="false">IF(ISNUMBER(BD284),ROUND(BD310+BD311+N(BD360)-BD284,1),"")</f>
        <v>0</v>
      </c>
      <c r="BE361" s="20" t="n">
        <f aca="false">IF(ISNUMBER(BE284),ROUND(BE310+BE311+N(BE360)-BE284,1),"")</f>
        <v>0</v>
      </c>
      <c r="BF361" s="20" t="n">
        <f aca="false">IF(ISNUMBER(BF284),ROUND(BF310+BF311+N(BF360)-BF284,1),"")</f>
        <v>0</v>
      </c>
      <c r="BG361" s="20" t="n">
        <f aca="false">IF(ISNUMBER(BG284),ROUND(BG310+BG311+N(BG360)-BG284,1),"")</f>
        <v>0</v>
      </c>
      <c r="BH361" s="20" t="n">
        <f aca="false">IF(ISNUMBER(BH284),ROUND(BH310+BH311+N(BH360)-BH284,1),"")</f>
        <v>0</v>
      </c>
      <c r="BI361" s="20" t="n">
        <f aca="false">IF(ISNUMBER(BI284),ROUND(BI310+BI311+N(BI360)-BI284,1),"")</f>
        <v>0</v>
      </c>
      <c r="BJ361" s="20" t="n">
        <f aca="false">IF(ISNUMBER(BJ284),ROUND(BJ310+BJ311+N(BJ360)-BJ284,1),"")</f>
        <v>0</v>
      </c>
      <c r="BK361" s="20" t="n">
        <f aca="false">IF(ISNUMBER(BK284),ROUND(BK310+BK311+N(BK360)-BK284,1),"")</f>
        <v>0</v>
      </c>
      <c r="BL361" s="20" t="n">
        <f aca="false">IF(ISNUMBER(BL284),ROUND(BL310+BL311+N(BL360)-BL284,1),"")</f>
        <v>0</v>
      </c>
      <c r="BM361" s="20" t="n">
        <f aca="false">IF(ISNUMBER(BM284),ROUND(BM310+BM311+N(BM360)-BM284,1),"")</f>
        <v>0</v>
      </c>
      <c r="BN361" s="20" t="n">
        <f aca="false">IF(ISNUMBER(BN284),ROUND(BN310+BN311+N(BN360)-BN284,1),"")</f>
        <v>0</v>
      </c>
      <c r="BO361" s="36"/>
      <c r="BP361" s="36"/>
      <c r="BQ361" s="21" t="n">
        <f aca="false">ROUND(BQ310+BQ311+BQ360-BQ284,1)</f>
        <v>0</v>
      </c>
      <c r="BR361" s="21" t="n">
        <f aca="false">ROUND(BR310+BR311+BR360-BR284,1)</f>
        <v>0</v>
      </c>
      <c r="BS361" s="21" t="n">
        <f aca="false">ROUND(BS310+BS311+BS360-BS284,1)</f>
        <v>0</v>
      </c>
      <c r="BT361" s="21" t="n">
        <f aca="false">ROUND(BT310+BT311+BT360-BT284,1)</f>
        <v>0</v>
      </c>
      <c r="BU361" s="21" t="n">
        <f aca="false">ROUND(BU310+BU311+BU360-BU284,1)</f>
        <v>0</v>
      </c>
      <c r="BV361" s="15"/>
    </row>
    <row r="362" customFormat="false" ht="15" hidden="false" customHeight="false" outlineLevel="0" collapsed="false">
      <c r="B362" s="50" t="s">
        <v>553</v>
      </c>
      <c r="C362" s="19"/>
      <c r="D362" s="19"/>
      <c r="E362" s="19"/>
      <c r="F362" s="19"/>
      <c r="G362" s="19"/>
      <c r="H362" s="24" t="n">
        <v>106.6886</v>
      </c>
      <c r="I362" s="24" t="n">
        <v>106.6886</v>
      </c>
      <c r="J362" s="19"/>
      <c r="K362" s="24" t="n">
        <v>107.4404</v>
      </c>
      <c r="L362" s="24" t="n">
        <v>106.8302</v>
      </c>
      <c r="M362" s="24" t="n">
        <v>105.2974</v>
      </c>
      <c r="N362" s="24" t="n">
        <v>105.2974</v>
      </c>
      <c r="O362" s="24" t="n">
        <v>104.1636</v>
      </c>
      <c r="P362" s="24" t="n">
        <v>103.4854</v>
      </c>
      <c r="Q362" s="24" t="n">
        <v>99.2298</v>
      </c>
      <c r="R362" s="24" t="n">
        <v>99.2908</v>
      </c>
      <c r="S362" s="24" t="n">
        <v>99.2908</v>
      </c>
      <c r="T362" s="24" t="n">
        <v>99.02</v>
      </c>
      <c r="U362" s="24" t="n">
        <v>99.283</v>
      </c>
      <c r="V362" s="24" t="n">
        <v>99.3563</v>
      </c>
      <c r="W362" s="24" t="n">
        <v>99.4175</v>
      </c>
      <c r="X362" s="24" t="n">
        <v>99.4175</v>
      </c>
      <c r="Y362" s="24" t="n">
        <v>99.6657</v>
      </c>
      <c r="Z362" s="24" t="n">
        <v>99.6906</v>
      </c>
      <c r="AA362" s="24" t="n">
        <v>98.7261</v>
      </c>
      <c r="AB362" s="24" t="n">
        <v>95.2468</v>
      </c>
      <c r="AC362" s="24" t="n">
        <v>95.2468</v>
      </c>
      <c r="AD362" s="24" t="n">
        <v>95.136</v>
      </c>
      <c r="AE362" s="24" t="n">
        <v>95.1676</v>
      </c>
      <c r="AF362" s="24" t="n">
        <v>95.2501</v>
      </c>
      <c r="AG362" s="24" t="n">
        <v>95.3126</v>
      </c>
      <c r="AH362" s="24" t="n">
        <v>95.3126</v>
      </c>
      <c r="AI362" s="24" t="n">
        <v>95.2286</v>
      </c>
      <c r="AJ362" s="24" t="n">
        <v>95.2894</v>
      </c>
      <c r="AK362" s="24" t="n">
        <v>95.3063</v>
      </c>
      <c r="AL362" s="24" t="n">
        <v>95.3108</v>
      </c>
      <c r="AM362" s="24" t="n">
        <v>95.3108</v>
      </c>
      <c r="AN362" s="24" t="n">
        <v>95.1412</v>
      </c>
      <c r="AO362" s="24" t="n">
        <v>95.1663</v>
      </c>
      <c r="AP362" s="24" t="n">
        <v>92.202</v>
      </c>
      <c r="AQ362" s="24" t="n">
        <v>91.3962</v>
      </c>
      <c r="AR362" s="24" t="n">
        <v>91.3962</v>
      </c>
      <c r="AS362" s="24" t="n">
        <v>91.1873</v>
      </c>
      <c r="AT362" s="24" t="n">
        <v>91.2008</v>
      </c>
      <c r="AU362" s="24" t="n">
        <v>91.2171</v>
      </c>
      <c r="AV362" s="24" t="n">
        <v>91.2543</v>
      </c>
      <c r="AW362" s="24" t="n">
        <v>91.2543</v>
      </c>
      <c r="AX362" s="24" t="n">
        <v>91.4389</v>
      </c>
      <c r="AY362" s="24" t="n">
        <v>91.456</v>
      </c>
      <c r="AZ362" s="24" t="n">
        <v>91.5108</v>
      </c>
      <c r="BA362" s="24" t="n">
        <v>91.5278</v>
      </c>
      <c r="BB362" s="24" t="n">
        <v>91.5278</v>
      </c>
      <c r="BC362" s="24" t="n">
        <v>91.4082</v>
      </c>
      <c r="BD362" s="24" t="n">
        <v>91.4176</v>
      </c>
      <c r="BE362" s="24" t="n">
        <v>91.4402</v>
      </c>
      <c r="BF362" s="24" t="n">
        <v>91.4508</v>
      </c>
      <c r="BG362" s="24" t="n">
        <v>91.4508</v>
      </c>
      <c r="BH362" s="24" t="n">
        <v>91.3605</v>
      </c>
      <c r="BI362" s="24" t="n">
        <v>91.3987</v>
      </c>
      <c r="BJ362" s="24" t="n">
        <v>91.4215</v>
      </c>
      <c r="BK362" s="24" t="n">
        <v>91.4312</v>
      </c>
      <c r="BL362" s="24" t="n">
        <v>91.4312</v>
      </c>
      <c r="BM362" s="24" t="n">
        <v>91.6146</v>
      </c>
      <c r="BN362" s="24" t="n">
        <v>91.6216</v>
      </c>
      <c r="BO362" s="36"/>
      <c r="BP362" s="36"/>
      <c r="BQ362" s="21" t="n">
        <f aca="false">BQ303</f>
        <v>91.7216</v>
      </c>
      <c r="BR362" s="21" t="n">
        <f aca="false">BR303</f>
        <v>90.0336435233556</v>
      </c>
      <c r="BS362" s="21" t="n">
        <f aca="false">BS303</f>
        <v>88.6791271276177</v>
      </c>
      <c r="BT362" s="21" t="n">
        <f aca="false">BT303</f>
        <v>86.9498475305856</v>
      </c>
      <c r="BU362" s="21" t="n">
        <f aca="false">BU303</f>
        <v>85.1792394347241</v>
      </c>
      <c r="BV362" s="15"/>
    </row>
    <row r="363" customFormat="false" ht="15" hidden="false" customHeight="false" outlineLevel="0" collapsed="false">
      <c r="B363" s="13"/>
      <c r="BO363" s="14"/>
      <c r="BP363" s="14"/>
      <c r="BQ363" s="14"/>
      <c r="BR363" s="14"/>
      <c r="BS363" s="14"/>
      <c r="BT363" s="14"/>
      <c r="BU363" s="14"/>
      <c r="BV363" s="15"/>
    </row>
    <row r="364" customFormat="false" ht="15" hidden="false" customHeight="false" outlineLevel="0" collapsed="false">
      <c r="B364" s="9" t="s">
        <v>554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 t="s">
        <v>555</v>
      </c>
    </row>
    <row r="365" customFormat="false" ht="15" hidden="false" customHeight="false" outlineLevel="0" collapsed="false">
      <c r="B365" s="13" t="s">
        <v>556</v>
      </c>
      <c r="C365" s="19"/>
      <c r="D365" s="19"/>
      <c r="E365" s="19"/>
      <c r="F365" s="19"/>
      <c r="G365" s="19"/>
      <c r="H365" s="19"/>
      <c r="I365" s="43" t="n">
        <f aca="false">IF(AND(ISNUMBER(I313),ISNUMBER(I157)),IFERROR(I313/I157,""),"")</f>
        <v>0.113844520580997</v>
      </c>
      <c r="J365" s="19"/>
      <c r="K365" s="19"/>
      <c r="L365" s="19"/>
      <c r="M365" s="19"/>
      <c r="N365" s="43" t="n">
        <f aca="false">IF(AND(ISNUMBER(N313),ISNUMBER(N157)),IFERROR(N313/N157,""),"")</f>
        <v>0.108317102652083</v>
      </c>
      <c r="O365" s="19"/>
      <c r="P365" s="19"/>
      <c r="Q365" s="19"/>
      <c r="R365" s="19"/>
      <c r="S365" s="43" t="n">
        <f aca="false">IF(AND(ISNUMBER(S313),ISNUMBER(S157)),IFERROR(S313/S157,""),"")</f>
        <v>0.0876772651142513</v>
      </c>
      <c r="T365" s="19"/>
      <c r="U365" s="19"/>
      <c r="V365" s="19"/>
      <c r="W365" s="19"/>
      <c r="X365" s="43" t="n">
        <f aca="false">IF(AND(ISNUMBER(X313),ISNUMBER(X157)),IFERROR(X313/X157,""),"")</f>
        <v>0.112112780538212</v>
      </c>
      <c r="Y365" s="19"/>
      <c r="Z365" s="19"/>
      <c r="AA365" s="19"/>
      <c r="AB365" s="19"/>
      <c r="AC365" s="43" t="n">
        <f aca="false">IF(AND(ISNUMBER(AC313),ISNUMBER(AC157)),IFERROR(AC313/AC157,""),"")</f>
        <v>0.0719261021096301</v>
      </c>
      <c r="AD365" s="19"/>
      <c r="AE365" s="19"/>
      <c r="AF365" s="19"/>
      <c r="AG365" s="19"/>
      <c r="AH365" s="43" t="n">
        <f aca="false">IF(AND(ISNUMBER(AH313),ISNUMBER(AH157)),IFERROR(AH313/AH157,""),"")</f>
        <v>0.0299331897916535</v>
      </c>
      <c r="AI365" s="19"/>
      <c r="AJ365" s="19"/>
      <c r="AK365" s="19"/>
      <c r="AL365" s="19"/>
      <c r="AM365" s="43" t="n">
        <f aca="false">IF(AND(ISNUMBER(AM313),ISNUMBER(AM157)),IFERROR(AM313/AM157,""),"")</f>
        <v>0.0722236140438782</v>
      </c>
      <c r="AN365" s="19"/>
      <c r="AO365" s="19"/>
      <c r="AP365" s="19"/>
      <c r="AQ365" s="19"/>
      <c r="AR365" s="43" t="n">
        <f aca="false">IF(AND(ISNUMBER(AR313),ISNUMBER(AR157)),IFERROR(AR313/AR157,""),"")</f>
        <v>0.0332676733484803</v>
      </c>
      <c r="AS365" s="19"/>
      <c r="AT365" s="19"/>
      <c r="AU365" s="19"/>
      <c r="AV365" s="19"/>
      <c r="AW365" s="43" t="n">
        <f aca="false">IF(AND(ISNUMBER(AW313),ISNUMBER(AW157)),IFERROR(AW313/AW157,""),"")</f>
        <v>0.0272219072264217</v>
      </c>
      <c r="AX365" s="19"/>
      <c r="AY365" s="19"/>
      <c r="AZ365" s="19"/>
      <c r="BA365" s="19"/>
      <c r="BB365" s="43" t="n">
        <f aca="false">IF(AND(ISNUMBER(BB313),ISNUMBER(BB157)),IFERROR(BB313/BB157,""),"")</f>
        <v>0.0281135067814121</v>
      </c>
      <c r="BC365" s="19"/>
      <c r="BD365" s="19"/>
      <c r="BE365" s="19"/>
      <c r="BF365" s="19"/>
      <c r="BG365" s="43" t="n">
        <f aca="false">IF(AND(ISNUMBER(BG313),ISNUMBER(BG157)),IFERROR(BG313/BG157,""),"")</f>
        <v>0.036658536928172</v>
      </c>
      <c r="BH365" s="19"/>
      <c r="BI365" s="19"/>
      <c r="BJ365" s="19"/>
      <c r="BK365" s="19"/>
      <c r="BL365" s="43" t="n">
        <f aca="false">IF(AND(ISNUMBER(BL313),ISNUMBER(BL157)),IFERROR(BL313/BL157,""),"")</f>
        <v>0.0689061022221875</v>
      </c>
      <c r="BM365" s="19"/>
      <c r="BN365" s="19"/>
      <c r="BO365" s="36"/>
      <c r="BP365" s="36"/>
      <c r="BQ365" s="48" t="n">
        <v>0.069</v>
      </c>
      <c r="BR365" s="48" t="n">
        <v>0.069</v>
      </c>
      <c r="BS365" s="48" t="n">
        <v>0.069</v>
      </c>
      <c r="BT365" s="48" t="n">
        <v>0.069</v>
      </c>
      <c r="BU365" s="48" t="n">
        <v>0.069</v>
      </c>
      <c r="BV365" s="15" t="s">
        <v>557</v>
      </c>
    </row>
    <row r="366" customFormat="false" ht="15" hidden="false" customHeight="false" outlineLevel="0" collapsed="false">
      <c r="B366" s="13" t="s">
        <v>558</v>
      </c>
      <c r="C366" s="19"/>
      <c r="D366" s="19"/>
      <c r="E366" s="19"/>
      <c r="F366" s="19"/>
      <c r="G366" s="19"/>
      <c r="H366" s="19"/>
      <c r="I366" s="43" t="n">
        <f aca="false">IF(AND(ISNUMBER(I314),ISNUMBER(I157)),IFERROR(I314/I157,""),"")</f>
        <v>0.00420099130710529</v>
      </c>
      <c r="J366" s="19"/>
      <c r="K366" s="19"/>
      <c r="L366" s="19"/>
      <c r="M366" s="19"/>
      <c r="N366" s="43" t="n">
        <f aca="false">IF(AND(ISNUMBER(N314),ISNUMBER(N157)),IFERROR(N314/N157,""),"")</f>
        <v>0.0158555564739401</v>
      </c>
      <c r="O366" s="19"/>
      <c r="P366" s="19"/>
      <c r="Q366" s="19"/>
      <c r="R366" s="19"/>
      <c r="S366" s="43" t="n">
        <f aca="false">IF(AND(ISNUMBER(S314),ISNUMBER(S157)),IFERROR(S314/S157,""),"")</f>
        <v>0.0162655998782386</v>
      </c>
      <c r="T366" s="19"/>
      <c r="U366" s="19"/>
      <c r="V366" s="19"/>
      <c r="W366" s="19"/>
      <c r="X366" s="43" t="n">
        <f aca="false">IF(AND(ISNUMBER(X314),ISNUMBER(X157)),IFERROR(X314/X157,""),"")</f>
        <v>0.0114739373054348</v>
      </c>
      <c r="Y366" s="19"/>
      <c r="Z366" s="19"/>
      <c r="AA366" s="19"/>
      <c r="AB366" s="19"/>
      <c r="AC366" s="43" t="n">
        <f aca="false">IF(AND(ISNUMBER(AC314),ISNUMBER(AC157)),IFERROR(AC314/AC157,""),"")</f>
        <v>0.00743045821158972</v>
      </c>
      <c r="AD366" s="19"/>
      <c r="AE366" s="19"/>
      <c r="AF366" s="19"/>
      <c r="AG366" s="19"/>
      <c r="AH366" s="43" t="n">
        <f aca="false">IF(AND(ISNUMBER(AH314),ISNUMBER(AH157)),IFERROR(AH314/AH157,""),"")</f>
        <v>0.00708525953602263</v>
      </c>
      <c r="AI366" s="19"/>
      <c r="AJ366" s="19"/>
      <c r="AK366" s="19"/>
      <c r="AL366" s="19"/>
      <c r="AM366" s="43" t="n">
        <f aca="false">IF(AND(ISNUMBER(AM314),ISNUMBER(AM157)),IFERROR(AM314/AM157,""),"")</f>
        <v>0.0104727254233074</v>
      </c>
      <c r="AN366" s="19"/>
      <c r="AO366" s="19"/>
      <c r="AP366" s="19"/>
      <c r="AQ366" s="19"/>
      <c r="AR366" s="43" t="n">
        <f aca="false">IF(AND(ISNUMBER(AR314),ISNUMBER(AR157)),IFERROR(AR314/AR157,""),"")</f>
        <v>0.0078391807441737</v>
      </c>
      <c r="AS366" s="19"/>
      <c r="AT366" s="19"/>
      <c r="AU366" s="19"/>
      <c r="AV366" s="19"/>
      <c r="AW366" s="43" t="n">
        <f aca="false">IF(AND(ISNUMBER(AW314),ISNUMBER(AW157)),IFERROR(AW314/AW157,""),"")</f>
        <v>0.0120447825498895</v>
      </c>
      <c r="AX366" s="19"/>
      <c r="AY366" s="19"/>
      <c r="AZ366" s="19"/>
      <c r="BA366" s="19"/>
      <c r="BB366" s="43" t="n">
        <f aca="false">IF(AND(ISNUMBER(BB314),ISNUMBER(BB157)),IFERROR(BB314/BB157,""),"")</f>
        <v>0.00654526342692351</v>
      </c>
      <c r="BC366" s="19"/>
      <c r="BD366" s="19"/>
      <c r="BE366" s="19"/>
      <c r="BF366" s="19"/>
      <c r="BG366" s="43" t="n">
        <f aca="false">IF(AND(ISNUMBER(BG314),ISNUMBER(BG157)),IFERROR(BG314/BG157,""),"")</f>
        <v>0.0196767041936579</v>
      </c>
      <c r="BH366" s="19"/>
      <c r="BI366" s="19"/>
      <c r="BJ366" s="19"/>
      <c r="BK366" s="19"/>
      <c r="BL366" s="43" t="n">
        <f aca="false">IF(AND(ISNUMBER(BL314),ISNUMBER(BL157)),IFERROR(BL314/BL157,""),"")</f>
        <v>0.0212160672831159</v>
      </c>
      <c r="BM366" s="19"/>
      <c r="BN366" s="19"/>
      <c r="BO366" s="36"/>
      <c r="BP366" s="36"/>
      <c r="BQ366" s="48" t="n">
        <v>0.021</v>
      </c>
      <c r="BR366" s="48" t="n">
        <v>0.021</v>
      </c>
      <c r="BS366" s="48" t="n">
        <v>0.021</v>
      </c>
      <c r="BT366" s="48" t="n">
        <v>0.021</v>
      </c>
      <c r="BU366" s="48" t="n">
        <v>0.021</v>
      </c>
      <c r="BV366" s="15"/>
    </row>
    <row r="367" customFormat="false" ht="15" hidden="false" customHeight="false" outlineLevel="0" collapsed="false">
      <c r="B367" s="13" t="s">
        <v>559</v>
      </c>
      <c r="C367" s="19"/>
      <c r="D367" s="19"/>
      <c r="E367" s="19"/>
      <c r="F367" s="19"/>
      <c r="G367" s="19"/>
      <c r="H367" s="19"/>
      <c r="I367" s="43" t="n">
        <f aca="false">IF(AND(ISNUMBER(I315),ISNUMBER(I157)),IFERROR(I315/I157,""),"")</f>
        <v>0</v>
      </c>
      <c r="J367" s="19"/>
      <c r="K367" s="19"/>
      <c r="L367" s="19"/>
      <c r="M367" s="19"/>
      <c r="N367" s="43" t="n">
        <f aca="false">IF(AND(ISNUMBER(N315),ISNUMBER(N157)),IFERROR(N315/N157,""),"")</f>
        <v>0</v>
      </c>
      <c r="O367" s="19"/>
      <c r="P367" s="19"/>
      <c r="Q367" s="19"/>
      <c r="R367" s="19"/>
      <c r="S367" s="43" t="n">
        <f aca="false">IF(AND(ISNUMBER(S315),ISNUMBER(S157)),IFERROR(S315/S157,""),"")</f>
        <v>0</v>
      </c>
      <c r="T367" s="19"/>
      <c r="U367" s="19"/>
      <c r="V367" s="19"/>
      <c r="W367" s="19"/>
      <c r="X367" s="43" t="n">
        <f aca="false">IF(AND(ISNUMBER(X315),ISNUMBER(X157)),IFERROR(X315/X157,""),"")</f>
        <v>0</v>
      </c>
      <c r="Y367" s="19"/>
      <c r="Z367" s="19"/>
      <c r="AA367" s="19"/>
      <c r="AB367" s="19"/>
      <c r="AC367" s="43" t="n">
        <f aca="false">IF(AND(ISNUMBER(AC315),ISNUMBER(AC157)),IFERROR(AC315/AC157,""),"")</f>
        <v>0</v>
      </c>
      <c r="AD367" s="19"/>
      <c r="AE367" s="19"/>
      <c r="AF367" s="19"/>
      <c r="AG367" s="19"/>
      <c r="AH367" s="43" t="n">
        <f aca="false">IF(AND(ISNUMBER(AH315),ISNUMBER(AH157)),IFERROR(AH315/AH157,""),"")</f>
        <v>0.024629008084774</v>
      </c>
      <c r="AI367" s="19"/>
      <c r="AJ367" s="19"/>
      <c r="AK367" s="19"/>
      <c r="AL367" s="19"/>
      <c r="AM367" s="43" t="n">
        <f aca="false">IF(AND(ISNUMBER(AM315),ISNUMBER(AM157)),IFERROR(AM315/AM157,""),"")</f>
        <v>0.0259814383315219</v>
      </c>
      <c r="AN367" s="19"/>
      <c r="AO367" s="19"/>
      <c r="AP367" s="19"/>
      <c r="AQ367" s="19"/>
      <c r="AR367" s="43" t="n">
        <f aca="false">IF(AND(ISNUMBER(AR315),ISNUMBER(AR157)),IFERROR(AR315/AR157,""),"")</f>
        <v>0.0242491551612609</v>
      </c>
      <c r="AS367" s="19"/>
      <c r="AT367" s="19"/>
      <c r="AU367" s="19"/>
      <c r="AV367" s="19"/>
      <c r="AW367" s="43" t="n">
        <f aca="false">IF(AND(ISNUMBER(AW315),ISNUMBER(AW157)),IFERROR(AW315/AW157,""),"")</f>
        <v>0.0217508332460004</v>
      </c>
      <c r="AX367" s="19"/>
      <c r="AY367" s="19"/>
      <c r="AZ367" s="19"/>
      <c r="BA367" s="19"/>
      <c r="BB367" s="43" t="n">
        <f aca="false">IF(AND(ISNUMBER(BB315),ISNUMBER(BB157)),IFERROR(BB315/BB157,""),"")</f>
        <v>0.0221050358749658</v>
      </c>
      <c r="BC367" s="19"/>
      <c r="BD367" s="19"/>
      <c r="BE367" s="19"/>
      <c r="BF367" s="19"/>
      <c r="BG367" s="43" t="n">
        <f aca="false">IF(AND(ISNUMBER(BG315),ISNUMBER(BG157)),IFERROR(BG315/BG157,""),"")</f>
        <v>0.0124524070017835</v>
      </c>
      <c r="BH367" s="19"/>
      <c r="BI367" s="19"/>
      <c r="BJ367" s="19"/>
      <c r="BK367" s="19"/>
      <c r="BL367" s="43" t="n">
        <f aca="false">IF(AND(ISNUMBER(BL315),ISNUMBER(BL157)),IFERROR(BL315/BL157,""),"")</f>
        <v>0.0144793140373778</v>
      </c>
      <c r="BM367" s="19"/>
      <c r="BN367" s="19"/>
      <c r="BO367" s="36"/>
      <c r="BP367" s="36"/>
      <c r="BQ367" s="48" t="n">
        <v>0.015</v>
      </c>
      <c r="BR367" s="48" t="n">
        <v>0.015</v>
      </c>
      <c r="BS367" s="48" t="n">
        <v>0.015</v>
      </c>
      <c r="BT367" s="48" t="n">
        <v>0.015</v>
      </c>
      <c r="BU367" s="48" t="n">
        <v>0.015</v>
      </c>
      <c r="BV367" s="15"/>
    </row>
    <row r="368" customFormat="false" ht="15" hidden="false" customHeight="false" outlineLevel="0" collapsed="false">
      <c r="B368" s="13" t="s">
        <v>560</v>
      </c>
      <c r="C368" s="19"/>
      <c r="D368" s="19"/>
      <c r="E368" s="19"/>
      <c r="F368" s="19"/>
      <c r="G368" s="19"/>
      <c r="H368" s="19"/>
      <c r="I368" s="43" t="n">
        <f aca="false">IF(AND(ISNUMBER(I316),ISNUMBER(I157)),IFERROR(I316/I157,""),"")</f>
        <v>0.20034468258181</v>
      </c>
      <c r="J368" s="19"/>
      <c r="K368" s="19"/>
      <c r="L368" s="19"/>
      <c r="M368" s="19"/>
      <c r="N368" s="43" t="n">
        <f aca="false">IF(AND(ISNUMBER(N316),ISNUMBER(N157)),IFERROR(N316/N157,""),"")</f>
        <v>0.187753129748666</v>
      </c>
      <c r="O368" s="19"/>
      <c r="P368" s="19"/>
      <c r="Q368" s="19"/>
      <c r="R368" s="19"/>
      <c r="S368" s="43" t="n">
        <f aca="false">IF(AND(ISNUMBER(S316),ISNUMBER(S157)),IFERROR(S316/S157,""),"")</f>
        <v>0.230103968016985</v>
      </c>
      <c r="T368" s="19"/>
      <c r="U368" s="19"/>
      <c r="V368" s="19"/>
      <c r="W368" s="19"/>
      <c r="X368" s="43" t="n">
        <f aca="false">IF(AND(ISNUMBER(X316),ISNUMBER(X157)),IFERROR(X316/X157,""),"")</f>
        <v>0.249225886956388</v>
      </c>
      <c r="Y368" s="19"/>
      <c r="Z368" s="19"/>
      <c r="AA368" s="19"/>
      <c r="AB368" s="19"/>
      <c r="AC368" s="43" t="n">
        <f aca="false">IF(AND(ISNUMBER(AC316),ISNUMBER(AC157)),IFERROR(AC316/AC157,""),"")</f>
        <v>0.176929799559862</v>
      </c>
      <c r="AD368" s="19"/>
      <c r="AE368" s="19"/>
      <c r="AF368" s="19"/>
      <c r="AG368" s="19"/>
      <c r="AH368" s="43" t="n">
        <f aca="false">IF(AND(ISNUMBER(AH316),ISNUMBER(AH157)),IFERROR(AH316/AH157,""),"")</f>
        <v>0.19844478922593</v>
      </c>
      <c r="AI368" s="19"/>
      <c r="AJ368" s="19"/>
      <c r="AK368" s="19"/>
      <c r="AL368" s="19"/>
      <c r="AM368" s="43" t="n">
        <f aca="false">IF(AND(ISNUMBER(AM316),ISNUMBER(AM157)),IFERROR(AM316/AM157,""),"")</f>
        <v>0.211524660044944</v>
      </c>
      <c r="AN368" s="19"/>
      <c r="AO368" s="19"/>
      <c r="AP368" s="19"/>
      <c r="AQ368" s="19"/>
      <c r="AR368" s="43" t="n">
        <f aca="false">IF(AND(ISNUMBER(AR316),ISNUMBER(AR157)),IFERROR(AR316/AR157,""),"")</f>
        <v>0.257333313246149</v>
      </c>
      <c r="AS368" s="19"/>
      <c r="AT368" s="19"/>
      <c r="AU368" s="19"/>
      <c r="AV368" s="19"/>
      <c r="AW368" s="43" t="n">
        <f aca="false">IF(AND(ISNUMBER(AW316),ISNUMBER(AW157)),IFERROR(AW316/AW157,""),"")</f>
        <v>0.241112863741774</v>
      </c>
      <c r="AX368" s="19"/>
      <c r="AY368" s="19"/>
      <c r="AZ368" s="19"/>
      <c r="BA368" s="19"/>
      <c r="BB368" s="43" t="n">
        <f aca="false">IF(AND(ISNUMBER(BB316),ISNUMBER(BB157)),IFERROR(BB316/BB157,""),"")</f>
        <v>0.213577325563462</v>
      </c>
      <c r="BC368" s="19"/>
      <c r="BD368" s="19"/>
      <c r="BE368" s="19"/>
      <c r="BF368" s="19"/>
      <c r="BG368" s="43" t="n">
        <f aca="false">IF(AND(ISNUMBER(BG316),ISNUMBER(BG157)),IFERROR(BG316/BG157,""),"")</f>
        <v>0.213690435240604</v>
      </c>
      <c r="BH368" s="19"/>
      <c r="BI368" s="19"/>
      <c r="BJ368" s="19"/>
      <c r="BK368" s="19"/>
      <c r="BL368" s="43" t="n">
        <f aca="false">IF(AND(ISNUMBER(BL316),ISNUMBER(BL157)),IFERROR(BL316/BL157,""),"")</f>
        <v>0.190817355417119</v>
      </c>
      <c r="BM368" s="19"/>
      <c r="BN368" s="19"/>
      <c r="BO368" s="36"/>
      <c r="BP368" s="36"/>
      <c r="BQ368" s="48" t="n">
        <v>0.18</v>
      </c>
      <c r="BR368" s="48" t="n">
        <v>0.19</v>
      </c>
      <c r="BS368" s="48" t="n">
        <v>0.19</v>
      </c>
      <c r="BT368" s="48" t="n">
        <v>0.19</v>
      </c>
      <c r="BU368" s="48" t="n">
        <v>0.19</v>
      </c>
      <c r="BV368" s="15" t="s">
        <v>561</v>
      </c>
    </row>
    <row r="369" customFormat="false" ht="15" hidden="false" customHeight="false" outlineLevel="0" collapsed="false">
      <c r="B369" s="13" t="s">
        <v>562</v>
      </c>
      <c r="C369" s="19"/>
      <c r="D369" s="19"/>
      <c r="E369" s="19"/>
      <c r="F369" s="19"/>
      <c r="G369" s="19"/>
      <c r="H369" s="19"/>
      <c r="I369" s="43" t="n">
        <f aca="false">IF(AND(ISNUMBER(I317),ISNUMBER(I157)),IFERROR(I317/I157,""),"")</f>
        <v>0.00684263861410028</v>
      </c>
      <c r="J369" s="19"/>
      <c r="K369" s="19"/>
      <c r="L369" s="19"/>
      <c r="M369" s="19"/>
      <c r="N369" s="43" t="n">
        <f aca="false">IF(AND(ISNUMBER(N317),ISNUMBER(N157)),IFERROR(N317/N157,""),"")</f>
        <v>0.00516485356357941</v>
      </c>
      <c r="O369" s="19"/>
      <c r="P369" s="19"/>
      <c r="Q369" s="19"/>
      <c r="R369" s="19"/>
      <c r="S369" s="43" t="n">
        <f aca="false">IF(AND(ISNUMBER(S317),ISNUMBER(S157)),IFERROR(S317/S157,""),"")</f>
        <v>0</v>
      </c>
      <c r="T369" s="19"/>
      <c r="U369" s="19"/>
      <c r="V369" s="19"/>
      <c r="W369" s="19"/>
      <c r="X369" s="43" t="n">
        <f aca="false">IF(AND(ISNUMBER(X317),ISNUMBER(X157)),IFERROR(X317/X157,""),"")</f>
        <v>0</v>
      </c>
      <c r="Y369" s="19"/>
      <c r="Z369" s="19"/>
      <c r="AA369" s="19"/>
      <c r="AB369" s="19"/>
      <c r="AC369" s="43" t="n">
        <f aca="false">IF(AND(ISNUMBER(AC317),ISNUMBER(AC157)),IFERROR(AC317/AC157,""),"")</f>
        <v>0</v>
      </c>
      <c r="AD369" s="19"/>
      <c r="AE369" s="19"/>
      <c r="AF369" s="19"/>
      <c r="AG369" s="19"/>
      <c r="AH369" s="43" t="n">
        <f aca="false">IF(AND(ISNUMBER(AH317),ISNUMBER(AH157)),IFERROR(AH317/AH157,""),"")</f>
        <v>0</v>
      </c>
      <c r="AI369" s="19"/>
      <c r="AJ369" s="19"/>
      <c r="AK369" s="19"/>
      <c r="AL369" s="19"/>
      <c r="AM369" s="43" t="n">
        <f aca="false">IF(AND(ISNUMBER(AM317),ISNUMBER(AM157)),IFERROR(AM317/AM157,""),"")</f>
        <v>0</v>
      </c>
      <c r="AN369" s="19"/>
      <c r="AO369" s="19"/>
      <c r="AP369" s="19"/>
      <c r="AQ369" s="19"/>
      <c r="AR369" s="43" t="n">
        <f aca="false">IF(AND(ISNUMBER(AR317),ISNUMBER(AR157)),IFERROR(AR317/AR157,""),"")</f>
        <v>0</v>
      </c>
      <c r="AS369" s="19"/>
      <c r="AT369" s="19"/>
      <c r="AU369" s="19"/>
      <c r="AV369" s="19"/>
      <c r="AW369" s="43" t="n">
        <f aca="false">IF(AND(ISNUMBER(AW317),ISNUMBER(AW157)),IFERROR(AW317/AW157,""),"")</f>
        <v>0</v>
      </c>
      <c r="AX369" s="19"/>
      <c r="AY369" s="19"/>
      <c r="AZ369" s="19"/>
      <c r="BA369" s="19"/>
      <c r="BB369" s="43" t="n">
        <f aca="false">IF(AND(ISNUMBER(BB317),ISNUMBER(BB157)),IFERROR(BB317/BB157,""),"")</f>
        <v>0</v>
      </c>
      <c r="BC369" s="19"/>
      <c r="BD369" s="19"/>
      <c r="BE369" s="19"/>
      <c r="BF369" s="19"/>
      <c r="BG369" s="43" t="n">
        <f aca="false">IF(AND(ISNUMBER(BG317),ISNUMBER(BG157)),IFERROR(BG317/BG157,""),"")</f>
        <v>0</v>
      </c>
      <c r="BH369" s="19"/>
      <c r="BI369" s="19"/>
      <c r="BJ369" s="19"/>
      <c r="BK369" s="19"/>
      <c r="BL369" s="43" t="n">
        <f aca="false">IF(AND(ISNUMBER(BL317),ISNUMBER(BL157)),IFERROR(BL317/BL157,""),"")</f>
        <v>0.0145499738152372</v>
      </c>
      <c r="BM369" s="19"/>
      <c r="BN369" s="19"/>
      <c r="BO369" s="36"/>
      <c r="BP369" s="36"/>
      <c r="BQ369" s="48" t="n">
        <v>0.0145</v>
      </c>
      <c r="BR369" s="48" t="n">
        <v>0.0145</v>
      </c>
      <c r="BS369" s="48" t="n">
        <v>0.0145</v>
      </c>
      <c r="BT369" s="48" t="n">
        <v>0.0145</v>
      </c>
      <c r="BU369" s="48" t="n">
        <v>0.0145</v>
      </c>
      <c r="BV369" s="15"/>
    </row>
    <row r="370" customFormat="false" ht="15" hidden="false" customHeight="false" outlineLevel="0" collapsed="false">
      <c r="B370" s="13" t="s">
        <v>563</v>
      </c>
      <c r="C370" s="19"/>
      <c r="D370" s="19"/>
      <c r="E370" s="19"/>
      <c r="F370" s="19"/>
      <c r="G370" s="19"/>
      <c r="H370" s="19"/>
      <c r="I370" s="43" t="n">
        <f aca="false">IF(AND(ISNUMBER(I334),ISNUMBER(I157)),IFERROR(I334/I157,""),"")</f>
        <v>0.0613431590847988</v>
      </c>
      <c r="J370" s="19"/>
      <c r="K370" s="19"/>
      <c r="L370" s="19"/>
      <c r="M370" s="19"/>
      <c r="N370" s="43" t="n">
        <f aca="false">IF(AND(ISNUMBER(N334),ISNUMBER(N157)),IFERROR(N334/N157,""),"")</f>
        <v>0.0523691143028507</v>
      </c>
      <c r="O370" s="19"/>
      <c r="P370" s="19"/>
      <c r="Q370" s="19"/>
      <c r="R370" s="19"/>
      <c r="S370" s="43" t="n">
        <f aca="false">IF(AND(ISNUMBER(S334),ISNUMBER(S157)),IFERROR(S334/S157,""),"")</f>
        <v>0.0644813240008694</v>
      </c>
      <c r="T370" s="19"/>
      <c r="U370" s="19"/>
      <c r="V370" s="19"/>
      <c r="W370" s="19"/>
      <c r="X370" s="43" t="n">
        <f aca="false">IF(AND(ISNUMBER(X334),ISNUMBER(X157)),IFERROR(X334/X157,""),"")</f>
        <v>0.0553527857996917</v>
      </c>
      <c r="Y370" s="19"/>
      <c r="Z370" s="19"/>
      <c r="AA370" s="19"/>
      <c r="AB370" s="19"/>
      <c r="AC370" s="43" t="n">
        <f aca="false">IF(AND(ISNUMBER(AC334),ISNUMBER(AC157)),IFERROR(AC334/AC157,""),"")</f>
        <v>0.063754487082259</v>
      </c>
      <c r="AD370" s="19"/>
      <c r="AE370" s="19"/>
      <c r="AF370" s="19"/>
      <c r="AG370" s="19"/>
      <c r="AH370" s="43" t="n">
        <f aca="false">IF(AND(ISNUMBER(AH334),ISNUMBER(AH157)),IFERROR(AH334/AH157,""),"")</f>
        <v>0.0900713486585186</v>
      </c>
      <c r="AI370" s="19"/>
      <c r="AJ370" s="19"/>
      <c r="AK370" s="19"/>
      <c r="AL370" s="19"/>
      <c r="AM370" s="43" t="n">
        <f aca="false">IF(AND(ISNUMBER(AM334),ISNUMBER(AM157)),IFERROR(AM334/AM157,""),"")</f>
        <v>0.0868333462050674</v>
      </c>
      <c r="AN370" s="19"/>
      <c r="AO370" s="19"/>
      <c r="AP370" s="19"/>
      <c r="AQ370" s="19"/>
      <c r="AR370" s="43" t="n">
        <f aca="false">IF(AND(ISNUMBER(AR334),ISNUMBER(AR157)),IFERROR(AR334/AR157,""),"")</f>
        <v>0.0893763588274232</v>
      </c>
      <c r="AS370" s="19"/>
      <c r="AT370" s="19"/>
      <c r="AU370" s="19"/>
      <c r="AV370" s="19"/>
      <c r="AW370" s="43" t="n">
        <f aca="false">IF(AND(ISNUMBER(AW334),ISNUMBER(AW157)),IFERROR(AW334/AW157,""),"")</f>
        <v>0.0569285490994852</v>
      </c>
      <c r="AX370" s="19"/>
      <c r="AY370" s="19"/>
      <c r="AZ370" s="19"/>
      <c r="BA370" s="19"/>
      <c r="BB370" s="43" t="n">
        <f aca="false">IF(AND(ISNUMBER(BB334),ISNUMBER(BB157)),IFERROR(BB334/BB157,""),"")</f>
        <v>0.0507353056051955</v>
      </c>
      <c r="BC370" s="19"/>
      <c r="BD370" s="19"/>
      <c r="BE370" s="19"/>
      <c r="BF370" s="19"/>
      <c r="BG370" s="43" t="n">
        <f aca="false">IF(AND(ISNUMBER(BG334),ISNUMBER(BG157)),IFERROR(BG334/BG157,""),"")</f>
        <v>0.0584679104648746</v>
      </c>
      <c r="BH370" s="19"/>
      <c r="BI370" s="19"/>
      <c r="BJ370" s="19"/>
      <c r="BK370" s="19"/>
      <c r="BL370" s="43" t="n">
        <f aca="false">IF(AND(ISNUMBER(BL334),ISNUMBER(BL157)),IFERROR(BL334/BL157,""),"")</f>
        <v>0.0441745546636235</v>
      </c>
      <c r="BM370" s="19"/>
      <c r="BN370" s="19"/>
      <c r="BO370" s="36"/>
      <c r="BP370" s="36"/>
      <c r="BQ370" s="48" t="n">
        <v>0.05</v>
      </c>
      <c r="BR370" s="48" t="n">
        <v>0.05</v>
      </c>
      <c r="BS370" s="48" t="n">
        <v>0.05</v>
      </c>
      <c r="BT370" s="48" t="n">
        <v>0.05</v>
      </c>
      <c r="BU370" s="48" t="n">
        <v>0.05</v>
      </c>
      <c r="BV370" s="15" t="s">
        <v>564</v>
      </c>
    </row>
    <row r="371" customFormat="false" ht="15" hidden="false" customHeight="false" outlineLevel="0" collapsed="false">
      <c r="B371" s="13" t="s">
        <v>565</v>
      </c>
      <c r="C371" s="19"/>
      <c r="D371" s="19"/>
      <c r="E371" s="19"/>
      <c r="F371" s="19"/>
      <c r="G371" s="19"/>
      <c r="H371" s="19"/>
      <c r="I371" s="43" t="n">
        <f aca="false">IF(AND(ISNUMBER(I335),ISNUMBER(I157)),IFERROR(I335/I157,""),"")</f>
        <v>0.0588945340236177</v>
      </c>
      <c r="J371" s="19"/>
      <c r="K371" s="19"/>
      <c r="L371" s="19"/>
      <c r="M371" s="19"/>
      <c r="N371" s="43" t="n">
        <f aca="false">IF(AND(ISNUMBER(N335),ISNUMBER(N157)),IFERROR(N335/N157,""),"")</f>
        <v>0.0477581172833619</v>
      </c>
      <c r="O371" s="19"/>
      <c r="P371" s="19"/>
      <c r="Q371" s="19"/>
      <c r="R371" s="19"/>
      <c r="S371" s="43" t="n">
        <f aca="false">IF(AND(ISNUMBER(S335),ISNUMBER(S157)),IFERROR(S335/S157,""),"")</f>
        <v>0.052750176870099</v>
      </c>
      <c r="T371" s="19"/>
      <c r="U371" s="19"/>
      <c r="V371" s="19"/>
      <c r="W371" s="19"/>
      <c r="X371" s="43" t="n">
        <f aca="false">IF(AND(ISNUMBER(X335),ISNUMBER(X157)),IFERROR(X335/X157,""),"")</f>
        <v>0.0488683670095714</v>
      </c>
      <c r="Y371" s="19"/>
      <c r="Z371" s="19"/>
      <c r="AA371" s="19"/>
      <c r="AB371" s="19"/>
      <c r="AC371" s="43" t="n">
        <f aca="false">IF(AND(ISNUMBER(AC335),ISNUMBER(AC157)),IFERROR(AC335/AC157,""),"")</f>
        <v>0.0429948735727592</v>
      </c>
      <c r="AD371" s="19"/>
      <c r="AE371" s="19"/>
      <c r="AF371" s="19"/>
      <c r="AG371" s="19"/>
      <c r="AH371" s="43" t="n">
        <f aca="false">IF(AND(ISNUMBER(AH335),ISNUMBER(AH157)),IFERROR(AH335/AH157,""),"")</f>
        <v>0.0436113397927089</v>
      </c>
      <c r="AI371" s="19"/>
      <c r="AJ371" s="19"/>
      <c r="AK371" s="19"/>
      <c r="AL371" s="19"/>
      <c r="AM371" s="43" t="n">
        <f aca="false">IF(AND(ISNUMBER(AM335),ISNUMBER(AM157)),IFERROR(AM335/AM157,""),"")</f>
        <v>0.042260100700913</v>
      </c>
      <c r="AN371" s="19"/>
      <c r="AO371" s="19"/>
      <c r="AP371" s="19"/>
      <c r="AQ371" s="19"/>
      <c r="AR371" s="43" t="n">
        <f aca="false">IF(AND(ISNUMBER(AR335),ISNUMBER(AR157)),IFERROR(AR335/AR157,""),"")</f>
        <v>0.033819443202073</v>
      </c>
      <c r="AS371" s="19"/>
      <c r="AT371" s="19"/>
      <c r="AU371" s="19"/>
      <c r="AV371" s="19"/>
      <c r="AW371" s="43" t="n">
        <f aca="false">IF(AND(ISNUMBER(AW335),ISNUMBER(AW157)),IFERROR(AW335/AW157,""),"")</f>
        <v>0.0273549220407787</v>
      </c>
      <c r="AX371" s="19"/>
      <c r="AY371" s="19"/>
      <c r="AZ371" s="19"/>
      <c r="BA371" s="19"/>
      <c r="BB371" s="43" t="n">
        <f aca="false">IF(AND(ISNUMBER(BB335),ISNUMBER(BB157)),IFERROR(BB335/BB157,""),"")</f>
        <v>0.0258557734639422</v>
      </c>
      <c r="BC371" s="19"/>
      <c r="BD371" s="19"/>
      <c r="BE371" s="19"/>
      <c r="BF371" s="19"/>
      <c r="BG371" s="43" t="n">
        <f aca="false">IF(AND(ISNUMBER(BG335),ISNUMBER(BG157)),IFERROR(BG335/BG157,""),"")</f>
        <v>0.0285665251544761</v>
      </c>
      <c r="BH371" s="19"/>
      <c r="BI371" s="19"/>
      <c r="BJ371" s="19"/>
      <c r="BK371" s="19"/>
      <c r="BL371" s="43" t="n">
        <f aca="false">IF(AND(ISNUMBER(BL335),ISNUMBER(BL157)),IFERROR(BL335/BL157,""),"")</f>
        <v>0.0367809156069003</v>
      </c>
      <c r="BM371" s="19"/>
      <c r="BN371" s="19"/>
      <c r="BO371" s="36"/>
      <c r="BP371" s="36"/>
      <c r="BQ371" s="48" t="n">
        <v>0.035</v>
      </c>
      <c r="BR371" s="48" t="n">
        <v>0.035</v>
      </c>
      <c r="BS371" s="48" t="n">
        <v>0.035</v>
      </c>
      <c r="BT371" s="48" t="n">
        <v>0.035</v>
      </c>
      <c r="BU371" s="48" t="n">
        <v>0.035</v>
      </c>
      <c r="BV371" s="15"/>
    </row>
    <row r="372" customFormat="false" ht="15" hidden="false" customHeight="false" outlineLevel="0" collapsed="false">
      <c r="B372" s="13" t="s">
        <v>566</v>
      </c>
      <c r="C372" s="19"/>
      <c r="D372" s="19"/>
      <c r="E372" s="19"/>
      <c r="F372" s="19"/>
      <c r="G372" s="19"/>
      <c r="H372" s="19"/>
      <c r="I372" s="43" t="n">
        <f aca="false">IF(AND(ISNUMBER(I336),ISNUMBER(I157)),IFERROR(I336/I157,""),"")</f>
        <v>0.0413688034688855</v>
      </c>
      <c r="J372" s="19"/>
      <c r="K372" s="19"/>
      <c r="L372" s="19"/>
      <c r="M372" s="19"/>
      <c r="N372" s="43" t="n">
        <f aca="false">IF(AND(ISNUMBER(N336),ISNUMBER(N157)),IFERROR(N336/N157,""),"")</f>
        <v>0.0317527934786218</v>
      </c>
      <c r="O372" s="19"/>
      <c r="P372" s="19"/>
      <c r="Q372" s="19"/>
      <c r="R372" s="19"/>
      <c r="S372" s="43" t="n">
        <f aca="false">IF(AND(ISNUMBER(S336),ISNUMBER(S157)),IFERROR(S336/S157,""),"")</f>
        <v>0.0465021640387134</v>
      </c>
      <c r="T372" s="19"/>
      <c r="U372" s="19"/>
      <c r="V372" s="19"/>
      <c r="W372" s="19"/>
      <c r="X372" s="43" t="n">
        <f aca="false">IF(AND(ISNUMBER(X336),ISNUMBER(X157)),IFERROR(X336/X157,""),"")</f>
        <v>0.0383578493818353</v>
      </c>
      <c r="Y372" s="19"/>
      <c r="Z372" s="19"/>
      <c r="AA372" s="19"/>
      <c r="AB372" s="19"/>
      <c r="AC372" s="43" t="n">
        <f aca="false">IF(AND(ISNUMBER(AC336),ISNUMBER(AC157)),IFERROR(AC336/AC157,""),"")</f>
        <v>0.0345371297896704</v>
      </c>
      <c r="AD372" s="19"/>
      <c r="AE372" s="19"/>
      <c r="AF372" s="19"/>
      <c r="AG372" s="19"/>
      <c r="AH372" s="43" t="n">
        <f aca="false">IF(AND(ISNUMBER(AH336),ISNUMBER(AH157)),IFERROR(AH336/AH157,""),"")</f>
        <v>0.0275541975386824</v>
      </c>
      <c r="AI372" s="19"/>
      <c r="AJ372" s="19"/>
      <c r="AK372" s="19"/>
      <c r="AL372" s="19"/>
      <c r="AM372" s="43" t="n">
        <f aca="false">IF(AND(ISNUMBER(AM336),ISNUMBER(AM157)),IFERROR(AM336/AM157,""),"")</f>
        <v>0.0367447196065393</v>
      </c>
      <c r="AN372" s="19"/>
      <c r="AO372" s="19"/>
      <c r="AP372" s="19"/>
      <c r="AQ372" s="19"/>
      <c r="AR372" s="43" t="n">
        <f aca="false">IF(AND(ISNUMBER(AR336),ISNUMBER(AR157)),IFERROR(AR336/AR157,""),"")</f>
        <v>0.0381333230386512</v>
      </c>
      <c r="AS372" s="19"/>
      <c r="AT372" s="19"/>
      <c r="AU372" s="19"/>
      <c r="AV372" s="19"/>
      <c r="AW372" s="43" t="n">
        <f aca="false">IF(AND(ISNUMBER(AW336),ISNUMBER(AW157)),IFERROR(AW336/AW157,""),"")</f>
        <v>0.0379307194354798</v>
      </c>
      <c r="AX372" s="19"/>
      <c r="AY372" s="19"/>
      <c r="AZ372" s="19"/>
      <c r="BA372" s="19"/>
      <c r="BB372" s="43" t="n">
        <f aca="false">IF(AND(ISNUMBER(BB336),ISNUMBER(BB157)),IFERROR(BB336/BB157,""),"")</f>
        <v>0.0281255245244078</v>
      </c>
      <c r="BC372" s="19"/>
      <c r="BD372" s="19"/>
      <c r="BE372" s="19"/>
      <c r="BF372" s="19"/>
      <c r="BG372" s="43" t="n">
        <f aca="false">IF(AND(ISNUMBER(BG336),ISNUMBER(BG157)),IFERROR(BG336/BG157,""),"")</f>
        <v>0.0240785248408265</v>
      </c>
      <c r="BH372" s="19"/>
      <c r="BI372" s="19"/>
      <c r="BJ372" s="19"/>
      <c r="BK372" s="19"/>
      <c r="BL372" s="43" t="n">
        <f aca="false">IF(AND(ISNUMBER(BL336),ISNUMBER(BL157)),IFERROR(BL336/BL157,""),"")</f>
        <v>0.033704714038941</v>
      </c>
      <c r="BM372" s="19"/>
      <c r="BN372" s="19"/>
      <c r="BO372" s="36"/>
      <c r="BP372" s="36"/>
      <c r="BQ372" s="48" t="n">
        <v>0.032</v>
      </c>
      <c r="BR372" s="48" t="n">
        <v>0.032</v>
      </c>
      <c r="BS372" s="48" t="n">
        <v>0.032</v>
      </c>
      <c r="BT372" s="48" t="n">
        <v>0.032</v>
      </c>
      <c r="BU372" s="48" t="n">
        <v>0.032</v>
      </c>
      <c r="BV372" s="15"/>
    </row>
    <row r="373" customFormat="false" ht="15" hidden="false" customHeight="false" outlineLevel="0" collapsed="false">
      <c r="B373" s="13" t="s">
        <v>567</v>
      </c>
      <c r="C373" s="19"/>
      <c r="D373" s="19"/>
      <c r="E373" s="19"/>
      <c r="F373" s="19"/>
      <c r="G373" s="19"/>
      <c r="H373" s="19"/>
      <c r="I373" s="43" t="n">
        <f aca="false">IF(AND(ISNUMBER(I337),ISNUMBER(I157)),IFERROR(I337/I157,""),"")</f>
        <v>0.0740633250839302</v>
      </c>
      <c r="J373" s="19"/>
      <c r="K373" s="19"/>
      <c r="L373" s="19"/>
      <c r="M373" s="19"/>
      <c r="N373" s="43" t="n">
        <f aca="false">IF(AND(ISNUMBER(N337),ISNUMBER(N157)),IFERROR(N337/N157,""),"")</f>
        <v>0.0978842538725805</v>
      </c>
      <c r="O373" s="19"/>
      <c r="P373" s="19"/>
      <c r="Q373" s="19"/>
      <c r="R373" s="19"/>
      <c r="S373" s="43" t="n">
        <f aca="false">IF(AND(ISNUMBER(S337),ISNUMBER(S157)),IFERROR(S337/S157,""),"")</f>
        <v>0.0948991114897525</v>
      </c>
      <c r="T373" s="19"/>
      <c r="U373" s="19"/>
      <c r="V373" s="19"/>
      <c r="W373" s="19"/>
      <c r="X373" s="43" t="n">
        <f aca="false">IF(AND(ISNUMBER(X337),ISNUMBER(X157)),IFERROR(X337/X157,""),"")</f>
        <v>0.145870982344416</v>
      </c>
      <c r="Y373" s="19"/>
      <c r="Z373" s="19"/>
      <c r="AA373" s="19"/>
      <c r="AB373" s="19"/>
      <c r="AC373" s="43" t="n">
        <f aca="false">IF(AND(ISNUMBER(AC337),ISNUMBER(AC157)),IFERROR(AC337/AC157,""),"")</f>
        <v>0.0547128184015792</v>
      </c>
      <c r="AD373" s="19"/>
      <c r="AE373" s="19"/>
      <c r="AF373" s="19"/>
      <c r="AG373" s="19"/>
      <c r="AH373" s="43" t="n">
        <f aca="false">IF(AND(ISNUMBER(AH337),ISNUMBER(AH157)),IFERROR(AH337/AH157,""),"")</f>
        <v>0.0398037911890739</v>
      </c>
      <c r="AI373" s="19"/>
      <c r="AJ373" s="19"/>
      <c r="AK373" s="19"/>
      <c r="AL373" s="19"/>
      <c r="AM373" s="43" t="n">
        <f aca="false">IF(AND(ISNUMBER(AM337),ISNUMBER(AM157)),IFERROR(AM337/AM157,""),"")</f>
        <v>0.0393597222719301</v>
      </c>
      <c r="AN373" s="19"/>
      <c r="AO373" s="19"/>
      <c r="AP373" s="19"/>
      <c r="AQ373" s="19"/>
      <c r="AR373" s="43" t="n">
        <f aca="false">IF(AND(ISNUMBER(AR337),ISNUMBER(AR157)),IFERROR(AR337/AR157,""),"")</f>
        <v>0.0525494874472358</v>
      </c>
      <c r="AS373" s="19"/>
      <c r="AT373" s="19"/>
      <c r="AU373" s="19"/>
      <c r="AV373" s="19"/>
      <c r="AW373" s="43" t="n">
        <f aca="false">IF(AND(ISNUMBER(AW337),ISNUMBER(AW157)),IFERROR(AW337/AW157,""),"")</f>
        <v>0.0397369441705026</v>
      </c>
      <c r="AX373" s="19"/>
      <c r="AY373" s="19"/>
      <c r="AZ373" s="19"/>
      <c r="BA373" s="19"/>
      <c r="BB373" s="43" t="n">
        <f aca="false">IF(AND(ISNUMBER(BB337),ISNUMBER(BB157)),IFERROR(BB337/BB157,""),"")</f>
        <v>0.0430199146019183</v>
      </c>
      <c r="BC373" s="19"/>
      <c r="BD373" s="19"/>
      <c r="BE373" s="19"/>
      <c r="BF373" s="19"/>
      <c r="BG373" s="43" t="n">
        <f aca="false">IF(AND(ISNUMBER(BG337),ISNUMBER(BG157)),IFERROR(BG337/BG157,""),"")</f>
        <v>0.0596563021747605</v>
      </c>
      <c r="BH373" s="19"/>
      <c r="BI373" s="19"/>
      <c r="BJ373" s="19"/>
      <c r="BK373" s="19"/>
      <c r="BL373" s="43" t="n">
        <f aca="false">IF(AND(ISNUMBER(BL337),ISNUMBER(BL157)),IFERROR(BL337/BL157,""),"")</f>
        <v>0.0954485410788122</v>
      </c>
      <c r="BM373" s="19"/>
      <c r="BN373" s="19"/>
      <c r="BO373" s="36"/>
      <c r="BP373" s="36"/>
      <c r="BQ373" s="48" t="n">
        <v>0.1</v>
      </c>
      <c r="BR373" s="48" t="n">
        <v>0.09</v>
      </c>
      <c r="BS373" s="48" t="n">
        <v>0.09</v>
      </c>
      <c r="BT373" s="48" t="n">
        <v>0.09</v>
      </c>
      <c r="BU373" s="48" t="n">
        <v>0.09</v>
      </c>
      <c r="BV373" s="15" t="s">
        <v>568</v>
      </c>
    </row>
    <row r="374" customFormat="false" ht="15" hidden="false" customHeight="false" outlineLevel="0" collapsed="false">
      <c r="B374" s="30" t="s">
        <v>569</v>
      </c>
      <c r="C374" s="31"/>
      <c r="D374" s="31"/>
      <c r="E374" s="31"/>
      <c r="F374" s="31"/>
      <c r="G374" s="31"/>
      <c r="H374" s="49" t="n">
        <f aca="false">IF(ISNUMBER(H313),H313+H314+H315+H316+H317-H334-H335-H336-H337,"")</f>
        <v>129.921</v>
      </c>
      <c r="I374" s="49" t="n">
        <f aca="false">IF(ISNUMBER(I313),I313+I314+I315+I316+I317-I334-I335-I336-I337,"")</f>
        <v>129.921</v>
      </c>
      <c r="J374" s="31"/>
      <c r="K374" s="49" t="n">
        <f aca="false">IF(ISNUMBER(K313),K313+K314+K315+K316+K317-K334-K335-K336-K337,"")</f>
        <v>171.798</v>
      </c>
      <c r="L374" s="49" t="n">
        <f aca="false">IF(ISNUMBER(L313),L313+L314+L315+L316+L317-L334-L335-L336-L337,"")</f>
        <v>169.003</v>
      </c>
      <c r="M374" s="49" t="n">
        <f aca="false">IF(ISNUMBER(M313),M313+M314+M315+M316+M317-M334-M335-M336-M337,"")</f>
        <v>123.613</v>
      </c>
      <c r="N374" s="49" t="n">
        <f aca="false">IF(ISNUMBER(N313),N313+N314+N315+N316+N317-N334-N335-N336-N337,"")</f>
        <v>123.613</v>
      </c>
      <c r="O374" s="49" t="n">
        <f aca="false">IF(ISNUMBER(O313),O313+O314+O315+O316+O317-O334-O335-O336-O337,"")</f>
        <v>168.891</v>
      </c>
      <c r="P374" s="49" t="n">
        <f aca="false">IF(ISNUMBER(P313),P313+P314+P315+P316+P317-P334-P335-P336-P337,"")</f>
        <v>154.919</v>
      </c>
      <c r="Q374" s="49" t="n">
        <f aca="false">IF(ISNUMBER(Q313),Q313+Q314+Q315+Q316+Q317-Q334-Q335-Q336-Q337,"")</f>
        <v>179.163</v>
      </c>
      <c r="R374" s="49" t="n">
        <f aca="false">IF(ISNUMBER(R313),R313+R314+R315+R316+R317-R334-R335-R336-R337,"")</f>
        <v>116.935</v>
      </c>
      <c r="S374" s="49" t="n">
        <f aca="false">IF(ISNUMBER(S313),S313+S314+S315+S316+S317-S334-S335-S336-S337,"")</f>
        <v>116.935</v>
      </c>
      <c r="T374" s="49" t="n">
        <f aca="false">IF(ISNUMBER(T313),T313+T314+T315+T316+T317-T334-T335-T336-T337,"")</f>
        <v>256.171</v>
      </c>
      <c r="U374" s="49" t="n">
        <f aca="false">IF(ISNUMBER(U313),U313+U314+U315+U316+U317-U334-U335-U336-U337,"")</f>
        <v>203.997</v>
      </c>
      <c r="V374" s="49" t="n">
        <f aca="false">IF(ISNUMBER(V313),V313+V314+V315+V316+V317-V334-V335-V336-V337,"")</f>
        <v>169.249</v>
      </c>
      <c r="W374" s="49" t="n">
        <f aca="false">IF(ISNUMBER(W313),W313+W314+W315+W316+W317-W334-W335-W336-W337,"")</f>
        <v>142.382</v>
      </c>
      <c r="X374" s="49" t="n">
        <f aca="false">IF(ISNUMBER(X313),X313+X314+X315+X316+X317-X334-X335-X336-X337,"")</f>
        <v>142.382</v>
      </c>
      <c r="Y374" s="49" t="n">
        <f aca="false">IF(ISNUMBER(Y313),Y313+Y314+Y315+Y316+Y317-Y334-Y335-Y336-Y337,"")</f>
        <v>233.92</v>
      </c>
      <c r="Z374" s="49" t="n">
        <f aca="false">IF(ISNUMBER(Z313),Z313+Z314+Z315+Z316+Z317-Z334-Z335-Z336-Z337,"")</f>
        <v>251.046</v>
      </c>
      <c r="AA374" s="49" t="n">
        <f aca="false">IF(ISNUMBER(AA313),AA313+AA314+AA315+AA316+AA317-AA334-AA335-AA336-AA337,"")</f>
        <v>234.557</v>
      </c>
      <c r="AB374" s="49" t="n">
        <f aca="false">IF(ISNUMBER(AB313),AB313+AB314+AB315+AB316+AB317-AB334-AB335-AB336-AB337,"")</f>
        <v>108.51</v>
      </c>
      <c r="AC374" s="49" t="n">
        <f aca="false">IF(ISNUMBER(AC313),AC313+AC314+AC315+AC316+AC317-AC334-AC335-AC336-AC337,"")</f>
        <v>108.51</v>
      </c>
      <c r="AD374" s="49" t="n">
        <f aca="false">IF(ISNUMBER(AD313),AD313+AD314+AD315+AD316+AD317-AD334-AD335-AD336-AD337,"")</f>
        <v>200.3</v>
      </c>
      <c r="AE374" s="49" t="n">
        <f aca="false">IF(ISNUMBER(AE313),AE313+AE314+AE315+AE316+AE317-AE334-AE335-AE336-AE337,"")</f>
        <v>213.472</v>
      </c>
      <c r="AF374" s="49" t="n">
        <f aca="false">IF(ISNUMBER(AF313),AF313+AF314+AF315+AF316+AF317-AF334-AF335-AF336-AF337,"")</f>
        <v>251.507</v>
      </c>
      <c r="AG374" s="49" t="n">
        <f aca="false">IF(ISNUMBER(AG313),AG313+AG314+AG315+AG316+AG317-AG334-AG335-AG336-AG337,"")</f>
        <v>111.898</v>
      </c>
      <c r="AH374" s="49" t="n">
        <f aca="false">IF(ISNUMBER(AH313),AH313+AH314+AH315+AH316+AH317-AH334-AH335-AH336-AH337,"")</f>
        <v>111.898</v>
      </c>
      <c r="AI374" s="49" t="n">
        <f aca="false">IF(ISNUMBER(AI313),AI313+AI314+AI315+AI316+AI317-AI334-AI335-AI336-AI337,"")</f>
        <v>241.527</v>
      </c>
      <c r="AJ374" s="49" t="n">
        <f aca="false">IF(ISNUMBER(AJ313),AJ313+AJ314+AJ315+AJ316+AJ317-AJ334-AJ335-AJ336-AJ337,"")</f>
        <v>183.71</v>
      </c>
      <c r="AK374" s="49" t="n">
        <f aca="false">IF(ISNUMBER(AK313),AK313+AK314+AK315+AK316+AK317-AK334-AK335-AK336-AK337,"")</f>
        <v>239.856</v>
      </c>
      <c r="AL374" s="49" t="n">
        <f aca="false">IF(ISNUMBER(AL313),AL313+AL314+AL315+AL316+AL317-AL334-AL335-AL336-AL337,"")</f>
        <v>244.214</v>
      </c>
      <c r="AM374" s="49" t="n">
        <f aca="false">IF(ISNUMBER(AM313),AM313+AM314+AM315+AM316+AM317-AM334-AM335-AM336-AM337,"")</f>
        <v>244.214</v>
      </c>
      <c r="AN374" s="49" t="n">
        <f aca="false">IF(ISNUMBER(AN313),AN313+AN314+AN315+AN316+AN317-AN334-AN335-AN336-AN337,"")</f>
        <v>258.099</v>
      </c>
      <c r="AO374" s="49" t="n">
        <f aca="false">IF(ISNUMBER(AO313),AO313+AO314+AO315+AO316+AO317-AO334-AO335-AO336-AO337,"")</f>
        <v>284.728</v>
      </c>
      <c r="AP374" s="49" t="n">
        <f aca="false">IF(ISNUMBER(AP313),AP313+AP314+AP315+AP316+AP317-AP334-AP335-AP336-AP337,"")</f>
        <v>300.007</v>
      </c>
      <c r="AQ374" s="49" t="n">
        <f aca="false">IF(ISNUMBER(AQ313),AQ313+AQ314+AQ315+AQ316+AQ317-AQ334-AQ335-AQ336-AQ337,"")</f>
        <v>231.122</v>
      </c>
      <c r="AR374" s="49" t="n">
        <f aca="false">IF(ISNUMBER(AR313),AR313+AR314+AR315+AR316+AR317-AR334-AR335-AR336-AR337,"")</f>
        <v>231.122</v>
      </c>
      <c r="AS374" s="49" t="n">
        <f aca="false">IF(ISNUMBER(AS313),AS313+AS314+AS315+AS316+AS317-AS334-AS335-AS336-AS337,"")</f>
        <v>310.427</v>
      </c>
      <c r="AT374" s="49" t="n">
        <f aca="false">IF(ISNUMBER(AT313),AT313+AT314+AT315+AT316+AT317-AT334-AT335-AT336-AT337,"")</f>
        <v>317.988</v>
      </c>
      <c r="AU374" s="49" t="n">
        <f aca="false">IF(ISNUMBER(AU313),AU313+AU314+AU315+AU316+AU317-AU334-AU335-AU336-AU337,"")</f>
        <v>327.308</v>
      </c>
      <c r="AV374" s="49" t="n">
        <f aca="false">IF(ISNUMBER(AV313),AV313+AV314+AV315+AV316+AV317-AV334-AV335-AV336-AV337,"")</f>
        <v>312.997</v>
      </c>
      <c r="AW374" s="49" t="n">
        <f aca="false">IF(ISNUMBER(AW313),AW313+AW314+AW315+AW316+AW317-AW334-AW335-AW336-AW337,"")</f>
        <v>312.997</v>
      </c>
      <c r="AX374" s="49" t="n">
        <f aca="false">IF(ISNUMBER(AX313),AX313+AX314+AX315+AX316+AX317-AX334-AX335-AX336-AX337,"")</f>
        <v>395.763</v>
      </c>
      <c r="AY374" s="49" t="n">
        <f aca="false">IF(ISNUMBER(AY313),AY313+AY314+AY315+AY316+AY317-AY334-AY335-AY336-AY337,"")</f>
        <v>397.753</v>
      </c>
      <c r="AZ374" s="49" t="n">
        <f aca="false">IF(ISNUMBER(AZ313),AZ313+AZ314+AZ315+AZ316+AZ317-AZ334-AZ335-AZ336-AZ337,"")</f>
        <v>413.9</v>
      </c>
      <c r="BA374" s="49" t="n">
        <f aca="false">IF(ISNUMBER(BA313),BA313+BA314+BA315+BA316+BA317-BA334-BA335-BA336-BA337,"")</f>
        <v>306.059</v>
      </c>
      <c r="BB374" s="49" t="n">
        <f aca="false">IF(ISNUMBER(BB313),BB313+BB314+BB315+BB316+BB317-BB334-BB335-BB336-BB337,"")</f>
        <v>306.059</v>
      </c>
      <c r="BC374" s="49" t="n">
        <f aca="false">IF(ISNUMBER(BC313),BC313+BC314+BC315+BC316+BC317-BC334-BC335-BC336-BC337,"")</f>
        <v>350.449</v>
      </c>
      <c r="BD374" s="49" t="n">
        <f aca="false">IF(ISNUMBER(BD313),BD313+BD314+BD315+BD316+BD317-BD334-BD335-BD336-BD337,"")</f>
        <v>384.273</v>
      </c>
      <c r="BE374" s="49" t="n">
        <f aca="false">IF(ISNUMBER(BE313),BE313+BE314+BE315+BE316+BE317-BE334-BE335-BE336-BE337,"")</f>
        <v>433.176</v>
      </c>
      <c r="BF374" s="49" t="n">
        <f aca="false">IF(ISNUMBER(BF313),BF313+BF314+BF315+BF316+BF317-BF334-BF335-BF336-BF337,"")</f>
        <v>302.022</v>
      </c>
      <c r="BG374" s="49" t="n">
        <f aca="false">IF(ISNUMBER(BG313),BG313+BG314+BG315+BG316+BG317-BG334-BG335-BG336-BG337,"")</f>
        <v>302.022</v>
      </c>
      <c r="BH374" s="49" t="n">
        <f aca="false">IF(ISNUMBER(BH313),BH313+BH314+BH315+BH316+BH317-BH334-BH335-BH336-BH337,"")</f>
        <v>395.665</v>
      </c>
      <c r="BI374" s="49" t="n">
        <f aca="false">IF(ISNUMBER(BI313),BI313+BI314+BI315+BI316+BI317-BI334-BI335-BI336-BI337,"")</f>
        <v>327.451</v>
      </c>
      <c r="BJ374" s="49" t="n">
        <f aca="false">IF(ISNUMBER(BJ313),BJ313+BJ314+BJ315+BJ316+BJ317-BJ334-BJ335-BJ336-BJ337,"")</f>
        <v>339.287</v>
      </c>
      <c r="BK374" s="49" t="n">
        <f aca="false">IF(ISNUMBER(BK313),BK313+BK314+BK315+BK316+BK317-BK334-BK335-BK336-BK337,"")</f>
        <v>319.395</v>
      </c>
      <c r="BL374" s="49" t="n">
        <f aca="false">IF(ISNUMBER(BL313),BL313+BL314+BL315+BL316+BL317-BL334-BL335-BL336-BL337,"")</f>
        <v>319.395</v>
      </c>
      <c r="BM374" s="49" t="n">
        <f aca="false">IF(ISNUMBER(BM313),BM313+BM314+BM315+BM316+BM317-BM334-BM335-BM336-BM337,"")</f>
        <v>369.947</v>
      </c>
      <c r="BN374" s="49" t="n">
        <f aca="false">IF(ISNUMBER(BN313),BN313+BN314+BN315+BN316+BN317-BN334-BN335-BN336-BN337,"")</f>
        <v>334.566</v>
      </c>
      <c r="BO374" s="57"/>
      <c r="BP374" s="57"/>
      <c r="BQ374" s="33" t="n">
        <f aca="false">BQ313+BQ314+BQ315+BQ316+BQ317-BQ334-BQ335-BQ336-BQ337</f>
        <v>313.5</v>
      </c>
      <c r="BR374" s="33" t="n">
        <f aca="false">BR313+BR314+BR315+BR316+BR317-BR334-BR335-BR336-BR337</f>
        <v>426.727276017495</v>
      </c>
      <c r="BS374" s="33" t="n">
        <f aca="false">BS313+BS314+BS315+BS316+BS317-BS334-BS335-BS336-BS337</f>
        <v>469.745135827568</v>
      </c>
      <c r="BT374" s="33" t="n">
        <f aca="false">BT313+BT314+BT315+BT316+BT317-BT334-BT335-BT336-BT337</f>
        <v>521.067718734185</v>
      </c>
      <c r="BU374" s="33" t="n">
        <f aca="false">BU313+BU314+BU315+BU316+BU317-BU334-BU335-BU336-BU337</f>
        <v>575.621784931009</v>
      </c>
      <c r="BV374" s="15"/>
    </row>
    <row r="375" customFormat="false" ht="15" hidden="false" customHeight="false" outlineLevel="0" collapsed="false">
      <c r="B375" s="13" t="s">
        <v>570</v>
      </c>
      <c r="C375" s="19"/>
      <c r="D375" s="19"/>
      <c r="E375" s="19"/>
      <c r="F375" s="19"/>
      <c r="G375" s="19"/>
      <c r="H375" s="19"/>
      <c r="I375" s="43" t="n">
        <f aca="false">IF(AND(ISNUMBER(I374),ISNUMBER(I157)),IFERROR(I374/I157,""),"")</f>
        <v>0.0895630114227808</v>
      </c>
      <c r="J375" s="19"/>
      <c r="K375" s="19"/>
      <c r="L375" s="19"/>
      <c r="M375" s="19"/>
      <c r="N375" s="43" t="n">
        <f aca="false">IF(AND(ISNUMBER(N374),ISNUMBER(N157)),IFERROR(N374/N157,""),"")</f>
        <v>0.0873263635008537</v>
      </c>
      <c r="O375" s="19"/>
      <c r="P375" s="19"/>
      <c r="Q375" s="19"/>
      <c r="R375" s="19"/>
      <c r="S375" s="43" t="n">
        <f aca="false">IF(AND(ISNUMBER(S374),ISNUMBER(S157)),IFERROR(S374/S157,""),"")</f>
        <v>0.0754140566100402</v>
      </c>
      <c r="T375" s="19"/>
      <c r="U375" s="19"/>
      <c r="V375" s="19"/>
      <c r="W375" s="19"/>
      <c r="X375" s="43" t="n">
        <f aca="false">IF(AND(ISNUMBER(X374),ISNUMBER(X157)),IFERROR(X374/X157,""),"")</f>
        <v>0.0843626202645197</v>
      </c>
      <c r="Y375" s="19"/>
      <c r="Z375" s="19"/>
      <c r="AA375" s="19"/>
      <c r="AB375" s="19"/>
      <c r="AC375" s="43" t="n">
        <f aca="false">IF(AND(ISNUMBER(AC374),ISNUMBER(AC157)),IFERROR(AC374/AC157,""),"")</f>
        <v>0.0602870510348139</v>
      </c>
      <c r="AD375" s="19"/>
      <c r="AE375" s="19"/>
      <c r="AF375" s="19"/>
      <c r="AG375" s="19"/>
      <c r="AH375" s="43" t="n">
        <f aca="false">IF(AND(ISNUMBER(AH374),ISNUMBER(AH157)),IFERROR(AH374/AH157,""),"")</f>
        <v>0.0590515694593967</v>
      </c>
      <c r="AI375" s="19"/>
      <c r="AJ375" s="19"/>
      <c r="AK375" s="19"/>
      <c r="AL375" s="19"/>
      <c r="AM375" s="43" t="n">
        <f aca="false">IF(AND(ISNUMBER(AM374),ISNUMBER(AM157)),IFERROR(AM374/AM157,""),"")</f>
        <v>0.115004549059202</v>
      </c>
      <c r="AN375" s="19"/>
      <c r="AO375" s="19"/>
      <c r="AP375" s="19"/>
      <c r="AQ375" s="19"/>
      <c r="AR375" s="43" t="n">
        <f aca="false">IF(AND(ISNUMBER(AR374),ISNUMBER(AR157)),IFERROR(AR374/AR157,""),"")</f>
        <v>0.10881070998468</v>
      </c>
      <c r="AS375" s="19"/>
      <c r="AT375" s="19"/>
      <c r="AU375" s="19"/>
      <c r="AV375" s="19"/>
      <c r="AW375" s="43" t="n">
        <f aca="false">IF(AND(ISNUMBER(AW374),ISNUMBER(AW157)),IFERROR(AW374/AW157,""),"")</f>
        <v>0.140179252017839</v>
      </c>
      <c r="AX375" s="19"/>
      <c r="AY375" s="19"/>
      <c r="AZ375" s="19"/>
      <c r="BA375" s="19"/>
      <c r="BB375" s="43" t="n">
        <f aca="false">IF(AND(ISNUMBER(BB374),ISNUMBER(BB157)),IFERROR(BB374/BB157,""),"")</f>
        <v>0.1226046134513</v>
      </c>
      <c r="BC375" s="19"/>
      <c r="BD375" s="19"/>
      <c r="BE375" s="19"/>
      <c r="BF375" s="19"/>
      <c r="BG375" s="43" t="n">
        <f aca="false">IF(AND(ISNUMBER(BG374),ISNUMBER(BG157)),IFERROR(BG374/BG157,""),"")</f>
        <v>0.11170882072928</v>
      </c>
      <c r="BH375" s="19"/>
      <c r="BI375" s="19"/>
      <c r="BJ375" s="19"/>
      <c r="BK375" s="19"/>
      <c r="BL375" s="43" t="n">
        <f aca="false">IF(AND(ISNUMBER(BL374),ISNUMBER(BL157)),IFERROR(BL374/BL157,""),"")</f>
        <v>0.0998600873867607</v>
      </c>
      <c r="BM375" s="19"/>
      <c r="BN375" s="19"/>
      <c r="BO375" s="36"/>
      <c r="BP375" s="36"/>
      <c r="BQ375" s="35" t="n">
        <f aca="false">IF(AND(ISNUMBER(BQ374),ISNUMBER(BQ157)),IFERROR(BQ374/BQ157,""),"")</f>
        <v>0.0825</v>
      </c>
      <c r="BR375" s="35" t="n">
        <f aca="false">IF(AND(ISNUMBER(BR374),ISNUMBER(BR157)),IFERROR(BR374/BR157,""),"")</f>
        <v>0.1025</v>
      </c>
      <c r="BS375" s="35" t="n">
        <f aca="false">IF(AND(ISNUMBER(BS374),ISNUMBER(BS157)),IFERROR(BS374/BS157,""),"")</f>
        <v>0.1025</v>
      </c>
      <c r="BT375" s="35" t="n">
        <f aca="false">IF(AND(ISNUMBER(BT374),ISNUMBER(BT157)),IFERROR(BT374/BT157,""),"")</f>
        <v>0.1025</v>
      </c>
      <c r="BU375" s="35" t="n">
        <f aca="false">IF(AND(ISNUMBER(BU374),ISNUMBER(BU157)),IFERROR(BU374/BU157,""),"")</f>
        <v>0.1025</v>
      </c>
      <c r="BV375" s="15"/>
      <c r="BX375" s="38" t="n">
        <f aca="false">IFERROR(AVERAGE(BQ375,BR375,BS375,BT375,BU375),"n/m")</f>
        <v>0.0985</v>
      </c>
      <c r="BY375" s="38" t="n">
        <f aca="false">IFERROR(AVERAGE(AR375,AW375,BB375,BG375,BL375),"n/m")</f>
        <v>0.116632696713972</v>
      </c>
      <c r="BZ375" s="38" t="n">
        <f aca="false">IFERROR(AVERAGE(S375,X375,AC375,AH375,AM375,AR375,AW375,BB375,BG375,BL375),"n/m")</f>
        <v>0.0977283329997832</v>
      </c>
      <c r="CA375" s="38" t="n">
        <f aca="false">IFERROR(AVERAGE(D375,I375,N375,S375,X375,AC375,AH375,AM375,AR375,AW375,BB375,BG375,BL375),"n/m")</f>
        <v>0.0961810587434555</v>
      </c>
    </row>
    <row r="376" customFormat="false" ht="15" hidden="false" customHeight="false" outlineLevel="0" collapsed="false">
      <c r="B376" s="13" t="s">
        <v>571</v>
      </c>
      <c r="C376" s="34"/>
      <c r="D376" s="34"/>
      <c r="E376" s="34"/>
      <c r="F376" s="34"/>
      <c r="G376" s="34"/>
      <c r="H376" s="34"/>
      <c r="I376" s="75" t="str">
        <f aca="false">IF(AND(ISNUMBER(I374),ISNUMBER(D374)),I374-D374,"")</f>
        <v/>
      </c>
      <c r="J376" s="34"/>
      <c r="K376" s="34"/>
      <c r="L376" s="34"/>
      <c r="M376" s="34"/>
      <c r="N376" s="75" t="n">
        <f aca="false">IF(AND(ISNUMBER(N374),ISNUMBER(I374)),N374-I374,"")</f>
        <v>-6.30800000000005</v>
      </c>
      <c r="O376" s="34"/>
      <c r="P376" s="34"/>
      <c r="Q376" s="34"/>
      <c r="R376" s="34"/>
      <c r="S376" s="75" t="n">
        <f aca="false">IF(AND(ISNUMBER(S374),ISNUMBER(N374)),S374-N374,"")</f>
        <v>-6.67800000000003</v>
      </c>
      <c r="T376" s="34"/>
      <c r="U376" s="34"/>
      <c r="V376" s="34"/>
      <c r="W376" s="34"/>
      <c r="X376" s="75" t="n">
        <f aca="false">IF(AND(ISNUMBER(X374),ISNUMBER(S374)),X374-S374,"")</f>
        <v>25.4470000000001</v>
      </c>
      <c r="Y376" s="34"/>
      <c r="Z376" s="34"/>
      <c r="AA376" s="34"/>
      <c r="AB376" s="34"/>
      <c r="AC376" s="75" t="n">
        <f aca="false">IF(AND(ISNUMBER(AC374),ISNUMBER(X374)),AC374-X374,"")</f>
        <v>-33.8719999999999</v>
      </c>
      <c r="AD376" s="34"/>
      <c r="AE376" s="34"/>
      <c r="AF376" s="34"/>
      <c r="AG376" s="34"/>
      <c r="AH376" s="75" t="n">
        <f aca="false">IF(AND(ISNUMBER(AH374),ISNUMBER(AC374)),AH374-AC374,"")</f>
        <v>3.38799999999993</v>
      </c>
      <c r="AI376" s="34"/>
      <c r="AJ376" s="34"/>
      <c r="AK376" s="34"/>
      <c r="AL376" s="34"/>
      <c r="AM376" s="75" t="n">
        <f aca="false">IF(AND(ISNUMBER(AM374),ISNUMBER(AH374)),AM374-AH374,"")</f>
        <v>132.316</v>
      </c>
      <c r="AN376" s="34"/>
      <c r="AO376" s="34"/>
      <c r="AP376" s="34"/>
      <c r="AQ376" s="34"/>
      <c r="AR376" s="75" t="n">
        <f aca="false">IF(AND(ISNUMBER(AR374),ISNUMBER(AM374)),AR374-AM374,"")</f>
        <v>-13.0919999999998</v>
      </c>
      <c r="AS376" s="34"/>
      <c r="AT376" s="34"/>
      <c r="AU376" s="34"/>
      <c r="AV376" s="34"/>
      <c r="AW376" s="75" t="n">
        <f aca="false">IF(AND(ISNUMBER(AW374),ISNUMBER(AR374)),AW374-AR374,"")</f>
        <v>81.8749999999999</v>
      </c>
      <c r="AX376" s="34"/>
      <c r="AY376" s="34"/>
      <c r="AZ376" s="34"/>
      <c r="BA376" s="34"/>
      <c r="BB376" s="75" t="n">
        <f aca="false">IF(AND(ISNUMBER(BB374),ISNUMBER(AW374)),BB374-AW374,"")</f>
        <v>-6.93799999999993</v>
      </c>
      <c r="BC376" s="34"/>
      <c r="BD376" s="34"/>
      <c r="BE376" s="34"/>
      <c r="BF376" s="34"/>
      <c r="BG376" s="75" t="n">
        <f aca="false">IF(AND(ISNUMBER(BG374),ISNUMBER(BB374)),BG374-BB374,"")</f>
        <v>-4.03700000000015</v>
      </c>
      <c r="BH376" s="34"/>
      <c r="BI376" s="34"/>
      <c r="BJ376" s="34"/>
      <c r="BK376" s="34"/>
      <c r="BL376" s="75" t="n">
        <f aca="false">IF(AND(ISNUMBER(BL374),ISNUMBER(BG374)),BL374-BG374,"")</f>
        <v>17.3730000000001</v>
      </c>
      <c r="BM376" s="34"/>
      <c r="BN376" s="34"/>
      <c r="BO376" s="36"/>
      <c r="BP376" s="36"/>
      <c r="BQ376" s="21" t="n">
        <f aca="false">BQ374-BL374</f>
        <v>-5.89500000000015</v>
      </c>
      <c r="BR376" s="21" t="n">
        <f aca="false">BR374-BQ374</f>
        <v>113.227276017495</v>
      </c>
      <c r="BS376" s="21" t="n">
        <f aca="false">BS374-BR374</f>
        <v>43.0178598100728</v>
      </c>
      <c r="BT376" s="21" t="n">
        <f aca="false">BT374-BS374</f>
        <v>51.3225829066177</v>
      </c>
      <c r="BU376" s="21" t="n">
        <f aca="false">BU374-BT374</f>
        <v>54.5540661968233</v>
      </c>
      <c r="BV376" s="15"/>
    </row>
    <row r="377" customFormat="false" ht="15" hidden="false" customHeight="false" outlineLevel="0" collapsed="false">
      <c r="B377" s="13"/>
      <c r="BO377" s="14"/>
      <c r="BP377" s="14"/>
      <c r="BQ377" s="14"/>
      <c r="BR377" s="14"/>
      <c r="BS377" s="14"/>
      <c r="BT377" s="14"/>
      <c r="BU377" s="14"/>
      <c r="BV377" s="15"/>
    </row>
    <row r="378" customFormat="false" ht="15" hidden="false" customHeight="false" outlineLevel="0" collapsed="false">
      <c r="B378" s="9" t="s">
        <v>572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 t="s">
        <v>573</v>
      </c>
    </row>
    <row r="379" customFormat="false" ht="15" hidden="false" customHeight="false" outlineLevel="0" collapsed="false">
      <c r="B379" s="16" t="s">
        <v>574</v>
      </c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7"/>
    </row>
    <row r="380" customFormat="false" ht="15" hidden="false" customHeight="false" outlineLevel="0" collapsed="false">
      <c r="B380" s="13" t="s">
        <v>575</v>
      </c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36"/>
      <c r="BP380" s="36"/>
      <c r="BQ380" s="21" t="n">
        <f aca="false">BQ149*BQ150</f>
        <v>60</v>
      </c>
      <c r="BR380" s="21" t="n">
        <f aca="false">BR86*BR96</f>
        <v>0</v>
      </c>
      <c r="BS380" s="21" t="n">
        <f aca="false">BS86*BS96</f>
        <v>37.5</v>
      </c>
      <c r="BT380" s="21" t="n">
        <f aca="false">BT86*BT96</f>
        <v>37.5</v>
      </c>
      <c r="BU380" s="21" t="n">
        <f aca="false">BU86*BU96</f>
        <v>37.5</v>
      </c>
      <c r="BV380" s="15"/>
    </row>
    <row r="381" customFormat="false" ht="15" hidden="false" customHeight="false" outlineLevel="0" collapsed="false">
      <c r="B381" s="13" t="s">
        <v>576</v>
      </c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36"/>
      <c r="BP381" s="36"/>
      <c r="BQ381" s="21" t="n">
        <f aca="false">BQ149*BQ151</f>
        <v>90</v>
      </c>
      <c r="BR381" s="21" t="n">
        <f aca="false">BR86*BR97</f>
        <v>0</v>
      </c>
      <c r="BS381" s="21" t="n">
        <f aca="false">BS86*BS97</f>
        <v>52.5</v>
      </c>
      <c r="BT381" s="21" t="n">
        <f aca="false">BT86*BT97</f>
        <v>52.5</v>
      </c>
      <c r="BU381" s="21" t="n">
        <f aca="false">BU86*BU97</f>
        <v>52.5</v>
      </c>
      <c r="BV381" s="15"/>
    </row>
    <row r="382" customFormat="false" ht="15" hidden="false" customHeight="false" outlineLevel="0" collapsed="false">
      <c r="B382" s="13" t="s">
        <v>577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36"/>
      <c r="BP382" s="36"/>
      <c r="BQ382" s="21" t="n">
        <f aca="false">BQ149-BQ380-BQ381</f>
        <v>150</v>
      </c>
      <c r="BR382" s="21" t="n">
        <f aca="false">BR86-BR380-BR381</f>
        <v>0</v>
      </c>
      <c r="BS382" s="21" t="n">
        <f aca="false">BS86-BS380-BS381</f>
        <v>60</v>
      </c>
      <c r="BT382" s="21" t="n">
        <f aca="false">BT86-BT380-BT381</f>
        <v>60</v>
      </c>
      <c r="BU382" s="21" t="n">
        <f aca="false">BU86-BU380-BU381</f>
        <v>60</v>
      </c>
      <c r="BV382" s="15" t="s">
        <v>578</v>
      </c>
    </row>
    <row r="383" customFormat="false" ht="15" hidden="false" customHeight="false" outlineLevel="0" collapsed="false">
      <c r="B383" s="13" t="s">
        <v>579</v>
      </c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36"/>
      <c r="BP383" s="36"/>
      <c r="BQ383" s="39" t="n">
        <v>0</v>
      </c>
      <c r="BR383" s="21" t="n">
        <f aca="false">BR81*0.6</f>
        <v>210</v>
      </c>
      <c r="BS383" s="21" t="n">
        <f aca="false">BS81*0.6</f>
        <v>0</v>
      </c>
      <c r="BT383" s="21" t="n">
        <f aca="false">BT81*0.6</f>
        <v>0</v>
      </c>
      <c r="BU383" s="21" t="n">
        <f aca="false">BU81*0.6</f>
        <v>0</v>
      </c>
      <c r="BV383" s="15" t="s">
        <v>580</v>
      </c>
    </row>
    <row r="384" customFormat="false" ht="15" hidden="false" customHeight="false" outlineLevel="0" collapsed="false">
      <c r="B384" s="13" t="s">
        <v>581</v>
      </c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36"/>
      <c r="BP384" s="36"/>
      <c r="BQ384" s="39" t="n">
        <v>0</v>
      </c>
      <c r="BR384" s="21" t="n">
        <f aca="false">BR81*0.25</f>
        <v>87.5</v>
      </c>
      <c r="BS384" s="21" t="n">
        <f aca="false">BS81*0.25</f>
        <v>0</v>
      </c>
      <c r="BT384" s="21" t="n">
        <f aca="false">BT81*0.25</f>
        <v>0</v>
      </c>
      <c r="BU384" s="21" t="n">
        <f aca="false">BU81*0.25</f>
        <v>0</v>
      </c>
      <c r="BV384" s="15"/>
    </row>
    <row r="385" customFormat="false" ht="15" hidden="false" customHeight="false" outlineLevel="0" collapsed="false">
      <c r="B385" s="13" t="s">
        <v>582</v>
      </c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36"/>
      <c r="BP385" s="36"/>
      <c r="BQ385" s="39" t="n">
        <v>0</v>
      </c>
      <c r="BR385" s="21" t="n">
        <f aca="false">BR81*0.15</f>
        <v>52.5</v>
      </c>
      <c r="BS385" s="21" t="n">
        <f aca="false">BS81*0.15</f>
        <v>0</v>
      </c>
      <c r="BT385" s="21" t="n">
        <f aca="false">BT81*0.15</f>
        <v>0</v>
      </c>
      <c r="BU385" s="21" t="n">
        <f aca="false">BU81*0.15</f>
        <v>0</v>
      </c>
      <c r="BV385" s="15"/>
    </row>
    <row r="386" customFormat="false" ht="15" hidden="false" customHeight="false" outlineLevel="0" collapsed="false">
      <c r="B386" s="16" t="s">
        <v>583</v>
      </c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7"/>
    </row>
    <row r="387" customFormat="false" ht="15" hidden="false" customHeight="false" outlineLevel="0" collapsed="false">
      <c r="B387" s="30" t="s">
        <v>584</v>
      </c>
      <c r="C387" s="31"/>
      <c r="D387" s="31"/>
      <c r="E387" s="31"/>
      <c r="F387" s="31"/>
      <c r="G387" s="31"/>
      <c r="H387" s="49" t="n">
        <f aca="false">IF(ISNUMBER(H342),H332+H342+N(H333),"")</f>
        <v>300</v>
      </c>
      <c r="I387" s="49" t="n">
        <f aca="false">IF(ISNUMBER(I342),I332+I342+N(I333),"")</f>
        <v>300</v>
      </c>
      <c r="J387" s="31"/>
      <c r="K387" s="49" t="n">
        <f aca="false">IF(ISNUMBER(K342),K332+K342+N(K333),"")</f>
        <v>330</v>
      </c>
      <c r="L387" s="49" t="n">
        <f aca="false">IF(ISNUMBER(L342),L332+L342+N(L333),"")</f>
        <v>300</v>
      </c>
      <c r="M387" s="49" t="n">
        <f aca="false">IF(ISNUMBER(M342),M332+M342+N(M333),"")</f>
        <v>300</v>
      </c>
      <c r="N387" s="49" t="n">
        <f aca="false">IF(ISNUMBER(N342),N332+N342+N(N333),"")</f>
        <v>300</v>
      </c>
      <c r="O387" s="49" t="n">
        <f aca="false">IF(ISNUMBER(O342),O332+O342+N(O333),"")</f>
        <v>289.884</v>
      </c>
      <c r="P387" s="49" t="n">
        <f aca="false">IF(ISNUMBER(P342),P332+P342+N(P333),"")</f>
        <v>286.509</v>
      </c>
      <c r="Q387" s="49" t="n">
        <f aca="false">IF(ISNUMBER(Q342),Q332+Q342+N(Q333),"")</f>
        <v>443.836</v>
      </c>
      <c r="R387" s="49" t="n">
        <f aca="false">IF(ISNUMBER(R342),R332+R342+N(R333),"")</f>
        <v>525.094</v>
      </c>
      <c r="S387" s="49" t="n">
        <f aca="false">IF(ISNUMBER(S342),S332+S342+N(S333),"")</f>
        <v>525.094</v>
      </c>
      <c r="T387" s="49" t="n">
        <f aca="false">IF(ISNUMBER(T342),T332+T342+N(T333),"")</f>
        <v>570.455</v>
      </c>
      <c r="U387" s="49" t="n">
        <f aca="false">IF(ISNUMBER(U342),U332+U342+N(U333),"")</f>
        <v>516.931</v>
      </c>
      <c r="V387" s="49" t="n">
        <f aca="false">IF(ISNUMBER(V342),V332+V342+N(V333),"")</f>
        <v>517.082</v>
      </c>
      <c r="W387" s="49" t="n">
        <f aca="false">IF(ISNUMBER(W342),W332+W342+N(W333),"")</f>
        <v>508.929</v>
      </c>
      <c r="X387" s="49" t="n">
        <f aca="false">IF(ISNUMBER(X342),X332+X342+N(X333),"")</f>
        <v>508.929</v>
      </c>
      <c r="Y387" s="49" t="n">
        <f aca="false">IF(ISNUMBER(Y342),Y332+Y342+N(Y333),"")</f>
        <v>499.06</v>
      </c>
      <c r="Z387" s="49" t="n">
        <f aca="false">IF(ISNUMBER(Z342),Z332+Z342+N(Z333),"")</f>
        <v>680.756</v>
      </c>
      <c r="AA387" s="49" t="n">
        <f aca="false">IF(ISNUMBER(AA342),AA332+AA342+N(AA333),"")</f>
        <v>771.237</v>
      </c>
      <c r="AB387" s="49" t="n">
        <f aca="false">IF(ISNUMBER(AB342),AB332+AB342+N(AB333),"")</f>
        <v>767.844</v>
      </c>
      <c r="AC387" s="49" t="n">
        <f aca="false">IF(ISNUMBER(AC342),AC332+AC342+N(AC333),"")</f>
        <v>767.844</v>
      </c>
      <c r="AD387" s="49" t="n">
        <f aca="false">IF(ISNUMBER(AD342),AD332+AD342+N(AD333),"")</f>
        <v>870.388</v>
      </c>
      <c r="AE387" s="49" t="n">
        <f aca="false">IF(ISNUMBER(AE342),AE332+AE342+N(AE333),"")</f>
        <v>870.384</v>
      </c>
      <c r="AF387" s="49" t="n">
        <f aca="false">IF(ISNUMBER(AF342),AF332+AF342+N(AF333),"")</f>
        <v>864.124</v>
      </c>
      <c r="AG387" s="49" t="n">
        <f aca="false">IF(ISNUMBER(AG342),AG332+AG342+N(AG333),"")</f>
        <v>824.153</v>
      </c>
      <c r="AH387" s="49" t="n">
        <f aca="false">IF(ISNUMBER(AH342),AH332+AH342+N(AH333),"")</f>
        <v>824.153</v>
      </c>
      <c r="AI387" s="49" t="n">
        <f aca="false">IF(ISNUMBER(AI342),AI332+AI342+N(AI333),"")</f>
        <v>925.236</v>
      </c>
      <c r="AJ387" s="49" t="n">
        <f aca="false">IF(ISNUMBER(AJ342),AJ332+AJ342+N(AJ333),"")</f>
        <v>826.831</v>
      </c>
      <c r="AK387" s="49" t="n">
        <f aca="false">IF(ISNUMBER(AK342),AK332+AK342+N(AK333),"")</f>
        <v>902.197</v>
      </c>
      <c r="AL387" s="49" t="n">
        <f aca="false">IF(ISNUMBER(AL342),AL332+AL342+N(AL333),"")</f>
        <v>951.425</v>
      </c>
      <c r="AM387" s="49" t="n">
        <f aca="false">IF(ISNUMBER(AM342),AM332+AM342+N(AM333),"")</f>
        <v>951.425</v>
      </c>
      <c r="AN387" s="49" t="n">
        <f aca="false">IF(ISNUMBER(AN342),AN332+AN342+N(AN333),"")</f>
        <v>1018.265</v>
      </c>
      <c r="AO387" s="49" t="n">
        <f aca="false">IF(ISNUMBER(AO342),AO332+AO342+N(AO333),"")</f>
        <v>1184.111</v>
      </c>
      <c r="AP387" s="49" t="n">
        <f aca="false">IF(ISNUMBER(AP342),AP332+AP342+N(AP333),"")</f>
        <v>1253.832</v>
      </c>
      <c r="AQ387" s="49" t="n">
        <f aca="false">IF(ISNUMBER(AQ342),AQ332+AQ342+N(AQ333),"")</f>
        <v>1189.304</v>
      </c>
      <c r="AR387" s="49" t="n">
        <f aca="false">IF(ISNUMBER(AR342),AR332+AR342+N(AR333),"")</f>
        <v>1189.304</v>
      </c>
      <c r="AS387" s="49" t="n">
        <f aca="false">IF(ISNUMBER(AS342),AS332+AS342+N(AS333),"")</f>
        <v>1299.777</v>
      </c>
      <c r="AT387" s="49" t="n">
        <f aca="false">IF(ISNUMBER(AT342),AT332+AT342+N(AT333),"")</f>
        <v>1380.249</v>
      </c>
      <c r="AU387" s="49" t="n">
        <f aca="false">IF(ISNUMBER(AU342),AU332+AU342+N(AU333),"")</f>
        <v>1340.722</v>
      </c>
      <c r="AV387" s="49" t="n">
        <f aca="false">IF(ISNUMBER(AV342),AV332+AV342+N(AV333),"")</f>
        <v>1288.874</v>
      </c>
      <c r="AW387" s="49" t="n">
        <f aca="false">IF(ISNUMBER(AW342),AW332+AW342+N(AW333),"")</f>
        <v>1288.874</v>
      </c>
      <c r="AX387" s="49" t="n">
        <f aca="false">IF(ISNUMBER(AX342),AX332+AX342+N(AX333),"")</f>
        <v>1367.824</v>
      </c>
      <c r="AY387" s="49" t="n">
        <f aca="false">IF(ISNUMBER(AY342),AY332+AY342+N(AY333),"")</f>
        <v>1336.773</v>
      </c>
      <c r="AZ387" s="49" t="n">
        <f aca="false">IF(ISNUMBER(AZ342),AZ332+AZ342+N(AZ333),"")</f>
        <v>1340.723</v>
      </c>
      <c r="BA387" s="49" t="n">
        <f aca="false">IF(ISNUMBER(BA342),BA332+BA342+N(BA333),"")</f>
        <v>1209.672</v>
      </c>
      <c r="BB387" s="49" t="n">
        <f aca="false">IF(ISNUMBER(BB342),BB332+BB342+N(BB333),"")</f>
        <v>1209.672</v>
      </c>
      <c r="BC387" s="49" t="n">
        <f aca="false">IF(ISNUMBER(BC342),BC332+BC342+N(BC333),"")</f>
        <v>1228.622</v>
      </c>
      <c r="BD387" s="49" t="n">
        <f aca="false">IF(ISNUMBER(BD342),BD332+BD342+N(BD333),"")</f>
        <v>1212.571</v>
      </c>
      <c r="BE387" s="49" t="n">
        <f aca="false">IF(ISNUMBER(BE342),BE332+BE342+N(BE333),"")</f>
        <v>1231.521</v>
      </c>
      <c r="BF387" s="49" t="n">
        <f aca="false">IF(ISNUMBER(BF342),BF332+BF342+N(BF333),"")</f>
        <v>1055.47</v>
      </c>
      <c r="BG387" s="49" t="n">
        <f aca="false">IF(ISNUMBER(BG342),BG332+BG342+N(BG333),"")</f>
        <v>1055.47</v>
      </c>
      <c r="BH387" s="49" t="n">
        <f aca="false">IF(ISNUMBER(BH342),BH332+BH342+N(BH333),"")</f>
        <v>1197.856</v>
      </c>
      <c r="BI387" s="49" t="n">
        <f aca="false">IF(ISNUMBER(BI342),BI332+BI342+N(BI333),"")</f>
        <v>1532.228</v>
      </c>
      <c r="BJ387" s="49" t="n">
        <f aca="false">IF(ISNUMBER(BJ342),BJ332+BJ342+N(BJ333),"")</f>
        <v>1509.57</v>
      </c>
      <c r="BK387" s="49" t="n">
        <f aca="false">IF(ISNUMBER(BK342),BK332+BK342+N(BK333),"")</f>
        <v>2015.983</v>
      </c>
      <c r="BL387" s="49" t="n">
        <f aca="false">IF(ISNUMBER(BL342),BL332+BL342+N(BL333),"")</f>
        <v>2015.983</v>
      </c>
      <c r="BM387" s="49" t="n">
        <f aca="false">IF(ISNUMBER(BM342),BM332+BM342+N(BM333),"")</f>
        <v>2017.946</v>
      </c>
      <c r="BN387" s="49" t="n">
        <f aca="false">IF(ISNUMBER(BN342),BN332+BN342+N(BN333),"")</f>
        <v>2019.897</v>
      </c>
      <c r="BO387" s="57"/>
      <c r="BP387" s="57"/>
      <c r="BQ387" s="33" t="n">
        <f aca="false">BQ388+BQ393+BQ390+BQ398+BQ395</f>
        <v>2021.983</v>
      </c>
      <c r="BR387" s="33" t="n">
        <f aca="false">BR388+BR393+BR390+BR398+BR395</f>
        <v>2027.983</v>
      </c>
      <c r="BS387" s="33" t="n">
        <f aca="false">BS388+BS393+BS390+BS398+BS395</f>
        <v>2033.983</v>
      </c>
      <c r="BT387" s="33" t="n">
        <f aca="false">BT388+BT393+BT390+BT398+BT395</f>
        <v>2039.983</v>
      </c>
      <c r="BU387" s="33" t="n">
        <f aca="false">BU388+BU393+BU390+BU398+BU395</f>
        <v>2045.983</v>
      </c>
      <c r="BV387" s="15" t="s">
        <v>585</v>
      </c>
    </row>
    <row r="388" customFormat="false" ht="15" hidden="false" customHeight="false" outlineLevel="0" collapsed="false">
      <c r="B388" s="13" t="s">
        <v>586</v>
      </c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36"/>
      <c r="BP388" s="36"/>
      <c r="BQ388" s="39" t="n">
        <v>800</v>
      </c>
      <c r="BR388" s="21" t="n">
        <f aca="false">BQ388+BR389</f>
        <v>800</v>
      </c>
      <c r="BS388" s="21" t="n">
        <f aca="false">BR388+BS389</f>
        <v>400</v>
      </c>
      <c r="BT388" s="21" t="n">
        <f aca="false">BS388+BT389</f>
        <v>0</v>
      </c>
      <c r="BU388" s="21" t="n">
        <f aca="false">BT388+BU389</f>
        <v>0</v>
      </c>
      <c r="BV388" s="15"/>
    </row>
    <row r="389" customFormat="false" ht="15" hidden="false" customHeight="false" outlineLevel="0" collapsed="false">
      <c r="B389" s="13" t="s">
        <v>587</v>
      </c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36"/>
      <c r="BP389" s="36"/>
      <c r="BQ389" s="36"/>
      <c r="BR389" s="39" t="n">
        <v>0</v>
      </c>
      <c r="BS389" s="39" t="n">
        <v>-400</v>
      </c>
      <c r="BT389" s="39" t="n">
        <v>-400</v>
      </c>
      <c r="BU389" s="39" t="n">
        <v>0</v>
      </c>
      <c r="BV389" s="15" t="s">
        <v>588</v>
      </c>
    </row>
    <row r="390" customFormat="false" ht="15" hidden="false" customHeight="false" outlineLevel="0" collapsed="false">
      <c r="B390" s="13" t="s">
        <v>589</v>
      </c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36"/>
      <c r="BP390" s="36"/>
      <c r="BQ390" s="39" t="n">
        <v>1250</v>
      </c>
      <c r="BR390" s="21" t="n">
        <f aca="false">BQ390+BR391</f>
        <v>1250</v>
      </c>
      <c r="BS390" s="21" t="n">
        <f aca="false">BR390+BS391</f>
        <v>1250</v>
      </c>
      <c r="BT390" s="21" t="n">
        <f aca="false">BS390+BT391</f>
        <v>1250</v>
      </c>
      <c r="BU390" s="21" t="n">
        <f aca="false">BT390+BU391</f>
        <v>0</v>
      </c>
      <c r="BV390" s="15" t="s">
        <v>590</v>
      </c>
    </row>
    <row r="391" customFormat="false" ht="15" hidden="false" customHeight="false" outlineLevel="0" collapsed="false">
      <c r="B391" s="13" t="s">
        <v>591</v>
      </c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36"/>
      <c r="BP391" s="36"/>
      <c r="BQ391" s="36"/>
      <c r="BR391" s="39" t="n">
        <v>0</v>
      </c>
      <c r="BS391" s="39" t="n">
        <v>0</v>
      </c>
      <c r="BT391" s="39" t="n">
        <v>0</v>
      </c>
      <c r="BU391" s="39" t="n">
        <v>-1250</v>
      </c>
      <c r="BV391" s="15" t="s">
        <v>592</v>
      </c>
    </row>
    <row r="392" customFormat="false" ht="15" hidden="false" customHeight="false" outlineLevel="0" collapsed="false">
      <c r="B392" s="13" t="s">
        <v>593</v>
      </c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36"/>
      <c r="BP392" s="36"/>
      <c r="BQ392" s="36"/>
      <c r="BR392" s="48" t="n">
        <v>1</v>
      </c>
      <c r="BS392" s="48" t="n">
        <v>1</v>
      </c>
      <c r="BT392" s="48" t="n">
        <v>1</v>
      </c>
      <c r="BU392" s="48" t="n">
        <v>1</v>
      </c>
      <c r="BV392" s="15"/>
    </row>
    <row r="393" customFormat="false" ht="15" hidden="false" customHeight="false" outlineLevel="0" collapsed="false">
      <c r="B393" s="13" t="s">
        <v>594</v>
      </c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36"/>
      <c r="BP393" s="36"/>
      <c r="BQ393" s="39" t="n">
        <v>0</v>
      </c>
      <c r="BR393" s="21" t="n">
        <f aca="false">BQ393-(BR389+BR391)*BR392</f>
        <v>0</v>
      </c>
      <c r="BS393" s="21" t="n">
        <f aca="false">BR393-(BS389+BS391)*BS392</f>
        <v>400</v>
      </c>
      <c r="BT393" s="21" t="n">
        <f aca="false">BS393-(BT389+BT391)*BT392</f>
        <v>800</v>
      </c>
      <c r="BU393" s="21" t="n">
        <f aca="false">BT393-(BU389+BU391)*BU392</f>
        <v>2050</v>
      </c>
      <c r="BV393" s="15"/>
    </row>
    <row r="394" customFormat="false" ht="15" hidden="false" customHeight="false" outlineLevel="0" collapsed="false">
      <c r="B394" s="13" t="s">
        <v>595</v>
      </c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36"/>
      <c r="BP394" s="36"/>
      <c r="BQ394" s="39" t="n">
        <v>6</v>
      </c>
      <c r="BR394" s="39" t="n">
        <v>6</v>
      </c>
      <c r="BS394" s="39" t="n">
        <v>6</v>
      </c>
      <c r="BT394" s="39" t="n">
        <v>6</v>
      </c>
      <c r="BU394" s="39" t="n">
        <v>6</v>
      </c>
      <c r="BV394" s="15" t="s">
        <v>596</v>
      </c>
    </row>
    <row r="395" customFormat="false" ht="15" hidden="false" customHeight="false" outlineLevel="0" collapsed="false">
      <c r="B395" s="13" t="s">
        <v>597</v>
      </c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36"/>
      <c r="BP395" s="36"/>
      <c r="BQ395" s="21" t="n">
        <f aca="false">BL342+BL332-2050+BQ394</f>
        <v>-28.0170000000001</v>
      </c>
      <c r="BR395" s="21" t="n">
        <f aca="false">MIN(0,BQ395+BR394)</f>
        <v>-22.0170000000001</v>
      </c>
      <c r="BS395" s="21" t="n">
        <f aca="false">MIN(0,BR395+BS394)</f>
        <v>-16.0170000000001</v>
      </c>
      <c r="BT395" s="21" t="n">
        <f aca="false">MIN(0,BS395+BT394)</f>
        <v>-10.0170000000001</v>
      </c>
      <c r="BU395" s="21" t="n">
        <f aca="false">MIN(0,BT395+BU394)</f>
        <v>-4.01700000000005</v>
      </c>
      <c r="BV395" s="15"/>
    </row>
    <row r="396" customFormat="false" ht="15" hidden="false" customHeight="false" outlineLevel="0" collapsed="false">
      <c r="B396" s="13" t="s">
        <v>598</v>
      </c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36"/>
      <c r="BP396" s="36"/>
      <c r="BQ396" s="39" t="n">
        <v>150</v>
      </c>
      <c r="BR396" s="39" t="n">
        <v>150</v>
      </c>
      <c r="BS396" s="39" t="n">
        <v>150</v>
      </c>
      <c r="BT396" s="39" t="n">
        <v>150</v>
      </c>
      <c r="BU396" s="39" t="n">
        <v>150</v>
      </c>
      <c r="BV396" s="15"/>
    </row>
    <row r="397" customFormat="false" ht="15" hidden="false" customHeight="false" outlineLevel="0" collapsed="false">
      <c r="B397" s="13" t="s">
        <v>599</v>
      </c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36"/>
      <c r="BP397" s="36"/>
      <c r="BQ397" s="21" t="n">
        <f aca="false">BL284-BL398+BQ268+BQ273+BQ276+BQ277+BQ278+BQ279+BQ281+(BQ388+BQ393+BQ390)-2050</f>
        <v>455.98809102487</v>
      </c>
      <c r="BR397" s="21" t="n">
        <f aca="false">BQ284-BQ398+BR268+BR273+BR276+BR277+BR278+BR279+BR281+(BR388+BR393+BR390)-(BQ388+BQ393+BQ390)</f>
        <v>896.474069030473</v>
      </c>
      <c r="BS397" s="21" t="n">
        <f aca="false">BR284-BR398+BS268+BS273+BS276+BS277+BS278+BS279+BS281+(BS388+BS393+BS390)-(BR388+BR393+BR390)</f>
        <v>761.649884675562</v>
      </c>
      <c r="BT397" s="21" t="n">
        <f aca="false">BS284-BS398+BT268+BT273+BT276+BT277+BT278+BT279+BT281+(BT388+BT393+BT390)-(BS388+BS393+BS390)</f>
        <v>603.866856109842</v>
      </c>
      <c r="BU397" s="21" t="n">
        <f aca="false">BT284-BT398+BU268+BU273+BU276+BU277+BU278+BU279+BU281+(BU388+BU393+BU390)-(BT388+BT393+BT390)</f>
        <v>451.607107972655</v>
      </c>
      <c r="BV397" s="15"/>
    </row>
    <row r="398" customFormat="false" ht="15" hidden="false" customHeight="false" outlineLevel="0" collapsed="false">
      <c r="B398" s="13" t="s">
        <v>600</v>
      </c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24" t="n">
        <v>0</v>
      </c>
      <c r="BM398" s="19"/>
      <c r="BN398" s="19"/>
      <c r="BO398" s="36"/>
      <c r="BP398" s="36"/>
      <c r="BQ398" s="21" t="n">
        <f aca="false">MAX(0,BQ396-BQ397)</f>
        <v>0</v>
      </c>
      <c r="BR398" s="21" t="n">
        <f aca="false">MAX(0,BR396-BR397)</f>
        <v>0</v>
      </c>
      <c r="BS398" s="21" t="n">
        <f aca="false">MAX(0,BS396-BS397)</f>
        <v>0</v>
      </c>
      <c r="BT398" s="21" t="n">
        <f aca="false">MAX(0,BT396-BT397)</f>
        <v>0</v>
      </c>
      <c r="BU398" s="21" t="n">
        <f aca="false">MAX(0,BU396-BU397)</f>
        <v>0</v>
      </c>
      <c r="BV398" s="15" t="s">
        <v>601</v>
      </c>
    </row>
    <row r="399" customFormat="false" ht="15" hidden="false" customHeight="false" outlineLevel="0" collapsed="false">
      <c r="B399" s="13" t="s">
        <v>602</v>
      </c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36"/>
      <c r="BP399" s="36"/>
      <c r="BQ399" s="21" t="n">
        <f aca="false">(BQ388+BQ393+BQ390)-2050+BQ398-BL398</f>
        <v>0</v>
      </c>
      <c r="BR399" s="21" t="n">
        <f aca="false">(BR388+BR393+BR390+BR398)-(BQ388+BQ393+BQ390+BQ398)</f>
        <v>0</v>
      </c>
      <c r="BS399" s="21" t="n">
        <f aca="false">(BS388+BS393+BS390+BS398)-(BR388+BR393+BR390+BR398)</f>
        <v>0</v>
      </c>
      <c r="BT399" s="21" t="n">
        <f aca="false">(BT388+BT393+BT390+BT398)-(BS388+BS393+BS390+BS398)</f>
        <v>0</v>
      </c>
      <c r="BU399" s="21" t="n">
        <f aca="false">(BU388+BU393+BU390+BU398)-(BT388+BT393+BT390+BT398)</f>
        <v>0</v>
      </c>
      <c r="BV399" s="15"/>
    </row>
    <row r="400" customFormat="false" ht="15" hidden="false" customHeight="false" outlineLevel="0" collapsed="false">
      <c r="B400" s="13" t="s">
        <v>603</v>
      </c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36"/>
      <c r="BP400" s="36"/>
      <c r="BQ400" s="39" t="n">
        <v>0</v>
      </c>
      <c r="BR400" s="21" t="n">
        <f aca="false">-(BS389+BS391)</f>
        <v>400</v>
      </c>
      <c r="BS400" s="21" t="n">
        <f aca="false">-(BT389+BT391)</f>
        <v>400</v>
      </c>
      <c r="BT400" s="21" t="n">
        <f aca="false">-(BU389+BU391)</f>
        <v>1250</v>
      </c>
      <c r="BU400" s="39" t="n">
        <v>0</v>
      </c>
      <c r="BV400" s="15"/>
    </row>
    <row r="401" customFormat="false" ht="15" hidden="false" customHeight="false" outlineLevel="0" collapsed="false">
      <c r="B401" s="13" t="s">
        <v>604</v>
      </c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36"/>
      <c r="BP401" s="36"/>
      <c r="BQ401" s="36"/>
      <c r="BR401" s="48" t="n">
        <v>0.04125</v>
      </c>
      <c r="BS401" s="48" t="n">
        <v>0.04125</v>
      </c>
      <c r="BT401" s="48" t="n">
        <v>0.04125</v>
      </c>
      <c r="BU401" s="48" t="n">
        <v>0.04125</v>
      </c>
      <c r="BV401" s="15"/>
    </row>
    <row r="402" customFormat="false" ht="15" hidden="false" customHeight="false" outlineLevel="0" collapsed="false">
      <c r="B402" s="13" t="s">
        <v>605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36"/>
      <c r="BP402" s="36"/>
      <c r="BQ402" s="36"/>
      <c r="BR402" s="48" t="n">
        <v>0.0575</v>
      </c>
      <c r="BS402" s="48" t="n">
        <v>0.0575</v>
      </c>
      <c r="BT402" s="48" t="n">
        <v>0.0575</v>
      </c>
      <c r="BU402" s="48" t="n">
        <v>0.0575</v>
      </c>
      <c r="BV402" s="15" t="s">
        <v>606</v>
      </c>
    </row>
    <row r="403" customFormat="false" ht="15" hidden="false" customHeight="false" outlineLevel="0" collapsed="false">
      <c r="B403" s="13" t="s">
        <v>607</v>
      </c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36"/>
      <c r="BP403" s="36"/>
      <c r="BQ403" s="36"/>
      <c r="BR403" s="48" t="n">
        <v>0.055</v>
      </c>
      <c r="BS403" s="48" t="n">
        <v>0.055</v>
      </c>
      <c r="BT403" s="48" t="n">
        <v>0.055</v>
      </c>
      <c r="BU403" s="48" t="n">
        <v>0.055</v>
      </c>
      <c r="BV403" s="15"/>
    </row>
    <row r="404" customFormat="false" ht="15" hidden="false" customHeight="false" outlineLevel="0" collapsed="false">
      <c r="B404" s="13" t="s">
        <v>608</v>
      </c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36"/>
      <c r="BP404" s="36"/>
      <c r="BQ404" s="36"/>
      <c r="BR404" s="39" t="n">
        <v>-15</v>
      </c>
      <c r="BS404" s="39" t="n">
        <v>-15</v>
      </c>
      <c r="BT404" s="39" t="n">
        <v>-15</v>
      </c>
      <c r="BU404" s="39" t="n">
        <v>-15</v>
      </c>
      <c r="BV404" s="15" t="s">
        <v>609</v>
      </c>
    </row>
    <row r="405" customFormat="false" ht="15" hidden="false" customHeight="false" outlineLevel="0" collapsed="false">
      <c r="B405" s="30" t="s">
        <v>610</v>
      </c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57"/>
      <c r="BP405" s="57"/>
      <c r="BQ405" s="57"/>
      <c r="BR405" s="33" t="n">
        <f aca="false">BQ388*BR401+BQ393*BR402+BQ398*BR403+BR394+BR404</f>
        <v>24</v>
      </c>
      <c r="BS405" s="33" t="n">
        <f aca="false">BR388*BS401+BR393*BS402+BR398*BS403+BS394+BS404</f>
        <v>24</v>
      </c>
      <c r="BT405" s="33" t="n">
        <f aca="false">BS388*BT401+BS393*BT402+BS398*BT403+BT394+BT404</f>
        <v>30.5</v>
      </c>
      <c r="BU405" s="33" t="n">
        <f aca="false">BT388*BU401+BT393*BU402+BT398*BU403+BU394+BU404</f>
        <v>37</v>
      </c>
      <c r="BV405" s="15"/>
    </row>
    <row r="406" customFormat="false" ht="15" hidden="false" customHeight="false" outlineLevel="0" collapsed="false">
      <c r="B406" s="13" t="s">
        <v>611</v>
      </c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43" t="n">
        <f aca="false">IF(AND(ISNUMBER(AH167),ISNUMBER(AC284)),IFERROR(AH167/AC284,""),"")</f>
        <v>0.0258734344100198</v>
      </c>
      <c r="AI406" s="19"/>
      <c r="AJ406" s="19"/>
      <c r="AK406" s="19"/>
      <c r="AL406" s="19"/>
      <c r="AM406" s="43" t="n">
        <f aca="false">IF(AND(ISNUMBER(AM167),ISNUMBER(AH284)),IFERROR(AM167/AH284,""),"")</f>
        <v>0.00560606060606061</v>
      </c>
      <c r="AN406" s="19"/>
      <c r="AO406" s="19"/>
      <c r="AP406" s="19"/>
      <c r="AQ406" s="19"/>
      <c r="AR406" s="43" t="n">
        <f aca="false">IF(AND(ISNUMBER(AR167),ISNUMBER(AM284)),IFERROR(AR167/AM284,""),"")</f>
        <v>0.00861319309288169</v>
      </c>
      <c r="AS406" s="19"/>
      <c r="AT406" s="19"/>
      <c r="AU406" s="19"/>
      <c r="AV406" s="19"/>
      <c r="AW406" s="43" t="n">
        <f aca="false">IF(AND(ISNUMBER(AW167),ISNUMBER(AR284)),IFERROR(AW167/AR284,""),"")</f>
        <v>0.0190571967316153</v>
      </c>
      <c r="AX406" s="19"/>
      <c r="AY406" s="19"/>
      <c r="AZ406" s="19"/>
      <c r="BA406" s="19"/>
      <c r="BB406" s="43" t="n">
        <f aca="false">IF(AND(ISNUMBER(BB167),ISNUMBER(AW284)),IFERROR(BB167/AW284,""),"")</f>
        <v>0.0575506221029519</v>
      </c>
      <c r="BC406" s="19"/>
      <c r="BD406" s="19"/>
      <c r="BE406" s="19"/>
      <c r="BF406" s="19"/>
      <c r="BG406" s="43" t="n">
        <f aca="false">IF(AND(ISNUMBER(BG167),ISNUMBER(BB284)),IFERROR(BG167/BB284,""),"")</f>
        <v>0.0312932671690253</v>
      </c>
      <c r="BH406" s="19"/>
      <c r="BI406" s="19"/>
      <c r="BJ406" s="19"/>
      <c r="BK406" s="19"/>
      <c r="BL406" s="43" t="n">
        <f aca="false">IF(AND(ISNUMBER(BL167),ISNUMBER(BG284)),IFERROR(BL167/BG284,""),"")</f>
        <v>0.0483176328952104</v>
      </c>
      <c r="BM406" s="19"/>
      <c r="BN406" s="19"/>
      <c r="BO406" s="36"/>
      <c r="BP406" s="36"/>
      <c r="BQ406" s="36"/>
      <c r="BR406" s="48" t="n">
        <v>0.035</v>
      </c>
      <c r="BS406" s="48" t="n">
        <v>0.035</v>
      </c>
      <c r="BT406" s="48" t="n">
        <v>0.035</v>
      </c>
      <c r="BU406" s="48" t="n">
        <v>0.035</v>
      </c>
      <c r="BV406" s="15"/>
    </row>
    <row r="407" customFormat="false" ht="15" hidden="false" customHeight="false" outlineLevel="0" collapsed="false">
      <c r="B407" s="16" t="s">
        <v>612</v>
      </c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7"/>
    </row>
    <row r="408" customFormat="false" ht="15" hidden="false" customHeight="false" outlineLevel="0" collapsed="false">
      <c r="B408" s="13" t="s">
        <v>613</v>
      </c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36"/>
      <c r="BP408" s="36"/>
      <c r="BQ408" s="76" t="n">
        <v>262.51</v>
      </c>
      <c r="BR408" s="36"/>
      <c r="BS408" s="36"/>
      <c r="BT408" s="36"/>
      <c r="BU408" s="36"/>
      <c r="BV408" s="15"/>
    </row>
    <row r="409" customFormat="false" ht="15" hidden="false" customHeight="false" outlineLevel="0" collapsed="false">
      <c r="B409" s="13" t="s">
        <v>614</v>
      </c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36"/>
      <c r="BP409" s="36"/>
      <c r="BQ409" s="21" t="n">
        <f aca="false">1250*3.8094/1000</f>
        <v>4.76175</v>
      </c>
      <c r="BR409" s="36"/>
      <c r="BS409" s="36"/>
      <c r="BT409" s="36"/>
      <c r="BU409" s="36"/>
      <c r="BV409" s="15"/>
    </row>
    <row r="410" customFormat="false" ht="15" hidden="false" customHeight="false" outlineLevel="0" collapsed="false">
      <c r="B410" s="13" t="s">
        <v>615</v>
      </c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36"/>
      <c r="BP410" s="36"/>
      <c r="BQ410" s="36"/>
      <c r="BR410" s="28" t="n">
        <f aca="false">CHOOSE(MATCH($BV$2,{"Bull","Base","Bear"},0),$CE$20,$CF$20,$CG$20)</f>
        <v>1.5</v>
      </c>
      <c r="BS410" s="28" t="n">
        <f aca="false">CHOOSE(MATCH($BV$2,{"Bull","Base","Bear"},0),$CE$20,$CF$20,$CG$20)</f>
        <v>1.5</v>
      </c>
      <c r="BT410" s="28" t="n">
        <f aca="false">CHOOSE(MATCH($BV$2,{"Bull","Base","Bear"},0),$CE$20,$CF$20,$CG$20)</f>
        <v>1.5</v>
      </c>
      <c r="BU410" s="28" t="n">
        <f aca="false">CHOOSE(MATCH($BV$2,{"Bull","Base","Bear"},0),$CE$20,$CF$20,$CG$20)</f>
        <v>1.5</v>
      </c>
      <c r="BV410" s="15" t="s">
        <v>616</v>
      </c>
    </row>
    <row r="411" customFormat="false" ht="15" hidden="false" customHeight="false" outlineLevel="0" collapsed="false">
      <c r="B411" s="13" t="s">
        <v>617</v>
      </c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36"/>
      <c r="BP411" s="36"/>
      <c r="BQ411" s="21" t="n">
        <f aca="false">BL387-BL284</f>
        <v>1508.779</v>
      </c>
      <c r="BR411" s="21" t="n">
        <f aca="false">BQ387-BQ284</f>
        <v>1565.99490897513</v>
      </c>
      <c r="BS411" s="21" t="n">
        <f aca="false">BR387-BR284</f>
        <v>1131.50893096953</v>
      </c>
      <c r="BT411" s="21" t="n">
        <f aca="false">BS387-BS284</f>
        <v>1272.33311532444</v>
      </c>
      <c r="BU411" s="21" t="n">
        <f aca="false">BT387-BT284</f>
        <v>1436.11614389016</v>
      </c>
      <c r="BV411" s="15"/>
    </row>
    <row r="412" customFormat="false" ht="15" hidden="false" customHeight="false" outlineLevel="0" collapsed="false">
      <c r="B412" s="13" t="s">
        <v>618</v>
      </c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36"/>
      <c r="BP412" s="36"/>
      <c r="BQ412" s="36"/>
      <c r="BR412" s="21" t="n">
        <f aca="false">BR411+BR394-(BR268+BR273+BR276+BR278+BR279+BR281)</f>
        <v>796.319707795105</v>
      </c>
      <c r="BS412" s="21" t="n">
        <f aca="false">BS411+BS394-(BS268+BS273+BS276+BS278+BS279+BS281)</f>
        <v>969.558067980185</v>
      </c>
      <c r="BT412" s="21" t="n">
        <f aca="false">BT411+BT394-(BT268+BT273+BT276+BT278+BT279+BT281)</f>
        <v>1037.2239429069</v>
      </c>
      <c r="BU412" s="21" t="n">
        <f aca="false">BU411+BU394-(BU268+BU273+BU276+BU278+BU279+BU281)</f>
        <v>1155.00951025376</v>
      </c>
      <c r="BV412" s="15"/>
    </row>
    <row r="413" customFormat="false" ht="15" hidden="false" customHeight="false" outlineLevel="0" collapsed="false">
      <c r="B413" s="13" t="s">
        <v>619</v>
      </c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36"/>
      <c r="BP413" s="36"/>
      <c r="BQ413" s="36"/>
      <c r="BR413" s="21" t="n">
        <f aca="false">BR410*BR208</f>
        <v>1131.50893096953</v>
      </c>
      <c r="BS413" s="21" t="n">
        <f aca="false">BS410*BS208</f>
        <v>1272.33311532444</v>
      </c>
      <c r="BT413" s="21" t="n">
        <f aca="false">BT410*BT208</f>
        <v>1436.11614389016</v>
      </c>
      <c r="BU413" s="21" t="n">
        <f aca="false">BU410*BU208</f>
        <v>1594.37589202735</v>
      </c>
      <c r="BV413" s="15"/>
    </row>
    <row r="414" customFormat="false" ht="15" hidden="false" customHeight="false" outlineLevel="0" collapsed="false">
      <c r="B414" s="30" t="s">
        <v>620</v>
      </c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57"/>
      <c r="BP414" s="57"/>
      <c r="BQ414" s="57"/>
      <c r="BR414" s="33" t="n">
        <f aca="false">MAX(0,BR413-BR412)</f>
        <v>335.189223174422</v>
      </c>
      <c r="BS414" s="33" t="n">
        <f aca="false">MAX(0,BS413-BS412)</f>
        <v>302.775047344253</v>
      </c>
      <c r="BT414" s="33" t="n">
        <f aca="false">MAX(0,BT413-BT412)</f>
        <v>398.892200983256</v>
      </c>
      <c r="BU414" s="33" t="n">
        <f aca="false">MAX(0,BU413-BU412)</f>
        <v>439.366381773587</v>
      </c>
      <c r="BV414" s="15" t="s">
        <v>621</v>
      </c>
    </row>
    <row r="415" customFormat="false" ht="15" hidden="false" customHeight="false" outlineLevel="0" collapsed="false">
      <c r="B415" s="13" t="s">
        <v>622</v>
      </c>
      <c r="BO415" s="14"/>
      <c r="BP415" s="14"/>
      <c r="BQ415" s="14"/>
      <c r="BR415" s="14"/>
      <c r="BS415" s="14"/>
      <c r="BT415" s="14"/>
      <c r="BU415" s="14"/>
      <c r="BV415" s="15"/>
    </row>
    <row r="416" customFormat="false" ht="15" hidden="false" customHeight="false" outlineLevel="0" collapsed="false">
      <c r="B416" s="13" t="s">
        <v>623</v>
      </c>
      <c r="C416" s="43" t="str">
        <f aca="false">IF(AND(ISNUMBER(C181),ISNUMBER(C157)),IFERROR(C181/C157,""),"")</f>
        <v/>
      </c>
      <c r="D416" s="43" t="str">
        <f aca="false">IF(AND(ISNUMBER(D181),ISNUMBER(D157)),IFERROR(D181/D157,""),"")</f>
        <v/>
      </c>
      <c r="E416" s="43" t="n">
        <f aca="false">IF(AND(ISNUMBER(E181),ISNUMBER(E157)),IFERROR(E181/E157,""),"")</f>
        <v>0.0322045152722444</v>
      </c>
      <c r="F416" s="43" t="n">
        <f aca="false">IF(AND(ISNUMBER(F181),ISNUMBER(F157)),IFERROR(F181/F157,""),"")</f>
        <v>0.0339321577541877</v>
      </c>
      <c r="G416" s="43" t="n">
        <f aca="false">IF(AND(ISNUMBER(G181),ISNUMBER(G157)),IFERROR(G181/G157,""),"")</f>
        <v>0.0369376793379023</v>
      </c>
      <c r="H416" s="43" t="n">
        <f aca="false">IF(AND(ISNUMBER(H181),ISNUMBER(H157)),IFERROR(H181/H157,""),"")</f>
        <v>0.0984687141144392</v>
      </c>
      <c r="I416" s="43" t="n">
        <f aca="false">IF(AND(ISNUMBER(I181),ISNUMBER(I157)),IFERROR(I181/I157,""),"")</f>
        <v>0.0517968302989777</v>
      </c>
      <c r="J416" s="43" t="n">
        <f aca="false">IF(AND(ISNUMBER(J181),ISNUMBER(J157)),IFERROR(J181/J157,""),"")</f>
        <v>0.045039137251629</v>
      </c>
      <c r="K416" s="43" t="n">
        <f aca="false">IF(AND(ISNUMBER(K181),ISNUMBER(K157)),IFERROR(K181/K157,""),"")</f>
        <v>0.0424125330757277</v>
      </c>
      <c r="L416" s="43" t="n">
        <f aca="false">IF(AND(ISNUMBER(L181),ISNUMBER(L157)),IFERROR(L181/L157,""),"")</f>
        <v>0.0370365211577569</v>
      </c>
      <c r="M416" s="43" t="n">
        <f aca="false">IF(AND(ISNUMBER(M181),ISNUMBER(M157)),IFERROR(M181/M157,""),"")</f>
        <v>0.0373992273409207</v>
      </c>
      <c r="N416" s="43" t="n">
        <f aca="false">IF(AND(ISNUMBER(N181),ISNUMBER(N157)),IFERROR(N181/N157,""),"")</f>
        <v>0.0403827826911353</v>
      </c>
      <c r="O416" s="43" t="n">
        <f aca="false">IF(AND(ISNUMBER(O181),ISNUMBER(O157)),IFERROR(O181/O157,""),"")</f>
        <v>0.0326319944302215</v>
      </c>
      <c r="P416" s="43" t="n">
        <f aca="false">IF(AND(ISNUMBER(P181),ISNUMBER(P157)),IFERROR(P181/P157,""),"")</f>
        <v>0.0317211008444712</v>
      </c>
      <c r="Q416" s="43" t="n">
        <f aca="false">IF(AND(ISNUMBER(Q181),ISNUMBER(Q157)),IFERROR(Q181/Q157,""),"")</f>
        <v>0.0327294765549861</v>
      </c>
      <c r="R416" s="43" t="n">
        <f aca="false">IF(AND(ISNUMBER(R181),ISNUMBER(R157)),IFERROR(R181/R157,""),"")</f>
        <v>0.0333382855444956</v>
      </c>
      <c r="S416" s="43" t="n">
        <f aca="false">IF(AND(ISNUMBER(S181),ISNUMBER(S157)),IFERROR(S181/S157,""),"")</f>
        <v>0.0326034311186897</v>
      </c>
      <c r="T416" s="43" t="n">
        <f aca="false">IF(AND(ISNUMBER(T181),ISNUMBER(T157)),IFERROR(T181/T157,""),"")</f>
        <v>0.032636743424663</v>
      </c>
      <c r="U416" s="43" t="n">
        <f aca="false">IF(AND(ISNUMBER(U181),ISNUMBER(U157)),IFERROR(U181/U157,""),"")</f>
        <v>0.0346893132135479</v>
      </c>
      <c r="V416" s="43" t="n">
        <f aca="false">IF(AND(ISNUMBER(V181),ISNUMBER(V157)),IFERROR(V181/V157,""),"")</f>
        <v>0.0332315909958031</v>
      </c>
      <c r="W416" s="43" t="n">
        <f aca="false">IF(AND(ISNUMBER(W181),ISNUMBER(W157)),IFERROR(W181/W157,""),"")</f>
        <v>0.0335287744863277</v>
      </c>
      <c r="X416" s="43" t="n">
        <f aca="false">IF(AND(ISNUMBER(X181),ISNUMBER(X157)),IFERROR(X181/X157,""),"")</f>
        <v>0.0335105330329708</v>
      </c>
      <c r="Y416" s="43" t="n">
        <f aca="false">IF(AND(ISNUMBER(Y181),ISNUMBER(Y157)),IFERROR(Y181/Y157,""),"")</f>
        <v>0.0307369120562756</v>
      </c>
      <c r="Z416" s="43" t="n">
        <f aca="false">IF(AND(ISNUMBER(Z181),ISNUMBER(Z157)),IFERROR(Z181/Z157,""),"")</f>
        <v>0.0327143153323719</v>
      </c>
      <c r="AA416" s="43" t="n">
        <f aca="false">IF(AND(ISNUMBER(AA181),ISNUMBER(AA157)),IFERROR(AA181/AA157,""),"")</f>
        <v>0.0358913014356991</v>
      </c>
      <c r="AB416" s="43" t="n">
        <f aca="false">IF(AND(ISNUMBER(AB181),ISNUMBER(AB157)),IFERROR(AB181/AB157,""),"")</f>
        <v>0.0343202272812857</v>
      </c>
      <c r="AC416" s="43" t="n">
        <f aca="false">IF(AND(ISNUMBER(AC181),ISNUMBER(AC157)),IFERROR(AC181/AC157,""),"")</f>
        <v>0.0333892812278979</v>
      </c>
      <c r="AD416" s="43" t="n">
        <f aca="false">IF(AND(ISNUMBER(AD181),ISNUMBER(AD157)),IFERROR(AD181/AD157,""),"")</f>
        <v>0.0363113333045186</v>
      </c>
      <c r="AE416" s="43" t="n">
        <f aca="false">IF(AND(ISNUMBER(AE181),ISNUMBER(AE157)),IFERROR(AE181/AE157,""),"")</f>
        <v>0.0333403362681997</v>
      </c>
      <c r="AF416" s="43" t="n">
        <f aca="false">IF(AND(ISNUMBER(AF181),ISNUMBER(AF157)),IFERROR(AF181/AF157,""),"")</f>
        <v>0.0300296442687747</v>
      </c>
      <c r="AG416" s="43" t="n">
        <f aca="false">IF(AND(ISNUMBER(AG181),ISNUMBER(AG157)),IFERROR(AG181/AG157,""),"")</f>
        <v>0.0313086675910501</v>
      </c>
      <c r="AH416" s="43" t="n">
        <f aca="false">IF(AND(ISNUMBER(AH181),ISNUMBER(AH157)),IFERROR(AH181/AH157,""),"")</f>
        <v>0.0325723513393705</v>
      </c>
      <c r="AI416" s="43" t="n">
        <f aca="false">IF(AND(ISNUMBER(AI181),ISNUMBER(AI157)),IFERROR(AI181/AI157,""),"")</f>
        <v>0.0287970668083097</v>
      </c>
      <c r="AJ416" s="43" t="n">
        <f aca="false">IF(AND(ISNUMBER(AJ181),ISNUMBER(AJ157)),IFERROR(AJ181/AJ157,""),"")</f>
        <v>0.0296341076666931</v>
      </c>
      <c r="AK416" s="43" t="n">
        <f aca="false">IF(AND(ISNUMBER(AK181),ISNUMBER(AK157)),IFERROR(AK181/AK157,""),"")</f>
        <v>0.0286471056670988</v>
      </c>
      <c r="AL416" s="43" t="n">
        <f aca="false">IF(AND(ISNUMBER(AL181),ISNUMBER(AL157)),IFERROR(AL181/AL157,""),"")</f>
        <v>0.0273221885044262</v>
      </c>
      <c r="AM416" s="43" t="n">
        <f aca="false">IF(AND(ISNUMBER(AM181),ISNUMBER(AM157)),IFERROR(AM181/AM157,""),"")</f>
        <v>0.0285724242247292</v>
      </c>
      <c r="AN416" s="43" t="n">
        <f aca="false">IF(AND(ISNUMBER(AN181),ISNUMBER(AN157)),IFERROR(AN181/AN157,""),"")</f>
        <v>0.0300923954091918</v>
      </c>
      <c r="AO416" s="43" t="n">
        <f aca="false">IF(AND(ISNUMBER(AO181),ISNUMBER(AO157)),IFERROR(AO181/AO157,""),"")</f>
        <v>0.0338448502174821</v>
      </c>
      <c r="AP416" s="43" t="n">
        <f aca="false">IF(AND(ISNUMBER(AP181),ISNUMBER(AP157)),IFERROR(AP181/AP157,""),"")</f>
        <v>0.0350572557731986</v>
      </c>
      <c r="AQ416" s="43" t="n">
        <f aca="false">IF(AND(ISNUMBER(AQ181),ISNUMBER(AQ157)),IFERROR(AQ181/AQ157,""),"")</f>
        <v>0.0314270028295114</v>
      </c>
      <c r="AR416" s="43" t="n">
        <f aca="false">IF(AND(ISNUMBER(AR181),ISNUMBER(AR157)),IFERROR(AR181/AR157,""),"")</f>
        <v>0.0325224074114179</v>
      </c>
      <c r="AS416" s="43" t="n">
        <f aca="false">IF(AND(ISNUMBER(AS181),ISNUMBER(AS157)),IFERROR(AS181/AS157,""),"")</f>
        <v>0.0331990549009116</v>
      </c>
      <c r="AT416" s="43" t="n">
        <f aca="false">IF(AND(ISNUMBER(AT181),ISNUMBER(AT157)),IFERROR(AT181/AT157,""),"")</f>
        <v>0.0335541890409377</v>
      </c>
      <c r="AU416" s="43" t="n">
        <f aca="false">IF(AND(ISNUMBER(AU181),ISNUMBER(AU157)),IFERROR(AU181/AU157,""),"")</f>
        <v>0.0355004955022904</v>
      </c>
      <c r="AV416" s="43" t="n">
        <f aca="false">IF(AND(ISNUMBER(AV181),ISNUMBER(AV157)),IFERROR(AV181/AV157,""),"")</f>
        <v>0.0304945552303273</v>
      </c>
      <c r="AW416" s="43" t="n">
        <f aca="false">IF(AND(ISNUMBER(AW181),ISNUMBER(AW157)),IFERROR(AW181/AW157,""),"")</f>
        <v>0.0330709761675073</v>
      </c>
      <c r="AX416" s="43" t="n">
        <f aca="false">IF(AND(ISNUMBER(AX181),ISNUMBER(AX157)),IFERROR(AX181/AX157,""),"")</f>
        <v>0.0334647054683651</v>
      </c>
      <c r="AY416" s="43" t="n">
        <f aca="false">IF(AND(ISNUMBER(AY181),ISNUMBER(AY157)),IFERROR(AY181/AY157,""),"")</f>
        <v>0.031650188996563</v>
      </c>
      <c r="AZ416" s="43" t="n">
        <f aca="false">IF(AND(ISNUMBER(AZ181),ISNUMBER(AZ157)),IFERROR(AZ181/AZ157,""),"")</f>
        <v>0.0335616426746939</v>
      </c>
      <c r="BA416" s="43" t="n">
        <f aca="false">IF(AND(ISNUMBER(BA181),ISNUMBER(BA157)),IFERROR(BA181/BA157,""),"")</f>
        <v>0.0280642026698276</v>
      </c>
      <c r="BB416" s="43" t="n">
        <f aca="false">IF(AND(ISNUMBER(BB181),ISNUMBER(BB157)),IFERROR(BB181/BB157,""),"")</f>
        <v>0.0314728665401599</v>
      </c>
      <c r="BC416" s="43" t="n">
        <f aca="false">IF(AND(ISNUMBER(BC181),ISNUMBER(BC157)),IFERROR(BC181/BC157,""),"")</f>
        <v>0.0340284055724991</v>
      </c>
      <c r="BD416" s="43" t="n">
        <f aca="false">IF(AND(ISNUMBER(BD181),ISNUMBER(BD157)),IFERROR(BD181/BD157,""),"")</f>
        <v>0.0317096255860536</v>
      </c>
      <c r="BE416" s="43" t="n">
        <f aca="false">IF(AND(ISNUMBER(BE181),ISNUMBER(BE157)),IFERROR(BE181/BE157,""),"")</f>
        <v>0.031652370095661</v>
      </c>
      <c r="BF416" s="43" t="n">
        <f aca="false">IF(AND(ISNUMBER(BF181),ISNUMBER(BF157)),IFERROR(BF181/BF157,""),"")</f>
        <v>0.0300602867338365</v>
      </c>
      <c r="BG416" s="43" t="n">
        <f aca="false">IF(AND(ISNUMBER(BG181),ISNUMBER(BG157)),IFERROR(BG181/BG157,""),"")</f>
        <v>0.0317577619029654</v>
      </c>
      <c r="BH416" s="43" t="n">
        <f aca="false">IF(AND(ISNUMBER(BH181),ISNUMBER(BH157)),IFERROR(BH181/BH157,""),"")</f>
        <v>0.0350483248272648</v>
      </c>
      <c r="BI416" s="43" t="n">
        <f aca="false">IF(AND(ISNUMBER(BI181),ISNUMBER(BI157)),IFERROR(BI181/BI157,""),"")</f>
        <v>0.0356774981381841</v>
      </c>
      <c r="BJ416" s="43" t="n">
        <f aca="false">IF(AND(ISNUMBER(BJ181),ISNUMBER(BJ157)),IFERROR(BJ181/BJ157,""),"")</f>
        <v>0.0328505828329212</v>
      </c>
      <c r="BK416" s="43" t="n">
        <f aca="false">IF(AND(ISNUMBER(BK181),ISNUMBER(BK157)),IFERROR(BK181/BK157,""),"")</f>
        <v>0.0333648664208742</v>
      </c>
      <c r="BL416" s="43" t="n">
        <f aca="false">IF(AND(ISNUMBER(BL181),ISNUMBER(BL157)),IFERROR(BL181/BL157,""),"")</f>
        <v>0.0341374270148589</v>
      </c>
      <c r="BM416" s="43" t="n">
        <f aca="false">IF(AND(ISNUMBER(BM181),ISNUMBER(BM157)),IFERROR(BM181/BM157,""),"")</f>
        <v>0.0337275361914494</v>
      </c>
      <c r="BN416" s="43" t="n">
        <f aca="false">IF(AND(ISNUMBER(BN181),ISNUMBER(BN157)),IFERROR(BN181/BN157,""),"")</f>
        <v>0.0347838624705393</v>
      </c>
      <c r="BO416" s="35" t="n">
        <f aca="false">IF(AND(ISNUMBER(BO181),ISNUMBER(BO157)),IFERROR(BO181/BO157,""),"")</f>
        <v>0.0356505909338241</v>
      </c>
      <c r="BP416" s="35" t="n">
        <f aca="false">IF(AND(ISNUMBER(BP181),ISNUMBER(BP157)),IFERROR(BP181/BP157,""),"")</f>
        <v>0.0351126599722018</v>
      </c>
      <c r="BQ416" s="35" t="n">
        <f aca="false">IF(AND(ISNUMBER(BQ181),ISNUMBER(BQ157)),IFERROR(BQ181/BQ157,""),"")</f>
        <v>0.0348630263215234</v>
      </c>
      <c r="BR416" s="35" t="n">
        <f aca="false">IF(AND(ISNUMBER(BR181),ISNUMBER(BR157)),IFERROR(BR181/BR157,""),"")</f>
        <v>0.039340173415081</v>
      </c>
      <c r="BS416" s="35" t="n">
        <f aca="false">IF(AND(ISNUMBER(BS181),ISNUMBER(BS157)),IFERROR(BS181/BS157,""),"")</f>
        <v>0.0401552379019965</v>
      </c>
      <c r="BT416" s="35" t="n">
        <f aca="false">IF(AND(ISNUMBER(BT181),ISNUMBER(BT157)),IFERROR(BT181/BT157,""),"")</f>
        <v>0.041223361071784</v>
      </c>
      <c r="BU416" s="35" t="n">
        <f aca="false">IF(AND(ISNUMBER(BU181),ISNUMBER(BU157)),IFERROR(BU181/BU157,""),"")</f>
        <v>0.0412413842589269</v>
      </c>
      <c r="BV416" s="15"/>
      <c r="BX416" s="38" t="n">
        <f aca="false">IFERROR(AVERAGE(BQ416,BR416,BS416,BT416,BU416),"n/m")</f>
        <v>0.0393646365938624</v>
      </c>
      <c r="BY416" s="38" t="n">
        <f aca="false">IFERROR(AVERAGE(AR416,AW416,BB416,BG416,BL416),"n/m")</f>
        <v>0.0325922878073819</v>
      </c>
      <c r="BZ416" s="38" t="n">
        <f aca="false">IFERROR(AVERAGE(S416,X416,AC416,AH416,AM416,AR416,AW416,BB416,BG416,BL416),"n/m")</f>
        <v>0.0323609459980567</v>
      </c>
      <c r="CA416" s="38" t="n">
        <f aca="false">IFERROR(AVERAGE(D416,I416,N416,S416,X416,AC416,AH416,AM416,AR416,AW416,BB416,BG416,BL416),"n/m")</f>
        <v>0.0346490894142234</v>
      </c>
    </row>
    <row r="417" customFormat="false" ht="15" hidden="false" customHeight="false" outlineLevel="0" collapsed="false">
      <c r="B417" s="13"/>
      <c r="BO417" s="14"/>
      <c r="BP417" s="14"/>
      <c r="BQ417" s="14"/>
      <c r="BR417" s="14"/>
      <c r="BS417" s="14"/>
      <c r="BT417" s="14"/>
      <c r="BU417" s="14"/>
      <c r="BV417" s="15"/>
    </row>
    <row r="418" customFormat="false" ht="15" hidden="false" customHeight="false" outlineLevel="0" collapsed="false">
      <c r="B418" s="9" t="s">
        <v>624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 t="s">
        <v>625</v>
      </c>
    </row>
    <row r="419" customFormat="false" ht="15" hidden="false" customHeight="false" outlineLevel="0" collapsed="false">
      <c r="B419" s="16" t="s">
        <v>626</v>
      </c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7"/>
    </row>
    <row r="420" customFormat="false" ht="15" hidden="false" customHeight="false" outlineLevel="0" collapsed="false">
      <c r="B420" s="13" t="s">
        <v>627</v>
      </c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20" t="n">
        <f aca="false">N217</f>
        <v>237.541</v>
      </c>
      <c r="O420" s="19"/>
      <c r="P420" s="19"/>
      <c r="Q420" s="19"/>
      <c r="R420" s="19"/>
      <c r="S420" s="20" t="n">
        <f aca="false">S217</f>
        <v>279.163</v>
      </c>
      <c r="T420" s="19"/>
      <c r="U420" s="19"/>
      <c r="V420" s="19"/>
      <c r="W420" s="19"/>
      <c r="X420" s="20" t="n">
        <f aca="false">X217</f>
        <v>314.585</v>
      </c>
      <c r="Y420" s="19"/>
      <c r="Z420" s="19"/>
      <c r="AA420" s="19"/>
      <c r="AB420" s="19"/>
      <c r="AC420" s="20" t="n">
        <f aca="false">AC217</f>
        <v>307.477</v>
      </c>
      <c r="AD420" s="19"/>
      <c r="AE420" s="19"/>
      <c r="AF420" s="19"/>
      <c r="AG420" s="19"/>
      <c r="AH420" s="20" t="n">
        <f aca="false">AH217</f>
        <v>331.521</v>
      </c>
      <c r="AI420" s="19"/>
      <c r="AJ420" s="19"/>
      <c r="AK420" s="19"/>
      <c r="AL420" s="19"/>
      <c r="AM420" s="20" t="n">
        <f aca="false">AM217</f>
        <v>366.352</v>
      </c>
      <c r="AN420" s="19"/>
      <c r="AO420" s="19"/>
      <c r="AP420" s="19"/>
      <c r="AQ420" s="19"/>
      <c r="AR420" s="20" t="n">
        <f aca="false">AR217</f>
        <v>348.948</v>
      </c>
      <c r="AS420" s="19"/>
      <c r="AT420" s="19"/>
      <c r="AU420" s="19"/>
      <c r="AV420" s="19"/>
      <c r="AW420" s="20" t="n">
        <f aca="false">AW217</f>
        <v>365.571</v>
      </c>
      <c r="AX420" s="19"/>
      <c r="AY420" s="19"/>
      <c r="AZ420" s="19"/>
      <c r="BA420" s="19"/>
      <c r="BB420" s="20" t="n">
        <f aca="false">BB217</f>
        <v>393.359</v>
      </c>
      <c r="BC420" s="19"/>
      <c r="BD420" s="19"/>
      <c r="BE420" s="19"/>
      <c r="BF420" s="19"/>
      <c r="BG420" s="20" t="n">
        <f aca="false">BG217</f>
        <v>412.807</v>
      </c>
      <c r="BH420" s="19"/>
      <c r="BI420" s="19"/>
      <c r="BJ420" s="19"/>
      <c r="BK420" s="19"/>
      <c r="BL420" s="20" t="n">
        <f aca="false">BL217</f>
        <v>475.659</v>
      </c>
      <c r="BM420" s="19"/>
      <c r="BN420" s="19"/>
      <c r="BO420" s="36"/>
      <c r="BP420" s="36"/>
      <c r="BQ420" s="21" t="n">
        <f aca="false">BQ217</f>
        <v>549.02049997821</v>
      </c>
      <c r="BR420" s="21" t="n">
        <f aca="false">BR217</f>
        <v>609.558555220595</v>
      </c>
      <c r="BS420" s="21" t="n">
        <f aca="false">BS217</f>
        <v>685.382965346747</v>
      </c>
      <c r="BT420" s="21" t="n">
        <f aca="false">BT217</f>
        <v>773.410699547292</v>
      </c>
      <c r="BU420" s="21" t="n">
        <f aca="false">BU217</f>
        <v>861.250476276937</v>
      </c>
      <c r="BV420" s="15"/>
    </row>
    <row r="421" customFormat="false" ht="15" hidden="false" customHeight="false" outlineLevel="0" collapsed="false">
      <c r="B421" s="13" t="s">
        <v>628</v>
      </c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43" t="n">
        <f aca="false">N172</f>
        <v>0.36376631307534</v>
      </c>
      <c r="O421" s="19"/>
      <c r="P421" s="19"/>
      <c r="Q421" s="19"/>
      <c r="R421" s="19"/>
      <c r="S421" s="43" t="n">
        <f aca="false">S172</f>
        <v>0.286300667008722</v>
      </c>
      <c r="T421" s="19"/>
      <c r="U421" s="19"/>
      <c r="V421" s="19"/>
      <c r="W421" s="19"/>
      <c r="X421" s="43" t="n">
        <f aca="false">X172</f>
        <v>0.498394076678612</v>
      </c>
      <c r="Y421" s="19"/>
      <c r="Z421" s="19"/>
      <c r="AA421" s="19"/>
      <c r="AB421" s="19"/>
      <c r="AC421" s="43" t="n">
        <f aca="false">AC172</f>
        <v>0.188616609255921</v>
      </c>
      <c r="AD421" s="19"/>
      <c r="AE421" s="19"/>
      <c r="AF421" s="19"/>
      <c r="AG421" s="19"/>
      <c r="AH421" s="43" t="n">
        <f aca="false">AH172</f>
        <v>0.220133102995455</v>
      </c>
      <c r="AI421" s="19"/>
      <c r="AJ421" s="19"/>
      <c r="AK421" s="19"/>
      <c r="AL421" s="19"/>
      <c r="AM421" s="43" t="n">
        <f aca="false">AM172</f>
        <v>0.229106612327844</v>
      </c>
      <c r="AN421" s="19"/>
      <c r="AO421" s="19"/>
      <c r="AP421" s="19"/>
      <c r="AQ421" s="19"/>
      <c r="AR421" s="43" t="n">
        <f aca="false">AR172</f>
        <v>0.225984488758267</v>
      </c>
      <c r="AS421" s="19"/>
      <c r="AT421" s="19"/>
      <c r="AU421" s="19"/>
      <c r="AV421" s="19"/>
      <c r="AW421" s="43" t="n">
        <f aca="false">AW172</f>
        <v>0.240975007713669</v>
      </c>
      <c r="AX421" s="19"/>
      <c r="AY421" s="19"/>
      <c r="AZ421" s="19"/>
      <c r="BA421" s="19"/>
      <c r="BB421" s="43" t="n">
        <f aca="false">BB172</f>
        <v>0.233599875544493</v>
      </c>
      <c r="BC421" s="19"/>
      <c r="BD421" s="19"/>
      <c r="BE421" s="19"/>
      <c r="BF421" s="19"/>
      <c r="BG421" s="43" t="n">
        <f aca="false">BG172</f>
        <v>0.190473732507456</v>
      </c>
      <c r="BH421" s="19"/>
      <c r="BI421" s="19"/>
      <c r="BJ421" s="19"/>
      <c r="BK421" s="19"/>
      <c r="BL421" s="43" t="n">
        <f aca="false">BL172</f>
        <v>0.171453330654074</v>
      </c>
      <c r="BM421" s="19"/>
      <c r="BN421" s="19"/>
      <c r="BO421" s="36"/>
      <c r="BP421" s="36"/>
      <c r="BQ421" s="35" t="n">
        <f aca="false">BQ172</f>
        <v>0.200971220451043</v>
      </c>
      <c r="BR421" s="35" t="n">
        <f aca="false">BR172</f>
        <v>0.22</v>
      </c>
      <c r="BS421" s="35" t="n">
        <f aca="false">BS172</f>
        <v>0.22</v>
      </c>
      <c r="BT421" s="35" t="n">
        <f aca="false">BT172</f>
        <v>0.22</v>
      </c>
      <c r="BU421" s="35" t="n">
        <f aca="false">BU172</f>
        <v>0.22</v>
      </c>
      <c r="BV421" s="15"/>
    </row>
    <row r="422" customFormat="false" ht="15" hidden="false" customHeight="false" outlineLevel="0" collapsed="false">
      <c r="B422" s="13" t="s">
        <v>629</v>
      </c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20" t="n">
        <f aca="false">N420*(1-N421)</f>
        <v>151.131586225771</v>
      </c>
      <c r="O422" s="19"/>
      <c r="P422" s="19"/>
      <c r="Q422" s="19"/>
      <c r="R422" s="19"/>
      <c r="S422" s="20" t="n">
        <f aca="false">S420*(1-S421)</f>
        <v>199.238446895844</v>
      </c>
      <c r="T422" s="19"/>
      <c r="U422" s="19"/>
      <c r="V422" s="19"/>
      <c r="W422" s="19"/>
      <c r="X422" s="20" t="n">
        <f aca="false">X420*(1-X421)</f>
        <v>157.797699388059</v>
      </c>
      <c r="Y422" s="19"/>
      <c r="Z422" s="19"/>
      <c r="AA422" s="19"/>
      <c r="AB422" s="19"/>
      <c r="AC422" s="20" t="n">
        <f aca="false">AC420*(1-AC421)</f>
        <v>249.481730835817</v>
      </c>
      <c r="AD422" s="19"/>
      <c r="AE422" s="19"/>
      <c r="AF422" s="19"/>
      <c r="AG422" s="19"/>
      <c r="AH422" s="20" t="n">
        <f aca="false">AH420*(1-AH421)</f>
        <v>258.542253561844</v>
      </c>
      <c r="AI422" s="19"/>
      <c r="AJ422" s="19"/>
      <c r="AK422" s="19"/>
      <c r="AL422" s="19"/>
      <c r="AM422" s="20" t="n">
        <f aca="false">AM420*(1-AM421)</f>
        <v>282.41833436047</v>
      </c>
      <c r="AN422" s="19"/>
      <c r="AO422" s="19"/>
      <c r="AP422" s="19"/>
      <c r="AQ422" s="19"/>
      <c r="AR422" s="20" t="n">
        <f aca="false">AR420*(1-AR421)</f>
        <v>270.091164616781</v>
      </c>
      <c r="AS422" s="19"/>
      <c r="AT422" s="19"/>
      <c r="AU422" s="19"/>
      <c r="AV422" s="19"/>
      <c r="AW422" s="20" t="n">
        <f aca="false">AW420*(1-AW421)</f>
        <v>277.477525455106</v>
      </c>
      <c r="AX422" s="19"/>
      <c r="AY422" s="19"/>
      <c r="AZ422" s="19"/>
      <c r="BA422" s="19"/>
      <c r="BB422" s="20" t="n">
        <f aca="false">BB420*(1-BB421)</f>
        <v>301.470386555694</v>
      </c>
      <c r="BC422" s="19"/>
      <c r="BD422" s="19"/>
      <c r="BE422" s="19"/>
      <c r="BF422" s="19"/>
      <c r="BG422" s="20" t="n">
        <f aca="false">BG420*(1-BG421)</f>
        <v>334.178109904795</v>
      </c>
      <c r="BH422" s="19"/>
      <c r="BI422" s="19"/>
      <c r="BJ422" s="19"/>
      <c r="BK422" s="19"/>
      <c r="BL422" s="20" t="n">
        <f aca="false">BL420*(1-BL421)</f>
        <v>394.105680194414</v>
      </c>
      <c r="BM422" s="19"/>
      <c r="BN422" s="19"/>
      <c r="BO422" s="36"/>
      <c r="BP422" s="36"/>
      <c r="BQ422" s="21" t="n">
        <f aca="false">BQ420*(1-BQ421)</f>
        <v>438.683180044947</v>
      </c>
      <c r="BR422" s="21" t="n">
        <f aca="false">BR420*(1-BR421)</f>
        <v>475.455673072064</v>
      </c>
      <c r="BS422" s="21" t="n">
        <f aca="false">BS420*(1-BS421)</f>
        <v>534.598712970463</v>
      </c>
      <c r="BT422" s="21" t="n">
        <f aca="false">BT420*(1-BT421)</f>
        <v>603.260345646888</v>
      </c>
      <c r="BU422" s="21" t="n">
        <f aca="false">BU420*(1-BU421)</f>
        <v>671.775371496011</v>
      </c>
      <c r="BV422" s="15"/>
    </row>
    <row r="423" customFormat="false" ht="15" hidden="false" customHeight="false" outlineLevel="0" collapsed="false">
      <c r="B423" s="13" t="s">
        <v>630</v>
      </c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20" t="n">
        <f aca="false">N424+N425</f>
        <v>409.542</v>
      </c>
      <c r="O423" s="19"/>
      <c r="P423" s="19"/>
      <c r="Q423" s="19"/>
      <c r="R423" s="19"/>
      <c r="S423" s="20" t="n">
        <f aca="false">S424+S425</f>
        <v>543.733</v>
      </c>
      <c r="T423" s="19"/>
      <c r="U423" s="19"/>
      <c r="V423" s="19"/>
      <c r="W423" s="19"/>
      <c r="X423" s="20" t="n">
        <f aca="false">X424+X425</f>
        <v>581.542</v>
      </c>
      <c r="Y423" s="19"/>
      <c r="Z423" s="19"/>
      <c r="AA423" s="19"/>
      <c r="AB423" s="19"/>
      <c r="AC423" s="20" t="n">
        <f aca="false">AC424+AC425</f>
        <v>967.137</v>
      </c>
      <c r="AD423" s="19"/>
      <c r="AE423" s="19"/>
      <c r="AF423" s="19"/>
      <c r="AG423" s="19"/>
      <c r="AH423" s="20" t="n">
        <f aca="false">AH424+AH425</f>
        <v>1135.865</v>
      </c>
      <c r="AI423" s="19"/>
      <c r="AJ423" s="19"/>
      <c r="AK423" s="19"/>
      <c r="AL423" s="19"/>
      <c r="AM423" s="20" t="n">
        <f aca="false">AM424+AM425</f>
        <v>1520.895</v>
      </c>
      <c r="AN423" s="19"/>
      <c r="AO423" s="19"/>
      <c r="AP423" s="19"/>
      <c r="AQ423" s="19"/>
      <c r="AR423" s="20" t="n">
        <f aca="false">AR424+AR425</f>
        <v>1786.764</v>
      </c>
      <c r="AS423" s="19"/>
      <c r="AT423" s="19"/>
      <c r="AU423" s="19"/>
      <c r="AV423" s="19"/>
      <c r="AW423" s="20" t="n">
        <f aca="false">AW424+AW425</f>
        <v>1996.239</v>
      </c>
      <c r="AX423" s="19"/>
      <c r="AY423" s="19"/>
      <c r="AZ423" s="19"/>
      <c r="BA423" s="19"/>
      <c r="BB423" s="20" t="n">
        <f aca="false">BB424+BB425</f>
        <v>2061.358</v>
      </c>
      <c r="BC423" s="19"/>
      <c r="BD423" s="19"/>
      <c r="BE423" s="19"/>
      <c r="BF423" s="19"/>
      <c r="BG423" s="20" t="n">
        <f aca="false">BG424+BG425</f>
        <v>2055.303</v>
      </c>
      <c r="BH423" s="19"/>
      <c r="BI423" s="19"/>
      <c r="BJ423" s="19"/>
      <c r="BK423" s="19"/>
      <c r="BL423" s="20" t="n">
        <f aca="false">BL424+BL425</f>
        <v>2741.791</v>
      </c>
      <c r="BM423" s="19"/>
      <c r="BN423" s="19"/>
      <c r="BO423" s="36"/>
      <c r="BP423" s="36"/>
      <c r="BQ423" s="21" t="n">
        <f aca="false">BQ424+BQ425</f>
        <v>3114.385668721</v>
      </c>
      <c r="BR423" s="21" t="n">
        <f aca="false">BR424+BR425</f>
        <v>3156.11406709396</v>
      </c>
      <c r="BS423" s="21" t="n">
        <f aca="false">BS424+BS425</f>
        <v>3422.55318143575</v>
      </c>
      <c r="BT423" s="21" t="n">
        <f aca="false">BT424+BT425</f>
        <v>3674.25934182557</v>
      </c>
      <c r="BU423" s="21" t="n">
        <f aca="false">BU424+BU425</f>
        <v>3934.17067667291</v>
      </c>
      <c r="BV423" s="15"/>
    </row>
    <row r="424" customFormat="false" ht="15" hidden="false" customHeight="false" outlineLevel="0" collapsed="false">
      <c r="B424" s="13" t="s">
        <v>631</v>
      </c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20" t="n">
        <f aca="false">N355</f>
        <v>279.635</v>
      </c>
      <c r="O424" s="19"/>
      <c r="P424" s="19"/>
      <c r="Q424" s="19"/>
      <c r="R424" s="19"/>
      <c r="S424" s="20" t="n">
        <f aca="false">S355</f>
        <v>150.41</v>
      </c>
      <c r="T424" s="19"/>
      <c r="U424" s="19"/>
      <c r="V424" s="19"/>
      <c r="W424" s="19"/>
      <c r="X424" s="20" t="n">
        <f aca="false">X355</f>
        <v>285.757</v>
      </c>
      <c r="Y424" s="19"/>
      <c r="Z424" s="19"/>
      <c r="AA424" s="19"/>
      <c r="AB424" s="19"/>
      <c r="AC424" s="20" t="n">
        <f aca="false">AC355</f>
        <v>235.701</v>
      </c>
      <c r="AD424" s="19"/>
      <c r="AE424" s="19"/>
      <c r="AF424" s="19"/>
      <c r="AG424" s="19"/>
      <c r="AH424" s="20" t="n">
        <f aca="false">AH355</f>
        <v>404.112</v>
      </c>
      <c r="AI424" s="19"/>
      <c r="AJ424" s="19"/>
      <c r="AK424" s="19"/>
      <c r="AL424" s="19"/>
      <c r="AM424" s="20" t="n">
        <f aca="false">AM355</f>
        <v>617.768</v>
      </c>
      <c r="AN424" s="19"/>
      <c r="AO424" s="19"/>
      <c r="AP424" s="19"/>
      <c r="AQ424" s="19"/>
      <c r="AR424" s="20" t="n">
        <f aca="false">AR355</f>
        <v>637.235</v>
      </c>
      <c r="AS424" s="19"/>
      <c r="AT424" s="19"/>
      <c r="AU424" s="19"/>
      <c r="AV424" s="19"/>
      <c r="AW424" s="20" t="n">
        <f aca="false">AW355</f>
        <v>748.355</v>
      </c>
      <c r="AX424" s="19"/>
      <c r="AY424" s="19"/>
      <c r="AZ424" s="19"/>
      <c r="BA424" s="19"/>
      <c r="BB424" s="20" t="n">
        <f aca="false">BB355</f>
        <v>933.301</v>
      </c>
      <c r="BC424" s="19"/>
      <c r="BD424" s="19"/>
      <c r="BE424" s="19"/>
      <c r="BF424" s="19"/>
      <c r="BG424" s="20" t="n">
        <f aca="false">BG355</f>
        <v>1080.404</v>
      </c>
      <c r="BH424" s="19"/>
      <c r="BI424" s="19"/>
      <c r="BJ424" s="19"/>
      <c r="BK424" s="19"/>
      <c r="BL424" s="20" t="n">
        <f aca="false">BL355</f>
        <v>1233.012</v>
      </c>
      <c r="BM424" s="19"/>
      <c r="BN424" s="19"/>
      <c r="BO424" s="36"/>
      <c r="BP424" s="36"/>
      <c r="BQ424" s="21" t="n">
        <f aca="false">BQ355</f>
        <v>1548.39075974587</v>
      </c>
      <c r="BR424" s="21" t="n">
        <f aca="false">BR355</f>
        <v>2024.60513612443</v>
      </c>
      <c r="BS424" s="21" t="n">
        <f aca="false">BS355</f>
        <v>2150.22006611132</v>
      </c>
      <c r="BT424" s="21" t="n">
        <f aca="false">BT355</f>
        <v>2238.14319793541</v>
      </c>
      <c r="BU424" s="21" t="n">
        <f aca="false">BU355</f>
        <v>2339.79478464557</v>
      </c>
      <c r="BV424" s="15"/>
    </row>
    <row r="425" customFormat="false" ht="15" hidden="false" customHeight="false" outlineLevel="0" collapsed="false">
      <c r="B425" s="13" t="s">
        <v>632</v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20" t="n">
        <f aca="false">N387-N310-N311-N(N360)</f>
        <v>129.907</v>
      </c>
      <c r="O425" s="19"/>
      <c r="P425" s="19"/>
      <c r="Q425" s="19"/>
      <c r="R425" s="19"/>
      <c r="S425" s="20" t="n">
        <f aca="false">S387-S310-S311-N(S360)</f>
        <v>393.323</v>
      </c>
      <c r="T425" s="19"/>
      <c r="U425" s="19"/>
      <c r="V425" s="19"/>
      <c r="W425" s="19"/>
      <c r="X425" s="20" t="n">
        <f aca="false">X387-X310-X311-N(X360)</f>
        <v>295.785</v>
      </c>
      <c r="Y425" s="19"/>
      <c r="Z425" s="19"/>
      <c r="AA425" s="19"/>
      <c r="AB425" s="19"/>
      <c r="AC425" s="20" t="n">
        <f aca="false">AC387-AC310-AC311-N(AC360)</f>
        <v>731.436</v>
      </c>
      <c r="AD425" s="19"/>
      <c r="AE425" s="19"/>
      <c r="AF425" s="19"/>
      <c r="AG425" s="19"/>
      <c r="AH425" s="20" t="n">
        <f aca="false">AH387-AH310-AH311-N(AH360)</f>
        <v>731.753</v>
      </c>
      <c r="AI425" s="19"/>
      <c r="AJ425" s="19"/>
      <c r="AK425" s="19"/>
      <c r="AL425" s="19"/>
      <c r="AM425" s="20" t="n">
        <f aca="false">AM387-AM310-AM311-N(AM360)</f>
        <v>903.127</v>
      </c>
      <c r="AN425" s="19"/>
      <c r="AO425" s="19"/>
      <c r="AP425" s="19"/>
      <c r="AQ425" s="19"/>
      <c r="AR425" s="20" t="n">
        <f aca="false">AR387-AR310-AR311-N(AR360)</f>
        <v>1149.529</v>
      </c>
      <c r="AS425" s="19"/>
      <c r="AT425" s="19"/>
      <c r="AU425" s="19"/>
      <c r="AV425" s="19"/>
      <c r="AW425" s="20" t="n">
        <f aca="false">AW387-AW310-AW311-N(AW360)</f>
        <v>1247.884</v>
      </c>
      <c r="AX425" s="19"/>
      <c r="AY425" s="19"/>
      <c r="AZ425" s="19"/>
      <c r="BA425" s="19"/>
      <c r="BB425" s="20" t="n">
        <f aca="false">BB387-BB310-BB311-N(BB360)</f>
        <v>1128.057</v>
      </c>
      <c r="BC425" s="19"/>
      <c r="BD425" s="19"/>
      <c r="BE425" s="19"/>
      <c r="BF425" s="19"/>
      <c r="BG425" s="20" t="n">
        <f aca="false">BG387-BG310-BG311-N(BG360)</f>
        <v>974.899</v>
      </c>
      <c r="BH425" s="19"/>
      <c r="BI425" s="19"/>
      <c r="BJ425" s="19"/>
      <c r="BK425" s="19"/>
      <c r="BL425" s="20" t="n">
        <f aca="false">BL387-BL310-BL311-N(BL360)</f>
        <v>1508.779</v>
      </c>
      <c r="BM425" s="19"/>
      <c r="BN425" s="19"/>
      <c r="BO425" s="36"/>
      <c r="BP425" s="36"/>
      <c r="BQ425" s="21" t="n">
        <f aca="false">BQ387-BQ310-BQ311-BQ360</f>
        <v>1565.99490897513</v>
      </c>
      <c r="BR425" s="21" t="n">
        <f aca="false">BR387-BR310-BR311-BR360</f>
        <v>1131.50893096953</v>
      </c>
      <c r="BS425" s="21" t="n">
        <f aca="false">BS387-BS310-BS311-BS360</f>
        <v>1272.33311532444</v>
      </c>
      <c r="BT425" s="21" t="n">
        <f aca="false">BT387-BT310-BT311-BT360</f>
        <v>1436.11614389016</v>
      </c>
      <c r="BU425" s="21" t="n">
        <f aca="false">BU387-BU310-BU311-BU360</f>
        <v>1594.37589202735</v>
      </c>
      <c r="BV425" s="15"/>
    </row>
    <row r="426" customFormat="false" ht="15" hidden="false" customHeight="false" outlineLevel="0" collapsed="false">
      <c r="B426" s="60" t="s">
        <v>633</v>
      </c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77" t="n">
        <f aca="false">IF(AND(ISNUMBER(N422),ISNUMBER(N423)),IFERROR(N422/N423,""),"")</f>
        <v>0.369025853821515</v>
      </c>
      <c r="O426" s="61"/>
      <c r="P426" s="61"/>
      <c r="Q426" s="61"/>
      <c r="R426" s="61"/>
      <c r="S426" s="77" t="n">
        <f aca="false">IF(AND(ISNUMBER(S422),ISNUMBER(S423)),IFERROR(S422/S423,""),"")</f>
        <v>0.366426990629306</v>
      </c>
      <c r="T426" s="61"/>
      <c r="U426" s="61"/>
      <c r="V426" s="61"/>
      <c r="W426" s="61"/>
      <c r="X426" s="77" t="n">
        <f aca="false">IF(AND(ISNUMBER(X422),ISNUMBER(X423)),IFERROR(X422/X423,""),"")</f>
        <v>0.271343599237989</v>
      </c>
      <c r="Y426" s="61"/>
      <c r="Z426" s="61"/>
      <c r="AA426" s="61"/>
      <c r="AB426" s="61"/>
      <c r="AC426" s="77" t="n">
        <f aca="false">IF(AND(ISNUMBER(AC422),ISNUMBER(AC423)),IFERROR(AC422/AC423,""),"")</f>
        <v>0.257959038725452</v>
      </c>
      <c r="AD426" s="61"/>
      <c r="AE426" s="61"/>
      <c r="AF426" s="61"/>
      <c r="AG426" s="61"/>
      <c r="AH426" s="77" t="n">
        <f aca="false">IF(AND(ISNUMBER(AH422),ISNUMBER(AH423)),IFERROR(AH422/AH423,""),"")</f>
        <v>0.227617061501009</v>
      </c>
      <c r="AI426" s="61"/>
      <c r="AJ426" s="61"/>
      <c r="AK426" s="61"/>
      <c r="AL426" s="61"/>
      <c r="AM426" s="77" t="n">
        <f aca="false">IF(AND(ISNUMBER(AM422),ISNUMBER(AM423)),IFERROR(AM422/AM423,""),"")</f>
        <v>0.185692197265735</v>
      </c>
      <c r="AN426" s="61"/>
      <c r="AO426" s="61"/>
      <c r="AP426" s="61"/>
      <c r="AQ426" s="61"/>
      <c r="AR426" s="77" t="n">
        <f aca="false">IF(AND(ISNUMBER(AR422),ISNUMBER(AR423)),IFERROR(AR422/AR423,""),"")</f>
        <v>0.151162193001863</v>
      </c>
      <c r="AS426" s="61"/>
      <c r="AT426" s="61"/>
      <c r="AU426" s="61"/>
      <c r="AV426" s="61"/>
      <c r="AW426" s="77" t="n">
        <f aca="false">IF(AND(ISNUMBER(AW422),ISNUMBER(AW423)),IFERROR(AW422/AW423,""),"")</f>
        <v>0.139000152514356</v>
      </c>
      <c r="AX426" s="61"/>
      <c r="AY426" s="61"/>
      <c r="AZ426" s="61"/>
      <c r="BA426" s="61"/>
      <c r="BB426" s="77" t="n">
        <f aca="false">IF(AND(ISNUMBER(BB422),ISNUMBER(BB423)),IFERROR(BB422/BB423,""),"")</f>
        <v>0.146248437464863</v>
      </c>
      <c r="BC426" s="61"/>
      <c r="BD426" s="61"/>
      <c r="BE426" s="61"/>
      <c r="BF426" s="61"/>
      <c r="BG426" s="77" t="n">
        <f aca="false">IF(AND(ISNUMBER(BG422),ISNUMBER(BG423)),IFERROR(BG422/BG423,""),"")</f>
        <v>0.162593111528954</v>
      </c>
      <c r="BH426" s="61"/>
      <c r="BI426" s="61"/>
      <c r="BJ426" s="61"/>
      <c r="BK426" s="61"/>
      <c r="BL426" s="77" t="n">
        <f aca="false">IF(AND(ISNUMBER(BL422),ISNUMBER(BL423)),IFERROR(BL422/BL423,""),"")</f>
        <v>0.143740234100416</v>
      </c>
      <c r="BM426" s="61"/>
      <c r="BN426" s="61"/>
      <c r="BO426" s="61"/>
      <c r="BP426" s="61"/>
      <c r="BQ426" s="77" t="n">
        <f aca="false">IF(AND(ISNUMBER(BQ422),ISNUMBER(BQ423)),IFERROR(BQ422/BQ423,""),"")</f>
        <v>0.140857050702107</v>
      </c>
      <c r="BR426" s="77" t="n">
        <f aca="false">IF(AND(ISNUMBER(BR422),ISNUMBER(BR423)),IFERROR(BR422/BR423,""),"")</f>
        <v>0.15064590916698</v>
      </c>
      <c r="BS426" s="77" t="n">
        <f aca="false">IF(AND(ISNUMBER(BS422),ISNUMBER(BS423)),IFERROR(BS422/BS423,""),"")</f>
        <v>0.156198803825804</v>
      </c>
      <c r="BT426" s="77" t="n">
        <f aca="false">IF(AND(ISNUMBER(BT422),ISNUMBER(BT423)),IFERROR(BT422/BT423,""),"")</f>
        <v>0.164185564905485</v>
      </c>
      <c r="BU426" s="77" t="n">
        <f aca="false">IF(AND(ISNUMBER(BU422),ISNUMBER(BU423)),IFERROR(BU422/BU423,""),"")</f>
        <v>0.17075399790843</v>
      </c>
      <c r="BV426" s="15"/>
      <c r="BX426" s="38" t="n">
        <f aca="false">IFERROR(AVERAGE(BQ426,BR426,BS426,BT426,BU426),"n/m")</f>
        <v>0.156528265301761</v>
      </c>
      <c r="BY426" s="38" t="n">
        <f aca="false">IFERROR(AVERAGE(AR426,AW426,BB426,BG426,BL426),"n/m")</f>
        <v>0.148548825722091</v>
      </c>
      <c r="BZ426" s="38" t="n">
        <f aca="false">IFERROR(AVERAGE(S426,X426,AC426,AH426,AM426,AR426,AW426,BB426,BG426,BL426),"n/m")</f>
        <v>0.205178301596994</v>
      </c>
      <c r="CA426" s="38" t="n">
        <f aca="false">IFERROR(AVERAGE(D426,I426,N426,S426,X426,AC426,AH426,AM426,AR426,AW426,BB426,BG426,BL426),"n/m")</f>
        <v>0.220073533617405</v>
      </c>
    </row>
    <row r="427" customFormat="false" ht="15" hidden="false" customHeight="false" outlineLevel="0" collapsed="false">
      <c r="B427" s="13" t="s">
        <v>634</v>
      </c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43" t="n">
        <f aca="false">IF(AND(ISNUMBER(N420),ISNUMBER(N157)),IFERROR(N420/N157,""),"")</f>
        <v>0.167810761913038</v>
      </c>
      <c r="O427" s="19"/>
      <c r="P427" s="19"/>
      <c r="Q427" s="19"/>
      <c r="R427" s="19"/>
      <c r="S427" s="43" t="n">
        <f aca="false">IF(AND(ISNUMBER(S420),ISNUMBER(S157)),IFERROR(S420/S157,""),"")</f>
        <v>0.180038605083411</v>
      </c>
      <c r="T427" s="19"/>
      <c r="U427" s="19"/>
      <c r="V427" s="19"/>
      <c r="W427" s="19"/>
      <c r="X427" s="43" t="n">
        <f aca="false">IF(AND(ISNUMBER(X420),ISNUMBER(X157)),IFERROR(X420/X157,""),"")</f>
        <v>0.18639445221948</v>
      </c>
      <c r="Y427" s="19"/>
      <c r="Z427" s="19"/>
      <c r="AA427" s="19"/>
      <c r="AB427" s="19"/>
      <c r="AC427" s="43" t="n">
        <f aca="false">IF(AND(ISNUMBER(AC420),ISNUMBER(AC157)),IFERROR(AC420/AC157,""),"")</f>
        <v>0.170831090139447</v>
      </c>
      <c r="AD427" s="19"/>
      <c r="AE427" s="19"/>
      <c r="AF427" s="19"/>
      <c r="AG427" s="19"/>
      <c r="AH427" s="43" t="n">
        <f aca="false">IF(AND(ISNUMBER(AH420),ISNUMBER(AH157)),IFERROR(AH420/AH157,""),"")</f>
        <v>0.174952504591223</v>
      </c>
      <c r="AI427" s="19"/>
      <c r="AJ427" s="19"/>
      <c r="AK427" s="19"/>
      <c r="AL427" s="19"/>
      <c r="AM427" s="43" t="n">
        <f aca="false">IF(AND(ISNUMBER(AM420),ISNUMBER(AM157)),IFERROR(AM420/AM157,""),"")</f>
        <v>0.172521422018954</v>
      </c>
      <c r="AN427" s="19"/>
      <c r="AO427" s="19"/>
      <c r="AP427" s="19"/>
      <c r="AQ427" s="19"/>
      <c r="AR427" s="43" t="n">
        <f aca="false">IF(AND(ISNUMBER(AR420),ISNUMBER(AR157)),IFERROR(AR420/AR157,""),"")</f>
        <v>0.164282412006361</v>
      </c>
      <c r="AS427" s="19"/>
      <c r="AT427" s="19"/>
      <c r="AU427" s="19"/>
      <c r="AV427" s="19"/>
      <c r="AW427" s="43" t="n">
        <f aca="false">IF(AND(ISNUMBER(AW420),ISNUMBER(AW157)),IFERROR(AW420/AW157,""),"")</f>
        <v>0.163725113465667</v>
      </c>
      <c r="AX427" s="19"/>
      <c r="AY427" s="19"/>
      <c r="AZ427" s="19"/>
      <c r="BA427" s="19"/>
      <c r="BB427" s="43" t="n">
        <f aca="false">IF(AND(ISNUMBER(BB420),ISNUMBER(BB157)),IFERROR(BB420/BB157,""),"")</f>
        <v>0.157576245568958</v>
      </c>
      <c r="BC427" s="19"/>
      <c r="BD427" s="19"/>
      <c r="BE427" s="19"/>
      <c r="BF427" s="19"/>
      <c r="BG427" s="43" t="n">
        <f aca="false">IF(AND(ISNUMBER(BG420),ISNUMBER(BG157)),IFERROR(BG420/BG157,""),"")</f>
        <v>0.152684847987205</v>
      </c>
      <c r="BH427" s="19"/>
      <c r="BI427" s="19"/>
      <c r="BJ427" s="19"/>
      <c r="BK427" s="19"/>
      <c r="BL427" s="43" t="n">
        <f aca="false">IF(AND(ISNUMBER(BL420),ISNUMBER(BL157)),IFERROR(BL420/BL157,""),"")</f>
        <v>0.148716633968281</v>
      </c>
      <c r="BM427" s="19"/>
      <c r="BN427" s="19"/>
      <c r="BO427" s="36"/>
      <c r="BP427" s="36"/>
      <c r="BQ427" s="35" t="n">
        <f aca="false">IF(AND(ISNUMBER(BQ420),ISNUMBER(BQ157)),IFERROR(BQ420/BQ157,""),"")</f>
        <v>0.144479078941634</v>
      </c>
      <c r="BR427" s="35" t="n">
        <f aca="false">IF(AND(ISNUMBER(BR420),ISNUMBER(BR157)),IFERROR(BR420/BR157,""),"")</f>
        <v>0.14641611966597</v>
      </c>
      <c r="BS427" s="35" t="n">
        <f aca="false">IF(AND(ISNUMBER(BS420),ISNUMBER(BS157)),IFERROR(BS420/BS157,""),"")</f>
        <v>0.149552914101551</v>
      </c>
      <c r="BT427" s="35" t="n">
        <f aca="false">IF(AND(ISNUMBER(BT420),ISNUMBER(BT157)),IFERROR(BT420/BT157,""),"")</f>
        <v>0.152138760190666</v>
      </c>
      <c r="BU427" s="35" t="n">
        <f aca="false">IF(AND(ISNUMBER(BU420),ISNUMBER(BU157)),IFERROR(BU420/BU157,""),"")</f>
        <v>0.15336141912865</v>
      </c>
      <c r="BV427" s="15"/>
    </row>
    <row r="428" customFormat="false" ht="15" hidden="false" customHeight="false" outlineLevel="0" collapsed="false">
      <c r="B428" s="13" t="s">
        <v>635</v>
      </c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26" t="n">
        <f aca="false">IF(AND(ISNUMBER(N157),ISNUMBER(N423)),IFERROR(N157/N423,""),"")</f>
        <v>3.45637077515859</v>
      </c>
      <c r="O428" s="19"/>
      <c r="P428" s="19"/>
      <c r="Q428" s="19"/>
      <c r="R428" s="19"/>
      <c r="S428" s="26" t="n">
        <f aca="false">IF(AND(ISNUMBER(S157),ISNUMBER(S423)),IFERROR(S157/S423,""),"")</f>
        <v>2.85171766289705</v>
      </c>
      <c r="T428" s="19"/>
      <c r="U428" s="19"/>
      <c r="V428" s="19"/>
      <c r="W428" s="19"/>
      <c r="X428" s="26" t="n">
        <f aca="false">IF(AND(ISNUMBER(X157),ISNUMBER(X423)),IFERROR(X157/X423,""),"")</f>
        <v>2.90217731479412</v>
      </c>
      <c r="Y428" s="19"/>
      <c r="Z428" s="19"/>
      <c r="AA428" s="19"/>
      <c r="AB428" s="19"/>
      <c r="AC428" s="26" t="n">
        <f aca="false">IF(AND(ISNUMBER(AC157),ISNUMBER(AC423)),IFERROR(AC157/AC423,""),"")</f>
        <v>1.86104864150581</v>
      </c>
      <c r="AD428" s="19"/>
      <c r="AE428" s="19"/>
      <c r="AF428" s="19"/>
      <c r="AG428" s="19"/>
      <c r="AH428" s="26" t="n">
        <f aca="false">IF(AND(ISNUMBER(AH157),ISNUMBER(AH423)),IFERROR(AH157/AH423,""),"")</f>
        <v>1.66826163320465</v>
      </c>
      <c r="AI428" s="19"/>
      <c r="AJ428" s="19"/>
      <c r="AK428" s="19"/>
      <c r="AL428" s="19"/>
      <c r="AM428" s="26" t="n">
        <f aca="false">IF(AND(ISNUMBER(AM157),ISNUMBER(AM423)),IFERROR(AM157/AM423,""),"")</f>
        <v>1.39622787897915</v>
      </c>
      <c r="AN428" s="19"/>
      <c r="AO428" s="19"/>
      <c r="AP428" s="19"/>
      <c r="AQ428" s="19"/>
      <c r="AR428" s="26" t="n">
        <f aca="false">IF(AND(ISNUMBER(AR157),ISNUMBER(AR423)),IFERROR(AR157/AR423,""),"")</f>
        <v>1.18878262602112</v>
      </c>
      <c r="AS428" s="19"/>
      <c r="AT428" s="19"/>
      <c r="AU428" s="19"/>
      <c r="AV428" s="19"/>
      <c r="AW428" s="26" t="n">
        <f aca="false">IF(AND(ISNUMBER(AW157),ISNUMBER(AW423)),IFERROR(AW157/AW423,""),"")</f>
        <v>1.11852037757002</v>
      </c>
      <c r="AX428" s="19"/>
      <c r="AY428" s="19"/>
      <c r="AZ428" s="19"/>
      <c r="BA428" s="19"/>
      <c r="BB428" s="26" t="n">
        <f aca="false">IF(AND(ISNUMBER(BB157),ISNUMBER(BB423)),IFERROR(BB157/BB423,""),"")</f>
        <v>1.21100216459247</v>
      </c>
      <c r="BC428" s="19"/>
      <c r="BD428" s="19"/>
      <c r="BE428" s="19"/>
      <c r="BF428" s="19"/>
      <c r="BG428" s="26" t="n">
        <f aca="false">IF(AND(ISNUMBER(BG157),ISNUMBER(BG423)),IFERROR(BG157/BG423,""),"")</f>
        <v>1.31545275806049</v>
      </c>
      <c r="BH428" s="19"/>
      <c r="BI428" s="19"/>
      <c r="BJ428" s="19"/>
      <c r="BK428" s="19"/>
      <c r="BL428" s="26" t="n">
        <f aca="false">IF(AND(ISNUMBER(BL157),ISNUMBER(BL423)),IFERROR(BL157/BL423,""),"")</f>
        <v>1.16654588187065</v>
      </c>
      <c r="BM428" s="19"/>
      <c r="BN428" s="19"/>
      <c r="BO428" s="36"/>
      <c r="BP428" s="36"/>
      <c r="BQ428" s="28" t="n">
        <f aca="false">IF(AND(ISNUMBER(BQ157),ISNUMBER(BQ423)),IFERROR(BQ157/BQ423,""),"")</f>
        <v>1.22014432514409</v>
      </c>
      <c r="BR428" s="28" t="n">
        <f aca="false">IF(AND(ISNUMBER(BR157),ISNUMBER(BR423)),IFERROR(BR157/BR423,""),"")</f>
        <v>1.31908823580302</v>
      </c>
      <c r="BS428" s="28" t="n">
        <f aca="false">IF(AND(ISNUMBER(BS157),ISNUMBER(BS423)),IFERROR(BS157/BS423,""),"")</f>
        <v>1.3390235683657</v>
      </c>
      <c r="BT428" s="28" t="n">
        <f aca="false">IF(AND(ISNUMBER(BT157),ISNUMBER(BT423)),IFERROR(BT157/BT423,""),"")</f>
        <v>1.38356795939176</v>
      </c>
      <c r="BU428" s="28" t="n">
        <f aca="false">IF(AND(ISNUMBER(BU157),ISNUMBER(BU423)),IFERROR(BU157/BU423,""),"")</f>
        <v>1.42744754957075</v>
      </c>
      <c r="BV428" s="15"/>
    </row>
    <row r="429" customFormat="false" ht="15" hidden="false" customHeight="false" outlineLevel="0" collapsed="false">
      <c r="B429" s="13" t="s">
        <v>636</v>
      </c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43" t="n">
        <f aca="false">1-N421</f>
        <v>0.63623368692466</v>
      </c>
      <c r="O429" s="19"/>
      <c r="P429" s="19"/>
      <c r="Q429" s="19"/>
      <c r="R429" s="19"/>
      <c r="S429" s="43" t="n">
        <f aca="false">1-S421</f>
        <v>0.713699332991278</v>
      </c>
      <c r="T429" s="19"/>
      <c r="U429" s="19"/>
      <c r="V429" s="19"/>
      <c r="W429" s="19"/>
      <c r="X429" s="43" t="n">
        <f aca="false">1-X421</f>
        <v>0.501605923321388</v>
      </c>
      <c r="Y429" s="19"/>
      <c r="Z429" s="19"/>
      <c r="AA429" s="19"/>
      <c r="AB429" s="19"/>
      <c r="AC429" s="43" t="n">
        <f aca="false">1-AC421</f>
        <v>0.811383390744079</v>
      </c>
      <c r="AD429" s="19"/>
      <c r="AE429" s="19"/>
      <c r="AF429" s="19"/>
      <c r="AG429" s="19"/>
      <c r="AH429" s="43" t="n">
        <f aca="false">1-AH421</f>
        <v>0.779866897004545</v>
      </c>
      <c r="AI429" s="19"/>
      <c r="AJ429" s="19"/>
      <c r="AK429" s="19"/>
      <c r="AL429" s="19"/>
      <c r="AM429" s="43" t="n">
        <f aca="false">1-AM421</f>
        <v>0.770893387672156</v>
      </c>
      <c r="AN429" s="19"/>
      <c r="AO429" s="19"/>
      <c r="AP429" s="19"/>
      <c r="AQ429" s="19"/>
      <c r="AR429" s="43" t="n">
        <f aca="false">1-AR421</f>
        <v>0.774015511241733</v>
      </c>
      <c r="AS429" s="19"/>
      <c r="AT429" s="19"/>
      <c r="AU429" s="19"/>
      <c r="AV429" s="19"/>
      <c r="AW429" s="43" t="n">
        <f aca="false">1-AW421</f>
        <v>0.759024992286331</v>
      </c>
      <c r="AX429" s="19"/>
      <c r="AY429" s="19"/>
      <c r="AZ429" s="19"/>
      <c r="BA429" s="19"/>
      <c r="BB429" s="43" t="n">
        <f aca="false">1-BB421</f>
        <v>0.766400124455507</v>
      </c>
      <c r="BC429" s="19"/>
      <c r="BD429" s="19"/>
      <c r="BE429" s="19"/>
      <c r="BF429" s="19"/>
      <c r="BG429" s="43" t="n">
        <f aca="false">1-BG421</f>
        <v>0.809526267492544</v>
      </c>
      <c r="BH429" s="19"/>
      <c r="BI429" s="19"/>
      <c r="BJ429" s="19"/>
      <c r="BK429" s="19"/>
      <c r="BL429" s="43" t="n">
        <f aca="false">1-BL421</f>
        <v>0.828546669345926</v>
      </c>
      <c r="BM429" s="19"/>
      <c r="BN429" s="19"/>
      <c r="BO429" s="36"/>
      <c r="BP429" s="36"/>
      <c r="BQ429" s="35" t="n">
        <f aca="false">1-BQ421</f>
        <v>0.799028779548957</v>
      </c>
      <c r="BR429" s="35" t="n">
        <f aca="false">1-BR421</f>
        <v>0.78</v>
      </c>
      <c r="BS429" s="35" t="n">
        <f aca="false">1-BS421</f>
        <v>0.78</v>
      </c>
      <c r="BT429" s="35" t="n">
        <f aca="false">1-BT421</f>
        <v>0.78</v>
      </c>
      <c r="BU429" s="35" t="n">
        <f aca="false">1-BU421</f>
        <v>0.78</v>
      </c>
      <c r="BV429" s="15"/>
    </row>
    <row r="430" customFormat="false" ht="15" hidden="false" customHeight="false" outlineLevel="0" collapsed="false">
      <c r="B430" s="51" t="s">
        <v>637</v>
      </c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43" t="n">
        <f aca="false">IFERROR(ROUND(N427*N428*N429-N426,4),"")</f>
        <v>0</v>
      </c>
      <c r="O430" s="19"/>
      <c r="P430" s="19"/>
      <c r="Q430" s="19"/>
      <c r="R430" s="19"/>
      <c r="S430" s="43" t="n">
        <f aca="false">IFERROR(ROUND(S427*S428*S429-S426,4),"")</f>
        <v>0</v>
      </c>
      <c r="T430" s="19"/>
      <c r="U430" s="19"/>
      <c r="V430" s="19"/>
      <c r="W430" s="19"/>
      <c r="X430" s="43" t="n">
        <f aca="false">IFERROR(ROUND(X427*X428*X429-X426,4),"")</f>
        <v>0</v>
      </c>
      <c r="Y430" s="19"/>
      <c r="Z430" s="19"/>
      <c r="AA430" s="19"/>
      <c r="AB430" s="19"/>
      <c r="AC430" s="43" t="n">
        <f aca="false">IFERROR(ROUND(AC427*AC428*AC429-AC426,4),"")</f>
        <v>0</v>
      </c>
      <c r="AD430" s="19"/>
      <c r="AE430" s="19"/>
      <c r="AF430" s="19"/>
      <c r="AG430" s="19"/>
      <c r="AH430" s="43" t="n">
        <f aca="false">IFERROR(ROUND(AH427*AH428*AH429-AH426,4),"")</f>
        <v>0</v>
      </c>
      <c r="AI430" s="19"/>
      <c r="AJ430" s="19"/>
      <c r="AK430" s="19"/>
      <c r="AL430" s="19"/>
      <c r="AM430" s="43" t="n">
        <f aca="false">IFERROR(ROUND(AM427*AM428*AM429-AM426,4),"")</f>
        <v>0</v>
      </c>
      <c r="AN430" s="19"/>
      <c r="AO430" s="19"/>
      <c r="AP430" s="19"/>
      <c r="AQ430" s="19"/>
      <c r="AR430" s="43" t="n">
        <f aca="false">IFERROR(ROUND(AR427*AR428*AR429-AR426,4),"")</f>
        <v>0</v>
      </c>
      <c r="AS430" s="19"/>
      <c r="AT430" s="19"/>
      <c r="AU430" s="19"/>
      <c r="AV430" s="19"/>
      <c r="AW430" s="43" t="n">
        <f aca="false">IFERROR(ROUND(AW427*AW428*AW429-AW426,4),"")</f>
        <v>0</v>
      </c>
      <c r="AX430" s="19"/>
      <c r="AY430" s="19"/>
      <c r="AZ430" s="19"/>
      <c r="BA430" s="19"/>
      <c r="BB430" s="43" t="n">
        <f aca="false">IFERROR(ROUND(BB427*BB428*BB429-BB426,4),"")</f>
        <v>0</v>
      </c>
      <c r="BC430" s="19"/>
      <c r="BD430" s="19"/>
      <c r="BE430" s="19"/>
      <c r="BF430" s="19"/>
      <c r="BG430" s="43" t="n">
        <f aca="false">IFERROR(ROUND(BG427*BG428*BG429-BG426,4),"")</f>
        <v>0</v>
      </c>
      <c r="BH430" s="19"/>
      <c r="BI430" s="19"/>
      <c r="BJ430" s="19"/>
      <c r="BK430" s="19"/>
      <c r="BL430" s="43" t="n">
        <f aca="false">IFERROR(ROUND(BL427*BL428*BL429-BL426,4),"")</f>
        <v>0</v>
      </c>
      <c r="BM430" s="19"/>
      <c r="BN430" s="19"/>
      <c r="BO430" s="36"/>
      <c r="BP430" s="36"/>
      <c r="BQ430" s="35" t="n">
        <f aca="false">IFERROR(ROUND(BQ427*BQ428*BQ429-BQ426,4),"")</f>
        <v>0</v>
      </c>
      <c r="BR430" s="35" t="n">
        <f aca="false">IFERROR(ROUND(BR427*BR428*BR429-BR426,4),"")</f>
        <v>0</v>
      </c>
      <c r="BS430" s="35" t="n">
        <f aca="false">IFERROR(ROUND(BS427*BS428*BS429-BS426,4),"")</f>
        <v>0</v>
      </c>
      <c r="BT430" s="35" t="n">
        <f aca="false">IFERROR(ROUND(BT427*BT428*BT429-BT426,4),"")</f>
        <v>0</v>
      </c>
      <c r="BU430" s="35" t="n">
        <f aca="false">IFERROR(ROUND(BU427*BU428*BU429-BU426,4),"")</f>
        <v>0</v>
      </c>
      <c r="BV430" s="15"/>
    </row>
    <row r="431" customFormat="false" ht="15" hidden="false" customHeight="false" outlineLevel="0" collapsed="false">
      <c r="B431" s="16" t="s">
        <v>638</v>
      </c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7"/>
    </row>
    <row r="432" customFormat="false" ht="15" hidden="false" customHeight="false" outlineLevel="0" collapsed="false">
      <c r="B432" s="13" t="s">
        <v>629</v>
      </c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20" t="n">
        <f aca="false">N422</f>
        <v>151.131586225771</v>
      </c>
      <c r="O432" s="19"/>
      <c r="P432" s="19"/>
      <c r="Q432" s="19"/>
      <c r="R432" s="19"/>
      <c r="S432" s="20" t="n">
        <f aca="false">S422</f>
        <v>199.238446895844</v>
      </c>
      <c r="T432" s="19"/>
      <c r="U432" s="19"/>
      <c r="V432" s="19"/>
      <c r="W432" s="19"/>
      <c r="X432" s="20" t="n">
        <f aca="false">X422</f>
        <v>157.797699388059</v>
      </c>
      <c r="Y432" s="19"/>
      <c r="Z432" s="19"/>
      <c r="AA432" s="19"/>
      <c r="AB432" s="19"/>
      <c r="AC432" s="20" t="n">
        <f aca="false">AC422</f>
        <v>249.481730835817</v>
      </c>
      <c r="AD432" s="19"/>
      <c r="AE432" s="19"/>
      <c r="AF432" s="19"/>
      <c r="AG432" s="19"/>
      <c r="AH432" s="20" t="n">
        <f aca="false">AH422</f>
        <v>258.542253561844</v>
      </c>
      <c r="AI432" s="19"/>
      <c r="AJ432" s="19"/>
      <c r="AK432" s="19"/>
      <c r="AL432" s="19"/>
      <c r="AM432" s="20" t="n">
        <f aca="false">AM422</f>
        <v>282.41833436047</v>
      </c>
      <c r="AN432" s="19"/>
      <c r="AO432" s="19"/>
      <c r="AP432" s="19"/>
      <c r="AQ432" s="19"/>
      <c r="AR432" s="20" t="n">
        <f aca="false">AR422</f>
        <v>270.091164616781</v>
      </c>
      <c r="AS432" s="19"/>
      <c r="AT432" s="19"/>
      <c r="AU432" s="19"/>
      <c r="AV432" s="19"/>
      <c r="AW432" s="20" t="n">
        <f aca="false">AW422</f>
        <v>277.477525455106</v>
      </c>
      <c r="AX432" s="19"/>
      <c r="AY432" s="19"/>
      <c r="AZ432" s="19"/>
      <c r="BA432" s="19"/>
      <c r="BB432" s="20" t="n">
        <f aca="false">BB422</f>
        <v>301.470386555694</v>
      </c>
      <c r="BC432" s="19"/>
      <c r="BD432" s="19"/>
      <c r="BE432" s="19"/>
      <c r="BF432" s="19"/>
      <c r="BG432" s="20" t="n">
        <f aca="false">BG422</f>
        <v>334.178109904795</v>
      </c>
      <c r="BH432" s="19"/>
      <c r="BI432" s="19"/>
      <c r="BJ432" s="19"/>
      <c r="BK432" s="19"/>
      <c r="BL432" s="20" t="n">
        <f aca="false">BL422</f>
        <v>394.105680194414</v>
      </c>
      <c r="BM432" s="19"/>
      <c r="BN432" s="19"/>
      <c r="BO432" s="36"/>
      <c r="BP432" s="36"/>
      <c r="BQ432" s="21" t="n">
        <f aca="false">BQ422</f>
        <v>438.683180044947</v>
      </c>
      <c r="BR432" s="21" t="n">
        <f aca="false">BR422</f>
        <v>475.455673072064</v>
      </c>
      <c r="BS432" s="21" t="n">
        <f aca="false">BS422</f>
        <v>534.598712970463</v>
      </c>
      <c r="BT432" s="21" t="n">
        <f aca="false">BT422</f>
        <v>603.260345646888</v>
      </c>
      <c r="BU432" s="21" t="n">
        <f aca="false">BU422</f>
        <v>671.775371496011</v>
      </c>
      <c r="BV432" s="15"/>
    </row>
    <row r="433" customFormat="false" ht="15" hidden="false" customHeight="false" outlineLevel="0" collapsed="false">
      <c r="B433" s="13" t="s">
        <v>639</v>
      </c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20" t="n">
        <f aca="false">N330</f>
        <v>1382.139</v>
      </c>
      <c r="O433" s="19"/>
      <c r="P433" s="19"/>
      <c r="Q433" s="19"/>
      <c r="R433" s="19"/>
      <c r="S433" s="20" t="n">
        <f aca="false">S330</f>
        <v>1579.815</v>
      </c>
      <c r="T433" s="19"/>
      <c r="U433" s="19"/>
      <c r="V433" s="19"/>
      <c r="W433" s="19"/>
      <c r="X433" s="20" t="n">
        <f aca="false">X330</f>
        <v>1712.339</v>
      </c>
      <c r="Y433" s="19"/>
      <c r="Z433" s="19"/>
      <c r="AA433" s="19"/>
      <c r="AB433" s="19"/>
      <c r="AC433" s="20" t="n">
        <f aca="false">AC330</f>
        <v>1655.096</v>
      </c>
      <c r="AD433" s="19"/>
      <c r="AE433" s="19"/>
      <c r="AF433" s="19"/>
      <c r="AG433" s="19"/>
      <c r="AH433" s="20" t="n">
        <f aca="false">AH330</f>
        <v>1908.913</v>
      </c>
      <c r="AI433" s="19"/>
      <c r="AJ433" s="19"/>
      <c r="AK433" s="19"/>
      <c r="AL433" s="19"/>
      <c r="AM433" s="20" t="n">
        <f aca="false">AM330</f>
        <v>2293.503</v>
      </c>
      <c r="AN433" s="19"/>
      <c r="AO433" s="19"/>
      <c r="AP433" s="19"/>
      <c r="AQ433" s="19"/>
      <c r="AR433" s="20" t="n">
        <f aca="false">AR330</f>
        <v>2501.38</v>
      </c>
      <c r="AS433" s="19"/>
      <c r="AT433" s="19"/>
      <c r="AU433" s="19"/>
      <c r="AV433" s="19"/>
      <c r="AW433" s="20" t="n">
        <f aca="false">AW330</f>
        <v>2618.939</v>
      </c>
      <c r="AX433" s="19"/>
      <c r="AY433" s="19"/>
      <c r="AZ433" s="19"/>
      <c r="BA433" s="19"/>
      <c r="BB433" s="20" t="n">
        <f aca="false">BB330</f>
        <v>2747.065</v>
      </c>
      <c r="BC433" s="19"/>
      <c r="BD433" s="19"/>
      <c r="BE433" s="19"/>
      <c r="BF433" s="19"/>
      <c r="BG433" s="20" t="n">
        <f aca="false">BG330</f>
        <v>2869.924</v>
      </c>
      <c r="BH433" s="19"/>
      <c r="BI433" s="19"/>
      <c r="BJ433" s="19"/>
      <c r="BK433" s="19"/>
      <c r="BL433" s="20" t="n">
        <f aca="false">BL330</f>
        <v>4271.495</v>
      </c>
      <c r="BM433" s="19"/>
      <c r="BN433" s="19"/>
      <c r="BO433" s="36"/>
      <c r="BP433" s="36"/>
      <c r="BQ433" s="21" t="n">
        <f aca="false">BQ330</f>
        <v>4745.45675974587</v>
      </c>
      <c r="BR433" s="21" t="n">
        <f aca="false">BR330</f>
        <v>5264.85207403293</v>
      </c>
      <c r="BS433" s="21" t="n">
        <f aca="false">BS330</f>
        <v>5483.34209651431</v>
      </c>
      <c r="BT433" s="21" t="n">
        <f aca="false">BT330</f>
        <v>5680.91181040347</v>
      </c>
      <c r="BU433" s="21" t="n">
        <f aca="false">BU330</f>
        <v>5898.73599909161</v>
      </c>
      <c r="BV433" s="15"/>
    </row>
    <row r="434" customFormat="false" ht="15" hidden="false" customHeight="false" outlineLevel="0" collapsed="false">
      <c r="B434" s="13" t="s">
        <v>640</v>
      </c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20" t="n">
        <f aca="false">-(N324+N327)</f>
        <v>-226.762</v>
      </c>
      <c r="O434" s="19"/>
      <c r="P434" s="19"/>
      <c r="Q434" s="19"/>
      <c r="R434" s="19"/>
      <c r="S434" s="20" t="n">
        <f aca="false">-(S324+S327)</f>
        <v>-325.536</v>
      </c>
      <c r="T434" s="19"/>
      <c r="U434" s="19"/>
      <c r="V434" s="19"/>
      <c r="W434" s="19"/>
      <c r="X434" s="20" t="n">
        <f aca="false">-(X324+X327)</f>
        <v>-328.736</v>
      </c>
      <c r="Y434" s="19"/>
      <c r="Z434" s="19"/>
      <c r="AA434" s="19"/>
      <c r="AB434" s="19"/>
      <c r="AC434" s="20" t="n">
        <f aca="false">-(AC324+AC327)</f>
        <v>-502.758</v>
      </c>
      <c r="AD434" s="19"/>
      <c r="AE434" s="19"/>
      <c r="AF434" s="19"/>
      <c r="AG434" s="19"/>
      <c r="AH434" s="20" t="n">
        <f aca="false">-(AH324+AH327)</f>
        <v>-466.894</v>
      </c>
      <c r="AI434" s="19"/>
      <c r="AJ434" s="19"/>
      <c r="AK434" s="19"/>
      <c r="AL434" s="19"/>
      <c r="AM434" s="20" t="n">
        <f aca="false">-(AM324+AM327)</f>
        <v>-476.459</v>
      </c>
      <c r="AN434" s="19"/>
      <c r="AO434" s="19"/>
      <c r="AP434" s="19"/>
      <c r="AQ434" s="19"/>
      <c r="AR434" s="20" t="n">
        <f aca="false">-(AR324+AR327)</f>
        <v>-471.053</v>
      </c>
      <c r="AS434" s="19"/>
      <c r="AT434" s="19"/>
      <c r="AU434" s="19"/>
      <c r="AV434" s="19"/>
      <c r="AW434" s="20" t="n">
        <f aca="false">-(AW324+AW327)</f>
        <v>-486.777</v>
      </c>
      <c r="AX434" s="19"/>
      <c r="AY434" s="19"/>
      <c r="AZ434" s="19"/>
      <c r="BA434" s="19"/>
      <c r="BB434" s="20" t="n">
        <f aca="false">-(BB324+BB327)</f>
        <v>-482.53</v>
      </c>
      <c r="BC434" s="19"/>
      <c r="BD434" s="19"/>
      <c r="BE434" s="19"/>
      <c r="BF434" s="19"/>
      <c r="BG434" s="20" t="n">
        <f aca="false">-(BG324+BG327)</f>
        <v>-452.687</v>
      </c>
      <c r="BH434" s="19"/>
      <c r="BI434" s="19"/>
      <c r="BJ434" s="19"/>
      <c r="BK434" s="19"/>
      <c r="BL434" s="20" t="n">
        <f aca="false">-(BL324+BL327)</f>
        <v>-830.719</v>
      </c>
      <c r="BM434" s="19"/>
      <c r="BN434" s="19"/>
      <c r="BO434" s="36"/>
      <c r="BP434" s="36"/>
      <c r="BQ434" s="21" t="n">
        <f aca="false">-(BQ324+BQ327)</f>
        <v>-1056.219</v>
      </c>
      <c r="BR434" s="21" t="n">
        <f aca="false">-(BR324+BR327)</f>
        <v>-897.219</v>
      </c>
      <c r="BS434" s="21" t="n">
        <f aca="false">-(BS324+BS327)</f>
        <v>-988.5315</v>
      </c>
      <c r="BT434" s="21" t="n">
        <f aca="false">-(BT324+BT327)</f>
        <v>-1075.469</v>
      </c>
      <c r="BU434" s="21" t="n">
        <f aca="false">-(BU324+BU327)</f>
        <v>-1158.0315</v>
      </c>
      <c r="BV434" s="15"/>
    </row>
    <row r="435" customFormat="false" ht="15" hidden="false" customHeight="false" outlineLevel="0" collapsed="false">
      <c r="B435" s="13" t="s">
        <v>641</v>
      </c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20" t="n">
        <f aca="false">-(N341-N332-N(N333))</f>
        <v>-338.78</v>
      </c>
      <c r="O435" s="19"/>
      <c r="P435" s="19"/>
      <c r="Q435" s="19"/>
      <c r="R435" s="19"/>
      <c r="S435" s="20" t="n">
        <f aca="false">-(S341-S332-N(S333))</f>
        <v>-412.506</v>
      </c>
      <c r="T435" s="19"/>
      <c r="U435" s="19"/>
      <c r="V435" s="19"/>
      <c r="W435" s="19"/>
      <c r="X435" s="20" t="n">
        <f aca="false">-(X341-X332-N(X333))</f>
        <v>-500.256</v>
      </c>
      <c r="Y435" s="19"/>
      <c r="Z435" s="19"/>
      <c r="AA435" s="19"/>
      <c r="AB435" s="19"/>
      <c r="AC435" s="20" t="n">
        <f aca="false">-(AC341-AC332-N(AC333))</f>
        <v>-363.121</v>
      </c>
      <c r="AD435" s="19"/>
      <c r="AE435" s="19"/>
      <c r="AF435" s="19"/>
      <c r="AG435" s="19"/>
      <c r="AH435" s="20" t="n">
        <f aca="false">-(AH341-AH332-N(AH333))</f>
        <v>-389.998</v>
      </c>
      <c r="AI435" s="19"/>
      <c r="AJ435" s="19"/>
      <c r="AK435" s="19"/>
      <c r="AL435" s="19"/>
      <c r="AM435" s="20" t="n">
        <f aca="false">-(AM341-AM332-N(AM333))</f>
        <v>-441.033</v>
      </c>
      <c r="AN435" s="19"/>
      <c r="AO435" s="19"/>
      <c r="AP435" s="19"/>
      <c r="AQ435" s="19"/>
      <c r="AR435" s="20" t="n">
        <f aca="false">-(AR341-AR332-N(AR333))</f>
        <v>-459.615</v>
      </c>
      <c r="AS435" s="19"/>
      <c r="AT435" s="19"/>
      <c r="AU435" s="19"/>
      <c r="AV435" s="19"/>
      <c r="AW435" s="20" t="n">
        <f aca="false">-(AW341-AW332-N(AW333))</f>
        <v>-361.61</v>
      </c>
      <c r="AX435" s="19"/>
      <c r="AY435" s="19"/>
      <c r="AZ435" s="19"/>
      <c r="BA435" s="19"/>
      <c r="BB435" s="20" t="n">
        <f aca="false">-(BB341-BB332-N(BB333))</f>
        <v>-368.796</v>
      </c>
      <c r="BC435" s="19"/>
      <c r="BD435" s="19"/>
      <c r="BE435" s="19"/>
      <c r="BF435" s="19"/>
      <c r="BG435" s="20" t="n">
        <f aca="false">-(BG341-BG332-N(BG333))</f>
        <v>-461.701</v>
      </c>
      <c r="BH435" s="19"/>
      <c r="BI435" s="19"/>
      <c r="BJ435" s="19"/>
      <c r="BK435" s="19"/>
      <c r="BL435" s="20" t="n">
        <f aca="false">-(BL341-BL332-N(BL333))</f>
        <v>-672.017</v>
      </c>
      <c r="BM435" s="19"/>
      <c r="BN435" s="19"/>
      <c r="BO435" s="36"/>
      <c r="BP435" s="36"/>
      <c r="BQ435" s="21" t="n">
        <f aca="false">-(BQ341-BQ332-BQ333)</f>
        <v>-824.6</v>
      </c>
      <c r="BR435" s="21" t="n">
        <f aca="false">-(BR341-BR332-BR333)</f>
        <v>-861.780937908502</v>
      </c>
      <c r="BS435" s="21" t="n">
        <f aca="false">-(BS341-BS332-BS333)</f>
        <v>-948.65603040299</v>
      </c>
      <c r="BT435" s="21" t="n">
        <f aca="false">-(BT341-BT332-BT333)</f>
        <v>-1052.30261246806</v>
      </c>
      <c r="BU435" s="21" t="n">
        <f aca="false">-(BU341-BU332-BU333)</f>
        <v>-1162.47521444604</v>
      </c>
      <c r="BV435" s="15"/>
    </row>
    <row r="436" customFormat="false" ht="15" hidden="false" customHeight="false" outlineLevel="0" collapsed="false">
      <c r="B436" s="13" t="s">
        <v>642</v>
      </c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20" t="n">
        <f aca="false">N433+N434+N435</f>
        <v>816.597</v>
      </c>
      <c r="O436" s="19"/>
      <c r="P436" s="19"/>
      <c r="Q436" s="19"/>
      <c r="R436" s="19"/>
      <c r="S436" s="20" t="n">
        <f aca="false">S433+S434+S435</f>
        <v>841.773</v>
      </c>
      <c r="T436" s="19"/>
      <c r="U436" s="19"/>
      <c r="V436" s="19"/>
      <c r="W436" s="19"/>
      <c r="X436" s="20" t="n">
        <f aca="false">X433+X434+X435</f>
        <v>883.347</v>
      </c>
      <c r="Y436" s="19"/>
      <c r="Z436" s="19"/>
      <c r="AA436" s="19"/>
      <c r="AB436" s="19"/>
      <c r="AC436" s="20" t="n">
        <f aca="false">AC433+AC434+AC435</f>
        <v>789.217</v>
      </c>
      <c r="AD436" s="19"/>
      <c r="AE436" s="19"/>
      <c r="AF436" s="19"/>
      <c r="AG436" s="19"/>
      <c r="AH436" s="20" t="n">
        <f aca="false">AH433+AH434+AH435</f>
        <v>1052.021</v>
      </c>
      <c r="AI436" s="19"/>
      <c r="AJ436" s="19"/>
      <c r="AK436" s="19"/>
      <c r="AL436" s="19"/>
      <c r="AM436" s="20" t="n">
        <f aca="false">AM433+AM434+AM435</f>
        <v>1376.011</v>
      </c>
      <c r="AN436" s="19"/>
      <c r="AO436" s="19"/>
      <c r="AP436" s="19"/>
      <c r="AQ436" s="19"/>
      <c r="AR436" s="20" t="n">
        <f aca="false">AR433+AR434+AR435</f>
        <v>1570.712</v>
      </c>
      <c r="AS436" s="19"/>
      <c r="AT436" s="19"/>
      <c r="AU436" s="19"/>
      <c r="AV436" s="19"/>
      <c r="AW436" s="20" t="n">
        <f aca="false">AW433+AW434+AW435</f>
        <v>1770.552</v>
      </c>
      <c r="AX436" s="19"/>
      <c r="AY436" s="19"/>
      <c r="AZ436" s="19"/>
      <c r="BA436" s="19"/>
      <c r="BB436" s="20" t="n">
        <f aca="false">BB433+BB434+BB435</f>
        <v>1895.739</v>
      </c>
      <c r="BC436" s="19"/>
      <c r="BD436" s="19"/>
      <c r="BE436" s="19"/>
      <c r="BF436" s="19"/>
      <c r="BG436" s="20" t="n">
        <f aca="false">BG433+BG434+BG435</f>
        <v>1955.536</v>
      </c>
      <c r="BH436" s="19"/>
      <c r="BI436" s="19"/>
      <c r="BJ436" s="19"/>
      <c r="BK436" s="19"/>
      <c r="BL436" s="20" t="n">
        <f aca="false">BL433+BL434+BL435</f>
        <v>2768.759</v>
      </c>
      <c r="BM436" s="19"/>
      <c r="BN436" s="19"/>
      <c r="BO436" s="36"/>
      <c r="BP436" s="36"/>
      <c r="BQ436" s="21" t="n">
        <f aca="false">BQ433+BQ434+BQ435</f>
        <v>2864.63775974587</v>
      </c>
      <c r="BR436" s="21" t="n">
        <f aca="false">BR433+BR434+BR435</f>
        <v>3505.85213612443</v>
      </c>
      <c r="BS436" s="21" t="n">
        <f aca="false">BS433+BS434+BS435</f>
        <v>3546.15456611132</v>
      </c>
      <c r="BT436" s="21" t="n">
        <f aca="false">BT433+BT434+BT435</f>
        <v>3553.14019793541</v>
      </c>
      <c r="BU436" s="21" t="n">
        <f aca="false">BU433+BU434+BU435</f>
        <v>3578.22928464557</v>
      </c>
      <c r="BV436" s="15"/>
    </row>
    <row r="437" customFormat="false" ht="15" hidden="false" customHeight="false" outlineLevel="0" collapsed="false">
      <c r="B437" s="60" t="s">
        <v>643</v>
      </c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77" t="n">
        <f aca="false">IF(AND(ISNUMBER(N432),ISNUMBER(N436)),IFERROR(N432/N436,""),"")</f>
        <v>0.185074873194208</v>
      </c>
      <c r="O437" s="61"/>
      <c r="P437" s="61"/>
      <c r="Q437" s="61"/>
      <c r="R437" s="61"/>
      <c r="S437" s="77" t="n">
        <f aca="false">IF(AND(ISNUMBER(S432),ISNUMBER(S436)),IFERROR(S432/S436,""),"")</f>
        <v>0.23668904430986</v>
      </c>
      <c r="T437" s="61"/>
      <c r="U437" s="61"/>
      <c r="V437" s="61"/>
      <c r="W437" s="61"/>
      <c r="X437" s="77" t="n">
        <f aca="false">IF(AND(ISNUMBER(X432),ISNUMBER(X436)),IFERROR(X432/X436,""),"")</f>
        <v>0.178636141163165</v>
      </c>
      <c r="Y437" s="61"/>
      <c r="Z437" s="61"/>
      <c r="AA437" s="61"/>
      <c r="AB437" s="61"/>
      <c r="AC437" s="77" t="n">
        <f aca="false">IF(AND(ISNUMBER(AC432),ISNUMBER(AC436)),IFERROR(AC432/AC436,""),"")</f>
        <v>0.31611297125609</v>
      </c>
      <c r="AD437" s="61"/>
      <c r="AE437" s="61"/>
      <c r="AF437" s="61"/>
      <c r="AG437" s="61"/>
      <c r="AH437" s="77" t="n">
        <f aca="false">IF(AND(ISNUMBER(AH432),ISNUMBER(AH436)),IFERROR(AH432/AH436,""),"")</f>
        <v>0.245757692633364</v>
      </c>
      <c r="AI437" s="61"/>
      <c r="AJ437" s="61"/>
      <c r="AK437" s="61"/>
      <c r="AL437" s="61"/>
      <c r="AM437" s="77" t="n">
        <f aca="false">IF(AND(ISNUMBER(AM432),ISNUMBER(AM436)),IFERROR(AM432/AM436,""),"")</f>
        <v>0.205244241768758</v>
      </c>
      <c r="AN437" s="61"/>
      <c r="AO437" s="61"/>
      <c r="AP437" s="61"/>
      <c r="AQ437" s="61"/>
      <c r="AR437" s="77" t="n">
        <f aca="false">IF(AND(ISNUMBER(AR432),ISNUMBER(AR436)),IFERROR(AR432/AR436,""),"")</f>
        <v>0.171954606966</v>
      </c>
      <c r="AS437" s="61"/>
      <c r="AT437" s="61"/>
      <c r="AU437" s="61"/>
      <c r="AV437" s="61"/>
      <c r="AW437" s="77" t="n">
        <f aca="false">IF(AND(ISNUMBER(AW432),ISNUMBER(AW436)),IFERROR(AW432/AW436,""),"")</f>
        <v>0.156718088740182</v>
      </c>
      <c r="AX437" s="61"/>
      <c r="AY437" s="61"/>
      <c r="AZ437" s="61"/>
      <c r="BA437" s="61"/>
      <c r="BB437" s="77" t="n">
        <f aca="false">IF(AND(ISNUMBER(BB432),ISNUMBER(BB436)),IFERROR(BB432/BB436,""),"")</f>
        <v>0.159025259571963</v>
      </c>
      <c r="BC437" s="61"/>
      <c r="BD437" s="61"/>
      <c r="BE437" s="61"/>
      <c r="BF437" s="61"/>
      <c r="BG437" s="77" t="n">
        <f aca="false">IF(AND(ISNUMBER(BG432),ISNUMBER(BG436)),IFERROR(BG432/BG436,""),"")</f>
        <v>0.170888242356466</v>
      </c>
      <c r="BH437" s="61"/>
      <c r="BI437" s="61"/>
      <c r="BJ437" s="61"/>
      <c r="BK437" s="61"/>
      <c r="BL437" s="77" t="n">
        <f aca="false">IF(AND(ISNUMBER(BL432),ISNUMBER(BL436)),IFERROR(BL432/BL436,""),"")</f>
        <v>0.142340189303011</v>
      </c>
      <c r="BM437" s="61"/>
      <c r="BN437" s="61"/>
      <c r="BO437" s="61"/>
      <c r="BP437" s="61"/>
      <c r="BQ437" s="77" t="n">
        <f aca="false">IF(AND(ISNUMBER(BQ432),ISNUMBER(BQ436)),IFERROR(BQ432/BQ436,""),"")</f>
        <v>0.153137400550031</v>
      </c>
      <c r="BR437" s="77" t="n">
        <f aca="false">IF(AND(ISNUMBER(BR432),ISNUMBER(BR436)),IFERROR(BR432/BR436,""),"")</f>
        <v>0.135617719918348</v>
      </c>
      <c r="BS437" s="77" t="n">
        <f aca="false">IF(AND(ISNUMBER(BS432),ISNUMBER(BS436)),IFERROR(BS432/BS436,""),"")</f>
        <v>0.150754487150485</v>
      </c>
      <c r="BT437" s="77" t="n">
        <f aca="false">IF(AND(ISNUMBER(BT432),ISNUMBER(BT436)),IFERROR(BT432/BT436,""),"")</f>
        <v>0.169782308617436</v>
      </c>
      <c r="BU437" s="77" t="n">
        <f aca="false">IF(AND(ISNUMBER(BU432),ISNUMBER(BU436)),IFERROR(BU432/BU436,""),"")</f>
        <v>0.187739610309112</v>
      </c>
      <c r="BV437" s="15"/>
      <c r="BX437" s="38" t="n">
        <f aca="false">IFERROR(AVERAGE(BQ437,BR437,BS437,BT437,BU437),"n/m")</f>
        <v>0.159406305309082</v>
      </c>
      <c r="BY437" s="38" t="n">
        <f aca="false">IFERROR(AVERAGE(AR437,AW437,BB437,BG437,BL437),"n/m")</f>
        <v>0.160185277387524</v>
      </c>
      <c r="BZ437" s="38" t="n">
        <f aca="false">IFERROR(AVERAGE(S437,X437,AC437,AH437,AM437,AR437,AW437,BB437,BG437,BL437),"n/m")</f>
        <v>0.198336647806886</v>
      </c>
      <c r="CA437" s="38" t="n">
        <f aca="false">IFERROR(AVERAGE(D437,I437,N437,S437,X437,AC437,AH437,AM437,AR437,AW437,BB437,BG437,BL437),"n/m")</f>
        <v>0.197131031933006</v>
      </c>
    </row>
    <row r="438" customFormat="false" ht="15" hidden="false" customHeight="false" outlineLevel="0" collapsed="false">
      <c r="B438" s="16" t="s">
        <v>644</v>
      </c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7"/>
    </row>
    <row r="439" customFormat="false" ht="15" hidden="false" customHeight="false" outlineLevel="0" collapsed="false">
      <c r="B439" s="13" t="s">
        <v>645</v>
      </c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20" t="n">
        <f aca="false">N177</f>
        <v>131.465</v>
      </c>
      <c r="O439" s="19"/>
      <c r="P439" s="19"/>
      <c r="Q439" s="19"/>
      <c r="R439" s="19"/>
      <c r="S439" s="20" t="n">
        <f aca="false">S177</f>
        <v>183.057</v>
      </c>
      <c r="T439" s="19"/>
      <c r="U439" s="19"/>
      <c r="V439" s="19"/>
      <c r="W439" s="19"/>
      <c r="X439" s="20" t="n">
        <f aca="false">X177</f>
        <v>147.844</v>
      </c>
      <c r="Y439" s="19"/>
      <c r="Z439" s="19"/>
      <c r="AA439" s="19"/>
      <c r="AB439" s="19"/>
      <c r="AC439" s="20" t="n">
        <f aca="false">AC177</f>
        <v>226.958</v>
      </c>
      <c r="AD439" s="19"/>
      <c r="AE439" s="19"/>
      <c r="AF439" s="19"/>
      <c r="AG439" s="19"/>
      <c r="AH439" s="20" t="n">
        <f aca="false">AH177</f>
        <v>244.115</v>
      </c>
      <c r="AI439" s="19"/>
      <c r="AJ439" s="19"/>
      <c r="AK439" s="19"/>
      <c r="AL439" s="19"/>
      <c r="AM439" s="20" t="n">
        <f aca="false">AM177</f>
        <v>278.67</v>
      </c>
      <c r="AN439" s="19"/>
      <c r="AO439" s="19"/>
      <c r="AP439" s="19"/>
      <c r="AQ439" s="19"/>
      <c r="AR439" s="20" t="n">
        <f aca="false">AR177</f>
        <v>305.871</v>
      </c>
      <c r="AS439" s="19"/>
      <c r="AT439" s="19"/>
      <c r="AU439" s="19"/>
      <c r="AV439" s="19"/>
      <c r="AW439" s="20" t="n">
        <f aca="false">AW177</f>
        <v>238.191</v>
      </c>
      <c r="AX439" s="19"/>
      <c r="AY439" s="19"/>
      <c r="AZ439" s="19"/>
      <c r="BA439" s="19"/>
      <c r="BB439" s="20" t="n">
        <f aca="false">BB177</f>
        <v>245.849</v>
      </c>
      <c r="BC439" s="19"/>
      <c r="BD439" s="19"/>
      <c r="BE439" s="19"/>
      <c r="BF439" s="19"/>
      <c r="BG439" s="20" t="n">
        <f aca="false">BG177</f>
        <v>281.941</v>
      </c>
      <c r="BH439" s="19"/>
      <c r="BI439" s="19"/>
      <c r="BJ439" s="19"/>
      <c r="BK439" s="19"/>
      <c r="BL439" s="20" t="n">
        <f aca="false">BL177</f>
        <v>328.945</v>
      </c>
      <c r="BM439" s="19"/>
      <c r="BN439" s="19"/>
      <c r="BO439" s="36"/>
      <c r="BP439" s="36"/>
      <c r="BQ439" s="21" t="n">
        <f aca="false">BQ177</f>
        <v>391.068402482895</v>
      </c>
      <c r="BR439" s="21" t="n">
        <f aca="false">BR177</f>
        <v>894.274147957043</v>
      </c>
      <c r="BS439" s="21" t="n">
        <f aca="false">BS177</f>
        <v>513.286205054995</v>
      </c>
      <c r="BT439" s="21" t="n">
        <f aca="false">BT177</f>
        <v>573.684637498531</v>
      </c>
      <c r="BU439" s="21" t="n">
        <f aca="false">BU177</f>
        <v>629.40968666781</v>
      </c>
      <c r="BV439" s="15"/>
    </row>
    <row r="440" customFormat="false" ht="15" hidden="false" customHeight="false" outlineLevel="0" collapsed="false">
      <c r="B440" s="13" t="s">
        <v>646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20" t="n">
        <f aca="false">N353</f>
        <v>265.716</v>
      </c>
      <c r="O440" s="19"/>
      <c r="P440" s="19"/>
      <c r="Q440" s="19"/>
      <c r="R440" s="19"/>
      <c r="S440" s="20" t="n">
        <f aca="false">S353</f>
        <v>150.018</v>
      </c>
      <c r="T440" s="19"/>
      <c r="U440" s="19"/>
      <c r="V440" s="19"/>
      <c r="W440" s="19"/>
      <c r="X440" s="20" t="n">
        <f aca="false">X353</f>
        <v>285.394</v>
      </c>
      <c r="Y440" s="19"/>
      <c r="Z440" s="19"/>
      <c r="AA440" s="19"/>
      <c r="AB440" s="19"/>
      <c r="AC440" s="20" t="n">
        <f aca="false">AC353</f>
        <v>235.662</v>
      </c>
      <c r="AD440" s="19"/>
      <c r="AE440" s="19"/>
      <c r="AF440" s="19"/>
      <c r="AG440" s="19"/>
      <c r="AH440" s="20" t="n">
        <f aca="false">AH353</f>
        <v>404.106</v>
      </c>
      <c r="AI440" s="19"/>
      <c r="AJ440" s="19"/>
      <c r="AK440" s="19"/>
      <c r="AL440" s="19"/>
      <c r="AM440" s="20" t="n">
        <f aca="false">AM353</f>
        <v>617.766</v>
      </c>
      <c r="AN440" s="19"/>
      <c r="AO440" s="19"/>
      <c r="AP440" s="19"/>
      <c r="AQ440" s="19"/>
      <c r="AR440" s="20" t="n">
        <f aca="false">AR353</f>
        <v>637.175</v>
      </c>
      <c r="AS440" s="19"/>
      <c r="AT440" s="19"/>
      <c r="AU440" s="19"/>
      <c r="AV440" s="19"/>
      <c r="AW440" s="20" t="n">
        <f aca="false">AW353</f>
        <v>748.31</v>
      </c>
      <c r="AX440" s="19"/>
      <c r="AY440" s="19"/>
      <c r="AZ440" s="19"/>
      <c r="BA440" s="19"/>
      <c r="BB440" s="20" t="n">
        <f aca="false">BB353</f>
        <v>933.351</v>
      </c>
      <c r="BC440" s="19"/>
      <c r="BD440" s="19"/>
      <c r="BE440" s="19"/>
      <c r="BF440" s="19"/>
      <c r="BG440" s="20" t="n">
        <f aca="false">BG353</f>
        <v>1080.68</v>
      </c>
      <c r="BH440" s="19"/>
      <c r="BI440" s="19"/>
      <c r="BJ440" s="19"/>
      <c r="BK440" s="19"/>
      <c r="BL440" s="20" t="n">
        <f aca="false">BL353</f>
        <v>1232.487</v>
      </c>
      <c r="BM440" s="19"/>
      <c r="BN440" s="19"/>
      <c r="BO440" s="36"/>
      <c r="BP440" s="36"/>
      <c r="BQ440" s="21" t="n">
        <f aca="false">BQ353</f>
        <v>1547.49275974587</v>
      </c>
      <c r="BR440" s="21" t="n">
        <f aca="false">BR353</f>
        <v>2023.30713612443</v>
      </c>
      <c r="BS440" s="21" t="n">
        <f aca="false">BS353</f>
        <v>2148.52206611132</v>
      </c>
      <c r="BT440" s="21" t="n">
        <f aca="false">BT353</f>
        <v>2236.04519793541</v>
      </c>
      <c r="BU440" s="21" t="n">
        <f aca="false">BU353</f>
        <v>2337.29678464557</v>
      </c>
      <c r="BV440" s="15"/>
    </row>
    <row r="441" customFormat="false" ht="15" hidden="false" customHeight="false" outlineLevel="0" collapsed="false">
      <c r="B441" s="60" t="s">
        <v>647</v>
      </c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77" t="n">
        <f aca="false">IF(AND(ISNUMBER(N439),ISNUMBER(N440)),IFERROR(N439/N440,""),"")</f>
        <v>0.49475756070391</v>
      </c>
      <c r="O441" s="61"/>
      <c r="P441" s="61"/>
      <c r="Q441" s="61"/>
      <c r="R441" s="61"/>
      <c r="S441" s="77" t="n">
        <f aca="false">IF(AND(ISNUMBER(S439),ISNUMBER(S440)),IFERROR(S439/S440,""),"")</f>
        <v>1.22023357197136</v>
      </c>
      <c r="T441" s="61"/>
      <c r="U441" s="61"/>
      <c r="V441" s="61"/>
      <c r="W441" s="61"/>
      <c r="X441" s="77" t="n">
        <f aca="false">IF(AND(ISNUMBER(X439),ISNUMBER(X440)),IFERROR(X439/X440,""),"")</f>
        <v>0.518034716917665</v>
      </c>
      <c r="Y441" s="61"/>
      <c r="Z441" s="61"/>
      <c r="AA441" s="61"/>
      <c r="AB441" s="61"/>
      <c r="AC441" s="77" t="n">
        <f aca="false">IF(AND(ISNUMBER(AC439),ISNUMBER(AC440)),IFERROR(AC439/AC440,""),"")</f>
        <v>0.963065746705027</v>
      </c>
      <c r="AD441" s="61"/>
      <c r="AE441" s="61"/>
      <c r="AF441" s="61"/>
      <c r="AG441" s="61"/>
      <c r="AH441" s="77" t="n">
        <f aca="false">IF(AND(ISNUMBER(AH439),ISNUMBER(AH440)),IFERROR(AH439/AH440,""),"")</f>
        <v>0.604086551548356</v>
      </c>
      <c r="AI441" s="61"/>
      <c r="AJ441" s="61"/>
      <c r="AK441" s="61"/>
      <c r="AL441" s="61"/>
      <c r="AM441" s="77" t="n">
        <f aca="false">IF(AND(ISNUMBER(AM439),ISNUMBER(AM440)),IFERROR(AM439/AM440,""),"")</f>
        <v>0.451093132351085</v>
      </c>
      <c r="AN441" s="61"/>
      <c r="AO441" s="61"/>
      <c r="AP441" s="61"/>
      <c r="AQ441" s="61"/>
      <c r="AR441" s="77" t="n">
        <f aca="false">IF(AND(ISNUMBER(AR439),ISNUMBER(AR440)),IFERROR(AR439/AR440,""),"")</f>
        <v>0.480042374543885</v>
      </c>
      <c r="AS441" s="61"/>
      <c r="AT441" s="61"/>
      <c r="AU441" s="61"/>
      <c r="AV441" s="61"/>
      <c r="AW441" s="77" t="n">
        <f aca="false">IF(AND(ISNUMBER(AW439),ISNUMBER(AW440)),IFERROR(AW439/AW440,""),"")</f>
        <v>0.318305247825099</v>
      </c>
      <c r="AX441" s="61"/>
      <c r="AY441" s="61"/>
      <c r="AZ441" s="61"/>
      <c r="BA441" s="61"/>
      <c r="BB441" s="77" t="n">
        <f aca="false">IF(AND(ISNUMBER(BB439),ISNUMBER(BB440)),IFERROR(BB439/BB440,""),"")</f>
        <v>0.263404656983279</v>
      </c>
      <c r="BC441" s="61"/>
      <c r="BD441" s="61"/>
      <c r="BE441" s="61"/>
      <c r="BF441" s="61"/>
      <c r="BG441" s="77" t="n">
        <f aca="false">IF(AND(ISNUMBER(BG439),ISNUMBER(BG440)),IFERROR(BG439/BG440,""),"")</f>
        <v>0.26089221601214</v>
      </c>
      <c r="BH441" s="61"/>
      <c r="BI441" s="61"/>
      <c r="BJ441" s="61"/>
      <c r="BK441" s="61"/>
      <c r="BL441" s="77" t="n">
        <f aca="false">IF(AND(ISNUMBER(BL439),ISNUMBER(BL440)),IFERROR(BL439/BL440,""),"")</f>
        <v>0.266895310051952</v>
      </c>
      <c r="BM441" s="61"/>
      <c r="BN441" s="61"/>
      <c r="BO441" s="61"/>
      <c r="BP441" s="61"/>
      <c r="BQ441" s="77" t="n">
        <f aca="false">IF(AND(ISNUMBER(BQ439),ISNUMBER(BQ440)),IFERROR(BQ439/BQ440,""),"")</f>
        <v>0.252710973941563</v>
      </c>
      <c r="BR441" s="77" t="n">
        <f aca="false">IF(AND(ISNUMBER(BR439),ISNUMBER(BR440)),IFERROR(BR439/BR440,""),"")</f>
        <v>0.4419863558975</v>
      </c>
      <c r="BS441" s="77" t="n">
        <f aca="false">IF(AND(ISNUMBER(BS439),ISNUMBER(BS440)),IFERROR(BS439/BS440,""),"")</f>
        <v>0.238901993677919</v>
      </c>
      <c r="BT441" s="77" t="n">
        <f aca="false">IF(AND(ISNUMBER(BT439),ISNUMBER(BT440)),IFERROR(BT439/BT440,""),"")</f>
        <v>0.256562183102661</v>
      </c>
      <c r="BU441" s="77" t="n">
        <f aca="false">IF(AND(ISNUMBER(BU439),ISNUMBER(BU440)),IFERROR(BU439/BU440,""),"")</f>
        <v>0.269289587356898</v>
      </c>
      <c r="BV441" s="15"/>
      <c r="BX441" s="38" t="n">
        <f aca="false">IFERROR(AVERAGE(BQ441,BR441,BS441,BT441,BU441),"n/m")</f>
        <v>0.291890218795308</v>
      </c>
      <c r="BY441" s="38" t="n">
        <f aca="false">IFERROR(AVERAGE(AR441,AW441,BB441,BG441,BL441),"n/m")</f>
        <v>0.317907961083271</v>
      </c>
      <c r="BZ441" s="38" t="n">
        <f aca="false">IFERROR(AVERAGE(S441,X441,AC441,AH441,AM441,AR441,AW441,BB441,BG441,BL441),"n/m")</f>
        <v>0.534605352490985</v>
      </c>
      <c r="CA441" s="38" t="n">
        <f aca="false">IFERROR(AVERAGE(D441,I441,N441,S441,X441,AC441,AH441,AM441,AR441,AW441,BB441,BG441,BL441),"n/m")</f>
        <v>0.530982825964888</v>
      </c>
    </row>
    <row r="442" customFormat="false" ht="15" hidden="false" customHeight="false" outlineLevel="0" collapsed="false">
      <c r="B442" s="16" t="s">
        <v>648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7"/>
    </row>
    <row r="443" customFormat="false" ht="15" hidden="false" customHeight="false" outlineLevel="0" collapsed="false">
      <c r="B443" s="13" t="s">
        <v>649</v>
      </c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20" t="n">
        <f aca="false">N425</f>
        <v>129.907</v>
      </c>
      <c r="O443" s="19"/>
      <c r="P443" s="19"/>
      <c r="Q443" s="19"/>
      <c r="R443" s="19"/>
      <c r="S443" s="20" t="n">
        <f aca="false">S425</f>
        <v>393.323</v>
      </c>
      <c r="T443" s="19"/>
      <c r="U443" s="19"/>
      <c r="V443" s="19"/>
      <c r="W443" s="19"/>
      <c r="X443" s="20" t="n">
        <f aca="false">X425</f>
        <v>295.785</v>
      </c>
      <c r="Y443" s="19"/>
      <c r="Z443" s="19"/>
      <c r="AA443" s="19"/>
      <c r="AB443" s="19"/>
      <c r="AC443" s="20" t="n">
        <f aca="false">AC425</f>
        <v>731.436</v>
      </c>
      <c r="AD443" s="19"/>
      <c r="AE443" s="19"/>
      <c r="AF443" s="19"/>
      <c r="AG443" s="19"/>
      <c r="AH443" s="20" t="n">
        <f aca="false">AH425</f>
        <v>731.753</v>
      </c>
      <c r="AI443" s="19"/>
      <c r="AJ443" s="19"/>
      <c r="AK443" s="19"/>
      <c r="AL443" s="19"/>
      <c r="AM443" s="20" t="n">
        <f aca="false">AM425</f>
        <v>903.127</v>
      </c>
      <c r="AN443" s="19"/>
      <c r="AO443" s="19"/>
      <c r="AP443" s="19"/>
      <c r="AQ443" s="19"/>
      <c r="AR443" s="20" t="n">
        <f aca="false">AR425</f>
        <v>1149.529</v>
      </c>
      <c r="AS443" s="19"/>
      <c r="AT443" s="19"/>
      <c r="AU443" s="19"/>
      <c r="AV443" s="19"/>
      <c r="AW443" s="20" t="n">
        <f aca="false">AW425</f>
        <v>1247.884</v>
      </c>
      <c r="AX443" s="19"/>
      <c r="AY443" s="19"/>
      <c r="AZ443" s="19"/>
      <c r="BA443" s="19"/>
      <c r="BB443" s="20" t="n">
        <f aca="false">BB425</f>
        <v>1128.057</v>
      </c>
      <c r="BC443" s="19"/>
      <c r="BD443" s="19"/>
      <c r="BE443" s="19"/>
      <c r="BF443" s="19"/>
      <c r="BG443" s="20" t="n">
        <f aca="false">BG425</f>
        <v>974.899</v>
      </c>
      <c r="BH443" s="19"/>
      <c r="BI443" s="19"/>
      <c r="BJ443" s="19"/>
      <c r="BK443" s="19"/>
      <c r="BL443" s="20" t="n">
        <f aca="false">BL425</f>
        <v>1508.779</v>
      </c>
      <c r="BM443" s="19"/>
      <c r="BN443" s="19"/>
      <c r="BO443" s="36"/>
      <c r="BP443" s="36"/>
      <c r="BQ443" s="21" t="n">
        <f aca="false">BQ425</f>
        <v>1565.99490897513</v>
      </c>
      <c r="BR443" s="21" t="n">
        <f aca="false">BR425</f>
        <v>1131.50893096953</v>
      </c>
      <c r="BS443" s="21" t="n">
        <f aca="false">BS425</f>
        <v>1272.33311532444</v>
      </c>
      <c r="BT443" s="21" t="n">
        <f aca="false">BT425</f>
        <v>1436.11614389016</v>
      </c>
      <c r="BU443" s="21" t="n">
        <f aca="false">BU425</f>
        <v>1594.37589202735</v>
      </c>
      <c r="BV443" s="15"/>
    </row>
    <row r="444" customFormat="false" ht="15" hidden="false" customHeight="false" outlineLevel="0" collapsed="false">
      <c r="B444" s="13" t="s">
        <v>650</v>
      </c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20" t="n">
        <f aca="false">N208</f>
        <v>294.704</v>
      </c>
      <c r="O444" s="19"/>
      <c r="P444" s="19"/>
      <c r="Q444" s="19"/>
      <c r="R444" s="19"/>
      <c r="S444" s="20" t="n">
        <f aca="false">S208</f>
        <v>329.717</v>
      </c>
      <c r="T444" s="19"/>
      <c r="U444" s="19"/>
      <c r="V444" s="19"/>
      <c r="W444" s="19"/>
      <c r="X444" s="20" t="n">
        <f aca="false">X208</f>
        <v>371.142</v>
      </c>
      <c r="Y444" s="19"/>
      <c r="Z444" s="19"/>
      <c r="AA444" s="19"/>
      <c r="AB444" s="19"/>
      <c r="AC444" s="20" t="n">
        <f aca="false">AC208</f>
        <v>367.574</v>
      </c>
      <c r="AD444" s="19"/>
      <c r="AE444" s="19"/>
      <c r="AF444" s="19"/>
      <c r="AG444" s="19"/>
      <c r="AH444" s="20" t="n">
        <f aca="false">AH208</f>
        <v>393.243</v>
      </c>
      <c r="AI444" s="19"/>
      <c r="AJ444" s="19"/>
      <c r="AK444" s="19"/>
      <c r="AL444" s="19"/>
      <c r="AM444" s="20" t="n">
        <f aca="false">AM208</f>
        <v>427.026</v>
      </c>
      <c r="AN444" s="19"/>
      <c r="AO444" s="19"/>
      <c r="AP444" s="19"/>
      <c r="AQ444" s="19"/>
      <c r="AR444" s="20" t="n">
        <f aca="false">AR208</f>
        <v>418.028</v>
      </c>
      <c r="AS444" s="19"/>
      <c r="AT444" s="19"/>
      <c r="AU444" s="19"/>
      <c r="AV444" s="19"/>
      <c r="AW444" s="20" t="n">
        <f aca="false">AW208</f>
        <v>439.413</v>
      </c>
      <c r="AX444" s="19"/>
      <c r="AY444" s="19"/>
      <c r="AZ444" s="19"/>
      <c r="BA444" s="19"/>
      <c r="BB444" s="20" t="n">
        <f aca="false">BB208</f>
        <v>471.925</v>
      </c>
      <c r="BC444" s="19"/>
      <c r="BD444" s="19"/>
      <c r="BE444" s="19"/>
      <c r="BF444" s="19"/>
      <c r="BG444" s="20" t="n">
        <f aca="false">BG208</f>
        <v>498.669</v>
      </c>
      <c r="BH444" s="19"/>
      <c r="BI444" s="19"/>
      <c r="BJ444" s="19"/>
      <c r="BK444" s="19"/>
      <c r="BL444" s="20" t="n">
        <f aca="false">BL208</f>
        <v>574.245000000001</v>
      </c>
      <c r="BM444" s="19"/>
      <c r="BN444" s="19"/>
      <c r="BO444" s="36"/>
      <c r="BP444" s="36"/>
      <c r="BQ444" s="21" t="n">
        <f aca="false">BQ208</f>
        <v>666.999999999999</v>
      </c>
      <c r="BR444" s="21" t="n">
        <f aca="false">BR208</f>
        <v>754.339287313018</v>
      </c>
      <c r="BS444" s="21" t="n">
        <f aca="false">BS208</f>
        <v>848.222076882959</v>
      </c>
      <c r="BT444" s="21" t="n">
        <f aca="false">BT208</f>
        <v>957.410762593439</v>
      </c>
      <c r="BU444" s="21" t="n">
        <f aca="false">BU208</f>
        <v>1062.91726135156</v>
      </c>
      <c r="BV444" s="15"/>
    </row>
    <row r="445" customFormat="false" ht="15" hidden="false" customHeight="false" outlineLevel="0" collapsed="false">
      <c r="B445" s="60" t="s">
        <v>651</v>
      </c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78" t="n">
        <f aca="false">IF(AND(ISNUMBER(N443),ISNUMBER(N444)),IFERROR(N443/N444,""),"")</f>
        <v>0.440805011129811</v>
      </c>
      <c r="O445" s="61"/>
      <c r="P445" s="61"/>
      <c r="Q445" s="61"/>
      <c r="R445" s="61"/>
      <c r="S445" s="78" t="n">
        <f aca="false">IF(AND(ISNUMBER(S443),ISNUMBER(S444)),IFERROR(S443/S444,""),"")</f>
        <v>1.1929108902483</v>
      </c>
      <c r="T445" s="61"/>
      <c r="U445" s="61"/>
      <c r="V445" s="61"/>
      <c r="W445" s="61"/>
      <c r="X445" s="78" t="n">
        <f aca="false">IF(AND(ISNUMBER(X443),ISNUMBER(X444)),IFERROR(X443/X444,""),"")</f>
        <v>0.796959115379019</v>
      </c>
      <c r="Y445" s="61"/>
      <c r="Z445" s="61"/>
      <c r="AA445" s="61"/>
      <c r="AB445" s="61"/>
      <c r="AC445" s="78" t="n">
        <f aca="false">IF(AND(ISNUMBER(AC443),ISNUMBER(AC444)),IFERROR(AC443/AC444,""),"")</f>
        <v>1.98990135319691</v>
      </c>
      <c r="AD445" s="61"/>
      <c r="AE445" s="61"/>
      <c r="AF445" s="61"/>
      <c r="AG445" s="61"/>
      <c r="AH445" s="78" t="n">
        <f aca="false">IF(AND(ISNUMBER(AH443),ISNUMBER(AH444)),IFERROR(AH443/AH444,""),"")</f>
        <v>1.86081634002385</v>
      </c>
      <c r="AI445" s="61"/>
      <c r="AJ445" s="61"/>
      <c r="AK445" s="61"/>
      <c r="AL445" s="61"/>
      <c r="AM445" s="78" t="n">
        <f aca="false">IF(AND(ISNUMBER(AM443),ISNUMBER(AM444)),IFERROR(AM443/AM444,""),"")</f>
        <v>2.1149227447509</v>
      </c>
      <c r="AN445" s="61"/>
      <c r="AO445" s="61"/>
      <c r="AP445" s="61"/>
      <c r="AQ445" s="61"/>
      <c r="AR445" s="78" t="n">
        <f aca="false">IF(AND(ISNUMBER(AR443),ISNUMBER(AR444)),IFERROR(AR443/AR444,""),"")</f>
        <v>2.74988517515573</v>
      </c>
      <c r="AS445" s="61"/>
      <c r="AT445" s="61"/>
      <c r="AU445" s="61"/>
      <c r="AV445" s="61"/>
      <c r="AW445" s="78" t="n">
        <f aca="false">IF(AND(ISNUMBER(AW443),ISNUMBER(AW444)),IFERROR(AW443/AW444,""),"")</f>
        <v>2.83988866965702</v>
      </c>
      <c r="AX445" s="61"/>
      <c r="AY445" s="61"/>
      <c r="AZ445" s="61"/>
      <c r="BA445" s="61"/>
      <c r="BB445" s="78" t="n">
        <f aca="false">IF(AND(ISNUMBER(BB443),ISNUMBER(BB444)),IFERROR(BB443/BB444,""),"")</f>
        <v>2.39033109074535</v>
      </c>
      <c r="BC445" s="61"/>
      <c r="BD445" s="61"/>
      <c r="BE445" s="61"/>
      <c r="BF445" s="61"/>
      <c r="BG445" s="78" t="n">
        <f aca="false">IF(AND(ISNUMBER(BG443),ISNUMBER(BG444)),IFERROR(BG443/BG444,""),"")</f>
        <v>1.95500221589872</v>
      </c>
      <c r="BH445" s="61"/>
      <c r="BI445" s="61"/>
      <c r="BJ445" s="61"/>
      <c r="BK445" s="61"/>
      <c r="BL445" s="78" t="n">
        <f aca="false">IF(AND(ISNUMBER(BL443),ISNUMBER(BL444)),IFERROR(BL443/BL444,""),"")</f>
        <v>2.62741338627241</v>
      </c>
      <c r="BM445" s="61"/>
      <c r="BN445" s="61"/>
      <c r="BO445" s="61"/>
      <c r="BP445" s="61"/>
      <c r="BQ445" s="78" t="n">
        <f aca="false">IF(AND(ISNUMBER(BQ443),ISNUMBER(BQ444)),IFERROR(BQ443/BQ444,""),"")</f>
        <v>2.34781845423558</v>
      </c>
      <c r="BR445" s="78" t="n">
        <f aca="false">IF(AND(ISNUMBER(BR443),ISNUMBER(BR444)),IFERROR(BR443/BR444,""),"")</f>
        <v>1.5</v>
      </c>
      <c r="BS445" s="78" t="n">
        <f aca="false">IF(AND(ISNUMBER(BS443),ISNUMBER(BS444)),IFERROR(BS443/BS444,""),"")</f>
        <v>1.5</v>
      </c>
      <c r="BT445" s="78" t="n">
        <f aca="false">IF(AND(ISNUMBER(BT443),ISNUMBER(BT444)),IFERROR(BT443/BT444,""),"")</f>
        <v>1.5</v>
      </c>
      <c r="BU445" s="78" t="n">
        <f aca="false">IF(AND(ISNUMBER(BU443),ISNUMBER(BU444)),IFERROR(BU443/BU444,""),"")</f>
        <v>1.5</v>
      </c>
      <c r="BV445" s="15"/>
    </row>
    <row r="446" customFormat="false" ht="15" hidden="false" customHeight="false" outlineLevel="0" collapsed="false">
      <c r="B446" s="13"/>
      <c r="BO446" s="14"/>
      <c r="BP446" s="14"/>
      <c r="BQ446" s="14"/>
      <c r="BR446" s="14"/>
      <c r="BS446" s="14"/>
      <c r="BT446" s="14"/>
      <c r="BU446" s="14"/>
      <c r="BV446" s="15"/>
    </row>
    <row r="447" customFormat="false" ht="15" hidden="false" customHeight="false" outlineLevel="0" collapsed="false">
      <c r="B447" s="9" t="s">
        <v>652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 t="s">
        <v>653</v>
      </c>
    </row>
    <row r="448" customFormat="false" ht="15" hidden="false" customHeight="false" outlineLevel="0" collapsed="false">
      <c r="B448" s="13" t="s">
        <v>654</v>
      </c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36"/>
      <c r="BP448" s="36"/>
      <c r="BQ448" s="76" t="n">
        <v>152.29</v>
      </c>
      <c r="BR448" s="74" t="n">
        <f aca="false">BQ448*(1+BR449)</f>
        <v>164.4732</v>
      </c>
      <c r="BS448" s="74" t="n">
        <f aca="false">BR448*(1+BS449)</f>
        <v>177.631056</v>
      </c>
      <c r="BT448" s="74" t="n">
        <f aca="false">BS448*(1+BT449)</f>
        <v>191.84154048</v>
      </c>
      <c r="BU448" s="74" t="n">
        <f aca="false">BT448*(1+BU449)</f>
        <v>207.1888637184</v>
      </c>
      <c r="BV448" s="15" t="s">
        <v>655</v>
      </c>
    </row>
    <row r="449" customFormat="false" ht="15" hidden="false" customHeight="false" outlineLevel="0" collapsed="false">
      <c r="B449" s="13" t="s">
        <v>656</v>
      </c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36"/>
      <c r="BP449" s="36"/>
      <c r="BQ449" s="36"/>
      <c r="BR449" s="48" t="n">
        <v>0.08</v>
      </c>
      <c r="BS449" s="48" t="n">
        <v>0.08</v>
      </c>
      <c r="BT449" s="48" t="n">
        <v>0.08</v>
      </c>
      <c r="BU449" s="48" t="n">
        <v>0.08</v>
      </c>
      <c r="BV449" s="15"/>
    </row>
    <row r="450" customFormat="false" ht="15" hidden="false" customHeight="false" outlineLevel="0" collapsed="false">
      <c r="B450" s="13" t="s">
        <v>657</v>
      </c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36"/>
      <c r="BP450" s="36"/>
      <c r="BQ450" s="21" t="n">
        <f aca="false">BQ303+BR305+BQ306</f>
        <v>92.0216</v>
      </c>
      <c r="BR450" s="21" t="n">
        <f aca="false">BR303+BR305+BR306</f>
        <v>90.3336435233556</v>
      </c>
      <c r="BS450" s="21" t="n">
        <f aca="false">BS303+BS305+BS306</f>
        <v>88.9791271276176</v>
      </c>
      <c r="BT450" s="21" t="n">
        <f aca="false">BT303+BT305+BT306</f>
        <v>87.2498475305856</v>
      </c>
      <c r="BU450" s="21" t="n">
        <f aca="false">BU303+BU305+BU306</f>
        <v>85.4792394347241</v>
      </c>
      <c r="BV450" s="15"/>
    </row>
    <row r="451" customFormat="false" ht="15" hidden="false" customHeight="false" outlineLevel="0" collapsed="false">
      <c r="B451" s="13" t="s">
        <v>658</v>
      </c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36"/>
      <c r="BP451" s="36"/>
      <c r="BQ451" s="21" t="n">
        <f aca="false">BQ448*BQ450</f>
        <v>14013.969464</v>
      </c>
      <c r="BR451" s="21" t="n">
        <f aca="false">BR448*BR450</f>
        <v>14857.4634179456</v>
      </c>
      <c r="BS451" s="21" t="n">
        <f aca="false">BS448*BS450</f>
        <v>15805.456313637</v>
      </c>
      <c r="BT451" s="21" t="n">
        <f aca="false">BT448*BT450</f>
        <v>16738.1451569127</v>
      </c>
      <c r="BU451" s="21" t="n">
        <f aca="false">BU448*BU450</f>
        <v>17710.3464899935</v>
      </c>
      <c r="BV451" s="15"/>
    </row>
    <row r="452" customFormat="false" ht="15" hidden="false" customHeight="false" outlineLevel="0" collapsed="false">
      <c r="B452" s="13" t="s">
        <v>659</v>
      </c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36"/>
      <c r="BP452" s="36"/>
      <c r="BQ452" s="21" t="n">
        <f aca="false">BQ425</f>
        <v>1565.99490897513</v>
      </c>
      <c r="BR452" s="21" t="n">
        <f aca="false">BR425</f>
        <v>1131.50893096953</v>
      </c>
      <c r="BS452" s="21" t="n">
        <f aca="false">BS425</f>
        <v>1272.33311532444</v>
      </c>
      <c r="BT452" s="21" t="n">
        <f aca="false">BT425</f>
        <v>1436.11614389016</v>
      </c>
      <c r="BU452" s="21" t="n">
        <f aca="false">BU425</f>
        <v>1594.37589202735</v>
      </c>
      <c r="BV452" s="15"/>
    </row>
    <row r="453" customFormat="false" ht="15" hidden="false" customHeight="false" outlineLevel="0" collapsed="false">
      <c r="B453" s="13" t="s">
        <v>660</v>
      </c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36"/>
      <c r="BP453" s="36"/>
      <c r="BQ453" s="21" t="n">
        <f aca="false">BQ354</f>
        <v>0.898</v>
      </c>
      <c r="BR453" s="21" t="n">
        <f aca="false">BR354</f>
        <v>1.298</v>
      </c>
      <c r="BS453" s="21" t="n">
        <f aca="false">BS354</f>
        <v>1.698</v>
      </c>
      <c r="BT453" s="21" t="n">
        <f aca="false">BT354</f>
        <v>2.098</v>
      </c>
      <c r="BU453" s="21" t="n">
        <f aca="false">BU354</f>
        <v>2.498</v>
      </c>
      <c r="BV453" s="15"/>
    </row>
    <row r="454" customFormat="false" ht="15" hidden="false" customHeight="false" outlineLevel="0" collapsed="false">
      <c r="B454" s="60" t="s">
        <v>661</v>
      </c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2" t="n">
        <f aca="false">BQ451+BQ452+BQ453</f>
        <v>15580.8623729751</v>
      </c>
      <c r="BR454" s="62" t="n">
        <f aca="false">BR451+BR452+BR453</f>
        <v>15990.2703489151</v>
      </c>
      <c r="BS454" s="62" t="n">
        <f aca="false">BS451+BS452+BS453</f>
        <v>17079.4874289614</v>
      </c>
      <c r="BT454" s="62" t="n">
        <f aca="false">BT451+BT452+BT453</f>
        <v>18176.3593008028</v>
      </c>
      <c r="BU454" s="62" t="n">
        <f aca="false">BU451+BU452+BU453</f>
        <v>19307.2203820209</v>
      </c>
      <c r="BV454" s="15"/>
    </row>
    <row r="455" customFormat="false" ht="15" hidden="false" customHeight="false" outlineLevel="0" collapsed="false">
      <c r="B455" s="13" t="s">
        <v>662</v>
      </c>
      <c r="BO455" s="14"/>
      <c r="BP455" s="14"/>
      <c r="BQ455" s="14"/>
      <c r="BR455" s="14"/>
      <c r="BS455" s="14"/>
      <c r="BT455" s="14"/>
      <c r="BU455" s="14"/>
      <c r="BV455" s="15"/>
    </row>
    <row r="456" customFormat="false" ht="15" hidden="false" customHeight="false" outlineLevel="0" collapsed="false">
      <c r="B456" s="13" t="s">
        <v>663</v>
      </c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36"/>
      <c r="BP456" s="36"/>
      <c r="BQ456" s="41" t="n">
        <f aca="false">$BQ$454/BQ157</f>
        <v>4.10022694025661</v>
      </c>
      <c r="BR456" s="41" t="n">
        <f aca="false">$BQ$454/BR157</f>
        <v>3.74252709630981</v>
      </c>
      <c r="BS456" s="41" t="n">
        <f aca="false">$BQ$454/BS157</f>
        <v>3.39979761667226</v>
      </c>
      <c r="BT456" s="41" t="n">
        <f aca="false">$BQ$454/BT157</f>
        <v>3.0649344333009</v>
      </c>
      <c r="BU456" s="41" t="n">
        <f aca="false">$BQ$454/BU157</f>
        <v>2.77445787327414</v>
      </c>
      <c r="BV456" s="15" t="s">
        <v>664</v>
      </c>
    </row>
    <row r="457" customFormat="false" ht="15" hidden="false" customHeight="false" outlineLevel="0" collapsed="false">
      <c r="B457" s="13" t="s">
        <v>665</v>
      </c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36"/>
      <c r="BP457" s="36"/>
      <c r="BQ457" s="41" t="n">
        <f aca="false">$BQ$454/BQ208</f>
        <v>23.3596137525864</v>
      </c>
      <c r="BR457" s="41" t="n">
        <f aca="false">$BQ$454/BR208</f>
        <v>20.6549793110666</v>
      </c>
      <c r="BS457" s="41" t="n">
        <f aca="false">$BQ$454/BS208</f>
        <v>18.3688479675412</v>
      </c>
      <c r="BT457" s="41" t="n">
        <f aca="false">$BQ$454/BT208</f>
        <v>16.2739578263875</v>
      </c>
      <c r="BU457" s="41" t="n">
        <f aca="false">$BQ$454/BU208</f>
        <v>14.6585843879919</v>
      </c>
      <c r="BV457" s="15"/>
    </row>
    <row r="458" customFormat="false" ht="15" hidden="false" customHeight="false" outlineLevel="0" collapsed="false">
      <c r="B458" s="13" t="s">
        <v>666</v>
      </c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36"/>
      <c r="BP458" s="36"/>
      <c r="BQ458" s="41" t="n">
        <f aca="false">$BQ$454/BQ217</f>
        <v>28.3793817782642</v>
      </c>
      <c r="BR458" s="41" t="n">
        <f aca="false">$BQ$454/BR217</f>
        <v>25.5608952405508</v>
      </c>
      <c r="BS458" s="41" t="n">
        <f aca="false">$BQ$454/BS217</f>
        <v>22.7330750262993</v>
      </c>
      <c r="BT458" s="41" t="n">
        <f aca="false">$BQ$454/BT217</f>
        <v>20.145651439908</v>
      </c>
      <c r="BU458" s="41" t="n">
        <f aca="false">$BQ$454/BU217</f>
        <v>18.0909767856721</v>
      </c>
      <c r="BV458" s="15"/>
    </row>
    <row r="459" customFormat="false" ht="15" hidden="false" customHeight="false" outlineLevel="0" collapsed="false">
      <c r="B459" s="13" t="s">
        <v>667</v>
      </c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36"/>
      <c r="BP459" s="36"/>
      <c r="BQ459" s="41" t="n">
        <f aca="false">$BQ$454/BQ423</f>
        <v>5.00286863295701</v>
      </c>
      <c r="BR459" s="41" t="n">
        <f aca="false">$BQ$454/BR423</f>
        <v>4.93672346491629</v>
      </c>
      <c r="BS459" s="41" t="n">
        <f aca="false">$BQ$454/BS423</f>
        <v>4.5524091363977</v>
      </c>
      <c r="BT459" s="41" t="n">
        <f aca="false">$BQ$454/BT423</f>
        <v>4.24054507955166</v>
      </c>
      <c r="BU459" s="41" t="n">
        <f aca="false">$BQ$454/BU423</f>
        <v>3.96039309259244</v>
      </c>
      <c r="BV459" s="15"/>
    </row>
    <row r="460" customFormat="false" ht="15" hidden="false" customHeight="false" outlineLevel="0" collapsed="false">
      <c r="B460" s="13" t="s">
        <v>668</v>
      </c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36"/>
      <c r="BP460" s="36"/>
      <c r="BQ460" s="41" t="n">
        <f aca="false">$BQ$448/BQ187</f>
        <v>35.8247751475211</v>
      </c>
      <c r="BR460" s="41" t="n">
        <f aca="false">$BQ$448/BR187</f>
        <v>15.5270506810546</v>
      </c>
      <c r="BS460" s="41" t="n">
        <f aca="false">$BQ$448/BS187</f>
        <v>26.6006972070396</v>
      </c>
      <c r="BT460" s="41" t="n">
        <f aca="false">$BQ$448/BT187</f>
        <v>23.3908220618567</v>
      </c>
      <c r="BU460" s="41" t="n">
        <f aca="false">$BQ$448/BU187</f>
        <v>20.8964949309957</v>
      </c>
      <c r="BV460" s="15"/>
    </row>
    <row r="461" customFormat="false" ht="15" hidden="false" customHeight="false" outlineLevel="0" collapsed="false">
      <c r="B461" s="13" t="s">
        <v>669</v>
      </c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36"/>
      <c r="BP461" s="36"/>
      <c r="BQ461" s="41" t="n">
        <f aca="false">$BQ$448/BQ236</f>
        <v>32.1323061761273</v>
      </c>
      <c r="BR461" s="41" t="n">
        <f aca="false">$BQ$448/BR236</f>
        <v>28.8550120087604</v>
      </c>
      <c r="BS461" s="41" t="n">
        <f aca="false">$BQ$448/BS236</f>
        <v>25.2478847904744</v>
      </c>
      <c r="BT461" s="41" t="n">
        <f aca="false">$BQ$448/BT236</f>
        <v>22.3384120907357</v>
      </c>
      <c r="BU461" s="41" t="n">
        <f aca="false">$BQ$448/BU236</f>
        <v>19.9351472284297</v>
      </c>
      <c r="BV461" s="15"/>
    </row>
    <row r="462" customFormat="false" ht="15" hidden="false" customHeight="false" outlineLevel="0" collapsed="false">
      <c r="B462" s="13" t="s">
        <v>670</v>
      </c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36"/>
      <c r="BP462" s="36"/>
      <c r="BQ462" s="35" t="n">
        <f aca="false">BQ288/$BQ$451</f>
        <v>0.0262763349078802</v>
      </c>
      <c r="BR462" s="35" t="n">
        <f aca="false">BR288/$BQ$451</f>
        <v>0.0108933643542028</v>
      </c>
      <c r="BS462" s="35" t="n">
        <f aca="false">BS288/$BQ$451</f>
        <v>0.0322083850188868</v>
      </c>
      <c r="BT462" s="35" t="n">
        <f aca="false">BT288/$BQ$451</f>
        <v>0.0379447198899002</v>
      </c>
      <c r="BU462" s="35" t="n">
        <f aca="false">BU288/$BQ$451</f>
        <v>0.0417343913435096</v>
      </c>
      <c r="BV462" s="15"/>
    </row>
    <row r="463" customFormat="false" ht="15" hidden="false" customHeight="false" outlineLevel="0" collapsed="false">
      <c r="B463" s="13" t="s">
        <v>671</v>
      </c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36"/>
      <c r="BP463" s="36"/>
      <c r="BQ463" s="35" t="n">
        <f aca="false">BQ192/$BQ$448</f>
        <v>0.00709173287806159</v>
      </c>
      <c r="BR463" s="35" t="n">
        <f aca="false">BR192/$BQ$448</f>
        <v>0.00765907150830652</v>
      </c>
      <c r="BS463" s="35" t="n">
        <f aca="false">BS192/$BQ$448</f>
        <v>0.00827179722897104</v>
      </c>
      <c r="BT463" s="35" t="n">
        <f aca="false">BT192/$BQ$448</f>
        <v>0.00893354100728873</v>
      </c>
      <c r="BU463" s="35" t="n">
        <f aca="false">BU192/$BQ$448</f>
        <v>0.00964822428787183</v>
      </c>
      <c r="BV463" s="15"/>
    </row>
  </sheetData>
  <dataValidations count="1">
    <dataValidation allowBlank="false" errorStyle="stop" operator="between" showDropDown="false" showErrorMessage="false" showInputMessage="false" sqref="BV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G5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10" min="3" style="0" width="13"/>
    <col collapsed="false" customWidth="true" hidden="false" outlineLevel="0" max="11" min="11" style="0" width="12"/>
    <col collapsed="false" customWidth="true" hidden="false" outlineLevel="0" max="14" min="14" style="0" width="50"/>
    <col collapsed="false" customWidth="true" hidden="false" outlineLevel="0" max="26" min="26" style="0" width="50"/>
  </cols>
  <sheetData>
    <row r="2" customFormat="false" ht="19.7" hidden="false" customHeight="false" outlineLevel="0" collapsed="false">
      <c r="B2" s="2" t="s">
        <v>672</v>
      </c>
      <c r="J2" s="79" t="s">
        <v>673</v>
      </c>
      <c r="K2" s="80" t="n">
        <f aca="false">Model!$BQ$448</f>
        <v>152.29</v>
      </c>
    </row>
    <row r="3" customFormat="false" ht="15" hidden="false" customHeight="false" outlineLevel="0" collapsed="false">
      <c r="B3" s="4" t="s">
        <v>674</v>
      </c>
      <c r="J3" s="79" t="s">
        <v>675</v>
      </c>
      <c r="K3" s="81" t="n">
        <f aca="true">TODAY()</f>
        <v>46302</v>
      </c>
    </row>
    <row r="5" customFormat="false" ht="15" hidden="false" customHeight="false" outlineLevel="0" collapsed="false">
      <c r="B5" s="79" t="s">
        <v>676</v>
      </c>
      <c r="C5" s="82" t="str">
        <f aca="false">Model!$BV$2</f>
        <v>Base</v>
      </c>
      <c r="N5" s="79" t="s">
        <v>676</v>
      </c>
      <c r="O5" s="18" t="s">
        <v>90</v>
      </c>
      <c r="P5" s="83" t="s">
        <v>677</v>
      </c>
      <c r="Z5" s="79" t="s">
        <v>676</v>
      </c>
      <c r="AA5" s="18" t="s">
        <v>91</v>
      </c>
      <c r="AB5" s="83" t="s">
        <v>678</v>
      </c>
    </row>
    <row r="7" customFormat="false" ht="15" hidden="false" customHeight="false" outlineLevel="0" collapsed="false">
      <c r="B7" s="9" t="s">
        <v>679</v>
      </c>
      <c r="C7" s="8" t="s">
        <v>680</v>
      </c>
      <c r="D7" s="8" t="s">
        <v>74</v>
      </c>
      <c r="E7" s="8" t="s">
        <v>75</v>
      </c>
      <c r="F7" s="8" t="s">
        <v>76</v>
      </c>
      <c r="G7" s="8" t="s">
        <v>77</v>
      </c>
      <c r="H7" s="8" t="s">
        <v>78</v>
      </c>
      <c r="I7" s="8" t="s">
        <v>681</v>
      </c>
      <c r="J7" s="8" t="s">
        <v>682</v>
      </c>
      <c r="N7" s="9" t="s">
        <v>679</v>
      </c>
      <c r="O7" s="8" t="s">
        <v>680</v>
      </c>
      <c r="P7" s="8" t="s">
        <v>74</v>
      </c>
      <c r="Q7" s="8" t="s">
        <v>75</v>
      </c>
      <c r="R7" s="8" t="s">
        <v>76</v>
      </c>
      <c r="S7" s="8" t="s">
        <v>77</v>
      </c>
      <c r="T7" s="8" t="s">
        <v>78</v>
      </c>
      <c r="Z7" s="9" t="s">
        <v>679</v>
      </c>
      <c r="AA7" s="8" t="s">
        <v>680</v>
      </c>
      <c r="AB7" s="8" t="s">
        <v>74</v>
      </c>
      <c r="AC7" s="8" t="s">
        <v>75</v>
      </c>
      <c r="AD7" s="8" t="s">
        <v>76</v>
      </c>
      <c r="AE7" s="8" t="s">
        <v>77</v>
      </c>
      <c r="AF7" s="8" t="s">
        <v>78</v>
      </c>
    </row>
    <row r="9" customFormat="false" ht="15" hidden="false" customHeight="false" outlineLevel="0" collapsed="false">
      <c r="B9" s="79" t="s">
        <v>311</v>
      </c>
      <c r="C9" s="84" t="n">
        <f aca="false">Model!BL157</f>
        <v>3198.425</v>
      </c>
      <c r="D9" s="84" t="n">
        <f aca="false">Model!BQ157</f>
        <v>3800</v>
      </c>
      <c r="E9" s="84" t="n">
        <f aca="false">Model!BR157</f>
        <v>4163.19293675605</v>
      </c>
      <c r="F9" s="84" t="n">
        <f aca="false">Model!BS157</f>
        <v>4582.87937392749</v>
      </c>
      <c r="G9" s="84" t="n">
        <f aca="false">Model!BT157</f>
        <v>5083.58749984571</v>
      </c>
      <c r="H9" s="84" t="n">
        <f aca="false">Model!BU157</f>
        <v>5615.82229200984</v>
      </c>
      <c r="I9" s="85" t="n">
        <f aca="false">IFERROR((H9/C9)^(1/5)-1,"n/m")</f>
        <v>0.119168394255038</v>
      </c>
      <c r="N9" s="79" t="s">
        <v>311</v>
      </c>
      <c r="O9" s="86" t="n">
        <v>3198.425</v>
      </c>
      <c r="P9" s="86" t="n">
        <v>3850</v>
      </c>
      <c r="Q9" s="86" t="n">
        <v>4364.59135192299</v>
      </c>
      <c r="R9" s="86" t="n">
        <v>5008.66939519211</v>
      </c>
      <c r="S9" s="86" t="n">
        <v>5772.56755537083</v>
      </c>
      <c r="T9" s="86" t="n">
        <v>6611.63827076885</v>
      </c>
      <c r="U9" s="85" t="n">
        <f aca="false">IFERROR((T9/O9)^(1/5)-1,"n/m")</f>
        <v>0.156310801873542</v>
      </c>
      <c r="Z9" s="79" t="s">
        <v>311</v>
      </c>
      <c r="AA9" s="86" t="n">
        <v>3198.425</v>
      </c>
      <c r="AB9" s="86" t="n">
        <v>3750</v>
      </c>
      <c r="AC9" s="86" t="n">
        <v>3990.24489889243</v>
      </c>
      <c r="AD9" s="86" t="n">
        <v>4227.10007027281</v>
      </c>
      <c r="AE9" s="86" t="n">
        <v>4479.36179325111</v>
      </c>
      <c r="AF9" s="86" t="n">
        <v>4733.44542866262</v>
      </c>
      <c r="AG9" s="85" t="n">
        <f aca="false">IFERROR((AF9/AA9)^(1/5)-1,"n/m")</f>
        <v>0.0815540816675135</v>
      </c>
    </row>
    <row r="10" customFormat="false" ht="15" hidden="false" customHeight="false" outlineLevel="0" collapsed="false">
      <c r="B10" s="22" t="s">
        <v>683</v>
      </c>
      <c r="D10" s="46" t="n">
        <f aca="false">IFERROR(D9/C9-1,"")</f>
        <v>0.188084760468043</v>
      </c>
      <c r="E10" s="46" t="n">
        <f aca="false">IFERROR(E9/D9-1,"")</f>
        <v>0.095577088620012</v>
      </c>
      <c r="F10" s="46" t="n">
        <f aca="false">IFERROR(F9/E9-1,"")</f>
        <v>0.10080878872226</v>
      </c>
      <c r="G10" s="46" t="n">
        <f aca="false">IFERROR(G9/F9-1,"")</f>
        <v>0.109256230649841</v>
      </c>
      <c r="H10" s="46" t="n">
        <f aca="false">IFERROR(H9/G9-1,"")</f>
        <v>0.104696691495974</v>
      </c>
      <c r="N10" s="22" t="s">
        <v>683</v>
      </c>
      <c r="P10" s="46" t="n">
        <f aca="false">IFERROR(P9/O9-1,"")</f>
        <v>0.203717454684728</v>
      </c>
      <c r="Q10" s="46" t="n">
        <f aca="false">IFERROR(Q9/P9-1,"")</f>
        <v>0.133660091408569</v>
      </c>
      <c r="R10" s="46" t="n">
        <f aca="false">IFERROR(R9/Q9-1,"")</f>
        <v>0.147568922571719</v>
      </c>
      <c r="S10" s="46" t="n">
        <f aca="false">IFERROR(S9/R9-1,"")</f>
        <v>0.152515189146242</v>
      </c>
      <c r="T10" s="46" t="n">
        <f aca="false">IFERROR(T9/S9-1,"")</f>
        <v>0.145354854204754</v>
      </c>
      <c r="Z10" s="22" t="s">
        <v>683</v>
      </c>
      <c r="AB10" s="46" t="n">
        <f aca="false">IFERROR(AB9/AA9-1,"")</f>
        <v>0.172452066251358</v>
      </c>
      <c r="AC10" s="46" t="n">
        <f aca="false">IFERROR(AC9/AB9-1,"")</f>
        <v>0.0640653063713146</v>
      </c>
      <c r="AD10" s="46" t="n">
        <f aca="false">IFERROR(AD9/AC9-1,"")</f>
        <v>0.0593585550215536</v>
      </c>
      <c r="AE10" s="46" t="n">
        <f aca="false">IFERROR(AE9/AD9-1,"")</f>
        <v>0.0596772536217765</v>
      </c>
      <c r="AF10" s="46" t="n">
        <f aca="false">IFERROR(AF9/AE9-1,"")</f>
        <v>0.0567231777960711</v>
      </c>
    </row>
    <row r="11" customFormat="false" ht="15" hidden="false" customHeight="false" outlineLevel="0" collapsed="false">
      <c r="B11" s="22" t="s">
        <v>684</v>
      </c>
      <c r="C11" s="87" t="n">
        <f aca="false">Model!BL17</f>
        <v>0.0765217311638817</v>
      </c>
      <c r="D11" s="87" t="n">
        <f aca="false">Model!BQ17</f>
        <v>0.0348154644773737</v>
      </c>
      <c r="E11" s="87" t="n">
        <f aca="false">Model!BR17</f>
        <v>0.08</v>
      </c>
      <c r="F11" s="87" t="n">
        <f aca="false">Model!BS17</f>
        <v>0.08</v>
      </c>
      <c r="G11" s="87" t="n">
        <f aca="false">Model!BT17</f>
        <v>0.07</v>
      </c>
      <c r="H11" s="87" t="n">
        <f aca="false">Model!BU17</f>
        <v>0.07</v>
      </c>
      <c r="N11" s="22" t="s">
        <v>684</v>
      </c>
      <c r="O11" s="47" t="n">
        <v>0.0765217311638817</v>
      </c>
      <c r="P11" s="47" t="n">
        <v>0.0494383112008976</v>
      </c>
      <c r="Q11" s="47" t="n">
        <v>0.1</v>
      </c>
      <c r="R11" s="47" t="n">
        <v>0.1</v>
      </c>
      <c r="S11" s="47" t="n">
        <v>0.09</v>
      </c>
      <c r="T11" s="47" t="n">
        <v>0.09</v>
      </c>
      <c r="Z11" s="22" t="s">
        <v>684</v>
      </c>
      <c r="AA11" s="47" t="n">
        <v>0.0765217311638817</v>
      </c>
      <c r="AB11" s="47" t="n">
        <v>0.0201926177538496</v>
      </c>
      <c r="AC11" s="47" t="n">
        <v>0.055</v>
      </c>
      <c r="AD11" s="47" t="n">
        <v>0.055</v>
      </c>
      <c r="AE11" s="47" t="n">
        <v>0.045</v>
      </c>
      <c r="AF11" s="47" t="n">
        <v>0.045</v>
      </c>
    </row>
    <row r="12" customFormat="false" ht="15" hidden="false" customHeight="false" outlineLevel="0" collapsed="false">
      <c r="B12" s="79" t="s">
        <v>650</v>
      </c>
      <c r="C12" s="84" t="n">
        <f aca="false">Model!BL208</f>
        <v>574.245000000001</v>
      </c>
      <c r="D12" s="84" t="n">
        <f aca="false">Model!BQ208</f>
        <v>666.999999999999</v>
      </c>
      <c r="E12" s="84" t="n">
        <f aca="false">Model!BR208</f>
        <v>754.339287313018</v>
      </c>
      <c r="F12" s="84" t="n">
        <f aca="false">Model!BS208</f>
        <v>848.222076882959</v>
      </c>
      <c r="G12" s="84" t="n">
        <f aca="false">Model!BT208</f>
        <v>957.410762593439</v>
      </c>
      <c r="H12" s="84" t="n">
        <f aca="false">Model!BU208</f>
        <v>1062.91726135156</v>
      </c>
      <c r="I12" s="85" t="n">
        <f aca="false">IFERROR((H12/C12)^(1/5)-1,"n/m")</f>
        <v>0.131046466976548</v>
      </c>
      <c r="N12" s="79" t="s">
        <v>650</v>
      </c>
      <c r="O12" s="86" t="n">
        <v>574.245000000001</v>
      </c>
      <c r="P12" s="86" t="n">
        <v>672</v>
      </c>
      <c r="Q12" s="86" t="n">
        <v>840.56022423658</v>
      </c>
      <c r="R12" s="86" t="n">
        <v>980.207061543586</v>
      </c>
      <c r="S12" s="86" t="n">
        <v>1143.75541781234</v>
      </c>
      <c r="T12" s="86" t="n">
        <v>1312.44779999771</v>
      </c>
      <c r="U12" s="85" t="n">
        <f aca="false">IFERROR((T12/O12)^(1/5)-1,"n/m")</f>
        <v>0.179768953921517</v>
      </c>
      <c r="Z12" s="79" t="s">
        <v>650</v>
      </c>
      <c r="AA12" s="86" t="n">
        <v>574.245000000001</v>
      </c>
      <c r="AB12" s="86" t="n">
        <v>662</v>
      </c>
      <c r="AC12" s="86" t="n">
        <v>675.870613762852</v>
      </c>
      <c r="AD12" s="86" t="n">
        <v>733.263374857959</v>
      </c>
      <c r="AE12" s="86" t="n">
        <v>794.285927383893</v>
      </c>
      <c r="AF12" s="86" t="n">
        <v>846.22035305868</v>
      </c>
      <c r="AG12" s="85" t="n">
        <f aca="false">IFERROR((AF12/AA12)^(1/5)-1,"n/m")</f>
        <v>0.0806305692314837</v>
      </c>
    </row>
    <row r="13" customFormat="false" ht="15" hidden="false" customHeight="false" outlineLevel="0" collapsed="false">
      <c r="B13" s="22" t="s">
        <v>685</v>
      </c>
      <c r="C13" s="46" t="n">
        <f aca="false">IFERROR(C12/C9,"")</f>
        <v>0.179539929809203</v>
      </c>
      <c r="D13" s="46" t="n">
        <f aca="false">IFERROR(D12/D9,"")</f>
        <v>0.175526315789474</v>
      </c>
      <c r="E13" s="46" t="n">
        <f aca="false">IFERROR(E12/E9,"")</f>
        <v>0.181192488258975</v>
      </c>
      <c r="F13" s="46" t="n">
        <f aca="false">IFERROR(F12/F9,"")</f>
        <v>0.185084966824261</v>
      </c>
      <c r="G13" s="46" t="n">
        <f aca="false">IFERROR(G12/G9,"")</f>
        <v>0.188333684159562</v>
      </c>
      <c r="H13" s="46" t="n">
        <f aca="false">IFERROR(H12/H9,"")</f>
        <v>0.189271883275914</v>
      </c>
      <c r="J13" s="87" t="n">
        <f aca="false">IFERROR(AVERAGE(Model!S209,Model!X209,Model!AC209,Model!AH209,Model!AM209,Model!AR209,Model!AW209,Model!BB209,Model!BG209,Model!BL209),"")</f>
        <v>0.199201865585562</v>
      </c>
      <c r="N13" s="22" t="s">
        <v>685</v>
      </c>
      <c r="O13" s="46" t="n">
        <f aca="false">IFERROR(O12/O9,"")</f>
        <v>0.179539929809203</v>
      </c>
      <c r="P13" s="46" t="n">
        <f aca="false">IFERROR(P12/P9,"")</f>
        <v>0.174545454545455</v>
      </c>
      <c r="Q13" s="46" t="n">
        <f aca="false">IFERROR(Q12/Q9,"")</f>
        <v>0.192586236937449</v>
      </c>
      <c r="R13" s="46" t="n">
        <f aca="false">IFERROR(R12/R9,"")</f>
        <v>0.195702088559588</v>
      </c>
      <c r="S13" s="46" t="n">
        <f aca="false">IFERROR(S12/S9,"")</f>
        <v>0.198136341730325</v>
      </c>
      <c r="T13" s="46" t="n">
        <f aca="false">IFERROR(T12/T9,"")</f>
        <v>0.198505687433062</v>
      </c>
      <c r="Z13" s="22" t="s">
        <v>685</v>
      </c>
      <c r="AA13" s="46" t="n">
        <f aca="false">IFERROR(AA12/AA9,"")</f>
        <v>0.179539929809203</v>
      </c>
      <c r="AB13" s="46" t="n">
        <f aca="false">IFERROR(AB12/AB9,"")</f>
        <v>0.176533333333333</v>
      </c>
      <c r="AC13" s="46" t="n">
        <f aca="false">IFERROR(AC12/AC9,"")</f>
        <v>0.169380734989588</v>
      </c>
      <c r="AD13" s="46" t="n">
        <f aca="false">IFERROR(AD12/AD9,"")</f>
        <v>0.173467238217201</v>
      </c>
      <c r="AE13" s="46" t="n">
        <f aca="false">IFERROR(AE12/AE9,"")</f>
        <v>0.177321226559689</v>
      </c>
      <c r="AF13" s="46" t="n">
        <f aca="false">IFERROR(AF12/AF9,"")</f>
        <v>0.178774714066529</v>
      </c>
    </row>
    <row r="15" customFormat="false" ht="15" hidden="false" customHeight="false" outlineLevel="0" collapsed="false">
      <c r="B15" s="79" t="s">
        <v>686</v>
      </c>
      <c r="C15" s="84" t="n">
        <f aca="false">Model!BL164</f>
        <v>404.459</v>
      </c>
      <c r="D15" s="84" t="n">
        <f aca="false">Model!BQ164</f>
        <v>490.72049997821</v>
      </c>
      <c r="E15" s="84" t="n">
        <f aca="false">Model!BR164</f>
        <v>1153.0585552206</v>
      </c>
      <c r="F15" s="84" t="n">
        <f aca="false">Model!BS164</f>
        <v>649.195465346747</v>
      </c>
      <c r="G15" s="84" t="n">
        <f aca="false">Model!BT164</f>
        <v>737.848199547292</v>
      </c>
      <c r="H15" s="84" t="n">
        <f aca="false">Model!BU164</f>
        <v>821.312976276937</v>
      </c>
      <c r="I15" s="85" t="n">
        <f aca="false">IFERROR((H15/C15)^(1/5)-1,"n/m")</f>
        <v>0.152197254785915</v>
      </c>
      <c r="N15" s="79" t="s">
        <v>686</v>
      </c>
      <c r="O15" s="86" t="n">
        <v>404.459</v>
      </c>
      <c r="P15" s="86" t="n">
        <v>494.248121453767</v>
      </c>
      <c r="Q15" s="86" t="n">
        <v>1293.18631895196</v>
      </c>
      <c r="R15" s="86" t="n">
        <v>760.97063610916</v>
      </c>
      <c r="S15" s="86" t="n">
        <v>890.844915849718</v>
      </c>
      <c r="T15" s="86" t="n">
        <v>1023.27318259601</v>
      </c>
      <c r="U15" s="85" t="n">
        <f aca="false">IFERROR((T15/O15)^(1/5)-1,"n/m")</f>
        <v>0.203991491331319</v>
      </c>
      <c r="Z15" s="79" t="s">
        <v>686</v>
      </c>
      <c r="AA15" s="86" t="n">
        <v>404.459</v>
      </c>
      <c r="AB15" s="86" t="n">
        <v>487.192878502654</v>
      </c>
      <c r="AC15" s="86" t="n">
        <v>1080.20884927502</v>
      </c>
      <c r="AD15" s="86" t="n">
        <v>548.123781358669</v>
      </c>
      <c r="AE15" s="86" t="n">
        <v>601.38486842922</v>
      </c>
      <c r="AF15" s="86" t="n">
        <v>644.692885209589</v>
      </c>
      <c r="AG15" s="85" t="n">
        <f aca="false">IFERROR((AF15/AA15)^(1/5)-1,"n/m")</f>
        <v>0.0977303575824928</v>
      </c>
    </row>
    <row r="16" customFormat="false" ht="15" hidden="false" customHeight="false" outlineLevel="0" collapsed="false">
      <c r="B16" s="22" t="s">
        <v>687</v>
      </c>
      <c r="D16" s="46" t="n">
        <f aca="false">IFERROR(D15/C15-1,"")</f>
        <v>0.213276252916142</v>
      </c>
      <c r="E16" s="46" t="n">
        <f aca="false">IFERROR(E15/D15-1,"")</f>
        <v>1.349725669239</v>
      </c>
      <c r="F16" s="46" t="n">
        <f aca="false">IFERROR(F15/E15-1,"")</f>
        <v>-0.43697962049937</v>
      </c>
      <c r="G16" s="46" t="n">
        <f aca="false">IFERROR(G15/F15-1,"")</f>
        <v>0.136557845722464</v>
      </c>
      <c r="H16" s="46" t="n">
        <f aca="false">IFERROR(H15/G15-1,"")</f>
        <v>0.113119171098954</v>
      </c>
      <c r="N16" s="22" t="s">
        <v>687</v>
      </c>
      <c r="P16" s="46" t="n">
        <f aca="false">IFERROR(P15/O15-1,"")</f>
        <v>0.221998080037203</v>
      </c>
      <c r="Q16" s="46" t="n">
        <f aca="false">IFERROR(Q15/P15-1,"")</f>
        <v>1.61647189502354</v>
      </c>
      <c r="R16" s="46" t="n">
        <f aca="false">IFERROR(R15/Q15-1,"")</f>
        <v>-0.411553752961232</v>
      </c>
      <c r="S16" s="46" t="n">
        <f aca="false">IFERROR(S15/R15-1,"")</f>
        <v>0.170669239492084</v>
      </c>
      <c r="T16" s="46" t="n">
        <f aca="false">IFERROR(T15/S15-1,"")</f>
        <v>0.148654680955301</v>
      </c>
      <c r="Z16" s="22" t="s">
        <v>687</v>
      </c>
      <c r="AB16" s="46" t="n">
        <f aca="false">IFERROR(AB15/AA15-1,"")</f>
        <v>0.204554425795084</v>
      </c>
      <c r="AC16" s="46" t="n">
        <f aca="false">IFERROR(AC15/AB15-1,"")</f>
        <v>1.21720985042916</v>
      </c>
      <c r="AD16" s="46" t="n">
        <f aca="false">IFERROR(AD15/AC15-1,"")</f>
        <v>-0.492576105327649</v>
      </c>
      <c r="AE16" s="46" t="n">
        <f aca="false">IFERROR(AE15/AD15-1,"")</f>
        <v>0.0971698161654824</v>
      </c>
      <c r="AF16" s="46" t="n">
        <f aca="false">IFERROR(AF15/AE15-1,"")</f>
        <v>0.0720138118763893</v>
      </c>
    </row>
    <row r="17" customFormat="false" ht="15" hidden="false" customHeight="false" outlineLevel="0" collapsed="false">
      <c r="B17" s="22" t="s">
        <v>688</v>
      </c>
      <c r="C17" s="46" t="n">
        <f aca="false">IFERROR(C15/C9,"")</f>
        <v>0.126455677403722</v>
      </c>
      <c r="D17" s="46" t="n">
        <f aca="false">IFERROR(D15/D9,"")</f>
        <v>0.129136973678476</v>
      </c>
      <c r="E17" s="46" t="n">
        <f aca="false">IFERROR(E15/E9,"")</f>
        <v>0.276964957602723</v>
      </c>
      <c r="F17" s="46" t="n">
        <f aca="false">IFERROR(F15/F9,"")</f>
        <v>0.141656677467902</v>
      </c>
      <c r="G17" s="46" t="n">
        <f aca="false">IFERROR(G15/G9,"")</f>
        <v>0.145143208328702</v>
      </c>
      <c r="H17" s="46" t="n">
        <f aca="false">IFERROR(H15/H9,"")</f>
        <v>0.146249815889918</v>
      </c>
      <c r="J17" s="87" t="n">
        <f aca="false">IFERROR(AVERAGE(Model!S254,Model!X254,Model!AC254,Model!AH254,Model!AM254,Model!AR254,Model!AW254,Model!BB254,Model!BG254,Model!BL254),"")</f>
        <v>0.158701515589215</v>
      </c>
      <c r="N17" s="22" t="s">
        <v>688</v>
      </c>
      <c r="O17" s="46" t="n">
        <f aca="false">IFERROR(O15/O9,"")</f>
        <v>0.126455677403722</v>
      </c>
      <c r="P17" s="46" t="n">
        <f aca="false">IFERROR(P15/P9,"")</f>
        <v>0.128376135442537</v>
      </c>
      <c r="Q17" s="46" t="n">
        <f aca="false">IFERROR(Q15/Q9,"")</f>
        <v>0.296290354509866</v>
      </c>
      <c r="R17" s="46" t="n">
        <f aca="false">IFERROR(R15/R9,"")</f>
        <v>0.151930697769676</v>
      </c>
      <c r="S17" s="46" t="n">
        <f aca="false">IFERROR(S15/S9,"")</f>
        <v>0.154323861488788</v>
      </c>
      <c r="T17" s="46" t="n">
        <f aca="false">IFERROR(T15/T9,"")</f>
        <v>0.154768476539328</v>
      </c>
      <c r="Z17" s="22" t="s">
        <v>688</v>
      </c>
      <c r="AA17" s="46" t="n">
        <f aca="false">IFERROR(AA15/AA9,"")</f>
        <v>0.126455677403722</v>
      </c>
      <c r="AB17" s="46" t="n">
        <f aca="false">IFERROR(AB15/AB9,"")</f>
        <v>0.129918100934041</v>
      </c>
      <c r="AC17" s="46" t="n">
        <f aca="false">IFERROR(AC15/AC9,"")</f>
        <v>0.270712419073539</v>
      </c>
      <c r="AD17" s="46" t="n">
        <f aca="false">IFERROR(AD15/AD9,"")</f>
        <v>0.129668986360972</v>
      </c>
      <c r="AE17" s="46" t="n">
        <f aca="false">IFERROR(AE15/AE9,"")</f>
        <v>0.134256819651251</v>
      </c>
      <c r="AF17" s="46" t="n">
        <f aca="false">IFERROR(AF15/AF9,"")</f>
        <v>0.136199496735666</v>
      </c>
    </row>
    <row r="19" customFormat="false" ht="15" hidden="false" customHeight="false" outlineLevel="0" collapsed="false">
      <c r="B19" s="79" t="s">
        <v>689</v>
      </c>
      <c r="C19" s="84" t="n">
        <f aca="false">Model!BL234</f>
        <v>368.34256</v>
      </c>
      <c r="D19" s="84" t="n">
        <f aca="false">Model!BQ234</f>
        <v>436.007845482896</v>
      </c>
      <c r="E19" s="84" t="n">
        <f aca="false">Model!BR234</f>
        <v>481.214147957043</v>
      </c>
      <c r="F19" s="84" t="n">
        <f aca="false">Model!BS234</f>
        <v>540.788705054995</v>
      </c>
      <c r="G19" s="84" t="n">
        <f aca="false">Model!BT234</f>
        <v>600.712137498531</v>
      </c>
      <c r="H19" s="84" t="n">
        <f aca="false">Model!BU234</f>
        <v>659.76218666781</v>
      </c>
      <c r="I19" s="85" t="n">
        <f aca="false">IFERROR((H19/C19)^(1/5)-1,"n/m")</f>
        <v>0.123639774093245</v>
      </c>
      <c r="N19" s="79" t="s">
        <v>689</v>
      </c>
      <c r="O19" s="86" t="n">
        <v>368.34256</v>
      </c>
      <c r="P19" s="86" t="n">
        <v>438.777028341208</v>
      </c>
      <c r="Q19" s="86" t="n">
        <v>544.611341985847</v>
      </c>
      <c r="R19" s="86" t="n">
        <v>617.956443821827</v>
      </c>
      <c r="S19" s="86" t="n">
        <v>708.385139182341</v>
      </c>
      <c r="T19" s="86" t="n">
        <v>799.48413827659</v>
      </c>
      <c r="U19" s="85" t="n">
        <f aca="false">IFERROR((T19/O19)^(1/5)-1,"n/m")</f>
        <v>0.167647059382726</v>
      </c>
      <c r="Z19" s="79" t="s">
        <v>689</v>
      </c>
      <c r="AA19" s="86" t="n">
        <v>368.34256</v>
      </c>
      <c r="AB19" s="86" t="n">
        <v>433.238662624583</v>
      </c>
      <c r="AC19" s="86" t="n">
        <v>424.456339001157</v>
      </c>
      <c r="AD19" s="86" t="n">
        <v>468.413119826106</v>
      </c>
      <c r="AE19" s="86" t="n">
        <v>503.999843141169</v>
      </c>
      <c r="AF19" s="86" t="n">
        <v>531.207980545899</v>
      </c>
      <c r="AG19" s="85" t="n">
        <f aca="false">IFERROR((AF19/AA19)^(1/5)-1,"n/m")</f>
        <v>0.0759758845764094</v>
      </c>
    </row>
    <row r="21" customFormat="false" ht="15" hidden="false" customHeight="false" outlineLevel="0" collapsed="false">
      <c r="B21" s="79" t="s">
        <v>690</v>
      </c>
      <c r="C21" s="88" t="n">
        <f aca="false">Model!BL185</f>
        <v>91.856</v>
      </c>
      <c r="D21" s="88" t="n">
        <f aca="false">Model!BQ185</f>
        <v>91.995125</v>
      </c>
      <c r="E21" s="88" t="n">
        <f aca="false">Model!BR185</f>
        <v>91.1776217616778</v>
      </c>
      <c r="F21" s="88" t="n">
        <f aca="false">Model!BS185</f>
        <v>89.6563853254866</v>
      </c>
      <c r="G21" s="88" t="n">
        <f aca="false">Model!BT185</f>
        <v>88.1144873291016</v>
      </c>
      <c r="H21" s="88" t="n">
        <f aca="false">Model!BU185</f>
        <v>86.3645434826549</v>
      </c>
      <c r="I21" s="85" t="n">
        <f aca="false">IFERROR((H21/C21)^(1/5)-1,"n/m")</f>
        <v>-0.0122532931031626</v>
      </c>
      <c r="N21" s="79" t="s">
        <v>690</v>
      </c>
      <c r="O21" s="89" t="n">
        <v>91.856</v>
      </c>
      <c r="P21" s="89" t="n">
        <v>91.995125</v>
      </c>
      <c r="Q21" s="89" t="n">
        <v>89.7308570564912</v>
      </c>
      <c r="R21" s="89" t="n">
        <v>86.6438556189487</v>
      </c>
      <c r="S21" s="89" t="n">
        <v>84.7335917581355</v>
      </c>
      <c r="T21" s="89" t="n">
        <v>82.3994130298059</v>
      </c>
      <c r="U21" s="85" t="n">
        <f aca="false">IFERROR((T21/O21)^(1/5)-1,"n/m")</f>
        <v>-0.0214943949852346</v>
      </c>
      <c r="Z21" s="79" t="s">
        <v>690</v>
      </c>
      <c r="AA21" s="89" t="n">
        <v>91.856</v>
      </c>
      <c r="AB21" s="89" t="n">
        <v>91.995125</v>
      </c>
      <c r="AC21" s="89" t="n">
        <v>92.1966</v>
      </c>
      <c r="AD21" s="89" t="n">
        <v>92.09912997547</v>
      </c>
      <c r="AE21" s="89" t="n">
        <v>91.0277507923335</v>
      </c>
      <c r="AF21" s="89" t="n">
        <v>89.4811485850162</v>
      </c>
      <c r="AG21" s="85" t="n">
        <f aca="false">IFERROR((AF21/AA21)^(1/5)-1,"n/m")</f>
        <v>-0.00522513338423003</v>
      </c>
    </row>
    <row r="23" customFormat="false" ht="15" hidden="false" customHeight="false" outlineLevel="0" collapsed="false">
      <c r="B23" s="79" t="s">
        <v>691</v>
      </c>
      <c r="C23" s="90" t="n">
        <f aca="false">Model!BL236</f>
        <v>4.01</v>
      </c>
      <c r="D23" s="90" t="n">
        <f aca="false">Model!BQ236</f>
        <v>4.73946685199782</v>
      </c>
      <c r="E23" s="90" t="n">
        <f aca="false">Model!BR236</f>
        <v>5.27776595462045</v>
      </c>
      <c r="F23" s="90" t="n">
        <f aca="false">Model!BS236</f>
        <v>6.03179241603068</v>
      </c>
      <c r="G23" s="90" t="n">
        <f aca="false">Model!BT236</f>
        <v>6.81740489795862</v>
      </c>
      <c r="H23" s="90" t="n">
        <f aca="false">Model!BU236</f>
        <v>7.63927139614087</v>
      </c>
      <c r="I23" s="85" t="n">
        <f aca="false">IFERROR((H23/C23)^(1/5)-1,"n/m")</f>
        <v>0.137578861308824</v>
      </c>
      <c r="N23" s="79" t="s">
        <v>691</v>
      </c>
      <c r="O23" s="91" t="n">
        <v>4.01</v>
      </c>
      <c r="P23" s="91" t="n">
        <v>4.76956826072259</v>
      </c>
      <c r="Q23" s="91" t="n">
        <v>6.06938749780334</v>
      </c>
      <c r="R23" s="91" t="n">
        <v>7.13214387110772</v>
      </c>
      <c r="S23" s="91" t="n">
        <v>8.36014530346315</v>
      </c>
      <c r="T23" s="91" t="n">
        <v>9.70254652162871</v>
      </c>
      <c r="U23" s="85" t="n">
        <f aca="false">IFERROR((T23/O23)^(1/5)-1,"n/m")</f>
        <v>0.193296240101871</v>
      </c>
      <c r="Z23" s="79" t="s">
        <v>691</v>
      </c>
      <c r="AA23" s="91" t="n">
        <v>4.01</v>
      </c>
      <c r="AB23" s="91" t="n">
        <v>4.70936544327304</v>
      </c>
      <c r="AC23" s="91" t="n">
        <v>4.60381770044835</v>
      </c>
      <c r="AD23" s="91" t="n">
        <v>5.08596682673186</v>
      </c>
      <c r="AE23" s="91" t="n">
        <v>5.53677135548445</v>
      </c>
      <c r="AF23" s="91" t="n">
        <v>5.93653511321658</v>
      </c>
      <c r="AG23" s="85" t="n">
        <f aca="false">IFERROR((AF23/AA23)^(1/5)-1,"n/m")</f>
        <v>0.0816275327068583</v>
      </c>
    </row>
    <row r="24" customFormat="false" ht="15" hidden="false" customHeight="false" outlineLevel="0" collapsed="false">
      <c r="B24" s="22" t="s">
        <v>692</v>
      </c>
      <c r="D24" s="46" t="n">
        <f aca="false">IFERROR(D23/C23-1,"")</f>
        <v>0.181911933166537</v>
      </c>
      <c r="E24" s="46" t="n">
        <f aca="false">IFERROR(E23/D23-1,"")</f>
        <v>0.113577986603224</v>
      </c>
      <c r="F24" s="46" t="n">
        <f aca="false">IFERROR(F23/E23-1,"")</f>
        <v>0.142868491686359</v>
      </c>
      <c r="G24" s="46" t="n">
        <f aca="false">IFERROR(G23/F23-1,"")</f>
        <v>0.130245278308985</v>
      </c>
      <c r="H24" s="46" t="n">
        <f aca="false">IFERROR(H23/G23-1,"")</f>
        <v>0.120554156674535</v>
      </c>
      <c r="N24" s="22" t="s">
        <v>692</v>
      </c>
      <c r="P24" s="46" t="n">
        <f aca="false">IFERROR(P23/O23-1,"")</f>
        <v>0.189418518883439</v>
      </c>
      <c r="Q24" s="46" t="n">
        <f aca="false">IFERROR(Q23/P23-1,"")</f>
        <v>0.272523458314826</v>
      </c>
      <c r="R24" s="46" t="n">
        <f aca="false">IFERROR(R23/Q23-1,"")</f>
        <v>0.175101091121471</v>
      </c>
      <c r="S24" s="46" t="n">
        <f aca="false">IFERROR(S23/R23-1,"")</f>
        <v>0.172178443753786</v>
      </c>
      <c r="T24" s="46" t="n">
        <f aca="false">IFERROR(T23/S23-1,"")</f>
        <v>0.160571517532055</v>
      </c>
      <c r="Z24" s="22" t="s">
        <v>692</v>
      </c>
      <c r="AB24" s="46" t="n">
        <f aca="false">IFERROR(AB23/AA23-1,"")</f>
        <v>0.174405347449636</v>
      </c>
      <c r="AC24" s="46" t="n">
        <f aca="false">IFERROR(AC23/AB23-1,"")</f>
        <v>-0.0224123067313572</v>
      </c>
      <c r="AD24" s="46" t="n">
        <f aca="false">IFERROR(AD23/AC23-1,"")</f>
        <v>0.104728109941572</v>
      </c>
      <c r="AE24" s="46" t="n">
        <f aca="false">IFERROR(AE23/AD23-1,"")</f>
        <v>0.0886369384839791</v>
      </c>
      <c r="AF24" s="46" t="n">
        <f aca="false">IFERROR(AF23/AE23-1,"")</f>
        <v>0.0722016012700515</v>
      </c>
    </row>
    <row r="26" customFormat="false" ht="15" hidden="false" customHeight="false" outlineLevel="0" collapsed="false">
      <c r="B26" s="79" t="s">
        <v>693</v>
      </c>
      <c r="F26" s="92" t="n">
        <v>30</v>
      </c>
      <c r="G26" s="92" t="n">
        <v>30</v>
      </c>
      <c r="H26" s="92" t="n">
        <v>30</v>
      </c>
      <c r="N26" s="79" t="s">
        <v>693</v>
      </c>
      <c r="R26" s="92" t="n">
        <v>35</v>
      </c>
      <c r="S26" s="92" t="n">
        <v>35</v>
      </c>
      <c r="T26" s="92" t="n">
        <v>35</v>
      </c>
      <c r="Z26" s="79" t="s">
        <v>693</v>
      </c>
      <c r="AD26" s="92" t="n">
        <v>22</v>
      </c>
      <c r="AE26" s="92" t="n">
        <v>22</v>
      </c>
      <c r="AF26" s="92" t="n">
        <v>22</v>
      </c>
    </row>
    <row r="27" customFormat="false" ht="15" hidden="false" customHeight="false" outlineLevel="0" collapsed="false">
      <c r="B27" s="79" t="s">
        <v>694</v>
      </c>
      <c r="F27" s="93" t="n">
        <f aca="false">F26*F23</f>
        <v>180.953772480921</v>
      </c>
      <c r="G27" s="93" t="n">
        <f aca="false">G26*G23</f>
        <v>204.522146938759</v>
      </c>
      <c r="H27" s="93" t="n">
        <f aca="false">H26*H23</f>
        <v>229.178141884226</v>
      </c>
      <c r="N27" s="79" t="s">
        <v>694</v>
      </c>
      <c r="R27" s="93" t="n">
        <f aca="false">R26*R23</f>
        <v>249.62503548877</v>
      </c>
      <c r="S27" s="93" t="n">
        <f aca="false">S26*S23</f>
        <v>292.60508562121</v>
      </c>
      <c r="T27" s="93" t="n">
        <f aca="false">T26*T23</f>
        <v>339.589128257005</v>
      </c>
      <c r="Z27" s="79" t="s">
        <v>694</v>
      </c>
      <c r="AD27" s="93" t="n">
        <f aca="false">AD26*AD23</f>
        <v>111.891270188101</v>
      </c>
      <c r="AE27" s="93" t="n">
        <f aca="false">AE26*AE23</f>
        <v>121.808969820658</v>
      </c>
      <c r="AF27" s="93" t="n">
        <f aca="false">AF26*AF23</f>
        <v>130.603772490765</v>
      </c>
    </row>
    <row r="28" customFormat="false" ht="15" hidden="false" customHeight="false" outlineLevel="0" collapsed="false">
      <c r="B28" s="22" t="s">
        <v>695</v>
      </c>
      <c r="F28" s="46" t="n">
        <f aca="false">IFERROR(F27/$K$2-1,"")</f>
        <v>0.188218349733538</v>
      </c>
      <c r="G28" s="46" t="n">
        <f aca="false">IFERROR(G27/$K$2-1,"")</f>
        <v>0.342978179386425</v>
      </c>
      <c r="H28" s="46" t="n">
        <f aca="false">IFERROR(H27/$K$2-1,"")</f>
        <v>0.504879781234659</v>
      </c>
      <c r="N28" s="22" t="s">
        <v>695</v>
      </c>
      <c r="R28" s="46" t="n">
        <f aca="false">IFERROR(R27/$K$2-1,"")</f>
        <v>0.639142658669448</v>
      </c>
      <c r="S28" s="46" t="n">
        <f aca="false">IFERROR(S27/$K$2-1,"")</f>
        <v>0.921367690729597</v>
      </c>
      <c r="T28" s="46" t="n">
        <f aca="false">IFERROR(T27/$K$2-1,"")</f>
        <v>1.22988461656711</v>
      </c>
      <c r="Z28" s="22" t="s">
        <v>695</v>
      </c>
      <c r="AD28" s="46" t="n">
        <f aca="false">IFERROR(AD27/$K$2-1,"")</f>
        <v>-0.265275000406455</v>
      </c>
      <c r="AE28" s="46" t="n">
        <f aca="false">IFERROR(AE27/$K$2-1,"")</f>
        <v>-0.200151225814841</v>
      </c>
      <c r="AF28" s="46" t="n">
        <f aca="false">IFERROR(AF27/$K$2-1,"")</f>
        <v>-0.142400863544785</v>
      </c>
    </row>
    <row r="29" customFormat="false" ht="15" hidden="false" customHeight="false" outlineLevel="0" collapsed="false">
      <c r="B29" s="22" t="s">
        <v>696</v>
      </c>
      <c r="F29" s="46" t="n">
        <f aca="false">IFERROR((F27/$K$2)^(1/((DATE(2028-1,12,31)-$K$3)/365.25))-1,"")</f>
        <v>0.150246163976969</v>
      </c>
      <c r="G29" s="46" t="n">
        <f aca="false">IFERROR((G27/$K$2)^(1/((DATE(2029-1,12,31)-$K$3)/365.25))-1,"")</f>
        <v>0.141103357518347</v>
      </c>
      <c r="H29" s="46" t="n">
        <f aca="false">IFERROR((H27/$K$2)^(1/((DATE(2030-1,12,31)-$K$3)/365.25))-1,"")</f>
        <v>0.134739842972139</v>
      </c>
      <c r="N29" s="22" t="s">
        <v>696</v>
      </c>
      <c r="R29" s="46" t="n">
        <f aca="false">IFERROR((R27/$K$2)^(1/((DATE(2028-1,12,31)-$K$3)/365.25))-1,"")</f>
        <v>0.493472618042183</v>
      </c>
      <c r="S29" s="46" t="n">
        <f aca="false">IFERROR((S27/$K$2)^(1/((DATE(2029-1,12,31)-$K$3)/365.25))-1,"")</f>
        <v>0.339513120606699</v>
      </c>
      <c r="T29" s="46" t="n">
        <f aca="false">IFERROR((T27/$K$2)^(1/((DATE(2030-1,12,31)-$K$3)/365.25))-1,"")</f>
        <v>0.281486169340417</v>
      </c>
      <c r="Z29" s="22" t="s">
        <v>696</v>
      </c>
      <c r="AD29" s="46" t="n">
        <f aca="false">IFERROR((AD27/$K$2)^(1/((DATE(2028-1,12,31)-$K$3)/365.25))-1,"")</f>
        <v>-0.221357729584518</v>
      </c>
      <c r="AE29" s="46" t="n">
        <f aca="false">IFERROR((AE27/$K$2)^(1/((DATE(2029-1,12,31)-$K$3)/365.25))-1,"")</f>
        <v>-0.0951317911093348</v>
      </c>
      <c r="AF29" s="46" t="n">
        <f aca="false">IFERROR((AF27/$K$2)^(1/((DATE(2030-1,12,31)-$K$3)/365.25))-1,"")</f>
        <v>-0.0463989381869272</v>
      </c>
    </row>
    <row r="31" customFormat="false" ht="15" hidden="false" customHeight="false" outlineLevel="0" collapsed="false">
      <c r="B31" s="79" t="s">
        <v>697</v>
      </c>
      <c r="C31" s="84" t="n">
        <f aca="false">Model!BL288</f>
        <v>295.291</v>
      </c>
      <c r="D31" s="84" t="n">
        <f aca="false">Model!BQ288</f>
        <v>368.23575502487</v>
      </c>
      <c r="E31" s="84" t="n">
        <f aca="false">Model!BR288</f>
        <v>152.659275420025</v>
      </c>
      <c r="F31" s="84" t="n">
        <f aca="false">Model!BS288</f>
        <v>451.367324139435</v>
      </c>
      <c r="G31" s="84" t="n">
        <f aca="false">Model!BT288</f>
        <v>531.756145857095</v>
      </c>
      <c r="H31" s="84" t="n">
        <f aca="false">Model!BU288</f>
        <v>584.86448588657</v>
      </c>
      <c r="I31" s="85" t="n">
        <f aca="false">IFERROR((H31/C31)^(1/5)-1,"n/m")</f>
        <v>0.146465547036119</v>
      </c>
      <c r="N31" s="79" t="s">
        <v>697</v>
      </c>
      <c r="O31" s="86" t="n">
        <v>295.291</v>
      </c>
      <c r="P31" s="86" t="n">
        <v>365.856206246093</v>
      </c>
      <c r="Q31" s="86" t="n">
        <v>181.335348113364</v>
      </c>
      <c r="R31" s="86" t="n">
        <v>501.529116703828</v>
      </c>
      <c r="S31" s="86" t="n">
        <v>609.859399405394</v>
      </c>
      <c r="T31" s="86" t="n">
        <v>689.16781020095</v>
      </c>
      <c r="U31" s="85" t="n">
        <f aca="false">IFERROR((T31/O31)^(1/5)-1,"n/m")</f>
        <v>0.184717912048457</v>
      </c>
      <c r="Z31" s="79" t="s">
        <v>697</v>
      </c>
      <c r="AA31" s="86" t="n">
        <v>295.291</v>
      </c>
      <c r="AB31" s="86" t="n">
        <v>370.615303803648</v>
      </c>
      <c r="AC31" s="86" t="n">
        <v>112.630000969113</v>
      </c>
      <c r="AD31" s="86" t="n">
        <v>401.658903959689</v>
      </c>
      <c r="AE31" s="86" t="n">
        <v>463.170924432328</v>
      </c>
      <c r="AF31" s="86" t="n">
        <v>488.543994898198</v>
      </c>
      <c r="AG31" s="85" t="n">
        <f aca="false">IFERROR((AF31/AA31)^(1/5)-1,"n/m")</f>
        <v>0.105937778704808</v>
      </c>
    </row>
    <row r="32" customFormat="false" ht="15" hidden="false" customHeight="false" outlineLevel="0" collapsed="false">
      <c r="B32" s="22" t="s">
        <v>698</v>
      </c>
      <c r="C32" s="46" t="n">
        <f aca="false">IFERROR(C31/C9,"")</f>
        <v>0.0923238781587813</v>
      </c>
      <c r="D32" s="46" t="n">
        <f aca="false">IFERROR(D31/D9,"")</f>
        <v>0.0969041460591764</v>
      </c>
      <c r="E32" s="46" t="n">
        <f aca="false">IFERROR(E31/E9,"")</f>
        <v>0.0366687966998178</v>
      </c>
      <c r="F32" s="46" t="n">
        <f aca="false">IFERROR(F31/F9,"")</f>
        <v>0.0984898984484109</v>
      </c>
      <c r="G32" s="46" t="n">
        <f aca="false">IFERROR(G31/G9,"")</f>
        <v>0.104602536274478</v>
      </c>
      <c r="H32" s="46" t="n">
        <f aca="false">IFERROR(H31/H9,"")</f>
        <v>0.104145832164011</v>
      </c>
      <c r="J32" s="87" t="n">
        <f aca="false">IFERROR(AVERAGE(Model!S290,Model!X290,Model!AC290,Model!AH290,Model!AM290,Model!AR290,Model!AW290,Model!BB290,Model!BG290,Model!BL290),"")</f>
        <v>0.057972991561309</v>
      </c>
      <c r="N32" s="22" t="s">
        <v>698</v>
      </c>
      <c r="O32" s="46" t="n">
        <f aca="false">IFERROR(O31/O9,"")</f>
        <v>0.0923238781587813</v>
      </c>
      <c r="P32" s="46" t="n">
        <f aca="false">IFERROR(P31/P9,"")</f>
        <v>0.0950275860379462</v>
      </c>
      <c r="Q32" s="46" t="n">
        <f aca="false">IFERROR(Q31/Q9,"")</f>
        <v>0.0415469246699281</v>
      </c>
      <c r="R32" s="46" t="n">
        <f aca="false">IFERROR(R31/R9,"")</f>
        <v>0.100132206207352</v>
      </c>
      <c r="S32" s="46" t="n">
        <f aca="false">IFERROR(S31/S9,"")</f>
        <v>0.10564785834996</v>
      </c>
      <c r="T32" s="46" t="n">
        <f aca="false">IFERROR(T31/T9,"")</f>
        <v>0.104235558870163</v>
      </c>
      <c r="Z32" s="22" t="s">
        <v>698</v>
      </c>
      <c r="AA32" s="46" t="n">
        <f aca="false">IFERROR(AA31/AA9,"")</f>
        <v>0.0923238781587813</v>
      </c>
      <c r="AB32" s="46" t="n">
        <f aca="false">IFERROR(AB31/AB9,"")</f>
        <v>0.0988307476809728</v>
      </c>
      <c r="AC32" s="46" t="n">
        <f aca="false">IFERROR(AC31/AC9,"")</f>
        <v>0.0282263379373972</v>
      </c>
      <c r="AD32" s="46" t="n">
        <f aca="false">IFERROR(AD31/AD9,"")</f>
        <v>0.0950199657643228</v>
      </c>
      <c r="AE32" s="46" t="n">
        <f aca="false">IFERROR(AE31/AE9,"")</f>
        <v>0.103401097256795</v>
      </c>
      <c r="AF32" s="46" t="n">
        <f aca="false">IFERROR(AF31/AF9,"")</f>
        <v>0.103211075792677</v>
      </c>
    </row>
    <row r="33" customFormat="false" ht="15" hidden="false" customHeight="false" outlineLevel="0" collapsed="false">
      <c r="B33" s="22" t="s">
        <v>699</v>
      </c>
      <c r="C33" s="94" t="n">
        <f aca="false">IFERROR(C31/C21,"")</f>
        <v>3.21471651280265</v>
      </c>
      <c r="D33" s="94" t="n">
        <f aca="false">IFERROR(D31/D21,"")</f>
        <v>4.00277465816662</v>
      </c>
      <c r="E33" s="94" t="n">
        <f aca="false">IFERROR(E31/E21,"")</f>
        <v>1.67430639745188</v>
      </c>
      <c r="F33" s="94" t="n">
        <f aca="false">IFERROR(F31/F21,"")</f>
        <v>5.03441358360368</v>
      </c>
      <c r="G33" s="94" t="n">
        <f aca="false">IFERROR(G31/G21,"")</f>
        <v>6.03483220495879</v>
      </c>
      <c r="H33" s="94" t="n">
        <f aca="false">IFERROR(H31/H21,"")</f>
        <v>6.772043969688</v>
      </c>
      <c r="N33" s="22" t="s">
        <v>699</v>
      </c>
      <c r="O33" s="94" t="n">
        <f aca="false">IFERROR(O31/O21,"")</f>
        <v>3.21471651280265</v>
      </c>
      <c r="P33" s="94" t="n">
        <f aca="false">IFERROR(P31/P21,"")</f>
        <v>3.97690862690923</v>
      </c>
      <c r="Q33" s="94" t="n">
        <f aca="false">IFERROR(Q31/Q21,"")</f>
        <v>2.02088059851253</v>
      </c>
      <c r="R33" s="94" t="n">
        <f aca="false">IFERROR(R31/R21,"")</f>
        <v>5.78839795529766</v>
      </c>
      <c r="S33" s="94" t="n">
        <f aca="false">IFERROR(S31/S21,"")</f>
        <v>7.19737458015687</v>
      </c>
      <c r="T33" s="94" t="n">
        <f aca="false">IFERROR(T31/T21,"")</f>
        <v>8.36374659552078</v>
      </c>
      <c r="Z33" s="22" t="s">
        <v>699</v>
      </c>
      <c r="AA33" s="94" t="n">
        <f aca="false">IFERROR(AA31/AA21,"")</f>
        <v>3.21471651280265</v>
      </c>
      <c r="AB33" s="94" t="n">
        <f aca="false">IFERROR(AB31/AB21,"")</f>
        <v>4.02864068942401</v>
      </c>
      <c r="AC33" s="94" t="n">
        <f aca="false">IFERROR(AC31/AC21,"")</f>
        <v>1.22162857382065</v>
      </c>
      <c r="AD33" s="94" t="n">
        <f aca="false">IFERROR(AD31/AD21,"")</f>
        <v>4.36115850460985</v>
      </c>
      <c r="AE33" s="94" t="n">
        <f aca="false">IFERROR(AE31/AE21,"")</f>
        <v>5.08823870084393</v>
      </c>
      <c r="AF33" s="94" t="n">
        <f aca="false">IFERROR(AF31/AF21,"")</f>
        <v>5.4597421090771</v>
      </c>
    </row>
    <row r="34" customFormat="false" ht="15" hidden="false" customHeight="false" outlineLevel="0" collapsed="false">
      <c r="B34" s="22" t="s">
        <v>700</v>
      </c>
      <c r="F34" s="46" t="n">
        <f aca="false">IFERROR(F33/F$27,"")</f>
        <v>0.027821545329399</v>
      </c>
      <c r="G34" s="46" t="n">
        <f aca="false">IFERROR(G33/G$27,"")</f>
        <v>0.0295069863840508</v>
      </c>
      <c r="H34" s="46" t="n">
        <f aca="false">IFERROR(H33/H$27,"")</f>
        <v>0.0295492576823013</v>
      </c>
      <c r="N34" s="22" t="s">
        <v>700</v>
      </c>
      <c r="R34" s="46" t="n">
        <f aca="false">IFERROR(R33/R$27,"")</f>
        <v>0.0231883710861127</v>
      </c>
      <c r="S34" s="46" t="n">
        <f aca="false">IFERROR(S33/S$27,"")</f>
        <v>0.0245975717232549</v>
      </c>
      <c r="T34" s="46" t="n">
        <f aca="false">IFERROR(T33/T$27,"")</f>
        <v>0.0246290175378966</v>
      </c>
      <c r="Z34" s="22" t="s">
        <v>700</v>
      </c>
      <c r="AD34" s="46" t="n">
        <f aca="false">IFERROR(AD33/AD$27,"")</f>
        <v>0.0389767539261847</v>
      </c>
      <c r="AE34" s="46" t="n">
        <f aca="false">IFERROR(AE33/AE$27,"")</f>
        <v>0.0417722825202073</v>
      </c>
      <c r="AF34" s="46" t="n">
        <f aca="false">IFERROR(AF33/AF$27,"")</f>
        <v>0.0418038622082159</v>
      </c>
    </row>
    <row r="35" customFormat="false" ht="15" hidden="false" customHeight="false" outlineLevel="0" collapsed="false">
      <c r="B35" s="79" t="s">
        <v>701</v>
      </c>
      <c r="C35" s="84" t="n">
        <f aca="false">Model!BL110</f>
        <v>7260.692</v>
      </c>
      <c r="D35" s="84" t="n">
        <f aca="false">Model!BQ110</f>
        <v>8398.081</v>
      </c>
      <c r="E35" s="84" t="n">
        <f aca="false">Model!BR110</f>
        <v>8529.40411164534</v>
      </c>
      <c r="F35" s="84" t="n">
        <f aca="false">Model!BS110</f>
        <v>8671.2330722223</v>
      </c>
      <c r="G35" s="84" t="n">
        <f aca="false">Model!BT110</f>
        <v>8822.99006003965</v>
      </c>
      <c r="H35" s="84" t="n">
        <f aca="false">Model!BU110</f>
        <v>8985.37003700422</v>
      </c>
      <c r="I35" s="85" t="n">
        <f aca="false">IFERROR((H35/C35)^(1/5)-1,"n/m")</f>
        <v>0.0435459827311635</v>
      </c>
      <c r="N35" s="79" t="s">
        <v>701</v>
      </c>
      <c r="O35" s="86" t="n">
        <v>7260.692</v>
      </c>
      <c r="P35" s="86" t="n">
        <v>8398.081</v>
      </c>
      <c r="Q35" s="86" t="n">
        <v>9102.66472807701</v>
      </c>
      <c r="R35" s="86" t="n">
        <v>9886.93527976941</v>
      </c>
      <c r="S35" s="86" t="n">
        <v>10757.6053765753</v>
      </c>
      <c r="T35" s="86" t="n">
        <v>11723.2616296351</v>
      </c>
      <c r="U35" s="85" t="n">
        <f aca="false">IFERROR((T35/O35)^(1/5)-1,"n/m")</f>
        <v>0.100560923265429</v>
      </c>
      <c r="Z35" s="79" t="s">
        <v>701</v>
      </c>
      <c r="AA35" s="86" t="n">
        <v>7260.692</v>
      </c>
      <c r="AB35" s="86" t="n">
        <v>8398.081</v>
      </c>
      <c r="AC35" s="86" t="n">
        <v>7998.47211011076</v>
      </c>
      <c r="AD35" s="86" t="n">
        <v>7575.17770308348</v>
      </c>
      <c r="AE35" s="86" t="n">
        <v>7126.65712375837</v>
      </c>
      <c r="AF35" s="86" t="n">
        <v>6652.7281808921</v>
      </c>
      <c r="AG35" s="85" t="n">
        <f aca="false">IFERROR((AF35/AA35)^(1/5)-1,"n/m")</f>
        <v>-0.0173375678492591</v>
      </c>
    </row>
    <row r="36" customFormat="false" ht="15" hidden="false" customHeight="false" outlineLevel="0" collapsed="false">
      <c r="B36" s="22" t="s">
        <v>702</v>
      </c>
      <c r="C36" s="95" t="n">
        <f aca="false">Model!BL112</f>
        <v>1.67579449260183</v>
      </c>
      <c r="D36" s="95" t="n">
        <f aca="false">Model!BQ112</f>
        <v>1.29992763157895</v>
      </c>
      <c r="E36" s="95" t="n">
        <f aca="false">Model!BR112</f>
        <v>1.03294757502933</v>
      </c>
      <c r="F36" s="95" t="n">
        <f aca="false">Model!BS112</f>
        <v>1.02404011792319</v>
      </c>
      <c r="G36" s="95" t="n">
        <f aca="false">Model!BT112</f>
        <v>1.007691613023</v>
      </c>
      <c r="H36" s="95" t="n">
        <f aca="false">Model!BU112</f>
        <v>0.993276848683557</v>
      </c>
      <c r="N36" s="22" t="s">
        <v>702</v>
      </c>
      <c r="O36" s="42" t="n">
        <v>1.67579449260183</v>
      </c>
      <c r="P36" s="42" t="n">
        <v>1.29603246753247</v>
      </c>
      <c r="Q36" s="42" t="n">
        <v>1.15417886207847</v>
      </c>
      <c r="R36" s="42" t="n">
        <v>1.12660339536506</v>
      </c>
      <c r="S36" s="42" t="n">
        <v>1.09563059964404</v>
      </c>
      <c r="T36" s="42" t="n">
        <v>1.07033988158668</v>
      </c>
      <c r="Z36" s="22" t="s">
        <v>702</v>
      </c>
      <c r="AA36" s="42" t="n">
        <v>1.67579449260183</v>
      </c>
      <c r="AB36" s="42" t="n">
        <v>1.30392666666667</v>
      </c>
      <c r="AC36" s="42" t="n">
        <v>0.901318114585263</v>
      </c>
      <c r="AD36" s="42" t="n">
        <v>0.901244257271549</v>
      </c>
      <c r="AE36" s="42" t="n">
        <v>0.901174185127873</v>
      </c>
      <c r="AF36" s="42" t="n">
        <v>0.901111156784052</v>
      </c>
    </row>
    <row r="38" customFormat="false" ht="15" hidden="false" customHeight="false" outlineLevel="0" collapsed="false">
      <c r="B38" s="79" t="s">
        <v>703</v>
      </c>
      <c r="C38" s="84" t="n">
        <f aca="false">Model!BL443</f>
        <v>1508.779</v>
      </c>
      <c r="D38" s="84" t="n">
        <f aca="false">Model!BQ443</f>
        <v>1565.99490897513</v>
      </c>
      <c r="E38" s="84" t="n">
        <f aca="false">Model!BR443</f>
        <v>1131.50893096953</v>
      </c>
      <c r="F38" s="84" t="n">
        <f aca="false">Model!BS443</f>
        <v>1272.33311532444</v>
      </c>
      <c r="G38" s="84" t="n">
        <f aca="false">Model!BT443</f>
        <v>1436.11614389016</v>
      </c>
      <c r="H38" s="84" t="n">
        <f aca="false">Model!BU443</f>
        <v>1594.37589202735</v>
      </c>
      <c r="N38" s="79" t="s">
        <v>703</v>
      </c>
      <c r="O38" s="86" t="n">
        <v>1508.779</v>
      </c>
      <c r="P38" s="86" t="n">
        <v>1568.37445775391</v>
      </c>
      <c r="Q38" s="86" t="n">
        <v>1681.12044847316</v>
      </c>
      <c r="R38" s="86" t="n">
        <v>1960.41412308717</v>
      </c>
      <c r="S38" s="86" t="n">
        <v>2287.51083562469</v>
      </c>
      <c r="T38" s="86" t="n">
        <v>2624.89559999543</v>
      </c>
      <c r="Z38" s="79" t="s">
        <v>703</v>
      </c>
      <c r="AA38" s="86" t="n">
        <v>1508.779</v>
      </c>
      <c r="AB38" s="86" t="n">
        <v>1563.61536019635</v>
      </c>
      <c r="AC38" s="86" t="n">
        <v>833.96943346724</v>
      </c>
      <c r="AD38" s="86" t="n">
        <v>733.263374857959</v>
      </c>
      <c r="AE38" s="86" t="n">
        <v>794.285927383893</v>
      </c>
      <c r="AF38" s="86" t="n">
        <v>846.22035305868</v>
      </c>
    </row>
    <row r="39" customFormat="false" ht="15" hidden="false" customHeight="false" outlineLevel="0" collapsed="false">
      <c r="B39" s="22" t="s">
        <v>704</v>
      </c>
      <c r="C39" s="53" t="n">
        <f aca="false">IFERROR(C38/C12,"")</f>
        <v>2.62741338627241</v>
      </c>
      <c r="D39" s="53" t="n">
        <f aca="false">IFERROR(D38/D12,"")</f>
        <v>2.34781845423558</v>
      </c>
      <c r="E39" s="53" t="n">
        <f aca="false">IFERROR(E38/E12,"")</f>
        <v>1.5</v>
      </c>
      <c r="F39" s="53" t="n">
        <f aca="false">IFERROR(F38/F12,"")</f>
        <v>1.5</v>
      </c>
      <c r="G39" s="53" t="n">
        <f aca="false">IFERROR(G38/G12,"")</f>
        <v>1.5</v>
      </c>
      <c r="H39" s="53" t="n">
        <f aca="false">IFERROR(H38/H12,"")</f>
        <v>1.5</v>
      </c>
      <c r="N39" s="22" t="s">
        <v>704</v>
      </c>
      <c r="O39" s="53" t="n">
        <f aca="false">IFERROR(O38/O12,"")</f>
        <v>2.62741338627241</v>
      </c>
      <c r="P39" s="53" t="n">
        <f aca="false">IFERROR(P38/P12,"")</f>
        <v>2.3338905621338</v>
      </c>
      <c r="Q39" s="53" t="n">
        <f aca="false">IFERROR(Q38/Q12,"")</f>
        <v>2</v>
      </c>
      <c r="R39" s="53" t="n">
        <f aca="false">IFERROR(R38/R12,"")</f>
        <v>2</v>
      </c>
      <c r="S39" s="53" t="n">
        <f aca="false">IFERROR(S38/S12,"")</f>
        <v>2.00000000000001</v>
      </c>
      <c r="T39" s="53" t="n">
        <f aca="false">IFERROR(T38/T12,"")</f>
        <v>2.00000000000001</v>
      </c>
      <c r="Z39" s="22" t="s">
        <v>704</v>
      </c>
      <c r="AA39" s="53" t="n">
        <f aca="false">IFERROR(AA38/AA12,"")</f>
        <v>2.62741338627241</v>
      </c>
      <c r="AB39" s="53" t="n">
        <f aca="false">IFERROR(AB38/AB12,"")</f>
        <v>2.36195673745672</v>
      </c>
      <c r="AC39" s="53" t="n">
        <f aca="false">IFERROR(AC38/AC12,"")</f>
        <v>1.23391876564094</v>
      </c>
      <c r="AD39" s="53" t="n">
        <f aca="false">IFERROR(AD38/AD12,"")</f>
        <v>1</v>
      </c>
      <c r="AE39" s="53" t="n">
        <f aca="false">IFERROR(AE38/AE12,"")</f>
        <v>1</v>
      </c>
      <c r="AF39" s="53" t="n">
        <f aca="false">IFERROR(AF38/AF12,"")</f>
        <v>1</v>
      </c>
    </row>
    <row r="40" customFormat="false" ht="15" hidden="false" customHeight="false" outlineLevel="0" collapsed="false">
      <c r="B40" s="22" t="s">
        <v>705</v>
      </c>
      <c r="D40" s="96" t="n">
        <f aca="false">Model!BQ299</f>
        <v>0</v>
      </c>
      <c r="E40" s="96" t="n">
        <f aca="false">Model!BR299</f>
        <v>335.189223174422</v>
      </c>
      <c r="F40" s="96" t="n">
        <f aca="false">Model!BS299</f>
        <v>302.775047344253</v>
      </c>
      <c r="G40" s="96" t="n">
        <f aca="false">Model!BT299</f>
        <v>398.892200983256</v>
      </c>
      <c r="H40" s="96" t="n">
        <f aca="false">Model!BU299</f>
        <v>439.366381773587</v>
      </c>
      <c r="N40" s="22" t="s">
        <v>705</v>
      </c>
      <c r="P40" s="56" t="n">
        <v>0</v>
      </c>
      <c r="Q40" s="56" t="n">
        <v>811.097264592618</v>
      </c>
      <c r="R40" s="56" t="n">
        <v>345.051343888345</v>
      </c>
      <c r="S40" s="56" t="n">
        <v>494.569550499938</v>
      </c>
      <c r="T40" s="56" t="n">
        <v>578.128766939507</v>
      </c>
      <c r="Z40" s="22" t="s">
        <v>705</v>
      </c>
      <c r="AB40" s="56" t="n">
        <v>0</v>
      </c>
      <c r="AC40" s="56" t="n">
        <v>0</v>
      </c>
      <c r="AD40" s="56" t="n">
        <v>158.969145971209</v>
      </c>
      <c r="AE40" s="56" t="n">
        <v>373.672466549335</v>
      </c>
      <c r="AF40" s="56" t="n">
        <v>382.343448646449</v>
      </c>
    </row>
    <row r="41" customFormat="false" ht="15" hidden="false" customHeight="false" outlineLevel="0" collapsed="false">
      <c r="B41" s="22" t="s">
        <v>706</v>
      </c>
      <c r="D41" s="80" t="n">
        <f aca="false">Model!BQ298</f>
        <v>152.29</v>
      </c>
      <c r="E41" s="80" t="n">
        <f aca="false">Model!BR298</f>
        <v>164.4732</v>
      </c>
      <c r="F41" s="80" t="n">
        <f aca="false">Model!BS298</f>
        <v>177.631056</v>
      </c>
      <c r="G41" s="80" t="n">
        <f aca="false">Model!BT298</f>
        <v>191.84154048</v>
      </c>
      <c r="H41" s="80" t="n">
        <f aca="false">Model!BU298</f>
        <v>207.1888637184</v>
      </c>
      <c r="N41" s="22" t="s">
        <v>706</v>
      </c>
      <c r="P41" s="97" t="n">
        <v>152.29</v>
      </c>
      <c r="Q41" s="97" t="n">
        <v>164.4732</v>
      </c>
      <c r="R41" s="97" t="n">
        <v>177.631056</v>
      </c>
      <c r="S41" s="97" t="n">
        <v>191.84154048</v>
      </c>
      <c r="T41" s="97" t="n">
        <v>207.1888637184</v>
      </c>
      <c r="Z41" s="22" t="s">
        <v>706</v>
      </c>
      <c r="AB41" s="97" t="n">
        <v>152.29</v>
      </c>
      <c r="AC41" s="97" t="n">
        <v>164.4732</v>
      </c>
      <c r="AD41" s="97" t="n">
        <v>177.631056</v>
      </c>
      <c r="AE41" s="97" t="n">
        <v>191.84154048</v>
      </c>
      <c r="AF41" s="97" t="n">
        <v>207.1888637184</v>
      </c>
    </row>
    <row r="42" customFormat="false" ht="15" hidden="false" customHeight="false" outlineLevel="0" collapsed="false">
      <c r="B42" s="22" t="s">
        <v>707</v>
      </c>
      <c r="D42" s="98" t="n">
        <f aca="false">Model!BQ300</f>
        <v>0</v>
      </c>
      <c r="E42" s="98" t="n">
        <f aca="false">Model!BR300</f>
        <v>2.03795647664436</v>
      </c>
      <c r="F42" s="98" t="n">
        <f aca="false">Model!BS300</f>
        <v>1.70451639573799</v>
      </c>
      <c r="G42" s="98" t="n">
        <f aca="false">Model!BT300</f>
        <v>2.07927959703202</v>
      </c>
      <c r="H42" s="98" t="n">
        <f aca="false">Model!BU300</f>
        <v>2.12060809586151</v>
      </c>
      <c r="N42" s="22" t="s">
        <v>707</v>
      </c>
      <c r="P42" s="23" t="n">
        <v>0</v>
      </c>
      <c r="Q42" s="23" t="n">
        <v>4.93148588701757</v>
      </c>
      <c r="R42" s="23" t="n">
        <v>1.94251698806736</v>
      </c>
      <c r="S42" s="23" t="n">
        <v>2.57801073355902</v>
      </c>
      <c r="T42" s="23" t="n">
        <v>2.79034672310028</v>
      </c>
      <c r="Z42" s="22" t="s">
        <v>707</v>
      </c>
      <c r="AB42" s="23" t="n">
        <v>0</v>
      </c>
      <c r="AC42" s="23" t="n">
        <v>0</v>
      </c>
      <c r="AD42" s="23" t="n">
        <v>0.894940049059939</v>
      </c>
      <c r="AE42" s="23" t="n">
        <v>1.94781831721316</v>
      </c>
      <c r="AF42" s="23" t="n">
        <v>1.84538609742129</v>
      </c>
    </row>
    <row r="44" customFormat="false" ht="15" hidden="false" customHeight="false" outlineLevel="0" collapsed="false">
      <c r="B44" s="22" t="s">
        <v>708</v>
      </c>
      <c r="C44" s="87" t="n">
        <f aca="false">Model!BL426</f>
        <v>0.143740234100416</v>
      </c>
      <c r="D44" s="87" t="n">
        <f aca="false">Model!BQ426</f>
        <v>0.140857050702107</v>
      </c>
      <c r="E44" s="87" t="n">
        <f aca="false">Model!BR426</f>
        <v>0.15064590916698</v>
      </c>
      <c r="F44" s="87" t="n">
        <f aca="false">Model!BS426</f>
        <v>0.156198803825804</v>
      </c>
      <c r="G44" s="87" t="n">
        <f aca="false">Model!BT426</f>
        <v>0.164185564905485</v>
      </c>
      <c r="H44" s="87" t="n">
        <f aca="false">Model!BU426</f>
        <v>0.17075399790843</v>
      </c>
      <c r="J44" s="87" t="n">
        <f aca="false">IFERROR(AVERAGE(Model!S426,Model!X426,Model!AC426,Model!AH426,Model!AM426,Model!AR426,Model!AW426,Model!BB426,Model!BG426,Model!BL426),"")</f>
        <v>0.205178301596994</v>
      </c>
      <c r="N44" s="22" t="s">
        <v>708</v>
      </c>
      <c r="O44" s="47" t="n">
        <v>0.143740234100416</v>
      </c>
      <c r="P44" s="47" t="n">
        <v>0.141484465868599</v>
      </c>
      <c r="Q44" s="47" t="n">
        <v>0.160774540737245</v>
      </c>
      <c r="R44" s="47" t="n">
        <v>0.165521529836912</v>
      </c>
      <c r="S44" s="47" t="n">
        <v>0.173350555356311</v>
      </c>
      <c r="T44" s="47" t="n">
        <v>0.180456348078482</v>
      </c>
      <c r="Z44" s="22" t="s">
        <v>708</v>
      </c>
      <c r="AA44" s="47" t="n">
        <v>0.143740234100416</v>
      </c>
      <c r="AB44" s="47" t="n">
        <v>0.140227354441719</v>
      </c>
      <c r="AC44" s="47" t="n">
        <v>0.133669527809844</v>
      </c>
      <c r="AD44" s="47" t="n">
        <v>0.140856115732864</v>
      </c>
      <c r="AE44" s="47" t="n">
        <v>0.149191254165966</v>
      </c>
      <c r="AF44" s="47" t="n">
        <v>0.155813509398597</v>
      </c>
    </row>
    <row r="45" customFormat="false" ht="15" hidden="false" customHeight="false" outlineLevel="0" collapsed="false">
      <c r="B45" s="22" t="s">
        <v>709</v>
      </c>
      <c r="C45" s="87" t="n">
        <f aca="false">Model!BL437</f>
        <v>0.142340189303011</v>
      </c>
      <c r="D45" s="87" t="n">
        <f aca="false">Model!BQ437</f>
        <v>0.153137400550031</v>
      </c>
      <c r="E45" s="87" t="n">
        <f aca="false">Model!BR437</f>
        <v>0.135617719918348</v>
      </c>
      <c r="F45" s="87" t="n">
        <f aca="false">Model!BS437</f>
        <v>0.150754487150485</v>
      </c>
      <c r="G45" s="87" t="n">
        <f aca="false">Model!BT437</f>
        <v>0.169782308617436</v>
      </c>
      <c r="H45" s="87" t="n">
        <f aca="false">Model!BU437</f>
        <v>0.187739610309112</v>
      </c>
      <c r="J45" s="87" t="n">
        <f aca="false">IFERROR(AVERAGE(Model!S437,Model!X437,Model!AC437,Model!AH437,Model!AM437,Model!AR437,Model!AW437,Model!BB437,Model!BG437,Model!BL437),"")</f>
        <v>0.198336647806886</v>
      </c>
      <c r="N45" s="22" t="s">
        <v>709</v>
      </c>
      <c r="O45" s="47" t="n">
        <v>0.142340189303011</v>
      </c>
      <c r="P45" s="47" t="n">
        <v>0.153922539154776</v>
      </c>
      <c r="Q45" s="47" t="n">
        <v>0.177209849450926</v>
      </c>
      <c r="R45" s="47" t="n">
        <v>0.203332554840602</v>
      </c>
      <c r="S45" s="47" t="n">
        <v>0.219899372358149</v>
      </c>
      <c r="T45" s="47" t="n">
        <v>0.234381011160816</v>
      </c>
      <c r="Z45" s="22" t="s">
        <v>709</v>
      </c>
      <c r="AA45" s="47" t="n">
        <v>0.142340189303011</v>
      </c>
      <c r="AB45" s="47" t="n">
        <v>0.152350458969506</v>
      </c>
      <c r="AC45" s="47" t="n">
        <v>0.110775014044995</v>
      </c>
      <c r="AD45" s="47" t="n">
        <v>0.113612630138646</v>
      </c>
      <c r="AE45" s="47" t="n">
        <v>0.121927318246683</v>
      </c>
      <c r="AF45" s="47" t="n">
        <v>0.128714641643068</v>
      </c>
    </row>
    <row r="47" customFormat="false" ht="15" hidden="false" customHeight="false" outlineLevel="0" collapsed="false">
      <c r="B47" s="22" t="s">
        <v>710</v>
      </c>
      <c r="F47" s="55" t="n">
        <f aca="false">F27*F21</f>
        <v>16223.6611516498</v>
      </c>
      <c r="G47" s="55" t="n">
        <f aca="false">G27*G21</f>
        <v>18021.3641249559</v>
      </c>
      <c r="H47" s="55" t="n">
        <f aca="false">H27*H21</f>
        <v>19792.8656000343</v>
      </c>
      <c r="N47" s="22" t="s">
        <v>710</v>
      </c>
      <c r="R47" s="55" t="n">
        <f aca="false">R27*R21</f>
        <v>21628.475533764</v>
      </c>
      <c r="S47" s="55" t="n">
        <f aca="false">S27*S21</f>
        <v>24793.4798713819</v>
      </c>
      <c r="T47" s="55" t="n">
        <f aca="false">T27*T21</f>
        <v>27981.9448396807</v>
      </c>
      <c r="Z47" s="22" t="s">
        <v>710</v>
      </c>
      <c r="AD47" s="55" t="n">
        <f aca="false">AD27*AD21</f>
        <v>10305.0886361743</v>
      </c>
      <c r="AE47" s="55" t="n">
        <f aca="false">AE27*AE21</f>
        <v>11087.9965491057</v>
      </c>
      <c r="AF47" s="55" t="n">
        <f aca="false">AF27*AF21</f>
        <v>11686.5755720098</v>
      </c>
    </row>
    <row r="48" customFormat="false" ht="15" hidden="false" customHeight="false" outlineLevel="0" collapsed="false">
      <c r="B48" s="22" t="s">
        <v>711</v>
      </c>
      <c r="F48" s="55" t="n">
        <f aca="false">F38+Model!BS354</f>
        <v>1274.03111532444</v>
      </c>
      <c r="G48" s="55" t="n">
        <f aca="false">G38+Model!BT354</f>
        <v>1438.21414389016</v>
      </c>
      <c r="H48" s="55" t="n">
        <f aca="false">H38+Model!BU354</f>
        <v>1596.87389202735</v>
      </c>
      <c r="N48" s="22" t="s">
        <v>711</v>
      </c>
      <c r="R48" s="55" t="n">
        <f aca="false">R38+1.698</f>
        <v>1962.11212308717</v>
      </c>
      <c r="S48" s="55" t="n">
        <f aca="false">S38+2.098</f>
        <v>2289.60883562469</v>
      </c>
      <c r="T48" s="55" t="n">
        <f aca="false">T38+2.498</f>
        <v>2627.39359999543</v>
      </c>
      <c r="Z48" s="22" t="s">
        <v>711</v>
      </c>
      <c r="AD48" s="55" t="n">
        <f aca="false">AD38+1.698</f>
        <v>734.961374857959</v>
      </c>
      <c r="AE48" s="55" t="n">
        <f aca="false">AE38+2.098</f>
        <v>796.383927383893</v>
      </c>
      <c r="AF48" s="55" t="n">
        <f aca="false">AF38+2.498</f>
        <v>848.71835305868</v>
      </c>
    </row>
    <row r="49" customFormat="false" ht="15" hidden="false" customHeight="false" outlineLevel="0" collapsed="false">
      <c r="B49" s="79" t="s">
        <v>712</v>
      </c>
      <c r="F49" s="99" t="n">
        <f aca="false">F47+F48</f>
        <v>17497.6922669743</v>
      </c>
      <c r="G49" s="99" t="n">
        <f aca="false">G47+G48</f>
        <v>19459.5782688461</v>
      </c>
      <c r="H49" s="99" t="n">
        <f aca="false">H47+H48</f>
        <v>21389.7394920616</v>
      </c>
      <c r="N49" s="79" t="s">
        <v>712</v>
      </c>
      <c r="R49" s="99" t="n">
        <f aca="false">R47+R48</f>
        <v>23590.5876568511</v>
      </c>
      <c r="S49" s="99" t="n">
        <f aca="false">S47+S48</f>
        <v>27083.0887070066</v>
      </c>
      <c r="T49" s="99" t="n">
        <f aca="false">T47+T48</f>
        <v>30609.3384396761</v>
      </c>
      <c r="Z49" s="79" t="s">
        <v>712</v>
      </c>
      <c r="AD49" s="99" t="n">
        <f aca="false">AD47+AD48</f>
        <v>11040.0500110323</v>
      </c>
      <c r="AE49" s="99" t="n">
        <f aca="false">AE47+AE48</f>
        <v>11884.3804764896</v>
      </c>
      <c r="AF49" s="99" t="n">
        <f aca="false">AF47+AF48</f>
        <v>12535.2939250685</v>
      </c>
    </row>
    <row r="50" customFormat="false" ht="15" hidden="false" customHeight="false" outlineLevel="0" collapsed="false">
      <c r="B50" s="79" t="s">
        <v>713</v>
      </c>
      <c r="F50" s="100" t="n">
        <f aca="false">IFERROR(F49/F12,"")</f>
        <v>20.6286687694745</v>
      </c>
      <c r="G50" s="100" t="n">
        <f aca="false">IFERROR(G49/G12,"")</f>
        <v>20.325213616916</v>
      </c>
      <c r="H50" s="100" t="n">
        <f aca="false">IFERROR(H49/H12,"")</f>
        <v>20.1236166443128</v>
      </c>
      <c r="N50" s="79" t="s">
        <v>713</v>
      </c>
      <c r="R50" s="100" t="n">
        <f aca="false">IFERROR(R49/R12,"")</f>
        <v>24.0669431820882</v>
      </c>
      <c r="S50" s="100" t="n">
        <f aca="false">IFERROR(S49/S12,"")</f>
        <v>23.6790910759648</v>
      </c>
      <c r="T50" s="100" t="n">
        <f aca="false">IFERROR(T49/T12,"")</f>
        <v>23.3223282782976</v>
      </c>
      <c r="Z50" s="79" t="s">
        <v>713</v>
      </c>
      <c r="AD50" s="100" t="n">
        <f aca="false">IFERROR(AD49/AD12,"")</f>
        <v>15.0560499672725</v>
      </c>
      <c r="AE50" s="100" t="n">
        <f aca="false">IFERROR(AE49/AE12,"")</f>
        <v>14.9623455065265</v>
      </c>
      <c r="AF50" s="100" t="n">
        <f aca="false">IFERROR(AF49/AF12,"")</f>
        <v>14.8132739655332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11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5.3"/>
    <col collapsed="false" customWidth="true" hidden="false" outlineLevel="0" max="3" min="3" style="0" width="12.61"/>
    <col collapsed="false" customWidth="true" hidden="false" outlineLevel="0" max="14" min="4" style="0" width="13"/>
  </cols>
  <sheetData>
    <row r="2" customFormat="false" ht="15" hidden="false" customHeight="false" outlineLevel="0" collapsed="false">
      <c r="B2" s="9" t="s">
        <v>714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4" customFormat="false" ht="15" hidden="false" customHeight="false" outlineLevel="0" collapsed="false">
      <c r="B4" s="17" t="s">
        <v>715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</row>
    <row r="5" customFormat="false" ht="15" hidden="false" customHeight="false" outlineLevel="0" collapsed="false">
      <c r="B5" s="22" t="s">
        <v>716</v>
      </c>
      <c r="C5" s="103" t="n">
        <v>0.055</v>
      </c>
      <c r="D5" s="12" t="s">
        <v>717</v>
      </c>
    </row>
    <row r="6" customFormat="false" ht="15" hidden="false" customHeight="false" outlineLevel="0" collapsed="false">
      <c r="B6" s="22" t="s">
        <v>718</v>
      </c>
      <c r="C6" s="103" t="n">
        <v>0.05</v>
      </c>
      <c r="D6" s="12" t="s">
        <v>719</v>
      </c>
    </row>
    <row r="7" customFormat="false" ht="15" hidden="false" customHeight="false" outlineLevel="0" collapsed="false">
      <c r="B7" s="22" t="s">
        <v>720</v>
      </c>
      <c r="C7" s="104" t="n">
        <v>0.85</v>
      </c>
      <c r="D7" s="12" t="s">
        <v>721</v>
      </c>
    </row>
    <row r="8" customFormat="false" ht="15" hidden="false" customHeight="false" outlineLevel="0" collapsed="false">
      <c r="B8" s="22" t="s">
        <v>722</v>
      </c>
      <c r="C8" s="105" t="n">
        <f aca="false">C5+C7*C6</f>
        <v>0.0975</v>
      </c>
    </row>
    <row r="9" customFormat="false" ht="15" hidden="false" customHeight="false" outlineLevel="0" collapsed="false">
      <c r="B9" s="22" t="s">
        <v>723</v>
      </c>
      <c r="C9" s="103" t="n">
        <v>0.06</v>
      </c>
      <c r="D9" s="12" t="s">
        <v>724</v>
      </c>
    </row>
    <row r="10" customFormat="false" ht="15" hidden="false" customHeight="false" outlineLevel="0" collapsed="false">
      <c r="B10" s="22" t="s">
        <v>725</v>
      </c>
      <c r="C10" s="103" t="n">
        <v>0.22</v>
      </c>
      <c r="D10" s="12" t="s">
        <v>726</v>
      </c>
    </row>
    <row r="11" customFormat="false" ht="15" hidden="false" customHeight="false" outlineLevel="0" collapsed="false">
      <c r="B11" s="22" t="s">
        <v>727</v>
      </c>
      <c r="C11" s="105" t="n">
        <f aca="false">C9*(1-C10)</f>
        <v>0.0468</v>
      </c>
    </row>
    <row r="12" customFormat="false" ht="15" hidden="false" customHeight="false" outlineLevel="0" collapsed="false">
      <c r="B12" s="22" t="s">
        <v>728</v>
      </c>
      <c r="C12" s="103" t="n">
        <v>0.1</v>
      </c>
      <c r="D12" s="12" t="s">
        <v>729</v>
      </c>
    </row>
    <row r="13" customFormat="false" ht="15" hidden="false" customHeight="false" outlineLevel="0" collapsed="false">
      <c r="B13" s="79" t="s">
        <v>730</v>
      </c>
      <c r="C13" s="106" t="n">
        <f aca="false">C8*(1-C12)+C11*C12</f>
        <v>0.09243</v>
      </c>
    </row>
    <row r="15" customFormat="false" ht="15" hidden="false" customHeight="false" outlineLevel="0" collapsed="false">
      <c r="B15" s="22" t="s">
        <v>731</v>
      </c>
      <c r="C15" s="81" t="n">
        <f aca="true">TODAY()</f>
        <v>46302</v>
      </c>
      <c r="D15" s="12" t="s">
        <v>732</v>
      </c>
    </row>
    <row r="16" customFormat="false" ht="15" hidden="false" customHeight="false" outlineLevel="0" collapsed="false">
      <c r="B16" s="17" t="s">
        <v>733</v>
      </c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</row>
    <row r="17" customFormat="false" ht="15" hidden="false" customHeight="false" outlineLevel="0" collapsed="false">
      <c r="B17" s="101"/>
      <c r="C17" s="101"/>
      <c r="D17" s="8" t="s">
        <v>74</v>
      </c>
      <c r="E17" s="8" t="s">
        <v>75</v>
      </c>
      <c r="F17" s="8" t="s">
        <v>76</v>
      </c>
      <c r="G17" s="8" t="s">
        <v>77</v>
      </c>
      <c r="H17" s="8" t="s">
        <v>78</v>
      </c>
      <c r="I17" s="8" t="s">
        <v>734</v>
      </c>
      <c r="J17" s="8" t="s">
        <v>735</v>
      </c>
      <c r="K17" s="8" t="s">
        <v>736</v>
      </c>
      <c r="L17" s="8" t="s">
        <v>737</v>
      </c>
      <c r="M17" s="8" t="s">
        <v>738</v>
      </c>
      <c r="N17" s="8" t="s">
        <v>739</v>
      </c>
    </row>
    <row r="18" customFormat="false" ht="15" hidden="false" customHeight="false" outlineLevel="0" collapsed="false">
      <c r="B18" s="22" t="s">
        <v>740</v>
      </c>
      <c r="D18" s="96" t="n">
        <f aca="false">Model!BQ208-Model!BQ181-Model!BQ204</f>
        <v>499.42049997821</v>
      </c>
      <c r="E18" s="96" t="n">
        <f aca="false">Model!BR208-Model!BR181-Model!BR204</f>
        <v>565.558555220595</v>
      </c>
      <c r="F18" s="96" t="n">
        <f aca="false">Model!BS208-Model!BS181-Model!BS204</f>
        <v>649.195465346747</v>
      </c>
      <c r="G18" s="96" t="n">
        <f aca="false">Model!BT208-Model!BT181-Model!BT204</f>
        <v>737.848199547292</v>
      </c>
      <c r="H18" s="96" t="n">
        <f aca="false">Model!BU208-Model!BU181-Model!BU204</f>
        <v>821.312976276937</v>
      </c>
      <c r="I18" s="55" t="n">
        <f aca="false">H18*(1+I$26)</f>
        <v>887.018014379093</v>
      </c>
      <c r="J18" s="55" t="n">
        <f aca="false">I18*(1+J$26)</f>
        <v>951.326820421577</v>
      </c>
      <c r="K18" s="55" t="n">
        <f aca="false">J18*(1+K$26)</f>
        <v>1013.16306374898</v>
      </c>
      <c r="L18" s="55" t="n">
        <f aca="false">K18*(1+L$26)</f>
        <v>1071.41993991455</v>
      </c>
      <c r="M18" s="55" t="n">
        <f aca="false">L18*(1+M$26)</f>
        <v>1124.99093691027</v>
      </c>
    </row>
    <row r="19" customFormat="false" ht="15" hidden="false" customHeight="false" outlineLevel="0" collapsed="false">
      <c r="B19" s="22" t="s">
        <v>741</v>
      </c>
      <c r="D19" s="46" t="n">
        <f aca="false">1-$C$10</f>
        <v>0.78</v>
      </c>
      <c r="E19" s="46" t="n">
        <f aca="false">1-$C$10</f>
        <v>0.78</v>
      </c>
      <c r="F19" s="46" t="n">
        <f aca="false">1-$C$10</f>
        <v>0.78</v>
      </c>
      <c r="G19" s="46" t="n">
        <f aca="false">1-$C$10</f>
        <v>0.78</v>
      </c>
      <c r="H19" s="46" t="n">
        <f aca="false">1-$C$10</f>
        <v>0.78</v>
      </c>
      <c r="I19" s="46" t="n">
        <f aca="false">1-$C$10</f>
        <v>0.78</v>
      </c>
      <c r="J19" s="46" t="n">
        <f aca="false">1-$C$10</f>
        <v>0.78</v>
      </c>
      <c r="K19" s="46" t="n">
        <f aca="false">1-$C$10</f>
        <v>0.78</v>
      </c>
      <c r="L19" s="46" t="n">
        <f aca="false">1-$C$10</f>
        <v>0.78</v>
      </c>
      <c r="M19" s="46" t="n">
        <f aca="false">1-$C$10</f>
        <v>0.78</v>
      </c>
    </row>
    <row r="20" customFormat="false" ht="15" hidden="false" customHeight="false" outlineLevel="0" collapsed="false">
      <c r="B20" s="79" t="s">
        <v>742</v>
      </c>
      <c r="D20" s="99" t="n">
        <f aca="false">D18*D19</f>
        <v>389.547989983004</v>
      </c>
      <c r="E20" s="99" t="n">
        <f aca="false">E18*E19</f>
        <v>441.135673072064</v>
      </c>
      <c r="F20" s="99" t="n">
        <f aca="false">F18*F19</f>
        <v>506.372462970463</v>
      </c>
      <c r="G20" s="99" t="n">
        <f aca="false">G18*G19</f>
        <v>575.521595646888</v>
      </c>
      <c r="H20" s="99" t="n">
        <f aca="false">H18*H19</f>
        <v>640.624121496011</v>
      </c>
      <c r="I20" s="99" t="n">
        <f aca="false">I18*I19</f>
        <v>691.874051215692</v>
      </c>
      <c r="J20" s="99" t="n">
        <f aca="false">J18*J19</f>
        <v>742.03491992883</v>
      </c>
      <c r="K20" s="99" t="n">
        <f aca="false">K18*K19</f>
        <v>790.267189724204</v>
      </c>
      <c r="L20" s="99" t="n">
        <f aca="false">L18*L19</f>
        <v>835.707553133346</v>
      </c>
      <c r="M20" s="99" t="n">
        <f aca="false">M18*M19</f>
        <v>877.492930790013</v>
      </c>
    </row>
    <row r="21" customFormat="false" ht="15" hidden="false" customHeight="false" outlineLevel="0" collapsed="false">
      <c r="B21" s="22" t="s">
        <v>743</v>
      </c>
      <c r="D21" s="96" t="n">
        <f aca="false">Model!BQ181</f>
        <v>132.479500021789</v>
      </c>
      <c r="E21" s="96" t="n">
        <f aca="false">Model!BR181</f>
        <v>163.780732092423</v>
      </c>
      <c r="F21" s="96" t="n">
        <f aca="false">Model!BS181</f>
        <v>184.026611536211</v>
      </c>
      <c r="G21" s="96" t="n">
        <f aca="false">Model!BT181</f>
        <v>209.562563046147</v>
      </c>
      <c r="H21" s="96" t="n">
        <f aca="false">Model!BU181</f>
        <v>231.604285074626</v>
      </c>
      <c r="I21" s="55" t="n">
        <f aca="false">H21*(1+I$26)</f>
        <v>250.132627880596</v>
      </c>
      <c r="J21" s="55" t="n">
        <f aca="false">I21*(1+J$26)</f>
        <v>268.267243401939</v>
      </c>
      <c r="K21" s="55" t="n">
        <f aca="false">J21*(1+K$26)</f>
        <v>285.704614223065</v>
      </c>
      <c r="L21" s="55" t="n">
        <f aca="false">K21*(1+L$26)</f>
        <v>302.132629540891</v>
      </c>
      <c r="M21" s="55" t="n">
        <f aca="false">L21*(1+M$26)</f>
        <v>317.239261017936</v>
      </c>
    </row>
    <row r="22" customFormat="false" ht="15" hidden="false" customHeight="false" outlineLevel="0" collapsed="false">
      <c r="B22" s="22" t="s">
        <v>744</v>
      </c>
      <c r="D22" s="96" t="n">
        <f aca="false">Model!BQ269+Model!BQ270+Model!BQ271-Model!BQ83*$C$10</f>
        <v>-506.22648</v>
      </c>
      <c r="E22" s="96" t="n">
        <f aca="false">Model!BR269+Model!BR270+Model!BR271-Model!BR83*$C$10</f>
        <v>370.958423794637</v>
      </c>
      <c r="F22" s="96" t="n">
        <f aca="false">Model!BS269+Model!BS270+Model!BS271-Model!BS83*$C$10</f>
        <v>-402.058365566012</v>
      </c>
      <c r="G22" s="96" t="n">
        <f aca="false">Model!BT269+Model!BT270+Model!BT271-Model!BT83*$C$10</f>
        <v>-404.179374992285</v>
      </c>
      <c r="H22" s="96" t="n">
        <f aca="false">Model!BU269+Model!BU270+Model!BU271-Model!BU83*$C$10</f>
        <v>-430.791114600492</v>
      </c>
      <c r="I22" s="55" t="n">
        <f aca="false">(Model!BU269+Model!BU270)*(1+I$26)</f>
        <v>-465.254403768532</v>
      </c>
      <c r="J22" s="55" t="n">
        <f aca="false">I22*(1+J$26)</f>
        <v>-498.98534804175</v>
      </c>
      <c r="K22" s="55" t="n">
        <f aca="false">J22*(1+K$26)</f>
        <v>-531.419395664464</v>
      </c>
      <c r="L22" s="55" t="n">
        <f aca="false">K22*(1+L$26)</f>
        <v>-561.976010915171</v>
      </c>
      <c r="M22" s="55" t="n">
        <f aca="false">L22*(1+M$26)</f>
        <v>-590.074811460929</v>
      </c>
    </row>
    <row r="23" customFormat="false" ht="15" hidden="false" customHeight="false" outlineLevel="0" collapsed="false">
      <c r="B23" s="22" t="s">
        <v>745</v>
      </c>
      <c r="D23" s="96" t="n">
        <f aca="false">Model!BQ267</f>
        <v>5.89499999999998</v>
      </c>
      <c r="E23" s="96" t="n">
        <f aca="false">Model!BR267</f>
        <v>-113.227276017495</v>
      </c>
      <c r="F23" s="96" t="n">
        <f aca="false">Model!BS267</f>
        <v>-43.0178598100729</v>
      </c>
      <c r="G23" s="96" t="n">
        <f aca="false">Model!BT267</f>
        <v>-51.3225829066175</v>
      </c>
      <c r="H23" s="96" t="n">
        <f aca="false">Model!BU267</f>
        <v>-54.5540661968238</v>
      </c>
      <c r="I23" s="55" t="n">
        <f aca="false">H23*(1+I$26)</f>
        <v>-58.9183914925698</v>
      </c>
      <c r="J23" s="55" t="n">
        <f aca="false">I23*(1+J$26)</f>
        <v>-63.1899748757811</v>
      </c>
      <c r="K23" s="55" t="n">
        <f aca="false">J23*(1+K$26)</f>
        <v>-67.2973232427068</v>
      </c>
      <c r="L23" s="55" t="n">
        <f aca="false">K23*(1+L$26)</f>
        <v>-71.1669193291625</v>
      </c>
      <c r="M23" s="55" t="n">
        <f aca="false">L23*(1+M$26)</f>
        <v>-74.7252652956206</v>
      </c>
    </row>
    <row r="24" customFormat="false" ht="15" hidden="false" customHeight="false" outlineLevel="0" collapsed="false">
      <c r="B24" s="79" t="s">
        <v>746</v>
      </c>
      <c r="D24" s="107" t="n">
        <f aca="false">D20+D21+D22+D23</f>
        <v>21.6960100047929</v>
      </c>
      <c r="E24" s="107" t="n">
        <f aca="false">E20+E21+E22+E23</f>
        <v>862.64755294163</v>
      </c>
      <c r="F24" s="107" t="n">
        <f aca="false">F20+F21+F22+F23</f>
        <v>245.322849130589</v>
      </c>
      <c r="G24" s="107" t="n">
        <f aca="false">G20+G21+G22+G23</f>
        <v>329.582200794132</v>
      </c>
      <c r="H24" s="107" t="n">
        <f aca="false">H20+H21+H22+H23</f>
        <v>386.883225773321</v>
      </c>
      <c r="I24" s="107" t="n">
        <f aca="false">I20+I21+I22+I23</f>
        <v>417.833883835187</v>
      </c>
      <c r="J24" s="107" t="n">
        <f aca="false">J20+J21+J22+J23</f>
        <v>448.126840413238</v>
      </c>
      <c r="K24" s="107" t="n">
        <f aca="false">K20+K21+K22+K23</f>
        <v>477.255085040098</v>
      </c>
      <c r="L24" s="107" t="n">
        <f aca="false">L20+L21+L22+L23</f>
        <v>504.697252429904</v>
      </c>
      <c r="M24" s="107" t="n">
        <f aca="false">M20+M21+M22+M23</f>
        <v>529.932115051399</v>
      </c>
      <c r="N24" s="107" t="n">
        <f aca="false">M24*(1+$C$27)</f>
        <v>551.129399653455</v>
      </c>
    </row>
    <row r="25" customFormat="false" ht="15" hidden="false" customHeight="false" outlineLevel="0" collapsed="false">
      <c r="B25" s="22" t="s">
        <v>747</v>
      </c>
      <c r="N25" s="99" t="n">
        <f aca="false">N24/($C$13-$C$27)</f>
        <v>10511.7184751756</v>
      </c>
    </row>
    <row r="26" customFormat="false" ht="15" hidden="false" customHeight="false" outlineLevel="0" collapsed="false">
      <c r="B26" s="22" t="s">
        <v>748</v>
      </c>
      <c r="I26" s="47" t="n">
        <v>0.08</v>
      </c>
      <c r="J26" s="46" t="n">
        <f aca="false">I26+($M$26-$I$26)/4</f>
        <v>0.0725</v>
      </c>
      <c r="K26" s="46" t="n">
        <f aca="false">J26+($M$26-$I$26)/4</f>
        <v>0.065</v>
      </c>
      <c r="L26" s="46" t="n">
        <f aca="false">K26+($M$26-$I$26)/4</f>
        <v>0.0575</v>
      </c>
      <c r="M26" s="47" t="n">
        <v>0.05</v>
      </c>
    </row>
    <row r="27" customFormat="false" ht="15" hidden="false" customHeight="false" outlineLevel="0" collapsed="false">
      <c r="B27" s="22" t="s">
        <v>749</v>
      </c>
      <c r="C27" s="47" t="n">
        <v>0.04</v>
      </c>
    </row>
    <row r="28" customFormat="false" ht="15" hidden="false" customHeight="false" outlineLevel="0" collapsed="false">
      <c r="B28" s="22" t="s">
        <v>750</v>
      </c>
      <c r="D28" s="108" t="n">
        <v>0</v>
      </c>
      <c r="E28" s="108" t="n">
        <v>1</v>
      </c>
      <c r="F28" s="108" t="n">
        <v>1</v>
      </c>
      <c r="G28" s="108" t="n">
        <v>1</v>
      </c>
      <c r="H28" s="108" t="n">
        <v>1</v>
      </c>
      <c r="I28" s="108" t="n">
        <v>1</v>
      </c>
      <c r="J28" s="108" t="n">
        <v>1</v>
      </c>
      <c r="K28" s="108" t="n">
        <v>1</v>
      </c>
      <c r="L28" s="108" t="n">
        <v>1</v>
      </c>
      <c r="M28" s="108" t="n">
        <v>1</v>
      </c>
    </row>
    <row r="29" customFormat="false" ht="15" hidden="false" customHeight="false" outlineLevel="0" collapsed="false">
      <c r="B29" s="22" t="s">
        <v>751</v>
      </c>
      <c r="D29" s="109" t="n">
        <f aca="false">(DATE(2026,12,31)-$C$15)/365.25</f>
        <v>0.232717316906229</v>
      </c>
      <c r="E29" s="109" t="n">
        <f aca="false">(DATE(2027,12,31)-$C$15)/365.25</f>
        <v>1.23203285420945</v>
      </c>
      <c r="F29" s="109" t="n">
        <f aca="false">(DATE(2028,12,31)-$C$15)/365.25</f>
        <v>2.23408624229979</v>
      </c>
      <c r="G29" s="109" t="n">
        <f aca="false">(DATE(2029,12,31)-$C$15)/365.25</f>
        <v>3.23340177960301</v>
      </c>
      <c r="H29" s="109" t="n">
        <f aca="false">(DATE(2030,12,31)-$C$15)/365.25</f>
        <v>4.23271731690623</v>
      </c>
      <c r="I29" s="109" t="n">
        <f aca="false">(DATE(2031,12,31)-$C$15)/365.25</f>
        <v>5.23203285420945</v>
      </c>
      <c r="J29" s="109" t="n">
        <f aca="false">(DATE(2032,12,31)-$C$15)/365.25</f>
        <v>6.2340862422998</v>
      </c>
      <c r="K29" s="109" t="n">
        <f aca="false">(DATE(2033,12,31)-$C$15)/365.25</f>
        <v>7.23340177960301</v>
      </c>
      <c r="L29" s="109" t="n">
        <f aca="false">(DATE(2034,12,31)-$C$15)/365.25</f>
        <v>8.23271731690623</v>
      </c>
      <c r="M29" s="109" t="n">
        <f aca="false">(DATE(2035,12,31)-$C$15)/365.25</f>
        <v>9.23203285420945</v>
      </c>
      <c r="N29" s="109" t="n">
        <f aca="false">M29</f>
        <v>9.23203285420945</v>
      </c>
    </row>
    <row r="30" customFormat="false" ht="15" hidden="false" customHeight="false" outlineLevel="0" collapsed="false">
      <c r="B30" s="22" t="s">
        <v>752</v>
      </c>
      <c r="D30" s="110" t="n">
        <f aca="false">1/(1+$C$13)^D29</f>
        <v>0.979636910986189</v>
      </c>
      <c r="E30" s="110" t="n">
        <f aca="false">1/(1+$C$13)^E29</f>
        <v>0.896804546056837</v>
      </c>
      <c r="F30" s="110" t="n">
        <f aca="false">1/(1+$C$13)^F29</f>
        <v>0.820777317441115</v>
      </c>
      <c r="G30" s="110" t="n">
        <f aca="false">1/(1+$C$13)^G29</f>
        <v>0.751377190188278</v>
      </c>
      <c r="H30" s="110" t="n">
        <f aca="false">1/(1+$C$13)^H29</f>
        <v>0.687845131606888</v>
      </c>
      <c r="I30" s="110" t="n">
        <f aca="false">1/(1+$C$13)^I29</f>
        <v>0.629684972146601</v>
      </c>
      <c r="J30" s="110" t="n">
        <f aca="false">1/(1+$C$13)^J29</f>
        <v>0.57630299104072</v>
      </c>
      <c r="K30" s="110" t="n">
        <f aca="false">1/(1+$C$13)^K29</f>
        <v>0.52757418230718</v>
      </c>
      <c r="L30" s="110" t="n">
        <f aca="false">1/(1+$C$13)^L29</f>
        <v>0.48296559650759</v>
      </c>
      <c r="M30" s="110" t="n">
        <f aca="false">1/(1+$C$13)^M29</f>
        <v>0.442128851699795</v>
      </c>
      <c r="N30" s="110" t="n">
        <f aca="false">M30</f>
        <v>0.442128851699795</v>
      </c>
    </row>
    <row r="31" customFormat="false" ht="15" hidden="false" customHeight="false" outlineLevel="0" collapsed="false">
      <c r="B31" s="22" t="s">
        <v>753</v>
      </c>
      <c r="D31" s="55" t="n">
        <f aca="false">D24*D30*D28</f>
        <v>0</v>
      </c>
      <c r="E31" s="55" t="n">
        <f aca="false">E24*E30*E28</f>
        <v>773.62624712286</v>
      </c>
      <c r="F31" s="55" t="n">
        <f aca="false">F24*F30*F28</f>
        <v>201.355430016416</v>
      </c>
      <c r="G31" s="55" t="n">
        <f aca="false">G24*G30*G28</f>
        <v>247.640547968764</v>
      </c>
      <c r="H31" s="55" t="n">
        <f aca="false">H24*H30*H28</f>
        <v>266.115743348547</v>
      </c>
      <c r="I31" s="55" t="n">
        <f aca="false">I24*I30*I28</f>
        <v>263.103717504666</v>
      </c>
      <c r="J31" s="55" t="n">
        <f aca="false">J24*J30*J28</f>
        <v>258.256838495776</v>
      </c>
      <c r="K31" s="55" t="n">
        <f aca="false">K24*K30*K28</f>
        <v>251.787461241973</v>
      </c>
      <c r="L31" s="55" t="n">
        <f aca="false">L24*L30*L28</f>
        <v>243.75140957555</v>
      </c>
      <c r="M31" s="55" t="n">
        <f aca="false">M24*M30*M28</f>
        <v>234.298277506519</v>
      </c>
      <c r="N31" s="55" t="n">
        <f aca="false">N25*N30</f>
        <v>4647.5340188209</v>
      </c>
    </row>
    <row r="32" customFormat="false" ht="15" hidden="false" customHeight="false" outlineLevel="0" collapsed="false">
      <c r="D32" s="83" t="s">
        <v>754</v>
      </c>
    </row>
    <row r="33" customFormat="false" ht="15" hidden="false" customHeight="false" outlineLevel="0" collapsed="false">
      <c r="B33" s="17" t="s">
        <v>755</v>
      </c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</row>
    <row r="34" customFormat="false" ht="15" hidden="false" customHeight="false" outlineLevel="0" collapsed="false">
      <c r="B34" s="22" t="s">
        <v>756</v>
      </c>
      <c r="D34" s="96" t="n">
        <f aca="false">Model!BL423</f>
        <v>2741.791</v>
      </c>
      <c r="E34" s="55" t="n">
        <f aca="false">D38</f>
        <v>3109.64297997821</v>
      </c>
      <c r="F34" s="55" t="n">
        <f aca="false">E38</f>
        <v>2688.13110010865</v>
      </c>
      <c r="G34" s="55" t="n">
        <f aca="false">F38</f>
        <v>2949.18071394852</v>
      </c>
      <c r="H34" s="55" t="n">
        <f aca="false">G38</f>
        <v>3195.12010880128</v>
      </c>
      <c r="I34" s="55" t="n">
        <f aca="false">H38</f>
        <v>3448.86100452397</v>
      </c>
      <c r="J34" s="55" t="n">
        <f aca="false">I38</f>
        <v>3722.90117190447</v>
      </c>
      <c r="K34" s="55" t="n">
        <f aca="false">J38</f>
        <v>4016.80925142006</v>
      </c>
      <c r="L34" s="55" t="n">
        <f aca="false">K38</f>
        <v>4329.82135610417</v>
      </c>
      <c r="M34" s="55" t="n">
        <f aca="false">L38</f>
        <v>4660.83165680761</v>
      </c>
    </row>
    <row r="35" customFormat="false" ht="15" hidden="false" customHeight="false" outlineLevel="0" collapsed="false">
      <c r="B35" s="22" t="s">
        <v>757</v>
      </c>
      <c r="D35" s="55" t="n">
        <f aca="false">-D22</f>
        <v>506.22648</v>
      </c>
      <c r="E35" s="55" t="n">
        <f aca="false">-E22</f>
        <v>-370.958423794637</v>
      </c>
      <c r="F35" s="55" t="n">
        <f aca="false">-F22</f>
        <v>402.058365566012</v>
      </c>
      <c r="G35" s="55" t="n">
        <f aca="false">-G22</f>
        <v>404.179374992285</v>
      </c>
      <c r="H35" s="55" t="n">
        <f aca="false">-H22</f>
        <v>430.791114600492</v>
      </c>
      <c r="I35" s="55" t="n">
        <f aca="false">-I22</f>
        <v>465.254403768532</v>
      </c>
      <c r="J35" s="55" t="n">
        <f aca="false">-J22</f>
        <v>498.98534804175</v>
      </c>
      <c r="K35" s="55" t="n">
        <f aca="false">-K22</f>
        <v>531.419395664464</v>
      </c>
      <c r="L35" s="55" t="n">
        <f aca="false">-L22</f>
        <v>561.976010915171</v>
      </c>
      <c r="M35" s="55" t="n">
        <f aca="false">-M22</f>
        <v>590.074811460929</v>
      </c>
    </row>
    <row r="36" customFormat="false" ht="15" hidden="false" customHeight="false" outlineLevel="0" collapsed="false">
      <c r="B36" s="22" t="s">
        <v>758</v>
      </c>
      <c r="D36" s="55" t="n">
        <f aca="false">-D21</f>
        <v>-132.479500021789</v>
      </c>
      <c r="E36" s="55" t="n">
        <f aca="false">-E21</f>
        <v>-163.780732092423</v>
      </c>
      <c r="F36" s="55" t="n">
        <f aca="false">-F21</f>
        <v>-184.026611536211</v>
      </c>
      <c r="G36" s="55" t="n">
        <f aca="false">-G21</f>
        <v>-209.562563046147</v>
      </c>
      <c r="H36" s="55" t="n">
        <f aca="false">-H21</f>
        <v>-231.604285074626</v>
      </c>
      <c r="I36" s="55" t="n">
        <f aca="false">-I21</f>
        <v>-250.132627880596</v>
      </c>
      <c r="J36" s="55" t="n">
        <f aca="false">-J21</f>
        <v>-268.267243401939</v>
      </c>
      <c r="K36" s="55" t="n">
        <f aca="false">-K21</f>
        <v>-285.704614223065</v>
      </c>
      <c r="L36" s="55" t="n">
        <f aca="false">-L21</f>
        <v>-302.132629540891</v>
      </c>
      <c r="M36" s="55" t="n">
        <f aca="false">-M21</f>
        <v>-317.239261017936</v>
      </c>
    </row>
    <row r="37" customFormat="false" ht="15" hidden="false" customHeight="false" outlineLevel="0" collapsed="false">
      <c r="B37" s="22" t="s">
        <v>759</v>
      </c>
      <c r="D37" s="55" t="n">
        <f aca="false">-D23</f>
        <v>-5.89499999999998</v>
      </c>
      <c r="E37" s="55" t="n">
        <f aca="false">-E23</f>
        <v>113.227276017495</v>
      </c>
      <c r="F37" s="55" t="n">
        <f aca="false">-F23</f>
        <v>43.0178598100729</v>
      </c>
      <c r="G37" s="55" t="n">
        <f aca="false">-G23</f>
        <v>51.3225829066175</v>
      </c>
      <c r="H37" s="55" t="n">
        <f aca="false">-H23</f>
        <v>54.5540661968238</v>
      </c>
      <c r="I37" s="55" t="n">
        <f aca="false">-I23</f>
        <v>58.9183914925698</v>
      </c>
      <c r="J37" s="55" t="n">
        <f aca="false">-J23</f>
        <v>63.1899748757811</v>
      </c>
      <c r="K37" s="55" t="n">
        <f aca="false">-K23</f>
        <v>67.2973232427068</v>
      </c>
      <c r="L37" s="55" t="n">
        <f aca="false">-L23</f>
        <v>71.1669193291625</v>
      </c>
      <c r="M37" s="55" t="n">
        <f aca="false">-M23</f>
        <v>74.7252652956206</v>
      </c>
    </row>
    <row r="38" customFormat="false" ht="15" hidden="false" customHeight="false" outlineLevel="0" collapsed="false">
      <c r="B38" s="79" t="s">
        <v>760</v>
      </c>
      <c r="D38" s="99" t="n">
        <f aca="false">SUM(D34:D37)</f>
        <v>3109.64297997821</v>
      </c>
      <c r="E38" s="99" t="n">
        <f aca="false">SUM(E34:E37)</f>
        <v>2688.13110010865</v>
      </c>
      <c r="F38" s="99" t="n">
        <f aca="false">SUM(F34:F37)</f>
        <v>2949.18071394852</v>
      </c>
      <c r="G38" s="99" t="n">
        <f aca="false">SUM(G34:G37)</f>
        <v>3195.12010880128</v>
      </c>
      <c r="H38" s="99" t="n">
        <f aca="false">SUM(H34:H37)</f>
        <v>3448.86100452397</v>
      </c>
      <c r="I38" s="99" t="n">
        <f aca="false">SUM(I34:I37)</f>
        <v>3722.90117190447</v>
      </c>
      <c r="J38" s="99" t="n">
        <f aca="false">SUM(J34:J37)</f>
        <v>4016.80925142006</v>
      </c>
      <c r="K38" s="99" t="n">
        <f aca="false">SUM(K34:K37)</f>
        <v>4329.82135610417</v>
      </c>
      <c r="L38" s="99" t="n">
        <f aca="false">SUM(L34:L37)</f>
        <v>4660.83165680761</v>
      </c>
      <c r="M38" s="99" t="n">
        <f aca="false">SUM(M34:M37)</f>
        <v>5008.39247254623</v>
      </c>
    </row>
    <row r="39" customFormat="false" ht="15" hidden="false" customHeight="false" outlineLevel="0" collapsed="false">
      <c r="B39" s="22" t="s">
        <v>761</v>
      </c>
      <c r="D39" s="55" t="n">
        <f aca="false">D20</f>
        <v>389.547989983004</v>
      </c>
      <c r="E39" s="55" t="n">
        <f aca="false">E20</f>
        <v>441.135673072064</v>
      </c>
      <c r="F39" s="55" t="n">
        <f aca="false">F20</f>
        <v>506.372462970463</v>
      </c>
      <c r="G39" s="55" t="n">
        <f aca="false">G20</f>
        <v>575.521595646888</v>
      </c>
      <c r="H39" s="55" t="n">
        <f aca="false">H20</f>
        <v>640.624121496011</v>
      </c>
      <c r="I39" s="55" t="n">
        <f aca="false">I20</f>
        <v>691.874051215692</v>
      </c>
      <c r="J39" s="55" t="n">
        <f aca="false">J20</f>
        <v>742.03491992883</v>
      </c>
      <c r="K39" s="55" t="n">
        <f aca="false">K20</f>
        <v>790.267189724204</v>
      </c>
      <c r="L39" s="55" t="n">
        <f aca="false">L20</f>
        <v>835.707553133346</v>
      </c>
      <c r="M39" s="55" t="n">
        <f aca="false">M20</f>
        <v>877.492930790013</v>
      </c>
    </row>
    <row r="40" customFormat="false" ht="15" hidden="false" customHeight="false" outlineLevel="0" collapsed="false">
      <c r="B40" s="79" t="s">
        <v>762</v>
      </c>
      <c r="D40" s="111" t="n">
        <f aca="false">IFERROR(D39/AVERAGE(D34,D38),"")</f>
        <v>0.133146162570035</v>
      </c>
      <c r="E40" s="111" t="n">
        <f aca="false">IFERROR(E39/AVERAGE(E34,E38),"")</f>
        <v>0.152174150623494</v>
      </c>
      <c r="F40" s="111" t="n">
        <f aca="false">IFERROR(F39/AVERAGE(F34,F38),"")</f>
        <v>0.179650329686492</v>
      </c>
      <c r="G40" s="111" t="n">
        <f aca="false">IFERROR(G39/AVERAGE(G34,G38),"")</f>
        <v>0.187335097108517</v>
      </c>
      <c r="H40" s="111" t="n">
        <f aca="false">IFERROR(H39/AVERAGE(H34,H38),"")</f>
        <v>0.192843450506254</v>
      </c>
      <c r="I40" s="111" t="n">
        <f aca="false">IFERROR(I39/AVERAGE(I34,I38),"")</f>
        <v>0.192943947162578</v>
      </c>
      <c r="J40" s="111" t="n">
        <f aca="false">IFERROR(J39/AVERAGE(J34,J38),"")</f>
        <v>0.191747463236511</v>
      </c>
      <c r="K40" s="111" t="n">
        <f aca="false">IFERROR(K39/AVERAGE(K34,K38),"")</f>
        <v>0.189361965776179</v>
      </c>
      <c r="L40" s="111" t="n">
        <f aca="false">IFERROR(L39/AVERAGE(L34,L38),"")</f>
        <v>0.185905862885189</v>
      </c>
      <c r="M40" s="111" t="n">
        <f aca="false">IFERROR(M39/AVERAGE(M34,M38),"")</f>
        <v>0.181502242382844</v>
      </c>
    </row>
    <row r="41" customFormat="false" ht="15" hidden="false" customHeight="false" outlineLevel="0" collapsed="false">
      <c r="B41" s="22" t="s">
        <v>763</v>
      </c>
      <c r="D41" s="46" t="n">
        <f aca="false">IFERROR(SUM(D35:D37)/D39,"")</f>
        <v>0.944304654207715</v>
      </c>
      <c r="E41" s="46" t="n">
        <f aca="false">IFERROR(SUM(E35:E37)/E39,"")</f>
        <v>-0.955515288378655</v>
      </c>
      <c r="F41" s="46" t="n">
        <f aca="false">IFERROR(SUM(F35:F37)/F39,"")</f>
        <v>0.515528850657704</v>
      </c>
      <c r="G41" s="46" t="n">
        <f aca="false">IFERROR(SUM(G35:G37)/G39,"")</f>
        <v>0.427333043126417</v>
      </c>
      <c r="H41" s="46" t="n">
        <f aca="false">IFERROR(SUM(H35:H37)/H39,"")</f>
        <v>0.396083892579855</v>
      </c>
      <c r="I41" s="46" t="n">
        <f aca="false">IFERROR(SUM(I35:I37)/I39,"")</f>
        <v>0.396083892579855</v>
      </c>
      <c r="J41" s="46" t="n">
        <f aca="false">IFERROR(SUM(J35:J37)/J39,"")</f>
        <v>0.396083892579855</v>
      </c>
      <c r="K41" s="46" t="n">
        <f aca="false">IFERROR(SUM(K35:K37)/K39,"")</f>
        <v>0.396083892579855</v>
      </c>
      <c r="L41" s="46" t="n">
        <f aca="false">IFERROR(SUM(L35:L37)/L39,"")</f>
        <v>0.396083892579855</v>
      </c>
      <c r="M41" s="46" t="n">
        <f aca="false">IFERROR(SUM(M35:M37)/M39,"")</f>
        <v>0.396083892579855</v>
      </c>
    </row>
    <row r="42" customFormat="false" ht="15" hidden="false" customHeight="false" outlineLevel="0" collapsed="false">
      <c r="B42" s="22" t="s">
        <v>764</v>
      </c>
      <c r="N42" s="46" t="n">
        <f aca="false">IFERROR($C$27/M41,"")</f>
        <v>0.100988706557754</v>
      </c>
    </row>
    <row r="43" customFormat="false" ht="15" hidden="false" customHeight="false" outlineLevel="0" collapsed="false">
      <c r="D43" s="83" t="s">
        <v>765</v>
      </c>
    </row>
    <row r="44" customFormat="false" ht="15" hidden="false" customHeight="false" outlineLevel="0" collapsed="false">
      <c r="B44" s="17" t="s">
        <v>766</v>
      </c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</row>
    <row r="45" customFormat="false" ht="15" hidden="false" customHeight="false" outlineLevel="0" collapsed="false">
      <c r="B45" s="22" t="s">
        <v>767</v>
      </c>
      <c r="C45" s="55" t="n">
        <f aca="false">SUM(D31:M31)</f>
        <v>2739.93567278107</v>
      </c>
    </row>
    <row r="46" customFormat="false" ht="15" hidden="false" customHeight="false" outlineLevel="0" collapsed="false">
      <c r="B46" s="22" t="s">
        <v>768</v>
      </c>
      <c r="C46" s="55" t="n">
        <f aca="false">N31</f>
        <v>4647.5340188209</v>
      </c>
    </row>
    <row r="47" customFormat="false" ht="15" hidden="false" customHeight="false" outlineLevel="0" collapsed="false">
      <c r="B47" s="79" t="s">
        <v>769</v>
      </c>
      <c r="C47" s="99" t="n">
        <f aca="false">C45+C46</f>
        <v>7387.46969160197</v>
      </c>
    </row>
    <row r="48" customFormat="false" ht="15" hidden="false" customHeight="false" outlineLevel="0" collapsed="false">
      <c r="B48" s="22" t="s">
        <v>770</v>
      </c>
      <c r="C48" s="96" t="n">
        <f aca="false">Model!BQ443+Model!BQ354</f>
        <v>1566.89290897513</v>
      </c>
      <c r="D48" s="12" t="s">
        <v>771</v>
      </c>
    </row>
    <row r="49" customFormat="false" ht="15" hidden="false" customHeight="false" outlineLevel="0" collapsed="false">
      <c r="B49" s="79" t="s">
        <v>772</v>
      </c>
      <c r="C49" s="99" t="n">
        <f aca="false">C47-C48</f>
        <v>5820.57678262684</v>
      </c>
    </row>
    <row r="50" customFormat="false" ht="15" hidden="false" customHeight="false" outlineLevel="0" collapsed="false">
      <c r="B50" s="22" t="s">
        <v>773</v>
      </c>
      <c r="C50" s="98" t="n">
        <f aca="false">Model!BQ450</f>
        <v>92.0216</v>
      </c>
    </row>
    <row r="51" customFormat="false" ht="15" hidden="false" customHeight="false" outlineLevel="0" collapsed="false">
      <c r="B51" s="79" t="s">
        <v>774</v>
      </c>
      <c r="C51" s="93" t="n">
        <f aca="false">C49/C50</f>
        <v>63.2522884043185</v>
      </c>
    </row>
    <row r="52" customFormat="false" ht="15" hidden="false" customHeight="false" outlineLevel="0" collapsed="false">
      <c r="B52" s="22" t="s">
        <v>775</v>
      </c>
      <c r="C52" s="80" t="n">
        <f aca="false">Model!BQ448</f>
        <v>152.29</v>
      </c>
    </row>
    <row r="53" customFormat="false" ht="15" hidden="false" customHeight="false" outlineLevel="0" collapsed="false">
      <c r="B53" s="22" t="s">
        <v>776</v>
      </c>
      <c r="C53" s="46" t="n">
        <f aca="false">C51/C52-1</f>
        <v>-0.584658950657834</v>
      </c>
    </row>
    <row r="54" customFormat="false" ht="15" hidden="false" customHeight="false" outlineLevel="0" collapsed="false">
      <c r="B54" s="22" t="s">
        <v>777</v>
      </c>
      <c r="C54" s="46" t="n">
        <f aca="false">1-((1+C13)/(1+H54))^H55</f>
        <v>0.142789793788505</v>
      </c>
      <c r="D54" s="22" t="s">
        <v>778</v>
      </c>
      <c r="E54" s="22" t="s">
        <v>779</v>
      </c>
      <c r="H54" s="47" t="n">
        <v>0.15</v>
      </c>
    </row>
    <row r="55" customFormat="false" ht="15" hidden="false" customHeight="false" outlineLevel="0" collapsed="false">
      <c r="B55" s="22" t="s">
        <v>780</v>
      </c>
      <c r="C55" s="112" t="n">
        <f aca="false">C51*(1-C54)</f>
        <v>54.2205071864149</v>
      </c>
      <c r="D55" s="46" t="n">
        <f aca="false">C55/C52-1</f>
        <v>-0.643965413445303</v>
      </c>
      <c r="E55" s="22" t="s">
        <v>781</v>
      </c>
      <c r="H55" s="108" t="n">
        <v>3</v>
      </c>
    </row>
    <row r="58" customFormat="false" ht="15" hidden="false" customHeight="false" outlineLevel="0" collapsed="false">
      <c r="B58" s="17" t="s">
        <v>782</v>
      </c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</row>
    <row r="60" customFormat="false" ht="15" hidden="false" customHeight="false" outlineLevel="0" collapsed="false">
      <c r="D60" s="79" t="s">
        <v>783</v>
      </c>
    </row>
    <row r="61" customFormat="false" ht="15" hidden="false" customHeight="false" outlineLevel="0" collapsed="false">
      <c r="B61" s="79" t="s">
        <v>784</v>
      </c>
      <c r="D61" s="113" t="n">
        <f aca="false">F61-0.01</f>
        <v>0.08243</v>
      </c>
      <c r="E61" s="113" t="n">
        <f aca="false">F61-0.005</f>
        <v>0.08743</v>
      </c>
      <c r="F61" s="113" t="n">
        <f aca="false">$C$13</f>
        <v>0.09243</v>
      </c>
      <c r="G61" s="113" t="n">
        <f aca="false">F61+0.005</f>
        <v>0.09743</v>
      </c>
      <c r="H61" s="113" t="n">
        <f aca="false">F61+0.01</f>
        <v>0.10243</v>
      </c>
    </row>
    <row r="62" customFormat="false" ht="15" hidden="false" customHeight="false" outlineLevel="0" collapsed="false">
      <c r="B62" s="113" t="n">
        <f aca="false">B64-0.01</f>
        <v>0.03</v>
      </c>
      <c r="D62" s="112" t="n">
        <f aca="false">IFERROR((SUMPRODUCT($E$24:$M$24/(1+D$61)^$E$29:$M$29)+($M$24*(1+$B62)/(D$61-$B62))/(1+D$61)^$M$29-$C$48)/$C$50,"")</f>
        <v>68.4645501619098</v>
      </c>
      <c r="E62" s="112" t="n">
        <f aca="false">IFERROR((SUMPRODUCT($E$24:$M$24/(1+E$61)^$E$29:$M$29)+($M$24*(1+$B62)/(E$61-$B62))/(1+E$61)^$M$29-$C$48)/$C$50,"")</f>
        <v>61.0097663780866</v>
      </c>
      <c r="F62" s="112" t="n">
        <f aca="false">IFERROR((SUMPRODUCT($E$24:$M$24/(1+F$61)^$E$29:$M$29)+($M$24*(1+$B62)/(F$61-$B62))/(1+F$61)^$M$29-$C$48)/$C$50,"")</f>
        <v>54.7546207625717</v>
      </c>
      <c r="G62" s="112" t="n">
        <f aca="false">IFERROR((SUMPRODUCT($E$24:$M$24/(1+G$61)^$E$29:$M$29)+($M$24*(1+$B62)/(G$61-$B62))/(1+G$61)^$M$29-$C$48)/$C$50,"")</f>
        <v>49.4320087537476</v>
      </c>
      <c r="H62" s="112" t="n">
        <f aca="false">IFERROR((SUMPRODUCT($E$24:$M$24/(1+H$61)^$E$29:$M$29)+($M$24*(1+$B62)/(H$61-$B62))/(1+H$61)^$M$29-$C$48)/$C$50,"")</f>
        <v>44.848591085121</v>
      </c>
    </row>
    <row r="63" customFormat="false" ht="15" hidden="false" customHeight="false" outlineLevel="0" collapsed="false">
      <c r="B63" s="113" t="n">
        <f aca="false">B64-0.005</f>
        <v>0.035</v>
      </c>
      <c r="D63" s="112" t="n">
        <f aca="false">IFERROR((SUMPRODUCT($E$24:$M$24/(1+D$61)^$E$29:$M$29)+($M$24*(1+$B63)/(D$61-$B63))/(1+D$61)^$M$29-$C$48)/$C$50,"")</f>
        <v>74.496907078375</v>
      </c>
      <c r="E63" s="112" t="n">
        <f aca="false">IFERROR((SUMPRODUCT($E$24:$M$24/(1+E$61)^$E$29:$M$29)+($M$24*(1+$B63)/(E$61-$B63))/(1+E$61)^$M$29-$C$48)/$C$50,"")</f>
        <v>65.8062725615233</v>
      </c>
      <c r="F63" s="112" t="n">
        <f aca="false">IFERROR((SUMPRODUCT($E$24:$M$24/(1+F$61)^$E$29:$M$29)+($M$24*(1+$B63)/(F$61-$B63))/(1+F$61)^$M$29-$C$48)/$C$50,"")</f>
        <v>58.6335404426761</v>
      </c>
      <c r="G63" s="112" t="n">
        <f aca="false">IFERROR((SUMPRODUCT($E$24:$M$24/(1+G$61)^$E$29:$M$29)+($M$24*(1+$B63)/(G$61-$B63))/(1+G$61)^$M$29-$C$48)/$C$50,"")</f>
        <v>52.6137920178033</v>
      </c>
      <c r="H63" s="112" t="n">
        <f aca="false">IFERROR((SUMPRODUCT($E$24:$M$24/(1+H$61)^$E$29:$M$29)+($M$24*(1+$B63)/(H$61-$B63))/(1+H$61)^$M$29-$C$48)/$C$50,"")</f>
        <v>47.4903537974976</v>
      </c>
    </row>
    <row r="64" customFormat="false" ht="15" hidden="false" customHeight="false" outlineLevel="0" collapsed="false">
      <c r="B64" s="113" t="n">
        <f aca="false">$C$27</f>
        <v>0.04</v>
      </c>
      <c r="D64" s="112" t="n">
        <f aca="false">IFERROR((SUMPRODUCT($E$24:$M$24/(1+D$61)^$E$29:$M$29)+($M$24*(1+$B64)/(D$61-$B64))/(1+D$61)^$M$29-$C$48)/$C$50,"")</f>
        <v>81.9509837488977</v>
      </c>
      <c r="E64" s="112" t="n">
        <f aca="false">IFERROR((SUMPRODUCT($E$24:$M$24/(1+E$61)^$E$29:$M$29)+($M$24*(1+$B64)/(E$61-$B64))/(1+E$61)^$M$29-$C$48)/$C$50,"")</f>
        <v>71.6140598293869</v>
      </c>
      <c r="F64" s="112" t="n">
        <f aca="false">IFERROR((SUMPRODUCT($E$24:$M$24/(1+F$61)^$E$29:$M$29)+($M$24*(1+$B64)/(F$61-$B64))/(1+F$61)^$M$29-$C$48)/$C$50,"")</f>
        <v>63.2522884043185</v>
      </c>
      <c r="G64" s="112" t="n">
        <f aca="false">IFERROR((SUMPRODUCT($E$24:$M$24/(1+G$61)^$E$29:$M$29)+($M$24*(1+$B64)/(G$61-$B64))/(1+G$61)^$M$29-$C$48)/$C$50,"")</f>
        <v>56.3496033619662</v>
      </c>
      <c r="H64" s="112" t="n">
        <f aca="false">IFERROR((SUMPRODUCT($E$24:$M$24/(1+H$61)^$E$29:$M$29)+($M$24*(1+$B64)/(H$61-$B64))/(1+H$61)^$M$29-$C$48)/$C$50,"")</f>
        <v>50.5552724785394</v>
      </c>
    </row>
    <row r="65" customFormat="false" ht="15" hidden="false" customHeight="false" outlineLevel="0" collapsed="false">
      <c r="B65" s="113" t="n">
        <f aca="false">B64+0.005</f>
        <v>0.045</v>
      </c>
      <c r="D65" s="112" t="n">
        <f aca="false">IFERROR((SUMPRODUCT($E$24:$M$24/(1+D$61)^$E$29:$M$29)+($M$24*(1+$B65)/(D$61-$B65))/(1+D$61)^$M$29-$C$48)/$C$50,"")</f>
        <v>91.3965316111175</v>
      </c>
      <c r="E65" s="112" t="n">
        <f aca="false">IFERROR((SUMPRODUCT($E$24:$M$24/(1+E$61)^$E$29:$M$29)+($M$24*(1+$B65)/(E$61-$B65))/(1+E$61)^$M$29-$C$48)/$C$50,"")</f>
        <v>78.790639759957</v>
      </c>
      <c r="F65" s="112" t="n">
        <f aca="false">IFERROR((SUMPRODUCT($E$24:$M$24/(1+F$61)^$E$29:$M$29)+($M$24*(1+$B65)/(F$61-$B65))/(1+F$61)^$M$29-$C$48)/$C$50,"")</f>
        <v>68.8448394360944</v>
      </c>
      <c r="G65" s="112" t="n">
        <f aca="false">IFERROR((SUMPRODUCT($E$24:$M$24/(1+G$61)^$E$29:$M$29)+($M$24*(1+$B65)/(G$61-$B65))/(1+G$61)^$M$29-$C$48)/$C$50,"")</f>
        <v>60.7979478635129</v>
      </c>
      <c r="H65" s="112" t="n">
        <f aca="false">IFERROR((SUMPRODUCT($E$24:$M$24/(1+H$61)^$E$29:$M$29)+($M$24*(1+$B65)/(H$61-$B65))/(1+H$61)^$M$29-$C$48)/$C$50,"")</f>
        <v>54.1538701916275</v>
      </c>
    </row>
    <row r="66" customFormat="false" ht="15" hidden="false" customHeight="false" outlineLevel="0" collapsed="false">
      <c r="B66" s="113" t="n">
        <f aca="false">B64+0.01</f>
        <v>0.05</v>
      </c>
      <c r="D66" s="112" t="n">
        <f aca="false">IFERROR((SUMPRODUCT($E$24:$M$24/(1+D$61)^$E$29:$M$29)+($M$24*(1+$B66)/(D$61-$B66))/(1+D$61)^$M$29-$C$48)/$C$50,"")</f>
        <v>103.754675175533</v>
      </c>
      <c r="E66" s="112" t="n">
        <f aca="false">IFERROR((SUMPRODUCT($E$24:$M$24/(1+E$61)^$E$29:$M$29)+($M$24*(1+$B66)/(E$61-$B66))/(1+E$61)^$M$29-$C$48)/$C$50,"")</f>
        <v>87.8845533615315</v>
      </c>
      <c r="F66" s="112" t="n">
        <f aca="false">IFERROR((SUMPRODUCT($E$24:$M$24/(1+F$61)^$E$29:$M$29)+($M$24*(1+$B66)/(F$61-$B66))/(1+F$61)^$M$29-$C$48)/$C$50,"")</f>
        <v>75.7554557593563</v>
      </c>
      <c r="G66" s="112" t="n">
        <f aca="false">IFERROR((SUMPRODUCT($E$24:$M$24/(1+G$61)^$E$29:$M$29)+($M$24*(1+$B66)/(G$61-$B66))/(1+G$61)^$M$29-$C$48)/$C$50,"")</f>
        <v>66.1841680769606</v>
      </c>
      <c r="H66" s="112" t="n">
        <f aca="false">IFERROR((SUMPRODUCT($E$24:$M$24/(1+H$61)^$E$29:$M$29)+($M$24*(1+$B66)/(H$61-$B66))/(1+H$61)^$M$29-$C$48)/$C$50,"")</f>
        <v>58.4388302379386</v>
      </c>
    </row>
    <row r="69" customFormat="false" ht="15" hidden="false" customHeight="false" outlineLevel="0" collapsed="false">
      <c r="B69" s="17" t="s">
        <v>785</v>
      </c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</row>
    <row r="70" customFormat="false" ht="15" hidden="false" customHeight="false" outlineLevel="0" collapsed="false">
      <c r="B70" s="12" t="s">
        <v>786</v>
      </c>
    </row>
    <row r="72" customFormat="false" ht="15" hidden="false" customHeight="false" outlineLevel="0" collapsed="false">
      <c r="B72" s="17" t="s">
        <v>787</v>
      </c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</row>
    <row r="73" customFormat="false" ht="15" hidden="false" customHeight="false" outlineLevel="0" collapsed="false">
      <c r="B73" s="79" t="s">
        <v>788</v>
      </c>
    </row>
    <row r="74" customFormat="false" ht="15" hidden="false" customHeight="false" outlineLevel="0" collapsed="false">
      <c r="B74" s="12" t="s">
        <v>789</v>
      </c>
    </row>
    <row r="76" customFormat="false" ht="15" hidden="false" customHeight="false" outlineLevel="0" collapsed="false">
      <c r="B76" s="114" t="s">
        <v>790</v>
      </c>
      <c r="C76" s="114" t="s">
        <v>791</v>
      </c>
      <c r="D76" s="114" t="s">
        <v>792</v>
      </c>
    </row>
    <row r="77" customFormat="false" ht="15" hidden="false" customHeight="false" outlineLevel="0" collapsed="false">
      <c r="B77" s="22" t="s">
        <v>793</v>
      </c>
      <c r="C77" s="115" t="n">
        <f aca="false">$C$13</f>
        <v>0.09243</v>
      </c>
      <c r="D77" s="12" t="s">
        <v>794</v>
      </c>
    </row>
    <row r="78" customFormat="false" ht="15" hidden="false" customHeight="false" outlineLevel="0" collapsed="false">
      <c r="B78" s="22" t="s">
        <v>795</v>
      </c>
      <c r="C78" s="116" t="n">
        <v>0.11</v>
      </c>
      <c r="D78" s="12" t="s">
        <v>796</v>
      </c>
    </row>
    <row r="79" customFormat="false" ht="15" hidden="false" customHeight="false" outlineLevel="0" collapsed="false">
      <c r="B79" s="22" t="s">
        <v>797</v>
      </c>
      <c r="C79" s="116" t="n">
        <v>0.15</v>
      </c>
      <c r="D79" s="12" t="s">
        <v>798</v>
      </c>
    </row>
    <row r="80" customFormat="false" ht="15" hidden="false" customHeight="false" outlineLevel="0" collapsed="false">
      <c r="B80" s="22" t="s">
        <v>799</v>
      </c>
      <c r="C80" s="108" t="n">
        <v>15</v>
      </c>
      <c r="D80" s="12" t="s">
        <v>800</v>
      </c>
    </row>
    <row r="82" customFormat="false" ht="15" hidden="false" customHeight="false" outlineLevel="0" collapsed="false">
      <c r="B82" s="114" t="s">
        <v>801</v>
      </c>
      <c r="C82" s="114" t="s">
        <v>791</v>
      </c>
    </row>
    <row r="83" customFormat="false" ht="15" hidden="false" customHeight="false" outlineLevel="0" collapsed="false">
      <c r="B83" s="22" t="s">
        <v>802</v>
      </c>
      <c r="C83" s="109" t="n">
        <f aca="false">1/C77</f>
        <v>10.8189981607703</v>
      </c>
    </row>
    <row r="84" customFormat="false" ht="15" hidden="false" customHeight="false" outlineLevel="0" collapsed="false">
      <c r="B84" s="22" t="s">
        <v>803</v>
      </c>
      <c r="C84" s="109" t="n">
        <f aca="false">1-C77/C79</f>
        <v>0.3838</v>
      </c>
    </row>
    <row r="85" customFormat="false" ht="15" hidden="false" customHeight="false" outlineLevel="0" collapsed="false">
      <c r="B85" s="22" t="s">
        <v>804</v>
      </c>
      <c r="C85" s="109" t="n">
        <f aca="false">C78*C84/(C77*(C77-C78))</f>
        <v>-25.9963838560843</v>
      </c>
    </row>
    <row r="86" customFormat="false" ht="15" hidden="false" customHeight="false" outlineLevel="0" collapsed="false">
      <c r="B86" s="22" t="s">
        <v>805</v>
      </c>
      <c r="C86" s="109" t="n">
        <f aca="false">1-((1+C78)/(1+C77))^C80</f>
        <v>-0.270399781146443</v>
      </c>
    </row>
    <row r="87" customFormat="false" ht="15" hidden="false" customHeight="false" outlineLevel="0" collapsed="false">
      <c r="B87" s="22" t="s">
        <v>806</v>
      </c>
      <c r="C87" s="109" t="n">
        <f aca="false">C85*C86</f>
        <v>7.02941650528411</v>
      </c>
    </row>
    <row r="88" customFormat="false" ht="15" hidden="false" customHeight="false" outlineLevel="0" collapsed="false">
      <c r="B88" s="79" t="s">
        <v>807</v>
      </c>
      <c r="C88" s="117" t="n">
        <f aca="false">C83+C87</f>
        <v>17.8484146660544</v>
      </c>
    </row>
    <row r="90" customFormat="false" ht="15" hidden="false" customHeight="false" outlineLevel="0" collapsed="false">
      <c r="B90" s="114" t="s">
        <v>808</v>
      </c>
      <c r="C90" s="114" t="s">
        <v>809</v>
      </c>
    </row>
    <row r="91" customFormat="false" ht="15" hidden="false" customHeight="false" outlineLevel="0" collapsed="false">
      <c r="B91" s="22" t="s">
        <v>810</v>
      </c>
      <c r="C91" s="96" t="n">
        <f aca="false">Model!BS208-Model!BS181-Model!BS204</f>
        <v>649.195465346747</v>
      </c>
    </row>
    <row r="92" customFormat="false" ht="15" hidden="false" customHeight="false" outlineLevel="0" collapsed="false">
      <c r="B92" s="22" t="s">
        <v>811</v>
      </c>
      <c r="C92" s="46" t="n">
        <f aca="false">$C$10</f>
        <v>0.22</v>
      </c>
    </row>
    <row r="93" customFormat="false" ht="15" hidden="false" customHeight="false" outlineLevel="0" collapsed="false">
      <c r="B93" s="22" t="s">
        <v>812</v>
      </c>
      <c r="C93" s="55" t="n">
        <f aca="false">C91*(1-C92)</f>
        <v>506.372462970463</v>
      </c>
    </row>
    <row r="94" customFormat="false" ht="15" hidden="false" customHeight="false" outlineLevel="0" collapsed="false">
      <c r="B94" s="22" t="s">
        <v>813</v>
      </c>
      <c r="C94" s="109" t="n">
        <f aca="false">C88</f>
        <v>17.8484146660544</v>
      </c>
    </row>
    <row r="95" customFormat="false" ht="15" hidden="false" customHeight="false" outlineLevel="0" collapsed="false">
      <c r="B95" s="79" t="s">
        <v>814</v>
      </c>
      <c r="C95" s="99" t="n">
        <f aca="false">C93*C94</f>
        <v>9037.94569456811</v>
      </c>
    </row>
    <row r="96" customFormat="false" ht="15" hidden="false" customHeight="false" outlineLevel="0" collapsed="false">
      <c r="B96" s="22" t="s">
        <v>815</v>
      </c>
      <c r="C96" s="96" t="n">
        <f aca="false">Model!BR443+Model!BR354</f>
        <v>1132.80693096953</v>
      </c>
    </row>
    <row r="97" customFormat="false" ht="15" hidden="false" customHeight="false" outlineLevel="0" collapsed="false">
      <c r="B97" s="22" t="s">
        <v>816</v>
      </c>
      <c r="C97" s="55" t="n">
        <f aca="false">C95-C96</f>
        <v>7905.13876359858</v>
      </c>
    </row>
    <row r="98" customFormat="false" ht="15" hidden="false" customHeight="false" outlineLevel="0" collapsed="false">
      <c r="B98" s="22" t="s">
        <v>817</v>
      </c>
      <c r="C98" s="98" t="n">
        <f aca="false">Model!BS450</f>
        <v>88.9791271276176</v>
      </c>
    </row>
    <row r="99" customFormat="false" ht="15" hidden="false" customHeight="false" outlineLevel="0" collapsed="false">
      <c r="B99" s="79" t="s">
        <v>818</v>
      </c>
      <c r="C99" s="93" t="n">
        <f aca="false">C97/C98</f>
        <v>88.842619823194</v>
      </c>
    </row>
    <row r="101" customFormat="false" ht="15" hidden="false" customHeight="false" outlineLevel="0" collapsed="false">
      <c r="B101" s="22" t="s">
        <v>775</v>
      </c>
      <c r="C101" s="112" t="n">
        <f aca="false">C52</f>
        <v>152.29</v>
      </c>
    </row>
    <row r="102" customFormat="false" ht="15" hidden="false" customHeight="false" outlineLevel="0" collapsed="false">
      <c r="B102" s="22" t="s">
        <v>776</v>
      </c>
      <c r="C102" s="46" t="n">
        <f aca="false">C99/C101-1</f>
        <v>-0.416622103728452</v>
      </c>
    </row>
    <row r="104" customFormat="false" ht="15" hidden="false" customHeight="false" outlineLevel="0" collapsed="false">
      <c r="B104" s="114" t="s">
        <v>819</v>
      </c>
      <c r="C104" s="114" t="s">
        <v>809</v>
      </c>
    </row>
    <row r="105" customFormat="false" ht="15" hidden="false" customHeight="false" outlineLevel="0" collapsed="false">
      <c r="B105" s="22" t="s">
        <v>820</v>
      </c>
      <c r="C105" s="55" t="n">
        <f aca="false">C52*C50</f>
        <v>14013.969464</v>
      </c>
    </row>
    <row r="106" customFormat="false" ht="15" hidden="false" customHeight="false" outlineLevel="0" collapsed="false">
      <c r="B106" s="22" t="s">
        <v>821</v>
      </c>
      <c r="C106" s="55" t="n">
        <f aca="false">C48</f>
        <v>1566.89290897513</v>
      </c>
    </row>
    <row r="107" customFormat="false" ht="15" hidden="false" customHeight="false" outlineLevel="0" collapsed="false">
      <c r="B107" s="79" t="s">
        <v>822</v>
      </c>
      <c r="C107" s="99" t="n">
        <f aca="false">C105+C106</f>
        <v>15580.8623729751</v>
      </c>
    </row>
    <row r="108" customFormat="false" ht="15" hidden="false" customHeight="false" outlineLevel="0" collapsed="false">
      <c r="B108" s="79" t="s">
        <v>823</v>
      </c>
      <c r="C108" s="117" t="n">
        <f aca="false">C107/C93</f>
        <v>30.7695688694746</v>
      </c>
    </row>
    <row r="110" customFormat="false" ht="15" hidden="false" customHeight="false" outlineLevel="0" collapsed="false">
      <c r="B110" s="22" t="s">
        <v>824</v>
      </c>
      <c r="C110" s="109" t="n">
        <f aca="false">C88-C108</f>
        <v>-12.9211542034202</v>
      </c>
    </row>
    <row r="111" customFormat="false" ht="15" hidden="false" customHeight="false" outlineLevel="0" collapsed="false">
      <c r="B111" s="22" t="s">
        <v>825</v>
      </c>
      <c r="C111" s="46" t="n">
        <f aca="false">C88/C108-1</f>
        <v>-0.419932897280169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</cols>
  <sheetData>
    <row r="2" customFormat="false" ht="19.7" hidden="false" customHeight="false" outlineLevel="0" collapsed="false">
      <c r="B2" s="2" t="s">
        <v>826</v>
      </c>
    </row>
    <row r="3" customFormat="false" ht="15" hidden="false" customHeight="false" outlineLevel="0" collapsed="false">
      <c r="B3" s="4" t="s">
        <v>827</v>
      </c>
    </row>
    <row r="7" customFormat="false" ht="15" hidden="false" customHeight="false" outlineLevel="0" collapsed="false">
      <c r="C7" s="118" t="n">
        <v>2014</v>
      </c>
      <c r="D7" s="118" t="n">
        <v>2015</v>
      </c>
      <c r="E7" s="118" t="n">
        <v>2016</v>
      </c>
      <c r="F7" s="118" t="n">
        <v>2017</v>
      </c>
      <c r="G7" s="118" t="n">
        <v>2018</v>
      </c>
      <c r="H7" s="118" t="n">
        <v>2019</v>
      </c>
      <c r="I7" s="118" t="n">
        <v>2020</v>
      </c>
      <c r="J7" s="118" t="n">
        <v>2021</v>
      </c>
      <c r="K7" s="118" t="n">
        <v>2022</v>
      </c>
      <c r="L7" s="118" t="n">
        <v>2023</v>
      </c>
      <c r="M7" s="118" t="n">
        <v>2024</v>
      </c>
      <c r="N7" s="118" t="n">
        <v>2025</v>
      </c>
    </row>
    <row r="8" customFormat="false" ht="15" hidden="false" customHeight="false" outlineLevel="0" collapsed="false">
      <c r="B8" s="22" t="s">
        <v>828</v>
      </c>
      <c r="C8" s="96" t="n">
        <f aca="false">IF(ISNUMBER(Model!I19),Model!I19,IF(ISNUMBER(Model!I139),Model!I139,0))</f>
        <v>2780.734</v>
      </c>
      <c r="D8" s="96" t="n">
        <f aca="false">IF(ISNUMBER(Model!N19),Model!N19,IF(ISNUMBER(Model!N139),Model!N139,0))</f>
        <v>2314.955</v>
      </c>
      <c r="E8" s="96" t="n">
        <f aca="false">IF(ISNUMBER(Model!S19),Model!S19,IF(ISNUMBER(Model!S139),Model!S139,0))</f>
        <v>3489.987</v>
      </c>
      <c r="F8" s="96" t="n">
        <f aca="false">IF(ISNUMBER(Model!X19),Model!X19,IF(ISNUMBER(Model!X139),Model!X139,0))</f>
        <v>3333.701</v>
      </c>
      <c r="G8" s="96" t="n">
        <f aca="false">IF(ISNUMBER(Model!AC19),Model!AC19,IF(ISNUMBER(Model!AC139),Model!AC139,0))</f>
        <v>2674.966</v>
      </c>
      <c r="H8" s="96" t="n">
        <f aca="false">IF(ISNUMBER(Model!AH19),Model!AH19,IF(ISNUMBER(Model!AH139),Model!AH139,0))</f>
        <v>4558.718</v>
      </c>
      <c r="I8" s="96" t="n">
        <f aca="false">IF(ISNUMBER(Model!AM19),Model!AM19,IF(ISNUMBER(Model!AM139),Model!AM139,0))</f>
        <v>3680.126</v>
      </c>
      <c r="J8" s="96" t="n">
        <f aca="false">IF(ISNUMBER(Model!AR19),Model!AR19,IF(ISNUMBER(Model!AR139),Model!AR139,0))</f>
        <v>4532.17</v>
      </c>
      <c r="K8" s="96" t="n">
        <f aca="false">IF(ISNUMBER(Model!AW19),Model!AW19,IF(ISNUMBER(Model!AW139),Model!AW139,0))</f>
        <v>3515.377</v>
      </c>
      <c r="L8" s="96" t="n">
        <f aca="false">IF(ISNUMBER(Model!BB19),Model!BB19,IF(ISNUMBER(Model!BB139),Model!BB139,0))</f>
        <v>3216.673</v>
      </c>
      <c r="M8" s="96" t="n">
        <f aca="false">IF(ISNUMBER(Model!BG19),Model!BG19,IF(ISNUMBER(Model!BG139),Model!BG139,0))</f>
        <v>3912.58</v>
      </c>
      <c r="N8" s="96" t="n">
        <f aca="false">IF(ISNUMBER(Model!BL19),Model!BL19,IF(ISNUMBER(Model!BL139),Model!BL139,0))</f>
        <v>5541.291</v>
      </c>
    </row>
    <row r="9" customFormat="false" ht="15" hidden="false" customHeight="false" outlineLevel="0" collapsed="false">
      <c r="B9" s="22" t="s">
        <v>829</v>
      </c>
      <c r="C9" s="96" t="n">
        <f aca="false">IF(ISNUMBER(Model!I67),Model!I67,IF(ISNUMBER(Model!I138),Model!I138,0))</f>
        <v>264.992</v>
      </c>
      <c r="D9" s="96" t="n">
        <f aca="false">IF(ISNUMBER(Model!N67),Model!N67,IF(ISNUMBER(Model!N138),Model!N138,0))</f>
        <v>335.333</v>
      </c>
      <c r="E9" s="96" t="n">
        <f aca="false">IF(ISNUMBER(Model!S67),Model!S67,IF(ISNUMBER(Model!S138),Model!S138,0))</f>
        <v>492.793</v>
      </c>
      <c r="F9" s="96" t="n">
        <f aca="false">IF(ISNUMBER(Model!X67),Model!X67,IF(ISNUMBER(Model!X138),Model!X138,0))</f>
        <v>637.053</v>
      </c>
      <c r="G9" s="96" t="n">
        <f aca="false">IF(ISNUMBER(Model!AC67),Model!AC67,IF(ISNUMBER(Model!AC138),Model!AC138,0))</f>
        <v>803.634</v>
      </c>
      <c r="H9" s="96" t="n">
        <f aca="false">IF(ISNUMBER(Model!AH67),Model!AH67,IF(ISNUMBER(Model!AH138),Model!AH138,0))</f>
        <v>729.748</v>
      </c>
      <c r="I9" s="96" t="n">
        <f aca="false">IF(ISNUMBER(Model!AM67),Model!AM67,IF(ISNUMBER(Model!AM138),Model!AM138,0))</f>
        <v>725.702</v>
      </c>
      <c r="J9" s="96" t="n">
        <f aca="false">IF(ISNUMBER(Model!AR67),Model!AR67,IF(ISNUMBER(Model!AR138),Model!AR138,0))</f>
        <v>643.866</v>
      </c>
      <c r="K9" s="96" t="n">
        <f aca="false">IF(ISNUMBER(Model!AW67),Model!AW67,IF(ISNUMBER(Model!AW138),Model!AW138,0))</f>
        <v>628.933</v>
      </c>
      <c r="L9" s="96" t="n">
        <f aca="false">IF(ISNUMBER(Model!BB67),Model!BB67,IF(ISNUMBER(Model!BB138),Model!BB138,0))</f>
        <v>780.974</v>
      </c>
      <c r="M9" s="96" t="n">
        <f aca="false">IF(ISNUMBER(Model!BG67),Model!BG67,IF(ISNUMBER(Model!BG138),Model!BG138,0))</f>
        <v>929.88</v>
      </c>
      <c r="N9" s="96" t="n">
        <f aca="false">IF(ISNUMBER(Model!BL67),Model!BL67,IF(ISNUMBER(Model!BL138),Model!BL138,0))</f>
        <v>1719.401</v>
      </c>
    </row>
    <row r="11" customFormat="false" ht="15" hidden="false" customHeight="false" outlineLevel="0" collapsed="false">
      <c r="C11" s="118" t="n">
        <f aca="false">C7</f>
        <v>2014</v>
      </c>
      <c r="D11" s="118" t="n">
        <f aca="false">D7</f>
        <v>2015</v>
      </c>
      <c r="E11" s="118" t="n">
        <f aca="false">E7</f>
        <v>2016</v>
      </c>
      <c r="F11" s="118" t="n">
        <f aca="false">F7</f>
        <v>2017</v>
      </c>
      <c r="G11" s="118" t="n">
        <f aca="false">G7</f>
        <v>2018</v>
      </c>
      <c r="H11" s="118" t="n">
        <f aca="false">H7</f>
        <v>2019</v>
      </c>
      <c r="I11" s="118" t="n">
        <f aca="false">I7</f>
        <v>2020</v>
      </c>
      <c r="J11" s="118" t="n">
        <f aca="false">J7</f>
        <v>2021</v>
      </c>
      <c r="K11" s="118" t="n">
        <f aca="false">K7</f>
        <v>2022</v>
      </c>
      <c r="L11" s="118" t="n">
        <f aca="false">L7</f>
        <v>2023</v>
      </c>
      <c r="M11" s="118" t="n">
        <f aca="false">M7</f>
        <v>2024</v>
      </c>
      <c r="N11" s="118" t="n">
        <f aca="false">N7</f>
        <v>2025</v>
      </c>
    </row>
    <row r="12" customFormat="false" ht="15" hidden="false" customHeight="false" outlineLevel="0" collapsed="false">
      <c r="B12" s="22" t="s">
        <v>650</v>
      </c>
      <c r="C12" s="96" t="n">
        <f aca="false">Model!I208</f>
        <v>293.762</v>
      </c>
      <c r="D12" s="96" t="n">
        <f aca="false">Model!N208</f>
        <v>294.704</v>
      </c>
      <c r="E12" s="96" t="n">
        <f aca="false">Model!S208</f>
        <v>329.717</v>
      </c>
      <c r="F12" s="96" t="n">
        <f aca="false">Model!X208</f>
        <v>371.142</v>
      </c>
      <c r="G12" s="96" t="n">
        <f aca="false">Model!AC208</f>
        <v>367.574</v>
      </c>
      <c r="H12" s="96" t="n">
        <f aca="false">Model!AH208</f>
        <v>393.243</v>
      </c>
      <c r="I12" s="96" t="n">
        <f aca="false">Model!AM208</f>
        <v>427.026</v>
      </c>
      <c r="J12" s="96" t="n">
        <f aca="false">Model!AR208</f>
        <v>418.028</v>
      </c>
      <c r="K12" s="96" t="n">
        <f aca="false">Model!AW208</f>
        <v>439.413</v>
      </c>
      <c r="L12" s="96" t="n">
        <f aca="false">Model!BB208</f>
        <v>471.925</v>
      </c>
      <c r="M12" s="96" t="n">
        <f aca="false">Model!BG208</f>
        <v>498.669</v>
      </c>
      <c r="N12" s="96" t="n">
        <f aca="false">Model!BL208</f>
        <v>574.245000000001</v>
      </c>
    </row>
    <row r="13" customFormat="false" ht="15" hidden="false" customHeight="false" outlineLevel="0" collapsed="false">
      <c r="B13" s="22" t="s">
        <v>686</v>
      </c>
      <c r="C13" s="96" t="n">
        <f aca="false">Model!I164</f>
        <v>25.1249999999998</v>
      </c>
      <c r="D13" s="96" t="n">
        <f aca="false">Model!N164</f>
        <v>205.941</v>
      </c>
      <c r="E13" s="96" t="n">
        <f aca="false">Model!S164</f>
        <v>239.263</v>
      </c>
      <c r="F13" s="96" t="n">
        <f aca="false">Model!X164</f>
        <v>308.885</v>
      </c>
      <c r="G13" s="96" t="n">
        <f aca="false">Model!AC164</f>
        <v>304.977</v>
      </c>
      <c r="H13" s="96" t="n">
        <f aca="false">Model!AH164</f>
        <v>325.521</v>
      </c>
      <c r="I13" s="96" t="n">
        <f aca="false">Model!AM164</f>
        <v>358.552</v>
      </c>
      <c r="J13" s="96" t="n">
        <f aca="false">Model!AR164</f>
        <v>345.848</v>
      </c>
      <c r="K13" s="96" t="n">
        <f aca="false">Model!AW164</f>
        <v>348.571</v>
      </c>
      <c r="L13" s="96" t="n">
        <f aca="false">Model!BB164</f>
        <v>383.059</v>
      </c>
      <c r="M13" s="96" t="n">
        <f aca="false">Model!BG164</f>
        <v>380.607</v>
      </c>
      <c r="N13" s="96" t="n">
        <f aca="false">Model!BL164</f>
        <v>404.459</v>
      </c>
    </row>
    <row r="14" customFormat="false" ht="15" hidden="false" customHeight="false" outlineLevel="0" collapsed="false">
      <c r="B14" s="22" t="s">
        <v>830</v>
      </c>
      <c r="C14" s="87" t="n">
        <f aca="false">Model!I209</f>
        <v>0.20250928919558</v>
      </c>
      <c r="D14" s="87" t="n">
        <f aca="false">Model!N209</f>
        <v>0.208193544604173</v>
      </c>
      <c r="E14" s="87" t="n">
        <f aca="false">Model!S209</f>
        <v>0.212642036202101</v>
      </c>
      <c r="F14" s="87" t="n">
        <f aca="false">Model!X209</f>
        <v>0.21990498525245</v>
      </c>
      <c r="G14" s="87" t="n">
        <f aca="false">Model!AC209</f>
        <v>0.204220371367345</v>
      </c>
      <c r="H14" s="87" t="n">
        <f aca="false">Model!AH209</f>
        <v>0.207524855930593</v>
      </c>
      <c r="I14" s="87" t="n">
        <f aca="false">Model!AM209</f>
        <v>0.201093846243683</v>
      </c>
      <c r="J14" s="87" t="n">
        <f aca="false">Model!AR209</f>
        <v>0.196804819417779</v>
      </c>
      <c r="K14" s="87" t="n">
        <f aca="false">Model!AW209</f>
        <v>0.196796089633175</v>
      </c>
      <c r="L14" s="87" t="n">
        <f aca="false">Model!BB209</f>
        <v>0.189049112109118</v>
      </c>
      <c r="M14" s="87" t="n">
        <f aca="false">Model!BG209</f>
        <v>0.184442609890171</v>
      </c>
      <c r="N14" s="87" t="n">
        <f aca="false">Model!BL209</f>
        <v>0.179539929809203</v>
      </c>
    </row>
    <row r="15" customFormat="false" ht="15" hidden="false" customHeight="false" outlineLevel="0" collapsed="false">
      <c r="B15" s="22" t="s">
        <v>831</v>
      </c>
      <c r="C15" s="87" t="n">
        <f aca="false">Model!I254</f>
        <v>0.017320299735973</v>
      </c>
      <c r="D15" s="87" t="n">
        <f aca="false">Model!N254</f>
        <v>0.145486952227754</v>
      </c>
      <c r="E15" s="87" t="n">
        <f aca="false">Model!S254</f>
        <v>0.15430618229519</v>
      </c>
      <c r="F15" s="87" t="n">
        <f aca="false">Model!X254</f>
        <v>0.183017150766292</v>
      </c>
      <c r="G15" s="87" t="n">
        <f aca="false">Model!AC254</f>
        <v>0.169442115597128</v>
      </c>
      <c r="H15" s="87" t="n">
        <f aca="false">Model!AH254</f>
        <v>0.171786144006079</v>
      </c>
      <c r="I15" s="87" t="n">
        <f aca="false">Model!AM254</f>
        <v>0.168848268626184</v>
      </c>
      <c r="J15" s="87" t="n">
        <f aca="false">Model!AR254</f>
        <v>0.162822952496005</v>
      </c>
      <c r="K15" s="87" t="n">
        <f aca="false">Model!AW254</f>
        <v>0.156111470893044</v>
      </c>
      <c r="L15" s="87" t="n">
        <f aca="false">Model!BB254</f>
        <v>0.153450153807081</v>
      </c>
      <c r="M15" s="87" t="n">
        <f aca="false">Model!BG254</f>
        <v>0.14077504000142</v>
      </c>
      <c r="N15" s="87" t="n">
        <f aca="false">Model!BL254</f>
        <v>0.126455677403722</v>
      </c>
    </row>
    <row r="17" customFormat="false" ht="15" hidden="false" customHeight="false" outlineLevel="0" collapsed="false">
      <c r="C17" s="118" t="n">
        <f aca="false">C7</f>
        <v>2014</v>
      </c>
      <c r="D17" s="118" t="n">
        <f aca="false">D7</f>
        <v>2015</v>
      </c>
      <c r="E17" s="118" t="n">
        <f aca="false">E7</f>
        <v>2016</v>
      </c>
      <c r="F17" s="118" t="n">
        <f aca="false">F7</f>
        <v>2017</v>
      </c>
      <c r="G17" s="118" t="n">
        <f aca="false">G7</f>
        <v>2018</v>
      </c>
      <c r="H17" s="118" t="n">
        <f aca="false">H7</f>
        <v>2019</v>
      </c>
      <c r="I17" s="118" t="n">
        <f aca="false">I7</f>
        <v>2020</v>
      </c>
      <c r="J17" s="118" t="n">
        <f aca="false">J7</f>
        <v>2021</v>
      </c>
      <c r="K17" s="118" t="n">
        <f aca="false">K7</f>
        <v>2022</v>
      </c>
      <c r="L17" s="118" t="n">
        <f aca="false">L7</f>
        <v>2023</v>
      </c>
      <c r="M17" s="118" t="n">
        <f aca="false">M7</f>
        <v>2024</v>
      </c>
      <c r="N17" s="118" t="n">
        <f aca="false">N7</f>
        <v>2025</v>
      </c>
    </row>
    <row r="18" customFormat="false" ht="15" hidden="false" customHeight="false" outlineLevel="0" collapsed="false">
      <c r="B18" s="22" t="s">
        <v>708</v>
      </c>
      <c r="C18" s="87" t="n">
        <f aca="false">IFERROR(Model!I426+0,NA())</f>
        <v>0</v>
      </c>
      <c r="D18" s="87" t="n">
        <f aca="false">IFERROR(Model!N426+0,NA())</f>
        <v>0.369025853821515</v>
      </c>
      <c r="E18" s="87" t="n">
        <f aca="false">IFERROR(Model!S426+0,NA())</f>
        <v>0.366426990629306</v>
      </c>
      <c r="F18" s="87" t="n">
        <f aca="false">IFERROR(Model!X426+0,NA())</f>
        <v>0.271343599237989</v>
      </c>
      <c r="G18" s="87" t="n">
        <f aca="false">IFERROR(Model!AC426+0,NA())</f>
        <v>0.257959038725452</v>
      </c>
      <c r="H18" s="87" t="n">
        <f aca="false">IFERROR(Model!AH426+0,NA())</f>
        <v>0.227617061501009</v>
      </c>
      <c r="I18" s="87" t="n">
        <f aca="false">IFERROR(Model!AM426+0,NA())</f>
        <v>0.185692197265735</v>
      </c>
      <c r="J18" s="87" t="n">
        <f aca="false">IFERROR(Model!AR426+0,NA())</f>
        <v>0.151162193001863</v>
      </c>
      <c r="K18" s="87" t="n">
        <f aca="false">IFERROR(Model!AW426+0,NA())</f>
        <v>0.139000152514356</v>
      </c>
      <c r="L18" s="87" t="n">
        <f aca="false">IFERROR(Model!BB426+0,NA())</f>
        <v>0.146248437464863</v>
      </c>
      <c r="M18" s="87" t="n">
        <f aca="false">IFERROR(Model!BG426+0,NA())</f>
        <v>0.162593111528954</v>
      </c>
      <c r="N18" s="87" t="n">
        <f aca="false">IFERROR(Model!BL426+0,NA())</f>
        <v>0.143740234100416</v>
      </c>
    </row>
    <row r="19" customFormat="false" ht="15" hidden="false" customHeight="false" outlineLevel="0" collapsed="false">
      <c r="B19" s="22" t="s">
        <v>709</v>
      </c>
      <c r="C19" s="87" t="n">
        <f aca="false">IFERROR(Model!I437+0,NA())</f>
        <v>0</v>
      </c>
      <c r="D19" s="87" t="n">
        <f aca="false">IFERROR(Model!N437+0,NA())</f>
        <v>0.185074873194208</v>
      </c>
      <c r="E19" s="87" t="n">
        <f aca="false">IFERROR(Model!S437+0,NA())</f>
        <v>0.23668904430986</v>
      </c>
      <c r="F19" s="87" t="n">
        <f aca="false">IFERROR(Model!X437+0,NA())</f>
        <v>0.178636141163165</v>
      </c>
      <c r="G19" s="87" t="n">
        <f aca="false">IFERROR(Model!AC437+0,NA())</f>
        <v>0.31611297125609</v>
      </c>
      <c r="H19" s="87" t="n">
        <f aca="false">IFERROR(Model!AH437+0,NA())</f>
        <v>0.245757692633364</v>
      </c>
      <c r="I19" s="87" t="n">
        <f aca="false">IFERROR(Model!AM437+0,NA())</f>
        <v>0.205244241768758</v>
      </c>
      <c r="J19" s="87" t="n">
        <f aca="false">IFERROR(Model!AR437+0,NA())</f>
        <v>0.171954606966</v>
      </c>
      <c r="K19" s="87" t="n">
        <f aca="false">IFERROR(Model!AW437+0,NA())</f>
        <v>0.156718088740182</v>
      </c>
      <c r="L19" s="87" t="n">
        <f aca="false">IFERROR(Model!BB437+0,NA())</f>
        <v>0.159025259571963</v>
      </c>
      <c r="M19" s="87" t="n">
        <f aca="false">IFERROR(Model!BG437+0,NA())</f>
        <v>0.170888242356466</v>
      </c>
      <c r="N19" s="87" t="n">
        <f aca="false">IFERROR(Model!BL437+0,NA())</f>
        <v>0.142340189303011</v>
      </c>
    </row>
    <row r="20" customFormat="false" ht="15" hidden="false" customHeight="false" outlineLevel="0" collapsed="false">
      <c r="B20" s="22" t="s">
        <v>832</v>
      </c>
      <c r="C20" s="87" t="n">
        <f aca="false">IFERROR(Model!I209+0,NA())</f>
        <v>0.20250928919558</v>
      </c>
      <c r="D20" s="87" t="n">
        <f aca="false">IFERROR(Model!N209+0,NA())</f>
        <v>0.208193544604173</v>
      </c>
      <c r="E20" s="87" t="n">
        <f aca="false">IFERROR(Model!S209+0,NA())</f>
        <v>0.212642036202101</v>
      </c>
      <c r="F20" s="87" t="n">
        <f aca="false">IFERROR(Model!X209+0,NA())</f>
        <v>0.21990498525245</v>
      </c>
      <c r="G20" s="87" t="n">
        <f aca="false">IFERROR(Model!AC209+0,NA())</f>
        <v>0.204220371367345</v>
      </c>
      <c r="H20" s="87" t="n">
        <f aca="false">IFERROR(Model!AH209+0,NA())</f>
        <v>0.207524855930593</v>
      </c>
      <c r="I20" s="87" t="n">
        <f aca="false">IFERROR(Model!AM209+0,NA())</f>
        <v>0.201093846243683</v>
      </c>
      <c r="J20" s="87" t="n">
        <f aca="false">IFERROR(Model!AR209+0,NA())</f>
        <v>0.196804819417779</v>
      </c>
      <c r="K20" s="87" t="n">
        <f aca="false">IFERROR(Model!AW209+0,NA())</f>
        <v>0.196796089633175</v>
      </c>
      <c r="L20" s="87" t="n">
        <f aca="false">IFERROR(Model!BB209+0,NA())</f>
        <v>0.189049112109118</v>
      </c>
      <c r="M20" s="87" t="n">
        <f aca="false">IFERROR(Model!BG209+0,NA())</f>
        <v>0.184442609890171</v>
      </c>
      <c r="N20" s="87" t="n">
        <f aca="false">IFERROR(Model!BL209+0,NA())</f>
        <v>0.179539929809203</v>
      </c>
    </row>
    <row r="21" customFormat="false" ht="15" hidden="false" customHeight="false" outlineLevel="0" collapsed="false">
      <c r="B21" s="22" t="s">
        <v>833</v>
      </c>
      <c r="C21" s="87" t="n">
        <f aca="false">IFERROR(Model!I290+0,NA())</f>
        <v>-0.000761059140637387</v>
      </c>
      <c r="D21" s="87" t="n">
        <f aca="false">IFERROR(Model!N290+0,NA())</f>
        <v>0.184969011585068</v>
      </c>
      <c r="E21" s="87" t="n">
        <f aca="false">IFERROR(Model!S290+0,NA())</f>
        <v>0.120739881321292</v>
      </c>
      <c r="F21" s="87" t="n">
        <f aca="false">IFERROR(Model!X290+0,NA())</f>
        <v>0.0742259758327418</v>
      </c>
      <c r="G21" s="87" t="n">
        <f aca="false">IFERROR(Model!AC290+0,NA())</f>
        <v>0.0333087207044434</v>
      </c>
      <c r="H21" s="87" t="n">
        <f aca="false">IFERROR(Model!AH290+0,NA())</f>
        <v>0.051318261456948</v>
      </c>
      <c r="I21" s="87" t="n">
        <f aca="false">IFERROR(Model!AM290+0,NA())</f>
        <v>-0.0275886783994093</v>
      </c>
      <c r="J21" s="87" t="n">
        <f aca="false">IFERROR(Model!AR290+0,NA())</f>
        <v>0.0352972636546561</v>
      </c>
      <c r="K21" s="87" t="n">
        <f aca="false">IFERROR(Model!AW290+0,NA())</f>
        <v>0.0207771827193602</v>
      </c>
      <c r="L21" s="87" t="n">
        <f aca="false">IFERROR(Model!BB290+0,NA())</f>
        <v>0.0850916292814712</v>
      </c>
      <c r="M21" s="87" t="n">
        <f aca="false">IFERROR(Model!BG290+0,NA())</f>
        <v>0.0942358008828053</v>
      </c>
      <c r="N21" s="87" t="n">
        <f aca="false">IFERROR(Model!BL290+0,NA())</f>
        <v>0.0923238781587813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2026-10-07T13:30:24Z</dcterms:created>
  <dc:creator>openpyxl</dc:creator>
  <dc:description/>
  <dc:language>en-US</dc:language>
  <cp:lastModifiedBy/>
  <dcterms:modified xsi:type="dcterms:W3CDTF">2026-10-07T13:30:29Z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